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Personal\Universidad\ICI-5444 - TALLER DE FORMULACION PROYECTOS TI\ICI-5444-2026 - TALLER DE FORMULACION DE PROYECTOS\"/>
    </mc:Choice>
  </mc:AlternateContent>
  <xr:revisionPtr revIDLastSave="0" documentId="8_{01855B83-6B00-4C72-BB7F-855129BC860B}" xr6:coauthVersionLast="47" xr6:coauthVersionMax="47" xr10:uidLastSave="{00000000-0000-0000-0000-000000000000}"/>
  <bookViews>
    <workbookView xWindow="20370" yWindow="-2790" windowWidth="29040" windowHeight="15720" firstSheet="4" activeTab="8" xr2:uid="{00000000-000D-0000-FFFF-FFFF00000000}"/>
  </bookViews>
  <sheets>
    <sheet name="RESUMEN" sheetId="1" r:id="rId1"/>
    <sheet name="PARÁMETROS" sheetId="2" r:id="rId2"/>
    <sheet name="CURVA S" sheetId="3" r:id="rId3"/>
    <sheet name="PCUESFUERZO" sheetId="5" r:id="rId4"/>
    <sheet name="Costos HH - Sueldos" sheetId="6" r:id="rId5"/>
    <sheet name="Costos HH por MES" sheetId="7" r:id="rId6"/>
    <sheet name="TARIFAS DE OPERACION" sheetId="9" r:id="rId7"/>
    <sheet name="FLUJO DE CAJA COMPLETO" sheetId="11" r:id="rId8"/>
    <sheet name="FLUJO DE CAJA NETO" sheetId="10" r:id="rId9"/>
    <sheet name="FINANCIAMIENTO" sheetId="4" r:id="rId10"/>
    <sheet name="COSTOS DE OPERACION" sheetId="8" r:id="rId11"/>
    <sheet name="ADQUISICIONES IMPLEMENTACIÓN" sheetId="12" r:id="rId12"/>
    <sheet name="ADQUISICIONES OPERACIÓN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3" i="9" l="1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AL36" i="9" s="1"/>
  <c r="G44" i="13"/>
  <c r="G43" i="13"/>
  <c r="G42" i="13"/>
  <c r="G41" i="13"/>
  <c r="G45" i="13" s="1"/>
  <c r="G19" i="13"/>
  <c r="G18" i="13"/>
  <c r="G17" i="13"/>
  <c r="G16" i="13"/>
  <c r="G15" i="13"/>
  <c r="G14" i="13"/>
  <c r="G13" i="13"/>
  <c r="G12" i="13"/>
  <c r="G11" i="13"/>
  <c r="G10" i="13"/>
  <c r="G9" i="13"/>
  <c r="B5" i="13"/>
  <c r="B4" i="13"/>
  <c r="B3" i="13"/>
  <c r="B2" i="13"/>
  <c r="G66" i="12"/>
  <c r="D66" i="12"/>
  <c r="G65" i="12"/>
  <c r="D65" i="12"/>
  <c r="G64" i="12"/>
  <c r="D64" i="12"/>
  <c r="G63" i="12"/>
  <c r="G67" i="12" s="1"/>
  <c r="D63" i="12"/>
  <c r="D60" i="12"/>
  <c r="E60" i="12" s="1"/>
  <c r="D59" i="12"/>
  <c r="E59" i="12" s="1"/>
  <c r="D27" i="12"/>
  <c r="E27" i="12" s="1"/>
  <c r="G24" i="12"/>
  <c r="D24" i="12"/>
  <c r="G19" i="12"/>
  <c r="G18" i="12"/>
  <c r="G17" i="12"/>
  <c r="G16" i="12"/>
  <c r="G15" i="12"/>
  <c r="G14" i="12"/>
  <c r="G13" i="12"/>
  <c r="G12" i="12"/>
  <c r="G11" i="12"/>
  <c r="G10" i="12"/>
  <c r="G9" i="12"/>
  <c r="G20" i="12" s="1"/>
  <c r="B5" i="12"/>
  <c r="B4" i="12"/>
  <c r="B3" i="12"/>
  <c r="B2" i="12"/>
  <c r="B49" i="11"/>
  <c r="B48" i="11"/>
  <c r="E42" i="11"/>
  <c r="E43" i="11" s="1"/>
  <c r="D42" i="11"/>
  <c r="D43" i="11" s="1"/>
  <c r="C42" i="11"/>
  <c r="C43" i="11" s="1"/>
  <c r="C44" i="11" s="1"/>
  <c r="D44" i="11" s="1"/>
  <c r="E44" i="11" s="1"/>
  <c r="E33" i="11"/>
  <c r="AL17" i="11"/>
  <c r="AL18" i="11" s="1"/>
  <c r="AK17" i="11"/>
  <c r="AK18" i="11" s="1"/>
  <c r="AJ17" i="11"/>
  <c r="AJ18" i="11" s="1"/>
  <c r="AI17" i="11"/>
  <c r="AI18" i="11" s="1"/>
  <c r="AH17" i="11"/>
  <c r="AH18" i="11" s="1"/>
  <c r="AG17" i="11"/>
  <c r="AG18" i="11" s="1"/>
  <c r="AF17" i="11"/>
  <c r="AF18" i="11" s="1"/>
  <c r="AE17" i="11"/>
  <c r="AE18" i="11" s="1"/>
  <c r="AD17" i="11"/>
  <c r="AD18" i="11" s="1"/>
  <c r="AC17" i="11"/>
  <c r="AC18" i="11" s="1"/>
  <c r="AB17" i="11"/>
  <c r="AB18" i="11" s="1"/>
  <c r="AA17" i="11"/>
  <c r="AA18" i="11" s="1"/>
  <c r="Z17" i="11"/>
  <c r="Z18" i="11" s="1"/>
  <c r="Y17" i="11"/>
  <c r="Y18" i="11" s="1"/>
  <c r="X17" i="11"/>
  <c r="X18" i="11" s="1"/>
  <c r="W17" i="11"/>
  <c r="W18" i="11" s="1"/>
  <c r="V17" i="11"/>
  <c r="V18" i="11" s="1"/>
  <c r="U17" i="11"/>
  <c r="U18" i="11" s="1"/>
  <c r="T17" i="11"/>
  <c r="T18" i="11" s="1"/>
  <c r="S17" i="11"/>
  <c r="S18" i="11" s="1"/>
  <c r="R17" i="11"/>
  <c r="R18" i="11" s="1"/>
  <c r="Q17" i="11"/>
  <c r="Q18" i="11" s="1"/>
  <c r="P17" i="11"/>
  <c r="P18" i="11" s="1"/>
  <c r="O17" i="11"/>
  <c r="O18" i="11" s="1"/>
  <c r="N17" i="11"/>
  <c r="N18" i="11" s="1"/>
  <c r="M17" i="11"/>
  <c r="M18" i="11" s="1"/>
  <c r="L17" i="11"/>
  <c r="L18" i="11" s="1"/>
  <c r="K17" i="11"/>
  <c r="K18" i="11" s="1"/>
  <c r="J17" i="11"/>
  <c r="J18" i="11" s="1"/>
  <c r="I17" i="11"/>
  <c r="I18" i="11" s="1"/>
  <c r="H17" i="11"/>
  <c r="H18" i="11" s="1"/>
  <c r="G17" i="11"/>
  <c r="G18" i="11" s="1"/>
  <c r="F17" i="11"/>
  <c r="F18" i="11" s="1"/>
  <c r="E17" i="11"/>
  <c r="E18" i="11" s="1"/>
  <c r="D17" i="11"/>
  <c r="D18" i="11" s="1"/>
  <c r="C17" i="11"/>
  <c r="C18" i="11" s="1"/>
  <c r="C19" i="11" s="1"/>
  <c r="D19" i="11" s="1"/>
  <c r="E19" i="11" s="1"/>
  <c r="F19" i="11" s="1"/>
  <c r="G19" i="11" s="1"/>
  <c r="H19" i="11" s="1"/>
  <c r="I19" i="11" s="1"/>
  <c r="J19" i="11" s="1"/>
  <c r="K19" i="11" s="1"/>
  <c r="L19" i="11" s="1"/>
  <c r="M19" i="11" s="1"/>
  <c r="N19" i="11" s="1"/>
  <c r="O19" i="11" s="1"/>
  <c r="P19" i="11" s="1"/>
  <c r="Q19" i="11" s="1"/>
  <c r="R19" i="11" s="1"/>
  <c r="S19" i="11" s="1"/>
  <c r="T19" i="11" s="1"/>
  <c r="U19" i="11" s="1"/>
  <c r="V19" i="11" s="1"/>
  <c r="W19" i="11" s="1"/>
  <c r="X19" i="11" s="1"/>
  <c r="Y19" i="11" s="1"/>
  <c r="Z19" i="11" s="1"/>
  <c r="AA19" i="11" s="1"/>
  <c r="AB19" i="11" s="1"/>
  <c r="AC19" i="11" s="1"/>
  <c r="AD19" i="11" s="1"/>
  <c r="AE19" i="11" s="1"/>
  <c r="AF19" i="11" s="1"/>
  <c r="AG19" i="11" s="1"/>
  <c r="AH19" i="11" s="1"/>
  <c r="AL15" i="11"/>
  <c r="AK15" i="11"/>
  <c r="AJ15" i="11"/>
  <c r="AI15" i="11"/>
  <c r="AH15" i="11"/>
  <c r="AG15" i="11"/>
  <c r="AF15" i="11"/>
  <c r="AD15" i="11"/>
  <c r="AC15" i="11"/>
  <c r="AB15" i="11"/>
  <c r="AA15" i="11"/>
  <c r="Z15" i="11"/>
  <c r="Y15" i="11"/>
  <c r="X15" i="11"/>
  <c r="W15" i="11"/>
  <c r="V15" i="11"/>
  <c r="U15" i="11"/>
  <c r="T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C40" i="11" s="1"/>
  <c r="K8" i="11"/>
  <c r="J8" i="11"/>
  <c r="I8" i="11"/>
  <c r="H8" i="11"/>
  <c r="G8" i="11"/>
  <c r="F8" i="11"/>
  <c r="E8" i="11"/>
  <c r="D8" i="11"/>
  <c r="C8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E7" i="11"/>
  <c r="D7" i="11"/>
  <c r="C7" i="11"/>
  <c r="U5" i="11"/>
  <c r="T5" i="11"/>
  <c r="S5" i="11"/>
  <c r="Q5" i="11"/>
  <c r="P5" i="11"/>
  <c r="M5" i="11"/>
  <c r="K5" i="11"/>
  <c r="I5" i="11"/>
  <c r="H5" i="11"/>
  <c r="G5" i="11"/>
  <c r="F5" i="11"/>
  <c r="D5" i="11"/>
  <c r="C5" i="11"/>
  <c r="AL4" i="11"/>
  <c r="AL3" i="11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U13" i="10"/>
  <c r="T13" i="10"/>
  <c r="S13" i="10"/>
  <c r="Q13" i="10"/>
  <c r="P13" i="10"/>
  <c r="O13" i="10"/>
  <c r="M13" i="10"/>
  <c r="K13" i="10"/>
  <c r="I13" i="10"/>
  <c r="H13" i="10"/>
  <c r="G13" i="10"/>
  <c r="F13" i="10"/>
  <c r="D13" i="10"/>
  <c r="C13" i="10"/>
  <c r="AL2" i="10"/>
  <c r="V44" i="9"/>
  <c r="U44" i="9"/>
  <c r="T44" i="9"/>
  <c r="S44" i="9"/>
  <c r="Q44" i="9"/>
  <c r="P44" i="9"/>
  <c r="O44" i="9"/>
  <c r="N44" i="9"/>
  <c r="M44" i="9"/>
  <c r="J44" i="9"/>
  <c r="I44" i="9"/>
  <c r="H44" i="9"/>
  <c r="G44" i="9"/>
  <c r="F44" i="9"/>
  <c r="E44" i="9"/>
  <c r="D44" i="9"/>
  <c r="C44" i="9"/>
  <c r="V36" i="9"/>
  <c r="A7" i="9"/>
  <c r="V44" i="8"/>
  <c r="U44" i="8"/>
  <c r="T44" i="8"/>
  <c r="S44" i="8"/>
  <c r="R44" i="8"/>
  <c r="Q44" i="8"/>
  <c r="P44" i="8"/>
  <c r="O44" i="8"/>
  <c r="N44" i="8"/>
  <c r="M44" i="8"/>
  <c r="J44" i="8"/>
  <c r="I44" i="8"/>
  <c r="H44" i="8"/>
  <c r="G44" i="8"/>
  <c r="F44" i="8"/>
  <c r="E44" i="8"/>
  <c r="D44" i="8"/>
  <c r="C44" i="8"/>
  <c r="K42" i="8"/>
  <c r="AL36" i="8"/>
  <c r="V36" i="8"/>
  <c r="AN33" i="8"/>
  <c r="AO33" i="8" s="1"/>
  <c r="AM33" i="8"/>
  <c r="AM32" i="8"/>
  <c r="A32" i="8"/>
  <c r="A32" i="9" s="1"/>
  <c r="A31" i="8"/>
  <c r="A31" i="9" s="1"/>
  <c r="A30" i="8"/>
  <c r="A30" i="9" s="1"/>
  <c r="AN29" i="8"/>
  <c r="A29" i="8"/>
  <c r="A29" i="9" s="1"/>
  <c r="A28" i="8"/>
  <c r="A28" i="9" s="1"/>
  <c r="A27" i="8"/>
  <c r="A27" i="9" s="1"/>
  <c r="AN26" i="8"/>
  <c r="A26" i="8"/>
  <c r="A26" i="9" s="1"/>
  <c r="AN25" i="8"/>
  <c r="A25" i="8"/>
  <c r="A25" i="9" s="1"/>
  <c r="AN24" i="8"/>
  <c r="A24" i="8"/>
  <c r="A24" i="9" s="1"/>
  <c r="A23" i="8"/>
  <c r="A23" i="9" s="1"/>
  <c r="A22" i="8"/>
  <c r="A22" i="9" s="1"/>
  <c r="AN21" i="8"/>
  <c r="A21" i="8"/>
  <c r="A21" i="9" s="1"/>
  <c r="A20" i="8"/>
  <c r="A20" i="9" s="1"/>
  <c r="A19" i="8"/>
  <c r="A19" i="9" s="1"/>
  <c r="AN18" i="8"/>
  <c r="A18" i="8"/>
  <c r="A18" i="9" s="1"/>
  <c r="AN17" i="8"/>
  <c r="A17" i="8"/>
  <c r="A17" i="9" s="1"/>
  <c r="AN16" i="8"/>
  <c r="A16" i="8"/>
  <c r="A16" i="9" s="1"/>
  <c r="A15" i="8"/>
  <c r="A15" i="9" s="1"/>
  <c r="AN14" i="8"/>
  <c r="A14" i="8"/>
  <c r="A14" i="9" s="1"/>
  <c r="AN13" i="8"/>
  <c r="A13" i="8"/>
  <c r="A13" i="9" s="1"/>
  <c r="AN12" i="8"/>
  <c r="A12" i="8"/>
  <c r="A12" i="9" s="1"/>
  <c r="AN11" i="8"/>
  <c r="A11" i="8"/>
  <c r="A11" i="9" s="1"/>
  <c r="AN10" i="8"/>
  <c r="A10" i="8"/>
  <c r="A10" i="9" s="1"/>
  <c r="AN9" i="8"/>
  <c r="A9" i="8"/>
  <c r="A9" i="9" s="1"/>
  <c r="AN8" i="8"/>
  <c r="A8" i="8"/>
  <c r="A8" i="9" s="1"/>
  <c r="AN7" i="8"/>
  <c r="A7" i="8"/>
  <c r="AN6" i="8"/>
  <c r="A6" i="8"/>
  <c r="A6" i="9" s="1"/>
  <c r="AN5" i="8"/>
  <c r="A5" i="8"/>
  <c r="A5" i="9" s="1"/>
  <c r="AN4" i="8"/>
  <c r="A4" i="8"/>
  <c r="A4" i="9" s="1"/>
  <c r="A3" i="8"/>
  <c r="A3" i="9" s="1"/>
  <c r="A36" i="7"/>
  <c r="H35" i="7"/>
  <c r="F35" i="7"/>
  <c r="E35" i="7"/>
  <c r="D35" i="7"/>
  <c r="A35" i="7"/>
  <c r="H34" i="7"/>
  <c r="F34" i="7"/>
  <c r="E34" i="7"/>
  <c r="D34" i="7"/>
  <c r="A34" i="7"/>
  <c r="H33" i="7"/>
  <c r="F33" i="7"/>
  <c r="E33" i="7"/>
  <c r="D33" i="7"/>
  <c r="A33" i="7"/>
  <c r="H32" i="7"/>
  <c r="C29" i="9" s="1"/>
  <c r="F32" i="7"/>
  <c r="E32" i="7"/>
  <c r="D32" i="7"/>
  <c r="A32" i="7"/>
  <c r="H31" i="7"/>
  <c r="F31" i="7"/>
  <c r="E31" i="7"/>
  <c r="D31" i="7"/>
  <c r="A31" i="7"/>
  <c r="H30" i="7"/>
  <c r="F30" i="7"/>
  <c r="E30" i="7"/>
  <c r="D30" i="7"/>
  <c r="A30" i="7"/>
  <c r="H29" i="7"/>
  <c r="V26" i="9" s="1"/>
  <c r="F29" i="7"/>
  <c r="E29" i="7"/>
  <c r="D29" i="7"/>
  <c r="A29" i="7"/>
  <c r="H28" i="7"/>
  <c r="V25" i="9" s="1"/>
  <c r="F28" i="7"/>
  <c r="E28" i="7"/>
  <c r="D28" i="7"/>
  <c r="A28" i="7"/>
  <c r="H27" i="7"/>
  <c r="F27" i="7"/>
  <c r="E27" i="7"/>
  <c r="D27" i="7"/>
  <c r="A27" i="7"/>
  <c r="H26" i="7"/>
  <c r="F26" i="7"/>
  <c r="E26" i="7"/>
  <c r="D26" i="7"/>
  <c r="A26" i="7"/>
  <c r="H25" i="7"/>
  <c r="F25" i="7"/>
  <c r="E25" i="7"/>
  <c r="D25" i="7"/>
  <c r="A25" i="7"/>
  <c r="H24" i="7"/>
  <c r="F24" i="7"/>
  <c r="E24" i="7"/>
  <c r="D24" i="7"/>
  <c r="A24" i="7"/>
  <c r="H23" i="7"/>
  <c r="F23" i="7"/>
  <c r="E23" i="7"/>
  <c r="D23" i="7"/>
  <c r="A23" i="7"/>
  <c r="H22" i="7"/>
  <c r="F22" i="7"/>
  <c r="E22" i="7"/>
  <c r="D22" i="7"/>
  <c r="A22" i="7"/>
  <c r="H21" i="7"/>
  <c r="F21" i="7"/>
  <c r="E21" i="7"/>
  <c r="D21" i="7"/>
  <c r="A21" i="7"/>
  <c r="H20" i="7"/>
  <c r="F20" i="7"/>
  <c r="E20" i="7"/>
  <c r="D20" i="7"/>
  <c r="A20" i="7"/>
  <c r="H19" i="7"/>
  <c r="F19" i="7"/>
  <c r="E19" i="7"/>
  <c r="D19" i="7"/>
  <c r="A19" i="7"/>
  <c r="H18" i="7"/>
  <c r="F18" i="7"/>
  <c r="E18" i="7"/>
  <c r="D18" i="7"/>
  <c r="A18" i="7"/>
  <c r="H17" i="7"/>
  <c r="F17" i="7"/>
  <c r="E17" i="7"/>
  <c r="D17" i="7"/>
  <c r="A17" i="7"/>
  <c r="H16" i="7"/>
  <c r="F16" i="7"/>
  <c r="E16" i="7"/>
  <c r="D16" i="7"/>
  <c r="A16" i="7"/>
  <c r="H15" i="7"/>
  <c r="F15" i="7"/>
  <c r="E15" i="7"/>
  <c r="D15" i="7"/>
  <c r="A15" i="7"/>
  <c r="H14" i="7"/>
  <c r="F14" i="7"/>
  <c r="E14" i="7"/>
  <c r="D14" i="7"/>
  <c r="A14" i="7"/>
  <c r="H13" i="7"/>
  <c r="F13" i="7"/>
  <c r="E13" i="7"/>
  <c r="D13" i="7"/>
  <c r="A13" i="7"/>
  <c r="H12" i="7"/>
  <c r="F12" i="7"/>
  <c r="E12" i="7"/>
  <c r="D12" i="7"/>
  <c r="A12" i="7"/>
  <c r="H11" i="7"/>
  <c r="F11" i="7"/>
  <c r="E11" i="7"/>
  <c r="D11" i="7"/>
  <c r="A11" i="7"/>
  <c r="I10" i="7"/>
  <c r="H10" i="7"/>
  <c r="G10" i="7"/>
  <c r="F10" i="7"/>
  <c r="E10" i="7"/>
  <c r="D10" i="7"/>
  <c r="A10" i="7"/>
  <c r="I9" i="7"/>
  <c r="H9" i="7"/>
  <c r="G9" i="7"/>
  <c r="F9" i="7"/>
  <c r="E9" i="7"/>
  <c r="D9" i="7"/>
  <c r="A9" i="7"/>
  <c r="I8" i="7"/>
  <c r="H8" i="7"/>
  <c r="G8" i="7"/>
  <c r="F8" i="7"/>
  <c r="E8" i="7"/>
  <c r="D8" i="7"/>
  <c r="A8" i="7"/>
  <c r="I7" i="7"/>
  <c r="H7" i="7"/>
  <c r="G7" i="7"/>
  <c r="F7" i="7"/>
  <c r="E7" i="7"/>
  <c r="D7" i="7"/>
  <c r="A7" i="7"/>
  <c r="I6" i="7"/>
  <c r="H6" i="7"/>
  <c r="G6" i="7"/>
  <c r="F6" i="7"/>
  <c r="F36" i="7" s="1"/>
  <c r="E6" i="7"/>
  <c r="E36" i="7" s="1"/>
  <c r="D6" i="7"/>
  <c r="A6" i="7"/>
  <c r="E81" i="6"/>
  <c r="C81" i="6"/>
  <c r="A81" i="6"/>
  <c r="E80" i="6"/>
  <c r="C80" i="6"/>
  <c r="A80" i="6"/>
  <c r="E79" i="6"/>
  <c r="C79" i="6"/>
  <c r="A79" i="6"/>
  <c r="E78" i="6"/>
  <c r="C78" i="6"/>
  <c r="A78" i="6"/>
  <c r="E77" i="6"/>
  <c r="C77" i="6"/>
  <c r="A77" i="6"/>
  <c r="E76" i="6"/>
  <c r="C76" i="6"/>
  <c r="A76" i="6"/>
  <c r="E75" i="6"/>
  <c r="C75" i="6"/>
  <c r="A75" i="6"/>
  <c r="E74" i="6"/>
  <c r="C74" i="6"/>
  <c r="A74" i="6"/>
  <c r="E73" i="6"/>
  <c r="C73" i="6"/>
  <c r="A73" i="6"/>
  <c r="E72" i="6"/>
  <c r="C72" i="6"/>
  <c r="A72" i="6"/>
  <c r="E71" i="6"/>
  <c r="C71" i="6"/>
  <c r="A71" i="6"/>
  <c r="E70" i="6"/>
  <c r="C70" i="6"/>
  <c r="A70" i="6"/>
  <c r="E69" i="6"/>
  <c r="C69" i="6"/>
  <c r="A69" i="6"/>
  <c r="E68" i="6"/>
  <c r="C68" i="6"/>
  <c r="A68" i="6"/>
  <c r="E67" i="6"/>
  <c r="C67" i="6"/>
  <c r="A67" i="6"/>
  <c r="E66" i="6"/>
  <c r="C66" i="6"/>
  <c r="A66" i="6"/>
  <c r="E65" i="6"/>
  <c r="C65" i="6"/>
  <c r="A65" i="6"/>
  <c r="E64" i="6"/>
  <c r="C64" i="6"/>
  <c r="A64" i="6"/>
  <c r="E63" i="6"/>
  <c r="C63" i="6"/>
  <c r="A63" i="6"/>
  <c r="E62" i="6"/>
  <c r="C62" i="6"/>
  <c r="A62" i="6"/>
  <c r="E61" i="6"/>
  <c r="C61" i="6"/>
  <c r="A61" i="6"/>
  <c r="E60" i="6"/>
  <c r="C60" i="6"/>
  <c r="A60" i="6"/>
  <c r="E59" i="6"/>
  <c r="C59" i="6"/>
  <c r="A59" i="6"/>
  <c r="E58" i="6"/>
  <c r="C58" i="6"/>
  <c r="A58" i="6"/>
  <c r="E57" i="6"/>
  <c r="C57" i="6"/>
  <c r="A57" i="6"/>
  <c r="F56" i="6"/>
  <c r="E56" i="6"/>
  <c r="C56" i="6"/>
  <c r="D56" i="6" s="1"/>
  <c r="A56" i="6"/>
  <c r="E55" i="6"/>
  <c r="F55" i="6" s="1"/>
  <c r="C55" i="6"/>
  <c r="D55" i="6" s="1"/>
  <c r="A55" i="6"/>
  <c r="E54" i="6"/>
  <c r="F54" i="6" s="1"/>
  <c r="C54" i="6"/>
  <c r="D54" i="6" s="1"/>
  <c r="A54" i="6"/>
  <c r="E53" i="6"/>
  <c r="F53" i="6" s="1"/>
  <c r="C53" i="6"/>
  <c r="D53" i="6" s="1"/>
  <c r="A53" i="6"/>
  <c r="E52" i="6"/>
  <c r="F52" i="6" s="1"/>
  <c r="C52" i="6"/>
  <c r="D52" i="6" s="1"/>
  <c r="B52" i="6" a="1"/>
  <c r="A52" i="6"/>
  <c r="H41" i="6"/>
  <c r="C40" i="6"/>
  <c r="B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B7" i="6"/>
  <c r="B6" i="6"/>
  <c r="B4" i="4" s="1"/>
  <c r="B5" i="6"/>
  <c r="B3" i="4" s="1"/>
  <c r="C3" i="4" s="1"/>
  <c r="B4" i="6"/>
  <c r="B2" i="4" s="1"/>
  <c r="C2" i="4" s="1"/>
  <c r="I163" i="5"/>
  <c r="H163" i="5"/>
  <c r="I162" i="5"/>
  <c r="H162" i="5"/>
  <c r="I161" i="5"/>
  <c r="H161" i="5"/>
  <c r="I156" i="5"/>
  <c r="H156" i="5"/>
  <c r="I155" i="5"/>
  <c r="H155" i="5"/>
  <c r="I154" i="5"/>
  <c r="H154" i="5"/>
  <c r="B108" i="5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T90" i="5"/>
  <c r="N38" i="5"/>
  <c r="N39" i="5" s="1"/>
  <c r="B26" i="1" s="1"/>
  <c r="O34" i="5"/>
  <c r="O33" i="5"/>
  <c r="O32" i="5"/>
  <c r="O31" i="5"/>
  <c r="O30" i="5"/>
  <c r="O29" i="5"/>
  <c r="O28" i="5"/>
  <c r="O27" i="5"/>
  <c r="O35" i="5" s="1"/>
  <c r="M36" i="5" s="1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17" i="5" s="1"/>
  <c r="M18" i="5" s="1"/>
  <c r="G32" i="4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A31" i="4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B12" i="4"/>
  <c r="B11" i="4"/>
  <c r="B10" i="4"/>
  <c r="B9" i="4"/>
  <c r="B8" i="4"/>
  <c r="AL32" i="3"/>
  <c r="B18" i="2"/>
  <c r="C6" i="2"/>
  <c r="D5" i="2"/>
  <c r="C5" i="2"/>
  <c r="D4" i="2"/>
  <c r="D3" i="2"/>
  <c r="C3" i="2"/>
  <c r="I164" i="5" l="1"/>
  <c r="B25" i="1" s="1"/>
  <c r="I157" i="5"/>
  <c r="G20" i="13"/>
  <c r="G38" i="13"/>
  <c r="D38" i="13"/>
  <c r="G37" i="13"/>
  <c r="G39" i="13" s="1"/>
  <c r="D37" i="13"/>
  <c r="G34" i="13"/>
  <c r="D34" i="13"/>
  <c r="G33" i="13"/>
  <c r="G35" i="13" s="1"/>
  <c r="D33" i="13"/>
  <c r="G30" i="13"/>
  <c r="D30" i="13"/>
  <c r="G29" i="13"/>
  <c r="G31" i="13" s="1"/>
  <c r="D29" i="13"/>
  <c r="G26" i="13"/>
  <c r="D26" i="13"/>
  <c r="G25" i="13"/>
  <c r="D25" i="13"/>
  <c r="G24" i="13"/>
  <c r="D24" i="13"/>
  <c r="G23" i="13"/>
  <c r="D23" i="13"/>
  <c r="D22" i="13"/>
  <c r="G22" i="13"/>
  <c r="G27" i="13" s="1"/>
  <c r="D43" i="13"/>
  <c r="D42" i="13"/>
  <c r="D41" i="13"/>
  <c r="D19" i="13"/>
  <c r="D16" i="13"/>
  <c r="D15" i="13"/>
  <c r="D14" i="13"/>
  <c r="D13" i="13"/>
  <c r="D12" i="13"/>
  <c r="D11" i="13"/>
  <c r="D10" i="13"/>
  <c r="D9" i="13"/>
  <c r="D17" i="13"/>
  <c r="D18" i="13"/>
  <c r="D44" i="13"/>
  <c r="E66" i="12"/>
  <c r="I66" i="12" s="1"/>
  <c r="J66" i="12" s="1"/>
  <c r="H66" i="12"/>
  <c r="H65" i="12"/>
  <c r="E65" i="12"/>
  <c r="I65" i="12" s="1"/>
  <c r="J65" i="12" s="1"/>
  <c r="E64" i="12"/>
  <c r="I64" i="12" s="1"/>
  <c r="J64" i="12" s="1"/>
  <c r="H64" i="12"/>
  <c r="E63" i="12"/>
  <c r="I63" i="12" s="1"/>
  <c r="H63" i="12"/>
  <c r="H67" i="12" s="1"/>
  <c r="G60" i="12"/>
  <c r="H60" i="12"/>
  <c r="I60" i="12"/>
  <c r="J60" i="12" s="1"/>
  <c r="H59" i="12"/>
  <c r="H61" i="12" s="1"/>
  <c r="I59" i="12"/>
  <c r="G59" i="12"/>
  <c r="G61" i="12" s="1"/>
  <c r="D56" i="12"/>
  <c r="G56" i="12"/>
  <c r="D55" i="12"/>
  <c r="G55" i="12"/>
  <c r="D54" i="12"/>
  <c r="G54" i="12"/>
  <c r="G53" i="12"/>
  <c r="D53" i="12"/>
  <c r="D52" i="12"/>
  <c r="G52" i="12"/>
  <c r="G51" i="12"/>
  <c r="D51" i="12"/>
  <c r="G48" i="12"/>
  <c r="D48" i="12"/>
  <c r="D47" i="12"/>
  <c r="G47" i="12"/>
  <c r="D46" i="12"/>
  <c r="G46" i="12"/>
  <c r="G45" i="12"/>
  <c r="D45" i="12"/>
  <c r="D44" i="12"/>
  <c r="G44" i="12"/>
  <c r="D43" i="12"/>
  <c r="G43" i="12"/>
  <c r="D42" i="12"/>
  <c r="G42" i="12"/>
  <c r="D41" i="12"/>
  <c r="G41" i="12"/>
  <c r="G40" i="12"/>
  <c r="D40" i="12"/>
  <c r="D37" i="12"/>
  <c r="G37" i="12"/>
  <c r="G36" i="12"/>
  <c r="D36" i="12"/>
  <c r="D35" i="12"/>
  <c r="G35" i="12"/>
  <c r="G34" i="12"/>
  <c r="D34" i="12"/>
  <c r="G33" i="12"/>
  <c r="G38" i="12" s="1"/>
  <c r="D33" i="12"/>
  <c r="G30" i="12"/>
  <c r="D30" i="12"/>
  <c r="D29" i="12"/>
  <c r="G29" i="12"/>
  <c r="G28" i="12"/>
  <c r="D28" i="12"/>
  <c r="G27" i="12"/>
  <c r="I27" i="12"/>
  <c r="J27" i="12" s="1"/>
  <c r="H27" i="12"/>
  <c r="G26" i="12"/>
  <c r="D26" i="12"/>
  <c r="G25" i="12"/>
  <c r="D25" i="12"/>
  <c r="E24" i="12"/>
  <c r="I24" i="12" s="1"/>
  <c r="H24" i="12"/>
  <c r="G23" i="12"/>
  <c r="D23" i="12"/>
  <c r="G22" i="12"/>
  <c r="G31" i="12" s="1"/>
  <c r="D22" i="12"/>
  <c r="D9" i="12"/>
  <c r="D10" i="12"/>
  <c r="D19" i="12"/>
  <c r="D18" i="12"/>
  <c r="D17" i="12"/>
  <c r="D16" i="12"/>
  <c r="D15" i="12"/>
  <c r="D14" i="12"/>
  <c r="D13" i="12"/>
  <c r="D12" i="12"/>
  <c r="D11" i="12"/>
  <c r="F7" i="8"/>
  <c r="E7" i="8"/>
  <c r="C7" i="8"/>
  <c r="V7" i="8"/>
  <c r="R7" i="8"/>
  <c r="P7" i="8"/>
  <c r="O7" i="8"/>
  <c r="N7" i="8"/>
  <c r="J7" i="8"/>
  <c r="I7" i="8"/>
  <c r="H7" i="8"/>
  <c r="G7" i="8"/>
  <c r="H6" i="8"/>
  <c r="D6" i="8"/>
  <c r="T6" i="8"/>
  <c r="U6" i="8"/>
  <c r="F6" i="8"/>
  <c r="I6" i="8"/>
  <c r="E6" i="8"/>
  <c r="G6" i="8"/>
  <c r="N6" i="8"/>
  <c r="L6" i="8"/>
  <c r="K6" i="8"/>
  <c r="R6" i="8"/>
  <c r="S6" i="8"/>
  <c r="D5" i="8"/>
  <c r="E5" i="8"/>
  <c r="R5" i="8"/>
  <c r="J5" i="8"/>
  <c r="T5" i="8"/>
  <c r="S5" i="8"/>
  <c r="P4" i="8"/>
  <c r="G4" i="8"/>
  <c r="E4" i="8"/>
  <c r="V4" i="8"/>
  <c r="I4" i="8"/>
  <c r="F4" i="8"/>
  <c r="H4" i="8"/>
  <c r="O3" i="8"/>
  <c r="K3" i="8"/>
  <c r="E3" i="8"/>
  <c r="C3" i="8"/>
  <c r="G3" i="8"/>
  <c r="M3" i="8"/>
  <c r="Q3" i="8"/>
  <c r="J3" i="8"/>
  <c r="D3" i="8"/>
  <c r="N3" i="8"/>
  <c r="V3" i="8"/>
  <c r="I3" i="8"/>
  <c r="F3" i="8"/>
  <c r="H3" i="8"/>
  <c r="L3" i="8"/>
  <c r="P3" i="8"/>
  <c r="W3" i="8"/>
  <c r="S3" i="8"/>
  <c r="R3" i="8"/>
  <c r="T3" i="8"/>
  <c r="U3" i="8"/>
  <c r="C31" i="9"/>
  <c r="V31" i="9"/>
  <c r="AL31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AJ32" i="9"/>
  <c r="AK32" i="9"/>
  <c r="AL32" i="9"/>
  <c r="C30" i="9"/>
  <c r="AL30" i="9"/>
  <c r="V28" i="9"/>
  <c r="AL28" i="9"/>
  <c r="C27" i="9"/>
  <c r="E27" i="9"/>
  <c r="F27" i="9"/>
  <c r="G27" i="9"/>
  <c r="H27" i="9"/>
  <c r="I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P24" i="9"/>
  <c r="R24" i="9"/>
  <c r="K41" i="9"/>
  <c r="R41" i="9"/>
  <c r="R44" i="9" s="1"/>
  <c r="C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K40" i="9"/>
  <c r="I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K43" i="9"/>
  <c r="L43" i="9"/>
  <c r="L44" i="9" s="1"/>
  <c r="H21" i="9"/>
  <c r="I21" i="9"/>
  <c r="K21" i="9"/>
  <c r="L20" i="9"/>
  <c r="M20" i="9"/>
  <c r="N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L19" i="9"/>
  <c r="M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C18" i="9"/>
  <c r="H18" i="9"/>
  <c r="I18" i="9"/>
  <c r="K18" i="9"/>
  <c r="L18" i="9"/>
  <c r="M18" i="9"/>
  <c r="N18" i="9"/>
  <c r="P18" i="9"/>
  <c r="Q18" i="9"/>
  <c r="R18" i="9"/>
  <c r="I17" i="9"/>
  <c r="J17" i="9"/>
  <c r="K17" i="9"/>
  <c r="O17" i="9"/>
  <c r="E16" i="9"/>
  <c r="F16" i="9"/>
  <c r="G16" i="9"/>
  <c r="H16" i="9"/>
  <c r="I16" i="9"/>
  <c r="L16" i="9"/>
  <c r="N16" i="9"/>
  <c r="O16" i="9"/>
  <c r="P16" i="9"/>
  <c r="Q16" i="9"/>
  <c r="R16" i="9"/>
  <c r="F15" i="9"/>
  <c r="G15" i="9"/>
  <c r="H15" i="9"/>
  <c r="I15" i="9"/>
  <c r="P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D14" i="9"/>
  <c r="I14" i="9"/>
  <c r="J14" i="9"/>
  <c r="K14" i="9"/>
  <c r="L14" i="9"/>
  <c r="D13" i="9"/>
  <c r="E13" i="9"/>
  <c r="I12" i="9"/>
  <c r="J12" i="9"/>
  <c r="K12" i="9"/>
  <c r="F11" i="9"/>
  <c r="G11" i="9"/>
  <c r="H11" i="9"/>
  <c r="I11" i="9"/>
  <c r="J11" i="9"/>
  <c r="K11" i="9"/>
  <c r="L11" i="9"/>
  <c r="R11" i="9"/>
  <c r="S11" i="9"/>
  <c r="T11" i="9"/>
  <c r="U11" i="9"/>
  <c r="F10" i="9"/>
  <c r="G10" i="9"/>
  <c r="H10" i="9"/>
  <c r="I10" i="9"/>
  <c r="J10" i="9"/>
  <c r="R10" i="9"/>
  <c r="S10" i="9"/>
  <c r="T10" i="9"/>
  <c r="U10" i="9"/>
  <c r="F9" i="9"/>
  <c r="G9" i="9"/>
  <c r="H9" i="9"/>
  <c r="I9" i="9"/>
  <c r="J9" i="9"/>
  <c r="K9" i="9"/>
  <c r="L9" i="9"/>
  <c r="R9" i="9"/>
  <c r="S9" i="9"/>
  <c r="T9" i="9"/>
  <c r="U9" i="9"/>
  <c r="C8" i="9"/>
  <c r="D8" i="9"/>
  <c r="E8" i="9"/>
  <c r="J8" i="9"/>
  <c r="C7" i="9"/>
  <c r="E7" i="9"/>
  <c r="F7" i="9"/>
  <c r="G7" i="9"/>
  <c r="H7" i="9"/>
  <c r="I7" i="9"/>
  <c r="J7" i="9"/>
  <c r="N7" i="9"/>
  <c r="O7" i="9"/>
  <c r="P7" i="9"/>
  <c r="R7" i="9"/>
  <c r="V7" i="9"/>
  <c r="K42" i="9"/>
  <c r="D6" i="9"/>
  <c r="E6" i="9"/>
  <c r="F6" i="9"/>
  <c r="G6" i="9"/>
  <c r="H6" i="9"/>
  <c r="I6" i="9"/>
  <c r="K6" i="9"/>
  <c r="L6" i="9"/>
  <c r="N6" i="9"/>
  <c r="R6" i="9"/>
  <c r="S6" i="9"/>
  <c r="T6" i="9"/>
  <c r="U6" i="9"/>
  <c r="D5" i="9"/>
  <c r="E5" i="9"/>
  <c r="J5" i="9"/>
  <c r="R5" i="9"/>
  <c r="S5" i="9"/>
  <c r="T5" i="9"/>
  <c r="E4" i="9"/>
  <c r="F4" i="9"/>
  <c r="G4" i="9"/>
  <c r="H4" i="9"/>
  <c r="I4" i="9"/>
  <c r="P4" i="9"/>
  <c r="V4" i="9"/>
  <c r="H36" i="7"/>
  <c r="F81" i="6"/>
  <c r="I35" i="7"/>
  <c r="D81" i="6"/>
  <c r="G35" i="7"/>
  <c r="F80" i="6"/>
  <c r="I34" i="7"/>
  <c r="G34" i="7"/>
  <c r="D80" i="6"/>
  <c r="I33" i="7"/>
  <c r="F79" i="6"/>
  <c r="G33" i="7"/>
  <c r="D79" i="6"/>
  <c r="I32" i="7"/>
  <c r="F78" i="6"/>
  <c r="D78" i="6"/>
  <c r="C29" i="8"/>
  <c r="G32" i="7"/>
  <c r="I31" i="7"/>
  <c r="F77" i="6"/>
  <c r="D77" i="6"/>
  <c r="G31" i="7"/>
  <c r="F76" i="6"/>
  <c r="I30" i="7"/>
  <c r="G30" i="7"/>
  <c r="D76" i="6"/>
  <c r="I29" i="7"/>
  <c r="F75" i="6"/>
  <c r="V26" i="8"/>
  <c r="G29" i="7"/>
  <c r="D75" i="6"/>
  <c r="I28" i="7"/>
  <c r="F74" i="6"/>
  <c r="G28" i="7"/>
  <c r="D74" i="6"/>
  <c r="V25" i="8"/>
  <c r="F73" i="6"/>
  <c r="I27" i="7"/>
  <c r="D73" i="6"/>
  <c r="G27" i="7"/>
  <c r="F72" i="6"/>
  <c r="I26" i="7"/>
  <c r="D72" i="6"/>
  <c r="G26" i="7"/>
  <c r="F71" i="6"/>
  <c r="I25" i="7"/>
  <c r="D71" i="6"/>
  <c r="G25" i="7"/>
  <c r="I24" i="7"/>
  <c r="F70" i="6"/>
  <c r="D70" i="6"/>
  <c r="G24" i="7"/>
  <c r="F69" i="6"/>
  <c r="I23" i="7"/>
  <c r="D69" i="6"/>
  <c r="G23" i="7"/>
  <c r="I22" i="7"/>
  <c r="F68" i="6"/>
  <c r="D68" i="6"/>
  <c r="G22" i="7"/>
  <c r="I21" i="7"/>
  <c r="F67" i="6"/>
  <c r="D67" i="6"/>
  <c r="G21" i="7"/>
  <c r="I20" i="7"/>
  <c r="F66" i="6"/>
  <c r="D66" i="6"/>
  <c r="G20" i="7"/>
  <c r="F65" i="6"/>
  <c r="I19" i="7"/>
  <c r="D65" i="6"/>
  <c r="G19" i="7"/>
  <c r="F64" i="6"/>
  <c r="I18" i="7"/>
  <c r="G18" i="7"/>
  <c r="D64" i="6"/>
  <c r="F63" i="6"/>
  <c r="I17" i="7"/>
  <c r="G17" i="7"/>
  <c r="D63" i="6"/>
  <c r="F62" i="6"/>
  <c r="I16" i="7"/>
  <c r="G16" i="7"/>
  <c r="D62" i="6"/>
  <c r="F61" i="6"/>
  <c r="I15" i="7"/>
  <c r="G15" i="7"/>
  <c r="D61" i="6"/>
  <c r="F60" i="6"/>
  <c r="I14" i="7"/>
  <c r="D60" i="6"/>
  <c r="G14" i="7"/>
  <c r="F59" i="6"/>
  <c r="I13" i="7"/>
  <c r="D59" i="6"/>
  <c r="G13" i="7"/>
  <c r="F58" i="6"/>
  <c r="I12" i="7"/>
  <c r="G12" i="7"/>
  <c r="D58" i="6"/>
  <c r="I11" i="7"/>
  <c r="I36" i="7" s="1"/>
  <c r="E82" i="6"/>
  <c r="F57" i="6"/>
  <c r="F82" i="6" s="1"/>
  <c r="D57" i="6"/>
  <c r="D82" i="6" s="1"/>
  <c r="C82" i="6"/>
  <c r="G11" i="7"/>
  <c r="G36" i="7" s="1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72" i="6"/>
  <c r="B79" i="6"/>
  <c r="B80" i="6"/>
  <c r="B81" i="6"/>
  <c r="B78" i="6"/>
  <c r="B77" i="6"/>
  <c r="B76" i="6"/>
  <c r="B75" i="6"/>
  <c r="B74" i="6"/>
  <c r="B52" i="6"/>
  <c r="B73" i="6"/>
  <c r="B71" i="6"/>
  <c r="B70" i="6"/>
  <c r="F40" i="6"/>
  <c r="G40" i="6"/>
  <c r="B35" i="7"/>
  <c r="K40" i="6"/>
  <c r="M40" i="6"/>
  <c r="J40" i="6"/>
  <c r="L40" i="6"/>
  <c r="G39" i="6"/>
  <c r="F39" i="6"/>
  <c r="F38" i="6"/>
  <c r="G38" i="6"/>
  <c r="G37" i="6"/>
  <c r="F37" i="6"/>
  <c r="F36" i="6"/>
  <c r="G36" i="6"/>
  <c r="F35" i="6"/>
  <c r="G35" i="6"/>
  <c r="F34" i="6"/>
  <c r="G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F25" i="6"/>
  <c r="G25" i="6"/>
  <c r="F24" i="6"/>
  <c r="G24" i="6"/>
  <c r="G23" i="6"/>
  <c r="F23" i="6"/>
  <c r="G22" i="6"/>
  <c r="F22" i="6"/>
  <c r="G21" i="6"/>
  <c r="F21" i="6"/>
  <c r="G20" i="6"/>
  <c r="F20" i="6"/>
  <c r="G19" i="6"/>
  <c r="F19" i="6"/>
  <c r="F18" i="6"/>
  <c r="G18" i="6"/>
  <c r="G17" i="6"/>
  <c r="F17" i="6"/>
  <c r="F16" i="6"/>
  <c r="G16" i="6"/>
  <c r="G15" i="6"/>
  <c r="F15" i="6"/>
  <c r="F14" i="6"/>
  <c r="G14" i="6"/>
  <c r="F13" i="6"/>
  <c r="G13" i="6"/>
  <c r="F12" i="6"/>
  <c r="G12" i="6"/>
  <c r="F11" i="6"/>
  <c r="G11" i="6"/>
  <c r="AI19" i="11"/>
  <c r="AJ19" i="11" s="1"/>
  <c r="AK19" i="11" s="1"/>
  <c r="AL19" i="11" s="1"/>
  <c r="C4" i="4"/>
  <c r="N41" i="5" l="1"/>
  <c r="N42" i="5" s="1"/>
  <c r="N45" i="5" s="1"/>
  <c r="N46" i="5" s="1"/>
  <c r="G57" i="12"/>
  <c r="E38" i="13"/>
  <c r="I38" i="13" s="1"/>
  <c r="J38" i="13" s="1"/>
  <c r="H38" i="13"/>
  <c r="E37" i="13"/>
  <c r="I37" i="13" s="1"/>
  <c r="H37" i="13"/>
  <c r="H39" i="13" s="1"/>
  <c r="E34" i="13"/>
  <c r="I34" i="13" s="1"/>
  <c r="J34" i="13" s="1"/>
  <c r="H34" i="13"/>
  <c r="E33" i="13"/>
  <c r="I33" i="13" s="1"/>
  <c r="H33" i="13"/>
  <c r="H35" i="13" s="1"/>
  <c r="E30" i="13"/>
  <c r="I30" i="13" s="1"/>
  <c r="H30" i="13"/>
  <c r="E29" i="13"/>
  <c r="I29" i="13" s="1"/>
  <c r="H29" i="13"/>
  <c r="E26" i="13"/>
  <c r="I26" i="13" s="1"/>
  <c r="J26" i="13" s="1"/>
  <c r="H26" i="13"/>
  <c r="E25" i="13"/>
  <c r="I25" i="13" s="1"/>
  <c r="H25" i="13"/>
  <c r="E24" i="13"/>
  <c r="I24" i="13" s="1"/>
  <c r="H24" i="13"/>
  <c r="E23" i="13"/>
  <c r="I23" i="13" s="1"/>
  <c r="H23" i="13"/>
  <c r="E22" i="13"/>
  <c r="I22" i="13" s="1"/>
  <c r="H22" i="13"/>
  <c r="H27" i="13" s="1"/>
  <c r="E43" i="13"/>
  <c r="I43" i="13" s="1"/>
  <c r="J43" i="13" s="1"/>
  <c r="H43" i="13"/>
  <c r="E42" i="13"/>
  <c r="I42" i="13" s="1"/>
  <c r="J42" i="13" s="1"/>
  <c r="H42" i="13"/>
  <c r="E41" i="13"/>
  <c r="I41" i="13" s="1"/>
  <c r="H41" i="13"/>
  <c r="H45" i="13" s="1"/>
  <c r="E19" i="13"/>
  <c r="I19" i="13" s="1"/>
  <c r="J19" i="13" s="1"/>
  <c r="H19" i="13"/>
  <c r="E16" i="13"/>
  <c r="I16" i="13" s="1"/>
  <c r="J16" i="13" s="1"/>
  <c r="H16" i="13"/>
  <c r="E15" i="13"/>
  <c r="I15" i="13" s="1"/>
  <c r="J15" i="13" s="1"/>
  <c r="H15" i="13"/>
  <c r="E14" i="13"/>
  <c r="I14" i="13" s="1"/>
  <c r="J14" i="13" s="1"/>
  <c r="H14" i="13"/>
  <c r="E13" i="13"/>
  <c r="I13" i="13" s="1"/>
  <c r="J13" i="13" s="1"/>
  <c r="H13" i="13"/>
  <c r="E12" i="13"/>
  <c r="I12" i="13" s="1"/>
  <c r="J12" i="13" s="1"/>
  <c r="H12" i="13"/>
  <c r="E11" i="13"/>
  <c r="I11" i="13" s="1"/>
  <c r="J11" i="13" s="1"/>
  <c r="H11" i="13"/>
  <c r="E10" i="13"/>
  <c r="I10" i="13" s="1"/>
  <c r="J10" i="13" s="1"/>
  <c r="H10" i="13"/>
  <c r="E9" i="13"/>
  <c r="I9" i="13" s="1"/>
  <c r="H9" i="13"/>
  <c r="E17" i="13"/>
  <c r="I17" i="13" s="1"/>
  <c r="J17" i="13" s="1"/>
  <c r="H17" i="13"/>
  <c r="E18" i="13"/>
  <c r="I18" i="13" s="1"/>
  <c r="J18" i="13" s="1"/>
  <c r="H18" i="13"/>
  <c r="E44" i="13"/>
  <c r="I44" i="13" s="1"/>
  <c r="J44" i="13" s="1"/>
  <c r="H44" i="13"/>
  <c r="J63" i="12"/>
  <c r="I67" i="12"/>
  <c r="J67" i="12" s="1"/>
  <c r="J59" i="12"/>
  <c r="I61" i="12"/>
  <c r="J61" i="12" s="1"/>
  <c r="E56" i="12"/>
  <c r="I56" i="12" s="1"/>
  <c r="J56" i="12" s="1"/>
  <c r="H56" i="12"/>
  <c r="E55" i="12"/>
  <c r="I55" i="12" s="1"/>
  <c r="J55" i="12" s="1"/>
  <c r="H55" i="12"/>
  <c r="E54" i="12"/>
  <c r="I54" i="12" s="1"/>
  <c r="J54" i="12" s="1"/>
  <c r="H54" i="12"/>
  <c r="E53" i="12"/>
  <c r="I53" i="12" s="1"/>
  <c r="J53" i="12" s="1"/>
  <c r="H53" i="12"/>
  <c r="E52" i="12"/>
  <c r="I52" i="12" s="1"/>
  <c r="J52" i="12" s="1"/>
  <c r="H52" i="12"/>
  <c r="E51" i="12"/>
  <c r="I51" i="12" s="1"/>
  <c r="H51" i="12"/>
  <c r="E48" i="12"/>
  <c r="I48" i="12" s="1"/>
  <c r="H48" i="12"/>
  <c r="H47" i="12"/>
  <c r="E47" i="12"/>
  <c r="I47" i="12" s="1"/>
  <c r="E46" i="12"/>
  <c r="I46" i="12" s="1"/>
  <c r="H46" i="12"/>
  <c r="E45" i="12"/>
  <c r="I45" i="12" s="1"/>
  <c r="H45" i="12"/>
  <c r="E44" i="12"/>
  <c r="I44" i="12" s="1"/>
  <c r="H44" i="12"/>
  <c r="H43" i="12"/>
  <c r="E43" i="12"/>
  <c r="I43" i="12" s="1"/>
  <c r="H42" i="12"/>
  <c r="E42" i="12"/>
  <c r="I42" i="12" s="1"/>
  <c r="E41" i="12"/>
  <c r="I41" i="12" s="1"/>
  <c r="H41" i="12"/>
  <c r="E40" i="12"/>
  <c r="I40" i="12" s="1"/>
  <c r="H40" i="12"/>
  <c r="E37" i="12"/>
  <c r="I37" i="12" s="1"/>
  <c r="H37" i="12"/>
  <c r="E36" i="12"/>
  <c r="I36" i="12" s="1"/>
  <c r="H36" i="12"/>
  <c r="E35" i="12"/>
  <c r="I35" i="12" s="1"/>
  <c r="H35" i="12"/>
  <c r="E34" i="12"/>
  <c r="I34" i="12" s="1"/>
  <c r="H34" i="12"/>
  <c r="E33" i="12"/>
  <c r="I33" i="12" s="1"/>
  <c r="H33" i="12"/>
  <c r="E30" i="12"/>
  <c r="I30" i="12" s="1"/>
  <c r="J30" i="12" s="1"/>
  <c r="H30" i="12"/>
  <c r="E29" i="12"/>
  <c r="I29" i="12" s="1"/>
  <c r="J29" i="12" s="1"/>
  <c r="H29" i="12"/>
  <c r="E28" i="12"/>
  <c r="I28" i="12" s="1"/>
  <c r="J28" i="12" s="1"/>
  <c r="H28" i="12"/>
  <c r="E26" i="12"/>
  <c r="I26" i="12" s="1"/>
  <c r="H26" i="12"/>
  <c r="E25" i="12"/>
  <c r="I25" i="12" s="1"/>
  <c r="H25" i="12"/>
  <c r="J24" i="12"/>
  <c r="L24" i="12"/>
  <c r="E23" i="12"/>
  <c r="I23" i="12" s="1"/>
  <c r="H23" i="12"/>
  <c r="E22" i="12"/>
  <c r="I22" i="12" s="1"/>
  <c r="H22" i="12"/>
  <c r="E9" i="12"/>
  <c r="I9" i="12" s="1"/>
  <c r="H9" i="12"/>
  <c r="E10" i="12"/>
  <c r="I10" i="12" s="1"/>
  <c r="J10" i="12" s="1"/>
  <c r="H10" i="12"/>
  <c r="E19" i="12"/>
  <c r="I19" i="12" s="1"/>
  <c r="J19" i="12" s="1"/>
  <c r="H19" i="12"/>
  <c r="E18" i="12"/>
  <c r="I18" i="12" s="1"/>
  <c r="J18" i="12" s="1"/>
  <c r="H18" i="12"/>
  <c r="E17" i="12"/>
  <c r="I17" i="12" s="1"/>
  <c r="J17" i="12" s="1"/>
  <c r="H17" i="12"/>
  <c r="E16" i="12"/>
  <c r="I16" i="12" s="1"/>
  <c r="J16" i="12" s="1"/>
  <c r="H16" i="12"/>
  <c r="E15" i="12"/>
  <c r="I15" i="12" s="1"/>
  <c r="J15" i="12" s="1"/>
  <c r="H15" i="12"/>
  <c r="E14" i="12"/>
  <c r="I14" i="12" s="1"/>
  <c r="J14" i="12" s="1"/>
  <c r="H14" i="12"/>
  <c r="E13" i="12"/>
  <c r="I13" i="12" s="1"/>
  <c r="J13" i="12" s="1"/>
  <c r="H13" i="12"/>
  <c r="E12" i="12"/>
  <c r="I12" i="12" s="1"/>
  <c r="J12" i="12" s="1"/>
  <c r="H12" i="12"/>
  <c r="E11" i="12"/>
  <c r="I11" i="12" s="1"/>
  <c r="J11" i="12" s="1"/>
  <c r="H11" i="12"/>
  <c r="AM7" i="8"/>
  <c r="AO7" i="8" s="1"/>
  <c r="B15" i="6"/>
  <c r="B14" i="6"/>
  <c r="AM6" i="8"/>
  <c r="AO6" i="8" s="1"/>
  <c r="AM5" i="8"/>
  <c r="AO5" i="8" s="1"/>
  <c r="B13" i="6"/>
  <c r="B12" i="6"/>
  <c r="AM4" i="8"/>
  <c r="AO4" i="8" s="1"/>
  <c r="AJ3" i="8"/>
  <c r="AF3" i="8"/>
  <c r="Z3" i="8"/>
  <c r="X3" i="8"/>
  <c r="B11" i="6"/>
  <c r="AM3" i="8"/>
  <c r="AB3" i="8"/>
  <c r="M34" i="8"/>
  <c r="AH3" i="8"/>
  <c r="AL3" i="8"/>
  <c r="AE3" i="8"/>
  <c r="Y3" i="8"/>
  <c r="AI3" i="8"/>
  <c r="AD3" i="8"/>
  <c r="AA3" i="8"/>
  <c r="AC3" i="8"/>
  <c r="AG3" i="8"/>
  <c r="AK3" i="8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R34" i="9" s="1"/>
  <c r="S3" i="9"/>
  <c r="S34" i="9" s="1"/>
  <c r="T3" i="9"/>
  <c r="T34" i="9" s="1"/>
  <c r="U3" i="9"/>
  <c r="U34" i="9" s="1"/>
  <c r="V3" i="9"/>
  <c r="V34" i="9" s="1"/>
  <c r="W3" i="9"/>
  <c r="W34" i="9" s="1"/>
  <c r="B34" i="9"/>
  <c r="C31" i="8"/>
  <c r="V31" i="8"/>
  <c r="AL31" i="8"/>
  <c r="AN31" i="8" s="1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C30" i="8"/>
  <c r="AL30" i="8"/>
  <c r="AN30" i="8" s="1"/>
  <c r="AM29" i="8"/>
  <c r="AO29" i="8" s="1"/>
  <c r="B37" i="6"/>
  <c r="V28" i="8"/>
  <c r="AL28" i="8"/>
  <c r="AN28" i="8" s="1"/>
  <c r="C27" i="8"/>
  <c r="E27" i="8"/>
  <c r="F27" i="8"/>
  <c r="G27" i="8"/>
  <c r="H27" i="8"/>
  <c r="I27" i="8"/>
  <c r="V27" i="8"/>
  <c r="W27" i="8"/>
  <c r="AN27" i="8" s="1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6" i="8"/>
  <c r="AO26" i="8" s="1"/>
  <c r="B34" i="6"/>
  <c r="AM25" i="8"/>
  <c r="AO25" i="8" s="1"/>
  <c r="B33" i="6"/>
  <c r="P24" i="8"/>
  <c r="R24" i="8"/>
  <c r="K41" i="8"/>
  <c r="X23" i="8"/>
  <c r="AD23" i="8"/>
  <c r="AH23" i="8"/>
  <c r="AJ23" i="8"/>
  <c r="C23" i="8"/>
  <c r="Y23" i="8"/>
  <c r="AK23" i="8"/>
  <c r="AA23" i="8"/>
  <c r="AF23" i="8"/>
  <c r="AL23" i="8"/>
  <c r="W23" i="8"/>
  <c r="Z23" i="8"/>
  <c r="AC23" i="8"/>
  <c r="AG23" i="8"/>
  <c r="AI23" i="8"/>
  <c r="AB23" i="8"/>
  <c r="AE23" i="8"/>
  <c r="K40" i="8"/>
  <c r="V22" i="8"/>
  <c r="Z22" i="8"/>
  <c r="AE22" i="8"/>
  <c r="AH22" i="8"/>
  <c r="AK22" i="8"/>
  <c r="K43" i="8"/>
  <c r="L43" i="8"/>
  <c r="L44" i="8" s="1"/>
  <c r="T22" i="8"/>
  <c r="W22" i="8"/>
  <c r="AA22" i="8"/>
  <c r="AD22" i="8"/>
  <c r="AG22" i="8"/>
  <c r="AI22" i="8"/>
  <c r="AL22" i="8"/>
  <c r="I22" i="8"/>
  <c r="U22" i="8"/>
  <c r="X22" i="8"/>
  <c r="AB22" i="8"/>
  <c r="R22" i="8"/>
  <c r="Y22" i="8"/>
  <c r="AC22" i="8"/>
  <c r="AF22" i="8"/>
  <c r="AJ22" i="8"/>
  <c r="K21" i="8"/>
  <c r="H21" i="8"/>
  <c r="I21" i="8"/>
  <c r="W20" i="8"/>
  <c r="Z20" i="8"/>
  <c r="AE20" i="8"/>
  <c r="AH20" i="8"/>
  <c r="M20" i="8"/>
  <c r="X20" i="8"/>
  <c r="AC20" i="8"/>
  <c r="AF20" i="8"/>
  <c r="AJ20" i="8"/>
  <c r="N20" i="8"/>
  <c r="AA20" i="8"/>
  <c r="AD20" i="8"/>
  <c r="AI20" i="8"/>
  <c r="AL20" i="8"/>
  <c r="L20" i="8"/>
  <c r="Y20" i="8"/>
  <c r="AB20" i="8"/>
  <c r="AG20" i="8"/>
  <c r="AK20" i="8"/>
  <c r="W19" i="8"/>
  <c r="AA19" i="8"/>
  <c r="AD19" i="8"/>
  <c r="AG19" i="8"/>
  <c r="X19" i="8"/>
  <c r="AB19" i="8"/>
  <c r="AE19" i="8"/>
  <c r="AI19" i="8"/>
  <c r="AL19" i="8"/>
  <c r="Y19" i="8"/>
  <c r="AC19" i="8"/>
  <c r="AF19" i="8"/>
  <c r="AJ19" i="8"/>
  <c r="M19" i="8"/>
  <c r="L19" i="8"/>
  <c r="Z19" i="8"/>
  <c r="AH19" i="8"/>
  <c r="AK19" i="8"/>
  <c r="I18" i="8"/>
  <c r="M18" i="8"/>
  <c r="Q18" i="8"/>
  <c r="Q34" i="8" s="1"/>
  <c r="H18" i="8"/>
  <c r="L18" i="8"/>
  <c r="R18" i="8"/>
  <c r="C18" i="8"/>
  <c r="K18" i="8"/>
  <c r="N18" i="8"/>
  <c r="N34" i="8" s="1"/>
  <c r="P18" i="8"/>
  <c r="O17" i="8"/>
  <c r="J17" i="8"/>
  <c r="K17" i="8"/>
  <c r="I17" i="8"/>
  <c r="H16" i="8"/>
  <c r="N16" i="8"/>
  <c r="Q16" i="8"/>
  <c r="E16" i="8"/>
  <c r="I16" i="8"/>
  <c r="P16" i="8"/>
  <c r="R16" i="8"/>
  <c r="G16" i="8"/>
  <c r="L16" i="8"/>
  <c r="F16" i="8"/>
  <c r="O16" i="8"/>
  <c r="O34" i="8" s="1"/>
  <c r="I15" i="8"/>
  <c r="Z15" i="8"/>
  <c r="AE15" i="8"/>
  <c r="X15" i="8"/>
  <c r="AB15" i="8"/>
  <c r="AJ15" i="8"/>
  <c r="G15" i="8"/>
  <c r="V15" i="8"/>
  <c r="Y15" i="8"/>
  <c r="AC15" i="8"/>
  <c r="AG15" i="8"/>
  <c r="AK15" i="8"/>
  <c r="H15" i="8"/>
  <c r="AA15" i="8"/>
  <c r="AF15" i="8"/>
  <c r="AI15" i="8"/>
  <c r="AL15" i="8"/>
  <c r="F15" i="8"/>
  <c r="P15" i="8"/>
  <c r="P34" i="8" s="1"/>
  <c r="W15" i="8"/>
  <c r="AD15" i="8"/>
  <c r="AH15" i="8"/>
  <c r="D14" i="8"/>
  <c r="K14" i="8"/>
  <c r="J14" i="8"/>
  <c r="I14" i="8"/>
  <c r="L14" i="8"/>
  <c r="E13" i="8"/>
  <c r="D13" i="8"/>
  <c r="J12" i="8"/>
  <c r="I12" i="8"/>
  <c r="K12" i="8"/>
  <c r="K11" i="8"/>
  <c r="S11" i="8"/>
  <c r="F11" i="8"/>
  <c r="H11" i="8"/>
  <c r="J11" i="8"/>
  <c r="R11" i="8"/>
  <c r="I11" i="8"/>
  <c r="L11" i="8"/>
  <c r="T11" i="8"/>
  <c r="U11" i="8"/>
  <c r="G11" i="8"/>
  <c r="R10" i="8"/>
  <c r="F10" i="8"/>
  <c r="J10" i="8"/>
  <c r="T10" i="8"/>
  <c r="U10" i="8"/>
  <c r="G10" i="8"/>
  <c r="H10" i="8"/>
  <c r="I10" i="8"/>
  <c r="S10" i="8"/>
  <c r="H9" i="8"/>
  <c r="H34" i="8" s="1"/>
  <c r="S9" i="8"/>
  <c r="S34" i="8" s="1"/>
  <c r="G9" i="8"/>
  <c r="G34" i="8" s="1"/>
  <c r="L9" i="8"/>
  <c r="L34" i="8" s="1"/>
  <c r="F9" i="8"/>
  <c r="F34" i="8" s="1"/>
  <c r="J9" i="8"/>
  <c r="R9" i="8"/>
  <c r="U9" i="8"/>
  <c r="U34" i="8" s="1"/>
  <c r="I9" i="8"/>
  <c r="I34" i="8" s="1"/>
  <c r="K9" i="8"/>
  <c r="K34" i="8" s="1"/>
  <c r="T9" i="8"/>
  <c r="T34" i="8" s="1"/>
  <c r="D8" i="8"/>
  <c r="D34" i="8" s="1"/>
  <c r="J8" i="8"/>
  <c r="J34" i="8" s="1"/>
  <c r="C8" i="8"/>
  <c r="C34" i="8" s="1"/>
  <c r="E8" i="8"/>
  <c r="E34" i="8" s="1"/>
  <c r="G49" i="12"/>
  <c r="K44" i="9"/>
  <c r="V45" i="9" s="1"/>
  <c r="G14" i="1" s="1"/>
  <c r="H14" i="1" s="1"/>
  <c r="I14" i="1" s="1"/>
  <c r="B82" i="6"/>
  <c r="N53" i="5" l="1"/>
  <c r="N54" i="5"/>
  <c r="N52" i="5"/>
  <c r="B27" i="1" s="1"/>
  <c r="N50" i="5"/>
  <c r="N51" i="5"/>
  <c r="R34" i="8"/>
  <c r="AN3" i="8"/>
  <c r="AO3" i="8" s="1"/>
  <c r="H57" i="12"/>
  <c r="H49" i="12"/>
  <c r="H38" i="12"/>
  <c r="H31" i="12"/>
  <c r="H31" i="13"/>
  <c r="J37" i="13"/>
  <c r="I39" i="13"/>
  <c r="J39" i="13" s="1"/>
  <c r="J33" i="13"/>
  <c r="I35" i="13"/>
  <c r="J35" i="13" s="1"/>
  <c r="J30" i="13"/>
  <c r="L30" i="13"/>
  <c r="J29" i="13"/>
  <c r="L29" i="13"/>
  <c r="I31" i="13"/>
  <c r="J31" i="13" s="1"/>
  <c r="L25" i="13"/>
  <c r="J25" i="13"/>
  <c r="J24" i="13"/>
  <c r="L24" i="13"/>
  <c r="L23" i="13"/>
  <c r="J23" i="13"/>
  <c r="J22" i="13"/>
  <c r="L22" i="13"/>
  <c r="I27" i="13"/>
  <c r="J41" i="13"/>
  <c r="I45" i="13"/>
  <c r="J45" i="13" s="1"/>
  <c r="J9" i="13"/>
  <c r="I20" i="13"/>
  <c r="J51" i="12"/>
  <c r="I57" i="12"/>
  <c r="J57" i="12" s="1"/>
  <c r="J48" i="12"/>
  <c r="L48" i="12"/>
  <c r="J47" i="12"/>
  <c r="L47" i="12"/>
  <c r="L46" i="12"/>
  <c r="J46" i="12"/>
  <c r="L45" i="12"/>
  <c r="J45" i="12"/>
  <c r="L44" i="12"/>
  <c r="J44" i="12"/>
  <c r="J43" i="12"/>
  <c r="L43" i="12"/>
  <c r="J42" i="12"/>
  <c r="L42" i="12"/>
  <c r="J41" i="12"/>
  <c r="L41" i="12"/>
  <c r="J40" i="12"/>
  <c r="I49" i="12"/>
  <c r="J49" i="12" s="1"/>
  <c r="J37" i="12"/>
  <c r="L37" i="12"/>
  <c r="J36" i="12"/>
  <c r="L36" i="12"/>
  <c r="L35" i="12"/>
  <c r="J35" i="12"/>
  <c r="L34" i="12"/>
  <c r="J34" i="12"/>
  <c r="I38" i="12"/>
  <c r="J38" i="12" s="1"/>
  <c r="J33" i="12"/>
  <c r="L33" i="12"/>
  <c r="L26" i="12"/>
  <c r="J26" i="12"/>
  <c r="J25" i="12"/>
  <c r="L25" i="12"/>
  <c r="J23" i="12"/>
  <c r="L23" i="12"/>
  <c r="J22" i="12"/>
  <c r="L22" i="12"/>
  <c r="I31" i="12"/>
  <c r="J9" i="12"/>
  <c r="I20" i="12"/>
  <c r="M15" i="6"/>
  <c r="B10" i="7"/>
  <c r="J15" i="6"/>
  <c r="L15" i="6"/>
  <c r="K15" i="6"/>
  <c r="L14" i="6"/>
  <c r="B9" i="7"/>
  <c r="K14" i="6"/>
  <c r="J14" i="6"/>
  <c r="M14" i="6"/>
  <c r="K13" i="6"/>
  <c r="M13" i="6"/>
  <c r="B8" i="7"/>
  <c r="J13" i="6"/>
  <c r="L13" i="6"/>
  <c r="M12" i="6"/>
  <c r="K12" i="6"/>
  <c r="B7" i="7"/>
  <c r="J12" i="6"/>
  <c r="L12" i="6"/>
  <c r="O32" i="10"/>
  <c r="O6" i="11"/>
  <c r="K32" i="10"/>
  <c r="K6" i="11"/>
  <c r="E32" i="10"/>
  <c r="E6" i="11"/>
  <c r="J11" i="6"/>
  <c r="M11" i="6"/>
  <c r="L11" i="6"/>
  <c r="B6" i="7"/>
  <c r="K11" i="6"/>
  <c r="C32" i="10"/>
  <c r="C6" i="11"/>
  <c r="G32" i="10"/>
  <c r="G6" i="11"/>
  <c r="M32" i="10"/>
  <c r="M6" i="11"/>
  <c r="Q32" i="10"/>
  <c r="Q6" i="11"/>
  <c r="J32" i="10"/>
  <c r="J6" i="11"/>
  <c r="D32" i="10"/>
  <c r="D6" i="11"/>
  <c r="N32" i="10"/>
  <c r="N6" i="11"/>
  <c r="I32" i="10"/>
  <c r="I6" i="11"/>
  <c r="F32" i="10"/>
  <c r="F6" i="11"/>
  <c r="H32" i="10"/>
  <c r="H6" i="11"/>
  <c r="L32" i="10"/>
  <c r="L6" i="11"/>
  <c r="P32" i="10"/>
  <c r="P6" i="11"/>
  <c r="X3" i="9"/>
  <c r="X34" i="9" s="1"/>
  <c r="C34" i="9"/>
  <c r="Y3" i="9"/>
  <c r="Y34" i="9" s="1"/>
  <c r="D34" i="9"/>
  <c r="Z3" i="9"/>
  <c r="Z34" i="9" s="1"/>
  <c r="E34" i="9"/>
  <c r="AA3" i="9"/>
  <c r="AA34" i="9" s="1"/>
  <c r="F34" i="9"/>
  <c r="AB3" i="9"/>
  <c r="AB34" i="9" s="1"/>
  <c r="G34" i="9"/>
  <c r="AC3" i="9"/>
  <c r="AC34" i="9" s="1"/>
  <c r="H34" i="9"/>
  <c r="AD3" i="9"/>
  <c r="AD34" i="9" s="1"/>
  <c r="I34" i="9"/>
  <c r="AE3" i="9"/>
  <c r="AE34" i="9" s="1"/>
  <c r="J34" i="9"/>
  <c r="AF3" i="9"/>
  <c r="AF34" i="9" s="1"/>
  <c r="K34" i="9"/>
  <c r="AG3" i="9"/>
  <c r="AG34" i="9" s="1"/>
  <c r="L34" i="9"/>
  <c r="AH3" i="9"/>
  <c r="AH34" i="9" s="1"/>
  <c r="M34" i="9"/>
  <c r="AI3" i="9"/>
  <c r="AI34" i="9" s="1"/>
  <c r="N34" i="9"/>
  <c r="AJ3" i="9"/>
  <c r="AJ34" i="9" s="1"/>
  <c r="O34" i="9"/>
  <c r="O5" i="11" s="1"/>
  <c r="AK3" i="9"/>
  <c r="AK34" i="9" s="1"/>
  <c r="P34" i="9"/>
  <c r="AL3" i="9"/>
  <c r="AL34" i="9" s="1"/>
  <c r="Q34" i="9"/>
  <c r="AM31" i="8"/>
  <c r="AO31" i="8" s="1"/>
  <c r="B39" i="6"/>
  <c r="AM30" i="8"/>
  <c r="AO30" i="8" s="1"/>
  <c r="B38" i="6"/>
  <c r="J37" i="6"/>
  <c r="M37" i="6"/>
  <c r="K37" i="6"/>
  <c r="L37" i="6"/>
  <c r="B32" i="7"/>
  <c r="AM28" i="8"/>
  <c r="AO28" i="8" s="1"/>
  <c r="B36" i="6"/>
  <c r="AM27" i="8"/>
  <c r="AO27" i="8" s="1"/>
  <c r="B35" i="6"/>
  <c r="L34" i="6"/>
  <c r="K34" i="6"/>
  <c r="B29" i="7"/>
  <c r="J34" i="6"/>
  <c r="M34" i="6"/>
  <c r="B28" i="7"/>
  <c r="J33" i="6"/>
  <c r="K33" i="6"/>
  <c r="M33" i="6"/>
  <c r="L33" i="6"/>
  <c r="AM24" i="8"/>
  <c r="AO24" i="8" s="1"/>
  <c r="B32" i="6"/>
  <c r="B31" i="6"/>
  <c r="AM23" i="8"/>
  <c r="B30" i="6"/>
  <c r="AM22" i="8"/>
  <c r="B29" i="6"/>
  <c r="AM21" i="8"/>
  <c r="AO21" i="8" s="1"/>
  <c r="B28" i="6"/>
  <c r="AM20" i="8"/>
  <c r="B27" i="6"/>
  <c r="AM19" i="8"/>
  <c r="AM18" i="8"/>
  <c r="AO18" i="8" s="1"/>
  <c r="B26" i="6"/>
  <c r="AM17" i="8"/>
  <c r="AO17" i="8" s="1"/>
  <c r="B25" i="6"/>
  <c r="AM16" i="8"/>
  <c r="AO16" i="8" s="1"/>
  <c r="B24" i="6"/>
  <c r="AM15" i="8"/>
  <c r="B23" i="6"/>
  <c r="B22" i="6"/>
  <c r="AM14" i="8"/>
  <c r="AO14" i="8" s="1"/>
  <c r="B21" i="6"/>
  <c r="AM13" i="8"/>
  <c r="AO13" i="8" s="1"/>
  <c r="B20" i="6"/>
  <c r="AM12" i="8"/>
  <c r="AO12" i="8" s="1"/>
  <c r="B19" i="6"/>
  <c r="AM11" i="8"/>
  <c r="AO11" i="8" s="1"/>
  <c r="B18" i="6"/>
  <c r="AM10" i="8"/>
  <c r="AO10" i="8" s="1"/>
  <c r="S6" i="11"/>
  <c r="S32" i="10"/>
  <c r="B17" i="6"/>
  <c r="AM9" i="8"/>
  <c r="U6" i="11"/>
  <c r="U32" i="10"/>
  <c r="T6" i="11"/>
  <c r="T32" i="10"/>
  <c r="AM8" i="8"/>
  <c r="AO8" i="8" s="1"/>
  <c r="B16" i="6"/>
  <c r="X34" i="8"/>
  <c r="AI34" i="8"/>
  <c r="AA34" i="8"/>
  <c r="H20" i="13"/>
  <c r="H20" i="12"/>
  <c r="AH34" i="8"/>
  <c r="AE34" i="8"/>
  <c r="AC34" i="8"/>
  <c r="AJ34" i="8"/>
  <c r="AF34" i="8"/>
  <c r="AD34" i="8"/>
  <c r="AN32" i="8"/>
  <c r="AO32" i="8" s="1"/>
  <c r="Z34" i="8"/>
  <c r="AB34" i="8"/>
  <c r="AL34" i="8"/>
  <c r="Y34" i="8"/>
  <c r="AG34" i="8"/>
  <c r="AK34" i="8"/>
  <c r="AN23" i="8"/>
  <c r="K44" i="8"/>
  <c r="V45" i="8" s="1"/>
  <c r="B14" i="1" s="1"/>
  <c r="C14" i="1" s="1"/>
  <c r="D14" i="1" s="1"/>
  <c r="AN22" i="8"/>
  <c r="V34" i="8"/>
  <c r="AN20" i="8"/>
  <c r="AN19" i="8"/>
  <c r="AN15" i="8"/>
  <c r="W34" i="8"/>
  <c r="N55" i="5" l="1"/>
  <c r="B28" i="1" s="1"/>
  <c r="AO23" i="8"/>
  <c r="AO22" i="8"/>
  <c r="V35" i="8"/>
  <c r="R6" i="11"/>
  <c r="R32" i="10"/>
  <c r="AO20" i="8"/>
  <c r="AO19" i="8"/>
  <c r="AN34" i="8"/>
  <c r="AO15" i="8"/>
  <c r="B41" i="6"/>
  <c r="M8" i="13"/>
  <c r="AE10" i="11" s="1"/>
  <c r="AE15" i="11" s="1"/>
  <c r="E40" i="11" s="1"/>
  <c r="E35" i="11"/>
  <c r="J27" i="13"/>
  <c r="B48" i="13"/>
  <c r="W33" i="10" s="1"/>
  <c r="W7" i="11" s="1"/>
  <c r="D33" i="11" s="1"/>
  <c r="J20" i="13"/>
  <c r="C49" i="13"/>
  <c r="J31" i="12"/>
  <c r="B70" i="12"/>
  <c r="F33" i="10" s="1"/>
  <c r="J20" i="12"/>
  <c r="C71" i="12"/>
  <c r="C32" i="11"/>
  <c r="B34" i="7"/>
  <c r="J39" i="6"/>
  <c r="L39" i="6"/>
  <c r="K39" i="6"/>
  <c r="M39" i="6"/>
  <c r="L38" i="6"/>
  <c r="J38" i="6"/>
  <c r="B33" i="7"/>
  <c r="K38" i="6"/>
  <c r="M38" i="6"/>
  <c r="K36" i="6"/>
  <c r="M36" i="6"/>
  <c r="B31" i="7"/>
  <c r="J36" i="6"/>
  <c r="L36" i="6"/>
  <c r="L35" i="6"/>
  <c r="K35" i="6"/>
  <c r="B30" i="7"/>
  <c r="J35" i="6"/>
  <c r="M35" i="6"/>
  <c r="K32" i="6"/>
  <c r="B27" i="7"/>
  <c r="L32" i="6"/>
  <c r="J32" i="6"/>
  <c r="M32" i="6"/>
  <c r="J31" i="6"/>
  <c r="L31" i="6"/>
  <c r="K31" i="6"/>
  <c r="M31" i="6"/>
  <c r="B26" i="7"/>
  <c r="J30" i="6"/>
  <c r="L30" i="6"/>
  <c r="M30" i="6"/>
  <c r="K30" i="6"/>
  <c r="B25" i="7"/>
  <c r="K29" i="6"/>
  <c r="M29" i="6"/>
  <c r="J29" i="6"/>
  <c r="L29" i="6"/>
  <c r="B24" i="7"/>
  <c r="L28" i="6"/>
  <c r="K28" i="6"/>
  <c r="B23" i="7"/>
  <c r="J28" i="6"/>
  <c r="M28" i="6"/>
  <c r="K27" i="6"/>
  <c r="B22" i="7"/>
  <c r="J27" i="6"/>
  <c r="M27" i="6"/>
  <c r="L27" i="6"/>
  <c r="L26" i="6"/>
  <c r="J26" i="6"/>
  <c r="M26" i="6"/>
  <c r="K26" i="6"/>
  <c r="B21" i="7"/>
  <c r="K25" i="6"/>
  <c r="J25" i="6"/>
  <c r="M25" i="6"/>
  <c r="B20" i="7"/>
  <c r="L25" i="6"/>
  <c r="J24" i="6"/>
  <c r="L24" i="6"/>
  <c r="M24" i="6"/>
  <c r="K24" i="6"/>
  <c r="B19" i="7"/>
  <c r="L23" i="6"/>
  <c r="J23" i="6"/>
  <c r="B18" i="7"/>
  <c r="K23" i="6"/>
  <c r="M23" i="6"/>
  <c r="J22" i="6"/>
  <c r="M22" i="6"/>
  <c r="L22" i="6"/>
  <c r="K22" i="6"/>
  <c r="B17" i="7"/>
  <c r="K21" i="6"/>
  <c r="L21" i="6"/>
  <c r="J21" i="6"/>
  <c r="M21" i="6"/>
  <c r="B16" i="7"/>
  <c r="B15" i="7"/>
  <c r="K20" i="6"/>
  <c r="M20" i="6"/>
  <c r="J20" i="6"/>
  <c r="L20" i="6"/>
  <c r="L19" i="6"/>
  <c r="K19" i="6"/>
  <c r="J19" i="6"/>
  <c r="M19" i="6"/>
  <c r="B14" i="7"/>
  <c r="J18" i="6"/>
  <c r="M18" i="6"/>
  <c r="B13" i="7"/>
  <c r="K18" i="6"/>
  <c r="L18" i="6"/>
  <c r="J17" i="6"/>
  <c r="M17" i="6"/>
  <c r="B12" i="7"/>
  <c r="K17" i="6"/>
  <c r="L17" i="6"/>
  <c r="B11" i="7"/>
  <c r="J16" i="6"/>
  <c r="M16" i="6"/>
  <c r="L16" i="6"/>
  <c r="K16" i="6"/>
  <c r="X6" i="11"/>
  <c r="X32" i="10"/>
  <c r="AI6" i="11"/>
  <c r="AI32" i="10"/>
  <c r="AA6" i="11"/>
  <c r="AA32" i="10"/>
  <c r="AH6" i="11"/>
  <c r="AH32" i="10"/>
  <c r="AE6" i="11"/>
  <c r="AE32" i="10"/>
  <c r="AC6" i="11"/>
  <c r="AC32" i="10"/>
  <c r="AJ6" i="11"/>
  <c r="AJ32" i="10"/>
  <c r="AF6" i="11"/>
  <c r="AF32" i="10"/>
  <c r="AD6" i="11"/>
  <c r="AD32" i="10"/>
  <c r="Z6" i="11"/>
  <c r="Z32" i="10"/>
  <c r="AB6" i="11"/>
  <c r="AB32" i="10"/>
  <c r="AL6" i="11"/>
  <c r="AL32" i="10"/>
  <c r="Y6" i="11"/>
  <c r="Y32" i="10"/>
  <c r="AG6" i="11"/>
  <c r="AG32" i="10"/>
  <c r="AK6" i="11"/>
  <c r="AK32" i="10"/>
  <c r="V32" i="10"/>
  <c r="V6" i="11"/>
  <c r="W6" i="11"/>
  <c r="W32" i="10"/>
  <c r="AL35" i="8"/>
  <c r="M8" i="12"/>
  <c r="S10" i="11" s="1"/>
  <c r="AL35" i="9"/>
  <c r="V35" i="9"/>
  <c r="AO9" i="8"/>
  <c r="AM34" i="8"/>
  <c r="V37" i="8" l="1"/>
  <c r="B12" i="1"/>
  <c r="C12" i="1" s="1"/>
  <c r="AO34" i="8"/>
  <c r="B36" i="7"/>
  <c r="B42" i="6"/>
  <c r="D32" i="11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J35" i="10"/>
  <c r="AK35" i="10"/>
  <c r="AL35" i="10"/>
  <c r="F7" i="11"/>
  <c r="B13" i="1"/>
  <c r="L35" i="10"/>
  <c r="M35" i="10"/>
  <c r="M8" i="11" s="1"/>
  <c r="N35" i="10"/>
  <c r="N8" i="11" s="1"/>
  <c r="O35" i="10"/>
  <c r="P35" i="10"/>
  <c r="Q35" i="10"/>
  <c r="R35" i="10"/>
  <c r="S35" i="10"/>
  <c r="T35" i="10"/>
  <c r="U35" i="10"/>
  <c r="V35" i="10"/>
  <c r="AL37" i="8"/>
  <c r="B16" i="1"/>
  <c r="D35" i="11"/>
  <c r="C35" i="11"/>
  <c r="S15" i="11"/>
  <c r="D40" i="11" s="1"/>
  <c r="G16" i="1"/>
  <c r="AL37" i="9"/>
  <c r="G12" i="1"/>
  <c r="V37" i="9"/>
  <c r="J41" i="6"/>
  <c r="M41" i="6"/>
  <c r="L41" i="6"/>
  <c r="K41" i="6"/>
  <c r="E32" i="11"/>
  <c r="W8" i="11" l="1"/>
  <c r="W27" i="10"/>
  <c r="X27" i="10"/>
  <c r="X8" i="11"/>
  <c r="Y27" i="10"/>
  <c r="Y8" i="11"/>
  <c r="Z27" i="10"/>
  <c r="Z8" i="11"/>
  <c r="AA27" i="10"/>
  <c r="AA8" i="11"/>
  <c r="AB27" i="10"/>
  <c r="AB8" i="11"/>
  <c r="AC27" i="10"/>
  <c r="AC8" i="11"/>
  <c r="AD27" i="10"/>
  <c r="AD8" i="11"/>
  <c r="AE27" i="10"/>
  <c r="AE8" i="11"/>
  <c r="AF27" i="10"/>
  <c r="AF8" i="11"/>
  <c r="AG27" i="10"/>
  <c r="AG8" i="11"/>
  <c r="AH27" i="10"/>
  <c r="AH8" i="11"/>
  <c r="AI27" i="10"/>
  <c r="AI8" i="11"/>
  <c r="AJ27" i="10"/>
  <c r="AJ8" i="11"/>
  <c r="AK27" i="10"/>
  <c r="AK8" i="11"/>
  <c r="AL27" i="10"/>
  <c r="AL8" i="11"/>
  <c r="C33" i="11"/>
  <c r="C13" i="1"/>
  <c r="D13" i="1" s="1"/>
  <c r="G13" i="1"/>
  <c r="L8" i="11"/>
  <c r="C34" i="11" s="1"/>
  <c r="B15" i="1"/>
  <c r="G15" i="1"/>
  <c r="H15" i="1" s="1"/>
  <c r="I15" i="1" s="1"/>
  <c r="O27" i="10"/>
  <c r="O8" i="11"/>
  <c r="B17" i="1"/>
  <c r="G17" i="1"/>
  <c r="P27" i="10"/>
  <c r="P8" i="11"/>
  <c r="P11" i="11" s="1"/>
  <c r="Q27" i="10"/>
  <c r="Q8" i="11"/>
  <c r="Q11" i="11" s="1"/>
  <c r="R27" i="10"/>
  <c r="R8" i="11"/>
  <c r="S27" i="10"/>
  <c r="S8" i="11"/>
  <c r="S11" i="11" s="1"/>
  <c r="T27" i="10"/>
  <c r="T8" i="11"/>
  <c r="T11" i="11" s="1"/>
  <c r="U27" i="10"/>
  <c r="U8" i="11"/>
  <c r="U11" i="11" s="1"/>
  <c r="V27" i="10"/>
  <c r="V8" i="11"/>
  <c r="D12" i="1"/>
  <c r="C16" i="1"/>
  <c r="H16" i="1"/>
  <c r="H12" i="1"/>
  <c r="H13" i="1" l="1"/>
  <c r="G18" i="1"/>
  <c r="G6" i="1" s="1"/>
  <c r="C17" i="1"/>
  <c r="B19" i="1"/>
  <c r="B7" i="1" s="1"/>
  <c r="C7" i="1" s="1"/>
  <c r="D7" i="1" s="1"/>
  <c r="H17" i="1"/>
  <c r="G19" i="1"/>
  <c r="B18" i="1"/>
  <c r="B6" i="1" s="1"/>
  <c r="C15" i="1"/>
  <c r="O7" i="10"/>
  <c r="O11" i="11"/>
  <c r="D34" i="11"/>
  <c r="P7" i="10"/>
  <c r="P12" i="11"/>
  <c r="P13" i="11" s="1"/>
  <c r="P16" i="11" s="1"/>
  <c r="Q7" i="10"/>
  <c r="Q12" i="11"/>
  <c r="Q13" i="11" s="1"/>
  <c r="Q16" i="11" s="1"/>
  <c r="S7" i="10"/>
  <c r="S12" i="11"/>
  <c r="S13" i="11" s="1"/>
  <c r="S16" i="11" s="1"/>
  <c r="T7" i="10"/>
  <c r="T12" i="11"/>
  <c r="T13" i="11" s="1"/>
  <c r="T16" i="11" s="1"/>
  <c r="U7" i="10"/>
  <c r="U12" i="11"/>
  <c r="U13" i="11"/>
  <c r="U16" i="11" s="1"/>
  <c r="D16" i="1"/>
  <c r="I16" i="1"/>
  <c r="I12" i="1"/>
  <c r="E34" i="11"/>
  <c r="I13" i="1" l="1"/>
  <c r="I18" i="1" s="1"/>
  <c r="H18" i="1"/>
  <c r="D17" i="1"/>
  <c r="D19" i="1" s="1"/>
  <c r="C19" i="1"/>
  <c r="I17" i="1"/>
  <c r="I19" i="1" s="1"/>
  <c r="H19" i="1"/>
  <c r="G7" i="1"/>
  <c r="G20" i="1"/>
  <c r="L6" i="1"/>
  <c r="B20" i="1"/>
  <c r="C18" i="1"/>
  <c r="D15" i="1"/>
  <c r="D18" i="1" s="1"/>
  <c r="O12" i="11"/>
  <c r="O13" i="11" s="1"/>
  <c r="O16" i="11" s="1"/>
  <c r="P20" i="11"/>
  <c r="P37" i="3"/>
  <c r="Q20" i="11"/>
  <c r="Q37" i="3"/>
  <c r="S20" i="11"/>
  <c r="S37" i="3"/>
  <c r="T20" i="11"/>
  <c r="T37" i="3"/>
  <c r="U20" i="11"/>
  <c r="U37" i="3"/>
  <c r="H6" i="1"/>
  <c r="N19" i="10"/>
  <c r="R20" i="10"/>
  <c r="V21" i="10"/>
  <c r="E16" i="10"/>
  <c r="J17" i="10"/>
  <c r="L18" i="10"/>
  <c r="I20" i="1" l="1"/>
  <c r="H20" i="1"/>
  <c r="C20" i="1"/>
  <c r="D20" i="1"/>
  <c r="AH22" i="10"/>
  <c r="AH13" i="10" s="1"/>
  <c r="G8" i="1"/>
  <c r="B29" i="1" s="1"/>
  <c r="H7" i="1"/>
  <c r="L7" i="1"/>
  <c r="W22" i="10"/>
  <c r="X22" i="10"/>
  <c r="X13" i="10" s="1"/>
  <c r="Y22" i="10"/>
  <c r="Y13" i="10" s="1"/>
  <c r="Z22" i="10"/>
  <c r="Z13" i="10" s="1"/>
  <c r="AA22" i="10"/>
  <c r="AA13" i="10" s="1"/>
  <c r="AB22" i="10"/>
  <c r="AB13" i="10" s="1"/>
  <c r="AC22" i="10"/>
  <c r="AC13" i="10" s="1"/>
  <c r="AD22" i="10"/>
  <c r="AD13" i="10" s="1"/>
  <c r="AE22" i="10"/>
  <c r="AE13" i="10" s="1"/>
  <c r="AF22" i="10"/>
  <c r="AF13" i="10" s="1"/>
  <c r="AG22" i="10"/>
  <c r="AG13" i="10" s="1"/>
  <c r="AI22" i="10"/>
  <c r="AI13" i="10" s="1"/>
  <c r="AJ22" i="10"/>
  <c r="AJ13" i="10" s="1"/>
  <c r="AK22" i="10"/>
  <c r="AK13" i="10" s="1"/>
  <c r="AL22" i="10"/>
  <c r="AL13" i="10" s="1"/>
  <c r="C6" i="1"/>
  <c r="B8" i="1"/>
  <c r="O20" i="11"/>
  <c r="O37" i="3"/>
  <c r="I6" i="1"/>
  <c r="M6" i="1"/>
  <c r="G11" i="4"/>
  <c r="N13" i="10"/>
  <c r="G12" i="4"/>
  <c r="R13" i="10"/>
  <c r="G13" i="4"/>
  <c r="V13" i="10"/>
  <c r="G8" i="4"/>
  <c r="E13" i="10"/>
  <c r="G9" i="4"/>
  <c r="J13" i="10"/>
  <c r="G10" i="4"/>
  <c r="L13" i="10"/>
  <c r="AH5" i="11" l="1"/>
  <c r="AH11" i="11" s="1"/>
  <c r="AH7" i="10"/>
  <c r="W13" i="10"/>
  <c r="G14" i="4"/>
  <c r="X7" i="10"/>
  <c r="X5" i="11"/>
  <c r="X11" i="11" s="1"/>
  <c r="Y7" i="10"/>
  <c r="Y5" i="11"/>
  <c r="Y11" i="11" s="1"/>
  <c r="Z5" i="11"/>
  <c r="Z11" i="11" s="1"/>
  <c r="Z12" i="11" s="1"/>
  <c r="Z13" i="11" s="1"/>
  <c r="Z16" i="11" s="1"/>
  <c r="Z7" i="10"/>
  <c r="AA7" i="10"/>
  <c r="AA5" i="11"/>
  <c r="AB5" i="11"/>
  <c r="AB11" i="11" s="1"/>
  <c r="AB7" i="10"/>
  <c r="AC5" i="11"/>
  <c r="AC11" i="11" s="1"/>
  <c r="AC12" i="11" s="1"/>
  <c r="AC13" i="11" s="1"/>
  <c r="AC16" i="11" s="1"/>
  <c r="AC7" i="10"/>
  <c r="AD5" i="11"/>
  <c r="AD11" i="11" s="1"/>
  <c r="AD7" i="10"/>
  <c r="AE5" i="11"/>
  <c r="AE11" i="11" s="1"/>
  <c r="AE7" i="10"/>
  <c r="AF5" i="11"/>
  <c r="AF11" i="11" s="1"/>
  <c r="AF7" i="10"/>
  <c r="AG5" i="11"/>
  <c r="AG11" i="11" s="1"/>
  <c r="AG7" i="10"/>
  <c r="AI5" i="11"/>
  <c r="AI11" i="11" s="1"/>
  <c r="AI7" i="10"/>
  <c r="AJ5" i="11"/>
  <c r="AJ11" i="11" s="1"/>
  <c r="AJ7" i="10"/>
  <c r="AK5" i="11"/>
  <c r="AK11" i="11" s="1"/>
  <c r="AK7" i="10"/>
  <c r="AL7" i="10"/>
  <c r="AL5" i="11"/>
  <c r="AL11" i="11" s="1"/>
  <c r="I7" i="1"/>
  <c r="I8" i="1" s="1"/>
  <c r="H8" i="1"/>
  <c r="M7" i="1"/>
  <c r="L8" i="1"/>
  <c r="L9" i="1" s="1"/>
  <c r="D6" i="1"/>
  <c r="D8" i="1" s="1"/>
  <c r="C8" i="1"/>
  <c r="B30" i="1"/>
  <c r="F4" i="4"/>
  <c r="B20" i="4" s="1"/>
  <c r="B23" i="10"/>
  <c r="B14" i="11"/>
  <c r="B50" i="11"/>
  <c r="H31" i="11" s="1"/>
  <c r="N6" i="1"/>
  <c r="H11" i="4"/>
  <c r="I11" i="4" s="1"/>
  <c r="K11" i="4"/>
  <c r="L11" i="4"/>
  <c r="N5" i="11"/>
  <c r="H12" i="4"/>
  <c r="I12" i="4" s="1"/>
  <c r="K12" i="4"/>
  <c r="L12" i="4"/>
  <c r="R5" i="11"/>
  <c r="R7" i="10"/>
  <c r="H13" i="4"/>
  <c r="I13" i="4" s="1"/>
  <c r="K13" i="4"/>
  <c r="L13" i="4"/>
  <c r="V5" i="11"/>
  <c r="V11" i="11" s="1"/>
  <c r="V7" i="10"/>
  <c r="H8" i="4"/>
  <c r="I8" i="4" s="1"/>
  <c r="K8" i="4"/>
  <c r="L8" i="4"/>
  <c r="E5" i="11"/>
  <c r="H9" i="4"/>
  <c r="I9" i="4" s="1"/>
  <c r="K9" i="4"/>
  <c r="L9" i="4"/>
  <c r="J5" i="11"/>
  <c r="H10" i="4"/>
  <c r="I10" i="4" s="1"/>
  <c r="K10" i="4"/>
  <c r="L10" i="4"/>
  <c r="L5" i="11"/>
  <c r="N7" i="1" l="1"/>
  <c r="N8" i="1" s="1"/>
  <c r="N9" i="1" s="1"/>
  <c r="M8" i="1"/>
  <c r="M9" i="1" s="1"/>
  <c r="AH12" i="11"/>
  <c r="AH13" i="11" s="1"/>
  <c r="AH16" i="11" s="1"/>
  <c r="W7" i="10"/>
  <c r="W5" i="11"/>
  <c r="L14" i="4"/>
  <c r="K14" i="4"/>
  <c r="H14" i="4"/>
  <c r="I14" i="4" s="1"/>
  <c r="X12" i="11"/>
  <c r="X13" i="11" s="1"/>
  <c r="X16" i="11" s="1"/>
  <c r="Y12" i="11"/>
  <c r="Y13" i="11" s="1"/>
  <c r="Y16" i="11" s="1"/>
  <c r="E31" i="11"/>
  <c r="E36" i="11" s="1"/>
  <c r="AA11" i="11"/>
  <c r="AB12" i="11"/>
  <c r="AB13" i="11" s="1"/>
  <c r="AB16" i="11" s="1"/>
  <c r="AD12" i="11"/>
  <c r="AD13" i="11" s="1"/>
  <c r="AD16" i="11" s="1"/>
  <c r="AE12" i="11"/>
  <c r="AE13" i="11" s="1"/>
  <c r="AE16" i="11" s="1"/>
  <c r="AF12" i="11"/>
  <c r="AF13" i="11" s="1"/>
  <c r="AF16" i="11" s="1"/>
  <c r="AG12" i="11"/>
  <c r="AG13" i="11" s="1"/>
  <c r="AG16" i="11" s="1"/>
  <c r="AI12" i="11"/>
  <c r="AI13" i="11" s="1"/>
  <c r="AI16" i="11" s="1"/>
  <c r="AJ12" i="11"/>
  <c r="AJ13" i="11" s="1"/>
  <c r="AJ16" i="11" s="1"/>
  <c r="AK12" i="11"/>
  <c r="AK13" i="11" s="1"/>
  <c r="AK16" i="11" s="1"/>
  <c r="AL12" i="11"/>
  <c r="AL13" i="11" s="1"/>
  <c r="Z20" i="11"/>
  <c r="Z37" i="3"/>
  <c r="AC20" i="11"/>
  <c r="AC37" i="3"/>
  <c r="B31" i="10"/>
  <c r="B27" i="10" s="1"/>
  <c r="B28" i="10" s="1"/>
  <c r="B35" i="3" s="1"/>
  <c r="AL14" i="11"/>
  <c r="H4" i="4"/>
  <c r="G4" i="4" s="1"/>
  <c r="G15" i="4"/>
  <c r="B13" i="10"/>
  <c r="H32" i="11"/>
  <c r="I32" i="11"/>
  <c r="J32" i="11"/>
  <c r="H33" i="11"/>
  <c r="H36" i="11" s="1"/>
  <c r="R11" i="11"/>
  <c r="V12" i="11"/>
  <c r="V13" i="11" s="1"/>
  <c r="V16" i="11" s="1"/>
  <c r="C31" i="11"/>
  <c r="C36" i="11" s="1"/>
  <c r="AL16" i="11" l="1"/>
  <c r="AH37" i="3"/>
  <c r="AH20" i="11"/>
  <c r="X37" i="3"/>
  <c r="X20" i="11"/>
  <c r="Y37" i="3"/>
  <c r="Y20" i="11"/>
  <c r="E37" i="11"/>
  <c r="E38" i="11" s="1"/>
  <c r="AA12" i="11"/>
  <c r="AA13" i="11" s="1"/>
  <c r="AA16" i="11" s="1"/>
  <c r="AB37" i="3"/>
  <c r="AB20" i="11"/>
  <c r="AD37" i="3"/>
  <c r="AD20" i="11"/>
  <c r="AE37" i="3"/>
  <c r="AE20" i="11"/>
  <c r="AF37" i="3"/>
  <c r="AF20" i="11"/>
  <c r="AG37" i="3"/>
  <c r="AG20" i="11"/>
  <c r="AI20" i="11"/>
  <c r="AI37" i="3"/>
  <c r="AJ37" i="3"/>
  <c r="AJ20" i="11"/>
  <c r="AK20" i="11"/>
  <c r="AK37" i="3"/>
  <c r="W11" i="11"/>
  <c r="W12" i="11" s="1"/>
  <c r="W13" i="11" s="1"/>
  <c r="W16" i="11" s="1"/>
  <c r="D31" i="11"/>
  <c r="D36" i="11" s="1"/>
  <c r="D37" i="11" s="1"/>
  <c r="D38" i="11" s="1"/>
  <c r="D41" i="11" s="1"/>
  <c r="D45" i="11" s="1"/>
  <c r="H34" i="11"/>
  <c r="C20" i="4"/>
  <c r="C9" i="11" s="1"/>
  <c r="C31" i="10" s="1"/>
  <c r="D20" i="4"/>
  <c r="H20" i="4" s="1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40" i="4"/>
  <c r="C42" i="4"/>
  <c r="C43" i="4"/>
  <c r="C41" i="4"/>
  <c r="C38" i="4"/>
  <c r="C39" i="4"/>
  <c r="K15" i="4"/>
  <c r="L15" i="4"/>
  <c r="B5" i="11"/>
  <c r="B14" i="10"/>
  <c r="C14" i="10" s="1"/>
  <c r="D14" i="10" s="1"/>
  <c r="E14" i="10" s="1"/>
  <c r="F14" i="10" s="1"/>
  <c r="G14" i="10" s="1"/>
  <c r="H14" i="10" s="1"/>
  <c r="I14" i="10" s="1"/>
  <c r="J14" i="10" s="1"/>
  <c r="K14" i="10" s="1"/>
  <c r="L14" i="10" s="1"/>
  <c r="M14" i="10" s="1"/>
  <c r="N14" i="10" s="1"/>
  <c r="O14" i="10" s="1"/>
  <c r="P14" i="10" s="1"/>
  <c r="Q14" i="10" s="1"/>
  <c r="R14" i="10" s="1"/>
  <c r="S14" i="10" s="1"/>
  <c r="T14" i="10" s="1"/>
  <c r="U14" i="10" s="1"/>
  <c r="V14" i="10" s="1"/>
  <c r="W14" i="10" s="1"/>
  <c r="X14" i="10" s="1"/>
  <c r="Y14" i="10" s="1"/>
  <c r="Z14" i="10" s="1"/>
  <c r="AA14" i="10" s="1"/>
  <c r="AB14" i="10" s="1"/>
  <c r="AC14" i="10" s="1"/>
  <c r="AD14" i="10" s="1"/>
  <c r="AE14" i="10" s="1"/>
  <c r="AF14" i="10" s="1"/>
  <c r="AG14" i="10" s="1"/>
  <c r="AH14" i="10" s="1"/>
  <c r="AI14" i="10" s="1"/>
  <c r="AJ14" i="10" s="1"/>
  <c r="AK14" i="10" s="1"/>
  <c r="AL14" i="10" s="1"/>
  <c r="B7" i="10"/>
  <c r="B8" i="10" s="1"/>
  <c r="H37" i="11"/>
  <c r="R12" i="11"/>
  <c r="R13" i="11" s="1"/>
  <c r="R16" i="11" s="1"/>
  <c r="V20" i="11"/>
  <c r="V37" i="3"/>
  <c r="C37" i="11"/>
  <c r="C38" i="11" s="1"/>
  <c r="C41" i="11" s="1"/>
  <c r="C45" i="11" s="1"/>
  <c r="AL37" i="3" l="1"/>
  <c r="AL20" i="11"/>
  <c r="AA37" i="3"/>
  <c r="AA20" i="11"/>
  <c r="W20" i="11"/>
  <c r="W37" i="3"/>
  <c r="I31" i="11"/>
  <c r="I33" i="11" s="1"/>
  <c r="H38" i="11"/>
  <c r="H39" i="11" s="1"/>
  <c r="E20" i="4"/>
  <c r="D9" i="11"/>
  <c r="E9" i="11"/>
  <c r="F9" i="11"/>
  <c r="G9" i="11"/>
  <c r="H9" i="11"/>
  <c r="I9" i="11"/>
  <c r="J9" i="11"/>
  <c r="K9" i="11"/>
  <c r="L9" i="11"/>
  <c r="M9" i="11"/>
  <c r="N9" i="11"/>
  <c r="I20" i="4"/>
  <c r="J20" i="4" s="1"/>
  <c r="B16" i="11"/>
  <c r="B34" i="3"/>
  <c r="C34" i="3" s="1"/>
  <c r="D34" i="3" s="1"/>
  <c r="E34" i="3" s="1"/>
  <c r="F34" i="3" s="1"/>
  <c r="G34" i="3" s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R20" i="11"/>
  <c r="R37" i="3"/>
  <c r="B21" i="4" l="1"/>
  <c r="K20" i="4"/>
  <c r="L20" i="4" s="1"/>
  <c r="C11" i="11"/>
  <c r="C27" i="10"/>
  <c r="C7" i="10" s="1"/>
  <c r="D11" i="11"/>
  <c r="D31" i="10"/>
  <c r="D27" i="10" s="1"/>
  <c r="E11" i="11"/>
  <c r="E31" i="10"/>
  <c r="E27" i="10" s="1"/>
  <c r="F11" i="11"/>
  <c r="F31" i="10"/>
  <c r="F27" i="10" s="1"/>
  <c r="G11" i="11"/>
  <c r="G31" i="10"/>
  <c r="G27" i="10" s="1"/>
  <c r="H11" i="11"/>
  <c r="H31" i="10"/>
  <c r="H27" i="10" s="1"/>
  <c r="I11" i="11"/>
  <c r="I31" i="10"/>
  <c r="I27" i="10" s="1"/>
  <c r="J11" i="11"/>
  <c r="J31" i="10"/>
  <c r="J27" i="10" s="1"/>
  <c r="K11" i="11"/>
  <c r="K31" i="10"/>
  <c r="K27" i="10" s="1"/>
  <c r="L11" i="11"/>
  <c r="L31" i="10"/>
  <c r="L27" i="10" s="1"/>
  <c r="M11" i="11"/>
  <c r="M31" i="10"/>
  <c r="M27" i="10" s="1"/>
  <c r="N11" i="11"/>
  <c r="N31" i="10"/>
  <c r="N27" i="10" s="1"/>
  <c r="B20" i="11"/>
  <c r="B21" i="11"/>
  <c r="B39" i="11"/>
  <c r="B41" i="11" s="1"/>
  <c r="E39" i="11"/>
  <c r="E41" i="11" s="1"/>
  <c r="E45" i="11" s="1"/>
  <c r="B37" i="3"/>
  <c r="I34" i="11"/>
  <c r="I36" i="11"/>
  <c r="D21" i="4" l="1"/>
  <c r="C12" i="11"/>
  <c r="C13" i="11" s="1"/>
  <c r="C16" i="11" s="1"/>
  <c r="C28" i="10"/>
  <c r="C8" i="10"/>
  <c r="D12" i="11"/>
  <c r="D13" i="11" s="1"/>
  <c r="D16" i="11" s="1"/>
  <c r="D7" i="10"/>
  <c r="E12" i="11"/>
  <c r="E13" i="11" s="1"/>
  <c r="E16" i="11" s="1"/>
  <c r="E7" i="10"/>
  <c r="F12" i="11"/>
  <c r="F13" i="11" s="1"/>
  <c r="F16" i="11" s="1"/>
  <c r="F7" i="10"/>
  <c r="G12" i="11"/>
  <c r="G13" i="11" s="1"/>
  <c r="G16" i="11" s="1"/>
  <c r="G7" i="10"/>
  <c r="H12" i="11"/>
  <c r="H13" i="11" s="1"/>
  <c r="H16" i="11" s="1"/>
  <c r="H7" i="10"/>
  <c r="I12" i="11"/>
  <c r="I13" i="11" s="1"/>
  <c r="I16" i="11" s="1"/>
  <c r="I7" i="10"/>
  <c r="J12" i="11"/>
  <c r="J13" i="11" s="1"/>
  <c r="J16" i="11" s="1"/>
  <c r="J7" i="10"/>
  <c r="K12" i="11"/>
  <c r="K13" i="11" s="1"/>
  <c r="K16" i="11" s="1"/>
  <c r="K7" i="10"/>
  <c r="L12" i="11"/>
  <c r="L13" i="11" s="1"/>
  <c r="L16" i="11" s="1"/>
  <c r="L7" i="10"/>
  <c r="M12" i="11"/>
  <c r="M13" i="11" s="1"/>
  <c r="M16" i="11" s="1"/>
  <c r="M7" i="10"/>
  <c r="N12" i="11"/>
  <c r="N13" i="11" s="1"/>
  <c r="N16" i="11" s="1"/>
  <c r="N7" i="10"/>
  <c r="B46" i="11"/>
  <c r="C46" i="11" s="1"/>
  <c r="D46" i="11" s="1"/>
  <c r="E46" i="11" s="1"/>
  <c r="B52" i="11" s="1"/>
  <c r="B38" i="3"/>
  <c r="J31" i="11"/>
  <c r="J33" i="11" s="1"/>
  <c r="I38" i="11"/>
  <c r="I37" i="11"/>
  <c r="I39" i="11" s="1"/>
  <c r="D8" i="10" l="1"/>
  <c r="E8" i="10" s="1"/>
  <c r="F8" i="10" s="1"/>
  <c r="G8" i="10" s="1"/>
  <c r="H8" i="10" s="1"/>
  <c r="I8" i="10" s="1"/>
  <c r="J8" i="10" s="1"/>
  <c r="K8" i="10" s="1"/>
  <c r="L8" i="10" s="1"/>
  <c r="M8" i="10" s="1"/>
  <c r="N8" i="10" s="1"/>
  <c r="O8" i="10" s="1"/>
  <c r="P8" i="10" s="1"/>
  <c r="Q8" i="10" s="1"/>
  <c r="R8" i="10" s="1"/>
  <c r="S8" i="10" s="1"/>
  <c r="T8" i="10" s="1"/>
  <c r="U8" i="10" s="1"/>
  <c r="V8" i="10" s="1"/>
  <c r="W8" i="10" s="1"/>
  <c r="X8" i="10" s="1"/>
  <c r="Y8" i="10" s="1"/>
  <c r="Z8" i="10" s="1"/>
  <c r="AA8" i="10" s="1"/>
  <c r="AB8" i="10" s="1"/>
  <c r="AC8" i="10" s="1"/>
  <c r="AD8" i="10" s="1"/>
  <c r="AE8" i="10" s="1"/>
  <c r="AF8" i="10" s="1"/>
  <c r="AG8" i="10" s="1"/>
  <c r="AH8" i="10" s="1"/>
  <c r="AI8" i="10" s="1"/>
  <c r="AJ8" i="10" s="1"/>
  <c r="AK8" i="10" s="1"/>
  <c r="AL8" i="10" s="1"/>
  <c r="E21" i="4"/>
  <c r="H21" i="4"/>
  <c r="C20" i="11"/>
  <c r="C21" i="11" s="1"/>
  <c r="C38" i="3" s="1"/>
  <c r="B26" i="11"/>
  <c r="G22" i="1" s="1"/>
  <c r="C37" i="3"/>
  <c r="D20" i="11"/>
  <c r="D37" i="3"/>
  <c r="E20" i="11"/>
  <c r="E37" i="3"/>
  <c r="F20" i="11"/>
  <c r="F37" i="3"/>
  <c r="G20" i="11"/>
  <c r="G37" i="3"/>
  <c r="H20" i="11"/>
  <c r="H37" i="3"/>
  <c r="I20" i="11"/>
  <c r="I37" i="3"/>
  <c r="J20" i="11"/>
  <c r="J37" i="3"/>
  <c r="K20" i="11"/>
  <c r="K37" i="3"/>
  <c r="L20" i="11"/>
  <c r="L37" i="3"/>
  <c r="M20" i="11"/>
  <c r="M37" i="3"/>
  <c r="N20" i="11"/>
  <c r="N37" i="3"/>
  <c r="J36" i="11"/>
  <c r="J34" i="11"/>
  <c r="J38" i="11" s="1"/>
  <c r="C35" i="3"/>
  <c r="D28" i="10"/>
  <c r="B42" i="3" l="1"/>
  <c r="D21" i="11"/>
  <c r="B22" i="4"/>
  <c r="K21" i="4"/>
  <c r="I21" i="4"/>
  <c r="J21" i="4" s="1"/>
  <c r="J37" i="11"/>
  <c r="J39" i="11" s="1"/>
  <c r="B53" i="11" s="1" a="1"/>
  <c r="B53" i="11" s="1"/>
  <c r="B54" i="11" s="1"/>
  <c r="E28" i="10"/>
  <c r="D35" i="3"/>
  <c r="D38" i="3" l="1"/>
  <c r="E21" i="11"/>
  <c r="D22" i="4"/>
  <c r="F28" i="10"/>
  <c r="E35" i="3"/>
  <c r="L21" i="4"/>
  <c r="F21" i="11" l="1"/>
  <c r="E38" i="3"/>
  <c r="E22" i="4"/>
  <c r="H22" i="4"/>
  <c r="G28" i="10"/>
  <c r="F35" i="3"/>
  <c r="F38" i="3" l="1"/>
  <c r="G21" i="11"/>
  <c r="B23" i="4"/>
  <c r="K22" i="4"/>
  <c r="I22" i="4"/>
  <c r="J22" i="4" s="1"/>
  <c r="H28" i="10"/>
  <c r="G35" i="3"/>
  <c r="H21" i="11" l="1"/>
  <c r="G38" i="3"/>
  <c r="D23" i="4"/>
  <c r="I28" i="10"/>
  <c r="H35" i="3"/>
  <c r="L22" i="4"/>
  <c r="I21" i="11" l="1"/>
  <c r="H38" i="3"/>
  <c r="E23" i="4"/>
  <c r="H23" i="4"/>
  <c r="J28" i="10"/>
  <c r="I35" i="3"/>
  <c r="J21" i="11" l="1"/>
  <c r="I38" i="3"/>
  <c r="B24" i="4"/>
  <c r="K23" i="4"/>
  <c r="I23" i="4"/>
  <c r="J23" i="4" s="1"/>
  <c r="K28" i="10"/>
  <c r="J35" i="3"/>
  <c r="J38" i="3" l="1"/>
  <c r="K21" i="11"/>
  <c r="D24" i="4"/>
  <c r="L28" i="10"/>
  <c r="K35" i="3"/>
  <c r="L23" i="4"/>
  <c r="L21" i="11" l="1"/>
  <c r="K38" i="3"/>
  <c r="E24" i="4"/>
  <c r="H24" i="4"/>
  <c r="M28" i="10"/>
  <c r="L35" i="3"/>
  <c r="M21" i="11" l="1"/>
  <c r="L38" i="3"/>
  <c r="B25" i="4"/>
  <c r="K24" i="4"/>
  <c r="I24" i="4"/>
  <c r="J24" i="4" s="1"/>
  <c r="N28" i="10"/>
  <c r="M35" i="3"/>
  <c r="N21" i="11" l="1"/>
  <c r="M38" i="3"/>
  <c r="D25" i="4"/>
  <c r="N35" i="3"/>
  <c r="O28" i="10"/>
  <c r="L24" i="4"/>
  <c r="N38" i="3" l="1"/>
  <c r="O21" i="11"/>
  <c r="E25" i="4"/>
  <c r="H25" i="4"/>
  <c r="P28" i="10"/>
  <c r="O35" i="3"/>
  <c r="P21" i="11" l="1"/>
  <c r="O38" i="3"/>
  <c r="B26" i="4"/>
  <c r="K25" i="4"/>
  <c r="I25" i="4"/>
  <c r="J25" i="4" s="1"/>
  <c r="Q28" i="10"/>
  <c r="P35" i="3"/>
  <c r="Q21" i="11" l="1"/>
  <c r="P38" i="3"/>
  <c r="D26" i="4"/>
  <c r="Q35" i="3"/>
  <c r="R28" i="10"/>
  <c r="L25" i="4"/>
  <c r="R21" i="11" l="1"/>
  <c r="Q38" i="3"/>
  <c r="E26" i="4"/>
  <c r="H26" i="4"/>
  <c r="S28" i="10"/>
  <c r="R35" i="3"/>
  <c r="R38" i="3" l="1"/>
  <c r="S21" i="11"/>
  <c r="B27" i="4"/>
  <c r="K26" i="4"/>
  <c r="I26" i="4"/>
  <c r="J26" i="4" s="1"/>
  <c r="T28" i="10"/>
  <c r="S35" i="3"/>
  <c r="T21" i="11" l="1"/>
  <c r="S38" i="3"/>
  <c r="D27" i="4"/>
  <c r="U28" i="10"/>
  <c r="T35" i="3"/>
  <c r="L26" i="4"/>
  <c r="U21" i="11" l="1"/>
  <c r="T38" i="3"/>
  <c r="E27" i="4"/>
  <c r="H27" i="4"/>
  <c r="U35" i="3"/>
  <c r="V28" i="10"/>
  <c r="U38" i="3" l="1"/>
  <c r="V21" i="11"/>
  <c r="B28" i="4"/>
  <c r="K27" i="4"/>
  <c r="I27" i="4"/>
  <c r="J27" i="4" s="1"/>
  <c r="V35" i="3"/>
  <c r="W28" i="10"/>
  <c r="V38" i="3" l="1"/>
  <c r="W21" i="11"/>
  <c r="L27" i="4"/>
  <c r="D28" i="4"/>
  <c r="X28" i="10"/>
  <c r="W35" i="3"/>
  <c r="W38" i="3" l="1"/>
  <c r="X21" i="11"/>
  <c r="E28" i="4"/>
  <c r="H28" i="4"/>
  <c r="Y28" i="10"/>
  <c r="X35" i="3"/>
  <c r="Y21" i="11" l="1"/>
  <c r="X38" i="3"/>
  <c r="B29" i="4"/>
  <c r="K28" i="4"/>
  <c r="I28" i="4"/>
  <c r="J28" i="4" s="1"/>
  <c r="Z28" i="10"/>
  <c r="Y35" i="3"/>
  <c r="Z21" i="11" l="1"/>
  <c r="Y38" i="3"/>
  <c r="L28" i="4"/>
  <c r="D29" i="4"/>
  <c r="AA28" i="10"/>
  <c r="Z35" i="3"/>
  <c r="AA21" i="11" l="1"/>
  <c r="Z38" i="3"/>
  <c r="E29" i="4"/>
  <c r="H29" i="4"/>
  <c r="AB28" i="10"/>
  <c r="AA35" i="3"/>
  <c r="AB21" i="11" l="1"/>
  <c r="AA38" i="3"/>
  <c r="B30" i="4"/>
  <c r="K29" i="4"/>
  <c r="I29" i="4"/>
  <c r="J29" i="4" s="1"/>
  <c r="AC28" i="10"/>
  <c r="AB35" i="3"/>
  <c r="AC21" i="11" l="1"/>
  <c r="AB38" i="3"/>
  <c r="L29" i="4"/>
  <c r="D30" i="4"/>
  <c r="AD28" i="10"/>
  <c r="AC35" i="3"/>
  <c r="AD21" i="11" l="1"/>
  <c r="AC38" i="3"/>
  <c r="E30" i="4"/>
  <c r="H30" i="4"/>
  <c r="AE28" i="10"/>
  <c r="AD35" i="3"/>
  <c r="AE21" i="11" l="1"/>
  <c r="AD38" i="3"/>
  <c r="B31" i="4"/>
  <c r="K30" i="4"/>
  <c r="I30" i="4"/>
  <c r="J30" i="4" s="1"/>
  <c r="AF28" i="10"/>
  <c r="AE35" i="3"/>
  <c r="AF21" i="11" l="1"/>
  <c r="AE38" i="3"/>
  <c r="D31" i="4"/>
  <c r="AG28" i="10"/>
  <c r="AF35" i="3"/>
  <c r="L30" i="4"/>
  <c r="AG21" i="11" l="1"/>
  <c r="AF38" i="3"/>
  <c r="E31" i="4"/>
  <c r="H31" i="4"/>
  <c r="AH28" i="10"/>
  <c r="AG35" i="3"/>
  <c r="AH21" i="11" l="1"/>
  <c r="AG38" i="3"/>
  <c r="B32" i="4"/>
  <c r="K31" i="4"/>
  <c r="I31" i="4"/>
  <c r="J31" i="4" s="1"/>
  <c r="AI28" i="10"/>
  <c r="AH35" i="3"/>
  <c r="AI21" i="11" l="1"/>
  <c r="AH38" i="3"/>
  <c r="D32" i="4"/>
  <c r="AJ28" i="10"/>
  <c r="AI35" i="3"/>
  <c r="L31" i="4"/>
  <c r="B14" i="4" s="1" a="1"/>
  <c r="B14" i="4" s="1"/>
  <c r="B24" i="11" s="1"/>
  <c r="AI38" i="3" l="1"/>
  <c r="AJ21" i="11"/>
  <c r="E32" i="4"/>
  <c r="H32" i="4"/>
  <c r="AK28" i="10"/>
  <c r="AJ35" i="3"/>
  <c r="B40" i="3" l="1" a="1"/>
  <c r="B40" i="3" s="1"/>
  <c r="C40" i="3" a="1"/>
  <c r="C40" i="3" s="1"/>
  <c r="AK21" i="11"/>
  <c r="AJ38" i="3"/>
  <c r="B33" i="4"/>
  <c r="K32" i="4"/>
  <c r="I32" i="4"/>
  <c r="J32" i="4" s="1"/>
  <c r="AL28" i="10"/>
  <c r="AL35" i="3" s="1"/>
  <c r="AK35" i="3"/>
  <c r="AL21" i="11" l="1"/>
  <c r="AK38" i="3"/>
  <c r="C41" i="3" s="1" a="1"/>
  <c r="C41" i="3" s="1"/>
  <c r="D33" i="4"/>
  <c r="L32" i="4"/>
  <c r="B23" i="11" l="1"/>
  <c r="AL38" i="3"/>
  <c r="B41" i="3" s="1" a="1"/>
  <c r="B41" i="3" s="1"/>
  <c r="E33" i="4"/>
  <c r="H33" i="4"/>
  <c r="B25" i="11" l="1"/>
  <c r="G21" i="1"/>
  <c r="B34" i="4"/>
  <c r="K33" i="4"/>
  <c r="I33" i="4"/>
  <c r="J33" i="4" s="1"/>
  <c r="L33" i="4" l="1"/>
  <c r="D34" i="4"/>
  <c r="E34" i="4" l="1"/>
  <c r="H34" i="4"/>
  <c r="B35" i="4" l="1"/>
  <c r="K34" i="4"/>
  <c r="I34" i="4"/>
  <c r="J34" i="4" s="1"/>
  <c r="L34" i="4" l="1"/>
  <c r="D35" i="4"/>
  <c r="E35" i="4" l="1"/>
  <c r="H35" i="4"/>
  <c r="B36" i="4" l="1"/>
  <c r="K35" i="4"/>
  <c r="I35" i="4"/>
  <c r="J35" i="4" s="1"/>
  <c r="D36" i="4" l="1"/>
  <c r="L35" i="4"/>
  <c r="E36" i="4" l="1"/>
  <c r="H36" i="4"/>
  <c r="B37" i="4" l="1"/>
  <c r="K36" i="4"/>
  <c r="I36" i="4"/>
  <c r="J36" i="4" s="1"/>
  <c r="D37" i="4" l="1"/>
  <c r="L36" i="4"/>
  <c r="E37" i="4" l="1"/>
  <c r="H37" i="4"/>
  <c r="B38" i="4" l="1"/>
  <c r="K37" i="4"/>
  <c r="I37" i="4"/>
  <c r="J37" i="4" s="1"/>
  <c r="D38" i="4" l="1"/>
  <c r="L37" i="4"/>
  <c r="E38" i="4" l="1"/>
  <c r="H38" i="4"/>
  <c r="B39" i="4" l="1"/>
  <c r="K38" i="4"/>
  <c r="I38" i="4"/>
  <c r="J38" i="4" s="1"/>
  <c r="D39" i="4" l="1"/>
  <c r="L38" i="4"/>
  <c r="E39" i="4" l="1"/>
  <c r="H39" i="4"/>
  <c r="B40" i="4" l="1"/>
  <c r="K39" i="4"/>
  <c r="I39" i="4"/>
  <c r="J39" i="4" s="1"/>
  <c r="D40" i="4" l="1"/>
  <c r="L39" i="4"/>
  <c r="E40" i="4" l="1"/>
  <c r="H40" i="4"/>
  <c r="B41" i="4" l="1"/>
  <c r="K40" i="4"/>
  <c r="I40" i="4"/>
  <c r="J40" i="4" s="1"/>
  <c r="D41" i="4" l="1"/>
  <c r="L40" i="4"/>
  <c r="E41" i="4" l="1"/>
  <c r="H41" i="4"/>
  <c r="B42" i="4" l="1"/>
  <c r="K41" i="4"/>
  <c r="I41" i="4"/>
  <c r="J41" i="4" s="1"/>
  <c r="D42" i="4" l="1"/>
  <c r="L41" i="4"/>
  <c r="E42" i="4" l="1"/>
  <c r="H42" i="4"/>
  <c r="B43" i="4" l="1"/>
  <c r="D43" i="4" s="1"/>
  <c r="K42" i="4"/>
  <c r="I42" i="4"/>
  <c r="J42" i="4" s="1"/>
  <c r="H43" i="4" l="1"/>
  <c r="E43" i="4"/>
  <c r="K43" i="4" s="1"/>
  <c r="L42" i="4"/>
  <c r="I43" i="4" l="1"/>
  <c r="J43" i="4" s="1"/>
  <c r="L43" i="4" s="1"/>
</calcChain>
</file>

<file path=xl/sharedStrings.xml><?xml version="1.0" encoding="utf-8"?>
<sst xmlns="http://schemas.openxmlformats.org/spreadsheetml/2006/main" count="657" uniqueCount="412">
  <si>
    <t>Resumen</t>
  </si>
  <si>
    <t>Costo de proyecto total Cliente (Sin IVA)</t>
  </si>
  <si>
    <t>Tarifa de proyecto total Empresa</t>
  </si>
  <si>
    <t>Margen / Utilidad</t>
  </si>
  <si>
    <t>UF</t>
  </si>
  <si>
    <t>CLP</t>
  </si>
  <si>
    <t>USD</t>
  </si>
  <si>
    <t>Total en Implementación</t>
  </si>
  <si>
    <t>Total en Soporte</t>
  </si>
  <si>
    <t>Total en Proyecto</t>
  </si>
  <si>
    <t>Rentabilidad Nominal</t>
  </si>
  <si>
    <t>Costo por Ítem Cliente (Sin IVA)</t>
  </si>
  <si>
    <t>Tarifa por Ítem Empresa</t>
  </si>
  <si>
    <t>Implementación Recursos Humanos</t>
  </si>
  <si>
    <t>Implementacion Adquisiciones</t>
  </si>
  <si>
    <t>Implementación Capacitaciones</t>
  </si>
  <si>
    <t>Implementacion Servicios</t>
  </si>
  <si>
    <t>Soporte Recursos Humanos</t>
  </si>
  <si>
    <t>Soporte Servicios</t>
  </si>
  <si>
    <t>Total Implementación</t>
  </si>
  <si>
    <t>Total Soporte</t>
  </si>
  <si>
    <t>Total Proyecto</t>
  </si>
  <si>
    <t>VAN</t>
  </si>
  <si>
    <t>TIR</t>
  </si>
  <si>
    <t>Viabilidad y HH</t>
  </si>
  <si>
    <t>Valor</t>
  </si>
  <si>
    <t>Cantidad Punto Caso de Uso Ajustados</t>
  </si>
  <si>
    <t>Puntos</t>
  </si>
  <si>
    <t>Factor de Conversión a HH</t>
  </si>
  <si>
    <t>Cantidad HH Programacion</t>
  </si>
  <si>
    <t>Horas</t>
  </si>
  <si>
    <t>Cantidad HH Proyecto</t>
  </si>
  <si>
    <t>Costo Total (Según Tablas) del Proyecto</t>
  </si>
  <si>
    <t>Venta Total (Según Tablas) del Proyecto</t>
  </si>
  <si>
    <t>Conversiones de Monedas</t>
  </si>
  <si>
    <t>Moneda</t>
  </si>
  <si>
    <t>Peso Chileno (CLP)</t>
  </si>
  <si>
    <t>Dólar (USD)</t>
  </si>
  <si>
    <t>Euro (EUR)</t>
  </si>
  <si>
    <t>Unidad de Fomento (UF)</t>
  </si>
  <si>
    <t>HH Mes</t>
  </si>
  <si>
    <t>horas</t>
  </si>
  <si>
    <t>Datos</t>
  </si>
  <si>
    <t>Tasa Interes de Prestamo (Mensual)</t>
  </si>
  <si>
    <t>Linea de Credito (CLP)</t>
  </si>
  <si>
    <t>Tasa Interes de LC (Mensual)</t>
  </si>
  <si>
    <t>Impuestos</t>
  </si>
  <si>
    <t>Tasa Inversionista (Anual)</t>
  </si>
  <si>
    <t>Tasa Inversionista (Mensual)</t>
  </si>
  <si>
    <t>Porcentaje de financiamiento propio</t>
  </si>
  <si>
    <t>Porcentaje de financiamiento banco</t>
  </si>
  <si>
    <t/>
  </si>
  <si>
    <t>FLUJO DE CAJA</t>
  </si>
  <si>
    <t>Mes</t>
  </si>
  <si>
    <t>Fecha</t>
  </si>
  <si>
    <t>A.2 - INGRESO ACUMULADO</t>
  </si>
  <si>
    <t>B.2.- EGRESO TOTAL</t>
  </si>
  <si>
    <t>RESULTADO DEL MES</t>
  </si>
  <si>
    <t>RESULTADO ACUMULADO</t>
  </si>
  <si>
    <t>PUNTO EQUILIBRIO</t>
  </si>
  <si>
    <t>MES MAS BAJO</t>
  </si>
  <si>
    <t>CONVERSIONES</t>
  </si>
  <si>
    <t>Dólar</t>
  </si>
  <si>
    <t>Euro</t>
  </si>
  <si>
    <t>Monto Crédito</t>
  </si>
  <si>
    <t>DATOS</t>
  </si>
  <si>
    <t>HITOS DE PAGO</t>
  </si>
  <si>
    <t>Pago</t>
  </si>
  <si>
    <t>IVA</t>
  </si>
  <si>
    <t>Total + IVA</t>
  </si>
  <si>
    <t>Pago en CLP</t>
  </si>
  <si>
    <t>Pago en USD</t>
  </si>
  <si>
    <t>Hito 1: Levantamiento de Requerimientos</t>
  </si>
  <si>
    <t>Hito 2: Entrega de Software y Data Center para pruebas</t>
  </si>
  <si>
    <t>Hito 3: Certificacion de solución aprobado</t>
  </si>
  <si>
    <t>Hito 4: Paso a producción</t>
  </si>
  <si>
    <t>Hito 5: Entrega de software para pruebas (Etapa 2)</t>
  </si>
  <si>
    <t>Cuotas</t>
  </si>
  <si>
    <t>Hito 6: Paso a producción (Etapa 2)</t>
  </si>
  <si>
    <t>VAN Financiamiento</t>
  </si>
  <si>
    <t>Pago Mensual</t>
  </si>
  <si>
    <r>
      <rPr>
        <b/>
        <sz val="9"/>
        <color theme="1"/>
        <rFont val="Roboto"/>
      </rPr>
      <t>DESDE</t>
    </r>
    <r>
      <rPr>
        <sz val="9"/>
        <color theme="1"/>
        <rFont val="Roboto"/>
      </rPr>
      <t xml:space="preserve"> sept 2027</t>
    </r>
  </si>
  <si>
    <t>Credito Banco</t>
  </si>
  <si>
    <t>Tabla Amortizacion del Credito</t>
  </si>
  <si>
    <t>Flujo de Financiamiento</t>
  </si>
  <si>
    <t>Saldo</t>
  </si>
  <si>
    <t>Cuota</t>
  </si>
  <si>
    <t>Interés Mensual</t>
  </si>
  <si>
    <t>Amortización</t>
  </si>
  <si>
    <t>Ahorro Tributario</t>
  </si>
  <si>
    <t>Con impuestos</t>
  </si>
  <si>
    <t>Flujo Neto Financiamiento</t>
  </si>
  <si>
    <t>CASOS DE USO</t>
  </si>
  <si>
    <t>FACTORES TÉCNICOS</t>
  </si>
  <si>
    <t>N°</t>
  </si>
  <si>
    <t xml:space="preserve">Módulo </t>
  </si>
  <si>
    <t>Caso de uso</t>
  </si>
  <si>
    <t>Peso</t>
  </si>
  <si>
    <t>Factor</t>
  </si>
  <si>
    <t>Descripcion</t>
  </si>
  <si>
    <t>Valor(0-5)</t>
  </si>
  <si>
    <t>Total</t>
  </si>
  <si>
    <t>Justificación</t>
  </si>
  <si>
    <t>T1</t>
  </si>
  <si>
    <t>Sistema distribuido</t>
  </si>
  <si>
    <t>El sistema se compone de múltiples nodos conectados, los que requieren sincronización y redundancia en datos a tiempo real.</t>
  </si>
  <si>
    <t>T2</t>
  </si>
  <si>
    <t>Objetivos de performance o tiempo de respuesta</t>
  </si>
  <si>
    <t>Se exige una disponibilidad de 99.95% para garantizar la continuidad operativa del servicio hacia los clientes.</t>
  </si>
  <si>
    <t>T3</t>
  </si>
  <si>
    <t>Eficiencia del usuario final</t>
  </si>
  <si>
    <t>No es contemplado como un requerimiento expresado por el cliente.</t>
  </si>
  <si>
    <t>T4</t>
  </si>
  <si>
    <t>Procesamiento interno complejo</t>
  </si>
  <si>
    <t>La solución implica el procesamiento de cálculos predictivos de demanda energética, rutas inteligentes, procesamiento de eventos, entre otros.</t>
  </si>
  <si>
    <t>T5</t>
  </si>
  <si>
    <t>El código debe ser reutilizable</t>
  </si>
  <si>
    <t>El sistema está diseñado para los requerimientos que pidió expresamente el cliente, sin un mayor enfoque en la reutilizabilidad del código.</t>
  </si>
  <si>
    <t>T6</t>
  </si>
  <si>
    <t>Facilidad de instalación</t>
  </si>
  <si>
    <t>La instalación requiere despliegues controlados, la configuración de redes seguras y validación de operaciones en entornos, reduciendo su facilidad</t>
  </si>
  <si>
    <t>T7</t>
  </si>
  <si>
    <t>Facilidad de uso</t>
  </si>
  <si>
    <t>El sistema debe ser intuitivo para los operadores, funcionarios y clientes de la empresa de Energía Eléctrica, faciliitando la toma de desiciones e interacción, con enfoque en la usabilidad.</t>
  </si>
  <si>
    <t>T8</t>
  </si>
  <si>
    <t>Portabilidad</t>
  </si>
  <si>
    <t>Se proyecta una solución con un diseño multiplataforma con soporte cloud híbrido y componentes que operen mediante APIs.</t>
  </si>
  <si>
    <t>T9</t>
  </si>
  <si>
    <t>Facilidad de cambio</t>
  </si>
  <si>
    <t>La arquitectura está pensada para ser escalable y modular, por lo que adaptaciones futuras al sistema no presentarán mayores dificultades.</t>
  </si>
  <si>
    <t>T10</t>
  </si>
  <si>
    <t>Concurrencia</t>
  </si>
  <si>
    <t>El sistema soporta transacciones y accesos simultáneos de usuarios y datos con un control de concurrencia estricto.</t>
  </si>
  <si>
    <t>T11</t>
  </si>
  <si>
    <t>Incluye objetivos especiales de seguridad</t>
  </si>
  <si>
    <t>El sistema exige cumplimiento de normativas ISO27001 con herramienta de cifrado. Se integra metodología Devsecops para implementar directrices de seguridad en las operaciones de desarrollo del código.</t>
  </si>
  <si>
    <t>T12</t>
  </si>
  <si>
    <t>Provee acceso directo a terceras partes</t>
  </si>
  <si>
    <t>Incluye interoperabilidad con plataformas externas mediante servicios APIs y servicios de AWS.</t>
  </si>
  <si>
    <t>T13</t>
  </si>
  <si>
    <t>Se requieren facilidades especiales de entrenamiento a usuarios</t>
  </si>
  <si>
    <t>La operación requiere capacitación técnica inicial para la formación de los empleados de la empresa según lo establecido en el plan de capacitación.</t>
  </si>
  <si>
    <t>TOTAL</t>
  </si>
  <si>
    <t xml:space="preserve">FCT </t>
  </si>
  <si>
    <t>FACTORES AMBIENTALES</t>
  </si>
  <si>
    <t>E1</t>
  </si>
  <si>
    <t>Familiaridad con el modelo del proyecto</t>
  </si>
  <si>
    <t>El equipo conoce metodologías y tiene experiencia en proyectos de TI que involucren tecnologías siimilares.</t>
  </si>
  <si>
    <t>E2</t>
  </si>
  <si>
    <t>Experiencia en la aplicación</t>
  </si>
  <si>
    <t>Existe experiencia previa en aplicaciones, aunque no todos han trabajado bajo los mismos dominios</t>
  </si>
  <si>
    <t>E3</t>
  </si>
  <si>
    <t>Experiencia en orientación a objetos</t>
  </si>
  <si>
    <t>El equipo de desarrollo domina el diseño de orientación a objetos y principios SOLID, útiles para una arquitectura modular mantenible.</t>
  </si>
  <si>
    <t>E4</t>
  </si>
  <si>
    <t>Capacidad del analista líder</t>
  </si>
  <si>
    <t>Analista con experiencia pero con carga compartida, domina técnicas pero no es un referente exclusivo para el dominio de la solución.</t>
  </si>
  <si>
    <t>E5</t>
  </si>
  <si>
    <t>Motivación</t>
  </si>
  <si>
    <t>Motivación moderada del equipo, existe compromiso y buen ambiente en general.</t>
  </si>
  <si>
    <t>E6</t>
  </si>
  <si>
    <t>Estabilidad de los requerimientos</t>
  </si>
  <si>
    <t>Requerimientos estables, aunque pueden surgir ajustes por los stakeholder principales.</t>
  </si>
  <si>
    <t>E7</t>
  </si>
  <si>
    <t>Personal part-time</t>
  </si>
  <si>
    <t>No hay una dependencia de recursos humanos part-time, el equipo principal es full-time</t>
  </si>
  <si>
    <t>E8</t>
  </si>
  <si>
    <t>Dificultad del lenguaje de programación</t>
  </si>
  <si>
    <t>Se emplean lenguajes y frameworks con una curva de aprendizaje baja, donde los desarrolladores cuentan con experiencia.</t>
  </si>
  <si>
    <t>FA</t>
  </si>
  <si>
    <t>Conteo factores</t>
  </si>
  <si>
    <t>FC</t>
  </si>
  <si>
    <t>UUCP</t>
  </si>
  <si>
    <t>UCP</t>
  </si>
  <si>
    <t>E</t>
  </si>
  <si>
    <t>E TOTAL</t>
  </si>
  <si>
    <t>Distribución del esfuerzo</t>
  </si>
  <si>
    <t>Actividad</t>
  </si>
  <si>
    <t>Porcentaje</t>
  </si>
  <si>
    <t>HH</t>
  </si>
  <si>
    <t>Análisis</t>
  </si>
  <si>
    <t>Diseño</t>
  </si>
  <si>
    <t>Programación</t>
  </si>
  <si>
    <t>Pruebas</t>
  </si>
  <si>
    <t>Sobrecarga</t>
  </si>
  <si>
    <t>TOTAL HH:</t>
  </si>
  <si>
    <t>PCUSA</t>
  </si>
  <si>
    <t>ACTORES</t>
  </si>
  <si>
    <t>N</t>
  </si>
  <si>
    <t>Actores</t>
  </si>
  <si>
    <t>Casos de uso</t>
  </si>
  <si>
    <t>Cantidad</t>
  </si>
  <si>
    <t>Resultado</t>
  </si>
  <si>
    <t>Simple</t>
  </si>
  <si>
    <t>Medio</t>
  </si>
  <si>
    <t>Complejo</t>
  </si>
  <si>
    <t>UUCW</t>
  </si>
  <si>
    <t>Simples</t>
  </si>
  <si>
    <t>Medios</t>
  </si>
  <si>
    <t>Complejos</t>
  </si>
  <si>
    <t>UAW</t>
  </si>
  <si>
    <t>Conversiones</t>
  </si>
  <si>
    <t>Elemento</t>
  </si>
  <si>
    <t>Costo implementación</t>
  </si>
  <si>
    <t>Rol</t>
  </si>
  <si>
    <t>Dias según Gantt</t>
  </si>
  <si>
    <t>Horas Totales / Día</t>
  </si>
  <si>
    <t>Costo $ UF/HH</t>
  </si>
  <si>
    <t>Tarifa $ UF/HH</t>
  </si>
  <si>
    <t>Total Costo</t>
  </si>
  <si>
    <t>Total Tarifa</t>
  </si>
  <si>
    <t>Cant de personas</t>
  </si>
  <si>
    <t>Horas x Persona</t>
  </si>
  <si>
    <t>Sueldo costo CLP</t>
  </si>
  <si>
    <t>Sueldo tarifa CLP</t>
  </si>
  <si>
    <t>Sueldo Costo UF</t>
  </si>
  <si>
    <t>Sueldo Tarifa UF</t>
  </si>
  <si>
    <t>Project Manager</t>
  </si>
  <si>
    <t>Jefe de TIC</t>
  </si>
  <si>
    <t>Arquitecto de soluciones</t>
  </si>
  <si>
    <t>Líder Técnico</t>
  </si>
  <si>
    <t>Product Owner (Líder Funcional)</t>
  </si>
  <si>
    <t>Analista de Requerimientos</t>
  </si>
  <si>
    <t>Desarrollador Full Stack</t>
  </si>
  <si>
    <t>Desarrollador Front-end</t>
  </si>
  <si>
    <t>Desarrollador Back-end</t>
  </si>
  <si>
    <t>Desarrollador de Base de Datos</t>
  </si>
  <si>
    <t>Diseñador UX</t>
  </si>
  <si>
    <t>Especialista en Integración</t>
  </si>
  <si>
    <t>Encargado de Seguridad TI</t>
  </si>
  <si>
    <t>Ingeniero DevOps</t>
  </si>
  <si>
    <t>Administrador de Base de Datos</t>
  </si>
  <si>
    <t>QA Lead</t>
  </si>
  <si>
    <t>Operador Service Desk</t>
  </si>
  <si>
    <t>Especialista en Soporte Técnico Nivel 2</t>
  </si>
  <si>
    <t>Tester</t>
  </si>
  <si>
    <t>Documentador</t>
  </si>
  <si>
    <t>Change Manager</t>
  </si>
  <si>
    <t>Instructor de Capacitación</t>
  </si>
  <si>
    <t>Gerente de Administración de Finanzas</t>
  </si>
  <si>
    <t>Especialista en Contabilidad</t>
  </si>
  <si>
    <t>Gestor de Adquisiciones</t>
  </si>
  <si>
    <t>Asesor Legal</t>
  </si>
  <si>
    <t>Director Comercial</t>
  </si>
  <si>
    <t>Consultor de Preventa</t>
  </si>
  <si>
    <t>Especialista en Licitaciones</t>
  </si>
  <si>
    <t>Administrador de plataforma</t>
  </si>
  <si>
    <t>Costo / Persona</t>
  </si>
  <si>
    <t>Tarifa / Persona</t>
  </si>
  <si>
    <t>Cantidad Personas</t>
  </si>
  <si>
    <t>C UF Mensual</t>
  </si>
  <si>
    <t>C CLP Mensual</t>
  </si>
  <si>
    <t>T UF Mensual</t>
  </si>
  <si>
    <t>T CLP Mensual</t>
  </si>
  <si>
    <t>Totales</t>
  </si>
  <si>
    <t>Tarifa</t>
  </si>
  <si>
    <t>Costos de Implementación</t>
  </si>
  <si>
    <t>Costos de soporte</t>
  </si>
  <si>
    <t>Costos Asociados Mensual (UF)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</si>
  <si>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</si>
  <si>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</si>
  <si>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</si>
  <si>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</si>
  <si>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</si>
  <si>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</si>
  <si>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</si>
  <si>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</si>
  <si>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</si>
  <si>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</si>
  <si>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</si>
  <si>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</si>
  <si>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</si>
  <si>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</si>
  <si>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</si>
  <si>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</si>
  <si>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</si>
  <si>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</si>
  <si>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</si>
  <si>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</si>
  <si>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</si>
  <si>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</si>
  <si>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</si>
  <si>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</si>
  <si>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Mes 25</t>
  </si>
  <si>
    <t>Mes 26</t>
  </si>
  <si>
    <t>Mes 27</t>
  </si>
  <si>
    <t>Mes 28</t>
  </si>
  <si>
    <t>Mes 29</t>
  </si>
  <si>
    <t>Mes 30</t>
  </si>
  <si>
    <t>Mes 31</t>
  </si>
  <si>
    <t>Mes 32</t>
  </si>
  <si>
    <t>Mes 33</t>
  </si>
  <si>
    <t>Mes 34</t>
  </si>
  <si>
    <t>Mes 35</t>
  </si>
  <si>
    <t>Mes 36</t>
  </si>
  <si>
    <t>Implementación</t>
  </si>
  <si>
    <t>Soporte</t>
  </si>
  <si>
    <t>Previsión variable soporte (10% del total s/v)</t>
  </si>
  <si>
    <t>Total previsión variable</t>
  </si>
  <si>
    <t>Total s/variable</t>
  </si>
  <si>
    <t>Costos de Capacitaciones</t>
  </si>
  <si>
    <t>Encargado</t>
  </si>
  <si>
    <t xml:space="preserve">Change Manager </t>
  </si>
  <si>
    <t>Product Owner</t>
  </si>
  <si>
    <t>Total UF</t>
  </si>
  <si>
    <t xml:space="preserve">Total </t>
  </si>
  <si>
    <t>Tarifa de implementación</t>
  </si>
  <si>
    <t>Tarifa de soporte</t>
  </si>
  <si>
    <t>Tarifas(UF)</t>
  </si>
  <si>
    <t>Previsión variable soporte (10% del total)</t>
  </si>
  <si>
    <t>Total Año</t>
  </si>
  <si>
    <t>Porcentaje adquisiciones y servicios</t>
  </si>
  <si>
    <t>Implementacion</t>
  </si>
  <si>
    <t>Operación</t>
  </si>
  <si>
    <t>Flujo de Caja</t>
  </si>
  <si>
    <t>Flujo mes</t>
  </si>
  <si>
    <t>Flujo acumulado</t>
  </si>
  <si>
    <t>Detalle</t>
  </si>
  <si>
    <t>Ingresos mes</t>
  </si>
  <si>
    <t>Ingresos acumulados</t>
  </si>
  <si>
    <t>Egresos</t>
  </si>
  <si>
    <t>Egresos mes</t>
  </si>
  <si>
    <t>Egresos Acumulado</t>
  </si>
  <si>
    <t>Inversión</t>
  </si>
  <si>
    <t>Sueldos</t>
  </si>
  <si>
    <t>Adquisiciones</t>
  </si>
  <si>
    <t>Capacitaciones</t>
  </si>
  <si>
    <t>Servicios</t>
  </si>
  <si>
    <t>Flujo de caja completo Mensual</t>
  </si>
  <si>
    <t>Ingresos (UF)</t>
  </si>
  <si>
    <t>Sueldos (UF)</t>
  </si>
  <si>
    <t>Pago Adquisiciones (UF)</t>
  </si>
  <si>
    <t>Pago Servicios Proovedores (UF)</t>
  </si>
  <si>
    <t>Pago Cuota Prestamo</t>
  </si>
  <si>
    <t>Depreciación</t>
  </si>
  <si>
    <t>Total Sin Impuestos</t>
  </si>
  <si>
    <t>Impuestos 27%</t>
  </si>
  <si>
    <t>Total Con Impuestos</t>
  </si>
  <si>
    <t>Capital de Trabajo</t>
  </si>
  <si>
    <t>Flujo Neto Proyecto Puro</t>
  </si>
  <si>
    <t>Tasa de inversionista mensual</t>
  </si>
  <si>
    <t>Factor de ajuste</t>
  </si>
  <si>
    <t>Factor acumulado</t>
  </si>
  <si>
    <t>Flujo Neto Actualizado</t>
  </si>
  <si>
    <t>VAN Acumulado</t>
  </si>
  <si>
    <t>VAN Proyecto Puro</t>
  </si>
  <si>
    <t>VAN Proyecto Financiado</t>
  </si>
  <si>
    <t>Flujo de caja completo Anual</t>
  </si>
  <si>
    <t>Año</t>
  </si>
  <si>
    <t>AÑO 1</t>
  </si>
  <si>
    <t>AÑO 2</t>
  </si>
  <si>
    <t>AÑO 3</t>
  </si>
  <si>
    <t>A.1 INGRESOS (UF)</t>
  </si>
  <si>
    <t>MONTO</t>
  </si>
  <si>
    <t>SUELDOS (UF)</t>
  </si>
  <si>
    <t>CUOTA</t>
  </si>
  <si>
    <t>PAGO ADQUISICIONES (UF)</t>
  </si>
  <si>
    <t>INTERES</t>
  </si>
  <si>
    <t>PAGO SERVICIOS PROVEEDORES (UF)</t>
  </si>
  <si>
    <t>AMORTIZACION</t>
  </si>
  <si>
    <t>DEPRECIACION</t>
  </si>
  <si>
    <t>TOTAL SIN IMPUESTOS</t>
  </si>
  <si>
    <t>IMPUESTOS 27%</t>
  </si>
  <si>
    <t>IMPUESTOS</t>
  </si>
  <si>
    <t>TOTAL CON IMPUESTOS</t>
  </si>
  <si>
    <t>CAPITAL DE TRABAJO</t>
  </si>
  <si>
    <t>FLUJO</t>
  </si>
  <si>
    <t>FLUJO NETO PROYECTO PURO</t>
  </si>
  <si>
    <t>TASA DE INVERSIONISTA ANUAL</t>
  </si>
  <si>
    <t>FACTOR DE AJUSTE</t>
  </si>
  <si>
    <t>FACTOR ACUMULADO</t>
  </si>
  <si>
    <t>FLUJO NETO ACTUALIZADO</t>
  </si>
  <si>
    <t>VAN ACUMULADO</t>
  </si>
  <si>
    <t>TASA INTERES ANUAL</t>
  </si>
  <si>
    <t>CUOTAS</t>
  </si>
  <si>
    <t>MONTO (UF)</t>
  </si>
  <si>
    <t>VAN PROYECTO PURO</t>
  </si>
  <si>
    <t>VAN FINANCIAMIENTO</t>
  </si>
  <si>
    <t>VAN PROYECTO FINANCIADO</t>
  </si>
  <si>
    <t>EURO</t>
  </si>
  <si>
    <t>COMPONENTE</t>
  </si>
  <si>
    <t>DESCRIPCIÓN</t>
  </si>
  <si>
    <t>COSTO USD</t>
  </si>
  <si>
    <t>COSTO CLP</t>
  </si>
  <si>
    <t>COSTO UF</t>
  </si>
  <si>
    <t>CANTIDAD</t>
  </si>
  <si>
    <t>TOTAL USD</t>
  </si>
  <si>
    <t>TOTAL CLP</t>
  </si>
  <si>
    <t>TOTAL UF</t>
  </si>
  <si>
    <t>%IVA UF</t>
  </si>
  <si>
    <t>VIDA ÚTIL AÑOS</t>
  </si>
  <si>
    <t>DEPRECIACIÓN ANUAL</t>
  </si>
  <si>
    <t>DEPRECIACIÓN TOTAL</t>
  </si>
  <si>
    <t>// Sites Cloud</t>
  </si>
  <si>
    <t>// Equipos de red y oficina //</t>
  </si>
  <si>
    <t>// Seguridad //</t>
  </si>
  <si>
    <t>// Site Edge //</t>
  </si>
  <si>
    <t>// Obras civiles y montaje</t>
  </si>
  <si>
    <t>// Proveedores de Internet //</t>
  </si>
  <si>
    <t>// Servicios externos //</t>
  </si>
  <si>
    <t>HARDWARE (UF)</t>
  </si>
  <si>
    <t>SOFTWARE (UF)</t>
  </si>
  <si>
    <t>ADQUISICIONES FASE IMPLEMENTACIÓN</t>
  </si>
  <si>
    <t>SERVICIOS RECURRENTES FASE IMPLEMENTACIÓN</t>
  </si>
  <si>
    <t>// Obras civiles y montaje //</t>
  </si>
  <si>
    <t>HARDWARE</t>
  </si>
  <si>
    <t>ADQUISICIONES FASE OPERACIÓN</t>
  </si>
  <si>
    <t>SERVICIOS RECURRENTES FASE OPERACIÓN</t>
  </si>
  <si>
    <t>Mod1</t>
  </si>
  <si>
    <t>Mod2</t>
  </si>
  <si>
    <t>Mod3</t>
  </si>
  <si>
    <t>Mod4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</si>
</sst>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41" formatCode="_ * #,##0_ ;_ * \-#,##0_ ;_ * &quot;-&quot;_ ;_ @_ "/>
    <numFmt numFmtId="164" formatCode="[$$]#,##0"/>
    <numFmt numFmtId="165" formatCode="[$$]#,##0.0000"/>
    <numFmt numFmtId="166" formatCode="[$UF]#,##0.0000"/>
    <numFmt numFmtId="167" formatCode="#,##0.0_ ;[Red]\-#,##0.0\ "/>
    <numFmt numFmtId="168" formatCode="0.0%"/>
    <numFmt numFmtId="169" formatCode="#,##0_ ;[Red]\-#,##0\ "/>
    <numFmt numFmtId="170" formatCode="0.0000%"/>
    <numFmt numFmtId="171" formatCode="&quot; &quot;mmm&quot; &quot;yyyy"/>
    <numFmt numFmtId="172" formatCode="_ \U\F* #,##0.000_ ;_ \U\F* \-#,##0.000_ ;_ \U\F* &quot;-&quot;_ ;_ @_ "/>
    <numFmt numFmtId="173" formatCode="_ [$USD]\ * #,##0.00_ ;_ [$USD]\ * \-#,##0.00_ ;_ [$USD]\ * &quot;-&quot;_ ;_ @_ "/>
    <numFmt numFmtId="174" formatCode="[$UF]#,##0.00"/>
    <numFmt numFmtId="175" formatCode="[$$]#,##0.00"/>
    <numFmt numFmtId="176" formatCode="_ * #,##0.00_ ;_ * \-#,##0.00_ ;_ * &quot;-&quot;_ ;_ @_ "/>
    <numFmt numFmtId="177" formatCode="#,##0.00_ ;[Red]\-#,##0.00\ "/>
    <numFmt numFmtId="178" formatCode="#,##0.0"/>
    <numFmt numFmtId="179" formatCode="[$UF ]#,##0.00"/>
    <numFmt numFmtId="180" formatCode="#,##0.0000"/>
    <numFmt numFmtId="181" formatCode="#,##0.00\ [$€-1]"/>
  </numFmts>
  <fonts count="30" x14ac:knownFonts="1">
    <font>
      <sz val="10"/>
      <color rgb="FF000000"/>
      <name val="Arial"/>
      <scheme val="minor"/>
    </font>
    <font>
      <b/>
      <sz val="24"/>
      <color theme="1"/>
      <name val="Roboto"/>
    </font>
    <font>
      <sz val="10"/>
      <color rgb="FF000000"/>
      <name val="Roboto"/>
    </font>
    <font>
      <sz val="10"/>
      <color theme="1"/>
      <name val="Roboto"/>
    </font>
    <font>
      <b/>
      <sz val="10"/>
      <color rgb="FFFFFFFF"/>
      <name val="Roboto"/>
    </font>
    <font>
      <sz val="10"/>
      <name val="Arial"/>
    </font>
    <font>
      <sz val="14"/>
      <color rgb="FFFFFFFF"/>
      <name val="Roboto"/>
    </font>
    <font>
      <sz val="10"/>
      <color theme="0"/>
      <name val="Roboto"/>
    </font>
    <font>
      <sz val="10"/>
      <color rgb="FFFFFFFF"/>
      <name val="Roboto"/>
    </font>
    <font>
      <sz val="10"/>
      <color theme="1"/>
      <name val="Roboto"/>
    </font>
    <font>
      <sz val="9"/>
      <color rgb="FFFFFFFF"/>
      <name val="Roboto"/>
    </font>
    <font>
      <sz val="9"/>
      <color theme="1"/>
      <name val="Roboto"/>
    </font>
    <font>
      <b/>
      <sz val="9"/>
      <color theme="1"/>
      <name val="Roboto"/>
    </font>
    <font>
      <sz val="8"/>
      <color theme="1"/>
      <name val="Roboto"/>
    </font>
    <font>
      <b/>
      <sz val="9"/>
      <color rgb="FFFFFFFF"/>
      <name val="Roboto"/>
    </font>
    <font>
      <sz val="10"/>
      <color rgb="FFFFFFFF"/>
      <name val="Roboto"/>
    </font>
    <font>
      <b/>
      <sz val="10"/>
      <color rgb="FFFFFFFF"/>
      <name val="Roboto"/>
    </font>
    <font>
      <b/>
      <sz val="10"/>
      <color theme="1"/>
      <name val="Roboto"/>
    </font>
    <font>
      <b/>
      <sz val="10"/>
      <color rgb="FF000000"/>
      <name val="Roboto"/>
    </font>
    <font>
      <b/>
      <sz val="11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0"/>
      <color rgb="FF434343"/>
      <name val="Roboto"/>
    </font>
    <font>
      <sz val="11"/>
      <color theme="0"/>
      <name val="Roboto"/>
    </font>
    <font>
      <sz val="11"/>
      <color rgb="FFFFFFFF"/>
      <name val="Roboto"/>
    </font>
    <font>
      <b/>
      <sz val="11"/>
      <color rgb="FFFFFFFF"/>
      <name val="Roboto"/>
    </font>
    <font>
      <sz val="11"/>
      <color rgb="FF000000"/>
      <name val="Roboto"/>
    </font>
    <font>
      <sz val="9"/>
      <color rgb="FF1F1F1F"/>
      <name val="Roboto"/>
    </font>
    <font>
      <sz val="11"/>
      <color theme="1"/>
      <name val="Calibri"/>
    </font>
    <font>
      <sz val="9"/>
      <color rgb="FF000000"/>
      <name val="Roboto"/>
    </font>
  </fonts>
  <fills count="24">
    <fill>
      <patternFill patternType="none"/>
    </fill>
    <fill>
      <patternFill patternType="gray125"/>
    </fill>
    <fill>
      <patternFill patternType="solid">
        <fgColor rgb="FF996633"/>
        <bgColor rgb="FF996633"/>
      </patternFill>
    </fill>
    <fill>
      <patternFill patternType="solid">
        <fgColor rgb="FF00B050"/>
        <bgColor rgb="FF00B050"/>
      </patternFill>
    </fill>
    <fill>
      <patternFill patternType="solid">
        <fgColor rgb="FFC05100"/>
        <bgColor rgb="FFC05100"/>
      </patternFill>
    </fill>
    <fill>
      <patternFill patternType="solid">
        <fgColor rgb="FFEFEFEF"/>
        <bgColor rgb="FFEFEFEF"/>
      </patternFill>
    </fill>
    <fill>
      <patternFill patternType="solid">
        <fgColor rgb="FF284E3F"/>
        <bgColor rgb="FF284E3F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A6A8C6"/>
        <bgColor rgb="FFA6A8C6"/>
      </patternFill>
    </fill>
    <fill>
      <patternFill patternType="solid">
        <fgColor rgb="FFCCCCCC"/>
        <bgColor rgb="FFCCCCCC"/>
      </patternFill>
    </fill>
    <fill>
      <patternFill patternType="solid">
        <fgColor rgb="FF463F57"/>
        <bgColor rgb="FF463F57"/>
      </patternFill>
    </fill>
    <fill>
      <patternFill patternType="solid">
        <fgColor rgb="FF6A6578"/>
        <bgColor rgb="FF6A6578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0B5394"/>
        <bgColor rgb="FF0B5394"/>
      </patternFill>
    </fill>
    <fill>
      <patternFill patternType="solid">
        <fgColor rgb="FF38761D"/>
        <bgColor rgb="FF38761D"/>
      </patternFill>
    </fill>
    <fill>
      <patternFill patternType="solid">
        <fgColor rgb="FF1C4587"/>
        <bgColor rgb="FF1C4587"/>
      </patternFill>
    </fill>
    <fill>
      <patternFill patternType="solid">
        <fgColor rgb="FFD0CFD5"/>
        <bgColor rgb="FFD0CFD5"/>
      </patternFill>
    </fill>
    <fill>
      <patternFill patternType="solid">
        <fgColor rgb="FFF3F3F3"/>
        <bgColor rgb="FFF3F3F3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434343"/>
      </left>
      <right/>
      <top style="thin">
        <color rgb="FF434343"/>
      </top>
      <bottom style="thin">
        <color rgb="FF43434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6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4" fontId="9" fillId="5" borderId="4" xfId="0" applyNumberFormat="1" applyFont="1" applyFill="1" applyBorder="1" applyAlignment="1">
      <alignment vertical="center"/>
    </xf>
    <xf numFmtId="3" fontId="9" fillId="5" borderId="4" xfId="0" applyNumberFormat="1" applyFont="1" applyFill="1" applyBorder="1" applyAlignment="1">
      <alignment vertical="center"/>
    </xf>
    <xf numFmtId="4" fontId="9" fillId="5" borderId="4" xfId="0" applyNumberFormat="1" applyFont="1" applyFill="1" applyBorder="1" applyAlignment="1">
      <alignment horizontal="center" vertical="center"/>
    </xf>
    <xf numFmtId="3" fontId="9" fillId="5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4" fontId="4" fillId="2" borderId="4" xfId="0" applyNumberFormat="1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4" fontId="4" fillId="3" borderId="4" xfId="0" applyNumberFormat="1" applyFont="1" applyFill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/>
    </xf>
    <xf numFmtId="4" fontId="4" fillId="4" borderId="4" xfId="0" applyNumberFormat="1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9" fontId="4" fillId="4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4" fontId="9" fillId="5" borderId="5" xfId="0" applyNumberFormat="1" applyFont="1" applyFill="1" applyBorder="1" applyAlignment="1">
      <alignment vertical="center"/>
    </xf>
    <xf numFmtId="0" fontId="8" fillId="3" borderId="4" xfId="0" applyFont="1" applyFill="1" applyBorder="1" applyAlignment="1">
      <alignment horizontal="left" vertical="center"/>
    </xf>
    <xf numFmtId="4" fontId="8" fillId="2" borderId="4" xfId="0" applyNumberFormat="1" applyFont="1" applyFill="1" applyBorder="1" applyAlignment="1">
      <alignment vertical="center"/>
    </xf>
    <xf numFmtId="3" fontId="8" fillId="2" borderId="4" xfId="0" applyNumberFormat="1" applyFont="1" applyFill="1" applyBorder="1" applyAlignment="1">
      <alignment vertical="center"/>
    </xf>
    <xf numFmtId="4" fontId="8" fillId="3" borderId="4" xfId="0" applyNumberFormat="1" applyFont="1" applyFill="1" applyBorder="1" applyAlignment="1">
      <alignment horizontal="center" vertical="center"/>
    </xf>
    <xf numFmtId="3" fontId="8" fillId="3" borderId="4" xfId="0" applyNumberFormat="1" applyFont="1" applyFill="1" applyBorder="1" applyAlignment="1">
      <alignment horizontal="center" vertical="center"/>
    </xf>
    <xf numFmtId="4" fontId="4" fillId="2" borderId="4" xfId="0" applyNumberFormat="1" applyFont="1" applyFill="1" applyBorder="1" applyAlignment="1">
      <alignment vertical="center"/>
    </xf>
    <xf numFmtId="3" fontId="4" fillId="2" borderId="4" xfId="0" applyNumberFormat="1" applyFont="1" applyFill="1" applyBorder="1" applyAlignment="1">
      <alignment vertical="center"/>
    </xf>
    <xf numFmtId="10" fontId="9" fillId="5" borderId="4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vertical="center"/>
    </xf>
    <xf numFmtId="0" fontId="10" fillId="6" borderId="0" xfId="0" applyFont="1" applyFill="1"/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0" fillId="7" borderId="0" xfId="0" applyFont="1" applyFill="1"/>
    <xf numFmtId="0" fontId="10" fillId="7" borderId="0" xfId="0" applyFont="1" applyFill="1" applyAlignment="1">
      <alignment horizontal="center"/>
    </xf>
    <xf numFmtId="0" fontId="11" fillId="5" borderId="4" xfId="0" applyFont="1" applyFill="1" applyBorder="1"/>
    <xf numFmtId="164" fontId="11" fillId="5" borderId="6" xfId="0" applyNumberFormat="1" applyFont="1" applyFill="1" applyBorder="1"/>
    <xf numFmtId="165" fontId="11" fillId="5" borderId="4" xfId="0" applyNumberFormat="1" applyFont="1" applyFill="1" applyBorder="1"/>
    <xf numFmtId="166" fontId="11" fillId="5" borderId="4" xfId="0" applyNumberFormat="1" applyFont="1" applyFill="1" applyBorder="1"/>
    <xf numFmtId="0" fontId="11" fillId="5" borderId="1" xfId="0" applyFont="1" applyFill="1" applyBorder="1"/>
    <xf numFmtId="164" fontId="12" fillId="8" borderId="7" xfId="0" applyNumberFormat="1" applyFont="1" applyFill="1" applyBorder="1"/>
    <xf numFmtId="165" fontId="11" fillId="5" borderId="3" xfId="0" applyNumberFormat="1" applyFont="1" applyFill="1" applyBorder="1"/>
    <xf numFmtId="166" fontId="12" fillId="5" borderId="4" xfId="0" applyNumberFormat="1" applyFont="1" applyFill="1" applyBorder="1"/>
    <xf numFmtId="164" fontId="12" fillId="8" borderId="8" xfId="0" applyNumberFormat="1" applyFont="1" applyFill="1" applyBorder="1"/>
    <xf numFmtId="164" fontId="12" fillId="8" borderId="9" xfId="0" applyNumberFormat="1" applyFont="1" applyFill="1" applyBorder="1"/>
    <xf numFmtId="165" fontId="12" fillId="5" borderId="3" xfId="0" applyNumberFormat="1" applyFont="1" applyFill="1" applyBorder="1"/>
    <xf numFmtId="41" fontId="11" fillId="8" borderId="10" xfId="0" applyNumberFormat="1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167" fontId="10" fillId="7" borderId="0" xfId="0" applyNumberFormat="1" applyFont="1" applyFill="1"/>
    <xf numFmtId="0" fontId="10" fillId="7" borderId="0" xfId="0" applyFont="1" applyFill="1" applyAlignment="1">
      <alignment horizontal="right"/>
    </xf>
    <xf numFmtId="167" fontId="11" fillId="5" borderId="1" xfId="0" applyNumberFormat="1" applyFont="1" applyFill="1" applyBorder="1"/>
    <xf numFmtId="168" fontId="11" fillId="8" borderId="7" xfId="0" applyNumberFormat="1" applyFont="1" applyFill="1" applyBorder="1" applyAlignment="1">
      <alignment horizontal="right"/>
    </xf>
    <xf numFmtId="169" fontId="11" fillId="8" borderId="8" xfId="0" applyNumberFormat="1" applyFont="1" applyFill="1" applyBorder="1" applyAlignment="1">
      <alignment horizontal="right"/>
    </xf>
    <xf numFmtId="10" fontId="11" fillId="8" borderId="8" xfId="0" applyNumberFormat="1" applyFont="1" applyFill="1" applyBorder="1" applyAlignment="1">
      <alignment horizontal="right"/>
    </xf>
    <xf numFmtId="9" fontId="11" fillId="8" borderId="8" xfId="0" applyNumberFormat="1" applyFont="1" applyFill="1" applyBorder="1" applyAlignment="1">
      <alignment horizontal="right"/>
    </xf>
    <xf numFmtId="9" fontId="11" fillId="8" borderId="9" xfId="0" applyNumberFormat="1" applyFont="1" applyFill="1" applyBorder="1" applyAlignment="1">
      <alignment horizontal="right"/>
    </xf>
    <xf numFmtId="167" fontId="11" fillId="5" borderId="4" xfId="0" applyNumberFormat="1" applyFont="1" applyFill="1" applyBorder="1"/>
    <xf numFmtId="170" fontId="11" fillId="5" borderId="11" xfId="0" applyNumberFormat="1" applyFont="1" applyFill="1" applyBorder="1" applyAlignment="1">
      <alignment horizontal="right"/>
    </xf>
    <xf numFmtId="0" fontId="11" fillId="8" borderId="7" xfId="0" applyFont="1" applyFill="1" applyBorder="1" applyAlignment="1">
      <alignment horizontal="right"/>
    </xf>
    <xf numFmtId="0" fontId="11" fillId="8" borderId="9" xfId="0" applyFont="1" applyFill="1" applyBorder="1" applyAlignment="1">
      <alignment horizontal="right"/>
    </xf>
    <xf numFmtId="0" fontId="9" fillId="0" borderId="0" xfId="0" quotePrefix="1" applyFont="1"/>
    <xf numFmtId="0" fontId="1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3" borderId="12" xfId="0" applyFont="1" applyFill="1" applyBorder="1"/>
    <xf numFmtId="0" fontId="9" fillId="9" borderId="12" xfId="0" applyFont="1" applyFill="1" applyBorder="1"/>
    <xf numFmtId="171" fontId="9" fillId="9" borderId="12" xfId="0" applyNumberFormat="1" applyFont="1" applyFill="1" applyBorder="1"/>
    <xf numFmtId="0" fontId="8" fillId="3" borderId="12" xfId="0" applyFont="1" applyFill="1" applyBorder="1" applyAlignment="1">
      <alignment horizontal="left"/>
    </xf>
    <xf numFmtId="2" fontId="9" fillId="5" borderId="12" xfId="0" applyNumberFormat="1" applyFont="1" applyFill="1" applyBorder="1" applyAlignment="1">
      <alignment horizontal="left"/>
    </xf>
    <xf numFmtId="2" fontId="9" fillId="10" borderId="12" xfId="0" applyNumberFormat="1" applyFont="1" applyFill="1" applyBorder="1" applyAlignment="1">
      <alignment horizontal="left"/>
    </xf>
    <xf numFmtId="0" fontId="8" fillId="3" borderId="13" xfId="0" applyFont="1" applyFill="1" applyBorder="1" applyAlignment="1">
      <alignment horizontal="left"/>
    </xf>
    <xf numFmtId="2" fontId="9" fillId="0" borderId="4" xfId="0" applyNumberFormat="1" applyFont="1" applyBorder="1" applyAlignment="1">
      <alignment horizontal="left"/>
    </xf>
    <xf numFmtId="171" fontId="9" fillId="0" borderId="4" xfId="0" applyNumberFormat="1" applyFont="1" applyBorder="1" applyAlignment="1">
      <alignment horizontal="left"/>
    </xf>
    <xf numFmtId="0" fontId="2" fillId="0" borderId="0" xfId="0" applyFont="1"/>
    <xf numFmtId="10" fontId="9" fillId="0" borderId="4" xfId="0" applyNumberFormat="1" applyFont="1" applyBorder="1"/>
    <xf numFmtId="0" fontId="9" fillId="0" borderId="0" xfId="0" applyFont="1"/>
    <xf numFmtId="0" fontId="14" fillId="11" borderId="14" xfId="0" applyFont="1" applyFill="1" applyBorder="1"/>
    <xf numFmtId="41" fontId="9" fillId="0" borderId="15" xfId="0" applyNumberFormat="1" applyFont="1" applyBorder="1" applyAlignment="1">
      <alignment horizontal="center"/>
    </xf>
    <xf numFmtId="0" fontId="3" fillId="0" borderId="16" xfId="0" applyFont="1" applyBorder="1"/>
    <xf numFmtId="0" fontId="10" fillId="3" borderId="14" xfId="0" applyFont="1" applyFill="1" applyBorder="1"/>
    <xf numFmtId="4" fontId="11" fillId="0" borderId="15" xfId="0" applyNumberFormat="1" applyFont="1" applyBorder="1" applyAlignment="1">
      <alignment horizontal="center"/>
    </xf>
    <xf numFmtId="172" fontId="11" fillId="0" borderId="15" xfId="0" applyNumberFormat="1" applyFont="1" applyBorder="1" applyAlignment="1">
      <alignment horizontal="right"/>
    </xf>
    <xf numFmtId="173" fontId="11" fillId="0" borderId="15" xfId="0" applyNumberFormat="1" applyFont="1" applyBorder="1" applyAlignment="1">
      <alignment horizontal="center"/>
    </xf>
    <xf numFmtId="167" fontId="10" fillId="12" borderId="14" xfId="0" applyNumberFormat="1" applyFont="1" applyFill="1" applyBorder="1"/>
    <xf numFmtId="4" fontId="11" fillId="5" borderId="4" xfId="0" applyNumberFormat="1" applyFont="1" applyFill="1" applyBorder="1"/>
    <xf numFmtId="3" fontId="11" fillId="5" borderId="4" xfId="0" applyNumberFormat="1" applyFont="1" applyFill="1" applyBorder="1"/>
    <xf numFmtId="41" fontId="11" fillId="0" borderId="15" xfId="0" applyNumberFormat="1" applyFont="1" applyBorder="1" applyAlignment="1">
      <alignment horizontal="center"/>
    </xf>
    <xf numFmtId="41" fontId="11" fillId="0" borderId="15" xfId="0" applyNumberFormat="1" applyFont="1" applyBorder="1" applyAlignment="1">
      <alignment horizontal="left"/>
    </xf>
    <xf numFmtId="167" fontId="14" fillId="11" borderId="14" xfId="0" applyNumberFormat="1" applyFont="1" applyFill="1" applyBorder="1"/>
    <xf numFmtId="168" fontId="3" fillId="0" borderId="16" xfId="0" applyNumberFormat="1" applyFont="1" applyBorder="1"/>
    <xf numFmtId="0" fontId="14" fillId="7" borderId="0" xfId="0" applyFont="1" applyFill="1"/>
    <xf numFmtId="0" fontId="15" fillId="7" borderId="0" xfId="0" applyFont="1" applyFill="1"/>
    <xf numFmtId="167" fontId="10" fillId="3" borderId="14" xfId="0" applyNumberFormat="1" applyFont="1" applyFill="1" applyBorder="1"/>
    <xf numFmtId="168" fontId="11" fillId="0" borderId="15" xfId="0" applyNumberFormat="1" applyFont="1" applyBorder="1" applyAlignment="1">
      <alignment horizontal="right"/>
    </xf>
    <xf numFmtId="2" fontId="10" fillId="3" borderId="14" xfId="0" applyNumberFormat="1" applyFont="1" applyFill="1" applyBorder="1"/>
    <xf numFmtId="171" fontId="11" fillId="5" borderId="4" xfId="0" applyNumberFormat="1" applyFont="1" applyFill="1" applyBorder="1"/>
    <xf numFmtId="174" fontId="11" fillId="5" borderId="4" xfId="0" applyNumberFormat="1" applyFont="1" applyFill="1" applyBorder="1"/>
    <xf numFmtId="164" fontId="11" fillId="5" borderId="4" xfId="0" applyNumberFormat="1" applyFont="1" applyFill="1" applyBorder="1"/>
    <xf numFmtId="175" fontId="11" fillId="5" borderId="4" xfId="0" applyNumberFormat="1" applyFont="1" applyFill="1" applyBorder="1"/>
    <xf numFmtId="10" fontId="11" fillId="0" borderId="15" xfId="0" applyNumberFormat="1" applyFont="1" applyBorder="1" applyAlignment="1">
      <alignment horizontal="right"/>
    </xf>
    <xf numFmtId="9" fontId="11" fillId="0" borderId="15" xfId="0" applyNumberFormat="1" applyFont="1" applyBorder="1" applyAlignment="1">
      <alignment horizontal="right"/>
    </xf>
    <xf numFmtId="0" fontId="8" fillId="3" borderId="4" xfId="0" applyFont="1" applyFill="1" applyBorder="1"/>
    <xf numFmtId="176" fontId="11" fillId="0" borderId="15" xfId="0" applyNumberFormat="1" applyFont="1" applyBorder="1" applyAlignment="1">
      <alignment horizontal="left"/>
    </xf>
    <xf numFmtId="4" fontId="11" fillId="5" borderId="4" xfId="0" applyNumberFormat="1" applyFont="1" applyFill="1" applyBorder="1" applyAlignment="1">
      <alignment horizontal="right"/>
    </xf>
    <xf numFmtId="174" fontId="3" fillId="0" borderId="0" xfId="0" applyNumberFormat="1" applyFont="1"/>
    <xf numFmtId="0" fontId="8" fillId="11" borderId="1" xfId="0" applyFont="1" applyFill="1" applyBorder="1" applyAlignment="1">
      <alignment horizontal="center"/>
    </xf>
    <xf numFmtId="0" fontId="8" fillId="7" borderId="0" xfId="0" applyFont="1" applyFill="1" applyAlignment="1">
      <alignment horizontal="right"/>
    </xf>
    <xf numFmtId="0" fontId="8" fillId="7" borderId="0" xfId="0" applyFont="1" applyFill="1"/>
    <xf numFmtId="175" fontId="9" fillId="5" borderId="4" xfId="0" applyNumberFormat="1" applyFont="1" applyFill="1" applyBorder="1"/>
    <xf numFmtId="2" fontId="9" fillId="5" borderId="4" xfId="0" applyNumberFormat="1" applyFont="1" applyFill="1" applyBorder="1"/>
    <xf numFmtId="4" fontId="9" fillId="5" borderId="4" xfId="0" applyNumberFormat="1" applyFont="1" applyFill="1" applyBorder="1"/>
    <xf numFmtId="0" fontId="16" fillId="11" borderId="0" xfId="0" applyFont="1" applyFill="1" applyAlignment="1">
      <alignment horizontal="center"/>
    </xf>
    <xf numFmtId="0" fontId="3" fillId="11" borderId="0" xfId="0" applyFont="1" applyFill="1"/>
    <xf numFmtId="0" fontId="11" fillId="11" borderId="0" xfId="0" applyFont="1" applyFill="1"/>
    <xf numFmtId="0" fontId="17" fillId="0" borderId="0" xfId="0" applyFont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14" fillId="11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16" fillId="11" borderId="4" xfId="0" applyFont="1" applyFill="1" applyBorder="1"/>
    <xf numFmtId="0" fontId="9" fillId="5" borderId="1" xfId="0" applyFont="1" applyFill="1" applyBorder="1" applyAlignment="1">
      <alignment vertical="center"/>
    </xf>
    <xf numFmtId="0" fontId="2" fillId="8" borderId="7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/>
    </xf>
    <xf numFmtId="0" fontId="3" fillId="12" borderId="0" xfId="0" applyFont="1" applyFill="1"/>
    <xf numFmtId="0" fontId="2" fillId="8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8" fillId="11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9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2" fillId="1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8" fillId="12" borderId="4" xfId="0" applyFont="1" applyFill="1" applyBorder="1"/>
    <xf numFmtId="0" fontId="4" fillId="12" borderId="18" xfId="0" applyFont="1" applyFill="1" applyBorder="1" applyAlignment="1">
      <alignment horizontal="center"/>
    </xf>
    <xf numFmtId="0" fontId="4" fillId="12" borderId="19" xfId="0" applyFont="1" applyFill="1" applyBorder="1"/>
    <xf numFmtId="0" fontId="4" fillId="12" borderId="5" xfId="0" applyFont="1" applyFill="1" applyBorder="1"/>
    <xf numFmtId="0" fontId="4" fillId="12" borderId="5" xfId="0" applyFont="1" applyFill="1" applyBorder="1" applyAlignment="1">
      <alignment horizontal="center"/>
    </xf>
    <xf numFmtId="0" fontId="2" fillId="5" borderId="1" xfId="0" applyFont="1" applyFill="1" applyBorder="1"/>
    <xf numFmtId="0" fontId="19" fillId="14" borderId="5" xfId="0" applyFont="1" applyFill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8" fillId="11" borderId="4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wrapText="1"/>
    </xf>
    <xf numFmtId="0" fontId="9" fillId="5" borderId="20" xfId="0" applyFont="1" applyFill="1" applyBorder="1" applyAlignment="1">
      <alignment wrapText="1"/>
    </xf>
    <xf numFmtId="0" fontId="4" fillId="12" borderId="4" xfId="0" applyFont="1" applyFill="1" applyBorder="1" applyAlignment="1">
      <alignment horizontal="center"/>
    </xf>
    <xf numFmtId="0" fontId="4" fillId="12" borderId="21" xfId="0" applyFont="1" applyFill="1" applyBorder="1"/>
    <xf numFmtId="0" fontId="4" fillId="12" borderId="4" xfId="0" applyFont="1" applyFill="1" applyBorder="1"/>
    <xf numFmtId="0" fontId="4" fillId="12" borderId="22" xfId="0" applyFont="1" applyFill="1" applyBorder="1" applyAlignment="1">
      <alignment horizontal="center"/>
    </xf>
    <xf numFmtId="0" fontId="9" fillId="0" borderId="23" xfId="0" applyFont="1" applyBorder="1"/>
    <xf numFmtId="0" fontId="20" fillId="0" borderId="0" xfId="0" applyFont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20" fillId="0" borderId="0" xfId="0" applyFont="1"/>
    <xf numFmtId="0" fontId="21" fillId="15" borderId="24" xfId="0" applyFont="1" applyFill="1" applyBorder="1" applyAlignment="1">
      <alignment horizontal="center"/>
    </xf>
    <xf numFmtId="0" fontId="21" fillId="15" borderId="15" xfId="0" applyFont="1" applyFill="1" applyBorder="1" applyAlignment="1">
      <alignment horizontal="center"/>
    </xf>
    <xf numFmtId="0" fontId="21" fillId="15" borderId="1" xfId="0" applyFont="1" applyFill="1" applyBorder="1"/>
    <xf numFmtId="0" fontId="21" fillId="15" borderId="3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15" fillId="11" borderId="0" xfId="0" applyFont="1" applyFill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 vertical="center"/>
    </xf>
    <xf numFmtId="0" fontId="21" fillId="16" borderId="3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3" fillId="8" borderId="8" xfId="0" applyFont="1" applyFill="1" applyBorder="1" applyAlignment="1">
      <alignment horizontal="center"/>
    </xf>
    <xf numFmtId="9" fontId="9" fillId="0" borderId="0" xfId="0" applyNumberFormat="1" applyFont="1" applyAlignment="1">
      <alignment horizontal="center"/>
    </xf>
    <xf numFmtId="0" fontId="15" fillId="6" borderId="0" xfId="0" applyFont="1" applyFill="1"/>
    <xf numFmtId="0" fontId="4" fillId="7" borderId="0" xfId="0" applyFont="1" applyFill="1" applyAlignment="1">
      <alignment horizontal="center"/>
    </xf>
    <xf numFmtId="0" fontId="9" fillId="5" borderId="4" xfId="0" applyFont="1" applyFill="1" applyBorder="1" applyAlignment="1">
      <alignment horizontal="center"/>
    </xf>
    <xf numFmtId="9" fontId="9" fillId="5" borderId="4" xfId="0" applyNumberFormat="1" applyFont="1" applyFill="1" applyBorder="1" applyAlignment="1">
      <alignment horizontal="center"/>
    </xf>
    <xf numFmtId="0" fontId="17" fillId="17" borderId="4" xfId="0" applyFont="1" applyFill="1" applyBorder="1" applyAlignment="1">
      <alignment horizontal="center"/>
    </xf>
    <xf numFmtId="0" fontId="17" fillId="0" borderId="0" xfId="0" applyFont="1"/>
    <xf numFmtId="0" fontId="3" fillId="8" borderId="9" xfId="0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3" fillId="5" borderId="23" xfId="0" applyFont="1" applyFill="1" applyBorder="1"/>
    <xf numFmtId="0" fontId="9" fillId="18" borderId="5" xfId="0" applyFont="1" applyFill="1" applyBorder="1"/>
    <xf numFmtId="0" fontId="16" fillId="11" borderId="4" xfId="0" applyFont="1" applyFill="1" applyBorder="1" applyAlignment="1">
      <alignment horizontal="center"/>
    </xf>
    <xf numFmtId="0" fontId="3" fillId="11" borderId="4" xfId="0" applyFont="1" applyFill="1" applyBorder="1"/>
    <xf numFmtId="0" fontId="4" fillId="11" borderId="4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4" fillId="7" borderId="4" xfId="0" applyFont="1" applyFill="1" applyBorder="1" applyAlignment="1">
      <alignment horizontal="left"/>
    </xf>
    <xf numFmtId="0" fontId="4" fillId="7" borderId="4" xfId="0" applyFont="1" applyFill="1" applyBorder="1" applyAlignment="1">
      <alignment horizontal="left" vertical="center"/>
    </xf>
    <xf numFmtId="0" fontId="18" fillId="0" borderId="4" xfId="0" applyFont="1" applyBorder="1"/>
    <xf numFmtId="0" fontId="18" fillId="5" borderId="4" xfId="0" applyFont="1" applyFill="1" applyBorder="1" applyAlignment="1">
      <alignment horizontal="center" vertical="center"/>
    </xf>
    <xf numFmtId="0" fontId="16" fillId="7" borderId="4" xfId="0" applyFont="1" applyFill="1" applyBorder="1"/>
    <xf numFmtId="0" fontId="22" fillId="5" borderId="4" xfId="0" applyFont="1" applyFill="1" applyBorder="1"/>
    <xf numFmtId="0" fontId="22" fillId="5" borderId="4" xfId="0" applyFont="1" applyFill="1" applyBorder="1" applyAlignment="1">
      <alignment horizontal="right"/>
    </xf>
    <xf numFmtId="0" fontId="21" fillId="0" borderId="4" xfId="0" applyFont="1" applyBorder="1"/>
    <xf numFmtId="0" fontId="21" fillId="5" borderId="4" xfId="0" applyFont="1" applyFill="1" applyBorder="1"/>
    <xf numFmtId="167" fontId="20" fillId="0" borderId="0" xfId="0" applyNumberFormat="1" applyFont="1"/>
    <xf numFmtId="167" fontId="24" fillId="12" borderId="4" xfId="0" applyNumberFormat="1" applyFont="1" applyFill="1" applyBorder="1"/>
    <xf numFmtId="169" fontId="24" fillId="12" borderId="4" xfId="0" applyNumberFormat="1" applyFont="1" applyFill="1" applyBorder="1" applyAlignment="1">
      <alignment horizontal="right"/>
    </xf>
    <xf numFmtId="167" fontId="20" fillId="5" borderId="14" xfId="0" applyNumberFormat="1" applyFont="1" applyFill="1" applyBorder="1"/>
    <xf numFmtId="41" fontId="20" fillId="5" borderId="28" xfId="0" applyNumberFormat="1" applyFont="1" applyFill="1" applyBorder="1" applyAlignment="1">
      <alignment horizontal="right"/>
    </xf>
    <xf numFmtId="169" fontId="20" fillId="5" borderId="28" xfId="0" applyNumberFormat="1" applyFont="1" applyFill="1" applyBorder="1" applyAlignment="1">
      <alignment horizontal="right"/>
    </xf>
    <xf numFmtId="177" fontId="20" fillId="0" borderId="16" xfId="0" applyNumberFormat="1" applyFont="1" applyBorder="1"/>
    <xf numFmtId="177" fontId="24" fillId="11" borderId="4" xfId="0" applyNumberFormat="1" applyFont="1" applyFill="1" applyBorder="1"/>
    <xf numFmtId="177" fontId="24" fillId="11" borderId="4" xfId="0" applyNumberFormat="1" applyFont="1" applyFill="1" applyBorder="1" applyAlignment="1">
      <alignment horizontal="center"/>
    </xf>
    <xf numFmtId="177" fontId="24" fillId="12" borderId="24" xfId="0" applyNumberFormat="1" applyFont="1" applyFill="1" applyBorder="1"/>
    <xf numFmtId="177" fontId="26" fillId="5" borderId="4" xfId="0" applyNumberFormat="1" applyFont="1" applyFill="1" applyBorder="1"/>
    <xf numFmtId="177" fontId="20" fillId="5" borderId="4" xfId="0" applyNumberFormat="1" applyFont="1" applyFill="1" applyBorder="1"/>
    <xf numFmtId="174" fontId="20" fillId="8" borderId="4" xfId="0" applyNumberFormat="1" applyFont="1" applyFill="1" applyBorder="1" applyAlignment="1">
      <alignment horizontal="right"/>
    </xf>
    <xf numFmtId="174" fontId="20" fillId="5" borderId="4" xfId="0" applyNumberFormat="1" applyFont="1" applyFill="1" applyBorder="1"/>
    <xf numFmtId="0" fontId="20" fillId="8" borderId="4" xfId="0" applyFont="1" applyFill="1" applyBorder="1"/>
    <xf numFmtId="177" fontId="20" fillId="8" borderId="4" xfId="0" applyNumberFormat="1" applyFont="1" applyFill="1" applyBorder="1"/>
    <xf numFmtId="164" fontId="20" fillId="5" borderId="4" xfId="0" applyNumberFormat="1" applyFont="1" applyFill="1" applyBorder="1"/>
    <xf numFmtId="177" fontId="24" fillId="12" borderId="32" xfId="0" applyNumberFormat="1" applyFont="1" applyFill="1" applyBorder="1"/>
    <xf numFmtId="49" fontId="24" fillId="12" borderId="1" xfId="0" applyNumberFormat="1" applyFont="1" applyFill="1" applyBorder="1"/>
    <xf numFmtId="0" fontId="26" fillId="8" borderId="4" xfId="0" applyFont="1" applyFill="1" applyBorder="1"/>
    <xf numFmtId="0" fontId="27" fillId="8" borderId="18" xfId="0" applyFont="1" applyFill="1" applyBorder="1"/>
    <xf numFmtId="177" fontId="24" fillId="12" borderId="1" xfId="0" applyNumberFormat="1" applyFont="1" applyFill="1" applyBorder="1"/>
    <xf numFmtId="177" fontId="24" fillId="11" borderId="21" xfId="0" applyNumberFormat="1" applyFont="1" applyFill="1" applyBorder="1" applyAlignment="1">
      <alignment horizontal="right"/>
    </xf>
    <xf numFmtId="177" fontId="24" fillId="11" borderId="4" xfId="0" applyNumberFormat="1" applyFont="1" applyFill="1" applyBorder="1" applyAlignment="1">
      <alignment horizontal="right"/>
    </xf>
    <xf numFmtId="169" fontId="24" fillId="11" borderId="21" xfId="0" applyNumberFormat="1" applyFont="1" applyFill="1" applyBorder="1" applyAlignment="1">
      <alignment horizontal="right"/>
    </xf>
    <xf numFmtId="164" fontId="24" fillId="11" borderId="4" xfId="0" applyNumberFormat="1" applyFont="1" applyFill="1" applyBorder="1" applyAlignment="1">
      <alignment horizontal="right"/>
    </xf>
    <xf numFmtId="166" fontId="24" fillId="11" borderId="4" xfId="0" applyNumberFormat="1" applyFont="1" applyFill="1" applyBorder="1" applyAlignment="1">
      <alignment horizontal="right"/>
    </xf>
    <xf numFmtId="177" fontId="20" fillId="0" borderId="0" xfId="0" applyNumberFormat="1" applyFont="1"/>
    <xf numFmtId="177" fontId="20" fillId="0" borderId="24" xfId="0" applyNumberFormat="1" applyFont="1" applyBorder="1"/>
    <xf numFmtId="177" fontId="25" fillId="11" borderId="4" xfId="0" applyNumberFormat="1" applyFont="1" applyFill="1" applyBorder="1"/>
    <xf numFmtId="177" fontId="25" fillId="11" borderId="4" xfId="0" applyNumberFormat="1" applyFont="1" applyFill="1" applyBorder="1" applyAlignment="1">
      <alignment horizontal="center" wrapText="1"/>
    </xf>
    <xf numFmtId="177" fontId="24" fillId="12" borderId="14" xfId="0" applyNumberFormat="1" applyFont="1" applyFill="1" applyBorder="1"/>
    <xf numFmtId="0" fontId="20" fillId="5" borderId="4" xfId="0" applyFont="1" applyFill="1" applyBorder="1"/>
    <xf numFmtId="166" fontId="20" fillId="5" borderId="4" xfId="0" applyNumberFormat="1" applyFont="1" applyFill="1" applyBorder="1"/>
    <xf numFmtId="166" fontId="26" fillId="5" borderId="21" xfId="0" applyNumberFormat="1" applyFont="1" applyFill="1" applyBorder="1"/>
    <xf numFmtId="177" fontId="24" fillId="12" borderId="4" xfId="0" applyNumberFormat="1" applyFont="1" applyFill="1" applyBorder="1"/>
    <xf numFmtId="3" fontId="24" fillId="12" borderId="36" xfId="0" applyNumberFormat="1" applyFont="1" applyFill="1" applyBorder="1" applyAlignment="1">
      <alignment horizontal="right"/>
    </xf>
    <xf numFmtId="166" fontId="24" fillId="12" borderId="37" xfId="0" applyNumberFormat="1" applyFont="1" applyFill="1" applyBorder="1" applyAlignment="1">
      <alignment horizontal="right"/>
    </xf>
    <xf numFmtId="164" fontId="24" fillId="12" borderId="37" xfId="0" applyNumberFormat="1" applyFont="1" applyFill="1" applyBorder="1" applyAlignment="1">
      <alignment horizontal="right"/>
    </xf>
    <xf numFmtId="177" fontId="20" fillId="0" borderId="15" xfId="0" applyNumberFormat="1" applyFont="1" applyBorder="1"/>
    <xf numFmtId="177" fontId="25" fillId="11" borderId="38" xfId="0" applyNumberFormat="1" applyFont="1" applyFill="1" applyBorder="1"/>
    <xf numFmtId="177" fontId="25" fillId="11" borderId="37" xfId="0" applyNumberFormat="1" applyFont="1" applyFill="1" applyBorder="1" applyAlignment="1">
      <alignment horizontal="center"/>
    </xf>
    <xf numFmtId="177" fontId="20" fillId="5" borderId="28" xfId="0" applyNumberFormat="1" applyFont="1" applyFill="1" applyBorder="1" applyAlignment="1">
      <alignment horizontal="center"/>
    </xf>
    <xf numFmtId="177" fontId="24" fillId="11" borderId="14" xfId="0" applyNumberFormat="1" applyFont="1" applyFill="1" applyBorder="1"/>
    <xf numFmtId="177" fontId="24" fillId="11" borderId="28" xfId="0" applyNumberFormat="1" applyFont="1" applyFill="1" applyBorder="1" applyAlignment="1">
      <alignment horizontal="center"/>
    </xf>
    <xf numFmtId="166" fontId="16" fillId="11" borderId="4" xfId="0" applyNumberFormat="1" applyFont="1" applyFill="1" applyBorder="1"/>
    <xf numFmtId="164" fontId="16" fillId="11" borderId="4" xfId="0" applyNumberFormat="1" applyFont="1" applyFill="1" applyBorder="1"/>
    <xf numFmtId="0" fontId="25" fillId="11" borderId="17" xfId="0" applyFont="1" applyFill="1" applyBorder="1" applyAlignment="1">
      <alignment horizontal="center"/>
    </xf>
    <xf numFmtId="0" fontId="24" fillId="12" borderId="4" xfId="0" applyFont="1" applyFill="1" applyBorder="1"/>
    <xf numFmtId="0" fontId="24" fillId="21" borderId="4" xfId="0" applyFont="1" applyFill="1" applyBorder="1"/>
    <xf numFmtId="0" fontId="24" fillId="20" borderId="4" xfId="0" applyFont="1" applyFill="1" applyBorder="1"/>
    <xf numFmtId="4" fontId="20" fillId="5" borderId="41" xfId="0" applyNumberFormat="1" applyFont="1" applyFill="1" applyBorder="1" applyAlignment="1">
      <alignment horizontal="center"/>
    </xf>
    <xf numFmtId="4" fontId="20" fillId="22" borderId="41" xfId="0" applyNumberFormat="1" applyFont="1" applyFill="1" applyBorder="1" applyAlignment="1">
      <alignment horizontal="center"/>
    </xf>
    <xf numFmtId="4" fontId="20" fillId="5" borderId="4" xfId="0" applyNumberFormat="1" applyFont="1" applyFill="1" applyBorder="1" applyAlignment="1">
      <alignment horizontal="center"/>
    </xf>
    <xf numFmtId="4" fontId="3" fillId="5" borderId="41" xfId="0" applyNumberFormat="1" applyFont="1" applyFill="1" applyBorder="1"/>
    <xf numFmtId="4" fontId="3" fillId="22" borderId="41" xfId="0" applyNumberFormat="1" applyFont="1" applyFill="1" applyBorder="1"/>
    <xf numFmtId="4" fontId="3" fillId="22" borderId="41" xfId="0" applyNumberFormat="1" applyFont="1" applyFill="1" applyBorder="1" applyAlignment="1">
      <alignment horizontal="center"/>
    </xf>
    <xf numFmtId="4" fontId="20" fillId="22" borderId="15" xfId="0" applyNumberFormat="1" applyFont="1" applyFill="1" applyBorder="1" applyAlignment="1">
      <alignment horizontal="center"/>
    </xf>
    <xf numFmtId="0" fontId="25" fillId="11" borderId="14" xfId="0" applyFont="1" applyFill="1" applyBorder="1"/>
    <xf numFmtId="4" fontId="24" fillId="11" borderId="28" xfId="0" applyNumberFormat="1" applyFont="1" applyFill="1" applyBorder="1"/>
    <xf numFmtId="4" fontId="24" fillId="11" borderId="28" xfId="0" applyNumberFormat="1" applyFont="1" applyFill="1" applyBorder="1" applyAlignment="1">
      <alignment horizontal="center"/>
    </xf>
    <xf numFmtId="4" fontId="24" fillId="21" borderId="4" xfId="0" applyNumberFormat="1" applyFont="1" applyFill="1" applyBorder="1" applyAlignment="1">
      <alignment horizontal="center"/>
    </xf>
    <xf numFmtId="4" fontId="24" fillId="21" borderId="1" xfId="0" applyNumberFormat="1" applyFont="1" applyFill="1" applyBorder="1" applyAlignment="1">
      <alignment horizontal="center"/>
    </xf>
    <xf numFmtId="4" fontId="24" fillId="20" borderId="4" xfId="0" applyNumberFormat="1" applyFont="1" applyFill="1" applyBorder="1" applyAlignment="1">
      <alignment horizontal="center"/>
    </xf>
    <xf numFmtId="4" fontId="25" fillId="20" borderId="4" xfId="0" applyNumberFormat="1" applyFont="1" applyFill="1" applyBorder="1" applyAlignment="1">
      <alignment horizontal="center"/>
    </xf>
    <xf numFmtId="0" fontId="25" fillId="11" borderId="4" xfId="0" applyFont="1" applyFill="1" applyBorder="1" applyAlignment="1">
      <alignment horizontal="center"/>
    </xf>
    <xf numFmtId="4" fontId="25" fillId="11" borderId="4" xfId="0" applyNumberFormat="1" applyFont="1" applyFill="1" applyBorder="1" applyAlignment="1">
      <alignment horizontal="center"/>
    </xf>
    <xf numFmtId="4" fontId="25" fillId="21" borderId="4" xfId="0" applyNumberFormat="1" applyFont="1" applyFill="1" applyBorder="1" applyAlignment="1">
      <alignment horizontal="center"/>
    </xf>
    <xf numFmtId="4" fontId="25" fillId="21" borderId="1" xfId="0" applyNumberFormat="1" applyFont="1" applyFill="1" applyBorder="1" applyAlignment="1">
      <alignment horizontal="center"/>
    </xf>
    <xf numFmtId="4" fontId="25" fillId="0" borderId="0" xfId="0" applyNumberFormat="1" applyFont="1" applyAlignment="1">
      <alignment horizontal="center"/>
    </xf>
    <xf numFmtId="0" fontId="25" fillId="11" borderId="4" xfId="0" applyFont="1" applyFill="1" applyBorder="1" applyAlignment="1">
      <alignment horizontal="left"/>
    </xf>
    <xf numFmtId="0" fontId="25" fillId="21" borderId="4" xfId="0" applyFont="1" applyFill="1" applyBorder="1" applyAlignment="1">
      <alignment horizontal="left"/>
    </xf>
    <xf numFmtId="0" fontId="25" fillId="0" borderId="0" xfId="0" applyFont="1" applyAlignment="1">
      <alignment horizontal="center"/>
    </xf>
    <xf numFmtId="0" fontId="16" fillId="21" borderId="4" xfId="0" applyFont="1" applyFill="1" applyBorder="1"/>
    <xf numFmtId="0" fontId="24" fillId="12" borderId="14" xfId="0" applyFont="1" applyFill="1" applyBorder="1"/>
    <xf numFmtId="0" fontId="24" fillId="12" borderId="28" xfId="0" applyFont="1" applyFill="1" applyBorder="1"/>
    <xf numFmtId="0" fontId="24" fillId="12" borderId="28" xfId="0" applyFont="1" applyFill="1" applyBorder="1" applyAlignment="1">
      <alignment horizontal="center"/>
    </xf>
    <xf numFmtId="0" fontId="24" fillId="12" borderId="41" xfId="0" applyFont="1" applyFill="1" applyBorder="1" applyAlignment="1">
      <alignment horizontal="center"/>
    </xf>
    <xf numFmtId="178" fontId="20" fillId="5" borderId="28" xfId="0" applyNumberFormat="1" applyFont="1" applyFill="1" applyBorder="1"/>
    <xf numFmtId="0" fontId="20" fillId="5" borderId="28" xfId="0" applyFont="1" applyFill="1" applyBorder="1"/>
    <xf numFmtId="3" fontId="3" fillId="5" borderId="28" xfId="0" applyNumberFormat="1" applyFont="1" applyFill="1" applyBorder="1"/>
    <xf numFmtId="4" fontId="3" fillId="5" borderId="28" xfId="0" applyNumberFormat="1" applyFont="1" applyFill="1" applyBorder="1"/>
    <xf numFmtId="178" fontId="3" fillId="5" borderId="28" xfId="0" applyNumberFormat="1" applyFont="1" applyFill="1" applyBorder="1"/>
    <xf numFmtId="178" fontId="3" fillId="5" borderId="4" xfId="0" applyNumberFormat="1" applyFont="1" applyFill="1" applyBorder="1"/>
    <xf numFmtId="3" fontId="20" fillId="5" borderId="28" xfId="0" applyNumberFormat="1" applyFont="1" applyFill="1" applyBorder="1" applyAlignment="1">
      <alignment horizontal="right"/>
    </xf>
    <xf numFmtId="177" fontId="20" fillId="5" borderId="28" xfId="0" applyNumberFormat="1" applyFont="1" applyFill="1" applyBorder="1"/>
    <xf numFmtId="3" fontId="26" fillId="0" borderId="0" xfId="0" applyNumberFormat="1" applyFont="1"/>
    <xf numFmtId="3" fontId="25" fillId="12" borderId="14" xfId="0" applyNumberFormat="1" applyFont="1" applyFill="1" applyBorder="1"/>
    <xf numFmtId="179" fontId="24" fillId="12" borderId="28" xfId="0" applyNumberFormat="1" applyFont="1" applyFill="1" applyBorder="1"/>
    <xf numFmtId="0" fontId="8" fillId="12" borderId="28" xfId="0" applyFont="1" applyFill="1" applyBorder="1" applyAlignment="1">
      <alignment horizontal="center"/>
    </xf>
    <xf numFmtId="4" fontId="20" fillId="5" borderId="28" xfId="0" applyNumberFormat="1" applyFont="1" applyFill="1" applyBorder="1" applyAlignment="1">
      <alignment horizontal="right"/>
    </xf>
    <xf numFmtId="0" fontId="9" fillId="11" borderId="17" xfId="0" applyFont="1" applyFill="1" applyBorder="1"/>
    <xf numFmtId="177" fontId="24" fillId="12" borderId="21" xfId="0" applyNumberFormat="1" applyFont="1" applyFill="1" applyBorder="1"/>
    <xf numFmtId="4" fontId="28" fillId="5" borderId="41" xfId="0" applyNumberFormat="1" applyFont="1" applyFill="1" applyBorder="1" applyAlignment="1">
      <alignment horizontal="center"/>
    </xf>
    <xf numFmtId="0" fontId="8" fillId="11" borderId="4" xfId="0" applyFont="1" applyFill="1" applyBorder="1"/>
    <xf numFmtId="4" fontId="8" fillId="11" borderId="4" xfId="0" applyNumberFormat="1" applyFont="1" applyFill="1" applyBorder="1"/>
    <xf numFmtId="2" fontId="24" fillId="21" borderId="5" xfId="0" applyNumberFormat="1" applyFont="1" applyFill="1" applyBorder="1"/>
    <xf numFmtId="4" fontId="8" fillId="11" borderId="4" xfId="0" applyNumberFormat="1" applyFont="1" applyFill="1" applyBorder="1" applyAlignment="1">
      <alignment horizontal="center"/>
    </xf>
    <xf numFmtId="4" fontId="24" fillId="11" borderId="4" xfId="0" applyNumberFormat="1" applyFont="1" applyFill="1" applyBorder="1" applyAlignment="1">
      <alignment horizontal="center"/>
    </xf>
    <xf numFmtId="4" fontId="20" fillId="5" borderId="28" xfId="0" applyNumberFormat="1" applyFont="1" applyFill="1" applyBorder="1"/>
    <xf numFmtId="178" fontId="20" fillId="5" borderId="4" xfId="0" applyNumberFormat="1" applyFont="1" applyFill="1" applyBorder="1"/>
    <xf numFmtId="4" fontId="20" fillId="5" borderId="4" xfId="0" applyNumberFormat="1" applyFont="1" applyFill="1" applyBorder="1"/>
    <xf numFmtId="0" fontId="8" fillId="11" borderId="5" xfId="0" applyFont="1" applyFill="1" applyBorder="1"/>
    <xf numFmtId="0" fontId="8" fillId="11" borderId="19" xfId="0" applyFont="1" applyFill="1" applyBorder="1"/>
    <xf numFmtId="0" fontId="8" fillId="12" borderId="5" xfId="0" applyFont="1" applyFill="1" applyBorder="1"/>
    <xf numFmtId="171" fontId="8" fillId="12" borderId="5" xfId="0" applyNumberFormat="1" applyFont="1" applyFill="1" applyBorder="1"/>
    <xf numFmtId="2" fontId="4" fillId="0" borderId="0" xfId="0" applyNumberFormat="1" applyFont="1" applyAlignment="1">
      <alignment horizontal="center"/>
    </xf>
    <xf numFmtId="2" fontId="9" fillId="0" borderId="0" xfId="0" applyNumberFormat="1" applyFont="1"/>
    <xf numFmtId="2" fontId="8" fillId="11" borderId="4" xfId="0" applyNumberFormat="1" applyFont="1" applyFill="1" applyBorder="1"/>
    <xf numFmtId="2" fontId="9" fillId="15" borderId="4" xfId="0" applyNumberFormat="1" applyFont="1" applyFill="1" applyBorder="1"/>
    <xf numFmtId="2" fontId="8" fillId="0" borderId="0" xfId="0" applyNumberFormat="1" applyFont="1"/>
    <xf numFmtId="2" fontId="7" fillId="11" borderId="4" xfId="0" applyNumberFormat="1" applyFont="1" applyFill="1" applyBorder="1"/>
    <xf numFmtId="2" fontId="8" fillId="11" borderId="5" xfId="0" applyNumberFormat="1" applyFont="1" applyFill="1" applyBorder="1"/>
    <xf numFmtId="4" fontId="9" fillId="5" borderId="5" xfId="0" applyNumberFormat="1" applyFont="1" applyFill="1" applyBorder="1"/>
    <xf numFmtId="2" fontId="9" fillId="5" borderId="5" xfId="0" applyNumberFormat="1" applyFont="1" applyFill="1" applyBorder="1"/>
    <xf numFmtId="171" fontId="8" fillId="11" borderId="4" xfId="0" applyNumberFormat="1" applyFont="1" applyFill="1" applyBorder="1" applyAlignment="1">
      <alignment horizontal="center"/>
    </xf>
    <xf numFmtId="171" fontId="8" fillId="11" borderId="1" xfId="0" applyNumberFormat="1" applyFont="1" applyFill="1" applyBorder="1" applyAlignment="1">
      <alignment horizontal="center"/>
    </xf>
    <xf numFmtId="171" fontId="8" fillId="0" borderId="0" xfId="0" applyNumberFormat="1" applyFont="1" applyAlignment="1">
      <alignment horizontal="center"/>
    </xf>
    <xf numFmtId="4" fontId="9" fillId="5" borderId="1" xfId="0" applyNumberFormat="1" applyFont="1" applyFill="1" applyBorder="1"/>
    <xf numFmtId="4" fontId="9" fillId="0" borderId="0" xfId="0" applyNumberFormat="1" applyFont="1"/>
    <xf numFmtId="4" fontId="3" fillId="5" borderId="4" xfId="0" applyNumberFormat="1" applyFont="1" applyFill="1" applyBorder="1"/>
    <xf numFmtId="4" fontId="17" fillId="5" borderId="4" xfId="0" applyNumberFormat="1" applyFont="1" applyFill="1" applyBorder="1"/>
    <xf numFmtId="4" fontId="17" fillId="5" borderId="1" xfId="0" applyNumberFormat="1" applyFont="1" applyFill="1" applyBorder="1"/>
    <xf numFmtId="4" fontId="17" fillId="0" borderId="0" xfId="0" applyNumberFormat="1" applyFont="1"/>
    <xf numFmtId="0" fontId="4" fillId="11" borderId="4" xfId="0" applyFont="1" applyFill="1" applyBorder="1"/>
    <xf numFmtId="0" fontId="3" fillId="5" borderId="0" xfId="0" applyFont="1" applyFill="1"/>
    <xf numFmtId="10" fontId="9" fillId="5" borderId="4" xfId="0" applyNumberFormat="1" applyFont="1" applyFill="1" applyBorder="1"/>
    <xf numFmtId="10" fontId="9" fillId="5" borderId="1" xfId="0" applyNumberFormat="1" applyFont="1" applyFill="1" applyBorder="1"/>
    <xf numFmtId="10" fontId="9" fillId="0" borderId="0" xfId="0" applyNumberFormat="1" applyFont="1"/>
    <xf numFmtId="180" fontId="9" fillId="5" borderId="4" xfId="0" applyNumberFormat="1" applyFont="1" applyFill="1" applyBorder="1"/>
    <xf numFmtId="180" fontId="9" fillId="5" borderId="1" xfId="0" applyNumberFormat="1" applyFont="1" applyFill="1" applyBorder="1"/>
    <xf numFmtId="180" fontId="9" fillId="0" borderId="0" xfId="0" applyNumberFormat="1" applyFont="1"/>
    <xf numFmtId="10" fontId="17" fillId="5" borderId="4" xfId="0" applyNumberFormat="1" applyFont="1" applyFill="1" applyBorder="1"/>
    <xf numFmtId="0" fontId="8" fillId="11" borderId="5" xfId="0" applyFont="1" applyFill="1" applyBorder="1" applyAlignment="1">
      <alignment horizontal="center"/>
    </xf>
    <xf numFmtId="3" fontId="8" fillId="11" borderId="5" xfId="0" applyNumberFormat="1" applyFont="1" applyFill="1" applyBorder="1" applyAlignment="1">
      <alignment horizontal="center"/>
    </xf>
    <xf numFmtId="10" fontId="8" fillId="11" borderId="4" xfId="0" applyNumberFormat="1" applyFont="1" applyFill="1" applyBorder="1"/>
    <xf numFmtId="0" fontId="9" fillId="5" borderId="4" xfId="0" applyFont="1" applyFill="1" applyBorder="1"/>
    <xf numFmtId="2" fontId="9" fillId="11" borderId="4" xfId="0" applyNumberFormat="1" applyFont="1" applyFill="1" applyBorder="1"/>
    <xf numFmtId="10" fontId="4" fillId="11" borderId="4" xfId="0" applyNumberFormat="1" applyFont="1" applyFill="1" applyBorder="1"/>
    <xf numFmtId="0" fontId="17" fillId="5" borderId="4" xfId="0" applyFont="1" applyFill="1" applyBorder="1"/>
    <xf numFmtId="9" fontId="9" fillId="5" borderId="4" xfId="0" applyNumberFormat="1" applyFont="1" applyFill="1" applyBorder="1"/>
    <xf numFmtId="3" fontId="9" fillId="5" borderId="4" xfId="0" applyNumberFormat="1" applyFont="1" applyFill="1" applyBorder="1"/>
    <xf numFmtId="0" fontId="14" fillId="11" borderId="4" xfId="0" applyFont="1" applyFill="1" applyBorder="1"/>
    <xf numFmtId="167" fontId="9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center"/>
    </xf>
    <xf numFmtId="0" fontId="11" fillId="23" borderId="4" xfId="0" applyFont="1" applyFill="1" applyBorder="1"/>
    <xf numFmtId="4" fontId="11" fillId="23" borderId="4" xfId="0" applyNumberFormat="1" applyFont="1" applyFill="1" applyBorder="1"/>
    <xf numFmtId="0" fontId="11" fillId="8" borderId="4" xfId="0" applyFont="1" applyFill="1" applyBorder="1"/>
    <xf numFmtId="4" fontId="11" fillId="8" borderId="4" xfId="0" applyNumberFormat="1" applyFont="1" applyFill="1" applyBorder="1"/>
    <xf numFmtId="41" fontId="11" fillId="8" borderId="4" xfId="0" applyNumberFormat="1" applyFont="1" applyFill="1" applyBorder="1"/>
    <xf numFmtId="0" fontId="14" fillId="12" borderId="4" xfId="0" applyFont="1" applyFill="1" applyBorder="1"/>
    <xf numFmtId="4" fontId="9" fillId="8" borderId="4" xfId="0" applyNumberFormat="1" applyFont="1" applyFill="1" applyBorder="1"/>
    <xf numFmtId="175" fontId="11" fillId="23" borderId="4" xfId="0" applyNumberFormat="1" applyFont="1" applyFill="1" applyBorder="1"/>
    <xf numFmtId="164" fontId="11" fillId="23" borderId="4" xfId="0" applyNumberFormat="1" applyFont="1" applyFill="1" applyBorder="1"/>
    <xf numFmtId="2" fontId="11" fillId="23" borderId="4" xfId="0" applyNumberFormat="1" applyFont="1" applyFill="1" applyBorder="1"/>
    <xf numFmtId="0" fontId="12" fillId="23" borderId="4" xfId="0" applyFont="1" applyFill="1" applyBorder="1" applyAlignment="1">
      <alignment horizontal="right"/>
    </xf>
    <xf numFmtId="0" fontId="21" fillId="8" borderId="1" xfId="0" applyFont="1" applyFill="1" applyBorder="1"/>
    <xf numFmtId="0" fontId="21" fillId="8" borderId="2" xfId="0" applyFont="1" applyFill="1" applyBorder="1"/>
    <xf numFmtId="0" fontId="21" fillId="8" borderId="3" xfId="0" applyFont="1" applyFill="1" applyBorder="1"/>
    <xf numFmtId="0" fontId="11" fillId="23" borderId="44" xfId="0" applyFont="1" applyFill="1" applyBorder="1"/>
    <xf numFmtId="175" fontId="11" fillId="23" borderId="44" xfId="0" applyNumberFormat="1" applyFont="1" applyFill="1" applyBorder="1" applyAlignment="1">
      <alignment horizontal="right"/>
    </xf>
    <xf numFmtId="164" fontId="11" fillId="23" borderId="44" xfId="0" applyNumberFormat="1" applyFont="1" applyFill="1" applyBorder="1" applyAlignment="1">
      <alignment horizontal="right"/>
    </xf>
    <xf numFmtId="4" fontId="11" fillId="23" borderId="44" xfId="0" applyNumberFormat="1" applyFont="1" applyFill="1" applyBorder="1" applyAlignment="1">
      <alignment horizontal="right"/>
    </xf>
    <xf numFmtId="0" fontId="11" fillId="23" borderId="44" xfId="0" applyFont="1" applyFill="1" applyBorder="1" applyAlignment="1">
      <alignment horizontal="right"/>
    </xf>
    <xf numFmtId="2" fontId="11" fillId="23" borderId="44" xfId="0" applyNumberFormat="1" applyFont="1" applyFill="1" applyBorder="1" applyAlignment="1">
      <alignment horizontal="right"/>
    </xf>
    <xf numFmtId="0" fontId="11" fillId="23" borderId="28" xfId="0" applyFont="1" applyFill="1" applyBorder="1"/>
    <xf numFmtId="175" fontId="11" fillId="23" borderId="28" xfId="0" applyNumberFormat="1" applyFont="1" applyFill="1" applyBorder="1" applyAlignment="1">
      <alignment horizontal="right"/>
    </xf>
    <xf numFmtId="164" fontId="11" fillId="23" borderId="28" xfId="0" applyNumberFormat="1" applyFont="1" applyFill="1" applyBorder="1" applyAlignment="1">
      <alignment horizontal="right"/>
    </xf>
    <xf numFmtId="4" fontId="11" fillId="23" borderId="28" xfId="0" applyNumberFormat="1" applyFont="1" applyFill="1" applyBorder="1" applyAlignment="1">
      <alignment horizontal="right"/>
    </xf>
    <xf numFmtId="0" fontId="11" fillId="23" borderId="28" xfId="0" applyFont="1" applyFill="1" applyBorder="1" applyAlignment="1">
      <alignment horizontal="right"/>
    </xf>
    <xf numFmtId="2" fontId="11" fillId="23" borderId="28" xfId="0" applyNumberFormat="1" applyFont="1" applyFill="1" applyBorder="1" applyAlignment="1">
      <alignment horizontal="right"/>
    </xf>
    <xf numFmtId="0" fontId="11" fillId="23" borderId="21" xfId="0" applyFont="1" applyFill="1" applyBorder="1"/>
    <xf numFmtId="0" fontId="11" fillId="23" borderId="41" xfId="0" applyFont="1" applyFill="1" applyBorder="1"/>
    <xf numFmtId="175" fontId="11" fillId="23" borderId="19" xfId="0" applyNumberFormat="1" applyFont="1" applyFill="1" applyBorder="1" applyAlignment="1">
      <alignment horizontal="right"/>
    </xf>
    <xf numFmtId="164" fontId="11" fillId="23" borderId="4" xfId="0" applyNumberFormat="1" applyFont="1" applyFill="1" applyBorder="1" applyAlignment="1">
      <alignment horizontal="right"/>
    </xf>
    <xf numFmtId="4" fontId="11" fillId="23" borderId="4" xfId="0" applyNumberFormat="1" applyFont="1" applyFill="1" applyBorder="1" applyAlignment="1">
      <alignment horizontal="right"/>
    </xf>
    <xf numFmtId="0" fontId="11" fillId="23" borderId="4" xfId="0" applyFont="1" applyFill="1" applyBorder="1" applyAlignment="1">
      <alignment horizontal="right"/>
    </xf>
    <xf numFmtId="2" fontId="11" fillId="23" borderId="4" xfId="0" applyNumberFormat="1" applyFont="1" applyFill="1" applyBorder="1" applyAlignment="1">
      <alignment horizontal="right"/>
    </xf>
    <xf numFmtId="175" fontId="11" fillId="23" borderId="4" xfId="0" applyNumberFormat="1" applyFont="1" applyFill="1" applyBorder="1" applyAlignment="1">
      <alignment horizontal="right"/>
    </xf>
    <xf numFmtId="0" fontId="11" fillId="23" borderId="15" xfId="0" applyFont="1" applyFill="1" applyBorder="1"/>
    <xf numFmtId="175" fontId="11" fillId="23" borderId="3" xfId="0" applyNumberFormat="1" applyFont="1" applyFill="1" applyBorder="1" applyAlignment="1">
      <alignment horizontal="right"/>
    </xf>
    <xf numFmtId="0" fontId="11" fillId="23" borderId="3" xfId="0" applyFont="1" applyFill="1" applyBorder="1" applyAlignment="1">
      <alignment horizontal="right"/>
    </xf>
    <xf numFmtId="2" fontId="11" fillId="23" borderId="3" xfId="0" applyNumberFormat="1" applyFont="1" applyFill="1" applyBorder="1" applyAlignment="1">
      <alignment horizontal="right"/>
    </xf>
    <xf numFmtId="0" fontId="17" fillId="8" borderId="1" xfId="0" applyFont="1" applyFill="1" applyBorder="1"/>
    <xf numFmtId="0" fontId="17" fillId="8" borderId="2" xfId="0" applyFont="1" applyFill="1" applyBorder="1"/>
    <xf numFmtId="0" fontId="17" fillId="8" borderId="3" xfId="0" applyFont="1" applyFill="1" applyBorder="1"/>
    <xf numFmtId="4" fontId="11" fillId="0" borderId="4" xfId="0" applyNumberFormat="1" applyFont="1" applyBorder="1"/>
    <xf numFmtId="4" fontId="29" fillId="8" borderId="4" xfId="0" applyNumberFormat="1" applyFont="1" applyFill="1" applyBorder="1"/>
    <xf numFmtId="175" fontId="1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181" fontId="11" fillId="0" borderId="0" xfId="0" applyNumberFormat="1" applyFont="1" applyAlignment="1">
      <alignment horizontal="center"/>
    </xf>
    <xf numFmtId="164" fontId="11" fillId="0" borderId="0" xfId="0" applyNumberFormat="1" applyFont="1"/>
    <xf numFmtId="175" fontId="14" fillId="11" borderId="4" xfId="0" applyNumberFormat="1" applyFont="1" applyFill="1" applyBorder="1"/>
    <xf numFmtId="164" fontId="14" fillId="11" borderId="4" xfId="0" applyNumberFormat="1" applyFont="1" applyFill="1" applyBorder="1"/>
    <xf numFmtId="4" fontId="9" fillId="8" borderId="3" xfId="0" applyNumberFormat="1" applyFont="1" applyFill="1" applyBorder="1"/>
    <xf numFmtId="0" fontId="3" fillId="23" borderId="4" xfId="0" applyFont="1" applyFill="1" applyBorder="1"/>
    <xf numFmtId="0" fontId="3" fillId="23" borderId="15" xfId="0" applyFont="1" applyFill="1" applyBorder="1"/>
    <xf numFmtId="4" fontId="11" fillId="23" borderId="3" xfId="0" applyNumberFormat="1" applyFont="1" applyFill="1" applyBorder="1" applyAlignment="1">
      <alignment horizontal="right"/>
    </xf>
    <xf numFmtId="175" fontId="3" fillId="0" borderId="0" xfId="0" applyNumberFormat="1" applyFont="1"/>
    <xf numFmtId="164" fontId="3" fillId="0" borderId="0" xfId="0" applyNumberFormat="1" applyFont="1"/>
    <xf numFmtId="2" fontId="11" fillId="0" borderId="4" xfId="0" applyNumberFormat="1" applyFont="1" applyBorder="1" applyAlignment="1">
      <alignment horizontal="right"/>
    </xf>
    <xf numFmtId="2" fontId="11" fillId="8" borderId="4" xfId="0" applyNumberFormat="1" applyFont="1" applyFill="1" applyBorder="1" applyAlignment="1">
      <alignment horizontal="right"/>
    </xf>
    <xf numFmtId="2" fontId="8" fillId="12" borderId="42" xfId="0" applyNumberFormat="1" applyFont="1" applyFill="1" applyBorder="1"/>
    <xf numFmtId="0" fontId="5" fillId="0" borderId="43" xfId="0" applyFont="1" applyBorder="1"/>
    <xf numFmtId="0" fontId="5" fillId="0" borderId="18" xfId="0" applyFont="1" applyBorder="1"/>
    <xf numFmtId="2" fontId="8" fillId="12" borderId="17" xfId="0" applyNumberFormat="1" applyFont="1" applyFill="1" applyBorder="1"/>
    <xf numFmtId="0" fontId="5" fillId="0" borderId="19" xfId="0" applyFont="1" applyBorder="1"/>
    <xf numFmtId="0" fontId="4" fillId="1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7" fillId="9" borderId="2" xfId="0" applyFont="1" applyFill="1" applyBorder="1" applyAlignment="1">
      <alignment horizontal="center"/>
    </xf>
    <xf numFmtId="2" fontId="4" fillId="12" borderId="42" xfId="0" applyNumberFormat="1" applyFont="1" applyFill="1" applyBorder="1" applyAlignment="1">
      <alignment horizontal="center"/>
    </xf>
    <xf numFmtId="2" fontId="8" fillId="12" borderId="17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1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167" fontId="23" fillId="11" borderId="26" xfId="0" applyNumberFormat="1" applyFont="1" applyFill="1" applyBorder="1" applyAlignment="1">
      <alignment horizontal="center"/>
    </xf>
    <xf numFmtId="0" fontId="5" fillId="0" borderId="27" xfId="0" applyFont="1" applyBorder="1"/>
    <xf numFmtId="177" fontId="25" fillId="11" borderId="29" xfId="0" applyNumberFormat="1" applyFont="1" applyFill="1" applyBorder="1" applyAlignment="1">
      <alignment horizontal="center"/>
    </xf>
    <xf numFmtId="0" fontId="5" fillId="0" borderId="30" xfId="0" applyFont="1" applyBorder="1"/>
    <xf numFmtId="0" fontId="5" fillId="0" borderId="31" xfId="0" applyFont="1" applyBorder="1"/>
    <xf numFmtId="177" fontId="25" fillId="11" borderId="33" xfId="0" applyNumberFormat="1" applyFont="1" applyFill="1" applyBorder="1" applyAlignment="1">
      <alignment horizontal="center"/>
    </xf>
    <xf numFmtId="0" fontId="5" fillId="0" borderId="34" xfId="0" applyFont="1" applyBorder="1"/>
    <xf numFmtId="177" fontId="25" fillId="11" borderId="35" xfId="0" applyNumberFormat="1" applyFont="1" applyFill="1" applyBorder="1" applyAlignment="1">
      <alignment horizontal="center"/>
    </xf>
    <xf numFmtId="0" fontId="25" fillId="11" borderId="39" xfId="0" applyFont="1" applyFill="1" applyBorder="1" applyAlignment="1">
      <alignment horizontal="center"/>
    </xf>
    <xf numFmtId="0" fontId="5" fillId="0" borderId="40" xfId="0" applyFont="1" applyBorder="1"/>
    <xf numFmtId="0" fontId="25" fillId="19" borderId="39" xfId="0" applyFont="1" applyFill="1" applyBorder="1" applyAlignment="1">
      <alignment horizontal="center"/>
    </xf>
    <xf numFmtId="0" fontId="25" fillId="11" borderId="32" xfId="0" applyFont="1" applyFill="1" applyBorder="1" applyAlignment="1">
      <alignment horizontal="center"/>
    </xf>
    <xf numFmtId="0" fontId="5" fillId="0" borderId="35" xfId="0" applyFont="1" applyBorder="1"/>
    <xf numFmtId="0" fontId="8" fillId="11" borderId="1" xfId="0" applyFont="1" applyFill="1" applyBorder="1" applyAlignment="1">
      <alignment horizontal="center"/>
    </xf>
    <xf numFmtId="0" fontId="25" fillId="20" borderId="0" xfId="0" applyFont="1" applyFill="1" applyAlignment="1">
      <alignment horizontal="center"/>
    </xf>
    <xf numFmtId="0" fontId="17" fillId="8" borderId="42" xfId="0" applyFont="1" applyFill="1" applyBorder="1"/>
    <xf numFmtId="0" fontId="21" fillId="8" borderId="1" xfId="0" applyFont="1" applyFill="1" applyBorder="1"/>
    <xf numFmtId="0" fontId="21" fillId="8" borderId="42" xfId="0" applyFont="1" applyFill="1" applyBorder="1"/>
  </cellXfs>
  <cellStyles count="1">
    <cellStyle name="Normal" xfId="0" builtinId="0"/>
  </cellStyles>
  <dxfs count="24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EFEFEF"/>
          <bgColor rgb="FFEFEFEF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8">
    <tableStyle name="FINANCIAMIENTO-style" pivot="0" count="2" xr9:uid="{00000000-0011-0000-FFFF-FFFF00000000}">
      <tableStyleElement type="firstRowStripe" dxfId="23"/>
      <tableStyleElement type="secondRowStripe" dxfId="22"/>
    </tableStyle>
    <tableStyle name="Invisible" pivot="0" table="0" count="0" xr9:uid="{2EBC9F84-4E6A-4EBE-A660-2121CD61A5D8}"/>
    <tableStyle name="PCUESFUERZO-style" pivot="0" count="2" xr9:uid="{00000000-0011-0000-FFFF-FFFF01000000}">
      <tableStyleElement type="firstRowStripe" dxfId="21"/>
      <tableStyleElement type="secondRowStripe" dxfId="20"/>
    </tableStyle>
    <tableStyle name="PCUESFUERZO-style 2" pivot="0" count="2" xr9:uid="{00000000-0011-0000-FFFF-FFFF02000000}">
      <tableStyleElement type="firstRowStripe" dxfId="19"/>
      <tableStyleElement type="secondRowStripe" dxfId="18"/>
    </tableStyle>
    <tableStyle name="PCUESFUERZO-style 3" pivot="0" count="2" xr9:uid="{00000000-0011-0000-FFFF-FFFF03000000}">
      <tableStyleElement type="firstRowStripe" dxfId="17"/>
      <tableStyleElement type="secondRowStripe" dxfId="16"/>
    </tableStyle>
    <tableStyle name="Costos HH - Sueldos-style" pivot="0" count="2" xr9:uid="{00000000-0011-0000-FFFF-FFFF04000000}">
      <tableStyleElement type="firstRowStripe" dxfId="15"/>
      <tableStyleElement type="secondRowStripe" dxfId="14"/>
    </tableStyle>
    <tableStyle name="COSTOS DE OPERACION-style" pivot="0" count="2" xr9:uid="{00000000-0011-0000-FFFF-FFFF05000000}">
      <tableStyleElement type="firstRowStripe" dxfId="13"/>
      <tableStyleElement type="secondRowStripe" dxfId="12"/>
    </tableStyle>
    <tableStyle name="TARIFAS DE OPERACION-style" pivot="0" count="2" xr9:uid="{00000000-0011-0000-FFFF-FFFF06000000}"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CL" b="1" i="0">
                <a:solidFill>
                  <a:srgbClr val="757575"/>
                </a:solidFill>
                <a:latin typeface="+mn-lt"/>
              </a:rPr>
              <a:t>CURVA 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A.2 - INGRESO ACUMULADO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'CURVA S'!$B$33:$AL$33</c:f>
              <c:numCache>
                <c:formatCode>" "mmm" "yyyy</c:formatCode>
                <c:ptCount val="37"/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  <c:pt idx="13">
                  <c:v>46388</c:v>
                </c:pt>
                <c:pt idx="14">
                  <c:v>46419</c:v>
                </c:pt>
                <c:pt idx="15">
                  <c:v>46447</c:v>
                </c:pt>
                <c:pt idx="16">
                  <c:v>46478</c:v>
                </c:pt>
                <c:pt idx="17">
                  <c:v>46508</c:v>
                </c:pt>
                <c:pt idx="18">
                  <c:v>46539</c:v>
                </c:pt>
                <c:pt idx="19">
                  <c:v>46569</c:v>
                </c:pt>
                <c:pt idx="20">
                  <c:v>46600</c:v>
                </c:pt>
                <c:pt idx="21">
                  <c:v>46631</c:v>
                </c:pt>
                <c:pt idx="22">
                  <c:v>46661</c:v>
                </c:pt>
                <c:pt idx="23">
                  <c:v>46692</c:v>
                </c:pt>
                <c:pt idx="24">
                  <c:v>46722</c:v>
                </c:pt>
                <c:pt idx="25">
                  <c:v>46753</c:v>
                </c:pt>
                <c:pt idx="26">
                  <c:v>46784</c:v>
                </c:pt>
                <c:pt idx="27">
                  <c:v>46813</c:v>
                </c:pt>
                <c:pt idx="28">
                  <c:v>46844</c:v>
                </c:pt>
                <c:pt idx="29">
                  <c:v>46874</c:v>
                </c:pt>
                <c:pt idx="30">
                  <c:v>46905</c:v>
                </c:pt>
                <c:pt idx="31">
                  <c:v>46935</c:v>
                </c:pt>
                <c:pt idx="32">
                  <c:v>46966</c:v>
                </c:pt>
                <c:pt idx="33">
                  <c:v>46997</c:v>
                </c:pt>
                <c:pt idx="34">
                  <c:v>47027</c:v>
                </c:pt>
                <c:pt idx="35">
                  <c:v>47058</c:v>
                </c:pt>
                <c:pt idx="36">
                  <c:v>47088</c:v>
                </c:pt>
              </c:numCache>
            </c:numRef>
          </c:cat>
          <c:val>
            <c:numRef>
              <c:f>'CURVA S'!$B$34:$AL$34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8-4C84-80A0-867DA3489FEF}"/>
            </c:ext>
          </c:extLst>
        </c:ser>
        <c:ser>
          <c:idx val="1"/>
          <c:order val="1"/>
          <c:tx>
            <c:v>B.2.- EGRESO TOTAL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'CURVA S'!$B$33:$AL$33</c:f>
              <c:numCache>
                <c:formatCode>" "mmm" "yyyy</c:formatCode>
                <c:ptCount val="37"/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  <c:pt idx="13">
                  <c:v>46388</c:v>
                </c:pt>
                <c:pt idx="14">
                  <c:v>46419</c:v>
                </c:pt>
                <c:pt idx="15">
                  <c:v>46447</c:v>
                </c:pt>
                <c:pt idx="16">
                  <c:v>46478</c:v>
                </c:pt>
                <c:pt idx="17">
                  <c:v>46508</c:v>
                </c:pt>
                <c:pt idx="18">
                  <c:v>46539</c:v>
                </c:pt>
                <c:pt idx="19">
                  <c:v>46569</c:v>
                </c:pt>
                <c:pt idx="20">
                  <c:v>46600</c:v>
                </c:pt>
                <c:pt idx="21">
                  <c:v>46631</c:v>
                </c:pt>
                <c:pt idx="22">
                  <c:v>46661</c:v>
                </c:pt>
                <c:pt idx="23">
                  <c:v>46692</c:v>
                </c:pt>
                <c:pt idx="24">
                  <c:v>46722</c:v>
                </c:pt>
                <c:pt idx="25">
                  <c:v>46753</c:v>
                </c:pt>
                <c:pt idx="26">
                  <c:v>46784</c:v>
                </c:pt>
                <c:pt idx="27">
                  <c:v>46813</c:v>
                </c:pt>
                <c:pt idx="28">
                  <c:v>46844</c:v>
                </c:pt>
                <c:pt idx="29">
                  <c:v>46874</c:v>
                </c:pt>
                <c:pt idx="30">
                  <c:v>46905</c:v>
                </c:pt>
                <c:pt idx="31">
                  <c:v>46935</c:v>
                </c:pt>
                <c:pt idx="32">
                  <c:v>46966</c:v>
                </c:pt>
                <c:pt idx="33">
                  <c:v>46997</c:v>
                </c:pt>
                <c:pt idx="34">
                  <c:v>47027</c:v>
                </c:pt>
                <c:pt idx="35">
                  <c:v>47058</c:v>
                </c:pt>
                <c:pt idx="36">
                  <c:v>47088</c:v>
                </c:pt>
              </c:numCache>
            </c:numRef>
          </c:cat>
          <c:val>
            <c:numRef>
              <c:f>'CURVA S'!$B$35:$AL$35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48-4C84-80A0-867DA3489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1155375"/>
        <c:axId val="722566360"/>
      </c:lineChart>
      <c:dateAx>
        <c:axId val="1441155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b="0" i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722566360"/>
        <c:crosses val="autoZero"/>
        <c:auto val="1"/>
        <c:lblOffset val="100"/>
        <c:baseTimeUnit val="months"/>
      </c:dateAx>
      <c:valAx>
        <c:axId val="722566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1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44115537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2</xdr:row>
      <xdr:rowOff>0</xdr:rowOff>
    </xdr:from>
    <xdr:ext cx="11068050" cy="400050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D3:D13" headerRowCount="0">
  <tableColumns count="1">
    <tableColumn id="1" xr3:uid="{00000000-0010-0000-0100-000001000000}" name="Column1"/>
  </tableColumns>
  <tableStyleInfo name="PCUESFUERZ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H8:H14" headerRowCount="0">
  <tableColumns count="1">
    <tableColumn id="1" xr3:uid="{00000000-0010-0000-0200-000001000000}" name="Column1"/>
  </tableColumns>
  <tableStyleInfo name="PCUESFUERZO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D15:D24" headerRowCount="0">
  <tableColumns count="1">
    <tableColumn id="1" xr3:uid="{00000000-0010-0000-0300-000001000000}" name="Column1"/>
  </tableColumns>
  <tableStyleInfo name="PCUESFUERZO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D11:E40" headerRowCount="0">
  <tableColumns count="2">
    <tableColumn id="1" xr3:uid="{00000000-0010-0000-0400-000001000000}" name="Column1"/>
    <tableColumn id="2" xr3:uid="{00000000-0010-0000-0400-000002000000}" name="Column2"/>
  </tableColumns>
  <tableStyleInfo name="Costos HH - Sueldo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31:A33" headerRowCount="0">
  <tableColumns count="1">
    <tableColumn id="1" xr3:uid="{00000000-0010-0000-0600-000001000000}" name="Column1"/>
  </tableColumns>
  <tableStyleInfo name="TARIFAS DE OPERACION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8:K15" headerRowCount="0">
  <tableColumns count="1">
    <tableColumn id="1" xr3:uid="{00000000-0010-0000-0000-000001000000}" name="Column1"/>
  </tableColumns>
  <tableStyleInfo name="FINANCIAMIENTO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:A32" headerRowCount="0">
  <tableColumns count="1">
    <tableColumn id="1" xr3:uid="{00000000-0010-0000-0500-000001000000}" name="Column1"/>
  </tableColumns>
  <tableStyleInfo name="COSTOS DE OPERAC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G16" sqref="G16"/>
    </sheetView>
  </sheetViews>
  <sheetFormatPr baseColWidth="10" defaultColWidth="12.5703125" defaultRowHeight="15" customHeight="1" x14ac:dyDescent="0.2"/>
  <cols>
    <col min="1" max="1" width="30.42578125" customWidth="1"/>
    <col min="2" max="2" width="11.42578125" customWidth="1"/>
    <col min="3" max="3" width="17.28515625" customWidth="1"/>
    <col min="4" max="4" width="14.28515625" customWidth="1"/>
    <col min="5" max="5" width="5.7109375" customWidth="1"/>
    <col min="6" max="6" width="31.140625" customWidth="1"/>
    <col min="7" max="7" width="12.7109375" customWidth="1"/>
    <col min="8" max="8" width="17.5703125" customWidth="1"/>
    <col min="9" max="9" width="12.7109375" customWidth="1"/>
    <col min="10" max="10" width="4.7109375" customWidth="1"/>
    <col min="11" max="11" width="21.42578125" customWidth="1"/>
    <col min="12" max="12" width="16.140625" customWidth="1"/>
    <col min="13" max="13" width="16.7109375" customWidth="1"/>
    <col min="14" max="14" width="16.28515625" customWidth="1"/>
    <col min="15" max="26" width="12.7109375" customWidth="1"/>
  </cols>
  <sheetData>
    <row r="1" spans="1:26" ht="26.25" customHeight="1" x14ac:dyDescent="0.45">
      <c r="A1" s="429" t="s">
        <v>0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</row>
    <row r="2" spans="1:26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428" t="s">
        <v>1</v>
      </c>
      <c r="B4" s="421"/>
      <c r="C4" s="421"/>
      <c r="D4" s="422"/>
      <c r="E4" s="426"/>
      <c r="F4" s="430" t="s">
        <v>2</v>
      </c>
      <c r="G4" s="421"/>
      <c r="H4" s="421"/>
      <c r="I4" s="422"/>
      <c r="J4" s="2"/>
      <c r="K4" s="431" t="s">
        <v>3</v>
      </c>
      <c r="L4" s="421"/>
      <c r="M4" s="421"/>
      <c r="N4" s="42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4"/>
      <c r="B5" s="5" t="s">
        <v>4</v>
      </c>
      <c r="C5" s="5" t="s">
        <v>5</v>
      </c>
      <c r="D5" s="5" t="s">
        <v>6</v>
      </c>
      <c r="E5" s="427"/>
      <c r="F5" s="6"/>
      <c r="G5" s="7" t="s">
        <v>4</v>
      </c>
      <c r="H5" s="7" t="s">
        <v>5</v>
      </c>
      <c r="I5" s="7" t="s">
        <v>6</v>
      </c>
      <c r="J5" s="2"/>
      <c r="K5" s="8"/>
      <c r="L5" s="9" t="s">
        <v>4</v>
      </c>
      <c r="M5" s="9" t="s">
        <v>5</v>
      </c>
      <c r="N5" s="9" t="s">
        <v>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10" t="s">
        <v>7</v>
      </c>
      <c r="B6" s="11">
        <f>B18</f>
        <v>0</v>
      </c>
      <c r="C6" s="12">
        <f>B6*PARÁMETROS!$B$6</f>
        <v>0</v>
      </c>
      <c r="D6" s="11">
        <f>C6/PARÁMETROS!$B$4</f>
        <v>0</v>
      </c>
      <c r="E6" s="427"/>
      <c r="F6" s="6" t="s">
        <v>7</v>
      </c>
      <c r="G6" s="13">
        <f t="shared" ref="G6:G7" si="0">G18</f>
        <v>0</v>
      </c>
      <c r="H6" s="14">
        <f>G6*PARÁMETROS!$B$6</f>
        <v>0</v>
      </c>
      <c r="I6" s="13">
        <f>H6/PARÁMETROS!$B$4</f>
        <v>0</v>
      </c>
      <c r="J6" s="2"/>
      <c r="K6" s="8" t="s">
        <v>7</v>
      </c>
      <c r="L6" s="13">
        <f t="shared" ref="L6:L7" si="1">+G6-B6</f>
        <v>0</v>
      </c>
      <c r="M6" s="14">
        <f>L6*PARÁMETROS!B6</f>
        <v>0</v>
      </c>
      <c r="N6" s="13">
        <f>M6/PARÁMETROS!B4</f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10" t="s">
        <v>8</v>
      </c>
      <c r="B7" s="11">
        <f t="shared" ref="B7" si="2">B19</f>
        <v>0</v>
      </c>
      <c r="C7" s="12">
        <f>B7*PARÁMETROS!$B$6</f>
        <v>0</v>
      </c>
      <c r="D7" s="11">
        <f>C7/PARÁMETROS!$B$4</f>
        <v>0</v>
      </c>
      <c r="E7" s="427"/>
      <c r="F7" s="6" t="s">
        <v>8</v>
      </c>
      <c r="G7" s="13">
        <f t="shared" si="0"/>
        <v>0</v>
      </c>
      <c r="H7" s="14">
        <f>G7*PARÁMETROS!$B$6</f>
        <v>0</v>
      </c>
      <c r="I7" s="13">
        <f>H7/PARÁMETROS!$B$4</f>
        <v>0</v>
      </c>
      <c r="J7" s="2"/>
      <c r="K7" s="8" t="s">
        <v>8</v>
      </c>
      <c r="L7" s="13">
        <f t="shared" si="1"/>
        <v>0</v>
      </c>
      <c r="M7" s="14">
        <f>L7*PARÁMETROS!B6</f>
        <v>0</v>
      </c>
      <c r="N7" s="13">
        <f>M7/PARÁMETROS!B4</f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5" t="s">
        <v>9</v>
      </c>
      <c r="B8" s="16">
        <f t="shared" ref="B8:D8" si="3">SUM(B6:B7)</f>
        <v>0</v>
      </c>
      <c r="C8" s="17">
        <f t="shared" si="3"/>
        <v>0</v>
      </c>
      <c r="D8" s="16">
        <f t="shared" si="3"/>
        <v>0</v>
      </c>
      <c r="E8" s="427"/>
      <c r="F8" s="18" t="s">
        <v>9</v>
      </c>
      <c r="G8" s="19">
        <f t="shared" ref="G8:I8" si="4">SUM(G6:G7)</f>
        <v>0</v>
      </c>
      <c r="H8" s="20">
        <f t="shared" si="4"/>
        <v>0</v>
      </c>
      <c r="I8" s="19">
        <f t="shared" si="4"/>
        <v>0</v>
      </c>
      <c r="J8" s="2"/>
      <c r="K8" s="21" t="s">
        <v>9</v>
      </c>
      <c r="L8" s="22">
        <f t="shared" ref="L8:N8" si="5">SUM(L6:L7)</f>
        <v>0</v>
      </c>
      <c r="M8" s="23">
        <f t="shared" si="5"/>
        <v>0</v>
      </c>
      <c r="N8" s="22">
        <f t="shared" si="5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2"/>
      <c r="B9" s="2"/>
      <c r="C9" s="2"/>
      <c r="D9" s="2"/>
      <c r="E9" s="427"/>
      <c r="F9" s="2"/>
      <c r="G9" s="2"/>
      <c r="H9" s="2"/>
      <c r="I9" s="2"/>
      <c r="J9" s="2"/>
      <c r="K9" s="21" t="s">
        <v>10</v>
      </c>
      <c r="L9" s="24" t="e">
        <f t="shared" ref="L9:N9" si="6">+L8/B8</f>
        <v>#DIV/0!</v>
      </c>
      <c r="M9" s="24" t="e">
        <f t="shared" si="6"/>
        <v>#DIV/0!</v>
      </c>
      <c r="N9" s="24" t="e">
        <f t="shared" si="6"/>
        <v>#DIV/0!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428" t="s">
        <v>11</v>
      </c>
      <c r="B10" s="421"/>
      <c r="C10" s="421"/>
      <c r="D10" s="422"/>
      <c r="E10" s="427"/>
      <c r="F10" s="430" t="s">
        <v>12</v>
      </c>
      <c r="G10" s="421"/>
      <c r="H10" s="421"/>
      <c r="I10" s="422"/>
      <c r="J10" s="2"/>
      <c r="K10" s="2"/>
      <c r="L10" s="2"/>
      <c r="M10" s="2"/>
      <c r="N10" s="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4"/>
      <c r="B11" s="5" t="s">
        <v>4</v>
      </c>
      <c r="C11" s="5" t="s">
        <v>5</v>
      </c>
      <c r="D11" s="5" t="s">
        <v>6</v>
      </c>
      <c r="E11" s="427"/>
      <c r="F11" s="25"/>
      <c r="G11" s="26" t="s">
        <v>4</v>
      </c>
      <c r="H11" s="26" t="s">
        <v>5</v>
      </c>
      <c r="I11" s="26" t="s">
        <v>6</v>
      </c>
      <c r="J11" s="2"/>
      <c r="K11" s="3"/>
      <c r="L11" s="2"/>
      <c r="M11" s="2"/>
      <c r="N11" s="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0" t="s">
        <v>13</v>
      </c>
      <c r="B12" s="11">
        <f>'COSTOS DE OPERACION'!V35</f>
        <v>0</v>
      </c>
      <c r="C12" s="12">
        <f>B12*PARÁMETROS!$B$6</f>
        <v>0</v>
      </c>
      <c r="D12" s="11">
        <f>C12/PARÁMETROS!$B$4</f>
        <v>0</v>
      </c>
      <c r="E12" s="427"/>
      <c r="F12" s="25" t="s">
        <v>13</v>
      </c>
      <c r="G12" s="11">
        <f>'TARIFAS DE OPERACION'!V35</f>
        <v>0</v>
      </c>
      <c r="H12" s="12">
        <f>G12*PARÁMETROS!$B$6</f>
        <v>0</v>
      </c>
      <c r="I12" s="11">
        <f>H12/PARÁMETROS!$B$4</f>
        <v>0</v>
      </c>
      <c r="J12" s="2"/>
      <c r="K12" s="2"/>
      <c r="L12" s="2"/>
      <c r="M12" s="2"/>
      <c r="N12" s="2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10" t="s">
        <v>14</v>
      </c>
      <c r="B13" s="27">
        <f>-SUM('FLUJO DE CAJA NETO'!C33:BB33)</f>
        <v>0</v>
      </c>
      <c r="C13" s="12">
        <f>B13*PARÁMETROS!$B$6</f>
        <v>0</v>
      </c>
      <c r="D13" s="11">
        <f>C13/PARÁMETROS!$B$4</f>
        <v>0</v>
      </c>
      <c r="E13" s="427"/>
      <c r="F13" s="25" t="s">
        <v>14</v>
      </c>
      <c r="G13" s="11">
        <f>B13*(1+'TARIFAS DE OPERACION'!B47)</f>
        <v>0</v>
      </c>
      <c r="H13" s="12">
        <f>G13*PARÁMETROS!$B$6</f>
        <v>0</v>
      </c>
      <c r="I13" s="11">
        <f>H13/PARÁMETROS!$B$4</f>
        <v>0</v>
      </c>
      <c r="J13" s="2"/>
      <c r="K13" s="2"/>
      <c r="L13" s="2"/>
      <c r="M13" s="2"/>
      <c r="N13" s="2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10" t="s">
        <v>15</v>
      </c>
      <c r="B14" s="11">
        <f>'COSTOS DE OPERACION'!V45</f>
        <v>0</v>
      </c>
      <c r="C14" s="12">
        <f>B14*PARÁMETROS!$B$6</f>
        <v>0</v>
      </c>
      <c r="D14" s="11">
        <f>C14/PARÁMETROS!$B$4</f>
        <v>0</v>
      </c>
      <c r="E14" s="427"/>
      <c r="F14" s="25" t="s">
        <v>15</v>
      </c>
      <c r="G14" s="11">
        <f>'TARIFAS DE OPERACION'!V45</f>
        <v>0</v>
      </c>
      <c r="H14" s="12">
        <f>G14*PARÁMETROS!$B$6</f>
        <v>0</v>
      </c>
      <c r="I14" s="11">
        <f>H14/PARÁMETROS!$B$4</f>
        <v>0</v>
      </c>
      <c r="J14" s="2"/>
      <c r="K14" s="2"/>
      <c r="L14" s="2"/>
      <c r="M14" s="2"/>
      <c r="N14" s="2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10" t="s">
        <v>16</v>
      </c>
      <c r="B15" s="11">
        <f>-SUM('FLUJO DE CAJA NETO'!B35:N35)</f>
        <v>0</v>
      </c>
      <c r="C15" s="12">
        <f>B15*PARÁMETROS!$B$6</f>
        <v>0</v>
      </c>
      <c r="D15" s="11">
        <f>C15/PARÁMETROS!$B$4</f>
        <v>0</v>
      </c>
      <c r="E15" s="427"/>
      <c r="F15" s="25" t="s">
        <v>16</v>
      </c>
      <c r="G15" s="11">
        <f>-SUM('FLUJO DE CAJA NETO'!B35:N35)*(1+'TARIFAS DE OPERACION'!B47)</f>
        <v>0</v>
      </c>
      <c r="H15" s="12">
        <f>G15*PARÁMETROS!$B$6</f>
        <v>0</v>
      </c>
      <c r="I15" s="11">
        <f>H15/PARÁMETROS!$B$4</f>
        <v>0</v>
      </c>
      <c r="J15" s="2"/>
      <c r="K15" s="2"/>
      <c r="L15" s="2"/>
      <c r="M15" s="2"/>
      <c r="N15" s="2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10" t="s">
        <v>17</v>
      </c>
      <c r="B16" s="11">
        <f>'COSTOS DE OPERACION'!AL35</f>
        <v>0</v>
      </c>
      <c r="C16" s="12">
        <f>B16*PARÁMETROS!$B$6</f>
        <v>0</v>
      </c>
      <c r="D16" s="11">
        <f>C16/PARÁMETROS!$B$4</f>
        <v>0</v>
      </c>
      <c r="E16" s="427"/>
      <c r="F16" s="28" t="s">
        <v>17</v>
      </c>
      <c r="G16" s="11">
        <f>'TARIFAS DE OPERACION'!AL35</f>
        <v>0</v>
      </c>
      <c r="H16" s="12">
        <f>G16*PARÁMETROS!$B$6</f>
        <v>0</v>
      </c>
      <c r="I16" s="11">
        <f>H16/PARÁMETROS!$B$4</f>
        <v>0</v>
      </c>
      <c r="J16" s="2"/>
      <c r="K16" s="2"/>
      <c r="L16" s="2"/>
      <c r="M16" s="2"/>
      <c r="N16" s="2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10" t="s">
        <v>18</v>
      </c>
      <c r="B17" s="11">
        <f>-SUM('FLUJO DE CAJA NETO'!O35:AL35)</f>
        <v>0</v>
      </c>
      <c r="C17" s="12">
        <f>B17*PARÁMETROS!$B$6</f>
        <v>0</v>
      </c>
      <c r="D17" s="11">
        <f>C17/PARÁMETROS!$B$4</f>
        <v>0</v>
      </c>
      <c r="E17" s="427"/>
      <c r="F17" s="25" t="s">
        <v>18</v>
      </c>
      <c r="G17" s="11">
        <f>-SUM('FLUJO DE CAJA NETO'!O35:AL35)</f>
        <v>0</v>
      </c>
      <c r="H17" s="12">
        <f>G17*PARÁMETROS!$B$6</f>
        <v>0</v>
      </c>
      <c r="I17" s="11">
        <f>H17/PARÁMETROS!$B$4</f>
        <v>0</v>
      </c>
      <c r="J17" s="2"/>
      <c r="K17" s="2"/>
      <c r="L17" s="2"/>
      <c r="M17" s="2"/>
      <c r="N17" s="2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15" t="s">
        <v>19</v>
      </c>
      <c r="B18" s="29">
        <f t="shared" ref="B18:D18" si="7">SUM(B12:B15)</f>
        <v>0</v>
      </c>
      <c r="C18" s="30">
        <f t="shared" si="7"/>
        <v>0</v>
      </c>
      <c r="D18" s="29">
        <f t="shared" si="7"/>
        <v>0</v>
      </c>
      <c r="E18" s="427"/>
      <c r="F18" s="18" t="s">
        <v>19</v>
      </c>
      <c r="G18" s="31">
        <f t="shared" ref="G18:I18" si="8">SUM(G12:G15)</f>
        <v>0</v>
      </c>
      <c r="H18" s="32">
        <f t="shared" si="8"/>
        <v>0</v>
      </c>
      <c r="I18" s="31">
        <f t="shared" si="8"/>
        <v>0</v>
      </c>
      <c r="J18" s="2"/>
      <c r="K18" s="2"/>
      <c r="L18" s="2"/>
      <c r="M18" s="2"/>
      <c r="N18" s="2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15" t="s">
        <v>20</v>
      </c>
      <c r="B19" s="29">
        <f t="shared" ref="B19:D19" si="9">SUM(B16:B17)</f>
        <v>0</v>
      </c>
      <c r="C19" s="30">
        <f t="shared" si="9"/>
        <v>0</v>
      </c>
      <c r="D19" s="29">
        <f t="shared" si="9"/>
        <v>0</v>
      </c>
      <c r="E19" s="427"/>
      <c r="F19" s="18" t="s">
        <v>20</v>
      </c>
      <c r="G19" s="31">
        <f t="shared" ref="G19:I19" si="10">SUM(G16:G17)</f>
        <v>0</v>
      </c>
      <c r="H19" s="32">
        <f t="shared" si="10"/>
        <v>0</v>
      </c>
      <c r="I19" s="31">
        <f t="shared" si="10"/>
        <v>0</v>
      </c>
      <c r="J19" s="2"/>
      <c r="K19" s="2"/>
      <c r="L19" s="2"/>
      <c r="M19" s="2"/>
      <c r="N19" s="2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15" t="s">
        <v>21</v>
      </c>
      <c r="B20" s="33">
        <f t="shared" ref="B20:D20" si="11">SUM(B18:B19)</f>
        <v>0</v>
      </c>
      <c r="C20" s="34">
        <f t="shared" si="11"/>
        <v>0</v>
      </c>
      <c r="D20" s="33">
        <f t="shared" si="11"/>
        <v>0</v>
      </c>
      <c r="E20" s="427"/>
      <c r="F20" s="18" t="s">
        <v>21</v>
      </c>
      <c r="G20" s="19">
        <f t="shared" ref="G20:I20" si="12">SUM(G18:G19)</f>
        <v>0</v>
      </c>
      <c r="H20" s="20">
        <f t="shared" si="12"/>
        <v>0</v>
      </c>
      <c r="I20" s="19">
        <f t="shared" si="12"/>
        <v>0</v>
      </c>
      <c r="J20" s="2"/>
      <c r="K20" s="2"/>
      <c r="L20" s="2"/>
      <c r="M20" s="2"/>
      <c r="N20" s="2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2"/>
      <c r="B21" s="2"/>
      <c r="C21" s="2"/>
      <c r="D21" s="2"/>
      <c r="E21" s="2"/>
      <c r="F21" s="25" t="s">
        <v>22</v>
      </c>
      <c r="G21" s="11">
        <f>'FLUJO DE CAJA COMPLETO'!B23</f>
        <v>0</v>
      </c>
      <c r="H21" s="426"/>
      <c r="I21" s="427"/>
      <c r="J21" s="2"/>
      <c r="K21" s="2"/>
      <c r="L21" s="2"/>
      <c r="M21" s="2"/>
      <c r="N21" s="2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2"/>
      <c r="B22" s="2"/>
      <c r="C22" s="2"/>
      <c r="D22" s="2"/>
      <c r="E22" s="2"/>
      <c r="F22" s="25" t="s">
        <v>23</v>
      </c>
      <c r="G22" s="35" t="e">
        <f>'FLUJO DE CAJA COMPLETO'!B26</f>
        <v>#NUM!</v>
      </c>
      <c r="H22" s="427"/>
      <c r="I22" s="427"/>
      <c r="J22" s="2"/>
      <c r="K22" s="2"/>
      <c r="L22" s="2"/>
      <c r="M22" s="2"/>
      <c r="N22" s="2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428" t="s">
        <v>24</v>
      </c>
      <c r="B23" s="421"/>
      <c r="C23" s="422"/>
      <c r="D23" s="36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10"/>
      <c r="B24" s="37" t="s">
        <v>25</v>
      </c>
      <c r="C24" s="10"/>
      <c r="D24" s="38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10" t="s">
        <v>26</v>
      </c>
      <c r="B25" s="39">
        <f>PCUESFUERZO!I164</f>
        <v>0</v>
      </c>
      <c r="C25" s="40" t="s">
        <v>27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10" t="s">
        <v>28</v>
      </c>
      <c r="B26" s="39">
        <f>PCUESFUERZO!N39</f>
        <v>28</v>
      </c>
      <c r="C26" s="40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10" t="s">
        <v>29</v>
      </c>
      <c r="B27" s="39">
        <f>PCUESFUERZO!N52</f>
        <v>0</v>
      </c>
      <c r="C27" s="40" t="s">
        <v>30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10" t="s">
        <v>31</v>
      </c>
      <c r="B28" s="39">
        <f>PCUESFUERZO!N55</f>
        <v>0</v>
      </c>
      <c r="C28" s="40" t="s">
        <v>30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10" t="s">
        <v>32</v>
      </c>
      <c r="B29" s="13">
        <f>G8</f>
        <v>0</v>
      </c>
      <c r="C29" s="40" t="s">
        <v>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10" t="s">
        <v>33</v>
      </c>
      <c r="B30" s="13">
        <f>B8</f>
        <v>0</v>
      </c>
      <c r="C30" s="40" t="s">
        <v>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9">
    <mergeCell ref="H21:I22"/>
    <mergeCell ref="A23:C23"/>
    <mergeCell ref="A1:Z1"/>
    <mergeCell ref="A4:D4"/>
    <mergeCell ref="E4:E20"/>
    <mergeCell ref="F4:I4"/>
    <mergeCell ref="K4:N4"/>
    <mergeCell ref="A10:D10"/>
    <mergeCell ref="F10:I10"/>
  </mergeCells>
  <conditionalFormatting sqref="B12 G12:I17 C12:D20 B14:B20">
    <cfRule type="cellIs" dxfId="9" priority="1" operator="lessThan">
      <formula>0</formula>
    </cfRule>
  </conditionalFormatting>
  <conditionalFormatting sqref="G12:G21 H12:I22">
    <cfRule type="cellIs" dxfId="8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5"/>
  <sheetViews>
    <sheetView workbookViewId="0">
      <selection activeCell="B13" sqref="B13"/>
    </sheetView>
  </sheetViews>
  <sheetFormatPr baseColWidth="10" defaultColWidth="12.5703125" defaultRowHeight="15" customHeight="1" x14ac:dyDescent="0.2"/>
  <cols>
    <col min="1" max="1" width="38.42578125" customWidth="1"/>
    <col min="2" max="2" width="12.7109375" customWidth="1"/>
    <col min="3" max="3" width="11.85546875" customWidth="1"/>
    <col min="4" max="26" width="12.7109375" customWidth="1"/>
  </cols>
  <sheetData>
    <row r="1" spans="1:26" ht="15.75" customHeight="1" x14ac:dyDescent="0.2">
      <c r="A1" s="41" t="s">
        <v>34</v>
      </c>
      <c r="B1" s="42"/>
      <c r="C1" s="43"/>
      <c r="D1" s="43"/>
      <c r="E1" s="43"/>
      <c r="F1" s="44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3"/>
      <c r="Y1" s="3"/>
      <c r="Z1" s="3"/>
    </row>
    <row r="2" spans="1:26" ht="15.75" customHeight="1" x14ac:dyDescent="0.2">
      <c r="A2" s="45" t="s">
        <v>35</v>
      </c>
      <c r="B2" s="46" t="s">
        <v>5</v>
      </c>
      <c r="C2" s="45" t="s">
        <v>6</v>
      </c>
      <c r="D2" s="45" t="s">
        <v>4</v>
      </c>
      <c r="E2" s="43"/>
      <c r="F2" s="44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3"/>
      <c r="Y2" s="3"/>
      <c r="Z2" s="3"/>
    </row>
    <row r="3" spans="1:26" ht="15.75" customHeight="1" x14ac:dyDescent="0.2">
      <c r="A3" s="47" t="s">
        <v>36</v>
      </c>
      <c r="B3" s="48">
        <v>1</v>
      </c>
      <c r="C3" s="49">
        <f>+B3/B4</f>
        <v>1.1111111111111111E-3</v>
      </c>
      <c r="D3" s="50">
        <f>+B3/B6</f>
        <v>2.5000000000000001E-5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3"/>
      <c r="Y3" s="3"/>
      <c r="Z3" s="3"/>
    </row>
    <row r="4" spans="1:26" ht="15.75" customHeight="1" x14ac:dyDescent="0.2">
      <c r="A4" s="51" t="s">
        <v>37</v>
      </c>
      <c r="B4" s="52">
        <v>900</v>
      </c>
      <c r="C4" s="53">
        <v>1</v>
      </c>
      <c r="D4" s="54">
        <f>+B4/B6</f>
        <v>2.2499999999999999E-2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3"/>
      <c r="Y4" s="3"/>
      <c r="Z4" s="3"/>
    </row>
    <row r="5" spans="1:26" ht="15.75" customHeight="1" x14ac:dyDescent="0.2">
      <c r="A5" s="51" t="s">
        <v>38</v>
      </c>
      <c r="B5" s="55">
        <v>1000</v>
      </c>
      <c r="C5" s="53">
        <f>+B5/B4</f>
        <v>1.1111111111111112</v>
      </c>
      <c r="D5" s="54">
        <f>+B5/B6</f>
        <v>2.5000000000000001E-2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3"/>
      <c r="Y5" s="3"/>
      <c r="Z5" s="3"/>
    </row>
    <row r="6" spans="1:26" ht="15.75" customHeight="1" x14ac:dyDescent="0.2">
      <c r="A6" s="51" t="s">
        <v>39</v>
      </c>
      <c r="B6" s="56">
        <v>40000</v>
      </c>
      <c r="C6" s="57">
        <f>+B6/B4</f>
        <v>44.444444444444443</v>
      </c>
      <c r="D6" s="50">
        <v>1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3"/>
      <c r="Y6" s="3"/>
      <c r="Z6" s="3"/>
    </row>
    <row r="7" spans="1:26" ht="15.75" customHeight="1" x14ac:dyDescent="0.2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3"/>
      <c r="Y7" s="3"/>
      <c r="Z7" s="3"/>
    </row>
    <row r="8" spans="1:26" ht="15.75" customHeight="1" x14ac:dyDescent="0.2">
      <c r="A8" s="51" t="s">
        <v>40</v>
      </c>
      <c r="B8" s="58">
        <v>160</v>
      </c>
      <c r="C8" s="59" t="s">
        <v>41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3"/>
      <c r="Y8" s="3"/>
      <c r="Z8" s="3"/>
    </row>
    <row r="9" spans="1:26" ht="15.75" customHeight="1" x14ac:dyDescent="0.2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3"/>
      <c r="Y9" s="3"/>
      <c r="Z9" s="3"/>
    </row>
    <row r="10" spans="1:26" ht="15.75" customHeight="1" x14ac:dyDescent="0.2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3"/>
      <c r="Y10" s="3"/>
      <c r="Z10" s="3"/>
    </row>
    <row r="11" spans="1:26" ht="15.75" customHeight="1" x14ac:dyDescent="0.2">
      <c r="A11" s="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3"/>
      <c r="Y11" s="3"/>
      <c r="Z11" s="3"/>
    </row>
    <row r="12" spans="1:26" ht="15.75" customHeight="1" x14ac:dyDescent="0.2">
      <c r="A12" s="60" t="s">
        <v>42</v>
      </c>
      <c r="B12" s="61" t="s">
        <v>25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3"/>
      <c r="Y12" s="3"/>
      <c r="Z12" s="3"/>
    </row>
    <row r="13" spans="1:26" ht="15.75" customHeight="1" x14ac:dyDescent="0.2">
      <c r="A13" s="62" t="s">
        <v>43</v>
      </c>
      <c r="B13" s="63">
        <v>8.9999999999999993E-3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3"/>
      <c r="Y13" s="3"/>
      <c r="Z13" s="3"/>
    </row>
    <row r="14" spans="1:26" ht="15.75" customHeight="1" x14ac:dyDescent="0.2">
      <c r="A14" s="62" t="s">
        <v>44</v>
      </c>
      <c r="B14" s="64">
        <v>50000000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3"/>
      <c r="Y14" s="3"/>
      <c r="Z14" s="3"/>
    </row>
    <row r="15" spans="1:26" ht="15.75" customHeight="1" x14ac:dyDescent="0.2">
      <c r="A15" s="62" t="s">
        <v>45</v>
      </c>
      <c r="B15" s="65">
        <v>0.03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3"/>
      <c r="Y15" s="3"/>
      <c r="Z15" s="3"/>
    </row>
    <row r="16" spans="1:26" ht="15.75" customHeight="1" x14ac:dyDescent="0.2">
      <c r="A16" s="62" t="s">
        <v>46</v>
      </c>
      <c r="B16" s="66">
        <v>0.27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3"/>
      <c r="Y16" s="3"/>
      <c r="Z16" s="3"/>
    </row>
    <row r="17" spans="1:26" ht="15.75" customHeight="1" x14ac:dyDescent="0.2">
      <c r="A17" s="62" t="s">
        <v>47</v>
      </c>
      <c r="B17" s="67">
        <v>1.9199999999999998E-2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3"/>
      <c r="Y17" s="3"/>
      <c r="Z17" s="3"/>
    </row>
    <row r="18" spans="1:26" ht="15.75" customHeight="1" x14ac:dyDescent="0.2">
      <c r="A18" s="68" t="s">
        <v>48</v>
      </c>
      <c r="B18" s="69">
        <f>((1+B17)^(1/12))-1</f>
        <v>1.586090332465151E-3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3"/>
      <c r="Y18" s="3"/>
      <c r="Z18" s="3"/>
    </row>
    <row r="19" spans="1:26" ht="15.75" customHeight="1" x14ac:dyDescent="0.2">
      <c r="A19" s="62" t="s">
        <v>49</v>
      </c>
      <c r="B19" s="70">
        <v>0.2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3"/>
      <c r="Y19" s="3"/>
      <c r="Z19" s="3"/>
    </row>
    <row r="20" spans="1:26" ht="15.75" customHeight="1" x14ac:dyDescent="0.2">
      <c r="A20" s="62" t="s">
        <v>50</v>
      </c>
      <c r="B20" s="71">
        <v>0.8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3"/>
      <c r="Y20" s="3"/>
      <c r="Z20" s="3"/>
    </row>
    <row r="21" spans="1:26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3"/>
      <c r="Y28" s="3"/>
      <c r="Z28" s="3"/>
    </row>
    <row r="29" spans="1:26" ht="15.75" customHeight="1" x14ac:dyDescent="0.2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3"/>
      <c r="Y29" s="3"/>
      <c r="Z29" s="3"/>
    </row>
    <row r="30" spans="1:26" ht="15.75" customHeight="1" x14ac:dyDescent="0.2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3"/>
      <c r="Y30" s="3"/>
      <c r="Z30" s="3"/>
    </row>
    <row r="31" spans="1:26" ht="15.75" customHeight="1" x14ac:dyDescent="0.2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3"/>
      <c r="Y31" s="3"/>
      <c r="Z31" s="3"/>
    </row>
    <row r="32" spans="1:26" ht="15.75" customHeight="1" x14ac:dyDescent="0.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3"/>
      <c r="Y32" s="3"/>
      <c r="Z32" s="3"/>
    </row>
    <row r="33" spans="1:26" ht="15.75" customHeight="1" x14ac:dyDescent="0.2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3"/>
      <c r="Y33" s="3"/>
      <c r="Z33" s="3"/>
    </row>
    <row r="34" spans="1:26" ht="15.75" customHeight="1" x14ac:dyDescent="0.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3"/>
      <c r="Y34" s="3"/>
      <c r="Z34" s="3"/>
    </row>
    <row r="35" spans="1:26" ht="15.75" customHeight="1" x14ac:dyDescent="0.2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3"/>
      <c r="Y35" s="3"/>
      <c r="Z35" s="3"/>
    </row>
    <row r="36" spans="1:26" ht="15.75" customHeight="1" x14ac:dyDescent="0.2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3"/>
      <c r="Y36" s="3"/>
      <c r="Z36" s="3"/>
    </row>
    <row r="37" spans="1:26" ht="15.75" customHeight="1" x14ac:dyDescent="0.2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3"/>
      <c r="Y37" s="3"/>
      <c r="Z37" s="3"/>
    </row>
    <row r="38" spans="1:26" ht="15.75" customHeight="1" x14ac:dyDescent="0.2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3"/>
      <c r="Y38" s="3"/>
      <c r="Z38" s="3"/>
    </row>
    <row r="39" spans="1:26" ht="15.75" customHeight="1" x14ac:dyDescent="0.2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3"/>
      <c r="Y39" s="3"/>
      <c r="Z39" s="3"/>
    </row>
    <row r="40" spans="1:26" ht="15.75" customHeight="1" x14ac:dyDescent="0.2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3"/>
      <c r="Y40" s="3"/>
      <c r="Z40" s="3"/>
    </row>
    <row r="41" spans="1:26" ht="15.75" customHeight="1" x14ac:dyDescent="0.2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3"/>
      <c r="Y41" s="3"/>
      <c r="Z41" s="3"/>
    </row>
    <row r="42" spans="1:26" ht="15.75" customHeight="1" x14ac:dyDescent="0.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3"/>
      <c r="Y42" s="3"/>
      <c r="Z42" s="3"/>
    </row>
    <row r="43" spans="1:26" ht="15.75" customHeight="1" x14ac:dyDescent="0.2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3"/>
      <c r="Y43" s="3"/>
      <c r="Z43" s="3"/>
    </row>
    <row r="44" spans="1:26" ht="15.75" customHeight="1" x14ac:dyDescent="0.2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3"/>
      <c r="Y44" s="3"/>
      <c r="Z44" s="3"/>
    </row>
    <row r="45" spans="1:26" ht="15.75" customHeight="1" x14ac:dyDescent="0.2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3"/>
      <c r="Y45" s="3"/>
      <c r="Z45" s="3"/>
    </row>
    <row r="46" spans="1:26" ht="15.75" customHeight="1" x14ac:dyDescent="0.2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3"/>
      <c r="Y46" s="3"/>
      <c r="Z46" s="3"/>
    </row>
    <row r="47" spans="1:26" ht="15.75" customHeight="1" x14ac:dyDescent="0.2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3"/>
      <c r="Y47" s="3"/>
      <c r="Z47" s="3"/>
    </row>
    <row r="48" spans="1:26" ht="15.75" customHeight="1" x14ac:dyDescent="0.2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3"/>
      <c r="Y48" s="3"/>
      <c r="Z48" s="3"/>
    </row>
    <row r="49" spans="1:26" ht="15.75" customHeight="1" x14ac:dyDescent="0.2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3"/>
      <c r="Y49" s="3"/>
      <c r="Z49" s="3"/>
    </row>
    <row r="50" spans="1:26" ht="15.75" customHeight="1" x14ac:dyDescent="0.2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3"/>
      <c r="Y50" s="3"/>
      <c r="Z50" s="3"/>
    </row>
    <row r="51" spans="1:26" ht="15.75" customHeight="1" x14ac:dyDescent="0.2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3"/>
      <c r="Y51" s="3"/>
      <c r="Z51" s="3"/>
    </row>
    <row r="52" spans="1:26" ht="15.75" customHeight="1" x14ac:dyDescent="0.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3"/>
      <c r="Y52" s="3"/>
      <c r="Z52" s="3"/>
    </row>
    <row r="53" spans="1:26" ht="15.75" customHeight="1" x14ac:dyDescent="0.2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3"/>
      <c r="Y53" s="3"/>
      <c r="Z53" s="3"/>
    </row>
    <row r="54" spans="1:26" ht="15.75" customHeight="1" x14ac:dyDescent="0.2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3"/>
      <c r="Y54" s="3"/>
      <c r="Z54" s="3"/>
    </row>
    <row r="55" spans="1:26" ht="15.75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3"/>
      <c r="Y55" s="3"/>
      <c r="Z55" s="3"/>
    </row>
    <row r="56" spans="1:26" ht="15.75" customHeight="1" x14ac:dyDescent="0.2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3"/>
      <c r="Y56" s="3"/>
      <c r="Z56" s="3"/>
    </row>
    <row r="57" spans="1:26" ht="15.75" customHeight="1" x14ac:dyDescent="0.2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3"/>
      <c r="Y57" s="3"/>
      <c r="Z57" s="3"/>
    </row>
    <row r="58" spans="1:26" ht="15.75" customHeight="1" x14ac:dyDescent="0.2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3"/>
      <c r="Y58" s="3"/>
      <c r="Z58" s="3"/>
    </row>
    <row r="59" spans="1:26" ht="15.75" customHeight="1" x14ac:dyDescent="0.2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3"/>
      <c r="Y59" s="3"/>
      <c r="Z59" s="3"/>
    </row>
    <row r="60" spans="1:26" ht="15.75" customHeight="1" x14ac:dyDescent="0.2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3"/>
      <c r="Y60" s="3"/>
      <c r="Z60" s="3"/>
    </row>
    <row r="61" spans="1:26" ht="15.75" customHeight="1" x14ac:dyDescent="0.2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3"/>
      <c r="Y61" s="3"/>
      <c r="Z61" s="3"/>
    </row>
    <row r="62" spans="1:26" ht="15.75" customHeight="1" x14ac:dyDescent="0.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3"/>
      <c r="Y62" s="3"/>
      <c r="Z62" s="3"/>
    </row>
    <row r="63" spans="1:26" ht="15.75" customHeight="1" x14ac:dyDescent="0.2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3"/>
      <c r="Y63" s="3"/>
      <c r="Z63" s="3"/>
    </row>
    <row r="64" spans="1:26" ht="15.75" customHeight="1" x14ac:dyDescent="0.2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3"/>
      <c r="Y64" s="3"/>
      <c r="Z64" s="3"/>
    </row>
    <row r="65" spans="1:26" ht="15.75" customHeight="1" x14ac:dyDescent="0.2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3"/>
      <c r="Y65" s="3"/>
      <c r="Z65" s="3"/>
    </row>
    <row r="66" spans="1:26" ht="15.75" customHeight="1" x14ac:dyDescent="0.2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3"/>
      <c r="Y66" s="3"/>
      <c r="Z66" s="3"/>
    </row>
    <row r="67" spans="1:26" ht="15.75" customHeight="1" x14ac:dyDescent="0.2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3"/>
      <c r="Y67" s="3"/>
      <c r="Z67" s="3"/>
    </row>
    <row r="68" spans="1:26" ht="15.75" customHeight="1" x14ac:dyDescent="0.2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3"/>
      <c r="Y68" s="3"/>
      <c r="Z68" s="3"/>
    </row>
    <row r="69" spans="1:26" ht="15.75" customHeight="1" x14ac:dyDescent="0.2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3"/>
      <c r="Y69" s="3"/>
      <c r="Z69" s="3"/>
    </row>
    <row r="70" spans="1:26" ht="15.75" customHeight="1" x14ac:dyDescent="0.2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3"/>
      <c r="Y70" s="3"/>
      <c r="Z70" s="3"/>
    </row>
    <row r="71" spans="1:26" ht="15.75" customHeight="1" x14ac:dyDescent="0.2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3"/>
      <c r="Y71" s="3"/>
      <c r="Z71" s="3"/>
    </row>
    <row r="72" spans="1:26" ht="15.75" customHeight="1" x14ac:dyDescent="0.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3"/>
      <c r="Y72" s="3"/>
      <c r="Z72" s="3"/>
    </row>
    <row r="73" spans="1:26" ht="15.75" customHeight="1" x14ac:dyDescent="0.2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3"/>
      <c r="Y73" s="3"/>
      <c r="Z73" s="3"/>
    </row>
    <row r="74" spans="1:26" ht="15.75" customHeight="1" x14ac:dyDescent="0.2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3"/>
      <c r="Y74" s="3"/>
      <c r="Z74" s="3"/>
    </row>
    <row r="75" spans="1:26" ht="15.75" customHeight="1" x14ac:dyDescent="0.2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3"/>
      <c r="Y75" s="3"/>
      <c r="Z75" s="3"/>
    </row>
    <row r="76" spans="1:26" ht="15.75" customHeight="1" x14ac:dyDescent="0.2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3"/>
      <c r="Y76" s="3"/>
      <c r="Z76" s="3"/>
    </row>
    <row r="77" spans="1:26" ht="15.75" customHeight="1" x14ac:dyDescent="0.2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3"/>
      <c r="Y77" s="3"/>
      <c r="Z77" s="3"/>
    </row>
    <row r="78" spans="1:26" ht="15.75" customHeight="1" x14ac:dyDescent="0.2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3"/>
      <c r="Y78" s="3"/>
      <c r="Z78" s="3"/>
    </row>
    <row r="79" spans="1:26" ht="15.75" customHeight="1" x14ac:dyDescent="0.2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3"/>
      <c r="Y79" s="3"/>
      <c r="Z79" s="3"/>
    </row>
    <row r="80" spans="1:26" ht="15.75" customHeight="1" x14ac:dyDescent="0.2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3"/>
      <c r="Y80" s="3"/>
      <c r="Z80" s="3"/>
    </row>
    <row r="81" spans="1:26" ht="15.75" customHeight="1" x14ac:dyDescent="0.2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3"/>
      <c r="Y81" s="3"/>
      <c r="Z81" s="3"/>
    </row>
    <row r="82" spans="1:26" ht="15.75" customHeight="1" x14ac:dyDescent="0.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3"/>
      <c r="Y82" s="3"/>
      <c r="Z82" s="3"/>
    </row>
    <row r="83" spans="1:26" ht="15.75" customHeight="1" x14ac:dyDescent="0.2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3"/>
      <c r="Y83" s="3"/>
      <c r="Z83" s="3"/>
    </row>
    <row r="84" spans="1:26" ht="15.75" customHeight="1" x14ac:dyDescent="0.2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3"/>
      <c r="Y84" s="3"/>
      <c r="Z84" s="3"/>
    </row>
    <row r="85" spans="1:26" ht="15.75" customHeight="1" x14ac:dyDescent="0.2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3"/>
      <c r="Y85" s="3"/>
      <c r="Z85" s="3"/>
    </row>
    <row r="86" spans="1:26" ht="15.75" customHeight="1" x14ac:dyDescent="0.2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3"/>
      <c r="Y86" s="3"/>
      <c r="Z86" s="3"/>
    </row>
    <row r="87" spans="1:26" ht="15.75" customHeight="1" x14ac:dyDescent="0.2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3"/>
      <c r="Y87" s="3"/>
      <c r="Z87" s="3"/>
    </row>
    <row r="88" spans="1:26" ht="15.75" customHeight="1" x14ac:dyDescent="0.2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3"/>
      <c r="Y88" s="3"/>
      <c r="Z88" s="3"/>
    </row>
    <row r="89" spans="1:26" ht="15.75" customHeight="1" x14ac:dyDescent="0.2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3"/>
      <c r="Y89" s="3"/>
      <c r="Z89" s="3"/>
    </row>
    <row r="90" spans="1:26" ht="15.75" customHeight="1" x14ac:dyDescent="0.2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3"/>
      <c r="Y90" s="3"/>
      <c r="Z90" s="3"/>
    </row>
    <row r="91" spans="1:26" ht="15.75" customHeight="1" x14ac:dyDescent="0.2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3"/>
      <c r="Y91" s="3"/>
      <c r="Z91" s="3"/>
    </row>
    <row r="92" spans="1:26" ht="15.75" customHeight="1" x14ac:dyDescent="0.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3"/>
      <c r="Y92" s="3"/>
      <c r="Z92" s="3"/>
    </row>
    <row r="93" spans="1:26" ht="15.75" customHeight="1" x14ac:dyDescent="0.2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3"/>
      <c r="Y93" s="3"/>
      <c r="Z93" s="3"/>
    </row>
    <row r="94" spans="1:26" ht="15.75" customHeight="1" x14ac:dyDescent="0.2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3"/>
      <c r="Y94" s="3"/>
      <c r="Z94" s="3"/>
    </row>
    <row r="95" spans="1:26" ht="15.75" customHeight="1" x14ac:dyDescent="0.2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3"/>
      <c r="Y95" s="3"/>
      <c r="Z95" s="3"/>
    </row>
    <row r="96" spans="1:26" ht="15.75" customHeight="1" x14ac:dyDescent="0.2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3"/>
      <c r="Y96" s="3"/>
      <c r="Z96" s="3"/>
    </row>
    <row r="97" spans="1:26" ht="15.75" customHeight="1" x14ac:dyDescent="0.2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3"/>
      <c r="Y97" s="3"/>
      <c r="Z97" s="3"/>
    </row>
    <row r="98" spans="1:26" ht="15.75" customHeight="1" x14ac:dyDescent="0.2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3"/>
      <c r="Y98" s="3"/>
      <c r="Z98" s="3"/>
    </row>
    <row r="99" spans="1:26" ht="15.75" customHeight="1" x14ac:dyDescent="0.2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3"/>
      <c r="Y99" s="3"/>
      <c r="Z99" s="3"/>
    </row>
    <row r="100" spans="1:26" ht="15.75" customHeight="1" x14ac:dyDescent="0.2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3"/>
      <c r="Y100" s="3"/>
      <c r="Z100" s="3"/>
    </row>
    <row r="101" spans="1:26" ht="15.75" customHeight="1" x14ac:dyDescent="0.2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3"/>
      <c r="Y101" s="3"/>
      <c r="Z101" s="3"/>
    </row>
    <row r="102" spans="1:26" ht="15.75" customHeight="1" x14ac:dyDescent="0.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3"/>
      <c r="Y102" s="3"/>
      <c r="Z102" s="3"/>
    </row>
    <row r="103" spans="1:26" ht="15.75" customHeight="1" x14ac:dyDescent="0.2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3"/>
      <c r="Y103" s="3"/>
      <c r="Z103" s="3"/>
    </row>
    <row r="104" spans="1:26" ht="15.75" customHeight="1" x14ac:dyDescent="0.2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3"/>
      <c r="Y104" s="3"/>
      <c r="Z104" s="3"/>
    </row>
    <row r="105" spans="1:26" ht="15.75" customHeight="1" x14ac:dyDescent="0.2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3"/>
      <c r="Y105" s="3"/>
      <c r="Z105" s="3"/>
    </row>
    <row r="106" spans="1:26" ht="15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3"/>
      <c r="Y106" s="3"/>
      <c r="Z106" s="3"/>
    </row>
    <row r="107" spans="1:26" ht="15.75" customHeight="1" x14ac:dyDescent="0.2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3"/>
      <c r="Y107" s="3"/>
      <c r="Z107" s="3"/>
    </row>
    <row r="108" spans="1:26" ht="15.75" customHeight="1" x14ac:dyDescent="0.2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3"/>
      <c r="Y108" s="3"/>
      <c r="Z108" s="3"/>
    </row>
    <row r="109" spans="1:26" ht="15.75" customHeight="1" x14ac:dyDescent="0.2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3"/>
      <c r="Y109" s="3"/>
      <c r="Z109" s="3"/>
    </row>
    <row r="110" spans="1:26" ht="15.75" customHeight="1" x14ac:dyDescent="0.2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3"/>
      <c r="Y110" s="3"/>
      <c r="Z110" s="3"/>
    </row>
    <row r="111" spans="1:26" ht="15.75" customHeight="1" x14ac:dyDescent="0.2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3"/>
      <c r="Y111" s="3"/>
      <c r="Z111" s="3"/>
    </row>
    <row r="112" spans="1:26" ht="15.75" customHeight="1" x14ac:dyDescent="0.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3"/>
      <c r="Y112" s="3"/>
      <c r="Z112" s="3"/>
    </row>
    <row r="113" spans="1:26" ht="15.75" customHeight="1" x14ac:dyDescent="0.2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3"/>
      <c r="Y113" s="3"/>
      <c r="Z113" s="3"/>
    </row>
    <row r="114" spans="1:26" ht="15.75" customHeight="1" x14ac:dyDescent="0.2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3"/>
      <c r="Y114" s="3"/>
      <c r="Z114" s="3"/>
    </row>
    <row r="115" spans="1:26" ht="15.75" customHeight="1" x14ac:dyDescent="0.2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3"/>
      <c r="Y115" s="3"/>
      <c r="Z115" s="3"/>
    </row>
    <row r="116" spans="1:26" ht="15.75" customHeight="1" x14ac:dyDescent="0.2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3"/>
      <c r="Y116" s="3"/>
      <c r="Z116" s="3"/>
    </row>
    <row r="117" spans="1:26" ht="15.75" customHeight="1" x14ac:dyDescent="0.2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3"/>
      <c r="Y117" s="3"/>
      <c r="Z117" s="3"/>
    </row>
    <row r="118" spans="1:26" ht="15.75" customHeight="1" x14ac:dyDescent="0.2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3"/>
      <c r="Y118" s="3"/>
      <c r="Z118" s="3"/>
    </row>
    <row r="119" spans="1:26" ht="15.75" customHeight="1" x14ac:dyDescent="0.2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3"/>
      <c r="Y119" s="3"/>
      <c r="Z119" s="3"/>
    </row>
    <row r="120" spans="1:26" ht="15.75" customHeight="1" x14ac:dyDescent="0.2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3"/>
      <c r="Y120" s="3"/>
      <c r="Z120" s="3"/>
    </row>
    <row r="121" spans="1:26" ht="15.75" customHeight="1" x14ac:dyDescent="0.2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3"/>
      <c r="Y121" s="3"/>
      <c r="Z121" s="3"/>
    </row>
    <row r="122" spans="1:26" ht="15.75" customHeight="1" x14ac:dyDescent="0.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3"/>
      <c r="Y122" s="3"/>
      <c r="Z122" s="3"/>
    </row>
    <row r="123" spans="1:26" ht="15.75" customHeight="1" x14ac:dyDescent="0.2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3"/>
      <c r="Y123" s="3"/>
      <c r="Z123" s="3"/>
    </row>
    <row r="124" spans="1:26" ht="15.75" customHeight="1" x14ac:dyDescent="0.2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3"/>
      <c r="Y124" s="3"/>
      <c r="Z124" s="3"/>
    </row>
    <row r="125" spans="1:26" ht="15.75" customHeight="1" x14ac:dyDescent="0.2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3"/>
      <c r="Y125" s="3"/>
      <c r="Z125" s="3"/>
    </row>
    <row r="126" spans="1:26" ht="15.75" customHeight="1" x14ac:dyDescent="0.2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3"/>
      <c r="Y126" s="3"/>
      <c r="Z126" s="3"/>
    </row>
    <row r="127" spans="1:26" ht="15.75" customHeight="1" x14ac:dyDescent="0.2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3"/>
      <c r="Y127" s="3"/>
      <c r="Z127" s="3"/>
    </row>
    <row r="128" spans="1:26" ht="15.75" customHeight="1" x14ac:dyDescent="0.2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3"/>
      <c r="Y128" s="3"/>
      <c r="Z128" s="3"/>
    </row>
    <row r="129" spans="1:26" ht="15.75" customHeight="1" x14ac:dyDescent="0.2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3"/>
      <c r="Y129" s="3"/>
      <c r="Z129" s="3"/>
    </row>
    <row r="130" spans="1:26" ht="15.75" customHeight="1" x14ac:dyDescent="0.2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3"/>
      <c r="Y130" s="3"/>
      <c r="Z130" s="3"/>
    </row>
    <row r="131" spans="1:26" ht="15.75" customHeight="1" x14ac:dyDescent="0.2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3"/>
      <c r="Y131" s="3"/>
      <c r="Z131" s="3"/>
    </row>
    <row r="132" spans="1:26" ht="15.75" customHeight="1" x14ac:dyDescent="0.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3"/>
      <c r="Y132" s="3"/>
      <c r="Z132" s="3"/>
    </row>
    <row r="133" spans="1:26" ht="15.75" customHeight="1" x14ac:dyDescent="0.2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3"/>
      <c r="Y133" s="3"/>
      <c r="Z133" s="3"/>
    </row>
    <row r="134" spans="1:26" ht="15.75" customHeight="1" x14ac:dyDescent="0.2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3"/>
      <c r="Y134" s="3"/>
      <c r="Z134" s="3"/>
    </row>
    <row r="135" spans="1:26" ht="15.75" customHeight="1" x14ac:dyDescent="0.2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3"/>
      <c r="Y135" s="3"/>
      <c r="Z135" s="3"/>
    </row>
    <row r="136" spans="1:26" ht="15.75" customHeight="1" x14ac:dyDescent="0.2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3"/>
      <c r="Y136" s="3"/>
      <c r="Z136" s="3"/>
    </row>
    <row r="137" spans="1:26" ht="15.75" customHeight="1" x14ac:dyDescent="0.2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3"/>
      <c r="Y137" s="3"/>
      <c r="Z137" s="3"/>
    </row>
    <row r="138" spans="1:26" ht="15.75" customHeight="1" x14ac:dyDescent="0.2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3"/>
      <c r="Y138" s="3"/>
      <c r="Z138" s="3"/>
    </row>
    <row r="139" spans="1:26" ht="15.75" customHeight="1" x14ac:dyDescent="0.2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3"/>
      <c r="Y139" s="3"/>
      <c r="Z139" s="3"/>
    </row>
    <row r="140" spans="1:26" ht="15.75" customHeight="1" x14ac:dyDescent="0.2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3"/>
      <c r="Y140" s="3"/>
      <c r="Z140" s="3"/>
    </row>
    <row r="141" spans="1:26" ht="15.75" customHeight="1" x14ac:dyDescent="0.2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3"/>
      <c r="Y141" s="3"/>
      <c r="Z141" s="3"/>
    </row>
    <row r="142" spans="1:26" ht="15.75" customHeight="1" x14ac:dyDescent="0.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3"/>
      <c r="Y142" s="3"/>
      <c r="Z142" s="3"/>
    </row>
    <row r="143" spans="1:26" ht="15.75" customHeight="1" x14ac:dyDescent="0.2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3"/>
      <c r="Y143" s="3"/>
      <c r="Z143" s="3"/>
    </row>
    <row r="144" spans="1:26" ht="15.75" customHeight="1" x14ac:dyDescent="0.2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3"/>
      <c r="Y144" s="3"/>
      <c r="Z144" s="3"/>
    </row>
    <row r="145" spans="1:26" ht="15.75" customHeight="1" x14ac:dyDescent="0.2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3"/>
      <c r="Y145" s="3"/>
      <c r="Z145" s="3"/>
    </row>
    <row r="146" spans="1:26" ht="15.75" customHeight="1" x14ac:dyDescent="0.2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3"/>
      <c r="Y146" s="3"/>
      <c r="Z146" s="3"/>
    </row>
    <row r="147" spans="1:26" ht="15.75" customHeight="1" x14ac:dyDescent="0.2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3"/>
      <c r="Y147" s="3"/>
      <c r="Z147" s="3"/>
    </row>
    <row r="148" spans="1:26" ht="15.75" customHeight="1" x14ac:dyDescent="0.2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3"/>
      <c r="Y148" s="3"/>
      <c r="Z148" s="3"/>
    </row>
    <row r="149" spans="1:26" ht="15.75" customHeight="1" x14ac:dyDescent="0.2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3"/>
      <c r="Y149" s="3"/>
      <c r="Z149" s="3"/>
    </row>
    <row r="150" spans="1:26" ht="15.75" customHeight="1" x14ac:dyDescent="0.2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3"/>
      <c r="Y150" s="3"/>
      <c r="Z150" s="3"/>
    </row>
    <row r="151" spans="1:26" ht="15.75" customHeight="1" x14ac:dyDescent="0.2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3"/>
      <c r="Y151" s="3"/>
      <c r="Z151" s="3"/>
    </row>
    <row r="152" spans="1:26" ht="15.75" customHeight="1" x14ac:dyDescent="0.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3"/>
      <c r="Y152" s="3"/>
      <c r="Z152" s="3"/>
    </row>
    <row r="153" spans="1:26" ht="15.75" customHeight="1" x14ac:dyDescent="0.2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3"/>
      <c r="Y153" s="3"/>
      <c r="Z153" s="3"/>
    </row>
    <row r="154" spans="1:26" ht="15.75" customHeight="1" x14ac:dyDescent="0.2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3"/>
      <c r="Y154" s="3"/>
      <c r="Z154" s="3"/>
    </row>
    <row r="155" spans="1:26" ht="15.75" customHeight="1" x14ac:dyDescent="0.2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3"/>
      <c r="Y155" s="3"/>
      <c r="Z155" s="3"/>
    </row>
    <row r="156" spans="1:26" ht="15.75" customHeight="1" x14ac:dyDescent="0.2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3"/>
      <c r="Y156" s="3"/>
      <c r="Z156" s="3"/>
    </row>
    <row r="157" spans="1:26" ht="15.75" customHeight="1" x14ac:dyDescent="0.2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3"/>
      <c r="Y157" s="3"/>
      <c r="Z157" s="3"/>
    </row>
    <row r="158" spans="1:26" ht="15.75" customHeight="1" x14ac:dyDescent="0.2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3"/>
      <c r="Y158" s="3"/>
      <c r="Z158" s="3"/>
    </row>
    <row r="159" spans="1:26" ht="15.75" customHeight="1" x14ac:dyDescent="0.2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3"/>
      <c r="Y159" s="3"/>
      <c r="Z159" s="3"/>
    </row>
    <row r="160" spans="1:26" ht="15.75" customHeight="1" x14ac:dyDescent="0.2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3"/>
      <c r="Y160" s="3"/>
      <c r="Z160" s="3"/>
    </row>
    <row r="161" spans="1:26" ht="15.7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3"/>
      <c r="Y161" s="3"/>
      <c r="Z161" s="3"/>
    </row>
    <row r="162" spans="1:26" ht="15.75" customHeight="1" x14ac:dyDescent="0.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3"/>
      <c r="Y162" s="3"/>
      <c r="Z162" s="3"/>
    </row>
    <row r="163" spans="1:26" ht="15.75" customHeight="1" x14ac:dyDescent="0.2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3"/>
      <c r="Y163" s="3"/>
      <c r="Z163" s="3"/>
    </row>
    <row r="164" spans="1:26" ht="15.75" customHeight="1" x14ac:dyDescent="0.2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3"/>
      <c r="Y164" s="3"/>
      <c r="Z164" s="3"/>
    </row>
    <row r="165" spans="1:26" ht="15.75" customHeight="1" x14ac:dyDescent="0.2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3"/>
      <c r="Y165" s="3"/>
      <c r="Z165" s="3"/>
    </row>
    <row r="166" spans="1:26" ht="15.75" customHeight="1" x14ac:dyDescent="0.2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3"/>
      <c r="Y166" s="3"/>
      <c r="Z166" s="3"/>
    </row>
    <row r="167" spans="1:26" ht="15.75" customHeight="1" x14ac:dyDescent="0.2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3"/>
      <c r="Y167" s="3"/>
      <c r="Z167" s="3"/>
    </row>
    <row r="168" spans="1:26" ht="15.75" customHeight="1" x14ac:dyDescent="0.2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3"/>
      <c r="Y168" s="3"/>
      <c r="Z168" s="3"/>
    </row>
    <row r="169" spans="1:26" ht="15.75" customHeight="1" x14ac:dyDescent="0.2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3"/>
      <c r="Y169" s="3"/>
      <c r="Z169" s="3"/>
    </row>
    <row r="170" spans="1:26" ht="15.75" customHeight="1" x14ac:dyDescent="0.2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3"/>
      <c r="Y170" s="3"/>
      <c r="Z170" s="3"/>
    </row>
    <row r="171" spans="1:26" ht="15.75" customHeight="1" x14ac:dyDescent="0.2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3"/>
      <c r="Y171" s="3"/>
      <c r="Z171" s="3"/>
    </row>
    <row r="172" spans="1:26" ht="15.75" customHeight="1" x14ac:dyDescent="0.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3"/>
      <c r="Y172" s="3"/>
      <c r="Z172" s="3"/>
    </row>
    <row r="173" spans="1:26" ht="15.75" customHeight="1" x14ac:dyDescent="0.2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3"/>
      <c r="Y173" s="3"/>
      <c r="Z173" s="3"/>
    </row>
    <row r="174" spans="1:26" ht="15.75" customHeight="1" x14ac:dyDescent="0.2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3"/>
      <c r="Y174" s="3"/>
      <c r="Z174" s="3"/>
    </row>
    <row r="175" spans="1:26" ht="15.75" customHeight="1" x14ac:dyDescent="0.2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3"/>
      <c r="Y175" s="3"/>
      <c r="Z175" s="3"/>
    </row>
    <row r="176" spans="1:26" ht="15.75" customHeight="1" x14ac:dyDescent="0.2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3"/>
      <c r="Y176" s="3"/>
      <c r="Z176" s="3"/>
    </row>
    <row r="177" spans="1:26" ht="15.75" customHeight="1" x14ac:dyDescent="0.2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3"/>
      <c r="Y177" s="3"/>
      <c r="Z177" s="3"/>
    </row>
    <row r="178" spans="1:26" ht="15.75" customHeight="1" x14ac:dyDescent="0.2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3"/>
      <c r="Y178" s="3"/>
      <c r="Z178" s="3"/>
    </row>
    <row r="179" spans="1:26" ht="15.75" customHeight="1" x14ac:dyDescent="0.2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3"/>
      <c r="Y179" s="3"/>
      <c r="Z179" s="3"/>
    </row>
    <row r="180" spans="1:26" ht="15.75" customHeight="1" x14ac:dyDescent="0.2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3"/>
      <c r="Y180" s="3"/>
      <c r="Z180" s="3"/>
    </row>
    <row r="181" spans="1:26" ht="15.75" customHeight="1" x14ac:dyDescent="0.2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3"/>
      <c r="Y181" s="3"/>
      <c r="Z181" s="3"/>
    </row>
    <row r="182" spans="1:26" ht="15.75" customHeight="1" x14ac:dyDescent="0.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3"/>
      <c r="Y182" s="3"/>
      <c r="Z182" s="3"/>
    </row>
    <row r="183" spans="1:26" ht="15.75" customHeight="1" x14ac:dyDescent="0.2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3"/>
      <c r="Y183" s="3"/>
      <c r="Z183" s="3"/>
    </row>
    <row r="184" spans="1:26" ht="15.75" customHeight="1" x14ac:dyDescent="0.2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3"/>
      <c r="Y184" s="3"/>
      <c r="Z184" s="3"/>
    </row>
    <row r="185" spans="1:26" ht="15.75" customHeight="1" x14ac:dyDescent="0.2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3"/>
      <c r="Y185" s="3"/>
      <c r="Z185" s="3"/>
    </row>
    <row r="186" spans="1:26" ht="15.75" customHeight="1" x14ac:dyDescent="0.2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3"/>
      <c r="Y186" s="3"/>
      <c r="Z186" s="3"/>
    </row>
    <row r="187" spans="1:26" ht="15.75" customHeight="1" x14ac:dyDescent="0.2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3"/>
      <c r="Y187" s="3"/>
      <c r="Z187" s="3"/>
    </row>
    <row r="188" spans="1:26" ht="15.75" customHeight="1" x14ac:dyDescent="0.2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3"/>
      <c r="Y188" s="3"/>
      <c r="Z188" s="3"/>
    </row>
    <row r="189" spans="1:26" ht="15.75" customHeight="1" x14ac:dyDescent="0.2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3"/>
      <c r="Y189" s="3"/>
      <c r="Z189" s="3"/>
    </row>
    <row r="190" spans="1:26" ht="15.75" customHeight="1" x14ac:dyDescent="0.2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3"/>
      <c r="Y190" s="3"/>
      <c r="Z190" s="3"/>
    </row>
    <row r="191" spans="1:26" ht="15.75" customHeight="1" x14ac:dyDescent="0.2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3"/>
      <c r="Y191" s="3"/>
      <c r="Z191" s="3"/>
    </row>
    <row r="192" spans="1:26" ht="15.75" customHeight="1" x14ac:dyDescent="0.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3"/>
      <c r="Y192" s="3"/>
      <c r="Z192" s="3"/>
    </row>
    <row r="193" spans="1:26" ht="15.75" customHeight="1" x14ac:dyDescent="0.2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3"/>
      <c r="Y193" s="3"/>
      <c r="Z193" s="3"/>
    </row>
    <row r="194" spans="1:26" ht="15.75" customHeight="1" x14ac:dyDescent="0.2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3"/>
      <c r="Y194" s="3"/>
      <c r="Z194" s="3"/>
    </row>
    <row r="195" spans="1:26" ht="15.75" customHeight="1" x14ac:dyDescent="0.2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3"/>
      <c r="Y195" s="3"/>
      <c r="Z195" s="3"/>
    </row>
    <row r="196" spans="1:26" ht="15.75" customHeight="1" x14ac:dyDescent="0.2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3"/>
      <c r="Y196" s="3"/>
      <c r="Z196" s="3"/>
    </row>
    <row r="197" spans="1:26" ht="15.75" customHeight="1" x14ac:dyDescent="0.2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3"/>
      <c r="Y197" s="3"/>
      <c r="Z197" s="3"/>
    </row>
    <row r="198" spans="1:26" ht="15.75" customHeight="1" x14ac:dyDescent="0.2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3"/>
      <c r="Y198" s="3"/>
      <c r="Z198" s="3"/>
    </row>
    <row r="199" spans="1:26" ht="15.75" customHeight="1" x14ac:dyDescent="0.2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3"/>
      <c r="Y199" s="3"/>
      <c r="Z199" s="3"/>
    </row>
    <row r="200" spans="1:26" ht="15.75" customHeight="1" x14ac:dyDescent="0.2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3"/>
      <c r="Y200" s="3"/>
      <c r="Z200" s="3"/>
    </row>
    <row r="201" spans="1:26" ht="15.75" customHeight="1" x14ac:dyDescent="0.2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3"/>
      <c r="Y201" s="3"/>
      <c r="Z201" s="3"/>
    </row>
    <row r="202" spans="1:26" ht="15.75" customHeight="1" x14ac:dyDescent="0.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3"/>
      <c r="Y202" s="3"/>
      <c r="Z202" s="3"/>
    </row>
    <row r="203" spans="1:26" ht="15.75" customHeight="1" x14ac:dyDescent="0.2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3"/>
      <c r="Y203" s="3"/>
      <c r="Z203" s="3"/>
    </row>
    <row r="204" spans="1:26" ht="15.75" customHeight="1" x14ac:dyDescent="0.2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3"/>
      <c r="Y204" s="3"/>
      <c r="Z204" s="3"/>
    </row>
    <row r="205" spans="1:26" ht="15.75" customHeight="1" x14ac:dyDescent="0.2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3"/>
      <c r="Y205" s="3"/>
      <c r="Z205" s="3"/>
    </row>
    <row r="206" spans="1:26" ht="15.75" customHeight="1" x14ac:dyDescent="0.2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3"/>
      <c r="Y206" s="3"/>
      <c r="Z206" s="3"/>
    </row>
    <row r="207" spans="1:26" ht="15.75" customHeight="1" x14ac:dyDescent="0.2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3"/>
      <c r="Y207" s="3"/>
      <c r="Z207" s="3"/>
    </row>
    <row r="208" spans="1:26" ht="15.75" customHeight="1" x14ac:dyDescent="0.2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3"/>
      <c r="Y208" s="3"/>
      <c r="Z208" s="3"/>
    </row>
    <row r="209" spans="1:26" ht="15.75" customHeight="1" x14ac:dyDescent="0.2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3"/>
      <c r="Y209" s="3"/>
      <c r="Z209" s="3"/>
    </row>
    <row r="210" spans="1:26" ht="15.75" customHeight="1" x14ac:dyDescent="0.2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3"/>
      <c r="Y210" s="3"/>
      <c r="Z210" s="3"/>
    </row>
    <row r="211" spans="1:26" ht="15.75" customHeight="1" x14ac:dyDescent="0.2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3"/>
      <c r="Y211" s="3"/>
      <c r="Z211" s="3"/>
    </row>
    <row r="212" spans="1:26" ht="15.75" customHeight="1" x14ac:dyDescent="0.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3"/>
      <c r="Y212" s="3"/>
      <c r="Z212" s="3"/>
    </row>
    <row r="213" spans="1:26" ht="15.75" customHeight="1" x14ac:dyDescent="0.2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3"/>
      <c r="Y213" s="3"/>
      <c r="Z213" s="3"/>
    </row>
    <row r="214" spans="1:26" ht="15.75" customHeight="1" x14ac:dyDescent="0.2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3"/>
      <c r="Y214" s="3"/>
      <c r="Z214" s="3"/>
    </row>
    <row r="215" spans="1:26" ht="15.75" customHeight="1" x14ac:dyDescent="0.2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3"/>
      <c r="Y215" s="3"/>
      <c r="Z215" s="3"/>
    </row>
    <row r="216" spans="1:26" ht="15.75" customHeight="1" x14ac:dyDescent="0.2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3"/>
      <c r="Y216" s="3"/>
      <c r="Z216" s="3"/>
    </row>
    <row r="217" spans="1:26" ht="15.75" customHeight="1" x14ac:dyDescent="0.2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3"/>
      <c r="Y217" s="3"/>
      <c r="Z217" s="3"/>
    </row>
    <row r="218" spans="1:26" ht="15.75" customHeight="1" x14ac:dyDescent="0.2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3"/>
      <c r="Y218" s="3"/>
      <c r="Z218" s="3"/>
    </row>
    <row r="219" spans="1:26" ht="15.75" customHeight="1" x14ac:dyDescent="0.2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3"/>
      <c r="Y219" s="3"/>
      <c r="Z219" s="3"/>
    </row>
    <row r="220" spans="1:26" ht="15.75" customHeight="1" x14ac:dyDescent="0.2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3"/>
      <c r="Y220" s="3"/>
      <c r="Z220" s="3"/>
    </row>
    <row r="221" spans="1:26" ht="15.75" customHeight="1" x14ac:dyDescent="0.2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3"/>
      <c r="Y221" s="3"/>
      <c r="Z221" s="3"/>
    </row>
    <row r="222" spans="1:26" ht="15.75" customHeight="1" x14ac:dyDescent="0.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3"/>
      <c r="Y222" s="3"/>
      <c r="Z222" s="3"/>
    </row>
    <row r="223" spans="1:26" ht="15.75" customHeight="1" x14ac:dyDescent="0.2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3"/>
      <c r="Y223" s="3"/>
      <c r="Z223" s="3"/>
    </row>
    <row r="224" spans="1:26" ht="15.75" customHeight="1" x14ac:dyDescent="0.2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3"/>
      <c r="Y224" s="3"/>
      <c r="Z224" s="3"/>
    </row>
    <row r="225" spans="1:26" ht="15.75" customHeight="1" x14ac:dyDescent="0.2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L1000"/>
  <sheetViews>
    <sheetView topLeftCell="A12" workbookViewId="0"/>
  </sheetViews>
  <sheetFormatPr baseColWidth="10" defaultColWidth="12.5703125" defaultRowHeight="15" customHeight="1" x14ac:dyDescent="0.2"/>
  <cols>
    <col min="1" max="1" width="30.42578125" customWidth="1"/>
    <col min="2" max="38" width="12.7109375" customWidth="1"/>
  </cols>
  <sheetData>
    <row r="1" spans="1:38" ht="15.75" customHeight="1" x14ac:dyDescent="0.2">
      <c r="A1" s="72" t="s">
        <v>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15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15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15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ht="15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ht="15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 ht="15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ht="15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ht="15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ht="15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 ht="15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ht="15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5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5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5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5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 x14ac:dyDescent="0.2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</row>
    <row r="25" spans="1:38" ht="15.75" customHeight="1" x14ac:dyDescent="0.2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</row>
    <row r="26" spans="1:38" ht="15.75" customHeight="1" x14ac:dyDescent="0.2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</row>
    <row r="27" spans="1:38" ht="15.75" customHeight="1" x14ac:dyDescent="0.2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</row>
    <row r="28" spans="1:38" ht="15.75" customHeight="1" x14ac:dyDescent="0.2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</row>
    <row r="29" spans="1:38" ht="15.75" customHeight="1" x14ac:dyDescent="0.2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</row>
    <row r="30" spans="1:38" ht="30.75" x14ac:dyDescent="0.45">
      <c r="A30" s="432" t="s">
        <v>52</v>
      </c>
      <c r="B30" s="427"/>
      <c r="C30" s="427"/>
      <c r="D30" s="427"/>
      <c r="E30" s="427"/>
      <c r="F30" s="427"/>
      <c r="G30" s="427"/>
      <c r="H30" s="427"/>
      <c r="I30" s="427"/>
      <c r="J30" s="427"/>
      <c r="K30" s="427"/>
      <c r="L30" s="427"/>
      <c r="M30" s="427"/>
      <c r="N30" s="427"/>
      <c r="O30" s="427"/>
      <c r="P30" s="427"/>
      <c r="Q30" s="427"/>
      <c r="R30" s="427"/>
      <c r="S30" s="427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</row>
    <row r="31" spans="1:38" ht="15.75" customHeight="1" x14ac:dyDescent="0.2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</row>
    <row r="32" spans="1:38" ht="15.75" customHeight="1" x14ac:dyDescent="0.2">
      <c r="A32" s="75" t="s">
        <v>53</v>
      </c>
      <c r="B32" s="75">
        <v>0</v>
      </c>
      <c r="C32" s="75">
        <v>1</v>
      </c>
      <c r="D32" s="75">
        <v>2</v>
      </c>
      <c r="E32" s="75">
        <v>3</v>
      </c>
      <c r="F32" s="75">
        <v>4</v>
      </c>
      <c r="G32" s="75">
        <v>5</v>
      </c>
      <c r="H32" s="75">
        <v>6</v>
      </c>
      <c r="I32" s="75">
        <v>7</v>
      </c>
      <c r="J32" s="75">
        <v>8</v>
      </c>
      <c r="K32" s="75">
        <v>9</v>
      </c>
      <c r="L32" s="75">
        <v>10</v>
      </c>
      <c r="M32" s="75">
        <v>11</v>
      </c>
      <c r="N32" s="75">
        <v>12</v>
      </c>
      <c r="O32" s="75">
        <v>13</v>
      </c>
      <c r="P32" s="75">
        <v>14</v>
      </c>
      <c r="Q32" s="75">
        <v>15</v>
      </c>
      <c r="R32" s="75">
        <v>16</v>
      </c>
      <c r="S32" s="75">
        <v>17</v>
      </c>
      <c r="T32" s="75">
        <v>18</v>
      </c>
      <c r="U32" s="75">
        <v>19</v>
      </c>
      <c r="V32" s="75">
        <v>20</v>
      </c>
      <c r="W32" s="75">
        <v>21</v>
      </c>
      <c r="X32" s="75">
        <v>22</v>
      </c>
      <c r="Y32" s="75">
        <v>23</v>
      </c>
      <c r="Z32" s="75">
        <v>24</v>
      </c>
      <c r="AA32" s="75">
        <v>25</v>
      </c>
      <c r="AB32" s="75">
        <v>26</v>
      </c>
      <c r="AC32" s="75">
        <v>27</v>
      </c>
      <c r="AD32" s="75">
        <v>28</v>
      </c>
      <c r="AE32" s="75">
        <v>29</v>
      </c>
      <c r="AF32" s="75">
        <v>30</v>
      </c>
      <c r="AG32" s="75">
        <v>31</v>
      </c>
      <c r="AH32" s="75">
        <v>32</v>
      </c>
      <c r="AI32" s="75">
        <v>33</v>
      </c>
      <c r="AJ32" s="75">
        <v>34</v>
      </c>
      <c r="AK32" s="75">
        <v>35</v>
      </c>
      <c r="AL32" s="75">
        <f>AK32+1</f>
        <v>36</v>
      </c>
    </row>
    <row r="33" spans="1:38" ht="15.75" customHeight="1" x14ac:dyDescent="0.2">
      <c r="A33" s="75" t="s">
        <v>54</v>
      </c>
      <c r="B33" s="76"/>
      <c r="C33" s="77">
        <v>46023</v>
      </c>
      <c r="D33" s="77">
        <v>46054</v>
      </c>
      <c r="E33" s="77">
        <v>46082</v>
      </c>
      <c r="F33" s="77">
        <v>46113</v>
      </c>
      <c r="G33" s="77">
        <v>46143</v>
      </c>
      <c r="H33" s="77">
        <v>46174</v>
      </c>
      <c r="I33" s="77">
        <v>46204</v>
      </c>
      <c r="J33" s="77">
        <v>46235</v>
      </c>
      <c r="K33" s="77">
        <v>46266</v>
      </c>
      <c r="L33" s="77">
        <v>46296</v>
      </c>
      <c r="M33" s="77">
        <v>46327</v>
      </c>
      <c r="N33" s="77">
        <v>46357</v>
      </c>
      <c r="O33" s="77">
        <v>46388</v>
      </c>
      <c r="P33" s="77">
        <v>46419</v>
      </c>
      <c r="Q33" s="77">
        <v>46447</v>
      </c>
      <c r="R33" s="77">
        <v>46478</v>
      </c>
      <c r="S33" s="77">
        <v>46508</v>
      </c>
      <c r="T33" s="77">
        <v>46539</v>
      </c>
      <c r="U33" s="77">
        <v>46569</v>
      </c>
      <c r="V33" s="77">
        <v>46600</v>
      </c>
      <c r="W33" s="77">
        <v>46631</v>
      </c>
      <c r="X33" s="77">
        <v>46661</v>
      </c>
      <c r="Y33" s="77">
        <v>46692</v>
      </c>
      <c r="Z33" s="77">
        <v>46722</v>
      </c>
      <c r="AA33" s="77">
        <v>46753</v>
      </c>
      <c r="AB33" s="77">
        <v>46784</v>
      </c>
      <c r="AC33" s="77">
        <v>46813</v>
      </c>
      <c r="AD33" s="77">
        <v>46844</v>
      </c>
      <c r="AE33" s="77">
        <v>46874</v>
      </c>
      <c r="AF33" s="77">
        <v>46905</v>
      </c>
      <c r="AG33" s="77">
        <v>46935</v>
      </c>
      <c r="AH33" s="77">
        <v>46966</v>
      </c>
      <c r="AI33" s="77">
        <v>46997</v>
      </c>
      <c r="AJ33" s="77">
        <v>47027</v>
      </c>
      <c r="AK33" s="77">
        <v>47058</v>
      </c>
      <c r="AL33" s="77">
        <v>47088</v>
      </c>
    </row>
    <row r="34" spans="1:38" ht="15" customHeight="1" x14ac:dyDescent="0.2">
      <c r="A34" s="78" t="s">
        <v>55</v>
      </c>
      <c r="B34" s="79">
        <f>'FLUJO DE CAJA COMPLETO'!B5</f>
        <v>0</v>
      </c>
      <c r="C34" s="79">
        <f>B34+'FLUJO DE CAJA COMPLETO'!C5</f>
        <v>0</v>
      </c>
      <c r="D34" s="79">
        <f>C34+'FLUJO DE CAJA COMPLETO'!D5</f>
        <v>0</v>
      </c>
      <c r="E34" s="79">
        <f>D34+'FLUJO DE CAJA COMPLETO'!E5</f>
        <v>0</v>
      </c>
      <c r="F34" s="79">
        <f>E34+'FLUJO DE CAJA COMPLETO'!F5</f>
        <v>0</v>
      </c>
      <c r="G34" s="79">
        <f>F34+'FLUJO DE CAJA COMPLETO'!G5</f>
        <v>0</v>
      </c>
      <c r="H34" s="79">
        <f>G34+'FLUJO DE CAJA COMPLETO'!H5</f>
        <v>0</v>
      </c>
      <c r="I34" s="79">
        <f>H34+'FLUJO DE CAJA COMPLETO'!I5</f>
        <v>0</v>
      </c>
      <c r="J34" s="79">
        <f>I34+'FLUJO DE CAJA COMPLETO'!J5</f>
        <v>0</v>
      </c>
      <c r="K34" s="79">
        <f>J34+'FLUJO DE CAJA COMPLETO'!K5</f>
        <v>0</v>
      </c>
      <c r="L34" s="79">
        <f>K34+'FLUJO DE CAJA COMPLETO'!L5</f>
        <v>0</v>
      </c>
      <c r="M34" s="79">
        <f>L34+'FLUJO DE CAJA COMPLETO'!M5</f>
        <v>0</v>
      </c>
      <c r="N34" s="79">
        <f>M34+'FLUJO DE CAJA COMPLETO'!N5</f>
        <v>0</v>
      </c>
      <c r="O34" s="79">
        <f>N34+'FLUJO DE CAJA COMPLETO'!O5</f>
        <v>0</v>
      </c>
      <c r="P34" s="79">
        <f>O34+'FLUJO DE CAJA COMPLETO'!P5</f>
        <v>0</v>
      </c>
      <c r="Q34" s="79">
        <f>P34+'FLUJO DE CAJA COMPLETO'!Q5</f>
        <v>0</v>
      </c>
      <c r="R34" s="79">
        <f>Q34+'FLUJO DE CAJA COMPLETO'!R5</f>
        <v>0</v>
      </c>
      <c r="S34" s="79">
        <f>R34+'FLUJO DE CAJA COMPLETO'!S5</f>
        <v>0</v>
      </c>
      <c r="T34" s="79">
        <f>S34+'FLUJO DE CAJA COMPLETO'!T5</f>
        <v>0</v>
      </c>
      <c r="U34" s="79">
        <f>T34+'FLUJO DE CAJA COMPLETO'!U5</f>
        <v>0</v>
      </c>
      <c r="V34" s="79">
        <f>U34+'FLUJO DE CAJA COMPLETO'!V5</f>
        <v>0</v>
      </c>
      <c r="W34" s="79">
        <f>V34+'FLUJO DE CAJA COMPLETO'!W5</f>
        <v>0</v>
      </c>
      <c r="X34" s="79">
        <f>W34+'FLUJO DE CAJA COMPLETO'!X5</f>
        <v>0</v>
      </c>
      <c r="Y34" s="79">
        <f>X34+'FLUJO DE CAJA COMPLETO'!Y5</f>
        <v>0</v>
      </c>
      <c r="Z34" s="79">
        <f>Y34+'FLUJO DE CAJA COMPLETO'!Z5</f>
        <v>0</v>
      </c>
      <c r="AA34" s="79">
        <f>Z34+'FLUJO DE CAJA COMPLETO'!AA5</f>
        <v>0</v>
      </c>
      <c r="AB34" s="79">
        <f>AA34+'FLUJO DE CAJA COMPLETO'!AB5</f>
        <v>0</v>
      </c>
      <c r="AC34" s="79">
        <f>AB34+'FLUJO DE CAJA COMPLETO'!AC5</f>
        <v>0</v>
      </c>
      <c r="AD34" s="79">
        <f>AC34+'FLUJO DE CAJA COMPLETO'!AD5</f>
        <v>0</v>
      </c>
      <c r="AE34" s="79">
        <f>AD34+'FLUJO DE CAJA COMPLETO'!AE5</f>
        <v>0</v>
      </c>
      <c r="AF34" s="79">
        <f>AE34+'FLUJO DE CAJA COMPLETO'!AF5</f>
        <v>0</v>
      </c>
      <c r="AG34" s="79">
        <f>AF34+'FLUJO DE CAJA COMPLETO'!AG5</f>
        <v>0</v>
      </c>
      <c r="AH34" s="79">
        <f>AG34+'FLUJO DE CAJA COMPLETO'!AH5</f>
        <v>0</v>
      </c>
      <c r="AI34" s="79">
        <f>AH34+'FLUJO DE CAJA COMPLETO'!AI5</f>
        <v>0</v>
      </c>
      <c r="AJ34" s="79">
        <f>AI34+'FLUJO DE CAJA COMPLETO'!AJ5</f>
        <v>0</v>
      </c>
      <c r="AK34" s="79">
        <f>AJ34+'FLUJO DE CAJA COMPLETO'!AK5</f>
        <v>0</v>
      </c>
      <c r="AL34" s="79">
        <f>AK34+'FLUJO DE CAJA COMPLETO'!AL5</f>
        <v>0</v>
      </c>
    </row>
    <row r="35" spans="1:38" ht="15.75" customHeight="1" x14ac:dyDescent="0.2">
      <c r="A35" s="78" t="s">
        <v>56</v>
      </c>
      <c r="B35" s="80">
        <f>'FLUJO DE CAJA NETO'!B28</f>
        <v>0</v>
      </c>
      <c r="C35" s="80">
        <f>'FLUJO DE CAJA NETO'!C28</f>
        <v>0</v>
      </c>
      <c r="D35" s="80">
        <f>'FLUJO DE CAJA NETO'!D28</f>
        <v>0</v>
      </c>
      <c r="E35" s="80">
        <f>'FLUJO DE CAJA NETO'!E28</f>
        <v>0</v>
      </c>
      <c r="F35" s="80">
        <f>'FLUJO DE CAJA NETO'!F28</f>
        <v>0</v>
      </c>
      <c r="G35" s="80">
        <f>'FLUJO DE CAJA NETO'!G28</f>
        <v>0</v>
      </c>
      <c r="H35" s="80">
        <f>'FLUJO DE CAJA NETO'!H28</f>
        <v>0</v>
      </c>
      <c r="I35" s="80">
        <f>'FLUJO DE CAJA NETO'!I28</f>
        <v>0</v>
      </c>
      <c r="J35" s="80">
        <f>'FLUJO DE CAJA NETO'!J28</f>
        <v>0</v>
      </c>
      <c r="K35" s="80">
        <f>'FLUJO DE CAJA NETO'!K28</f>
        <v>0</v>
      </c>
      <c r="L35" s="80">
        <f>'FLUJO DE CAJA NETO'!L28</f>
        <v>0</v>
      </c>
      <c r="M35" s="80">
        <f>'FLUJO DE CAJA NETO'!M28</f>
        <v>0</v>
      </c>
      <c r="N35" s="80">
        <f>'FLUJO DE CAJA NETO'!N28</f>
        <v>0</v>
      </c>
      <c r="O35" s="80">
        <f>'FLUJO DE CAJA NETO'!O28</f>
        <v>0</v>
      </c>
      <c r="P35" s="80">
        <f>'FLUJO DE CAJA NETO'!P28</f>
        <v>0</v>
      </c>
      <c r="Q35" s="80">
        <f>'FLUJO DE CAJA NETO'!Q28</f>
        <v>0</v>
      </c>
      <c r="R35" s="80">
        <f>'FLUJO DE CAJA NETO'!R28</f>
        <v>0</v>
      </c>
      <c r="S35" s="80">
        <f>'FLUJO DE CAJA NETO'!S28</f>
        <v>0</v>
      </c>
      <c r="T35" s="80">
        <f>'FLUJO DE CAJA NETO'!T28</f>
        <v>0</v>
      </c>
      <c r="U35" s="80">
        <f>'FLUJO DE CAJA NETO'!U28</f>
        <v>0</v>
      </c>
      <c r="V35" s="80">
        <f>'FLUJO DE CAJA NETO'!V28</f>
        <v>0</v>
      </c>
      <c r="W35" s="80">
        <f>'FLUJO DE CAJA NETO'!W28</f>
        <v>0</v>
      </c>
      <c r="X35" s="80">
        <f>'FLUJO DE CAJA NETO'!X28</f>
        <v>0</v>
      </c>
      <c r="Y35" s="80">
        <f>'FLUJO DE CAJA NETO'!Y28</f>
        <v>0</v>
      </c>
      <c r="Z35" s="80">
        <f>'FLUJO DE CAJA NETO'!Z28</f>
        <v>0</v>
      </c>
      <c r="AA35" s="80">
        <f>'FLUJO DE CAJA NETO'!AA28</f>
        <v>0</v>
      </c>
      <c r="AB35" s="80">
        <f>'FLUJO DE CAJA NETO'!AB28</f>
        <v>0</v>
      </c>
      <c r="AC35" s="80">
        <f>'FLUJO DE CAJA NETO'!AC28</f>
        <v>0</v>
      </c>
      <c r="AD35" s="80">
        <f>'FLUJO DE CAJA NETO'!AD28</f>
        <v>0</v>
      </c>
      <c r="AE35" s="80">
        <f>'FLUJO DE CAJA NETO'!AE28</f>
        <v>0</v>
      </c>
      <c r="AF35" s="80">
        <f>'FLUJO DE CAJA NETO'!AF28</f>
        <v>0</v>
      </c>
      <c r="AG35" s="80">
        <f>'FLUJO DE CAJA NETO'!AG28</f>
        <v>0</v>
      </c>
      <c r="AH35" s="80">
        <f>'FLUJO DE CAJA NETO'!AH28</f>
        <v>0</v>
      </c>
      <c r="AI35" s="80">
        <f>'FLUJO DE CAJA NETO'!AI28</f>
        <v>0</v>
      </c>
      <c r="AJ35" s="80">
        <f>'FLUJO DE CAJA NETO'!AJ28</f>
        <v>0</v>
      </c>
      <c r="AK35" s="80">
        <f>'FLUJO DE CAJA NETO'!AK28</f>
        <v>0</v>
      </c>
      <c r="AL35" s="80">
        <f>'FLUJO DE CAJA NETO'!AL28</f>
        <v>0</v>
      </c>
    </row>
    <row r="36" spans="1:38" ht="15.75" customHeight="1" x14ac:dyDescent="0.2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</row>
    <row r="37" spans="1:38" ht="15.75" customHeight="1" x14ac:dyDescent="0.2">
      <c r="A37" s="78" t="s">
        <v>57</v>
      </c>
      <c r="B37" s="80">
        <f>'FLUJO DE CAJA COMPLETO'!B16</f>
        <v>0</v>
      </c>
      <c r="C37" s="80">
        <f>'FLUJO DE CAJA COMPLETO'!C16</f>
        <v>0</v>
      </c>
      <c r="D37" s="80">
        <f>'FLUJO DE CAJA COMPLETO'!D16</f>
        <v>0</v>
      </c>
      <c r="E37" s="80">
        <f>'FLUJO DE CAJA COMPLETO'!E16</f>
        <v>0</v>
      </c>
      <c r="F37" s="80">
        <f>'FLUJO DE CAJA COMPLETO'!F16</f>
        <v>0</v>
      </c>
      <c r="G37" s="80">
        <f>'FLUJO DE CAJA COMPLETO'!G16</f>
        <v>0</v>
      </c>
      <c r="H37" s="80">
        <f>'FLUJO DE CAJA COMPLETO'!H16</f>
        <v>0</v>
      </c>
      <c r="I37" s="80">
        <f>'FLUJO DE CAJA COMPLETO'!I16</f>
        <v>0</v>
      </c>
      <c r="J37" s="80">
        <f>'FLUJO DE CAJA COMPLETO'!J16</f>
        <v>0</v>
      </c>
      <c r="K37" s="80">
        <f>'FLUJO DE CAJA COMPLETO'!K16</f>
        <v>0</v>
      </c>
      <c r="L37" s="80">
        <f>'FLUJO DE CAJA COMPLETO'!L16</f>
        <v>0</v>
      </c>
      <c r="M37" s="80">
        <f>'FLUJO DE CAJA COMPLETO'!M16</f>
        <v>0</v>
      </c>
      <c r="N37" s="80">
        <f>'FLUJO DE CAJA COMPLETO'!N16</f>
        <v>0</v>
      </c>
      <c r="O37" s="80">
        <f>'FLUJO DE CAJA COMPLETO'!O16</f>
        <v>0</v>
      </c>
      <c r="P37" s="80">
        <f>'FLUJO DE CAJA COMPLETO'!P16</f>
        <v>0</v>
      </c>
      <c r="Q37" s="80">
        <f>'FLUJO DE CAJA COMPLETO'!Q16</f>
        <v>0</v>
      </c>
      <c r="R37" s="80">
        <f>'FLUJO DE CAJA COMPLETO'!R16</f>
        <v>0</v>
      </c>
      <c r="S37" s="80">
        <f>'FLUJO DE CAJA COMPLETO'!S16</f>
        <v>0</v>
      </c>
      <c r="T37" s="80">
        <f>'FLUJO DE CAJA COMPLETO'!T16</f>
        <v>0</v>
      </c>
      <c r="U37" s="80">
        <f>'FLUJO DE CAJA COMPLETO'!U16</f>
        <v>0</v>
      </c>
      <c r="V37" s="80">
        <f>'FLUJO DE CAJA COMPLETO'!V16</f>
        <v>0</v>
      </c>
      <c r="W37" s="80">
        <f>'FLUJO DE CAJA COMPLETO'!W16</f>
        <v>0</v>
      </c>
      <c r="X37" s="80">
        <f>'FLUJO DE CAJA COMPLETO'!X16</f>
        <v>0</v>
      </c>
      <c r="Y37" s="80">
        <f>'FLUJO DE CAJA COMPLETO'!Y16</f>
        <v>0</v>
      </c>
      <c r="Z37" s="80">
        <f>'FLUJO DE CAJA COMPLETO'!Z16</f>
        <v>0</v>
      </c>
      <c r="AA37" s="80">
        <f>'FLUJO DE CAJA COMPLETO'!AA16</f>
        <v>0</v>
      </c>
      <c r="AB37" s="80">
        <f>'FLUJO DE CAJA COMPLETO'!AB16</f>
        <v>0</v>
      </c>
      <c r="AC37" s="80">
        <f>'FLUJO DE CAJA COMPLETO'!AC16</f>
        <v>0</v>
      </c>
      <c r="AD37" s="80">
        <f>'FLUJO DE CAJA COMPLETO'!AD16</f>
        <v>0</v>
      </c>
      <c r="AE37" s="80">
        <f>'FLUJO DE CAJA COMPLETO'!AE16</f>
        <v>0</v>
      </c>
      <c r="AF37" s="80">
        <f>'FLUJO DE CAJA COMPLETO'!AF16</f>
        <v>0</v>
      </c>
      <c r="AG37" s="80">
        <f>'FLUJO DE CAJA COMPLETO'!AG16</f>
        <v>0</v>
      </c>
      <c r="AH37" s="80">
        <f>'FLUJO DE CAJA COMPLETO'!AH16</f>
        <v>0</v>
      </c>
      <c r="AI37" s="80">
        <f>'FLUJO DE CAJA COMPLETO'!AI16</f>
        <v>0</v>
      </c>
      <c r="AJ37" s="80">
        <f>'FLUJO DE CAJA COMPLETO'!AJ16</f>
        <v>0</v>
      </c>
      <c r="AK37" s="80">
        <f>'FLUJO DE CAJA COMPLETO'!AK16</f>
        <v>0</v>
      </c>
      <c r="AL37" s="80">
        <f>'FLUJO DE CAJA COMPLETO'!AL16</f>
        <v>0</v>
      </c>
    </row>
    <row r="38" spans="1:38" ht="15.75" customHeight="1" x14ac:dyDescent="0.2">
      <c r="A38" s="78" t="s">
        <v>58</v>
      </c>
      <c r="B38" s="79">
        <f>'FLUJO DE CAJA COMPLETO'!B21</f>
        <v>0</v>
      </c>
      <c r="C38" s="79">
        <f>'FLUJO DE CAJA COMPLETO'!C21</f>
        <v>0</v>
      </c>
      <c r="D38" s="79">
        <f>'FLUJO DE CAJA COMPLETO'!D21</f>
        <v>0</v>
      </c>
      <c r="E38" s="79">
        <f>'FLUJO DE CAJA COMPLETO'!E21</f>
        <v>0</v>
      </c>
      <c r="F38" s="79">
        <f>'FLUJO DE CAJA COMPLETO'!F21</f>
        <v>0</v>
      </c>
      <c r="G38" s="79">
        <f>'FLUJO DE CAJA COMPLETO'!G21</f>
        <v>0</v>
      </c>
      <c r="H38" s="79">
        <f>'FLUJO DE CAJA COMPLETO'!H21</f>
        <v>0</v>
      </c>
      <c r="I38" s="79">
        <f>'FLUJO DE CAJA COMPLETO'!I21</f>
        <v>0</v>
      </c>
      <c r="J38" s="79">
        <f>'FLUJO DE CAJA COMPLETO'!J21</f>
        <v>0</v>
      </c>
      <c r="K38" s="79">
        <f>'FLUJO DE CAJA COMPLETO'!K21</f>
        <v>0</v>
      </c>
      <c r="L38" s="79">
        <f>'FLUJO DE CAJA COMPLETO'!L21</f>
        <v>0</v>
      </c>
      <c r="M38" s="79">
        <f>'FLUJO DE CAJA COMPLETO'!M21</f>
        <v>0</v>
      </c>
      <c r="N38" s="79">
        <f>'FLUJO DE CAJA COMPLETO'!N21</f>
        <v>0</v>
      </c>
      <c r="O38" s="79">
        <f>'FLUJO DE CAJA COMPLETO'!O21</f>
        <v>0</v>
      </c>
      <c r="P38" s="79">
        <f>'FLUJO DE CAJA COMPLETO'!P21</f>
        <v>0</v>
      </c>
      <c r="Q38" s="79">
        <f>'FLUJO DE CAJA COMPLETO'!Q21</f>
        <v>0</v>
      </c>
      <c r="R38" s="79">
        <f>'FLUJO DE CAJA COMPLETO'!R21</f>
        <v>0</v>
      </c>
      <c r="S38" s="79">
        <f>'FLUJO DE CAJA COMPLETO'!S21</f>
        <v>0</v>
      </c>
      <c r="T38" s="79">
        <f>'FLUJO DE CAJA COMPLETO'!T21</f>
        <v>0</v>
      </c>
      <c r="U38" s="79">
        <f>'FLUJO DE CAJA COMPLETO'!U21</f>
        <v>0</v>
      </c>
      <c r="V38" s="79">
        <f>'FLUJO DE CAJA COMPLETO'!V21</f>
        <v>0</v>
      </c>
      <c r="W38" s="79">
        <f>'FLUJO DE CAJA COMPLETO'!W21</f>
        <v>0</v>
      </c>
      <c r="X38" s="79">
        <f>'FLUJO DE CAJA COMPLETO'!X21</f>
        <v>0</v>
      </c>
      <c r="Y38" s="79">
        <f>'FLUJO DE CAJA COMPLETO'!Y21</f>
        <v>0</v>
      </c>
      <c r="Z38" s="79">
        <f>'FLUJO DE CAJA COMPLETO'!Z21</f>
        <v>0</v>
      </c>
      <c r="AA38" s="79">
        <f>'FLUJO DE CAJA COMPLETO'!AA21</f>
        <v>0</v>
      </c>
      <c r="AB38" s="79">
        <f>'FLUJO DE CAJA COMPLETO'!AB21</f>
        <v>0</v>
      </c>
      <c r="AC38" s="79">
        <f>'FLUJO DE CAJA COMPLETO'!AC21</f>
        <v>0</v>
      </c>
      <c r="AD38" s="79">
        <f>'FLUJO DE CAJA COMPLETO'!AD21</f>
        <v>0</v>
      </c>
      <c r="AE38" s="79">
        <f>'FLUJO DE CAJA COMPLETO'!AE21</f>
        <v>0</v>
      </c>
      <c r="AF38" s="79">
        <f>'FLUJO DE CAJA COMPLETO'!AF21</f>
        <v>0</v>
      </c>
      <c r="AG38" s="79">
        <f>'FLUJO DE CAJA COMPLETO'!AG21</f>
        <v>0</v>
      </c>
      <c r="AH38" s="79">
        <f>'FLUJO DE CAJA COMPLETO'!AH21</f>
        <v>0</v>
      </c>
      <c r="AI38" s="79">
        <f>'FLUJO DE CAJA COMPLETO'!AI21</f>
        <v>0</v>
      </c>
      <c r="AJ38" s="79">
        <f>'FLUJO DE CAJA COMPLETO'!AJ21</f>
        <v>0</v>
      </c>
      <c r="AK38" s="79">
        <f>'FLUJO DE CAJA COMPLETO'!AK21</f>
        <v>0</v>
      </c>
      <c r="AL38" s="79">
        <f>'FLUJO DE CAJA COMPLETO'!AL21</f>
        <v>0</v>
      </c>
    </row>
    <row r="39" spans="1:38" ht="15.75" customHeight="1" x14ac:dyDescent="0.2">
      <c r="A39" s="78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</row>
    <row r="40" spans="1:38" ht="15.75" customHeight="1" x14ac:dyDescent="0.2">
      <c r="A40" s="81" t="s">
        <v>59</v>
      </c>
      <c r="B40" s="82" t="e">
        <f t="array" ref="B40">INDEX(C38:AL38,0,MATCH(TRUE,INDEX(C35:AL35&gt;0,1,0),0))</f>
        <v>#N/A</v>
      </c>
      <c r="C40" s="83" t="e">
        <f t="array" ref="C40">INDEX(C33:AK33,0,MATCH(TRUE,INDEX(C35:AK35&gt;0,1,0),0))</f>
        <v>#N/A</v>
      </c>
      <c r="D40" s="74"/>
      <c r="E40" s="74"/>
      <c r="F40" s="74"/>
      <c r="G40" s="74"/>
      <c r="H40" s="8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</row>
    <row r="41" spans="1:38" ht="15.75" customHeight="1" x14ac:dyDescent="0.2">
      <c r="A41" s="81" t="s">
        <v>60</v>
      </c>
      <c r="B41" s="82">
        <f t="array" ref="B41">INDEX(C38:AL38,0,MATCH(TRUE,INDEX(C38:AL38=MIN(C38:AL38),1,0),0))</f>
        <v>0</v>
      </c>
      <c r="C41" s="83">
        <f t="array" ref="C41">INDEX(C33:AK33,0,MATCH(TRUE,INDEX(C38:AK38=MIN(C38:AK38),1,0),0))</f>
        <v>46023</v>
      </c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</row>
    <row r="42" spans="1:38" ht="15.75" customHeight="1" x14ac:dyDescent="0.2">
      <c r="A42" s="81" t="s">
        <v>23</v>
      </c>
      <c r="B42" s="85" t="e">
        <f>IRR(C37:AL37)</f>
        <v>#NUM!</v>
      </c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</row>
    <row r="43" spans="1:38" ht="15.75" customHeight="1" x14ac:dyDescent="0.2">
      <c r="A43" s="73"/>
      <c r="B43" s="73"/>
      <c r="C43" s="73"/>
      <c r="D43" s="73"/>
      <c r="E43" s="73"/>
      <c r="F43" s="73"/>
      <c r="G43" s="73"/>
      <c r="H43" s="3"/>
      <c r="I43" s="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</row>
    <row r="44" spans="1:38" ht="15.75" customHeight="1" x14ac:dyDescent="0.2">
      <c r="A44" s="73"/>
      <c r="B44" s="73"/>
      <c r="C44" s="73"/>
      <c r="D44" s="73"/>
      <c r="E44" s="73"/>
      <c r="F44" s="73"/>
      <c r="G44" s="73"/>
      <c r="H44" s="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</row>
    <row r="45" spans="1:38" ht="15.75" customHeight="1" x14ac:dyDescent="0.2">
      <c r="A45" s="73"/>
      <c r="B45" s="73"/>
      <c r="C45" s="73"/>
      <c r="D45" s="73"/>
      <c r="E45" s="73"/>
      <c r="F45" s="73"/>
      <c r="G45" s="86"/>
      <c r="H45" s="3"/>
      <c r="I45" s="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</row>
    <row r="46" spans="1:38" ht="15.75" customHeight="1" x14ac:dyDescent="0.2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</row>
    <row r="47" spans="1:38" ht="15.75" customHeight="1" x14ac:dyDescent="0.2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</row>
    <row r="48" spans="1:38" ht="15.75" customHeight="1" x14ac:dyDescent="0.2">
      <c r="A48" s="73"/>
      <c r="B48" s="86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</row>
    <row r="49" spans="1:38" ht="15.75" customHeight="1" x14ac:dyDescent="0.2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</row>
    <row r="50" spans="1:38" ht="15.75" customHeight="1" x14ac:dyDescent="0.2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</row>
    <row r="51" spans="1:38" ht="15.75" customHeight="1" x14ac:dyDescent="0.2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</row>
    <row r="52" spans="1:38" ht="15.75" customHeight="1" x14ac:dyDescent="0.2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</row>
    <row r="53" spans="1:38" ht="15.75" customHeight="1" x14ac:dyDescent="0.2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</row>
    <row r="54" spans="1:38" ht="15.75" customHeight="1" x14ac:dyDescent="0.2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</row>
    <row r="55" spans="1:38" ht="15.75" customHeight="1" x14ac:dyDescent="0.2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</row>
    <row r="56" spans="1:38" ht="15.75" customHeight="1" x14ac:dyDescent="0.2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</row>
    <row r="57" spans="1:38" ht="15.75" customHeight="1" x14ac:dyDescent="0.2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</row>
    <row r="58" spans="1:38" ht="15.75" customHeight="1" x14ac:dyDescent="0.2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</row>
    <row r="59" spans="1:38" ht="15.75" customHeight="1" x14ac:dyDescent="0.2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</row>
    <row r="60" spans="1:38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1:38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1:38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:38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1:38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1:38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1:38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1:38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1:38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spans="1:38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1:38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spans="1:38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1:38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1:38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1:38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1:38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spans="1:38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1:38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1:38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1:38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spans="1:38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1:38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1:38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spans="1:38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spans="1:38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1:38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1:38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1:38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1:38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spans="1:38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1:38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38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spans="1:38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spans="1:38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1:38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spans="1:38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1:38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1:38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spans="1:38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spans="1:38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1:38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spans="1:38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spans="1:38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spans="1:38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1:38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spans="1:38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1:38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spans="1:38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1:38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spans="1:38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spans="1:38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spans="1:38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spans="1:38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spans="1:38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1:38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spans="1:38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38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spans="1:38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spans="1:38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spans="1:38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1:38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spans="1:38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spans="1:38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spans="1:38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38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1:38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1:38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spans="1:38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38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spans="1:38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spans="1:38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spans="1:38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1:38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spans="1:38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1:38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spans="1:38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spans="1:38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spans="1:38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spans="1:38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spans="1:38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38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spans="1:38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spans="1:38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spans="1:38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1:38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spans="1:38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1:38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spans="1:38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1:38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spans="1:38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spans="1:38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spans="1:38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38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spans="1:38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spans="1:38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spans="1:38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spans="1:38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spans="1:38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1:38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spans="1:38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1:38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38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1:38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spans="1:38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1:38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spans="1:38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spans="1:38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spans="1:38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1:38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spans="1:38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38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spans="1:38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spans="1:38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spans="1:38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spans="1:38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spans="1:38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1:38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spans="1:38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1:38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38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spans="1:38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spans="1:38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spans="1:38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spans="1:38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spans="1:38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spans="1:38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1:38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spans="1:38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spans="1:38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spans="1:38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spans="1:38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38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1:38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spans="1:38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spans="1:38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spans="1:38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1:38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spans="1:38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1:38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spans="1:38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spans="1:38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spans="1:38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spans="1:38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spans="1:38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spans="1:38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spans="1:38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spans="1:38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spans="1:38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1:38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1:38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:38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spans="1:38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:38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spans="1:38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1:38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spans="1:38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1:38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spans="1:38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spans="1:38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spans="1:38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spans="1:38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spans="1:38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spans="1:38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spans="1:38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spans="1:38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spans="1:38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spans="1:38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1:38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spans="1:38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spans="1:38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spans="1:38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spans="1:38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spans="1:38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spans="1:38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spans="1:38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spans="1:38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spans="1:38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spans="1:38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spans="1:38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1:38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spans="1:38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spans="1:38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spans="1:38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spans="1:38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1:38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spans="1:38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spans="1:38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spans="1:38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spans="1:38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spans="1:38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spans="1:38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38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1:38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1:38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1:38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1:38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spans="1:38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spans="1:38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1:38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spans="1:38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1:38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:38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:38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spans="1:38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1:38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spans="1:38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spans="1:38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spans="1:38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1:38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spans="1:38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1:38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spans="1:38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spans="1:38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spans="1:38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spans="1:38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1:38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spans="1:38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1:38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spans="1:38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spans="1:38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spans="1:38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spans="1:38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spans="1:38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spans="1:38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spans="1:38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spans="1:38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spans="1:38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38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spans="1:38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spans="1:38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spans="1:38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spans="1:38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spans="1:38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spans="1:38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spans="1:38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spans="1:38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spans="1:38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spans="1:38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spans="1:38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38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1:38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spans="1:38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spans="1:38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spans="1:38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spans="1:38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spans="1:38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spans="1:38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spans="1:38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spans="1:38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spans="1:38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spans="1:38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38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spans="1:38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spans="1:38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spans="1:38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1:38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spans="1:38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spans="1:38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spans="1:38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spans="1:38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spans="1:38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spans="1:38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spans="1:38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1:38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spans="1:38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spans="1:38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38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1:38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spans="1:38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spans="1:38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spans="1:38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38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spans="1:38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spans="1:38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spans="1:38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spans="1:38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spans="1:38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spans="1:38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spans="1:38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spans="1:38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spans="1:38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spans="1:38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spans="1:38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spans="1:38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spans="1:38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spans="1:38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spans="1:38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spans="1:38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spans="1:38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spans="1:38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spans="1:38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spans="1:38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spans="1:38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spans="1:38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spans="1:38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spans="1:38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spans="1:38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spans="1:38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spans="1:38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spans="1:38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spans="1:38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spans="1:38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spans="1:38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spans="1:38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spans="1:38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spans="1:38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spans="1:38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spans="1:38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spans="1:38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spans="1:38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spans="1:38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spans="1:38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spans="1:38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spans="1:38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spans="1:38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spans="1:38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spans="1:38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spans="1:38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spans="1:38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spans="1:38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spans="1:38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spans="1:38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spans="1:38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spans="1:38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spans="1:38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spans="1:38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spans="1:38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spans="1:38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spans="1:38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spans="1:38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spans="1:38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spans="1:38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spans="1:38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spans="1:38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spans="1:38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spans="1:38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spans="1:38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spans="1:38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spans="1:38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spans="1:38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spans="1:38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spans="1:38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spans="1:38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spans="1:38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spans="1:38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spans="1:38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spans="1:38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spans="1:38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spans="1:38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spans="1:38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spans="1:38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spans="1:38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spans="1:38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spans="1:38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spans="1:38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spans="1:38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spans="1:38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spans="1:38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spans="1:38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spans="1:38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spans="1:38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spans="1:38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spans="1:38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spans="1:38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spans="1:38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spans="1:38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spans="1:38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spans="1:38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spans="1:38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spans="1:38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spans="1:38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spans="1:38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spans="1:38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spans="1:38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spans="1:38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spans="1:38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spans="1:38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spans="1:38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spans="1:38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spans="1:38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spans="1:38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spans="1:38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spans="1:38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spans="1:38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spans="1:38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spans="1:38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spans="1:38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spans="1:38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spans="1:38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spans="1:38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spans="1:38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spans="1:38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spans="1:38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spans="1:38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spans="1:38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spans="1:38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spans="1:38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spans="1:38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spans="1:38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spans="1:38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spans="1:38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spans="1:38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spans="1:38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spans="1:38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spans="1:38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spans="1:38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spans="1:38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spans="1:38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spans="1:38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spans="1:38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spans="1:38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spans="1:38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spans="1:38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spans="1:38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spans="1:38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spans="1:38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spans="1:38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spans="1:38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spans="1:38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spans="1:38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spans="1:38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spans="1:38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spans="1:38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spans="1:38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spans="1:38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spans="1:38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spans="1:38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spans="1:38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spans="1:38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spans="1:38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spans="1:38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spans="1:38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spans="1:38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spans="1:38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spans="1:38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spans="1:38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spans="1:38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spans="1:38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spans="1:38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spans="1:38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spans="1:38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spans="1:38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spans="1:38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spans="1:38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spans="1:38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spans="1:38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spans="1:38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spans="1:38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spans="1:38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spans="1:38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spans="1:38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spans="1:38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spans="1:38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spans="1:38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spans="1:38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spans="1:38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spans="1:38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spans="1:38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spans="1:38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spans="1:38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spans="1:38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spans="1:38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spans="1:38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spans="1:38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spans="1:38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spans="1:38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spans="1:38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spans="1:38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spans="1:38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spans="1:38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spans="1:38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spans="1:38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spans="1:38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spans="1:38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spans="1:38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spans="1:38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spans="1:38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spans="1:38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spans="1:38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spans="1:38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spans="1:38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spans="1:38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spans="1:38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spans="1:38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spans="1:38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spans="1:38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spans="1:38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spans="1:38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spans="1:38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spans="1:38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spans="1:38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spans="1:38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spans="1:38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spans="1:38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spans="1:38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spans="1:38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spans="1:38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spans="1:38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spans="1:38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spans="1:38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spans="1:38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spans="1:38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spans="1:38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spans="1:38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spans="1:38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spans="1:38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spans="1:38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spans="1:38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spans="1:38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spans="1:38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spans="1:38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spans="1:38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spans="1:38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spans="1:38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spans="1:38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spans="1:38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spans="1:38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spans="1:38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spans="1:38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spans="1:38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spans="1:38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spans="1:38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spans="1:38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spans="1:38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spans="1:38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spans="1:38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spans="1:38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spans="1:38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spans="1:38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spans="1:38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spans="1:38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spans="1:38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spans="1:38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spans="1:38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spans="1:38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spans="1:38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spans="1:38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spans="1:38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spans="1:38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spans="1:38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spans="1:38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spans="1:38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spans="1:38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spans="1:38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spans="1:38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spans="1:38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spans="1:38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spans="1:38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spans="1:38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spans="1:38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spans="1:38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spans="1:38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spans="1:38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spans="1:38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spans="1:38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spans="1:38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spans="1:38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spans="1:38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spans="1:38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spans="1:38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spans="1:38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spans="1:38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spans="1:38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spans="1:38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spans="1:38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spans="1:38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spans="1:38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spans="1:38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spans="1:38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spans="1:38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spans="1:38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spans="1:38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spans="1:38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spans="1:38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spans="1:38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spans="1:38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spans="1:38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spans="1:38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spans="1:38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spans="1:38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spans="1:38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spans="1:38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spans="1:38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spans="1:38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spans="1:38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spans="1:38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spans="1:38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spans="1:38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spans="1:38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spans="1:38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spans="1:38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spans="1:38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spans="1:38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spans="1:38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spans="1:38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spans="1:38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spans="1:38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spans="1:38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spans="1:38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spans="1:38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spans="1:38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spans="1:38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spans="1:38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spans="1:38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spans="1:38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spans="1:38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spans="1:38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spans="1:38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spans="1:38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spans="1:38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spans="1:38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spans="1:38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spans="1:38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spans="1:38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spans="1:38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spans="1:38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spans="1:38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spans="1:38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spans="1:38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spans="1:38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spans="1:38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spans="1:38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spans="1:38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spans="1:38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spans="1:38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spans="1:38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spans="1:38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spans="1:38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spans="1:38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spans="1:38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spans="1:38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spans="1:38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spans="1:38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spans="1:38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spans="1:38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spans="1:38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spans="1:38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spans="1:38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spans="1:38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spans="1:38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spans="1:38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spans="1:38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spans="1:38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spans="1:38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spans="1:38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spans="1:38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spans="1:38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spans="1:38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spans="1:38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spans="1:38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spans="1:38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spans="1:38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spans="1:38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spans="1:38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spans="1:38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spans="1:38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spans="1:38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spans="1:38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spans="1:38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spans="1:38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spans="1:38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spans="1:38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spans="1:38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spans="1:38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spans="1:38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spans="1:38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spans="1:38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spans="1:38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spans="1:38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spans="1:38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spans="1:38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spans="1:38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spans="1:38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spans="1:38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spans="1:38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spans="1:38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spans="1:38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spans="1:38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spans="1:38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spans="1:38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spans="1:38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spans="1:38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spans="1:38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spans="1:38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spans="1:38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spans="1:38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spans="1:38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spans="1:38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spans="1:38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spans="1:38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spans="1:38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spans="1:38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spans="1:38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spans="1:38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spans="1:38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spans="1:38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spans="1:38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spans="1:38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spans="1:38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spans="1:38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spans="1:38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spans="1:38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spans="1:38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spans="1:38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spans="1:38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spans="1:38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spans="1:38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spans="1:38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 spans="1:38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</sheetData>
  <mergeCells count="1">
    <mergeCell ref="A30:AL30"/>
  </mergeCells>
  <conditionalFormatting sqref="B40:B41">
    <cfRule type="cellIs" dxfId="7" priority="1" operator="lessThan">
      <formula>0</formula>
    </cfRule>
  </conditionalFormatting>
  <conditionalFormatting sqref="B34:AL38">
    <cfRule type="cellIs" dxfId="6" priority="2" operator="lessThan">
      <formula>0</formula>
    </cfRule>
  </conditionalFormatting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81"/>
  <sheetViews>
    <sheetView workbookViewId="0">
      <selection activeCell="M35" sqref="M35"/>
    </sheetView>
  </sheetViews>
  <sheetFormatPr baseColWidth="10" defaultColWidth="12.5703125" defaultRowHeight="15" customHeight="1" x14ac:dyDescent="0.2"/>
  <cols>
    <col min="1" max="1" width="16.7109375" customWidth="1"/>
    <col min="2" max="2" width="34.7109375" customWidth="1"/>
    <col min="3" max="3" width="50.28515625" customWidth="1"/>
    <col min="4" max="4" width="12.7109375" customWidth="1"/>
    <col min="5" max="5" width="15.7109375" customWidth="1"/>
    <col min="6" max="6" width="16.42578125" customWidth="1"/>
    <col min="7" max="8" width="12.7109375" customWidth="1"/>
    <col min="9" max="9" width="13.5703125" customWidth="1"/>
    <col min="10" max="10" width="15.140625" customWidth="1"/>
    <col min="11" max="11" width="12.7109375" customWidth="1"/>
    <col min="12" max="12" width="50.5703125" customWidth="1"/>
    <col min="13" max="13" width="13" customWidth="1"/>
    <col min="14" max="14" width="13.42578125" customWidth="1"/>
    <col min="15" max="15" width="12.7109375" customWidth="1"/>
    <col min="16" max="16" width="157.42578125" customWidth="1"/>
    <col min="17" max="17" width="12.7109375" customWidth="1"/>
    <col min="18" max="18" width="14.140625" customWidth="1"/>
    <col min="19" max="21" width="12.7109375" customWidth="1"/>
    <col min="22" max="22" width="16" customWidth="1"/>
    <col min="23" max="26" width="12.7109375" customWidth="1"/>
  </cols>
  <sheetData>
    <row r="1" spans="1:26" ht="15.75" customHeight="1" x14ac:dyDescent="0.2">
      <c r="A1" s="122" t="s">
        <v>92</v>
      </c>
      <c r="B1" s="123"/>
      <c r="C1" s="123"/>
      <c r="D1" s="124"/>
      <c r="E1" s="86"/>
      <c r="F1" s="125"/>
      <c r="G1" s="86"/>
      <c r="H1" s="86"/>
      <c r="I1" s="86"/>
      <c r="J1" s="86"/>
      <c r="K1" s="86"/>
      <c r="L1" s="126" t="s">
        <v>93</v>
      </c>
      <c r="M1" s="86"/>
      <c r="N1" s="86"/>
      <c r="O1" s="86"/>
      <c r="P1" s="86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22" t="s">
        <v>94</v>
      </c>
      <c r="B2" s="122" t="s">
        <v>95</v>
      </c>
      <c r="C2" s="122" t="s">
        <v>96</v>
      </c>
      <c r="D2" s="127" t="s">
        <v>97</v>
      </c>
      <c r="E2" s="125"/>
      <c r="F2" s="3"/>
      <c r="G2" s="3"/>
      <c r="H2" s="3"/>
      <c r="I2" s="3"/>
      <c r="J2" s="125"/>
      <c r="K2" s="128"/>
      <c r="L2" s="126"/>
      <c r="M2" s="128"/>
      <c r="N2" s="128"/>
      <c r="O2" s="128"/>
      <c r="P2" s="128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122">
        <v>1</v>
      </c>
      <c r="B3" s="336" t="s">
        <v>408</v>
      </c>
      <c r="C3" s="130"/>
      <c r="D3" s="131">
        <v>0</v>
      </c>
      <c r="E3" s="125"/>
      <c r="F3" s="3"/>
      <c r="G3" s="3"/>
      <c r="H3" s="3"/>
      <c r="I3" s="3"/>
      <c r="J3" s="125"/>
      <c r="K3" s="126" t="s">
        <v>98</v>
      </c>
      <c r="L3" s="126" t="s">
        <v>99</v>
      </c>
      <c r="M3" s="132" t="s">
        <v>100</v>
      </c>
      <c r="N3" s="126" t="s">
        <v>97</v>
      </c>
      <c r="O3" s="126" t="s">
        <v>101</v>
      </c>
      <c r="P3" s="126" t="s">
        <v>102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123"/>
      <c r="B4" s="133"/>
      <c r="C4" s="130"/>
      <c r="D4" s="134">
        <v>0</v>
      </c>
      <c r="E4" s="135"/>
      <c r="F4" s="3"/>
      <c r="G4" s="3"/>
      <c r="H4" s="3"/>
      <c r="I4" s="3"/>
      <c r="J4" s="136"/>
      <c r="K4" s="137" t="s">
        <v>103</v>
      </c>
      <c r="L4" s="138" t="s">
        <v>104</v>
      </c>
      <c r="M4" s="131">
        <v>0</v>
      </c>
      <c r="N4" s="139">
        <v>2</v>
      </c>
      <c r="O4" s="140">
        <f t="shared" ref="O4:O16" si="0">M4*N4</f>
        <v>0</v>
      </c>
      <c r="P4" s="141" t="s">
        <v>105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123"/>
      <c r="B5" s="133"/>
      <c r="C5" s="130"/>
      <c r="D5" s="134">
        <v>0</v>
      </c>
      <c r="E5" s="135"/>
      <c r="F5" s="3"/>
      <c r="G5" s="3"/>
      <c r="H5" s="3"/>
      <c r="I5" s="3"/>
      <c r="J5" s="136"/>
      <c r="K5" s="137" t="s">
        <v>106</v>
      </c>
      <c r="L5" s="138" t="s">
        <v>107</v>
      </c>
      <c r="M5" s="134">
        <v>0</v>
      </c>
      <c r="N5" s="139">
        <v>1</v>
      </c>
      <c r="O5" s="140">
        <f t="shared" si="0"/>
        <v>0</v>
      </c>
      <c r="P5" s="141" t="s">
        <v>108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123"/>
      <c r="B6" s="133"/>
      <c r="C6" s="130"/>
      <c r="D6" s="134">
        <v>0</v>
      </c>
      <c r="E6" s="135"/>
      <c r="F6" s="3"/>
      <c r="G6" s="3"/>
      <c r="H6" s="3"/>
      <c r="I6" s="3"/>
      <c r="J6" s="136"/>
      <c r="K6" s="137" t="s">
        <v>109</v>
      </c>
      <c r="L6" s="142" t="s">
        <v>110</v>
      </c>
      <c r="M6" s="134">
        <v>0</v>
      </c>
      <c r="N6" s="139">
        <v>1</v>
      </c>
      <c r="O6" s="140">
        <f t="shared" si="0"/>
        <v>0</v>
      </c>
      <c r="P6" s="141" t="s">
        <v>111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123"/>
      <c r="B7" s="133"/>
      <c r="C7" s="130"/>
      <c r="D7" s="134">
        <v>0</v>
      </c>
      <c r="E7" s="135"/>
      <c r="F7" s="3"/>
      <c r="G7" s="3"/>
      <c r="H7" s="3"/>
      <c r="I7" s="3"/>
      <c r="J7" s="136"/>
      <c r="K7" s="137" t="s">
        <v>112</v>
      </c>
      <c r="L7" s="142" t="s">
        <v>113</v>
      </c>
      <c r="M7" s="134">
        <v>0</v>
      </c>
      <c r="N7" s="139">
        <v>1</v>
      </c>
      <c r="O7" s="140">
        <f t="shared" si="0"/>
        <v>0</v>
      </c>
      <c r="P7" s="141" t="s">
        <v>114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23"/>
      <c r="B8" s="133"/>
      <c r="C8" s="130"/>
      <c r="D8" s="134">
        <v>0</v>
      </c>
      <c r="E8" s="135"/>
      <c r="F8" s="143"/>
      <c r="G8" s="84"/>
      <c r="H8" s="144"/>
      <c r="I8" s="145"/>
      <c r="J8" s="136"/>
      <c r="K8" s="137" t="s">
        <v>115</v>
      </c>
      <c r="L8" s="142" t="s">
        <v>116</v>
      </c>
      <c r="M8" s="134">
        <v>0</v>
      </c>
      <c r="N8" s="139">
        <v>1</v>
      </c>
      <c r="O8" s="140">
        <f t="shared" si="0"/>
        <v>0</v>
      </c>
      <c r="P8" s="141" t="s">
        <v>117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123"/>
      <c r="B9" s="133"/>
      <c r="C9" s="130"/>
      <c r="D9" s="134">
        <v>0</v>
      </c>
      <c r="E9" s="135"/>
      <c r="F9" s="143"/>
      <c r="G9" s="84"/>
      <c r="H9" s="144"/>
      <c r="I9" s="145"/>
      <c r="J9" s="136"/>
      <c r="K9" s="137" t="s">
        <v>118</v>
      </c>
      <c r="L9" s="142" t="s">
        <v>119</v>
      </c>
      <c r="M9" s="134">
        <v>0</v>
      </c>
      <c r="N9" s="139">
        <v>0.5</v>
      </c>
      <c r="O9" s="140">
        <f t="shared" si="0"/>
        <v>0</v>
      </c>
      <c r="P9" s="141" t="s">
        <v>120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123"/>
      <c r="B10" s="133"/>
      <c r="C10" s="130"/>
      <c r="D10" s="134">
        <v>0</v>
      </c>
      <c r="E10" s="135"/>
      <c r="F10" s="143"/>
      <c r="G10" s="84"/>
      <c r="H10" s="144"/>
      <c r="I10" s="145"/>
      <c r="J10" s="136"/>
      <c r="K10" s="137" t="s">
        <v>121</v>
      </c>
      <c r="L10" s="142" t="s">
        <v>122</v>
      </c>
      <c r="M10" s="134">
        <v>0</v>
      </c>
      <c r="N10" s="139">
        <v>0.5</v>
      </c>
      <c r="O10" s="140">
        <f t="shared" si="0"/>
        <v>0</v>
      </c>
      <c r="P10" s="141" t="s">
        <v>123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123"/>
      <c r="B11" s="133"/>
      <c r="C11" s="130"/>
      <c r="D11" s="134">
        <v>0</v>
      </c>
      <c r="E11" s="135"/>
      <c r="F11" s="143"/>
      <c r="G11" s="84"/>
      <c r="H11" s="144"/>
      <c r="I11" s="145"/>
      <c r="J11" s="136"/>
      <c r="K11" s="137" t="s">
        <v>124</v>
      </c>
      <c r="L11" s="142" t="s">
        <v>125</v>
      </c>
      <c r="M11" s="134">
        <v>0</v>
      </c>
      <c r="N11" s="139">
        <v>2</v>
      </c>
      <c r="O11" s="140">
        <f t="shared" si="0"/>
        <v>0</v>
      </c>
      <c r="P11" s="141" t="s">
        <v>126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23"/>
      <c r="B12" s="133"/>
      <c r="C12" s="130"/>
      <c r="D12" s="134">
        <v>0</v>
      </c>
      <c r="E12" s="135"/>
      <c r="F12" s="143"/>
      <c r="G12" s="84"/>
      <c r="H12" s="144"/>
      <c r="I12" s="145"/>
      <c r="J12" s="136"/>
      <c r="K12" s="137" t="s">
        <v>127</v>
      </c>
      <c r="L12" s="142" t="s">
        <v>128</v>
      </c>
      <c r="M12" s="134">
        <v>0</v>
      </c>
      <c r="N12" s="139">
        <v>1</v>
      </c>
      <c r="O12" s="140">
        <f t="shared" si="0"/>
        <v>0</v>
      </c>
      <c r="P12" s="141" t="s">
        <v>129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123"/>
      <c r="B13" s="133"/>
      <c r="C13" s="130"/>
      <c r="D13" s="146">
        <v>0</v>
      </c>
      <c r="E13" s="135"/>
      <c r="F13" s="143"/>
      <c r="G13" s="84"/>
      <c r="H13" s="144"/>
      <c r="I13" s="145"/>
      <c r="J13" s="136"/>
      <c r="K13" s="137" t="s">
        <v>130</v>
      </c>
      <c r="L13" s="142" t="s">
        <v>131</v>
      </c>
      <c r="M13" s="134">
        <v>0</v>
      </c>
      <c r="N13" s="139">
        <v>1</v>
      </c>
      <c r="O13" s="140">
        <f t="shared" si="0"/>
        <v>0</v>
      </c>
      <c r="P13" s="141" t="s">
        <v>132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123"/>
      <c r="B14" s="3"/>
      <c r="C14" s="3"/>
      <c r="D14" s="43"/>
      <c r="E14" s="135"/>
      <c r="F14" s="147"/>
      <c r="G14" s="148"/>
      <c r="H14" s="144"/>
      <c r="I14" s="145"/>
      <c r="J14" s="136"/>
      <c r="K14" s="137" t="s">
        <v>133</v>
      </c>
      <c r="L14" s="142" t="s">
        <v>134</v>
      </c>
      <c r="M14" s="134">
        <v>0</v>
      </c>
      <c r="N14" s="139">
        <v>1</v>
      </c>
      <c r="O14" s="140">
        <f t="shared" si="0"/>
        <v>0</v>
      </c>
      <c r="P14" s="141" t="s">
        <v>135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122">
        <v>2</v>
      </c>
      <c r="B15" s="336" t="s">
        <v>409</v>
      </c>
      <c r="C15" s="130"/>
      <c r="D15" s="131">
        <v>0</v>
      </c>
      <c r="E15" s="135"/>
      <c r="F15" s="143"/>
      <c r="G15" s="148"/>
      <c r="H15" s="149"/>
      <c r="I15" s="145"/>
      <c r="J15" s="136"/>
      <c r="K15" s="137" t="s">
        <v>136</v>
      </c>
      <c r="L15" s="142" t="s">
        <v>137</v>
      </c>
      <c r="M15" s="134">
        <v>0</v>
      </c>
      <c r="N15" s="139">
        <v>1</v>
      </c>
      <c r="O15" s="140">
        <f t="shared" si="0"/>
        <v>0</v>
      </c>
      <c r="P15" s="141" t="s">
        <v>138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123"/>
      <c r="B16" s="133"/>
      <c r="C16" s="130"/>
      <c r="D16" s="134">
        <v>0</v>
      </c>
      <c r="E16" s="135"/>
      <c r="F16" s="143"/>
      <c r="G16" s="148"/>
      <c r="H16" s="149"/>
      <c r="I16" s="145"/>
      <c r="J16" s="136"/>
      <c r="K16" s="137" t="s">
        <v>139</v>
      </c>
      <c r="L16" s="142" t="s">
        <v>140</v>
      </c>
      <c r="M16" s="146">
        <v>0</v>
      </c>
      <c r="N16" s="139">
        <v>1</v>
      </c>
      <c r="O16" s="140">
        <f t="shared" si="0"/>
        <v>0</v>
      </c>
      <c r="P16" s="141" t="s">
        <v>141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123"/>
      <c r="B17" s="133"/>
      <c r="C17" s="130"/>
      <c r="D17" s="134">
        <v>0</v>
      </c>
      <c r="E17" s="86"/>
      <c r="F17" s="143"/>
      <c r="G17" s="148"/>
      <c r="H17" s="149"/>
      <c r="I17" s="135"/>
      <c r="J17" s="86"/>
      <c r="K17" s="150"/>
      <c r="L17" s="151" t="s">
        <v>142</v>
      </c>
      <c r="M17" s="152"/>
      <c r="N17" s="153"/>
      <c r="O17" s="154">
        <f>SUM(O4:O16)</f>
        <v>0</v>
      </c>
      <c r="P17" s="86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123"/>
      <c r="B18" s="133"/>
      <c r="C18" s="155"/>
      <c r="D18" s="134">
        <v>0</v>
      </c>
      <c r="E18" s="43"/>
      <c r="F18" s="143"/>
      <c r="G18" s="148"/>
      <c r="H18" s="149"/>
      <c r="I18" s="43"/>
      <c r="J18" s="43"/>
      <c r="K18" s="43"/>
      <c r="L18" s="156" t="s">
        <v>143</v>
      </c>
      <c r="M18" s="156">
        <f>0.6+0.01*O17</f>
        <v>0.6</v>
      </c>
      <c r="N18" s="43"/>
      <c r="O18" s="43"/>
      <c r="P18" s="4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123"/>
      <c r="B19" s="133"/>
      <c r="C19" s="155"/>
      <c r="D19" s="134">
        <v>0</v>
      </c>
      <c r="E19" s="3"/>
      <c r="F19" s="143"/>
      <c r="G19" s="148"/>
      <c r="H19" s="14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123"/>
      <c r="B20" s="133"/>
      <c r="C20" s="155"/>
      <c r="D20" s="134">
        <v>0</v>
      </c>
      <c r="E20" s="43"/>
      <c r="F20" s="143"/>
      <c r="G20" s="148"/>
      <c r="H20" s="149"/>
      <c r="I20" s="43"/>
      <c r="J20" s="43"/>
      <c r="K20" s="43"/>
      <c r="L20" s="3"/>
      <c r="M20" s="3"/>
      <c r="N20" s="43"/>
      <c r="O20" s="43"/>
      <c r="P20" s="43"/>
      <c r="Q20" s="3"/>
      <c r="R20" s="86"/>
      <c r="S20" s="86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123"/>
      <c r="B21" s="133"/>
      <c r="C21" s="155"/>
      <c r="D21" s="134">
        <v>0</v>
      </c>
      <c r="E21" s="43"/>
      <c r="F21" s="143"/>
      <c r="G21" s="148"/>
      <c r="H21" s="149"/>
      <c r="I21" s="43"/>
      <c r="J21" s="43"/>
      <c r="K21" s="43"/>
      <c r="L21" s="43"/>
      <c r="M21" s="43"/>
      <c r="N21" s="43"/>
      <c r="O21" s="43"/>
      <c r="P21" s="43"/>
      <c r="Q21" s="3"/>
      <c r="R21" s="86"/>
      <c r="S21" s="86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123"/>
      <c r="B22" s="133"/>
      <c r="C22" s="155"/>
      <c r="D22" s="134">
        <v>0</v>
      </c>
      <c r="E22" s="3"/>
      <c r="F22" s="143"/>
      <c r="G22" s="148"/>
      <c r="H22" s="149"/>
      <c r="I22" s="3"/>
      <c r="J22" s="3"/>
      <c r="K22" s="3"/>
      <c r="L22" s="3"/>
      <c r="M22" s="3"/>
      <c r="N22" s="3"/>
      <c r="O22" s="3"/>
      <c r="P22" s="3"/>
      <c r="Q22" s="3"/>
      <c r="R22" s="86"/>
      <c r="S22" s="86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123"/>
      <c r="B23" s="133"/>
      <c r="C23" s="155"/>
      <c r="D23" s="134">
        <v>0</v>
      </c>
      <c r="E23" s="3"/>
      <c r="F23" s="143"/>
      <c r="G23" s="148"/>
      <c r="H23" s="149"/>
      <c r="I23" s="3"/>
      <c r="J23" s="3"/>
      <c r="K23" s="3"/>
      <c r="L23" s="3"/>
      <c r="M23" s="3"/>
      <c r="N23" s="3"/>
      <c r="O23" s="3"/>
      <c r="P23" s="3"/>
      <c r="Q23" s="3"/>
      <c r="R23" s="86"/>
      <c r="S23" s="86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123"/>
      <c r="B24" s="133"/>
      <c r="C24" s="155"/>
      <c r="D24" s="146">
        <v>0</v>
      </c>
      <c r="E24" s="86"/>
      <c r="F24" s="143"/>
      <c r="G24" s="148"/>
      <c r="H24" s="149"/>
      <c r="I24" s="86"/>
      <c r="J24" s="86"/>
      <c r="K24" s="86"/>
      <c r="L24" s="126" t="s">
        <v>144</v>
      </c>
      <c r="M24" s="86"/>
      <c r="N24" s="86"/>
      <c r="O24" s="86"/>
      <c r="P24" s="86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123"/>
      <c r="B25" s="3"/>
      <c r="C25" s="148"/>
      <c r="D25" s="149"/>
      <c r="E25" s="86"/>
      <c r="F25" s="143"/>
      <c r="G25" s="148"/>
      <c r="H25" s="149"/>
      <c r="I25" s="86"/>
      <c r="J25" s="86"/>
      <c r="K25" s="86"/>
      <c r="L25" s="128"/>
      <c r="M25" s="86"/>
      <c r="N25" s="86"/>
      <c r="O25" s="86"/>
      <c r="P25" s="86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122">
        <v>3</v>
      </c>
      <c r="B26" s="336" t="s">
        <v>410</v>
      </c>
      <c r="C26" s="130"/>
      <c r="D26" s="131">
        <v>0</v>
      </c>
      <c r="E26" s="125"/>
      <c r="F26" s="143"/>
      <c r="G26" s="148"/>
      <c r="H26" s="149"/>
      <c r="I26" s="125"/>
      <c r="J26" s="125"/>
      <c r="K26" s="157" t="s">
        <v>98</v>
      </c>
      <c r="L26" s="157" t="s">
        <v>99</v>
      </c>
      <c r="M26" s="158" t="s">
        <v>100</v>
      </c>
      <c r="N26" s="157" t="s">
        <v>97</v>
      </c>
      <c r="O26" s="157" t="s">
        <v>101</v>
      </c>
      <c r="P26" s="157" t="s">
        <v>102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123"/>
      <c r="B27" s="159"/>
      <c r="C27" s="130"/>
      <c r="D27" s="134">
        <v>0</v>
      </c>
      <c r="E27" s="135"/>
      <c r="F27" s="143"/>
      <c r="G27" s="148"/>
      <c r="H27" s="149"/>
      <c r="I27" s="145"/>
      <c r="J27" s="160"/>
      <c r="K27" s="161" t="s">
        <v>145</v>
      </c>
      <c r="L27" s="138" t="s">
        <v>146</v>
      </c>
      <c r="M27" s="162">
        <v>0</v>
      </c>
      <c r="N27" s="139">
        <v>1.5</v>
      </c>
      <c r="O27" s="140">
        <f t="shared" ref="O27:O34" si="1">M27*N27</f>
        <v>0</v>
      </c>
      <c r="P27" s="163" t="s">
        <v>147</v>
      </c>
      <c r="Q27" s="3"/>
      <c r="R27" s="86"/>
      <c r="S27" s="86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123"/>
      <c r="B28" s="159"/>
      <c r="C28" s="130"/>
      <c r="D28" s="134">
        <v>0</v>
      </c>
      <c r="E28" s="135"/>
      <c r="F28" s="143"/>
      <c r="G28" s="148"/>
      <c r="H28" s="149"/>
      <c r="I28" s="145"/>
      <c r="J28" s="160"/>
      <c r="K28" s="161" t="s">
        <v>148</v>
      </c>
      <c r="L28" s="138" t="s">
        <v>149</v>
      </c>
      <c r="M28" s="162">
        <v>0</v>
      </c>
      <c r="N28" s="139">
        <v>0.5</v>
      </c>
      <c r="O28" s="140">
        <f t="shared" si="1"/>
        <v>0</v>
      </c>
      <c r="P28" s="163" t="s">
        <v>150</v>
      </c>
      <c r="Q28" s="3"/>
      <c r="R28" s="86"/>
      <c r="S28" s="86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123"/>
      <c r="B29" s="159"/>
      <c r="C29" s="130"/>
      <c r="D29" s="134">
        <v>0</v>
      </c>
      <c r="E29" s="135"/>
      <c r="F29" s="143"/>
      <c r="G29" s="148"/>
      <c r="H29" s="149"/>
      <c r="I29" s="145"/>
      <c r="J29" s="160"/>
      <c r="K29" s="161" t="s">
        <v>151</v>
      </c>
      <c r="L29" s="138" t="s">
        <v>152</v>
      </c>
      <c r="M29" s="162">
        <v>0</v>
      </c>
      <c r="N29" s="139">
        <v>1</v>
      </c>
      <c r="O29" s="140">
        <f t="shared" si="1"/>
        <v>0</v>
      </c>
      <c r="P29" s="163" t="s">
        <v>153</v>
      </c>
      <c r="Q29" s="3"/>
      <c r="R29" s="86"/>
      <c r="S29" s="86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123"/>
      <c r="B30" s="159"/>
      <c r="C30" s="130"/>
      <c r="D30" s="134">
        <v>0</v>
      </c>
      <c r="E30" s="135"/>
      <c r="F30" s="143"/>
      <c r="G30" s="148"/>
      <c r="H30" s="149"/>
      <c r="I30" s="145"/>
      <c r="J30" s="160"/>
      <c r="K30" s="161" t="s">
        <v>154</v>
      </c>
      <c r="L30" s="130" t="s">
        <v>155</v>
      </c>
      <c r="M30" s="162">
        <v>0</v>
      </c>
      <c r="N30" s="139">
        <v>0.5</v>
      </c>
      <c r="O30" s="140">
        <f t="shared" si="1"/>
        <v>0</v>
      </c>
      <c r="P30" s="163" t="s">
        <v>156</v>
      </c>
      <c r="Q30" s="3"/>
      <c r="R30" s="86"/>
      <c r="S30" s="86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123"/>
      <c r="B31" s="159"/>
      <c r="C31" s="130"/>
      <c r="D31" s="134">
        <v>0</v>
      </c>
      <c r="E31" s="135"/>
      <c r="F31" s="143"/>
      <c r="G31" s="148"/>
      <c r="H31" s="149"/>
      <c r="I31" s="145"/>
      <c r="J31" s="160"/>
      <c r="K31" s="161" t="s">
        <v>157</v>
      </c>
      <c r="L31" s="130" t="s">
        <v>158</v>
      </c>
      <c r="M31" s="162">
        <v>0</v>
      </c>
      <c r="N31" s="139">
        <v>1</v>
      </c>
      <c r="O31" s="140">
        <f t="shared" si="1"/>
        <v>0</v>
      </c>
      <c r="P31" s="163" t="s">
        <v>159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123"/>
      <c r="B32" s="159"/>
      <c r="C32" s="130"/>
      <c r="D32" s="146">
        <v>0</v>
      </c>
      <c r="E32" s="135"/>
      <c r="F32" s="143"/>
      <c r="G32" s="148"/>
      <c r="H32" s="149"/>
      <c r="I32" s="145"/>
      <c r="J32" s="160"/>
      <c r="K32" s="161" t="s">
        <v>160</v>
      </c>
      <c r="L32" s="138" t="s">
        <v>161</v>
      </c>
      <c r="M32" s="162">
        <v>0</v>
      </c>
      <c r="N32" s="139">
        <v>2</v>
      </c>
      <c r="O32" s="140">
        <f t="shared" si="1"/>
        <v>0</v>
      </c>
      <c r="P32" s="163" t="s">
        <v>162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123"/>
      <c r="B33" s="3"/>
      <c r="C33" s="148"/>
      <c r="D33" s="145"/>
      <c r="E33" s="135"/>
      <c r="F33" s="143"/>
      <c r="G33" s="148"/>
      <c r="H33" s="149"/>
      <c r="I33" s="145"/>
      <c r="J33" s="160"/>
      <c r="K33" s="161" t="s">
        <v>163</v>
      </c>
      <c r="L33" s="138" t="s">
        <v>164</v>
      </c>
      <c r="M33" s="162">
        <v>0</v>
      </c>
      <c r="N33" s="139">
        <v>-1</v>
      </c>
      <c r="O33" s="140">
        <f t="shared" si="1"/>
        <v>0</v>
      </c>
      <c r="P33" s="163" t="s">
        <v>165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122">
        <v>4</v>
      </c>
      <c r="B34" s="336" t="s">
        <v>411</v>
      </c>
      <c r="C34" s="130"/>
      <c r="D34" s="131">
        <v>0</v>
      </c>
      <c r="E34" s="135"/>
      <c r="F34" s="143"/>
      <c r="G34" s="148"/>
      <c r="H34" s="149"/>
      <c r="I34" s="145"/>
      <c r="J34" s="160"/>
      <c r="K34" s="161" t="s">
        <v>166</v>
      </c>
      <c r="L34" s="138" t="s">
        <v>167</v>
      </c>
      <c r="M34" s="162">
        <v>0</v>
      </c>
      <c r="N34" s="139">
        <v>-1</v>
      </c>
      <c r="O34" s="140">
        <f t="shared" si="1"/>
        <v>0</v>
      </c>
      <c r="P34" s="164" t="s">
        <v>168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123"/>
      <c r="B35" s="133"/>
      <c r="C35" s="130"/>
      <c r="D35" s="134">
        <v>0</v>
      </c>
      <c r="E35" s="135"/>
      <c r="F35" s="143"/>
      <c r="G35" s="148"/>
      <c r="H35" s="149"/>
      <c r="I35" s="145"/>
      <c r="J35" s="160"/>
      <c r="K35" s="150"/>
      <c r="L35" s="165" t="s">
        <v>142</v>
      </c>
      <c r="M35" s="166"/>
      <c r="N35" s="167"/>
      <c r="O35" s="168">
        <f>SUM(O27:O34)</f>
        <v>0</v>
      </c>
      <c r="P35" s="169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123"/>
      <c r="B36" s="133"/>
      <c r="C36" s="130"/>
      <c r="D36" s="134">
        <v>0</v>
      </c>
      <c r="E36" s="86"/>
      <c r="F36" s="86"/>
      <c r="G36" s="86"/>
      <c r="H36" s="86"/>
      <c r="I36" s="135"/>
      <c r="J36" s="86"/>
      <c r="K36" s="3"/>
      <c r="L36" s="156" t="s">
        <v>169</v>
      </c>
      <c r="M36" s="156">
        <f>1.4+(-0.03*O35)</f>
        <v>1.4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123"/>
      <c r="B37" s="133"/>
      <c r="C37" s="130"/>
      <c r="D37" s="134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123"/>
      <c r="B38" s="133"/>
      <c r="C38" s="130"/>
      <c r="D38" s="134">
        <v>0</v>
      </c>
      <c r="E38" s="3"/>
      <c r="F38" s="135"/>
      <c r="G38" s="86"/>
      <c r="H38" s="86"/>
      <c r="I38" s="86"/>
      <c r="J38" s="3"/>
      <c r="K38" s="3"/>
      <c r="L38" s="170"/>
      <c r="M38" s="171" t="s">
        <v>170</v>
      </c>
      <c r="N38" s="172">
        <f>COUNTIF($M$27:$M$32,"&lt;3")+COUNTIF($M$33:$M$34,"&gt;3")</f>
        <v>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123"/>
      <c r="B39" s="133"/>
      <c r="C39" s="130"/>
      <c r="D39" s="134">
        <v>0</v>
      </c>
      <c r="E39" s="3"/>
      <c r="F39" s="135"/>
      <c r="G39" s="86"/>
      <c r="H39" s="86"/>
      <c r="I39" s="86"/>
      <c r="J39" s="3"/>
      <c r="K39" s="3"/>
      <c r="L39" s="173"/>
      <c r="M39" s="174" t="s">
        <v>171</v>
      </c>
      <c r="N39" s="175">
        <f>IF(N38&lt;=2,20,IF(5&gt;N38&gt;2, 28,0))</f>
        <v>28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123"/>
      <c r="B40" s="133"/>
      <c r="C40" s="130"/>
      <c r="D40" s="134">
        <v>0</v>
      </c>
      <c r="E40" s="3"/>
      <c r="F40" s="86"/>
      <c r="G40" s="86"/>
      <c r="H40" s="86"/>
      <c r="I40" s="86"/>
      <c r="J40" s="3"/>
      <c r="K40" s="3"/>
      <c r="L40" s="173"/>
      <c r="M40" s="173"/>
      <c r="N40" s="86"/>
      <c r="O40" s="86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123"/>
      <c r="B41" s="133"/>
      <c r="C41" s="130"/>
      <c r="D41" s="134">
        <v>0</v>
      </c>
      <c r="E41" s="3"/>
      <c r="F41" s="135"/>
      <c r="G41" s="86"/>
      <c r="H41" s="86"/>
      <c r="I41" s="86"/>
      <c r="J41" s="3"/>
      <c r="K41" s="3"/>
      <c r="L41" s="3"/>
      <c r="M41" s="176" t="s">
        <v>172</v>
      </c>
      <c r="N41" s="177">
        <f>PCUESFUERZO!$I$157+PCUESFUERZO!$I$164</f>
        <v>0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123"/>
      <c r="B42" s="133"/>
      <c r="C42" s="130"/>
      <c r="D42" s="134">
        <v>0</v>
      </c>
      <c r="E42" s="3"/>
      <c r="F42" s="135"/>
      <c r="G42" s="86"/>
      <c r="H42" s="86"/>
      <c r="I42" s="86"/>
      <c r="J42" s="3"/>
      <c r="K42" s="3"/>
      <c r="L42" s="3"/>
      <c r="M42" s="176" t="s">
        <v>173</v>
      </c>
      <c r="N42" s="177">
        <f>N41*M36*M18</f>
        <v>0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123"/>
      <c r="B43" s="133"/>
      <c r="C43" s="130"/>
      <c r="D43" s="146">
        <v>0</v>
      </c>
      <c r="E43" s="3"/>
      <c r="F43" s="135"/>
      <c r="G43" s="86"/>
      <c r="H43" s="86"/>
      <c r="I43" s="8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123"/>
      <c r="B44" s="3"/>
      <c r="C44" s="3"/>
      <c r="D44" s="178"/>
      <c r="E44" s="3"/>
      <c r="F44" s="86"/>
      <c r="G44" s="86"/>
      <c r="H44" s="86"/>
      <c r="I44" s="86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0.25" customHeight="1" x14ac:dyDescent="0.2">
      <c r="A45" s="179">
        <v>5</v>
      </c>
      <c r="B45" s="336" t="s">
        <v>411</v>
      </c>
      <c r="C45" s="130"/>
      <c r="D45" s="180">
        <v>0</v>
      </c>
      <c r="E45" s="3"/>
      <c r="F45" s="86"/>
      <c r="G45" s="125"/>
      <c r="H45" s="125"/>
      <c r="I45" s="86"/>
      <c r="J45" s="3"/>
      <c r="K45" s="3"/>
      <c r="L45" s="3"/>
      <c r="M45" s="181" t="s">
        <v>174</v>
      </c>
      <c r="N45" s="182">
        <f>N42*N39</f>
        <v>0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0.25" customHeight="1" x14ac:dyDescent="0.2">
      <c r="A46" s="123"/>
      <c r="B46" s="133"/>
      <c r="C46" s="183"/>
      <c r="D46" s="184">
        <v>0</v>
      </c>
      <c r="E46" s="3"/>
      <c r="F46" s="86"/>
      <c r="G46" s="185"/>
      <c r="H46" s="135"/>
      <c r="I46" s="86"/>
      <c r="J46" s="3"/>
      <c r="K46" s="3"/>
      <c r="L46" s="3"/>
      <c r="M46" s="181" t="s">
        <v>175</v>
      </c>
      <c r="N46" s="182">
        <f>N45/0.4</f>
        <v>0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123"/>
      <c r="B47" s="133"/>
      <c r="C47" s="183"/>
      <c r="D47" s="184">
        <v>0</v>
      </c>
      <c r="E47" s="3"/>
      <c r="F47" s="86"/>
      <c r="G47" s="185"/>
      <c r="H47" s="135"/>
      <c r="I47" s="8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123"/>
      <c r="B48" s="133"/>
      <c r="C48" s="183"/>
      <c r="D48" s="184">
        <v>0</v>
      </c>
      <c r="E48" s="3"/>
      <c r="F48" s="86"/>
      <c r="G48" s="185"/>
      <c r="H48" s="135"/>
      <c r="I48" s="86"/>
      <c r="J48" s="3"/>
      <c r="K48" s="3"/>
      <c r="L48" s="186" t="s">
        <v>176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123"/>
      <c r="B49" s="133"/>
      <c r="C49" s="183"/>
      <c r="D49" s="184">
        <v>0</v>
      </c>
      <c r="E49" s="3"/>
      <c r="F49" s="86"/>
      <c r="G49" s="185"/>
      <c r="H49" s="135"/>
      <c r="I49" s="86"/>
      <c r="J49" s="3"/>
      <c r="K49" s="3"/>
      <c r="L49" s="187" t="s">
        <v>177</v>
      </c>
      <c r="M49" s="187" t="s">
        <v>178</v>
      </c>
      <c r="N49" s="187" t="s">
        <v>179</v>
      </c>
      <c r="O49" s="86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123"/>
      <c r="B50" s="133"/>
      <c r="C50" s="183"/>
      <c r="D50" s="184">
        <v>0</v>
      </c>
      <c r="E50" s="3"/>
      <c r="F50" s="86"/>
      <c r="G50" s="185"/>
      <c r="H50" s="135"/>
      <c r="I50" s="86"/>
      <c r="J50" s="3"/>
      <c r="K50" s="3"/>
      <c r="L50" s="188" t="s">
        <v>180</v>
      </c>
      <c r="M50" s="189">
        <v>0.1</v>
      </c>
      <c r="N50" s="188">
        <f t="shared" ref="N50:N54" si="2">M50*$N$46</f>
        <v>0</v>
      </c>
      <c r="O50" s="86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123"/>
      <c r="B51" s="133"/>
      <c r="C51" s="183"/>
      <c r="D51" s="184">
        <v>0</v>
      </c>
      <c r="E51" s="3"/>
      <c r="F51" s="86"/>
      <c r="G51" s="135"/>
      <c r="H51" s="135"/>
      <c r="I51" s="86"/>
      <c r="J51" s="3"/>
      <c r="K51" s="3"/>
      <c r="L51" s="188" t="s">
        <v>181</v>
      </c>
      <c r="M51" s="189">
        <v>0.2</v>
      </c>
      <c r="N51" s="188">
        <f t="shared" si="2"/>
        <v>0</v>
      </c>
      <c r="O51" s="86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123"/>
      <c r="B52" s="133"/>
      <c r="C52" s="183"/>
      <c r="D52" s="184">
        <v>0</v>
      </c>
      <c r="E52" s="3"/>
      <c r="F52" s="3"/>
      <c r="G52" s="3"/>
      <c r="H52" s="3"/>
      <c r="I52" s="3"/>
      <c r="J52" s="3"/>
      <c r="K52" s="3"/>
      <c r="L52" s="188" t="s">
        <v>182</v>
      </c>
      <c r="M52" s="189">
        <v>0.4</v>
      </c>
      <c r="N52" s="188">
        <f t="shared" si="2"/>
        <v>0</v>
      </c>
      <c r="O52" s="86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123"/>
      <c r="B53" s="133"/>
      <c r="C53" s="183"/>
      <c r="D53" s="184">
        <v>0</v>
      </c>
      <c r="E53" s="3"/>
      <c r="F53" s="3"/>
      <c r="G53" s="3"/>
      <c r="H53" s="3"/>
      <c r="I53" s="3"/>
      <c r="J53" s="3"/>
      <c r="K53" s="3"/>
      <c r="L53" s="188" t="s">
        <v>183</v>
      </c>
      <c r="M53" s="189">
        <v>0.15</v>
      </c>
      <c r="N53" s="188">
        <f t="shared" si="2"/>
        <v>0</v>
      </c>
      <c r="O53" s="86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123"/>
      <c r="B54" s="133"/>
      <c r="C54" s="183"/>
      <c r="D54" s="184">
        <v>0</v>
      </c>
      <c r="E54" s="3"/>
      <c r="F54" s="3"/>
      <c r="G54" s="3"/>
      <c r="H54" s="3"/>
      <c r="I54" s="3"/>
      <c r="J54" s="3"/>
      <c r="K54" s="3"/>
      <c r="L54" s="188" t="s">
        <v>184</v>
      </c>
      <c r="M54" s="189">
        <v>0.15</v>
      </c>
      <c r="N54" s="188">
        <f t="shared" si="2"/>
        <v>0</v>
      </c>
      <c r="O54" s="86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123"/>
      <c r="B55" s="133"/>
      <c r="C55" s="183"/>
      <c r="D55" s="184">
        <v>0</v>
      </c>
      <c r="E55" s="3"/>
      <c r="F55" s="3"/>
      <c r="G55" s="3"/>
      <c r="H55" s="3"/>
      <c r="I55" s="3"/>
      <c r="J55" s="3"/>
      <c r="K55" s="3"/>
      <c r="L55" s="86"/>
      <c r="M55" s="190" t="s">
        <v>185</v>
      </c>
      <c r="N55" s="190">
        <f>SUM(N50:N54)</f>
        <v>0</v>
      </c>
      <c r="O55" s="191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123"/>
      <c r="B56" s="133"/>
      <c r="C56" s="183"/>
      <c r="D56" s="184">
        <v>0</v>
      </c>
      <c r="E56" s="3"/>
      <c r="F56" s="3"/>
      <c r="G56" s="3"/>
      <c r="H56" s="3"/>
      <c r="I56" s="3"/>
      <c r="J56" s="3"/>
      <c r="K56" s="3"/>
      <c r="L56" s="86"/>
      <c r="M56" s="86"/>
      <c r="N56" s="86"/>
      <c r="O56" s="8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123"/>
      <c r="B57" s="133"/>
      <c r="C57" s="183"/>
      <c r="D57" s="184">
        <v>0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123"/>
      <c r="B58" s="133"/>
      <c r="C58" s="183"/>
      <c r="D58" s="184">
        <v>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123"/>
      <c r="B59" s="133"/>
      <c r="C59" s="183"/>
      <c r="D59" s="184">
        <v>0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123"/>
      <c r="B60" s="133"/>
      <c r="C60" s="130"/>
      <c r="D60" s="192">
        <v>0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179"/>
      <c r="B61" s="3"/>
      <c r="C61" s="3"/>
      <c r="D61" s="178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179">
        <v>6</v>
      </c>
      <c r="B62" s="336" t="s">
        <v>411</v>
      </c>
      <c r="C62" s="183"/>
      <c r="D62" s="180">
        <v>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123"/>
      <c r="B63" s="133"/>
      <c r="C63" s="183"/>
      <c r="D63" s="184">
        <v>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123"/>
      <c r="B64" s="133"/>
      <c r="C64" s="183"/>
      <c r="D64" s="184">
        <v>0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123"/>
      <c r="B65" s="133"/>
      <c r="C65" s="183"/>
      <c r="D65" s="184">
        <v>0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86"/>
      <c r="S65" s="84"/>
      <c r="T65" s="193"/>
      <c r="U65" s="3"/>
      <c r="V65" s="3"/>
      <c r="W65" s="3"/>
      <c r="X65" s="3"/>
      <c r="Y65" s="3"/>
      <c r="Z65" s="3"/>
    </row>
    <row r="66" spans="1:26" ht="15.75" customHeight="1" x14ac:dyDescent="0.2">
      <c r="A66" s="123"/>
      <c r="B66" s="133"/>
      <c r="C66" s="183"/>
      <c r="D66" s="184">
        <v>0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123"/>
      <c r="B67" s="133"/>
      <c r="C67" s="183"/>
      <c r="D67" s="184">
        <v>0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123"/>
      <c r="B68" s="133"/>
      <c r="C68" s="183"/>
      <c r="D68" s="184">
        <v>0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123"/>
      <c r="B69" s="133"/>
      <c r="C69" s="183"/>
      <c r="D69" s="184">
        <v>0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6"/>
      <c r="S69" s="36"/>
      <c r="T69" s="36"/>
      <c r="U69" s="3"/>
      <c r="V69" s="3"/>
      <c r="W69" s="3"/>
      <c r="X69" s="3"/>
      <c r="Y69" s="3"/>
      <c r="Z69" s="3"/>
    </row>
    <row r="70" spans="1:26" ht="15.75" customHeight="1" x14ac:dyDescent="0.2">
      <c r="A70" s="123"/>
      <c r="B70" s="133"/>
      <c r="C70" s="183"/>
      <c r="D70" s="184">
        <v>0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194"/>
      <c r="S70" s="148"/>
      <c r="T70" s="149"/>
      <c r="U70" s="3"/>
      <c r="V70" s="3"/>
      <c r="W70" s="3"/>
      <c r="X70" s="3"/>
      <c r="Y70" s="3"/>
      <c r="Z70" s="3"/>
    </row>
    <row r="71" spans="1:26" ht="15.75" customHeight="1" x14ac:dyDescent="0.2">
      <c r="A71" s="123"/>
      <c r="B71" s="133"/>
      <c r="C71" s="183"/>
      <c r="D71" s="184">
        <v>0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194"/>
      <c r="S71" s="148"/>
      <c r="T71" s="149"/>
      <c r="U71" s="3"/>
      <c r="V71" s="3"/>
      <c r="W71" s="3"/>
      <c r="X71" s="3"/>
      <c r="Y71" s="3"/>
      <c r="Z71" s="3"/>
    </row>
    <row r="72" spans="1:26" ht="15.75" customHeight="1" x14ac:dyDescent="0.2">
      <c r="A72" s="123"/>
      <c r="B72" s="133"/>
      <c r="C72" s="183"/>
      <c r="D72" s="184">
        <v>0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194"/>
      <c r="S72" s="148"/>
      <c r="T72" s="149"/>
      <c r="U72" s="3"/>
      <c r="V72" s="3"/>
      <c r="W72" s="3"/>
      <c r="X72" s="3"/>
      <c r="Y72" s="3"/>
      <c r="Z72" s="3"/>
    </row>
    <row r="73" spans="1:26" ht="15.75" customHeight="1" x14ac:dyDescent="0.2">
      <c r="A73" s="123"/>
      <c r="B73" s="133"/>
      <c r="C73" s="183"/>
      <c r="D73" s="184">
        <v>0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194"/>
      <c r="S73" s="148"/>
      <c r="T73" s="149"/>
      <c r="U73" s="3"/>
      <c r="V73" s="3"/>
      <c r="W73" s="3"/>
      <c r="X73" s="3"/>
      <c r="Y73" s="3"/>
      <c r="Z73" s="3"/>
    </row>
    <row r="74" spans="1:26" ht="15.75" customHeight="1" x14ac:dyDescent="0.2">
      <c r="A74" s="123"/>
      <c r="B74" s="133"/>
      <c r="C74" s="183"/>
      <c r="D74" s="192">
        <v>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194"/>
      <c r="S74" s="148"/>
      <c r="T74" s="149"/>
      <c r="U74" s="3"/>
      <c r="V74" s="3"/>
      <c r="W74" s="3"/>
      <c r="X74" s="3"/>
      <c r="Y74" s="3"/>
      <c r="Z74" s="3"/>
    </row>
    <row r="75" spans="1:26" ht="15.75" customHeight="1" x14ac:dyDescent="0.2">
      <c r="A75" s="179"/>
      <c r="B75" s="3"/>
      <c r="C75" s="3"/>
      <c r="D75" s="178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194"/>
      <c r="S75" s="148"/>
      <c r="T75" s="149"/>
      <c r="U75" s="3"/>
      <c r="V75" s="3"/>
      <c r="W75" s="3"/>
      <c r="X75" s="3"/>
      <c r="Y75" s="3"/>
      <c r="Z75" s="3"/>
    </row>
    <row r="76" spans="1:26" ht="15.75" customHeight="1" x14ac:dyDescent="0.2">
      <c r="A76" s="179">
        <v>7</v>
      </c>
      <c r="B76" s="336" t="s">
        <v>411</v>
      </c>
      <c r="C76" s="183"/>
      <c r="D76" s="180">
        <v>0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194"/>
      <c r="S76" s="148"/>
      <c r="T76" s="149"/>
      <c r="U76" s="3"/>
      <c r="V76" s="3"/>
      <c r="W76" s="3"/>
      <c r="X76" s="3"/>
      <c r="Y76" s="3"/>
      <c r="Z76" s="3"/>
    </row>
    <row r="77" spans="1:26" ht="15.75" customHeight="1" x14ac:dyDescent="0.2">
      <c r="A77" s="179"/>
      <c r="B77" s="133"/>
      <c r="C77" s="183"/>
      <c r="D77" s="184">
        <v>0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194"/>
      <c r="S77" s="148"/>
      <c r="T77" s="149"/>
      <c r="U77" s="3"/>
      <c r="V77" s="3"/>
      <c r="W77" s="3"/>
      <c r="X77" s="3"/>
      <c r="Y77" s="3"/>
      <c r="Z77" s="3"/>
    </row>
    <row r="78" spans="1:26" ht="15.75" customHeight="1" x14ac:dyDescent="0.2">
      <c r="A78" s="179"/>
      <c r="B78" s="133"/>
      <c r="C78" s="183"/>
      <c r="D78" s="184">
        <v>0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194"/>
      <c r="S78" s="148"/>
      <c r="T78" s="149"/>
      <c r="U78" s="3"/>
      <c r="V78" s="3"/>
      <c r="W78" s="3"/>
      <c r="X78" s="3"/>
      <c r="Y78" s="3"/>
      <c r="Z78" s="3"/>
    </row>
    <row r="79" spans="1:26" ht="15.75" customHeight="1" x14ac:dyDescent="0.2">
      <c r="A79" s="179"/>
      <c r="B79" s="133"/>
      <c r="C79" s="183"/>
      <c r="D79" s="184">
        <v>0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194"/>
      <c r="S79" s="148"/>
      <c r="T79" s="149"/>
      <c r="U79" s="3"/>
      <c r="V79" s="3"/>
      <c r="W79" s="3"/>
      <c r="X79" s="3"/>
      <c r="Y79" s="3"/>
      <c r="Z79" s="3"/>
    </row>
    <row r="80" spans="1:26" ht="15.75" customHeight="1" x14ac:dyDescent="0.2">
      <c r="A80" s="179"/>
      <c r="B80" s="133"/>
      <c r="C80" s="183"/>
      <c r="D80" s="184">
        <v>0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194"/>
      <c r="S80" s="148"/>
      <c r="T80" s="149"/>
      <c r="U80" s="3"/>
      <c r="V80" s="3"/>
      <c r="W80" s="3"/>
      <c r="X80" s="3"/>
      <c r="Y80" s="3"/>
      <c r="Z80" s="3"/>
    </row>
    <row r="81" spans="1:26" ht="15.75" customHeight="1" x14ac:dyDescent="0.2">
      <c r="A81" s="179"/>
      <c r="B81" s="133"/>
      <c r="C81" s="183"/>
      <c r="D81" s="184">
        <v>0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194"/>
      <c r="S81" s="148"/>
      <c r="T81" s="149"/>
      <c r="U81" s="3"/>
      <c r="V81" s="3"/>
      <c r="W81" s="3"/>
      <c r="X81" s="3"/>
      <c r="Y81" s="3"/>
      <c r="Z81" s="3"/>
    </row>
    <row r="82" spans="1:26" ht="15.75" customHeight="1" x14ac:dyDescent="0.2">
      <c r="A82" s="179"/>
      <c r="B82" s="133"/>
      <c r="C82" s="183"/>
      <c r="D82" s="192">
        <v>0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194"/>
      <c r="S82" s="148"/>
      <c r="T82" s="149"/>
      <c r="U82" s="3"/>
      <c r="V82" s="3"/>
      <c r="W82" s="3"/>
      <c r="X82" s="3"/>
      <c r="Y82" s="3"/>
      <c r="Z82" s="3"/>
    </row>
    <row r="83" spans="1:26" ht="15.75" customHeight="1" x14ac:dyDescent="0.2">
      <c r="A83" s="179"/>
      <c r="B83" s="3"/>
      <c r="C83" s="3"/>
      <c r="D83" s="178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194"/>
      <c r="S83" s="148"/>
      <c r="T83" s="149"/>
      <c r="U83" s="3"/>
      <c r="V83" s="3"/>
      <c r="W83" s="3"/>
      <c r="X83" s="3"/>
      <c r="Y83" s="3"/>
      <c r="Z83" s="3"/>
    </row>
    <row r="84" spans="1:26" ht="15.75" customHeight="1" x14ac:dyDescent="0.2">
      <c r="A84" s="179">
        <v>8</v>
      </c>
      <c r="B84" s="336" t="s">
        <v>411</v>
      </c>
      <c r="C84" s="195"/>
      <c r="D84" s="180">
        <v>0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194"/>
      <c r="S84" s="148"/>
      <c r="T84" s="149"/>
      <c r="U84" s="3"/>
      <c r="V84" s="3"/>
      <c r="W84" s="3"/>
      <c r="X84" s="3"/>
      <c r="Y84" s="3"/>
      <c r="Z84" s="3"/>
    </row>
    <row r="85" spans="1:26" ht="15.75" customHeight="1" x14ac:dyDescent="0.2">
      <c r="A85" s="179"/>
      <c r="B85" s="133"/>
      <c r="C85" s="183"/>
      <c r="D85" s="184">
        <v>0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194"/>
      <c r="S85" s="148"/>
      <c r="T85" s="149"/>
      <c r="U85" s="3"/>
      <c r="V85" s="3"/>
      <c r="W85" s="3"/>
      <c r="X85" s="3"/>
      <c r="Y85" s="3"/>
      <c r="Z85" s="3"/>
    </row>
    <row r="86" spans="1:26" ht="15.75" customHeight="1" x14ac:dyDescent="0.2">
      <c r="A86" s="179"/>
      <c r="B86" s="133"/>
      <c r="C86" s="183"/>
      <c r="D86" s="184">
        <v>0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194"/>
      <c r="S86" s="148"/>
      <c r="T86" s="149"/>
      <c r="U86" s="3"/>
      <c r="V86" s="3"/>
      <c r="W86" s="3"/>
      <c r="X86" s="3"/>
      <c r="Y86" s="3"/>
      <c r="Z86" s="3"/>
    </row>
    <row r="87" spans="1:26" ht="15.75" customHeight="1" x14ac:dyDescent="0.2">
      <c r="A87" s="179"/>
      <c r="B87" s="133"/>
      <c r="C87" s="183"/>
      <c r="D87" s="184">
        <v>0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194"/>
      <c r="S87" s="2"/>
      <c r="T87" s="194"/>
      <c r="U87" s="3"/>
      <c r="V87" s="3"/>
      <c r="W87" s="3"/>
      <c r="X87" s="3"/>
      <c r="Y87" s="3"/>
      <c r="Z87" s="3"/>
    </row>
    <row r="88" spans="1:26" ht="15.75" customHeight="1" x14ac:dyDescent="0.2">
      <c r="A88" s="179"/>
      <c r="B88" s="133"/>
      <c r="C88" s="183"/>
      <c r="D88" s="192">
        <v>0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179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179">
        <v>9</v>
      </c>
      <c r="B90" s="336" t="s">
        <v>411</v>
      </c>
      <c r="C90" s="183"/>
      <c r="D90" s="180">
        <v>0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196" t="s">
        <v>186</v>
      </c>
      <c r="T90" s="196">
        <f>T87+T65</f>
        <v>0</v>
      </c>
      <c r="U90" s="3"/>
      <c r="V90" s="3"/>
      <c r="W90" s="3"/>
      <c r="X90" s="3"/>
      <c r="Y90" s="3"/>
      <c r="Z90" s="3"/>
    </row>
    <row r="91" spans="1:26" ht="15.75" customHeight="1" x14ac:dyDescent="0.2">
      <c r="A91" s="179"/>
      <c r="B91" s="133"/>
      <c r="C91" s="183"/>
      <c r="D91" s="184">
        <v>0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179"/>
      <c r="B92" s="133"/>
      <c r="C92" s="183"/>
      <c r="D92" s="192">
        <v>0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197" t="s">
        <v>187</v>
      </c>
      <c r="C105" s="198"/>
      <c r="D105" s="198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199" t="s">
        <v>188</v>
      </c>
      <c r="C106" s="199" t="s">
        <v>189</v>
      </c>
      <c r="D106" s="200" t="s">
        <v>97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137">
        <v>1</v>
      </c>
      <c r="C107" s="130"/>
      <c r="D107" s="131">
        <v>0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137">
        <f t="shared" ref="B108:B146" si="3">B107+1</f>
        <v>2</v>
      </c>
      <c r="C108" s="130"/>
      <c r="D108" s="134">
        <v>0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137">
        <f t="shared" si="3"/>
        <v>3</v>
      </c>
      <c r="C109" s="130"/>
      <c r="D109" s="134">
        <v>0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137">
        <f t="shared" si="3"/>
        <v>4</v>
      </c>
      <c r="C110" s="130"/>
      <c r="D110" s="134">
        <v>0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137">
        <f t="shared" si="3"/>
        <v>5</v>
      </c>
      <c r="C111" s="130"/>
      <c r="D111" s="134">
        <v>0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137">
        <f t="shared" si="3"/>
        <v>6</v>
      </c>
      <c r="C112" s="130"/>
      <c r="D112" s="134">
        <v>0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137">
        <f t="shared" si="3"/>
        <v>7</v>
      </c>
      <c r="C113" s="130"/>
      <c r="D113" s="134">
        <v>0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137">
        <f t="shared" si="3"/>
        <v>8</v>
      </c>
      <c r="C114" s="130"/>
      <c r="D114" s="134">
        <v>0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137">
        <f t="shared" si="3"/>
        <v>9</v>
      </c>
      <c r="C115" s="130"/>
      <c r="D115" s="134">
        <v>0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137">
        <f t="shared" si="3"/>
        <v>10</v>
      </c>
      <c r="C116" s="130"/>
      <c r="D116" s="134">
        <v>0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137">
        <f t="shared" si="3"/>
        <v>11</v>
      </c>
      <c r="C117" s="130"/>
      <c r="D117" s="134">
        <v>0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137">
        <f t="shared" si="3"/>
        <v>12</v>
      </c>
      <c r="C118" s="130"/>
      <c r="D118" s="134">
        <v>0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137">
        <f t="shared" si="3"/>
        <v>13</v>
      </c>
      <c r="C119" s="201"/>
      <c r="D119" s="134">
        <v>0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137">
        <f t="shared" si="3"/>
        <v>14</v>
      </c>
      <c r="C120" s="201"/>
      <c r="D120" s="134">
        <v>0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137">
        <f t="shared" si="3"/>
        <v>15</v>
      </c>
      <c r="C121" s="201"/>
      <c r="D121" s="134">
        <v>0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137">
        <f t="shared" si="3"/>
        <v>16</v>
      </c>
      <c r="C122" s="201"/>
      <c r="D122" s="134">
        <v>0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137">
        <f t="shared" si="3"/>
        <v>17</v>
      </c>
      <c r="C123" s="201"/>
      <c r="D123" s="134">
        <v>0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137">
        <f t="shared" si="3"/>
        <v>18</v>
      </c>
      <c r="C124" s="130"/>
      <c r="D124" s="134">
        <v>0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137">
        <f t="shared" si="3"/>
        <v>19</v>
      </c>
      <c r="C125" s="130"/>
      <c r="D125" s="134">
        <v>0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137">
        <f t="shared" si="3"/>
        <v>20</v>
      </c>
      <c r="C126" s="130"/>
      <c r="D126" s="134">
        <v>0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137">
        <f t="shared" si="3"/>
        <v>21</v>
      </c>
      <c r="C127" s="201"/>
      <c r="D127" s="134">
        <v>0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137">
        <f t="shared" si="3"/>
        <v>22</v>
      </c>
      <c r="C128" s="201"/>
      <c r="D128" s="134">
        <v>0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137">
        <f t="shared" si="3"/>
        <v>23</v>
      </c>
      <c r="C129" s="201"/>
      <c r="D129" s="134">
        <v>0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137">
        <f t="shared" si="3"/>
        <v>24</v>
      </c>
      <c r="C130" s="201"/>
      <c r="D130" s="134">
        <v>0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137">
        <f t="shared" si="3"/>
        <v>25</v>
      </c>
      <c r="C131" s="201"/>
      <c r="D131" s="134">
        <v>0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137">
        <f t="shared" si="3"/>
        <v>26</v>
      </c>
      <c r="C132" s="130"/>
      <c r="D132" s="134">
        <v>0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137">
        <f t="shared" si="3"/>
        <v>27</v>
      </c>
      <c r="C133" s="201"/>
      <c r="D133" s="134">
        <v>0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137">
        <f t="shared" si="3"/>
        <v>28</v>
      </c>
      <c r="C134" s="201"/>
      <c r="D134" s="134">
        <v>0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137">
        <f t="shared" si="3"/>
        <v>29</v>
      </c>
      <c r="C135" s="201"/>
      <c r="D135" s="134">
        <v>0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137">
        <f t="shared" si="3"/>
        <v>30</v>
      </c>
      <c r="C136" s="130"/>
      <c r="D136" s="134">
        <v>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137">
        <f t="shared" si="3"/>
        <v>31</v>
      </c>
      <c r="C137" s="130"/>
      <c r="D137" s="134">
        <v>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137">
        <f t="shared" si="3"/>
        <v>32</v>
      </c>
      <c r="C138" s="130"/>
      <c r="D138" s="134">
        <v>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137">
        <f t="shared" si="3"/>
        <v>33</v>
      </c>
      <c r="C139" s="130"/>
      <c r="D139" s="134">
        <v>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137">
        <f t="shared" si="3"/>
        <v>34</v>
      </c>
      <c r="C140" s="130"/>
      <c r="D140" s="134">
        <v>0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137">
        <f t="shared" si="3"/>
        <v>35</v>
      </c>
      <c r="C141" s="130"/>
      <c r="D141" s="134">
        <v>0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137">
        <f t="shared" si="3"/>
        <v>36</v>
      </c>
      <c r="C142" s="130"/>
      <c r="D142" s="134">
        <v>0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137">
        <f t="shared" si="3"/>
        <v>37</v>
      </c>
      <c r="C143" s="130"/>
      <c r="D143" s="134">
        <v>0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137">
        <f t="shared" si="3"/>
        <v>38</v>
      </c>
      <c r="C144" s="130"/>
      <c r="D144" s="134">
        <v>0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137">
        <f t="shared" si="3"/>
        <v>39</v>
      </c>
      <c r="C145" s="130"/>
      <c r="D145" s="134">
        <v>0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137">
        <f t="shared" si="3"/>
        <v>40</v>
      </c>
      <c r="C146" s="130"/>
      <c r="D146" s="134">
        <v>0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148"/>
      <c r="D147" s="20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148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148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148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148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148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148"/>
      <c r="D153" s="3"/>
      <c r="E153" s="3"/>
      <c r="F153" s="203" t="s">
        <v>190</v>
      </c>
      <c r="G153" s="204" t="s">
        <v>97</v>
      </c>
      <c r="H153" s="204" t="s">
        <v>191</v>
      </c>
      <c r="I153" s="203" t="s">
        <v>192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148"/>
      <c r="D154" s="3"/>
      <c r="E154" s="3"/>
      <c r="F154" s="188" t="s">
        <v>193</v>
      </c>
      <c r="G154" s="40">
        <v>5</v>
      </c>
      <c r="H154" s="140">
        <f t="shared" ref="H154:H156" si="4">COUNTIF($D$3:$D$92,G154)</f>
        <v>0</v>
      </c>
      <c r="I154" s="39">
        <f t="shared" ref="I154:I156" si="5">SUMIF($D$3:$D$92,$G154)</f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148"/>
      <c r="D155" s="3"/>
      <c r="E155" s="3"/>
      <c r="F155" s="188" t="s">
        <v>194</v>
      </c>
      <c r="G155" s="40">
        <v>10</v>
      </c>
      <c r="H155" s="140">
        <f t="shared" si="4"/>
        <v>0</v>
      </c>
      <c r="I155" s="39">
        <f t="shared" si="5"/>
        <v>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148"/>
      <c r="D156" s="3"/>
      <c r="E156" s="3"/>
      <c r="F156" s="188" t="s">
        <v>195</v>
      </c>
      <c r="G156" s="40">
        <v>15</v>
      </c>
      <c r="H156" s="140">
        <f t="shared" si="4"/>
        <v>0</v>
      </c>
      <c r="I156" s="39">
        <f t="shared" si="5"/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143"/>
      <c r="G157" s="3"/>
      <c r="H157" s="205" t="s">
        <v>196</v>
      </c>
      <c r="I157" s="206">
        <f>SUM(I154:I156)</f>
        <v>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207" t="s">
        <v>189</v>
      </c>
      <c r="G160" s="207" t="s">
        <v>97</v>
      </c>
      <c r="H160" s="207" t="s">
        <v>191</v>
      </c>
      <c r="I160" s="207" t="s">
        <v>192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208" t="s">
        <v>197</v>
      </c>
      <c r="G161" s="209">
        <v>1</v>
      </c>
      <c r="H161" s="209">
        <f t="shared" ref="H161:H163" si="6">COUNTIF($D$107:$D$146,$G161)</f>
        <v>0</v>
      </c>
      <c r="I161" s="209">
        <f t="shared" ref="I161:I163" si="7">SUMIF($D$107:$D$146,$G161)</f>
        <v>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208" t="s">
        <v>198</v>
      </c>
      <c r="G162" s="209">
        <v>2</v>
      </c>
      <c r="H162" s="209">
        <f t="shared" si="6"/>
        <v>0</v>
      </c>
      <c r="I162" s="209">
        <f t="shared" si="7"/>
        <v>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208" t="s">
        <v>199</v>
      </c>
      <c r="G163" s="209">
        <v>3</v>
      </c>
      <c r="H163" s="209">
        <f t="shared" si="6"/>
        <v>0</v>
      </c>
      <c r="I163" s="209">
        <f t="shared" si="7"/>
        <v>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210" t="s">
        <v>200</v>
      </c>
      <c r="I164" s="211">
        <f>SUM(I161:I163)</f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</sheetData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28"/>
  <sheetViews>
    <sheetView workbookViewId="0"/>
  </sheetViews>
  <sheetFormatPr baseColWidth="10" defaultColWidth="12.5703125" defaultRowHeight="15" customHeight="1" x14ac:dyDescent="0.2"/>
  <cols>
    <col min="1" max="1" width="31.28515625" customWidth="1"/>
    <col min="2" max="2" width="21.28515625" customWidth="1"/>
    <col min="3" max="3" width="22" customWidth="1"/>
    <col min="4" max="4" width="19.5703125" customWidth="1"/>
    <col min="5" max="5" width="19.140625" customWidth="1"/>
    <col min="6" max="6" width="17" customWidth="1"/>
    <col min="7" max="7" width="16.85546875" customWidth="1"/>
    <col min="8" max="8" width="21.5703125" customWidth="1"/>
    <col min="9" max="9" width="20.5703125" customWidth="1"/>
    <col min="10" max="11" width="21.28515625" customWidth="1"/>
    <col min="12" max="12" width="20.85546875" customWidth="1"/>
    <col min="13" max="13" width="20.7109375" customWidth="1"/>
    <col min="14" max="14" width="13.140625" customWidth="1"/>
    <col min="15" max="26" width="12.7109375" customWidth="1"/>
  </cols>
  <sheetData>
    <row r="1" spans="1:26" ht="15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433" t="s">
        <v>201</v>
      </c>
      <c r="B2" s="434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213" t="s">
        <v>202</v>
      </c>
      <c r="B3" s="214" t="s">
        <v>25</v>
      </c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86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5">
      <c r="A4" s="215" t="s">
        <v>62</v>
      </c>
      <c r="B4" s="216">
        <f>PARÁMETROS!$B$4</f>
        <v>900</v>
      </c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86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215" t="s">
        <v>63</v>
      </c>
      <c r="B5" s="217">
        <f>PARÁMETROS!$B$5</f>
        <v>1000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215" t="s">
        <v>4</v>
      </c>
      <c r="B6" s="216">
        <f>PARÁMETROS!$B$6</f>
        <v>40000</v>
      </c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215" t="s">
        <v>40</v>
      </c>
      <c r="B7" s="216">
        <f>PARÁMETROS!$B$8</f>
        <v>160</v>
      </c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218"/>
      <c r="B8" s="218"/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435" t="s">
        <v>203</v>
      </c>
      <c r="B9" s="436"/>
      <c r="C9" s="436"/>
      <c r="D9" s="436"/>
      <c r="E9" s="436"/>
      <c r="F9" s="436"/>
      <c r="G9" s="436"/>
      <c r="H9" s="436"/>
      <c r="I9" s="436"/>
      <c r="J9" s="436"/>
      <c r="K9" s="436"/>
      <c r="L9" s="436"/>
      <c r="M9" s="437"/>
      <c r="N9" s="4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219" t="s">
        <v>204</v>
      </c>
      <c r="B10" s="220" t="s">
        <v>205</v>
      </c>
      <c r="C10" s="220" t="s">
        <v>206</v>
      </c>
      <c r="D10" s="220" t="s">
        <v>207</v>
      </c>
      <c r="E10" s="220" t="s">
        <v>208</v>
      </c>
      <c r="F10" s="220" t="s">
        <v>209</v>
      </c>
      <c r="G10" s="220" t="s">
        <v>210</v>
      </c>
      <c r="H10" s="220" t="s">
        <v>211</v>
      </c>
      <c r="I10" s="220" t="s">
        <v>212</v>
      </c>
      <c r="J10" s="220" t="s">
        <v>213</v>
      </c>
      <c r="K10" s="220" t="s">
        <v>214</v>
      </c>
      <c r="L10" s="220" t="s">
        <v>215</v>
      </c>
      <c r="M10" s="220" t="s">
        <v>216</v>
      </c>
      <c r="N10" s="4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xmlns="http://schemas.openxmlformats.org/spreadsheetml/2006/main" r="A11" s="221" t="str">
        <v>Jefe de Proyecto</v>
      </c>
      <c r="B11" s="222">
        <f>(SUM('COSTOS DE OPERACION'!C3:V3)/'Costos HH - Sueldos'!$D$11:$D$40)/C11</f>
        <v>0</v>
      </c>
      <c r="C11" s="223">
        <f t="shared" ref="C11:C40" si="0">I11*H11</f>
        <v>8</v>
      </c>
      <c r="D11" s="224">
        <v>2.5</v>
      </c>
      <c r="E11" s="224">
        <v>2.95</v>
      </c>
      <c r="F11" s="225">
        <f t="shared" ref="F11:F40" si="1">C11*D11</f>
        <v>20</v>
      </c>
      <c r="G11" s="225">
        <f t="shared" ref="G11:G40" si="2">C11*E11</f>
        <v>23.6</v>
      </c>
      <c r="H11" s="226">
        <v>1</v>
      </c>
      <c r="I11" s="227">
        <v>8</v>
      </c>
      <c r="J11" s="228">
        <f t="shared" ref="J11:J40" si="3">B11*C11*D11*$B$6</f>
        <v>0</v>
      </c>
      <c r="K11" s="228">
        <f t="shared" ref="K11:K40" si="4">B11*C11*E11*$B$6</f>
        <v>0</v>
      </c>
      <c r="L11" s="225">
        <f t="shared" ref="L11:L40" si="5">B11*C11*D11</f>
        <v>0</v>
      </c>
      <c r="M11" s="225">
        <f t="shared" ref="M11:M40" si="6">B11*C11*E11</f>
        <v>0</v>
      </c>
      <c r="N11" s="4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xmlns="http://schemas.openxmlformats.org/spreadsheetml/2006/main" r="A12" s="229" t="str">
        <v>Líder de Integración</v>
      </c>
      <c xmlns="http://schemas.openxmlformats.org/spreadsheetml/2006/main" r="B12" s="222" t="n">
        <v>0</v>
      </c>
      <c xmlns="http://schemas.openxmlformats.org/spreadsheetml/2006/main" r="C12" s="223" t="n">
        <f t="shared" si="0">I12*H12</f>
        <v>0</v>
      </c>
      <c xmlns="http://schemas.openxmlformats.org/spreadsheetml/2006/main" r="D12" s="224" t="n">
        <f>D13</f>
        <v>1.2</v>
      </c>
      <c xmlns="http://schemas.openxmlformats.org/spreadsheetml/2006/main" r="E12" s="224" t="n">
        <f>E13</f>
        <v>1.5</v>
      </c>
      <c xmlns="http://schemas.openxmlformats.org/spreadsheetml/2006/main" r="F12" s="225" t="n">
        <f t="shared" si="1">C12*D12</f>
        <v>0</v>
      </c>
      <c xmlns="http://schemas.openxmlformats.org/spreadsheetml/2006/main" r="G12" s="225" t="n">
        <f t="shared" si="2">C12*E12</f>
        <v>0</v>
      </c>
      <c xmlns="http://schemas.openxmlformats.org/spreadsheetml/2006/main" r="H12" s="226" t="n">
        <v>0</v>
      </c>
      <c r="I12" s="227">
        <v>8</v>
      </c>
      <c r="J12" s="228">
        <f t="shared" si="3"/>
        <v>0</v>
      </c>
      <c r="K12" s="228">
        <f t="shared" si="4"/>
        <v>0</v>
      </c>
      <c r="L12" s="225">
        <f t="shared" si="5"/>
        <v>0</v>
      </c>
      <c r="M12" s="225">
        <f t="shared" si="6"/>
        <v>0</v>
      </c>
      <c r="N12" s="4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xmlns="http://schemas.openxmlformats.org/spreadsheetml/2006/main" r="A13" s="229" t="str">
        <v>Arquitecto de Solución</v>
      </c>
      <c r="B13" s="222">
        <f>(SUM('COSTOS DE OPERACION'!C5:V5)/'Costos HH - Sueldos'!$D$11:$D$40)/C13</f>
        <v>0</v>
      </c>
      <c r="C13" s="223">
        <f t="shared" si="0"/>
        <v>8</v>
      </c>
      <c r="D13" s="224">
        <v>1.2</v>
      </c>
      <c r="E13" s="224">
        <v>1.5</v>
      </c>
      <c r="F13" s="225">
        <f t="shared" si="1"/>
        <v>9.6</v>
      </c>
      <c r="G13" s="225">
        <f t="shared" si="2"/>
        <v>12</v>
      </c>
      <c r="H13" s="226">
        <v>1</v>
      </c>
      <c r="I13" s="227">
        <v>8</v>
      </c>
      <c r="J13" s="228">
        <f t="shared" si="3"/>
        <v>0</v>
      </c>
      <c r="K13" s="228">
        <f t="shared" si="4"/>
        <v>0</v>
      </c>
      <c r="L13" s="225">
        <f t="shared" si="5"/>
        <v>0</v>
      </c>
      <c r="M13" s="225">
        <f t="shared" si="6"/>
        <v>0</v>
      </c>
      <c r="N13" s="4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xmlns="http://schemas.openxmlformats.org/spreadsheetml/2006/main" r="A14" s="229" t="str">
        <v>Líder de Desarrollo</v>
      </c>
      <c r="B14" s="222">
        <f>(SUM('COSTOS DE OPERACION'!C6:V6)/'Costos HH - Sueldos'!$D$11:$D$40)/C14</f>
        <v>0</v>
      </c>
      <c r="C14" s="223">
        <f t="shared" si="0"/>
        <v>8</v>
      </c>
      <c r="D14" s="224">
        <v>0.9</v>
      </c>
      <c r="E14" s="224">
        <v>1</v>
      </c>
      <c r="F14" s="225">
        <f t="shared" si="1"/>
        <v>7.2</v>
      </c>
      <c r="G14" s="225">
        <f t="shared" si="2"/>
        <v>8</v>
      </c>
      <c r="H14" s="226">
        <v>1</v>
      </c>
      <c r="I14" s="227">
        <v>8</v>
      </c>
      <c r="J14" s="228">
        <f t="shared" si="3"/>
        <v>0</v>
      </c>
      <c r="K14" s="228">
        <f t="shared" si="4"/>
        <v>0</v>
      </c>
      <c r="L14" s="225">
        <f t="shared" si="5"/>
        <v>0</v>
      </c>
      <c r="M14" s="225">
        <f t="shared" si="6"/>
        <v>0</v>
      </c>
      <c r="N14" s="4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xmlns="http://schemas.openxmlformats.org/spreadsheetml/2006/main" r="A15" s="229" t="str">
        <v>Líder Funcional</v>
      </c>
      <c r="B15" s="222">
        <f>((SUM('COSTOS DE OPERACION'!C7:V7)+SUM('COSTOS DE OPERACION'!C42:V42))/'Costos HH - Sueldos'!$D$11:$D$40)/C15</f>
        <v>0</v>
      </c>
      <c r="C15" s="223">
        <f t="shared" si="0"/>
        <v>8</v>
      </c>
      <c r="D15" s="224">
        <v>1.2</v>
      </c>
      <c r="E15" s="224">
        <v>1.3</v>
      </c>
      <c r="F15" s="225">
        <f t="shared" si="1"/>
        <v>9.6</v>
      </c>
      <c r="G15" s="225">
        <f t="shared" si="2"/>
        <v>10.4</v>
      </c>
      <c r="H15" s="226">
        <v>1</v>
      </c>
      <c r="I15" s="227">
        <v>8</v>
      </c>
      <c r="J15" s="228">
        <f t="shared" si="3"/>
        <v>0</v>
      </c>
      <c r="K15" s="228">
        <f t="shared" si="4"/>
        <v>0</v>
      </c>
      <c r="L15" s="225">
        <f t="shared" si="5"/>
        <v>0</v>
      </c>
      <c r="M15" s="225">
        <f t="shared" si="6"/>
        <v>0</v>
      </c>
      <c r="N15" s="4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229" t="s">
        <v>222</v>
      </c>
      <c r="B16" s="222">
        <f>(SUM('COSTOS DE OPERACION'!C8:V8)/'Costos HH - Sueldos'!$D$11:$D$40)/C16</f>
        <v>0</v>
      </c>
      <c r="C16" s="223">
        <f t="shared" si="0"/>
        <v>32</v>
      </c>
      <c r="D16" s="224">
        <v>0.7</v>
      </c>
      <c r="E16" s="224">
        <v>0.8</v>
      </c>
      <c r="F16" s="225">
        <f t="shared" si="1"/>
        <v>22.4</v>
      </c>
      <c r="G16" s="225">
        <f t="shared" si="2"/>
        <v>25.6</v>
      </c>
      <c r="H16" s="226">
        <v>4</v>
      </c>
      <c r="I16" s="227">
        <v>8</v>
      </c>
      <c r="J16" s="228">
        <f t="shared" si="3"/>
        <v>0</v>
      </c>
      <c r="K16" s="228">
        <f t="shared" si="4"/>
        <v>0</v>
      </c>
      <c r="L16" s="225">
        <f t="shared" si="5"/>
        <v>0</v>
      </c>
      <c r="M16" s="225">
        <f t="shared" si="6"/>
        <v>0</v>
      </c>
      <c r="N16" s="4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229" t="s">
        <v>223</v>
      </c>
      <c r="B17" s="222">
        <f>(SUM('COSTOS DE OPERACION'!C9:V9)/'Costos HH - Sueldos'!$D$11:$D$40)/C17</f>
        <v>0</v>
      </c>
      <c r="C17" s="223">
        <f t="shared" si="0"/>
        <v>64</v>
      </c>
      <c r="D17" s="224">
        <v>0.8</v>
      </c>
      <c r="E17" s="224">
        <v>0.9</v>
      </c>
      <c r="F17" s="225">
        <f t="shared" si="1"/>
        <v>51.2</v>
      </c>
      <c r="G17" s="225">
        <f t="shared" si="2"/>
        <v>57.6</v>
      </c>
      <c r="H17" s="226">
        <v>8</v>
      </c>
      <c r="I17" s="227">
        <v>8</v>
      </c>
      <c r="J17" s="228">
        <f t="shared" si="3"/>
        <v>0</v>
      </c>
      <c r="K17" s="228">
        <f t="shared" si="4"/>
        <v>0</v>
      </c>
      <c r="L17" s="225">
        <f t="shared" si="5"/>
        <v>0</v>
      </c>
      <c r="M17" s="225">
        <f t="shared" si="6"/>
        <v>0</v>
      </c>
      <c r="N17" s="4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229" t="s">
        <v>224</v>
      </c>
      <c r="B18" s="222">
        <f>(SUM('COSTOS DE OPERACION'!C10:V10)/'Costos HH - Sueldos'!$D$11:$D$40)/C18</f>
        <v>0</v>
      </c>
      <c r="C18" s="223">
        <f t="shared" si="0"/>
        <v>8</v>
      </c>
      <c r="D18" s="224">
        <v>0.6</v>
      </c>
      <c r="E18" s="224">
        <v>0.7</v>
      </c>
      <c r="F18" s="225">
        <f t="shared" si="1"/>
        <v>4.8</v>
      </c>
      <c r="G18" s="225">
        <f t="shared" si="2"/>
        <v>5.6</v>
      </c>
      <c r="H18" s="226">
        <v>1</v>
      </c>
      <c r="I18" s="227">
        <v>8</v>
      </c>
      <c r="J18" s="228">
        <f t="shared" si="3"/>
        <v>0</v>
      </c>
      <c r="K18" s="228">
        <f t="shared" si="4"/>
        <v>0</v>
      </c>
      <c r="L18" s="225">
        <f t="shared" si="5"/>
        <v>0</v>
      </c>
      <c r="M18" s="225">
        <f t="shared" si="6"/>
        <v>0</v>
      </c>
      <c r="N18" s="4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229" t="s">
        <v>225</v>
      </c>
      <c r="B19" s="222">
        <f>(SUM('COSTOS DE OPERACION'!C11:V11)/'Costos HH - Sueldos'!$D$11:$D$40)/C19</f>
        <v>0</v>
      </c>
      <c r="C19" s="223">
        <f t="shared" si="0"/>
        <v>8</v>
      </c>
      <c r="D19" s="224">
        <v>0.6</v>
      </c>
      <c r="E19" s="224">
        <v>0.7</v>
      </c>
      <c r="F19" s="225">
        <f t="shared" si="1"/>
        <v>4.8</v>
      </c>
      <c r="G19" s="225">
        <f t="shared" si="2"/>
        <v>5.6</v>
      </c>
      <c r="H19" s="226">
        <v>1</v>
      </c>
      <c r="I19" s="227">
        <v>8</v>
      </c>
      <c r="J19" s="228">
        <f t="shared" si="3"/>
        <v>0</v>
      </c>
      <c r="K19" s="228">
        <f t="shared" si="4"/>
        <v>0</v>
      </c>
      <c r="L19" s="225">
        <f t="shared" si="5"/>
        <v>0</v>
      </c>
      <c r="M19" s="225">
        <f t="shared" si="6"/>
        <v>0</v>
      </c>
      <c r="N19" s="4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229" t="s">
        <v>226</v>
      </c>
      <c r="B20" s="222">
        <f>(SUM('COSTOS DE OPERACION'!C12:V12)/'Costos HH - Sueldos'!$D$11:$D$40)/C20</f>
        <v>0</v>
      </c>
      <c r="C20" s="223">
        <f t="shared" si="0"/>
        <v>8</v>
      </c>
      <c r="D20" s="224">
        <v>0.8</v>
      </c>
      <c r="E20" s="224">
        <v>0.9</v>
      </c>
      <c r="F20" s="225">
        <f t="shared" si="1"/>
        <v>6.4</v>
      </c>
      <c r="G20" s="225">
        <f t="shared" si="2"/>
        <v>7.2</v>
      </c>
      <c r="H20" s="226">
        <v>1</v>
      </c>
      <c r="I20" s="227">
        <v>8</v>
      </c>
      <c r="J20" s="228">
        <f t="shared" si="3"/>
        <v>0</v>
      </c>
      <c r="K20" s="228">
        <f t="shared" si="4"/>
        <v>0</v>
      </c>
      <c r="L20" s="225">
        <f t="shared" si="5"/>
        <v>0</v>
      </c>
      <c r="M20" s="225">
        <f t="shared" si="6"/>
        <v>0</v>
      </c>
      <c r="N20" s="4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229" t="s">
        <v>227</v>
      </c>
      <c r="B21" s="222">
        <f>(SUM('COSTOS DE OPERACION'!C13:V13)/'Costos HH - Sueldos'!$D$11:$D$40)/C21</f>
        <v>0</v>
      </c>
      <c r="C21" s="223">
        <f t="shared" si="0"/>
        <v>8</v>
      </c>
      <c r="D21" s="224">
        <v>0.6</v>
      </c>
      <c r="E21" s="224">
        <v>0.7</v>
      </c>
      <c r="F21" s="225">
        <f t="shared" si="1"/>
        <v>4.8</v>
      </c>
      <c r="G21" s="225">
        <f t="shared" si="2"/>
        <v>5.6</v>
      </c>
      <c r="H21" s="226">
        <v>1</v>
      </c>
      <c r="I21" s="227">
        <v>8</v>
      </c>
      <c r="J21" s="228">
        <f t="shared" si="3"/>
        <v>0</v>
      </c>
      <c r="K21" s="228">
        <f t="shared" si="4"/>
        <v>0</v>
      </c>
      <c r="L21" s="225">
        <f t="shared" si="5"/>
        <v>0</v>
      </c>
      <c r="M21" s="225">
        <f t="shared" si="6"/>
        <v>0</v>
      </c>
      <c r="N21" s="4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229" t="s">
        <v>228</v>
      </c>
      <c r="B22" s="222">
        <f>(SUM('COSTOS DE OPERACION'!C14:V14)/'Costos HH - Sueldos'!$D$11:$D$40)/C22</f>
        <v>0</v>
      </c>
      <c r="C22" s="223">
        <f t="shared" si="0"/>
        <v>24</v>
      </c>
      <c r="D22" s="224">
        <v>1</v>
      </c>
      <c r="E22" s="224">
        <v>1.2</v>
      </c>
      <c r="F22" s="225">
        <f t="shared" si="1"/>
        <v>24</v>
      </c>
      <c r="G22" s="225">
        <f t="shared" si="2"/>
        <v>28.799999999999997</v>
      </c>
      <c r="H22" s="226">
        <v>3</v>
      </c>
      <c r="I22" s="227">
        <v>8</v>
      </c>
      <c r="J22" s="228">
        <f t="shared" si="3"/>
        <v>0</v>
      </c>
      <c r="K22" s="228">
        <f t="shared" si="4"/>
        <v>0</v>
      </c>
      <c r="L22" s="225">
        <f t="shared" si="5"/>
        <v>0</v>
      </c>
      <c r="M22" s="225">
        <f t="shared" si="6"/>
        <v>0</v>
      </c>
      <c r="N22" s="4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xmlns="http://schemas.openxmlformats.org/spreadsheetml/2006/main" r="A23" s="229" t="str">
        <v>Encargado de Seguridad</v>
      </c>
      <c r="B23" s="222">
        <f>(SUM('COSTOS DE OPERACION'!C15:V15)/'Costos HH - Sueldos'!$D$11:$D$40)/C23</f>
        <v>0</v>
      </c>
      <c r="C23" s="223">
        <f t="shared" si="0"/>
        <v>8</v>
      </c>
      <c r="D23" s="224">
        <v>1.2</v>
      </c>
      <c r="E23" s="224">
        <v>1.4</v>
      </c>
      <c r="F23" s="225">
        <f t="shared" si="1"/>
        <v>9.6</v>
      </c>
      <c r="G23" s="225">
        <f t="shared" si="2"/>
        <v>11.2</v>
      </c>
      <c r="H23" s="226">
        <v>1</v>
      </c>
      <c r="I23" s="227">
        <v>8</v>
      </c>
      <c r="J23" s="228">
        <f t="shared" si="3"/>
        <v>0</v>
      </c>
      <c r="K23" s="228">
        <f t="shared" si="4"/>
        <v>0</v>
      </c>
      <c r="L23" s="225">
        <f t="shared" si="5"/>
        <v>0</v>
      </c>
      <c r="M23" s="225">
        <f t="shared" si="6"/>
        <v>0</v>
      </c>
      <c r="N23" s="4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229" t="s">
        <v>230</v>
      </c>
      <c r="B24" s="222">
        <f>(SUM('COSTOS DE OPERACION'!C16:V16)/'Costos HH - Sueldos'!$D$11:$D$40)/C24</f>
        <v>0</v>
      </c>
      <c r="C24" s="223">
        <f t="shared" si="0"/>
        <v>16</v>
      </c>
      <c r="D24" s="224">
        <v>1</v>
      </c>
      <c r="E24" s="224">
        <v>1.1000000000000001</v>
      </c>
      <c r="F24" s="225">
        <f t="shared" si="1"/>
        <v>16</v>
      </c>
      <c r="G24" s="225">
        <f t="shared" si="2"/>
        <v>17.600000000000001</v>
      </c>
      <c r="H24" s="226">
        <v>2</v>
      </c>
      <c r="I24" s="227">
        <v>8</v>
      </c>
      <c r="J24" s="228">
        <f t="shared" si="3"/>
        <v>0</v>
      </c>
      <c r="K24" s="228">
        <f t="shared" si="4"/>
        <v>0</v>
      </c>
      <c r="L24" s="225">
        <f t="shared" si="5"/>
        <v>0</v>
      </c>
      <c r="M24" s="225">
        <f t="shared" si="6"/>
        <v>0</v>
      </c>
      <c r="N24" s="4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229" t="s">
        <v>231</v>
      </c>
      <c r="B25" s="222">
        <f>(SUM('COSTOS DE OPERACION'!C17:V17)/'Costos HH - Sueldos'!$D$11:$D$40)/C25</f>
        <v>0</v>
      </c>
      <c r="C25" s="223">
        <f t="shared" si="0"/>
        <v>8</v>
      </c>
      <c r="D25" s="224">
        <v>0.8</v>
      </c>
      <c r="E25" s="224">
        <v>1</v>
      </c>
      <c r="F25" s="225">
        <f t="shared" si="1"/>
        <v>6.4</v>
      </c>
      <c r="G25" s="225">
        <f t="shared" si="2"/>
        <v>8</v>
      </c>
      <c r="H25" s="226">
        <v>1</v>
      </c>
      <c r="I25" s="227">
        <v>8</v>
      </c>
      <c r="J25" s="228">
        <f t="shared" si="3"/>
        <v>0</v>
      </c>
      <c r="K25" s="228">
        <f t="shared" si="4"/>
        <v>0</v>
      </c>
      <c r="L25" s="225">
        <f t="shared" si="5"/>
        <v>0</v>
      </c>
      <c r="M25" s="225">
        <f t="shared" si="6"/>
        <v>0</v>
      </c>
      <c r="N25" s="4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xmlns="http://schemas.openxmlformats.org/spreadsheetml/2006/main" r="A26" s="229" t="str">
        <v>Líder de Calidad y Pruebas</v>
      </c>
      <c r="B26" s="222">
        <f>(SUM('COSTOS DE OPERACION'!C18:V18)/'Costos HH - Sueldos'!$D$11:$D$40)/C26</f>
        <v>0</v>
      </c>
      <c r="C26" s="223">
        <f t="shared" si="0"/>
        <v>8</v>
      </c>
      <c r="D26" s="224">
        <v>0.6</v>
      </c>
      <c r="E26" s="224">
        <v>0.7</v>
      </c>
      <c r="F26" s="225">
        <f t="shared" si="1"/>
        <v>4.8</v>
      </c>
      <c r="G26" s="225">
        <f t="shared" si="2"/>
        <v>5.6</v>
      </c>
      <c r="H26" s="226">
        <v>1</v>
      </c>
      <c r="I26" s="227">
        <v>8</v>
      </c>
      <c r="J26" s="228">
        <f t="shared" si="3"/>
        <v>0</v>
      </c>
      <c r="K26" s="228">
        <f t="shared" si="4"/>
        <v>0</v>
      </c>
      <c r="L26" s="225">
        <f t="shared" si="5"/>
        <v>0</v>
      </c>
      <c r="M26" s="225">
        <f t="shared" si="6"/>
        <v>0</v>
      </c>
      <c r="N26" s="4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xmlns="http://schemas.openxmlformats.org/spreadsheetml/2006/main" r="A27" s="230" t="str">
        <v>Operador de Mesa de Servicio (N1)</v>
      </c>
      <c r="B27" s="222">
        <f>(SUM('COSTOS DE OPERACION'!C19:V19)/'Costos HH - Sueldos'!$D$11:$D$40)/C27</f>
        <v>0</v>
      </c>
      <c r="C27" s="223">
        <f t="shared" si="0"/>
        <v>40</v>
      </c>
      <c r="D27" s="224">
        <v>0.4</v>
      </c>
      <c r="E27" s="224">
        <v>0.6</v>
      </c>
      <c r="F27" s="225">
        <f t="shared" si="1"/>
        <v>16</v>
      </c>
      <c r="G27" s="225">
        <f t="shared" si="2"/>
        <v>24</v>
      </c>
      <c r="H27" s="231">
        <v>5</v>
      </c>
      <c r="I27" s="227">
        <v>8</v>
      </c>
      <c r="J27" s="228">
        <f t="shared" si="3"/>
        <v>0</v>
      </c>
      <c r="K27" s="228">
        <f t="shared" si="4"/>
        <v>0</v>
      </c>
      <c r="L27" s="225">
        <f t="shared" si="5"/>
        <v>0</v>
      </c>
      <c r="M27" s="225">
        <f t="shared" si="6"/>
        <v>0</v>
      </c>
      <c r="N27" s="4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229" t="s">
        <v>234</v>
      </c>
      <c r="B28" s="222">
        <f>(SUM('COSTOS DE OPERACION'!C20:V20)/'Costos HH - Sueldos'!$D$11:$D$40)/C28</f>
        <v>0</v>
      </c>
      <c r="C28" s="223">
        <f t="shared" si="0"/>
        <v>8</v>
      </c>
      <c r="D28" s="224">
        <v>0.6</v>
      </c>
      <c r="E28" s="224">
        <v>0.8</v>
      </c>
      <c r="F28" s="225">
        <f t="shared" si="1"/>
        <v>4.8</v>
      </c>
      <c r="G28" s="225">
        <f t="shared" si="2"/>
        <v>6.4</v>
      </c>
      <c r="H28" s="226">
        <v>1</v>
      </c>
      <c r="I28" s="227">
        <v>8</v>
      </c>
      <c r="J28" s="228">
        <f t="shared" si="3"/>
        <v>0</v>
      </c>
      <c r="K28" s="228">
        <f t="shared" si="4"/>
        <v>0</v>
      </c>
      <c r="L28" s="225">
        <f t="shared" si="5"/>
        <v>0</v>
      </c>
      <c r="M28" s="225">
        <f t="shared" si="6"/>
        <v>0</v>
      </c>
      <c r="N28" s="23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229" t="s">
        <v>235</v>
      </c>
      <c r="B29" s="222">
        <f>(SUM('COSTOS DE OPERACION'!C21:V21)/'Costos HH - Sueldos'!$D$11:$D$40)/C29</f>
        <v>0</v>
      </c>
      <c r="C29" s="223">
        <f t="shared" si="0"/>
        <v>32</v>
      </c>
      <c r="D29" s="224">
        <v>0.5</v>
      </c>
      <c r="E29" s="224">
        <v>0.6</v>
      </c>
      <c r="F29" s="225">
        <f t="shared" si="1"/>
        <v>16</v>
      </c>
      <c r="G29" s="225">
        <f t="shared" si="2"/>
        <v>19.2</v>
      </c>
      <c r="H29" s="226">
        <v>4</v>
      </c>
      <c r="I29" s="227">
        <v>8</v>
      </c>
      <c r="J29" s="228">
        <f t="shared" si="3"/>
        <v>0</v>
      </c>
      <c r="K29" s="228">
        <f t="shared" si="4"/>
        <v>0</v>
      </c>
      <c r="L29" s="225">
        <f t="shared" si="5"/>
        <v>0</v>
      </c>
      <c r="M29" s="225">
        <f t="shared" si="6"/>
        <v>0</v>
      </c>
      <c r="N29" s="4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229" t="s">
        <v>236</v>
      </c>
      <c r="B30" s="222">
        <f>((SUM('COSTOS DE OPERACION'!C22:V22)+SUM('COSTOS DE OPERACION'!C43:V43))/'Costos HH - Sueldos'!$D$11:$D$40)/C30</f>
        <v>0</v>
      </c>
      <c r="C30" s="223">
        <f t="shared" si="0"/>
        <v>16</v>
      </c>
      <c r="D30" s="224">
        <v>0.4</v>
      </c>
      <c r="E30" s="224">
        <v>0.5</v>
      </c>
      <c r="F30" s="225">
        <f t="shared" si="1"/>
        <v>6.4</v>
      </c>
      <c r="G30" s="225">
        <f t="shared" si="2"/>
        <v>8</v>
      </c>
      <c r="H30" s="226">
        <v>2</v>
      </c>
      <c r="I30" s="227">
        <v>8</v>
      </c>
      <c r="J30" s="228">
        <f t="shared" si="3"/>
        <v>0</v>
      </c>
      <c r="K30" s="228">
        <f t="shared" si="4"/>
        <v>0</v>
      </c>
      <c r="L30" s="225">
        <f t="shared" si="5"/>
        <v>0</v>
      </c>
      <c r="M30" s="225">
        <f t="shared" si="6"/>
        <v>0</v>
      </c>
      <c r="N30" s="4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xmlns="http://schemas.openxmlformats.org/spreadsheetml/2006/main" r="A31" s="233" t="str">
        <v>Líder de Implantación / Cambio</v>
      </c>
      <c xmlns="http://schemas.openxmlformats.org/spreadsheetml/2006/main" r="B31" s="222" t="n">
        <v>0</v>
      </c>
      <c xmlns="http://schemas.openxmlformats.org/spreadsheetml/2006/main" r="C31" s="223" t="n">
        <f t="shared" si="0">I31*H31</f>
        <v>0</v>
      </c>
      <c xmlns="http://schemas.openxmlformats.org/spreadsheetml/2006/main" r="D31" s="224" t="n">
        <f>D15</f>
        <v>1.2</v>
      </c>
      <c xmlns="http://schemas.openxmlformats.org/spreadsheetml/2006/main" r="E31" s="224" t="n">
        <f>E15</f>
        <v>1.3</v>
      </c>
      <c xmlns="http://schemas.openxmlformats.org/spreadsheetml/2006/main" r="F31" s="225" t="n">
        <f t="shared" si="1">C31*D31</f>
        <v>0</v>
      </c>
      <c xmlns="http://schemas.openxmlformats.org/spreadsheetml/2006/main" r="G31" s="225" t="n">
        <f t="shared" si="2">C31*E31</f>
        <v>0</v>
      </c>
      <c xmlns="http://schemas.openxmlformats.org/spreadsheetml/2006/main" r="H31" s="226" t="n">
        <v>0</v>
      </c>
      <c r="I31" s="227">
        <v>8</v>
      </c>
      <c r="J31" s="228">
        <f t="shared" si="3"/>
        <v>0</v>
      </c>
      <c r="K31" s="228">
        <f t="shared" si="4"/>
        <v>0</v>
      </c>
      <c r="L31" s="225">
        <f t="shared" si="5"/>
        <v>0</v>
      </c>
      <c r="M31" s="225">
        <f t="shared" si="6"/>
        <v>0</v>
      </c>
      <c r="N31" s="4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233" t="s">
        <v>238</v>
      </c>
      <c r="B32" s="222">
        <f>((SUM('COSTOS DE OPERACION'!C24:V24)+SUM('COSTOS DE OPERACION'!C41:V41))/'Costos HH - Sueldos'!$D$11:$D$40)/C32</f>
        <v>0</v>
      </c>
      <c r="C32" s="223">
        <f t="shared" si="0"/>
        <v>8</v>
      </c>
      <c r="D32" s="224">
        <v>0.5</v>
      </c>
      <c r="E32" s="224">
        <v>0.6</v>
      </c>
      <c r="F32" s="225">
        <f t="shared" si="1"/>
        <v>4</v>
      </c>
      <c r="G32" s="225">
        <f t="shared" si="2"/>
        <v>4.8</v>
      </c>
      <c r="H32" s="226">
        <v>1</v>
      </c>
      <c r="I32" s="227">
        <v>8</v>
      </c>
      <c r="J32" s="228">
        <f t="shared" si="3"/>
        <v>0</v>
      </c>
      <c r="K32" s="228">
        <f t="shared" si="4"/>
        <v>0</v>
      </c>
      <c r="L32" s="225">
        <f t="shared" si="5"/>
        <v>0</v>
      </c>
      <c r="M32" s="225">
        <f t="shared" si="6"/>
        <v>0</v>
      </c>
      <c r="N32" s="4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xmlns="http://schemas.openxmlformats.org/spreadsheetml/2006/main" r="A33" s="233" t="str">
        <v>Líder de Datos</v>
      </c>
      <c xmlns="http://schemas.openxmlformats.org/spreadsheetml/2006/main" r="B33" s="222" t="n">
        <v>0</v>
      </c>
      <c xmlns="http://schemas.openxmlformats.org/spreadsheetml/2006/main" r="C33" s="223" t="n">
        <f t="shared" si="0">I33*H33</f>
        <v>8</v>
      </c>
      <c xmlns="http://schemas.openxmlformats.org/spreadsheetml/2006/main" r="D33" s="224"/>
      <c xmlns="http://schemas.openxmlformats.org/spreadsheetml/2006/main" r="E33" s="224"/>
      <c xmlns="http://schemas.openxmlformats.org/spreadsheetml/2006/main" r="F33" s="225" t="str">
        <f t="shared" si="1">IF(D33="","",C33*D33)</f>
      </c>
      <c xmlns="http://schemas.openxmlformats.org/spreadsheetml/2006/main" r="G33" s="225" t="str">
        <f t="shared" si="2">IF(E33="","",C33*E33)</f>
      </c>
      <c xmlns="http://schemas.openxmlformats.org/spreadsheetml/2006/main" r="H33" s="226" t="n">
        <v>1</v>
      </c>
      <c r="I33" s="227">
        <v>8</v>
      </c>
      <c xmlns="http://schemas.openxmlformats.org/spreadsheetml/2006/main" r="J33" s="228" t="str">
        <f t="shared" si="3">IF(D33="","",B33*C33*D33*$B$6)</f>
      </c>
      <c xmlns="http://schemas.openxmlformats.org/spreadsheetml/2006/main" r="K33" s="228" t="str">
        <f t="shared" si="4">IF(E33="","",B33*C33*E33*$B$6)</f>
      </c>
      <c xmlns="http://schemas.openxmlformats.org/spreadsheetml/2006/main" r="L33" s="225" t="str">
        <f t="shared" si="5">IF(D33="","",J33/$B$6)</f>
      </c>
      <c xmlns="http://schemas.openxmlformats.org/spreadsheetml/2006/main" r="M33" s="225" t="str">
        <f t="shared" si="6">IF(E33="","",K33/$B$6)</f>
      </c>
      <c r="N33" s="4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xmlns="http://schemas.openxmlformats.org/spreadsheetml/2006/main" r="A34" s="233" t="str">
        <v>Líder de Operación / SRE</v>
      </c>
      <c xmlns="http://schemas.openxmlformats.org/spreadsheetml/2006/main" r="B34" s="222" t="n">
        <v>0</v>
      </c>
      <c xmlns="http://schemas.openxmlformats.org/spreadsheetml/2006/main" r="C34" s="223" t="n">
        <f t="shared" si="0">I34*H34</f>
        <v>8</v>
      </c>
      <c xmlns="http://schemas.openxmlformats.org/spreadsheetml/2006/main" r="D34" s="224"/>
      <c xmlns="http://schemas.openxmlformats.org/spreadsheetml/2006/main" r="E34" s="224"/>
      <c xmlns="http://schemas.openxmlformats.org/spreadsheetml/2006/main" r="F34" s="225" t="str">
        <f t="shared" si="1">IF(D34="","",C34*D34)</f>
      </c>
      <c xmlns="http://schemas.openxmlformats.org/spreadsheetml/2006/main" r="G34" s="225" t="str">
        <f t="shared" si="2">IF(E34="","",C34*E34)</f>
      </c>
      <c xmlns="http://schemas.openxmlformats.org/spreadsheetml/2006/main" r="H34" s="231" t="n">
        <v>1</v>
      </c>
      <c r="I34" s="227">
        <v>8</v>
      </c>
      <c xmlns="http://schemas.openxmlformats.org/spreadsheetml/2006/main" r="J34" s="228" t="str">
        <f t="shared" si="3">IF(D34="","",B34*C34*D34*$B$6)</f>
      </c>
      <c xmlns="http://schemas.openxmlformats.org/spreadsheetml/2006/main" r="K34" s="228" t="str">
        <f t="shared" si="4">IF(E34="","",B34*C34*E34*$B$6)</f>
      </c>
      <c xmlns="http://schemas.openxmlformats.org/spreadsheetml/2006/main" r="L34" s="225" t="str">
        <f t="shared" si="5">IF(D34="","",J34/$B$6)</f>
      </c>
      <c xmlns="http://schemas.openxmlformats.org/spreadsheetml/2006/main" r="M34" s="225" t="str">
        <f t="shared" si="6">IF(E34="","",K34/$B$6)</f>
      </c>
      <c r="N34" s="4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233" t="s">
        <v>241</v>
      </c>
      <c r="B35" s="222">
        <f>(SUM('COSTOS DE OPERACION'!C27:V27)/'Costos HH - Sueldos'!$D$11:$D$40)/C35</f>
        <v>0</v>
      </c>
      <c r="C35" s="223">
        <f t="shared" si="0"/>
        <v>8</v>
      </c>
      <c r="D35" s="224">
        <v>1</v>
      </c>
      <c r="E35" s="224">
        <v>1.3</v>
      </c>
      <c r="F35" s="225">
        <f t="shared" si="1"/>
        <v>8</v>
      </c>
      <c r="G35" s="225">
        <f t="shared" si="2"/>
        <v>10.4</v>
      </c>
      <c r="H35" s="231">
        <v>1</v>
      </c>
      <c r="I35" s="227">
        <v>8</v>
      </c>
      <c r="J35" s="228">
        <f t="shared" si="3"/>
        <v>0</v>
      </c>
      <c r="K35" s="228">
        <f t="shared" si="4"/>
        <v>0</v>
      </c>
      <c r="L35" s="225">
        <f t="shared" si="5"/>
        <v>0</v>
      </c>
      <c r="M35" s="225">
        <f t="shared" si="6"/>
        <v>0</v>
      </c>
      <c r="N35" s="4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233" t="s">
        <v>242</v>
      </c>
      <c r="B36" s="222">
        <f>(SUM('COSTOS DE OPERACION'!C28:V28)/'Costos HH - Sueldos'!$D$11:$D$40)/C36</f>
        <v>0</v>
      </c>
      <c r="C36" s="223">
        <f t="shared" si="0"/>
        <v>8</v>
      </c>
      <c r="D36" s="224">
        <v>1.2</v>
      </c>
      <c r="E36" s="224">
        <v>1.3</v>
      </c>
      <c r="F36" s="225">
        <f t="shared" si="1"/>
        <v>9.6</v>
      </c>
      <c r="G36" s="225">
        <f t="shared" si="2"/>
        <v>10.4</v>
      </c>
      <c r="H36" s="231">
        <v>1</v>
      </c>
      <c r="I36" s="227">
        <v>8</v>
      </c>
      <c r="J36" s="228">
        <f t="shared" si="3"/>
        <v>0</v>
      </c>
      <c r="K36" s="228">
        <f t="shared" si="4"/>
        <v>0</v>
      </c>
      <c r="L36" s="225">
        <f t="shared" si="5"/>
        <v>0</v>
      </c>
      <c r="M36" s="225">
        <f t="shared" si="6"/>
        <v>0</v>
      </c>
      <c r="N36" s="4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xmlns="http://schemas.openxmlformats.org/spreadsheetml/2006/main" r="A37" s="233" t="str">
        <v>Apoyo en bodega nocturna</v>
      </c>
      <c xmlns="http://schemas.openxmlformats.org/spreadsheetml/2006/main" r="B37" s="222" t="n">
        <v>0</v>
      </c>
      <c xmlns="http://schemas.openxmlformats.org/spreadsheetml/2006/main" r="C37" s="223" t="n">
        <f t="shared" si="0">I37*H37</f>
        <v>16</v>
      </c>
      <c xmlns="http://schemas.openxmlformats.org/spreadsheetml/2006/main" r="D37" s="224"/>
      <c xmlns="http://schemas.openxmlformats.org/spreadsheetml/2006/main" r="E37" s="224"/>
      <c xmlns="http://schemas.openxmlformats.org/spreadsheetml/2006/main" r="F37" s="225" t="str">
        <f t="shared" si="1">IF(D37="","",C37*D37)</f>
      </c>
      <c xmlns="http://schemas.openxmlformats.org/spreadsheetml/2006/main" r="G37" s="225" t="str">
        <f t="shared" si="2">IF(E37="","",C37*E37)</f>
      </c>
      <c xmlns="http://schemas.openxmlformats.org/spreadsheetml/2006/main" r="H37" s="231" t="n">
        <v>2</v>
      </c>
      <c r="I37" s="227">
        <v>8</v>
      </c>
      <c xmlns="http://schemas.openxmlformats.org/spreadsheetml/2006/main" r="J37" s="228" t="str">
        <f t="shared" si="3">IF(D37="","",B37*C37*D37*$B$6)</f>
      </c>
      <c xmlns="http://schemas.openxmlformats.org/spreadsheetml/2006/main" r="K37" s="228" t="str">
        <f t="shared" si="4">IF(E37="","",B37*C37*E37*$B$6)</f>
      </c>
      <c xmlns="http://schemas.openxmlformats.org/spreadsheetml/2006/main" r="L37" s="225" t="str">
        <f t="shared" si="5">IF(D37="","",J37/$B$6)</f>
      </c>
      <c xmlns="http://schemas.openxmlformats.org/spreadsheetml/2006/main" r="M37" s="225" t="str">
        <f t="shared" si="6">IF(E37="","",K37/$B$6)</f>
      </c>
      <c r="N37" s="4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xmlns="http://schemas.openxmlformats.org/spreadsheetml/2006/main" r="A38" s="233" t="str">
        <v>Apoyo en cross-docking</v>
      </c>
      <c xmlns="http://schemas.openxmlformats.org/spreadsheetml/2006/main" r="B38" s="222" t="n">
        <v>0</v>
      </c>
      <c xmlns="http://schemas.openxmlformats.org/spreadsheetml/2006/main" r="C38" s="223" t="n">
        <f t="shared" si="0">I38*H38</f>
        <v>24</v>
      </c>
      <c xmlns="http://schemas.openxmlformats.org/spreadsheetml/2006/main" r="D38" s="224"/>
      <c xmlns="http://schemas.openxmlformats.org/spreadsheetml/2006/main" r="E38" s="224"/>
      <c xmlns="http://schemas.openxmlformats.org/spreadsheetml/2006/main" r="F38" s="225" t="str">
        <f t="shared" si="1">IF(D38="","",C38*D38)</f>
      </c>
      <c xmlns="http://schemas.openxmlformats.org/spreadsheetml/2006/main" r="G38" s="225" t="str">
        <f t="shared" si="2">IF(E38="","",C38*E38)</f>
      </c>
      <c xmlns="http://schemas.openxmlformats.org/spreadsheetml/2006/main" r="H38" s="231" t="n">
        <v>3</v>
      </c>
      <c r="I38" s="227">
        <v>8</v>
      </c>
      <c xmlns="http://schemas.openxmlformats.org/spreadsheetml/2006/main" r="J38" s="228" t="str">
        <f t="shared" si="3">IF(D38="","",B38*C38*D38*$B$6)</f>
      </c>
      <c xmlns="http://schemas.openxmlformats.org/spreadsheetml/2006/main" r="K38" s="228" t="str">
        <f t="shared" si="4">IF(E38="","",B38*C38*E38*$B$6)</f>
      </c>
      <c xmlns="http://schemas.openxmlformats.org/spreadsheetml/2006/main" r="L38" s="225" t="str">
        <f t="shared" si="5">IF(D38="","",J38/$B$6)</f>
      </c>
      <c xmlns="http://schemas.openxmlformats.org/spreadsheetml/2006/main" r="M38" s="225" t="str">
        <f t="shared" si="6">IF(E38="","",K38/$B$6)</f>
      </c>
      <c r="N38" s="4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xmlns="http://schemas.openxmlformats.org/spreadsheetml/2006/main" r="A39" s="233" t="str">
        <v>Acompañante en ruta</v>
      </c>
      <c xmlns="http://schemas.openxmlformats.org/spreadsheetml/2006/main" r="B39" s="222" t="str">
        <f>IF(D39="","",SUM('COSTOS DE OPERACION'!C31:V31)/D39/C39)</f>
      </c>
      <c xmlns="http://schemas.openxmlformats.org/spreadsheetml/2006/main" r="C39" s="223" t="n">
        <f t="shared" si="0">I39*H39</f>
        <v>56</v>
      </c>
      <c xmlns="http://schemas.openxmlformats.org/spreadsheetml/2006/main" r="D39" s="224"/>
      <c xmlns="http://schemas.openxmlformats.org/spreadsheetml/2006/main" r="E39" s="224"/>
      <c xmlns="http://schemas.openxmlformats.org/spreadsheetml/2006/main" r="F39" s="225" t="str">
        <f t="shared" si="1">IF(D39="","",C39*D39)</f>
      </c>
      <c xmlns="http://schemas.openxmlformats.org/spreadsheetml/2006/main" r="G39" s="225" t="str">
        <f t="shared" si="2">IF(E39="","",C39*E39)</f>
      </c>
      <c xmlns="http://schemas.openxmlformats.org/spreadsheetml/2006/main" r="H39" s="231" t="n">
        <v>7</v>
      </c>
      <c r="I39" s="227">
        <v>8</v>
      </c>
      <c xmlns="http://schemas.openxmlformats.org/spreadsheetml/2006/main" r="J39" s="228" t="str">
        <f t="shared" si="3">IF(D39="","",B39*C39*D39*$B$6)</f>
      </c>
      <c xmlns="http://schemas.openxmlformats.org/spreadsheetml/2006/main" r="K39" s="228" t="str">
        <f t="shared" si="4">IF(E39="","",B39*C39*E39*$B$6)</f>
      </c>
      <c xmlns="http://schemas.openxmlformats.org/spreadsheetml/2006/main" r="L39" s="225" t="str">
        <f t="shared" si="5">IF(D39="","",J39/$B$6)</f>
      </c>
      <c xmlns="http://schemas.openxmlformats.org/spreadsheetml/2006/main" r="M39" s="225" t="str">
        <f t="shared" si="6">IF(E39="","",K39/$B$6)</f>
      </c>
      <c r="N39" s="4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233" t="s">
        <v>246</v>
      </c>
      <c r="B40" s="222">
        <f>(SUM('COSTOS DE OPERACION'!C32:V32)/'Costos HH - Sueldos'!$D$11:$D$40)/C40</f>
        <v>0</v>
      </c>
      <c r="C40" s="223">
        <f t="shared" si="0"/>
        <v>40</v>
      </c>
      <c r="D40" s="224">
        <v>0.8</v>
      </c>
      <c r="E40" s="224">
        <v>1</v>
      </c>
      <c r="F40" s="225">
        <f t="shared" si="1"/>
        <v>32</v>
      </c>
      <c r="G40" s="225">
        <f t="shared" si="2"/>
        <v>40</v>
      </c>
      <c r="H40" s="231">
        <v>5</v>
      </c>
      <c r="I40" s="227">
        <v>8</v>
      </c>
      <c r="J40" s="228">
        <f t="shared" si="3"/>
        <v>0</v>
      </c>
      <c r="K40" s="228">
        <f t="shared" si="4"/>
        <v>0</v>
      </c>
      <c r="L40" s="225">
        <f t="shared" si="5"/>
        <v>0</v>
      </c>
      <c r="M40" s="225">
        <f t="shared" si="6"/>
        <v>0</v>
      </c>
      <c r="N40" s="4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219" t="s">
        <v>101</v>
      </c>
      <c r="B41" s="234">
        <f>SUM('Costos HH - Sueldos'!$B$11:$B$40)</f>
        <v>0</v>
      </c>
      <c r="C41" s="234"/>
      <c r="D41" s="234"/>
      <c r="E41" s="234"/>
      <c r="F41" s="235"/>
      <c r="G41" s="235"/>
      <c xmlns="http://schemas.openxmlformats.org/spreadsheetml/2006/main" r="H41" s="236">
        <f>SUM('Costos HH - Sueldos'!$H$11:$H$40)</f>
        <v>62</v>
      </c>
      <c r="I41" s="235"/>
      <c r="J41" s="237">
        <f t="shared" ref="J41:M41" si="7">SUM(J10:J40)</f>
        <v>0</v>
      </c>
      <c r="K41" s="237">
        <f t="shared" si="7"/>
        <v>0</v>
      </c>
      <c r="L41" s="238">
        <f t="shared" si="7"/>
        <v>0</v>
      </c>
      <c r="M41" s="238">
        <f t="shared" si="7"/>
        <v>0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239"/>
      <c r="B42" s="239">
        <f>(B41*8)</f>
        <v>0</v>
      </c>
      <c r="C42" s="3"/>
      <c r="D42" s="3"/>
      <c r="E42" s="3"/>
      <c r="F42" s="3"/>
      <c r="G42" s="3"/>
      <c r="H42" s="3"/>
      <c r="I42" s="239"/>
      <c r="J42" s="239"/>
      <c r="K42" s="239"/>
      <c r="L42" s="239"/>
      <c r="M42" s="239"/>
      <c r="N42" s="239"/>
      <c r="O42" s="239"/>
      <c r="P42" s="239"/>
      <c r="Q42" s="239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239"/>
      <c r="L43" s="239"/>
      <c r="M43" s="239"/>
      <c r="N43" s="239"/>
      <c r="O43" s="239"/>
      <c r="P43" s="239"/>
      <c r="Q43" s="239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xmlns="http://schemas.openxmlformats.org/spreadsheetml/2006/main" r="A44" s="3" t="str">
        <v>Fuente: Subdocumento 3, secciones 3.4.4–3.4.6 y Anexo 3.I; estructura del Subdocumento 1, sección 1.5.</v>
      </c>
      <c r="B44" s="3"/>
      <c r="C44" s="3"/>
      <c r="D44" s="3"/>
      <c r="E44" s="3"/>
      <c r="F44" s="3"/>
      <c r="G44" s="3"/>
      <c r="H44" s="3"/>
      <c r="I44" s="3"/>
      <c r="J44" s="3"/>
      <c r="K44" s="239"/>
      <c r="L44" s="239"/>
      <c r="M44" s="239"/>
      <c r="N44" s="239"/>
      <c r="O44" s="239"/>
      <c r="P44" s="239"/>
      <c r="Q44" s="239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xmlns="http://schemas.openxmlformats.org/spreadsheetml/2006/main" r="A45" s="3" t="str">
        <v>Roles compartidos: Integración se incluye en Arquitectura. Implantación y Cambio se incluye en el Líder Funcional. No son contrataciones adicionales.</v>
      </c>
      <c r="B45" s="3"/>
      <c r="C45" s="3"/>
      <c r="D45" s="3"/>
      <c r="E45" s="3"/>
      <c r="F45" s="3"/>
      <c r="G45" s="3"/>
      <c r="H45" s="3"/>
      <c r="I45" s="3"/>
      <c r="J45" s="3"/>
      <c r="K45" s="239"/>
      <c r="L45" s="239"/>
      <c r="M45" s="239"/>
      <c r="N45" s="239"/>
      <c r="O45" s="239"/>
      <c r="P45" s="239"/>
      <c r="Q45" s="239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xmlns="http://schemas.openxmlformats.org/spreadsheetml/2006/main" r="A46" s="3" t="str">
        <v>Datos, Operación/SRE y los tres perfiles de apoyo: costo y tarifa pendientes. Los totales monetarios son parciales hasta valorizarlos.</v>
      </c>
      <c r="B46" s="3"/>
      <c r="C46" s="3"/>
      <c r="D46" s="3"/>
      <c r="E46" s="3"/>
      <c r="F46" s="3"/>
      <c r="G46" s="3"/>
      <c r="H46" s="3"/>
      <c r="I46" s="3"/>
      <c r="J46" s="3"/>
      <c r="K46" s="239"/>
      <c r="L46" s="239"/>
      <c r="M46" s="239"/>
      <c r="N46" s="239"/>
      <c r="O46" s="239"/>
      <c r="P46" s="239"/>
      <c r="Q46" s="239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xmlns="http://schemas.openxmlformats.org/spreadsheetml/2006/main" r="A47" s="3" t="str">
        <v>Apoyo por ola: 2 personas en bodega nocturna, 3 en cross-docking y 7 en ruta. Cuatro semanas de estabilización por ola. No es dotación permanente simultánea.</v>
      </c>
      <c r="B47" s="3"/>
      <c r="C47" s="3"/>
      <c r="D47" s="3"/>
      <c r="E47" s="3"/>
      <c r="F47" s="3"/>
      <c r="G47" s="3"/>
      <c r="H47" s="3"/>
      <c r="I47" s="3"/>
      <c r="J47" s="3"/>
      <c r="K47" s="239"/>
      <c r="L47" s="239"/>
      <c r="M47" s="239"/>
      <c r="N47" s="239"/>
      <c r="O47" s="239"/>
      <c r="P47" s="239"/>
      <c r="Q47" s="239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xmlns="http://schemas.openxmlformats.org/spreadsheetml/2006/main" r="A48" s="3" t="str">
        <v>Las demás cantidades y tarifas provienen de la planilla original. El SD3 no las acredita. Programar dedicaciones mensuales según el T-15.</v>
      </c>
      <c r="B48" s="3"/>
      <c r="C48" s="3"/>
      <c r="D48" s="3"/>
      <c r="E48" s="3"/>
      <c r="F48" s="3"/>
      <c r="G48" s="3"/>
      <c r="H48" s="3"/>
      <c r="I48" s="3"/>
      <c r="J48" s="3"/>
      <c r="K48" s="239"/>
      <c r="L48" s="239"/>
      <c r="M48" s="239"/>
      <c r="N48" s="239"/>
      <c r="O48" s="239"/>
      <c r="P48" s="239"/>
      <c r="Q48" s="239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xmlns="http://schemas.openxmlformats.org/spreadsheetml/2006/main" r="A49" s="3" t="str">
        <v>Jefe de TI y gerencias del cliente son contraparte o validadores. Los cargos corporativos reemplazados no forman parte de los roles de ejecución del SD3.</v>
      </c>
      <c r="B49" s="3"/>
      <c r="C49" s="3"/>
      <c r="D49" s="3"/>
      <c r="E49" s="3"/>
      <c r="F49" s="3"/>
      <c r="G49" s="3"/>
      <c r="H49" s="3"/>
      <c r="I49" s="3"/>
      <c r="J49" s="3"/>
      <c r="K49" s="239"/>
      <c r="L49" s="239"/>
      <c r="M49" s="239"/>
      <c r="N49" s="239"/>
      <c r="O49" s="239"/>
      <c r="P49" s="239"/>
      <c r="Q49" s="239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240"/>
      <c r="B50" s="218"/>
      <c r="C50" s="438" t="s">
        <v>247</v>
      </c>
      <c r="D50" s="439"/>
      <c r="E50" s="440" t="s">
        <v>248</v>
      </c>
      <c r="F50" s="439"/>
      <c r="G50" s="239"/>
      <c r="H50" s="3"/>
      <c r="I50" s="3"/>
      <c r="J50" s="3"/>
      <c r="K50" s="239"/>
      <c r="L50" s="239"/>
      <c r="M50" s="239"/>
      <c r="N50" s="239"/>
      <c r="O50" s="239"/>
      <c r="P50" s="239"/>
      <c r="Q50" s="239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241" t="s">
        <v>204</v>
      </c>
      <c r="B51" s="242" t="s">
        <v>249</v>
      </c>
      <c r="C51" s="242" t="s">
        <v>250</v>
      </c>
      <c r="D51" s="242" t="s">
        <v>251</v>
      </c>
      <c r="E51" s="242" t="s">
        <v>252</v>
      </c>
      <c r="F51" s="242" t="s">
        <v>253</v>
      </c>
      <c r="G51" s="239"/>
      <c r="H51" s="3"/>
      <c r="I51" s="3"/>
      <c r="J51" s="3"/>
      <c r="K51" s="239"/>
      <c r="L51" s="239"/>
      <c r="M51" s="239"/>
      <c r="N51" s="239"/>
      <c r="O51" s="239"/>
      <c r="P51" s="239"/>
      <c r="Q51" s="239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xmlns="http://schemas.openxmlformats.org/spreadsheetml/2006/main" r="A52" s="243" t="str">
        <f>'Costos HH - Sueldos'!$A11</f>
        <v>Jefe de Proyecto</v>
      </c>
      <c r="B52" s="244">
        <f t="array" ref="B52:B81">'Costos HH - Sueldos'!$H$11:$H$40</f>
        <v>1</v>
      </c>
      <c r="C52" s="245">
        <f>PARÁMETROS!$B$8*'Costos HH - Sueldos'!$D11</f>
        <v>400</v>
      </c>
      <c r="D52" s="228">
        <f>PARÁMETROS!$B$6*'Costos HH - Sueldos'!$C52</f>
        <v>16000000</v>
      </c>
      <c r="E52" s="246">
        <f>PARÁMETROS!$B$8*'Costos HH - Sueldos'!$E11</f>
        <v>472</v>
      </c>
      <c r="F52" s="228">
        <f>PARÁMETROS!$B$6*'Costos HH - Sueldos'!$E52</f>
        <v>18880000</v>
      </c>
      <c r="G52" s="239"/>
      <c r="H52" s="3"/>
      <c r="I52" s="3"/>
      <c r="J52" s="3"/>
      <c r="K52" s="239"/>
      <c r="L52" s="239"/>
      <c r="M52" s="239"/>
      <c r="N52" s="239"/>
      <c r="O52" s="239"/>
      <c r="P52" s="239"/>
      <c r="Q52" s="239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xmlns="http://schemas.openxmlformats.org/spreadsheetml/2006/main" r="A53" s="243" t="str">
        <f>'Costos HH - Sueldos'!$A12</f>
        <v>LÃ­der de IntegraciÃ³n</v>
      </c>
      <c xmlns="http://schemas.openxmlformats.org/spreadsheetml/2006/main" r="B53" s="244" t="n">
        <f>H12</f>
        <v>0</v>
      </c>
      <c xmlns="http://schemas.openxmlformats.org/spreadsheetml/2006/main" r="C53" s="245" t="n">
        <f>PARÁMETROS!$B$8*'Costos HH - Sueldos'!$D12</f>
        <v>192</v>
      </c>
      <c xmlns="http://schemas.openxmlformats.org/spreadsheetml/2006/main" r="D53" s="228" t="n">
        <f>PARÁMETROS!$B$6*'Costos HH - Sueldos'!$C53</f>
        <v>7680000</v>
      </c>
      <c xmlns="http://schemas.openxmlformats.org/spreadsheetml/2006/main" r="E53" s="246" t="n">
        <f>PARÁMETROS!$B$8*'Costos HH - Sueldos'!$E12</f>
        <v>240</v>
      </c>
      <c xmlns="http://schemas.openxmlformats.org/spreadsheetml/2006/main" r="F53" s="228" t="n">
        <f>PARÁMETROS!$B$6*'Costos HH - Sueldos'!$E53</f>
        <v>9600000</v>
      </c>
      <c r="G53" s="239"/>
      <c r="H53" s="3"/>
      <c r="I53" s="3"/>
      <c r="J53" s="3"/>
      <c r="K53" s="239"/>
      <c r="L53" s="239"/>
      <c r="M53" s="239"/>
      <c r="N53" s="239"/>
      <c r="O53" s="239"/>
      <c r="P53" s="239"/>
      <c r="Q53" s="239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xmlns="http://schemas.openxmlformats.org/spreadsheetml/2006/main" r="A54" s="243" t="str">
        <f>'Costos HH - Sueldos'!$A13</f>
        <v>Arquitecto de SoluciÃ³n</v>
      </c>
      <c r="B54" s="244">
        <v>1</v>
      </c>
      <c r="C54" s="245">
        <f>PARÁMETROS!$B$8*'Costos HH - Sueldos'!$D13</f>
        <v>192</v>
      </c>
      <c r="D54" s="228">
        <f>PARÁMETROS!$B$6*'Costos HH - Sueldos'!$C54</f>
        <v>7680000</v>
      </c>
      <c r="E54" s="246">
        <f>PARÁMETROS!$B$8*'Costos HH - Sueldos'!$E13</f>
        <v>240</v>
      </c>
      <c r="F54" s="228">
        <f>PARÁMETROS!$B$6*'Costos HH - Sueldos'!$E54</f>
        <v>9600000</v>
      </c>
      <c r="G54" s="239"/>
      <c r="H54" s="3"/>
      <c r="I54" s="3"/>
      <c r="J54" s="3"/>
      <c r="K54" s="239"/>
      <c r="L54" s="239"/>
      <c r="M54" s="239"/>
      <c r="N54" s="239"/>
      <c r="O54" s="239"/>
      <c r="P54" s="239"/>
      <c r="Q54" s="239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xmlns="http://schemas.openxmlformats.org/spreadsheetml/2006/main" r="A55" s="243" t="str">
        <f>'Costos HH - Sueldos'!$A14</f>
        <v>LÃ­der de Desarrollo</v>
      </c>
      <c r="B55" s="244">
        <v>1</v>
      </c>
      <c r="C55" s="245">
        <f>PARÁMETROS!$B$8*'Costos HH - Sueldos'!$D14</f>
        <v>144</v>
      </c>
      <c r="D55" s="228">
        <f>PARÁMETROS!$B$6*'Costos HH - Sueldos'!$C55</f>
        <v>5760000</v>
      </c>
      <c r="E55" s="246">
        <f>PARÁMETROS!$B$8*'Costos HH - Sueldos'!$E14</f>
        <v>160</v>
      </c>
      <c r="F55" s="228">
        <f>PARÁMETROS!$B$6*'Costos HH - Sueldos'!$E55</f>
        <v>6400000</v>
      </c>
      <c r="G55" s="239"/>
      <c r="H55" s="3"/>
      <c r="I55" s="3"/>
      <c r="J55" s="3"/>
      <c r="K55" s="239"/>
      <c r="L55" s="239"/>
      <c r="M55" s="239"/>
      <c r="N55" s="239"/>
      <c r="O55" s="239"/>
      <c r="P55" s="239"/>
      <c r="Q55" s="239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xmlns="http://schemas.openxmlformats.org/spreadsheetml/2006/main" r="A56" s="243" t="str">
        <f>'Costos HH - Sueldos'!$A15</f>
        <v>LÃ­der Funcional</v>
      </c>
      <c r="B56" s="244">
        <v>1</v>
      </c>
      <c r="C56" s="245">
        <f>PARÁMETROS!$B$8*'Costos HH - Sueldos'!$D15</f>
        <v>192</v>
      </c>
      <c r="D56" s="228">
        <f>PARÁMETROS!$B$6*'Costos HH - Sueldos'!$C56</f>
        <v>7680000</v>
      </c>
      <c r="E56" s="246">
        <f>PARÁMETROS!$B$8*'Costos HH - Sueldos'!$E15</f>
        <v>208</v>
      </c>
      <c r="F56" s="228">
        <f>PARÁMETROS!$B$6*'Costos HH - Sueldos'!$E56</f>
        <v>8320000</v>
      </c>
      <c r="G56" s="239"/>
      <c r="H56" s="3"/>
      <c r="I56" s="3"/>
      <c r="J56" s="3"/>
      <c r="K56" s="239"/>
      <c r="L56" s="239"/>
      <c r="M56" s="239"/>
      <c r="N56" s="239"/>
      <c r="O56" s="239"/>
      <c r="P56" s="239"/>
      <c r="Q56" s="239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243" t="str">
        <f>'Costos HH - Sueldos'!$A16</f>
        <v>Analista de Requerimientos</v>
      </c>
      <c r="B57" s="244">
        <v>4</v>
      </c>
      <c r="C57" s="245">
        <f>PARÁMETROS!$B$8*'Costos HH - Sueldos'!$D16</f>
        <v>112</v>
      </c>
      <c r="D57" s="228">
        <f>PARÁMETROS!$B$6*'Costos HH - Sueldos'!$C57</f>
        <v>4480000</v>
      </c>
      <c r="E57" s="246">
        <f>PARÁMETROS!$B$8*'Costos HH - Sueldos'!$E16</f>
        <v>128</v>
      </c>
      <c r="F57" s="228">
        <f>PARÁMETROS!$B$6*'Costos HH - Sueldos'!$E57</f>
        <v>5120000</v>
      </c>
      <c r="G57" s="239"/>
      <c r="H57" s="3"/>
      <c r="I57" s="3"/>
      <c r="J57" s="3"/>
      <c r="K57" s="239"/>
      <c r="L57" s="239"/>
      <c r="M57" s="239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243" t="str">
        <f>'Costos HH - Sueldos'!$A17</f>
        <v>Desarrollador Full Stack</v>
      </c>
      <c r="B58" s="244">
        <v>8</v>
      </c>
      <c r="C58" s="245">
        <f>PARÁMETROS!$B$8*'Costos HH - Sueldos'!$D17</f>
        <v>128</v>
      </c>
      <c r="D58" s="228">
        <f>PARÁMETROS!$B$6*'Costos HH - Sueldos'!$C58</f>
        <v>5120000</v>
      </c>
      <c r="E58" s="246">
        <f>PARÁMETROS!$B$8*'Costos HH - Sueldos'!$E17</f>
        <v>144</v>
      </c>
      <c r="F58" s="228">
        <f>PARÁMETROS!$B$6*'Costos HH - Sueldos'!$E58</f>
        <v>5760000</v>
      </c>
      <c r="G58" s="239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243" t="str">
        <f>'Costos HH - Sueldos'!$A18</f>
        <v>Desarrollador Front-end</v>
      </c>
      <c r="B59" s="244">
        <v>1</v>
      </c>
      <c r="C59" s="245">
        <f>PARÁMETROS!$B$8*'Costos HH - Sueldos'!$D18</f>
        <v>96</v>
      </c>
      <c r="D59" s="228">
        <f>PARÁMETROS!$B$6*'Costos HH - Sueldos'!$C59</f>
        <v>3840000</v>
      </c>
      <c r="E59" s="246">
        <f>PARÁMETROS!$B$8*'Costos HH - Sueldos'!$E18</f>
        <v>112</v>
      </c>
      <c r="F59" s="228">
        <f>PARÁMETROS!$B$6*'Costos HH - Sueldos'!$E59</f>
        <v>4480000</v>
      </c>
      <c r="G59" s="239"/>
      <c r="H59" s="239"/>
      <c r="I59" s="239"/>
      <c r="J59" s="239"/>
      <c r="K59" s="239"/>
      <c r="L59" s="239"/>
      <c r="M59" s="239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243" t="str">
        <f>'Costos HH - Sueldos'!$A19</f>
        <v>Desarrollador Back-end</v>
      </c>
      <c r="B60" s="244">
        <v>1</v>
      </c>
      <c r="C60" s="245">
        <f>PARÁMETROS!$B$8*'Costos HH - Sueldos'!$D19</f>
        <v>96</v>
      </c>
      <c r="D60" s="228">
        <f>PARÁMETROS!$B$6*'Costos HH - Sueldos'!$C60</f>
        <v>3840000</v>
      </c>
      <c r="E60" s="246">
        <f>PARÁMETROS!$B$8*'Costos HH - Sueldos'!$E19</f>
        <v>112</v>
      </c>
      <c r="F60" s="228">
        <f>PARÁMETROS!$B$6*'Costos HH - Sueldos'!$E60</f>
        <v>4480000</v>
      </c>
      <c r="G60" s="239"/>
      <c r="H60" s="239"/>
      <c r="I60" s="239"/>
      <c r="J60" s="239"/>
      <c r="K60" s="239"/>
      <c r="L60" s="239"/>
      <c r="M60" s="239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243" t="str">
        <f>'Costos HH - Sueldos'!$A20</f>
        <v>Desarrollador de Base de Datos</v>
      </c>
      <c r="B61" s="244">
        <v>1</v>
      </c>
      <c r="C61" s="245">
        <f>PARÁMETROS!$B$8*'Costos HH - Sueldos'!$D20</f>
        <v>128</v>
      </c>
      <c r="D61" s="228">
        <f>PARÁMETROS!$B$6*'Costos HH - Sueldos'!$C61</f>
        <v>5120000</v>
      </c>
      <c r="E61" s="246">
        <f>PARÁMETROS!$B$8*'Costos HH - Sueldos'!$E20</f>
        <v>144</v>
      </c>
      <c r="F61" s="228">
        <f>PARÁMETROS!$B$6*'Costos HH - Sueldos'!$E61</f>
        <v>5760000</v>
      </c>
      <c r="G61" s="239"/>
      <c r="H61" s="239"/>
      <c r="I61" s="239"/>
      <c r="J61" s="239"/>
      <c r="K61" s="239"/>
      <c r="L61" s="239"/>
      <c r="M61" s="239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243" t="str">
        <f>'Costos HH - Sueldos'!$A21</f>
        <v>Diseñador UX</v>
      </c>
      <c r="B62" s="244">
        <v>1</v>
      </c>
      <c r="C62" s="245">
        <f>PARÁMETROS!$B$8*'Costos HH - Sueldos'!$D21</f>
        <v>96</v>
      </c>
      <c r="D62" s="228">
        <f>PARÁMETROS!$B$6*'Costos HH - Sueldos'!$C62</f>
        <v>3840000</v>
      </c>
      <c r="E62" s="246">
        <f>PARÁMETROS!$B$8*'Costos HH - Sueldos'!$E21</f>
        <v>112</v>
      </c>
      <c r="F62" s="228">
        <f>PARÁMETROS!$B$6*'Costos HH - Sueldos'!$E62</f>
        <v>4480000</v>
      </c>
      <c r="G62" s="239"/>
      <c r="H62" s="239"/>
      <c r="I62" s="239"/>
      <c r="J62" s="239"/>
      <c r="K62" s="239"/>
      <c r="L62" s="239"/>
      <c r="M62" s="239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243" t="str">
        <f>'Costos HH - Sueldos'!$A22</f>
        <v>Especialista en Integración</v>
      </c>
      <c r="B63" s="244">
        <v>3</v>
      </c>
      <c r="C63" s="245">
        <f>PARÁMETROS!$B$8*'Costos HH - Sueldos'!$D22</f>
        <v>160</v>
      </c>
      <c r="D63" s="228">
        <f>PARÁMETROS!$B$6*'Costos HH - Sueldos'!$C63</f>
        <v>6400000</v>
      </c>
      <c r="E63" s="246">
        <f>PARÁMETROS!$B$8*'Costos HH - Sueldos'!$E22</f>
        <v>192</v>
      </c>
      <c r="F63" s="228">
        <f>PARÁMETROS!$B$6*'Costos HH - Sueldos'!$E63</f>
        <v>7680000</v>
      </c>
      <c r="G63" s="239"/>
      <c r="H63" s="239"/>
      <c r="I63" s="239"/>
      <c r="J63" s="239"/>
      <c r="K63" s="239"/>
      <c r="L63" s="239"/>
      <c r="M63" s="239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xmlns="http://schemas.openxmlformats.org/spreadsheetml/2006/main" r="A64" s="243" t="str">
        <f>'Costos HH - Sueldos'!$A23</f>
        <v>Encargado de Seguridad</v>
      </c>
      <c r="B64" s="244">
        <v>1</v>
      </c>
      <c r="C64" s="245">
        <f>PARÁMETROS!$B$8*'Costos HH - Sueldos'!$D23</f>
        <v>192</v>
      </c>
      <c r="D64" s="228">
        <f>PARÁMETROS!$B$6*'Costos HH - Sueldos'!$C64</f>
        <v>7680000</v>
      </c>
      <c r="E64" s="246">
        <f>PARÁMETROS!$B$8*'Costos HH - Sueldos'!$E23</f>
        <v>224</v>
      </c>
      <c r="F64" s="228">
        <f>PARÁMETROS!$B$6*'Costos HH - Sueldos'!$E64</f>
        <v>8960000</v>
      </c>
      <c r="G64" s="239"/>
      <c r="H64" s="239"/>
      <c r="I64" s="239"/>
      <c r="J64" s="239"/>
      <c r="K64" s="239"/>
      <c r="L64" s="239"/>
      <c r="M64" s="239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243" t="str">
        <f>'Costos HH - Sueldos'!$A24</f>
        <v>Ingeniero DevOps</v>
      </c>
      <c r="B65" s="244">
        <v>2</v>
      </c>
      <c r="C65" s="245">
        <f>PARÁMETROS!$B$8*'Costos HH - Sueldos'!$D24</f>
        <v>160</v>
      </c>
      <c r="D65" s="228">
        <f>PARÁMETROS!$B$6*'Costos HH - Sueldos'!$C65</f>
        <v>6400000</v>
      </c>
      <c r="E65" s="246">
        <f>PARÁMETROS!$B$8*'Costos HH - Sueldos'!$E24</f>
        <v>176</v>
      </c>
      <c r="F65" s="228">
        <f>PARÁMETROS!$B$6*'Costos HH - Sueldos'!$E65</f>
        <v>7040000</v>
      </c>
      <c r="G65" s="239"/>
      <c r="H65" s="239"/>
      <c r="I65" s="239"/>
      <c r="J65" s="239"/>
      <c r="K65" s="239"/>
      <c r="L65" s="239"/>
      <c r="M65" s="239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243" t="str">
        <f>'Costos HH - Sueldos'!$A25</f>
        <v>Administrador de Base de Datos</v>
      </c>
      <c r="B66" s="244">
        <v>1</v>
      </c>
      <c r="C66" s="245">
        <f>PARÁMETROS!$B$8*'Costos HH - Sueldos'!$D25</f>
        <v>128</v>
      </c>
      <c r="D66" s="228">
        <f>PARÁMETROS!$B$6*'Costos HH - Sueldos'!$C66</f>
        <v>5120000</v>
      </c>
      <c r="E66" s="246">
        <f>PARÁMETROS!$B$8*'Costos HH - Sueldos'!$E25</f>
        <v>160</v>
      </c>
      <c r="F66" s="228">
        <f>PARÁMETROS!$B$6*'Costos HH - Sueldos'!$E66</f>
        <v>6400000</v>
      </c>
      <c r="G66" s="239"/>
      <c r="H66" s="239"/>
      <c r="I66" s="239"/>
      <c r="J66" s="239"/>
      <c r="K66" s="239"/>
      <c r="L66" s="239"/>
      <c r="M66" s="239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xmlns="http://schemas.openxmlformats.org/spreadsheetml/2006/main" r="A67" s="243" t="str">
        <f>'Costos HH - Sueldos'!$A26</f>
        <v>LÃ­der de Calidad y Pruebas</v>
      </c>
      <c r="B67" s="244">
        <v>1</v>
      </c>
      <c r="C67" s="245">
        <f>PARÁMETROS!$B$8*'Costos HH - Sueldos'!$D26</f>
        <v>96</v>
      </c>
      <c r="D67" s="228">
        <f>PARÁMETROS!$B$6*'Costos HH - Sueldos'!$C67</f>
        <v>3840000</v>
      </c>
      <c r="E67" s="246">
        <f>PARÁMETROS!$B$8*'Costos HH - Sueldos'!$E26</f>
        <v>112</v>
      </c>
      <c r="F67" s="228">
        <f>PARÁMETROS!$B$6*'Costos HH - Sueldos'!$E67</f>
        <v>4480000</v>
      </c>
      <c r="G67" s="239"/>
      <c r="H67" s="239"/>
      <c r="I67" s="239"/>
      <c r="J67" s="239"/>
      <c r="K67" s="239"/>
      <c r="L67" s="239"/>
      <c r="M67" s="239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xmlns="http://schemas.openxmlformats.org/spreadsheetml/2006/main" r="A68" s="243" t="str">
        <f>'Costos HH - Sueldos'!$A27</f>
        <v>Operador de Mesa de Servicio (N1)</v>
      </c>
      <c r="B68" s="244">
        <v>5</v>
      </c>
      <c r="C68" s="245">
        <f>PARÁMETROS!$B$8*'Costos HH - Sueldos'!$D27</f>
        <v>64</v>
      </c>
      <c r="D68" s="228">
        <f>PARÁMETROS!$B$6*'Costos HH - Sueldos'!$C68</f>
        <v>2560000</v>
      </c>
      <c r="E68" s="246">
        <f>PARÁMETROS!$B$8*'Costos HH - Sueldos'!$E27</f>
        <v>96</v>
      </c>
      <c r="F68" s="228">
        <f>PARÁMETROS!$B$6*'Costos HH - Sueldos'!$E68</f>
        <v>3840000</v>
      </c>
      <c r="G68" s="239"/>
      <c r="H68" s="239"/>
      <c r="I68" s="239"/>
      <c r="J68" s="239"/>
      <c r="K68" s="239"/>
      <c r="L68" s="239"/>
      <c r="M68" s="239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243" t="str">
        <f>'Costos HH - Sueldos'!$A28</f>
        <v>Especialista en Soporte Técnico Nivel 2</v>
      </c>
      <c r="B69" s="244">
        <v>1</v>
      </c>
      <c r="C69" s="245">
        <f>PARÁMETROS!$B$8*'Costos HH - Sueldos'!$D28</f>
        <v>96</v>
      </c>
      <c r="D69" s="228">
        <f>PARÁMETROS!$B$6*'Costos HH - Sueldos'!$C69</f>
        <v>3840000</v>
      </c>
      <c r="E69" s="246">
        <f>PARÁMETROS!$B$8*'Costos HH - Sueldos'!$E28</f>
        <v>128</v>
      </c>
      <c r="F69" s="228">
        <f>PARÁMETROS!$B$6*'Costos HH - Sueldos'!$E69</f>
        <v>5120000</v>
      </c>
      <c r="G69" s="239"/>
      <c r="H69" s="239"/>
      <c r="I69" s="239"/>
      <c r="J69" s="239"/>
      <c r="K69" s="239"/>
      <c r="L69" s="239"/>
      <c r="M69" s="239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243" t="str">
        <f>'Costos HH - Sueldos'!$A29</f>
        <v>Tester</v>
      </c>
      <c r="B70" s="244">
        <v>4</v>
      </c>
      <c r="C70" s="245">
        <f>PARÁMETROS!$B$8*'Costos HH - Sueldos'!$D29</f>
        <v>80</v>
      </c>
      <c r="D70" s="228">
        <f>PARÁMETROS!$B$6*'Costos HH - Sueldos'!$C70</f>
        <v>3200000</v>
      </c>
      <c r="E70" s="246">
        <f>PARÁMETROS!$B$8*'Costos HH - Sueldos'!$E29</f>
        <v>96</v>
      </c>
      <c r="F70" s="228">
        <f>PARÁMETROS!$B$6*'Costos HH - Sueldos'!$E70</f>
        <v>3840000</v>
      </c>
      <c r="G70" s="239"/>
      <c r="H70" s="239"/>
      <c r="I70" s="239"/>
      <c r="J70" s="239"/>
      <c r="K70" s="239"/>
      <c r="L70" s="239"/>
      <c r="M70" s="239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243" t="str">
        <f>'Costos HH - Sueldos'!$A30</f>
        <v>Documentador</v>
      </c>
      <c r="B71" s="244">
        <v>2</v>
      </c>
      <c r="C71" s="245">
        <f>PARÁMETROS!$B$8*'Costos HH - Sueldos'!$D30</f>
        <v>64</v>
      </c>
      <c r="D71" s="228">
        <f>PARÁMETROS!$B$6*'Costos HH - Sueldos'!$C71</f>
        <v>2560000</v>
      </c>
      <c r="E71" s="246">
        <f>PARÁMETROS!$B$8*'Costos HH - Sueldos'!$E30</f>
        <v>80</v>
      </c>
      <c r="F71" s="228">
        <f>PARÁMETROS!$B$6*'Costos HH - Sueldos'!$E71</f>
        <v>3200000</v>
      </c>
      <c r="G71" s="239"/>
      <c r="H71" s="239"/>
      <c r="I71" s="239"/>
      <c r="J71" s="239"/>
      <c r="K71" s="239"/>
      <c r="L71" s="239"/>
      <c r="M71" s="239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xmlns="http://schemas.openxmlformats.org/spreadsheetml/2006/main" r="A72" s="243" t="str">
        <f>'Costos HH - Sueldos'!$A31</f>
        <v>LÃ­der de ImplantaciÃ³n / Cambio</v>
      </c>
      <c xmlns="http://schemas.openxmlformats.org/spreadsheetml/2006/main" r="B72" s="244" t="n">
        <v>0</v>
      </c>
      <c xmlns="http://schemas.openxmlformats.org/spreadsheetml/2006/main" r="C72" s="245" t="n">
        <f>PARÁMETROS!$B$8*'Costos HH - Sueldos'!$D31</f>
        <v>192</v>
      </c>
      <c xmlns="http://schemas.openxmlformats.org/spreadsheetml/2006/main" r="D72" s="228" t="n">
        <f>PARÁMETROS!$B$6*'Costos HH - Sueldos'!$C72</f>
        <v>7680000</v>
      </c>
      <c xmlns="http://schemas.openxmlformats.org/spreadsheetml/2006/main" r="E72" s="246" t="n">
        <f>PARÁMETROS!$B$8*'Costos HH - Sueldos'!$E31</f>
        <v>208</v>
      </c>
      <c xmlns="http://schemas.openxmlformats.org/spreadsheetml/2006/main" r="F72" s="228" t="n">
        <f>PARÁMETROS!$B$6*'Costos HH - Sueldos'!$E72</f>
        <v>8320000</v>
      </c>
      <c r="G72" s="239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243" t="str">
        <f>'Costos HH - Sueldos'!$A32</f>
        <v>Instructor de Capacitación</v>
      </c>
      <c r="B73" s="244">
        <v>1</v>
      </c>
      <c r="C73" s="245">
        <f>PARÁMETROS!$B$8*'Costos HH - Sueldos'!$D32</f>
        <v>80</v>
      </c>
      <c r="D73" s="228">
        <f>PARÁMETROS!$B$6*'Costos HH - Sueldos'!$C73</f>
        <v>3200000</v>
      </c>
      <c r="E73" s="246">
        <f>PARÁMETROS!$B$8*'Costos HH - Sueldos'!$E32</f>
        <v>96</v>
      </c>
      <c r="F73" s="228">
        <f>PARÁMETROS!$B$6*'Costos HH - Sueldos'!$E73</f>
        <v>3840000</v>
      </c>
      <c r="G73" s="239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xmlns="http://schemas.openxmlformats.org/spreadsheetml/2006/main" r="A74" s="243" t="str">
        <f>'Costos HH - Sueldos'!$A33</f>
        <v>LÃ­der de Datos</v>
      </c>
      <c xmlns="http://schemas.openxmlformats.org/spreadsheetml/2006/main" r="B74" s="244" t="n">
        <v>1</v>
      </c>
      <c xmlns="http://schemas.openxmlformats.org/spreadsheetml/2006/main" r="C74" s="245" t="str">
        <f>IF(D33="","",D33*$B$7)</f>
      </c>
      <c xmlns="http://schemas.openxmlformats.org/spreadsheetml/2006/main" r="D74" s="228" t="str">
        <f>IF(C74="","",C74*$B$6)</f>
      </c>
      <c xmlns="http://schemas.openxmlformats.org/spreadsheetml/2006/main" r="E74" s="246" t="str">
        <f>IF(E33="","",E33*$B$7)</f>
      </c>
      <c xmlns="http://schemas.openxmlformats.org/spreadsheetml/2006/main" r="F74" s="228" t="str">
        <f>IF(E74="","",E74*$B$6)</f>
      </c>
      <c r="G74" s="239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xmlns="http://schemas.openxmlformats.org/spreadsheetml/2006/main" r="A75" s="243" t="str">
        <f>'Costos HH - Sueldos'!$A34</f>
        <v>LÃ­der de OperaciÃ³n / SRE</v>
      </c>
      <c xmlns="http://schemas.openxmlformats.org/spreadsheetml/2006/main" r="B75" s="244" t="n">
        <v>1</v>
      </c>
      <c xmlns="http://schemas.openxmlformats.org/spreadsheetml/2006/main" r="C75" s="245" t="str">
        <f>IF(D34="","",D34*$B$7)</f>
      </c>
      <c xmlns="http://schemas.openxmlformats.org/spreadsheetml/2006/main" r="D75" s="228" t="str">
        <f>IF(C75="","",C75*$B$6)</f>
      </c>
      <c xmlns="http://schemas.openxmlformats.org/spreadsheetml/2006/main" r="E75" s="246" t="str">
        <f>IF(E34="","",E34*$B$7)</f>
      </c>
      <c xmlns="http://schemas.openxmlformats.org/spreadsheetml/2006/main" r="F75" s="228" t="str">
        <f>IF(E75="","",E75*$B$6)</f>
      </c>
      <c r="G75" s="239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243" t="str">
        <f>'Costos HH - Sueldos'!$A35</f>
        <v>Gestor de Adquisiciones</v>
      </c>
      <c r="B76" s="244">
        <v>1</v>
      </c>
      <c r="C76" s="245">
        <f>PARÁMETROS!$B$8*'Costos HH - Sueldos'!$D35</f>
        <v>160</v>
      </c>
      <c r="D76" s="228">
        <f>PARÁMETROS!$B$6*'Costos HH - Sueldos'!$C76</f>
        <v>6400000</v>
      </c>
      <c r="E76" s="246">
        <f>PARÁMETROS!$B$8*'Costos HH - Sueldos'!$E35</f>
        <v>208</v>
      </c>
      <c r="F76" s="228">
        <f>PARÁMETROS!$B$6*'Costos HH - Sueldos'!$E76</f>
        <v>8320000</v>
      </c>
      <c r="G76" s="239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243" t="str">
        <f>'Costos HH - Sueldos'!$A36</f>
        <v>Asesor Legal</v>
      </c>
      <c r="B77" s="244">
        <v>1</v>
      </c>
      <c r="C77" s="245">
        <f>PARÁMETROS!$B$8*'Costos HH - Sueldos'!$D36</f>
        <v>192</v>
      </c>
      <c r="D77" s="228">
        <f>PARÁMETROS!$B$6*'Costos HH - Sueldos'!$C77</f>
        <v>7680000</v>
      </c>
      <c r="E77" s="246">
        <f>PARÁMETROS!$B$8*'Costos HH - Sueldos'!$E36</f>
        <v>208</v>
      </c>
      <c r="F77" s="228">
        <f>PARÁMETROS!$B$6*'Costos HH - Sueldos'!$E77</f>
        <v>8320000</v>
      </c>
      <c r="G77" s="239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xmlns="http://schemas.openxmlformats.org/spreadsheetml/2006/main" r="A78" s="243" t="str">
        <f>'Costos HH - Sueldos'!$A37</f>
        <v>Apoyo en bodega nocturna</v>
      </c>
      <c xmlns="http://schemas.openxmlformats.org/spreadsheetml/2006/main" r="B78" s="244" t="n">
        <v>2</v>
      </c>
      <c xmlns="http://schemas.openxmlformats.org/spreadsheetml/2006/main" r="C78" s="245" t="str">
        <f>IF(D37="","",D37*$B$7)</f>
      </c>
      <c xmlns="http://schemas.openxmlformats.org/spreadsheetml/2006/main" r="D78" s="228" t="str">
        <f>IF(C78="","",C78*$B$6)</f>
      </c>
      <c xmlns="http://schemas.openxmlformats.org/spreadsheetml/2006/main" r="E78" s="246" t="str">
        <f>IF(E37="","",E37*$B$7)</f>
      </c>
      <c xmlns="http://schemas.openxmlformats.org/spreadsheetml/2006/main" r="F78" s="228" t="str">
        <f>IF(E78="","",E78*$B$6)</f>
      </c>
      <c r="G78" s="239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xmlns="http://schemas.openxmlformats.org/spreadsheetml/2006/main" r="A79" s="243" t="str">
        <f>'Costos HH - Sueldos'!$A38</f>
        <v>Apoyo en cross-docking</v>
      </c>
      <c xmlns="http://schemas.openxmlformats.org/spreadsheetml/2006/main" r="B79" s="244" t="n">
        <v>3</v>
      </c>
      <c xmlns="http://schemas.openxmlformats.org/spreadsheetml/2006/main" r="C79" s="245" t="str">
        <f>IF(D38="","",D38*$B$7)</f>
      </c>
      <c xmlns="http://schemas.openxmlformats.org/spreadsheetml/2006/main" r="D79" s="228" t="str">
        <f>IF(C79="","",C79*$B$6)</f>
      </c>
      <c xmlns="http://schemas.openxmlformats.org/spreadsheetml/2006/main" r="E79" s="246" t="str">
        <f>IF(E38="","",E38*$B$7)</f>
      </c>
      <c xmlns="http://schemas.openxmlformats.org/spreadsheetml/2006/main" r="F79" s="228" t="str">
        <f>IF(E79="","",E79*$B$6)</f>
      </c>
      <c r="G79" s="239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xmlns="http://schemas.openxmlformats.org/spreadsheetml/2006/main" r="A80" s="243" t="str">
        <f>'Costos HH - Sueldos'!$A39</f>
        <v>AcompaÃ±ante en ruta</v>
      </c>
      <c xmlns="http://schemas.openxmlformats.org/spreadsheetml/2006/main" r="B80" s="244" t="n">
        <v>7</v>
      </c>
      <c xmlns="http://schemas.openxmlformats.org/spreadsheetml/2006/main" r="C80" s="245" t="str">
        <f>IF(D39="","",D39*$B$7)</f>
      </c>
      <c xmlns="http://schemas.openxmlformats.org/spreadsheetml/2006/main" r="D80" s="228" t="str">
        <f>IF(C80="","",C80*$B$6)</f>
      </c>
      <c xmlns="http://schemas.openxmlformats.org/spreadsheetml/2006/main" r="E80" s="246" t="str">
        <f>IF(E39="","",E39*$B$7)</f>
      </c>
      <c xmlns="http://schemas.openxmlformats.org/spreadsheetml/2006/main" r="F80" s="228" t="str">
        <f>IF(E80="","",E80*$B$6)</f>
      </c>
      <c r="G80" s="239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243" t="str">
        <f>'Costos HH - Sueldos'!$A40</f>
        <v>Administrador de plataforma</v>
      </c>
      <c r="B81" s="244">
        <v>5</v>
      </c>
      <c r="C81" s="245">
        <f>PARÁMETROS!$B$8*'Costos HH - Sueldos'!$D40</f>
        <v>128</v>
      </c>
      <c r="D81" s="228">
        <f>PARÁMETROS!$B$6*'Costos HH - Sueldos'!$C81</f>
        <v>5120000</v>
      </c>
      <c r="E81" s="246">
        <f>PARÁMETROS!$B$8*'Costos HH - Sueldos'!$E40</f>
        <v>160</v>
      </c>
      <c r="F81" s="228">
        <f>PARÁMETROS!$B$6*'Costos HH - Sueldos'!$E81</f>
        <v>6400000</v>
      </c>
      <c r="G81" s="239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247" t="s">
        <v>254</v>
      </c>
      <c xmlns="http://schemas.openxmlformats.org/spreadsheetml/2006/main" r="B82" s="248">
        <f>SUM(B52:B81)</f>
        <v>62</v>
      </c>
      <c r="C82" s="249">
        <f>SUM('Costos HH - Sueldos'!$C$52:$C$81)</f>
        <v>4288</v>
      </c>
      <c r="D82" s="250">
        <f>SUM('Costos HH - Sueldos'!$D$52:$D$81)</f>
        <v>171520000</v>
      </c>
      <c r="E82" s="249">
        <f>SUM('Costos HH - Sueldos'!$E$52:$E$81)</f>
        <v>5096</v>
      </c>
      <c r="F82" s="250">
        <f>SUM('Costos HH - Sueldos'!$F$52:$F$81)</f>
        <v>203840000</v>
      </c>
      <c r="G82" s="239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239"/>
      <c r="B83" s="239"/>
      <c r="C83" s="239"/>
      <c r="D83" s="239"/>
      <c r="E83" s="239"/>
      <c r="F83" s="239"/>
      <c r="G83" s="239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customHeight="1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customHeight="1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75" customHeight="1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</sheetData>
  <mergeCells count="10">
    <mergeCell ref="A2:B2"/>
    <mergeCell ref="A9:M9"/>
    <mergeCell ref="C50:D50"/>
    <mergeCell ref="E50:F50"/>
    <mergeCell ref="A44:M44"/>
    <mergeCell ref="A45:M45"/>
    <mergeCell ref="A46:M46"/>
    <mergeCell ref="A47:M47"/>
    <mergeCell ref="A48:M48"/>
    <mergeCell ref="A49:M49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7"/>
  <sheetViews>
    <sheetView workbookViewId="0">
      <selection activeCell="F6" sqref="F6"/>
    </sheetView>
  </sheetViews>
  <sheetFormatPr baseColWidth="10" defaultColWidth="12.5703125" defaultRowHeight="15" customHeight="1" x14ac:dyDescent="0.2"/>
  <cols>
    <col min="1" max="1" width="30.85546875" customWidth="1"/>
    <col min="2" max="2" width="13.42578125" customWidth="1"/>
    <col min="3" max="3" width="12.7109375" customWidth="1"/>
    <col min="4" max="4" width="31.42578125" customWidth="1"/>
    <col min="5" max="5" width="12.5703125" customWidth="1"/>
    <col min="6" max="9" width="25.140625" customWidth="1"/>
    <col min="10" max="26" width="12.7109375" customWidth="1"/>
  </cols>
  <sheetData>
    <row r="1" spans="1:26" ht="15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3"/>
      <c r="B3" s="239"/>
      <c r="C3" s="239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5">
      <c r="A4" s="3"/>
      <c r="B4" s="3"/>
      <c r="C4" s="239"/>
      <c r="D4" s="239"/>
      <c r="E4" s="251"/>
      <c r="F4" s="438" t="s">
        <v>247</v>
      </c>
      <c r="G4" s="439"/>
      <c r="H4" s="438" t="s">
        <v>255</v>
      </c>
      <c r="I4" s="43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252" t="s">
        <v>204</v>
      </c>
      <c r="B5" s="253" t="s">
        <v>205</v>
      </c>
      <c r="C5" s="239"/>
      <c r="D5" s="241" t="s">
        <v>204</v>
      </c>
      <c r="E5" s="242" t="s">
        <v>249</v>
      </c>
      <c r="F5" s="242" t="s">
        <v>250</v>
      </c>
      <c r="G5" s="242" t="s">
        <v>251</v>
      </c>
      <c r="H5" s="242" t="s">
        <v>252</v>
      </c>
      <c r="I5" s="242" t="s">
        <v>253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xmlns="http://schemas.openxmlformats.org/spreadsheetml/2006/main" r="A6" s="243" t="str">
        <f>'Costos HH - Sueldos'!$A11</f>
        <v>Jefe de Proyecto</v>
      </c>
      <c r="B6" s="254">
        <f>'Costos HH - Sueldos'!$B11</f>
        <v>0</v>
      </c>
      <c r="C6" s="239"/>
      <c xmlns="http://schemas.openxmlformats.org/spreadsheetml/2006/main" r="D6" s="243" t="str">
        <f>'Costos HH - Sueldos'!$A11</f>
        <v>Jefe de Proyecto</v>
      </c>
      <c r="E6" s="244">
        <f>'Costos HH - Sueldos'!$H11</f>
        <v>1</v>
      </c>
      <c r="F6" s="245">
        <f>PARÁMETROS!$B$8*'Costos HH - Sueldos'!$D11</f>
        <v>400</v>
      </c>
      <c r="G6" s="228">
        <f>PARÁMETROS!$B$6*'Costos HH - Sueldos'!$C52</f>
        <v>16000000</v>
      </c>
      <c r="H6" s="246">
        <f>PARÁMETROS!$B$8*'Costos HH - Sueldos'!$E11</f>
        <v>472</v>
      </c>
      <c r="I6" s="228">
        <f>PARÁMETROS!$B$6*'Costos HH - Sueldos'!$E52</f>
        <v>18880000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xmlns="http://schemas.openxmlformats.org/spreadsheetml/2006/main" r="A7" s="243" t="str">
        <f>'Costos HH - Sueldos'!$A12</f>
        <v>LÃ­der de IntegraciÃ³n</v>
      </c>
      <c xmlns="http://schemas.openxmlformats.org/spreadsheetml/2006/main" r="B7" s="254" t="n">
        <f>'Costos HH - Sueldos'!$B12</f>
        <v>0</v>
      </c>
      <c r="C7" s="239"/>
      <c xmlns="http://schemas.openxmlformats.org/spreadsheetml/2006/main" r="D7" s="243" t="str">
        <f>'Costos HH - Sueldos'!$A12</f>
        <v>LÃ­der de IntegraciÃ³n</v>
      </c>
      <c xmlns="http://schemas.openxmlformats.org/spreadsheetml/2006/main" r="E7" s="244" t="n">
        <f>'Costos HH - Sueldos'!$H12</f>
        <v>0</v>
      </c>
      <c xmlns="http://schemas.openxmlformats.org/spreadsheetml/2006/main" r="F7" s="245" t="n">
        <f>PARÁMETROS!$B$8*'Costos HH - Sueldos'!$D12</f>
        <v>192</v>
      </c>
      <c xmlns="http://schemas.openxmlformats.org/spreadsheetml/2006/main" r="G7" s="228" t="n">
        <f>PARÁMETROS!$B$6*'Costos HH - Sueldos'!$C53</f>
        <v>7680000</v>
      </c>
      <c xmlns="http://schemas.openxmlformats.org/spreadsheetml/2006/main" r="H7" s="246" t="n">
        <f>PARÁMETROS!$B$8*'Costos HH - Sueldos'!$E12</f>
        <v>240</v>
      </c>
      <c xmlns="http://schemas.openxmlformats.org/spreadsheetml/2006/main" r="I7" s="228" t="n">
        <f>PARÁMETROS!$B$6*'Costos HH - Sueldos'!$E53</f>
        <v>9600000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xmlns="http://schemas.openxmlformats.org/spreadsheetml/2006/main" r="A8" s="243" t="str">
        <f>'Costos HH - Sueldos'!$A13</f>
        <v>Arquitecto de SoluciÃ³n</v>
      </c>
      <c r="B8" s="254">
        <f>'Costos HH - Sueldos'!$B13</f>
        <v>0</v>
      </c>
      <c r="C8" s="239"/>
      <c xmlns="http://schemas.openxmlformats.org/spreadsheetml/2006/main" r="D8" s="243" t="str">
        <f>'Costos HH - Sueldos'!$A13</f>
        <v>Arquitecto de SoluciÃ³n</v>
      </c>
      <c r="E8" s="244">
        <f>'Costos HH - Sueldos'!$H13</f>
        <v>1</v>
      </c>
      <c r="F8" s="245">
        <f>PARÁMETROS!$B$8*'Costos HH - Sueldos'!$D13</f>
        <v>192</v>
      </c>
      <c r="G8" s="228">
        <f>PARÁMETROS!$B$6*'Costos HH - Sueldos'!$C54</f>
        <v>7680000</v>
      </c>
      <c r="H8" s="246">
        <f>PARÁMETROS!$B$8*'Costos HH - Sueldos'!$E13</f>
        <v>240</v>
      </c>
      <c r="I8" s="228">
        <f>PARÁMETROS!$B$6*'Costos HH - Sueldos'!$E54</f>
        <v>9600000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xmlns="http://schemas.openxmlformats.org/spreadsheetml/2006/main" r="A9" s="243" t="str">
        <f>'Costos HH - Sueldos'!$A14</f>
        <v>LÃ­der de Desarrollo</v>
      </c>
      <c r="B9" s="254">
        <f>'Costos HH - Sueldos'!$B14</f>
        <v>0</v>
      </c>
      <c r="C9" s="239"/>
      <c xmlns="http://schemas.openxmlformats.org/spreadsheetml/2006/main" r="D9" s="243" t="str">
        <f>'Costos HH - Sueldos'!$A14</f>
        <v>LÃ­der de Desarrollo</v>
      </c>
      <c r="E9" s="244">
        <f>'Costos HH - Sueldos'!$H14</f>
        <v>1</v>
      </c>
      <c r="F9" s="245">
        <f>PARÁMETROS!$B$8*'Costos HH - Sueldos'!$D14</f>
        <v>144</v>
      </c>
      <c r="G9" s="228">
        <f>PARÁMETROS!$B$6*'Costos HH - Sueldos'!$C55</f>
        <v>5760000</v>
      </c>
      <c r="H9" s="246">
        <f>PARÁMETROS!$B$8*'Costos HH - Sueldos'!$E14</f>
        <v>160</v>
      </c>
      <c r="I9" s="228">
        <f>PARÁMETROS!$B$6*'Costos HH - Sueldos'!$E55</f>
        <v>6400000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xmlns="http://schemas.openxmlformats.org/spreadsheetml/2006/main" r="A10" s="243" t="str">
        <f>'Costos HH - Sueldos'!$A15</f>
        <v>LÃ­der Funcional</v>
      </c>
      <c r="B10" s="254">
        <f>'Costos HH - Sueldos'!$B15</f>
        <v>0</v>
      </c>
      <c r="C10" s="239"/>
      <c xmlns="http://schemas.openxmlformats.org/spreadsheetml/2006/main" r="D10" s="243" t="str">
        <f>'Costos HH - Sueldos'!$A15</f>
        <v>LÃ­der Funcional</v>
      </c>
      <c r="E10" s="244">
        <f>'Costos HH - Sueldos'!$H15</f>
        <v>1</v>
      </c>
      <c r="F10" s="245">
        <f>PARÁMETROS!$B$8*'Costos HH - Sueldos'!$D15</f>
        <v>192</v>
      </c>
      <c r="G10" s="228">
        <f>PARÁMETROS!$B$6*'Costos HH - Sueldos'!$C56</f>
        <v>7680000</v>
      </c>
      <c r="H10" s="246">
        <f>PARÁMETROS!$B$8*'Costos HH - Sueldos'!$E15</f>
        <v>208</v>
      </c>
      <c r="I10" s="228">
        <f>PARÁMETROS!$B$6*'Costos HH - Sueldos'!$E56</f>
        <v>8320000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243" t="str">
        <f>'Costos HH - Sueldos'!$A16</f>
        <v>Analista de Requerimientos</v>
      </c>
      <c r="B11" s="254">
        <f>'Costos HH - Sueldos'!$B16</f>
        <v>0</v>
      </c>
      <c r="C11" s="239"/>
      <c r="D11" s="243" t="str">
        <f>'Costos HH - Sueldos'!$A16</f>
        <v>Analista de Requerimientos</v>
      </c>
      <c r="E11" s="244">
        <f>'Costos HH - Sueldos'!$H16</f>
        <v>4</v>
      </c>
      <c r="F11" s="245">
        <f>PARÁMETROS!$B$8*'Costos HH - Sueldos'!$D16</f>
        <v>112</v>
      </c>
      <c r="G11" s="228">
        <f>PARÁMETROS!$B$6*'Costos HH - Sueldos'!$C57</f>
        <v>4480000</v>
      </c>
      <c r="H11" s="246">
        <f>PARÁMETROS!$B$8*'Costos HH - Sueldos'!$E16</f>
        <v>128</v>
      </c>
      <c r="I11" s="228">
        <f>PARÁMETROS!$B$6*'Costos HH - Sueldos'!$E57</f>
        <v>5120000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243" t="str">
        <f>'Costos HH - Sueldos'!$A17</f>
        <v>Desarrollador Full Stack</v>
      </c>
      <c r="B12" s="254">
        <f>'Costos HH - Sueldos'!$B17</f>
        <v>0</v>
      </c>
      <c r="C12" s="239"/>
      <c r="D12" s="243" t="str">
        <f>'Costos HH - Sueldos'!$A17</f>
        <v>Desarrollador Full Stack</v>
      </c>
      <c r="E12" s="244">
        <f>'Costos HH - Sueldos'!$H17</f>
        <v>8</v>
      </c>
      <c r="F12" s="245">
        <f>PARÁMETROS!$B$8*'Costos HH - Sueldos'!$D17</f>
        <v>128</v>
      </c>
      <c r="G12" s="228">
        <f>PARÁMETROS!$B$6*'Costos HH - Sueldos'!$C58</f>
        <v>5120000</v>
      </c>
      <c r="H12" s="246">
        <f>PARÁMETROS!$B$8*'Costos HH - Sueldos'!$E17</f>
        <v>144</v>
      </c>
      <c r="I12" s="228">
        <f>PARÁMETROS!$B$6*'Costos HH - Sueldos'!$E58</f>
        <v>5760000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243" t="str">
        <f>'Costos HH - Sueldos'!$A18</f>
        <v>Desarrollador Front-end</v>
      </c>
      <c r="B13" s="254">
        <f>'Costos HH - Sueldos'!$B18</f>
        <v>0</v>
      </c>
      <c r="C13" s="239"/>
      <c r="D13" s="243" t="str">
        <f>'Costos HH - Sueldos'!$A18</f>
        <v>Desarrollador Front-end</v>
      </c>
      <c r="E13" s="244">
        <f>'Costos HH - Sueldos'!$H18</f>
        <v>1</v>
      </c>
      <c r="F13" s="245">
        <f>PARÁMETROS!$B$8*'Costos HH - Sueldos'!$D18</f>
        <v>96</v>
      </c>
      <c r="G13" s="228">
        <f>PARÁMETROS!$B$6*'Costos HH - Sueldos'!$C59</f>
        <v>3840000</v>
      </c>
      <c r="H13" s="246">
        <f>PARÁMETROS!$B$8*'Costos HH - Sueldos'!$E18</f>
        <v>112</v>
      </c>
      <c r="I13" s="228">
        <f>PARÁMETROS!$B$6*'Costos HH - Sueldos'!$E59</f>
        <v>4480000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243" t="str">
        <f>'Costos HH - Sueldos'!$A19</f>
        <v>Desarrollador Back-end</v>
      </c>
      <c r="B14" s="254">
        <f>'Costos HH - Sueldos'!$B19</f>
        <v>0</v>
      </c>
      <c r="C14" s="239"/>
      <c r="D14" s="243" t="str">
        <f>'Costos HH - Sueldos'!$A19</f>
        <v>Desarrollador Back-end</v>
      </c>
      <c r="E14" s="244">
        <f>'Costos HH - Sueldos'!$H19</f>
        <v>1</v>
      </c>
      <c r="F14" s="245">
        <f>PARÁMETROS!$B$8*'Costos HH - Sueldos'!$D19</f>
        <v>96</v>
      </c>
      <c r="G14" s="228">
        <f>PARÁMETROS!$B$6*'Costos HH - Sueldos'!$C60</f>
        <v>3840000</v>
      </c>
      <c r="H14" s="246">
        <f>PARÁMETROS!$B$8*'Costos HH - Sueldos'!$E19</f>
        <v>112</v>
      </c>
      <c r="I14" s="228">
        <f>PARÁMETROS!$B$6*'Costos HH - Sueldos'!$E60</f>
        <v>4480000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243" t="str">
        <f>'Costos HH - Sueldos'!$A20</f>
        <v>Desarrollador de Base de Datos</v>
      </c>
      <c r="B15" s="254">
        <f>'Costos HH - Sueldos'!$B20</f>
        <v>0</v>
      </c>
      <c r="C15" s="239"/>
      <c r="D15" s="243" t="str">
        <f>'Costos HH - Sueldos'!$A20</f>
        <v>Desarrollador de Base de Datos</v>
      </c>
      <c r="E15" s="244">
        <f>'Costos HH - Sueldos'!$H20</f>
        <v>1</v>
      </c>
      <c r="F15" s="245">
        <f>PARÁMETROS!$B$8*'Costos HH - Sueldos'!$D20</f>
        <v>128</v>
      </c>
      <c r="G15" s="228">
        <f>PARÁMETROS!$B$6*'Costos HH - Sueldos'!$C61</f>
        <v>5120000</v>
      </c>
      <c r="H15" s="246">
        <f>PARÁMETROS!$B$8*'Costos HH - Sueldos'!$E20</f>
        <v>144</v>
      </c>
      <c r="I15" s="228">
        <f>PARÁMETROS!$B$6*'Costos HH - Sueldos'!$E61</f>
        <v>5760000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243" t="str">
        <f>'Costos HH - Sueldos'!$A21</f>
        <v>Diseñador UX</v>
      </c>
      <c r="B16" s="254">
        <f>'Costos HH - Sueldos'!$B21</f>
        <v>0</v>
      </c>
      <c r="C16" s="239"/>
      <c r="D16" s="243" t="str">
        <f>'Costos HH - Sueldos'!$A21</f>
        <v>Diseñador UX</v>
      </c>
      <c r="E16" s="244">
        <f>'Costos HH - Sueldos'!$H21</f>
        <v>1</v>
      </c>
      <c r="F16" s="245">
        <f>PARÁMETROS!$B$8*'Costos HH - Sueldos'!$D21</f>
        <v>96</v>
      </c>
      <c r="G16" s="228">
        <f>PARÁMETROS!$B$6*'Costos HH - Sueldos'!$C62</f>
        <v>3840000</v>
      </c>
      <c r="H16" s="246">
        <f>PARÁMETROS!$B$8*'Costos HH - Sueldos'!$E21</f>
        <v>112</v>
      </c>
      <c r="I16" s="228">
        <f>PARÁMETROS!$B$6*'Costos HH - Sueldos'!$E62</f>
        <v>4480000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243" t="str">
        <f>'Costos HH - Sueldos'!$A22</f>
        <v>Especialista en Integración</v>
      </c>
      <c r="B17" s="254">
        <f>'Costos HH - Sueldos'!$B22</f>
        <v>0</v>
      </c>
      <c r="C17" s="239"/>
      <c r="D17" s="243" t="str">
        <f>'Costos HH - Sueldos'!$A22</f>
        <v>Especialista en Integración</v>
      </c>
      <c r="E17" s="244">
        <f>'Costos HH - Sueldos'!$H22</f>
        <v>3</v>
      </c>
      <c r="F17" s="245">
        <f>PARÁMETROS!$B$8*'Costos HH - Sueldos'!$D22</f>
        <v>160</v>
      </c>
      <c r="G17" s="228">
        <f>PARÁMETROS!$B$6*'Costos HH - Sueldos'!$C63</f>
        <v>6400000</v>
      </c>
      <c r="H17" s="246">
        <f>PARÁMETROS!$B$8*'Costos HH - Sueldos'!$E22</f>
        <v>192</v>
      </c>
      <c r="I17" s="228">
        <f>PARÁMETROS!$B$6*'Costos HH - Sueldos'!$E63</f>
        <v>7680000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xmlns="http://schemas.openxmlformats.org/spreadsheetml/2006/main" r="A18" s="243" t="str">
        <f>'Costos HH - Sueldos'!$A23</f>
        <v>Encargado de Seguridad</v>
      </c>
      <c r="B18" s="254">
        <f>'Costos HH - Sueldos'!$B23</f>
        <v>0</v>
      </c>
      <c r="C18" s="239"/>
      <c xmlns="http://schemas.openxmlformats.org/spreadsheetml/2006/main" r="D18" s="243" t="str">
        <f>'Costos HH - Sueldos'!$A23</f>
        <v>Encargado de Seguridad</v>
      </c>
      <c r="E18" s="244">
        <f>'Costos HH - Sueldos'!$H23</f>
        <v>1</v>
      </c>
      <c r="F18" s="245">
        <f>PARÁMETROS!$B$8*'Costos HH - Sueldos'!$D23</f>
        <v>192</v>
      </c>
      <c r="G18" s="228">
        <f>PARÁMETROS!$B$6*'Costos HH - Sueldos'!$C64</f>
        <v>7680000</v>
      </c>
      <c r="H18" s="246">
        <f>PARÁMETROS!$B$8*'Costos HH - Sueldos'!$E23</f>
        <v>224</v>
      </c>
      <c r="I18" s="228">
        <f>PARÁMETROS!$B$6*'Costos HH - Sueldos'!$E64</f>
        <v>8960000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243" t="str">
        <f>'Costos HH - Sueldos'!$A24</f>
        <v>Ingeniero DevOps</v>
      </c>
      <c r="B19" s="254">
        <f>'Costos HH - Sueldos'!$B24</f>
        <v>0</v>
      </c>
      <c r="C19" s="239"/>
      <c r="D19" s="243" t="str">
        <f>'Costos HH - Sueldos'!$A24</f>
        <v>Ingeniero DevOps</v>
      </c>
      <c r="E19" s="244">
        <f>'Costos HH - Sueldos'!$H24</f>
        <v>2</v>
      </c>
      <c r="F19" s="245">
        <f>PARÁMETROS!$B$8*'Costos HH - Sueldos'!$D24</f>
        <v>160</v>
      </c>
      <c r="G19" s="228">
        <f>PARÁMETROS!$B$6*'Costos HH - Sueldos'!$C65</f>
        <v>6400000</v>
      </c>
      <c r="H19" s="246">
        <f>PARÁMETROS!$B$8*'Costos HH - Sueldos'!$E24</f>
        <v>176</v>
      </c>
      <c r="I19" s="228">
        <f>PARÁMETROS!$B$6*'Costos HH - Sueldos'!$E65</f>
        <v>7040000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243" t="str">
        <f>'Costos HH - Sueldos'!$A25</f>
        <v>Administrador de Base de Datos</v>
      </c>
      <c r="B20" s="254">
        <f>'Costos HH - Sueldos'!$B25</f>
        <v>0</v>
      </c>
      <c r="C20" s="239"/>
      <c r="D20" s="243" t="str">
        <f>'Costos HH - Sueldos'!$A25</f>
        <v>Administrador de Base de Datos</v>
      </c>
      <c r="E20" s="244">
        <f>'Costos HH - Sueldos'!$H25</f>
        <v>1</v>
      </c>
      <c r="F20" s="245">
        <f>PARÁMETROS!$B$8*'Costos HH - Sueldos'!$D25</f>
        <v>128</v>
      </c>
      <c r="G20" s="228">
        <f>PARÁMETROS!$B$6*'Costos HH - Sueldos'!$C66</f>
        <v>5120000</v>
      </c>
      <c r="H20" s="246">
        <f>PARÁMETROS!$B$8*'Costos HH - Sueldos'!$E25</f>
        <v>160</v>
      </c>
      <c r="I20" s="228">
        <f>PARÁMETROS!$B$6*'Costos HH - Sueldos'!$E66</f>
        <v>6400000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xmlns="http://schemas.openxmlformats.org/spreadsheetml/2006/main" r="A21" s="243" t="str">
        <f>'Costos HH - Sueldos'!$A26</f>
        <v>LÃ­der de Calidad y Pruebas</v>
      </c>
      <c r="B21" s="254">
        <f>'Costos HH - Sueldos'!$B26</f>
        <v>0</v>
      </c>
      <c r="C21" s="239"/>
      <c xmlns="http://schemas.openxmlformats.org/spreadsheetml/2006/main" r="D21" s="243" t="str">
        <f>'Costos HH - Sueldos'!$A26</f>
        <v>LÃ­der de Calidad y Pruebas</v>
      </c>
      <c r="E21" s="244">
        <f>'Costos HH - Sueldos'!$H26</f>
        <v>1</v>
      </c>
      <c r="F21" s="245">
        <f>PARÁMETROS!$B$8*'Costos HH - Sueldos'!$D26</f>
        <v>96</v>
      </c>
      <c r="G21" s="228">
        <f>PARÁMETROS!$B$6*'Costos HH - Sueldos'!$C67</f>
        <v>3840000</v>
      </c>
      <c r="H21" s="246">
        <f>PARÁMETROS!$B$8*'Costos HH - Sueldos'!$E26</f>
        <v>112</v>
      </c>
      <c r="I21" s="228">
        <f>PARÁMETROS!$B$6*'Costos HH - Sueldos'!$E67</f>
        <v>4480000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xmlns="http://schemas.openxmlformats.org/spreadsheetml/2006/main" r="A22" s="243" t="str">
        <f>'Costos HH - Sueldos'!$A27</f>
        <v>Operador de Mesa de Servicio (N1)</v>
      </c>
      <c r="B22" s="254">
        <f>'Costos HH - Sueldos'!$B27</f>
        <v>0</v>
      </c>
      <c r="C22" s="239"/>
      <c xmlns="http://schemas.openxmlformats.org/spreadsheetml/2006/main" r="D22" s="243" t="str">
        <f>'Costos HH - Sueldos'!$A27</f>
        <v>Operador de Mesa de Servicio (N1)</v>
      </c>
      <c r="E22" s="244">
        <f>'Costos HH - Sueldos'!$H27</f>
        <v>5</v>
      </c>
      <c r="F22" s="245">
        <f>PARÁMETROS!$B$8*'Costos HH - Sueldos'!$D27</f>
        <v>64</v>
      </c>
      <c r="G22" s="228">
        <f>PARÁMETROS!$B$6*'Costos HH - Sueldos'!$C68</f>
        <v>2560000</v>
      </c>
      <c r="H22" s="246">
        <f>PARÁMETROS!$B$8*'Costos HH - Sueldos'!$E27</f>
        <v>96</v>
      </c>
      <c r="I22" s="228">
        <f>PARÁMETROS!$B$6*'Costos HH - Sueldos'!$E68</f>
        <v>3840000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243" t="str">
        <f>'Costos HH - Sueldos'!$A28</f>
        <v>Especialista en Soporte Técnico Nivel 2</v>
      </c>
      <c r="B23" s="254">
        <f>'Costos HH - Sueldos'!$B28</f>
        <v>0</v>
      </c>
      <c r="C23" s="239"/>
      <c r="D23" s="243" t="str">
        <f>'Costos HH - Sueldos'!$A28</f>
        <v>Especialista en Soporte Técnico Nivel 2</v>
      </c>
      <c r="E23" s="244">
        <f>'Costos HH - Sueldos'!$H28</f>
        <v>1</v>
      </c>
      <c r="F23" s="245">
        <f>PARÁMETROS!$B$8*'Costos HH - Sueldos'!$D28</f>
        <v>96</v>
      </c>
      <c r="G23" s="228">
        <f>PARÁMETROS!$B$6*'Costos HH - Sueldos'!$C69</f>
        <v>3840000</v>
      </c>
      <c r="H23" s="246">
        <f>PARÁMETROS!$B$8*'Costos HH - Sueldos'!$E28</f>
        <v>128</v>
      </c>
      <c r="I23" s="228">
        <f>PARÁMETROS!$B$6*'Costos HH - Sueldos'!$E69</f>
        <v>5120000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243" t="str">
        <f>'Costos HH - Sueldos'!$A29</f>
        <v>Tester</v>
      </c>
      <c r="B24" s="254">
        <f>'Costos HH - Sueldos'!$B29</f>
        <v>0</v>
      </c>
      <c r="C24" s="239"/>
      <c r="D24" s="243" t="str">
        <f>'Costos HH - Sueldos'!$A29</f>
        <v>Tester</v>
      </c>
      <c r="E24" s="244">
        <f>'Costos HH - Sueldos'!$H29</f>
        <v>4</v>
      </c>
      <c r="F24" s="245">
        <f>PARÁMETROS!$B$8*'Costos HH - Sueldos'!$D29</f>
        <v>80</v>
      </c>
      <c r="G24" s="228">
        <f>PARÁMETROS!$B$6*'Costos HH - Sueldos'!$C70</f>
        <v>3200000</v>
      </c>
      <c r="H24" s="246">
        <f>PARÁMETROS!$B$8*'Costos HH - Sueldos'!$E29</f>
        <v>96</v>
      </c>
      <c r="I24" s="228">
        <f>PARÁMETROS!$B$6*'Costos HH - Sueldos'!$E70</f>
        <v>3840000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243" t="str">
        <f>'Costos HH - Sueldos'!$A30</f>
        <v>Documentador</v>
      </c>
      <c r="B25" s="254">
        <f>'Costos HH - Sueldos'!$B30</f>
        <v>0</v>
      </c>
      <c r="C25" s="239"/>
      <c r="D25" s="243" t="str">
        <f>'Costos HH - Sueldos'!$A30</f>
        <v>Documentador</v>
      </c>
      <c r="E25" s="244">
        <f>'Costos HH - Sueldos'!$H30</f>
        <v>2</v>
      </c>
      <c r="F25" s="245">
        <f>PARÁMETROS!$B$8*'Costos HH - Sueldos'!$D30</f>
        <v>64</v>
      </c>
      <c r="G25" s="228">
        <f>PARÁMETROS!$B$6*'Costos HH - Sueldos'!$C71</f>
        <v>2560000</v>
      </c>
      <c r="H25" s="246">
        <f>PARÁMETROS!$B$8*'Costos HH - Sueldos'!$E30</f>
        <v>80</v>
      </c>
      <c r="I25" s="228">
        <f>PARÁMETROS!$B$6*'Costos HH - Sueldos'!$E71</f>
        <v>3200000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xmlns="http://schemas.openxmlformats.org/spreadsheetml/2006/main" r="A26" s="243" t="str">
        <f>'Costos HH - Sueldos'!$A31</f>
        <v>LÃ­der de ImplantaciÃ³n / Cambio</v>
      </c>
      <c xmlns="http://schemas.openxmlformats.org/spreadsheetml/2006/main" r="B26" s="254" t="n">
        <f>'Costos HH - Sueldos'!$B31</f>
        <v>0</v>
      </c>
      <c r="C26" s="239"/>
      <c xmlns="http://schemas.openxmlformats.org/spreadsheetml/2006/main" r="D26" s="243" t="str">
        <f>'Costos HH - Sueldos'!$A31</f>
        <v>LÃ­der de ImplantaciÃ³n / Cambio</v>
      </c>
      <c xmlns="http://schemas.openxmlformats.org/spreadsheetml/2006/main" r="E26" s="244" t="n">
        <f>'Costos HH - Sueldos'!$H31</f>
        <v>0</v>
      </c>
      <c xmlns="http://schemas.openxmlformats.org/spreadsheetml/2006/main" r="F26" s="245" t="n">
        <f>PARÁMETROS!$B$8*'Costos HH - Sueldos'!$D31</f>
        <v>192</v>
      </c>
      <c xmlns="http://schemas.openxmlformats.org/spreadsheetml/2006/main" r="G26" s="228" t="n">
        <f>PARÁMETROS!$B$6*'Costos HH - Sueldos'!$C72</f>
        <v>7680000</v>
      </c>
      <c xmlns="http://schemas.openxmlformats.org/spreadsheetml/2006/main" r="H26" s="246" t="n">
        <f>PARÁMETROS!$B$8*'Costos HH - Sueldos'!$E31</f>
        <v>208</v>
      </c>
      <c xmlns="http://schemas.openxmlformats.org/spreadsheetml/2006/main" r="I26" s="228" t="n">
        <f>PARÁMETROS!$B$6*'Costos HH - Sueldos'!$E72</f>
        <v>8320000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243" t="str">
        <f>'Costos HH - Sueldos'!$A32</f>
        <v>Instructor de Capacitación</v>
      </c>
      <c r="B27" s="254">
        <f>'Costos HH - Sueldos'!$B32</f>
        <v>0</v>
      </c>
      <c r="C27" s="239"/>
      <c r="D27" s="243" t="str">
        <f>'Costos HH - Sueldos'!$A32</f>
        <v>Instructor de Capacitación</v>
      </c>
      <c r="E27" s="244">
        <f>'Costos HH - Sueldos'!$H32</f>
        <v>1</v>
      </c>
      <c r="F27" s="245">
        <f>PARÁMETROS!$B$8*'Costos HH - Sueldos'!$D32</f>
        <v>80</v>
      </c>
      <c r="G27" s="228">
        <f>PARÁMETROS!$B$6*'Costos HH - Sueldos'!$C73</f>
        <v>3200000</v>
      </c>
      <c r="H27" s="246">
        <f>PARÁMETROS!$B$8*'Costos HH - Sueldos'!$E32</f>
        <v>96</v>
      </c>
      <c r="I27" s="228">
        <f>PARÁMETROS!$B$6*'Costos HH - Sueldos'!$E73</f>
        <v>3840000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xmlns="http://schemas.openxmlformats.org/spreadsheetml/2006/main" r="A28" s="243" t="str">
        <f>'Costos HH - Sueldos'!$A33</f>
        <v>LÃ­der de Datos</v>
      </c>
      <c xmlns="http://schemas.openxmlformats.org/spreadsheetml/2006/main" r="B28" s="254" t="str">
        <f>'Costos HH - Sueldos'!$B33</f>
      </c>
      <c r="C28" s="3"/>
      <c xmlns="http://schemas.openxmlformats.org/spreadsheetml/2006/main" r="D28" s="243" t="str">
        <f>'Costos HH - Sueldos'!$A33</f>
        <v>LÃ­der de Datos</v>
      </c>
      <c xmlns="http://schemas.openxmlformats.org/spreadsheetml/2006/main" r="E28" s="244" t="n">
        <f>'Costos HH - Sueldos'!$H33</f>
        <v>1</v>
      </c>
      <c xmlns="http://schemas.openxmlformats.org/spreadsheetml/2006/main" r="F28" s="245" t="str">
        <f>IF('Costos HH - Sueldos'!C74="","",'Costos HH - Sueldos'!C74)</f>
      </c>
      <c xmlns="http://schemas.openxmlformats.org/spreadsheetml/2006/main" r="G28" s="228" t="str">
        <f>IF('Costos HH - Sueldos'!D74="","",'Costos HH - Sueldos'!D74)</f>
      </c>
      <c xmlns="http://schemas.openxmlformats.org/spreadsheetml/2006/main" r="H28" s="246" t="str">
        <f>IF('Costos HH - Sueldos'!E74="","",'Costos HH - Sueldos'!E74)</f>
      </c>
      <c xmlns="http://schemas.openxmlformats.org/spreadsheetml/2006/main" r="I28" s="228" t="str">
        <f>IF('Costos HH - Sueldos'!F74="","",'Costos HH - Sueldos'!F74)</f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xmlns="http://schemas.openxmlformats.org/spreadsheetml/2006/main" r="A29" s="243" t="str">
        <f>'Costos HH - Sueldos'!$A34</f>
        <v>LÃ­der de OperaciÃ³n / SRE</v>
      </c>
      <c xmlns="http://schemas.openxmlformats.org/spreadsheetml/2006/main" r="B29" s="254" t="str">
        <f>'Costos HH - Sueldos'!$B34</f>
      </c>
      <c r="C29" s="3"/>
      <c xmlns="http://schemas.openxmlformats.org/spreadsheetml/2006/main" r="D29" s="243" t="str">
        <f>'Costos HH - Sueldos'!$A34</f>
        <v>LÃ­der de OperaciÃ³n / SRE</v>
      </c>
      <c xmlns="http://schemas.openxmlformats.org/spreadsheetml/2006/main" r="E29" s="244" t="n">
        <f>'Costos HH - Sueldos'!$H34</f>
        <v>1</v>
      </c>
      <c xmlns="http://schemas.openxmlformats.org/spreadsheetml/2006/main" r="F29" s="245" t="str">
        <f>IF('Costos HH - Sueldos'!C75="","",'Costos HH - Sueldos'!C75)</f>
      </c>
      <c xmlns="http://schemas.openxmlformats.org/spreadsheetml/2006/main" r="G29" s="228" t="str">
        <f>IF('Costos HH - Sueldos'!D75="","",'Costos HH - Sueldos'!D75)</f>
      </c>
      <c xmlns="http://schemas.openxmlformats.org/spreadsheetml/2006/main" r="H29" s="246" t="str">
        <f>IF('Costos HH - Sueldos'!E75="","",'Costos HH - Sueldos'!E75)</f>
      </c>
      <c xmlns="http://schemas.openxmlformats.org/spreadsheetml/2006/main" r="I29" s="228" t="str">
        <f>IF('Costos HH - Sueldos'!F75="","",'Costos HH - Sueldos'!F75)</f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243" t="str">
        <f>'Costos HH - Sueldos'!$A35</f>
        <v>Gestor de Adquisiciones</v>
      </c>
      <c r="B30" s="254">
        <f>'Costos HH - Sueldos'!$B35</f>
        <v>0</v>
      </c>
      <c r="C30" s="3"/>
      <c r="D30" s="243" t="str">
        <f>'Costos HH - Sueldos'!$A35</f>
        <v>Gestor de Adquisiciones</v>
      </c>
      <c r="E30" s="244">
        <f>'Costos HH - Sueldos'!$H35</f>
        <v>1</v>
      </c>
      <c r="F30" s="245">
        <f>PARÁMETROS!$B$8*'Costos HH - Sueldos'!$D35</f>
        <v>160</v>
      </c>
      <c r="G30" s="228">
        <f>PARÁMETROS!$B$6*'Costos HH - Sueldos'!$C76</f>
        <v>6400000</v>
      </c>
      <c r="H30" s="246">
        <f>PARÁMETROS!$B$8*'Costos HH - Sueldos'!$E35</f>
        <v>208</v>
      </c>
      <c r="I30" s="228">
        <f>PARÁMETROS!$B$6*'Costos HH - Sueldos'!$E76</f>
        <v>8320000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243" t="str">
        <f>'Costos HH - Sueldos'!$A36</f>
        <v>Asesor Legal</v>
      </c>
      <c r="B31" s="254">
        <f>'Costos HH - Sueldos'!$B36</f>
        <v>0</v>
      </c>
      <c r="C31" s="3"/>
      <c r="D31" s="243" t="str">
        <f>'Costos HH - Sueldos'!$A36</f>
        <v>Asesor Legal</v>
      </c>
      <c r="E31" s="244">
        <f>'Costos HH - Sueldos'!$H36</f>
        <v>1</v>
      </c>
      <c r="F31" s="245">
        <f>PARÁMETROS!$B$8*'Costos HH - Sueldos'!$D36</f>
        <v>192</v>
      </c>
      <c r="G31" s="228">
        <f>PARÁMETROS!$B$6*'Costos HH - Sueldos'!$C77</f>
        <v>7680000</v>
      </c>
      <c r="H31" s="246">
        <f>PARÁMETROS!$B$8*'Costos HH - Sueldos'!$E36</f>
        <v>208</v>
      </c>
      <c r="I31" s="228">
        <f>PARÁMETROS!$B$6*'Costos HH - Sueldos'!$E77</f>
        <v>8320000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xmlns="http://schemas.openxmlformats.org/spreadsheetml/2006/main" r="A32" s="243" t="str">
        <f>'Costos HH - Sueldos'!$A37</f>
        <v>Apoyo en bodega nocturna</v>
      </c>
      <c xmlns="http://schemas.openxmlformats.org/spreadsheetml/2006/main" r="B32" s="254" t="str">
        <f>'Costos HH - Sueldos'!$B37</f>
      </c>
      <c r="C32" s="3"/>
      <c xmlns="http://schemas.openxmlformats.org/spreadsheetml/2006/main" r="D32" s="243" t="str">
        <f>'Costos HH - Sueldos'!$A37</f>
        <v>Apoyo en bodega nocturna</v>
      </c>
      <c xmlns="http://schemas.openxmlformats.org/spreadsheetml/2006/main" r="E32" s="244" t="n">
        <f>'Costos HH - Sueldos'!$H37</f>
        <v>2</v>
      </c>
      <c xmlns="http://schemas.openxmlformats.org/spreadsheetml/2006/main" r="F32" s="245" t="str">
        <f>IF('Costos HH - Sueldos'!C78="","",'Costos HH - Sueldos'!C78)</f>
      </c>
      <c xmlns="http://schemas.openxmlformats.org/spreadsheetml/2006/main" r="G32" s="228" t="str">
        <f>IF('Costos HH - Sueldos'!D78="","",'Costos HH - Sueldos'!D78)</f>
      </c>
      <c xmlns="http://schemas.openxmlformats.org/spreadsheetml/2006/main" r="H32" s="246" t="str">
        <f>IF('Costos HH - Sueldos'!E78="","",'Costos HH - Sueldos'!E78)</f>
      </c>
      <c xmlns="http://schemas.openxmlformats.org/spreadsheetml/2006/main" r="I32" s="228" t="str">
        <f>IF('Costos HH - Sueldos'!F78="","",'Costos HH - Sueldos'!F78)</f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xmlns="http://schemas.openxmlformats.org/spreadsheetml/2006/main" r="A33" s="243" t="str">
        <f>'Costos HH - Sueldos'!$A38</f>
        <v>Apoyo en cross-docking</v>
      </c>
      <c xmlns="http://schemas.openxmlformats.org/spreadsheetml/2006/main" r="B33" s="254" t="str">
        <f>'Costos HH - Sueldos'!$B38</f>
      </c>
      <c r="C33" s="3"/>
      <c xmlns="http://schemas.openxmlformats.org/spreadsheetml/2006/main" r="D33" s="243" t="str">
        <f>'Costos HH - Sueldos'!$A38</f>
        <v>Apoyo en cross-docking</v>
      </c>
      <c xmlns="http://schemas.openxmlformats.org/spreadsheetml/2006/main" r="E33" s="244" t="n">
        <f>'Costos HH - Sueldos'!$H38</f>
        <v>3</v>
      </c>
      <c xmlns="http://schemas.openxmlformats.org/spreadsheetml/2006/main" r="F33" s="245" t="str">
        <f>IF('Costos HH - Sueldos'!C79="","",'Costos HH - Sueldos'!C79)</f>
      </c>
      <c xmlns="http://schemas.openxmlformats.org/spreadsheetml/2006/main" r="G33" s="228" t="str">
        <f>IF('Costos HH - Sueldos'!D79="","",'Costos HH - Sueldos'!D79)</f>
      </c>
      <c xmlns="http://schemas.openxmlformats.org/spreadsheetml/2006/main" r="H33" s="246" t="str">
        <f>IF('Costos HH - Sueldos'!E79="","",'Costos HH - Sueldos'!E79)</f>
      </c>
      <c xmlns="http://schemas.openxmlformats.org/spreadsheetml/2006/main" r="I33" s="228" t="str">
        <f>IF('Costos HH - Sueldos'!F79="","",'Costos HH - Sueldos'!F79)</f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xmlns="http://schemas.openxmlformats.org/spreadsheetml/2006/main" r="A34" s="243" t="str">
        <f>'Costos HH - Sueldos'!$A39</f>
        <v>AcompaÃ±ante en ruta</v>
      </c>
      <c xmlns="http://schemas.openxmlformats.org/spreadsheetml/2006/main" r="B34" s="254" t="str">
        <f>'Costos HH - Sueldos'!$B39</f>
      </c>
      <c r="C34" s="3"/>
      <c xmlns="http://schemas.openxmlformats.org/spreadsheetml/2006/main" r="D34" s="243" t="str">
        <f>'Costos HH - Sueldos'!$A39</f>
        <v>AcompaÃ±ante en ruta</v>
      </c>
      <c xmlns="http://schemas.openxmlformats.org/spreadsheetml/2006/main" r="E34" s="244" t="n">
        <f>'Costos HH - Sueldos'!$H39</f>
        <v>7</v>
      </c>
      <c xmlns="http://schemas.openxmlformats.org/spreadsheetml/2006/main" r="F34" s="245" t="str">
        <f>IF('Costos HH - Sueldos'!C80="","",'Costos HH - Sueldos'!C80)</f>
      </c>
      <c xmlns="http://schemas.openxmlformats.org/spreadsheetml/2006/main" r="G34" s="228" t="str">
        <f>IF('Costos HH - Sueldos'!D80="","",'Costos HH - Sueldos'!D80)</f>
      </c>
      <c xmlns="http://schemas.openxmlformats.org/spreadsheetml/2006/main" r="H34" s="246" t="str">
        <f>IF('Costos HH - Sueldos'!E80="","",'Costos HH - Sueldos'!E80)</f>
      </c>
      <c xmlns="http://schemas.openxmlformats.org/spreadsheetml/2006/main" r="I34" s="228" t="str">
        <f>IF('Costos HH - Sueldos'!F80="","",'Costos HH - Sueldos'!F80)</f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243" t="str">
        <f>'Costos HH - Sueldos'!$A40</f>
        <v>Administrador de plataforma</v>
      </c>
      <c r="B35" s="254">
        <f>'Costos HH - Sueldos'!$B40</f>
        <v>0</v>
      </c>
      <c r="C35" s="3"/>
      <c r="D35" s="243" t="str">
        <f>'Costos HH - Sueldos'!$A40</f>
        <v>Administrador de plataforma</v>
      </c>
      <c r="E35" s="244">
        <f>'Costos HH - Sueldos'!$H40</f>
        <v>5</v>
      </c>
      <c r="F35" s="245">
        <f>PARÁMETROS!$B$8*'Costos HH - Sueldos'!$D40</f>
        <v>128</v>
      </c>
      <c r="G35" s="228">
        <f>PARÁMETROS!$B$6*'Costos HH - Sueldos'!$C81</f>
        <v>5120000</v>
      </c>
      <c r="H35" s="246">
        <f>PARÁMETROS!$B$8*'Costos HH - Sueldos'!$E40</f>
        <v>160</v>
      </c>
      <c r="I35" s="228">
        <f>PARÁMETROS!$B$6*'Costos HH - Sueldos'!$E81</f>
        <v>6400000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255" t="str">
        <f>+'Costos HH - Sueldos'!A41</f>
        <v>Total</v>
      </c>
      <c r="B36" s="256">
        <f>+'Costos HH - Sueldos'!B41</f>
        <v>0</v>
      </c>
      <c r="C36" s="3"/>
      <c r="D36" s="241" t="s">
        <v>254</v>
      </c>
      <c xmlns="http://schemas.openxmlformats.org/spreadsheetml/2006/main" r="E36" s="129">
        <f>SUM('Costos HH por MES'!$E$6:$E$35)</f>
        <v>62</v>
      </c>
      <c xmlns="http://schemas.openxmlformats.org/spreadsheetml/2006/main" r="F36" s="257" t="n">
        <f>SUM('Costos HH por MES'!$F$6:$F$35)</f>
        <v>3568</v>
      </c>
      <c xmlns="http://schemas.openxmlformats.org/spreadsheetml/2006/main" r="G36" s="258" t="n">
        <f>SUM('Costos HH por MES'!$G$6:$G$35)</f>
        <v>142720000</v>
      </c>
      <c xmlns="http://schemas.openxmlformats.org/spreadsheetml/2006/main" r="H36" s="257" t="n">
        <f>SUM('Costos HH por MES'!$H$6:$H$35)</f>
        <v>4216</v>
      </c>
      <c xmlns="http://schemas.openxmlformats.org/spreadsheetml/2006/main" r="I36" s="258" t="n">
        <f>SUM('Costos HH por MES'!$I$6:$I$35)</f>
        <v>168640000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mergeCells count="2">
    <mergeCell ref="F4:G4"/>
    <mergeCell ref="H4:I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L988"/>
  <sheetViews>
    <sheetView topLeftCell="R21" workbookViewId="0">
      <selection activeCell="AB43" sqref="AB43"/>
    </sheetView>
  </sheetViews>
  <sheetFormatPr baseColWidth="10" defaultColWidth="12.5703125" defaultRowHeight="15" customHeight="1" x14ac:dyDescent="0.2"/>
  <cols>
    <col min="1" max="1" width="47.7109375" customWidth="1"/>
    <col min="2" max="2" width="22.140625" customWidth="1"/>
    <col min="3" max="38" width="12.7109375" customWidth="1"/>
  </cols>
  <sheetData>
    <row r="1" spans="1:38" ht="15.75" customHeight="1" x14ac:dyDescent="0.25">
      <c r="A1" s="303"/>
      <c r="B1" s="259"/>
      <c r="C1" s="441" t="s">
        <v>306</v>
      </c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42"/>
      <c r="W1" s="443" t="s">
        <v>307</v>
      </c>
      <c r="X1" s="436"/>
      <c r="Y1" s="436"/>
      <c r="Z1" s="436"/>
      <c r="AA1" s="436"/>
      <c r="AB1" s="436"/>
      <c r="AC1" s="436"/>
      <c r="AD1" s="436"/>
      <c r="AE1" s="436"/>
      <c r="AF1" s="436"/>
      <c r="AG1" s="436"/>
      <c r="AH1" s="436"/>
      <c r="AI1" s="436"/>
      <c r="AJ1" s="436"/>
      <c r="AK1" s="436"/>
      <c r="AL1" s="442"/>
    </row>
    <row r="2" spans="1:38" ht="15.75" customHeight="1" x14ac:dyDescent="0.25">
      <c r="A2" s="260"/>
      <c r="B2" s="260" t="s">
        <v>308</v>
      </c>
      <c r="C2" s="260" t="s">
        <v>259</v>
      </c>
      <c r="D2" s="260" t="s">
        <v>260</v>
      </c>
      <c r="E2" s="260" t="s">
        <v>261</v>
      </c>
      <c r="F2" s="260" t="s">
        <v>262</v>
      </c>
      <c r="G2" s="260" t="s">
        <v>263</v>
      </c>
      <c r="H2" s="260" t="s">
        <v>264</v>
      </c>
      <c r="I2" s="260" t="s">
        <v>265</v>
      </c>
      <c r="J2" s="260" t="s">
        <v>266</v>
      </c>
      <c r="K2" s="260" t="s">
        <v>267</v>
      </c>
      <c r="L2" s="260" t="s">
        <v>268</v>
      </c>
      <c r="M2" s="260" t="s">
        <v>269</v>
      </c>
      <c r="N2" s="260" t="s">
        <v>270</v>
      </c>
      <c r="O2" s="260" t="s">
        <v>271</v>
      </c>
      <c r="P2" s="260" t="s">
        <v>272</v>
      </c>
      <c r="Q2" s="260" t="s">
        <v>273</v>
      </c>
      <c r="R2" s="260" t="s">
        <v>274</v>
      </c>
      <c r="S2" s="260" t="s">
        <v>275</v>
      </c>
      <c r="T2" s="260" t="s">
        <v>276</v>
      </c>
      <c r="U2" s="260" t="s">
        <v>277</v>
      </c>
      <c r="V2" s="260" t="s">
        <v>278</v>
      </c>
      <c r="W2" s="261" t="s">
        <v>279</v>
      </c>
      <c r="X2" s="261" t="s">
        <v>280</v>
      </c>
      <c r="Y2" s="261" t="s">
        <v>281</v>
      </c>
      <c r="Z2" s="261" t="s">
        <v>282</v>
      </c>
      <c r="AA2" s="261" t="s">
        <v>283</v>
      </c>
      <c r="AB2" s="261" t="s">
        <v>284</v>
      </c>
      <c r="AC2" s="261" t="s">
        <v>285</v>
      </c>
      <c r="AD2" s="261" t="s">
        <v>286</v>
      </c>
      <c r="AE2" s="261" t="s">
        <v>287</v>
      </c>
      <c r="AF2" s="261" t="s">
        <v>288</v>
      </c>
      <c r="AG2" s="261" t="s">
        <v>289</v>
      </c>
      <c r="AH2" s="261" t="s">
        <v>290</v>
      </c>
      <c r="AI2" s="261" t="s">
        <v>291</v>
      </c>
      <c r="AJ2" s="261" t="s">
        <v>292</v>
      </c>
      <c r="AK2" s="261" t="s">
        <v>293</v>
      </c>
      <c r="AL2" s="261" t="s">
        <v>294</v>
      </c>
    </row>
    <row r="3" spans="1:38" ht="15.75" customHeight="1" x14ac:dyDescent="0.25">
      <c r="A3" s="304" t="str">
        <f>+'COSTOS DE OPERACION'!A3</f>
        <v>Project Manager</v>
      </c>
      <c r="B3" s="305">
        <v>0</v>
      </c>
      <c r="C3" s="263">
        <f>B$3</f>
        <v>0</v>
      </c>
      <c r="D3" s="263">
        <f>B$3*1</f>
        <v>0</v>
      </c>
      <c r="E3" s="263">
        <f>B$3*1</f>
        <v>0</v>
      </c>
      <c r="F3" s="263">
        <f>B$3*1</f>
        <v>0</v>
      </c>
      <c r="G3" s="263">
        <f>B$3*1</f>
        <v>0</v>
      </c>
      <c r="H3" s="263">
        <f>B$3*1</f>
        <v>0</v>
      </c>
      <c r="I3" s="263">
        <f>B$3*1</f>
        <v>0</v>
      </c>
      <c r="J3" s="263">
        <f>B$3*1</f>
        <v>0</v>
      </c>
      <c r="K3" s="263">
        <f>B$3*1</f>
        <v>0</v>
      </c>
      <c r="L3" s="263">
        <f>B$3*1</f>
        <v>0</v>
      </c>
      <c r="M3" s="263">
        <f>B$3*1</f>
        <v>0</v>
      </c>
      <c r="N3" s="263">
        <f>B$3*1</f>
        <v>0</v>
      </c>
      <c r="O3" s="263">
        <f>B$3*1</f>
        <v>0</v>
      </c>
      <c r="P3" s="263">
        <f>B$3*1</f>
        <v>0</v>
      </c>
      <c r="Q3" s="263">
        <f>B$3*1</f>
        <v>0</v>
      </c>
      <c r="R3" s="263">
        <f>B$3*1</f>
        <v>0</v>
      </c>
      <c r="S3" s="263">
        <f>B$3*1</f>
        <v>0</v>
      </c>
      <c r="T3" s="263">
        <f>B$3*1</f>
        <v>0</v>
      </c>
      <c r="U3" s="263">
        <f>B$3*1</f>
        <v>0</v>
      </c>
      <c r="V3" s="263">
        <f>B$3*1</f>
        <v>0</v>
      </c>
      <c r="W3" s="264">
        <f t="shared" ref="W3:AL3" si="0">B$3*1</f>
        <v>0</v>
      </c>
      <c r="X3" s="264">
        <f t="shared" si="0"/>
        <v>0</v>
      </c>
      <c r="Y3" s="264">
        <f t="shared" si="0"/>
        <v>0</v>
      </c>
      <c r="Z3" s="264">
        <f t="shared" si="0"/>
        <v>0</v>
      </c>
      <c r="AA3" s="264">
        <f t="shared" si="0"/>
        <v>0</v>
      </c>
      <c r="AB3" s="264">
        <f t="shared" si="0"/>
        <v>0</v>
      </c>
      <c r="AC3" s="264">
        <f t="shared" si="0"/>
        <v>0</v>
      </c>
      <c r="AD3" s="264">
        <f t="shared" si="0"/>
        <v>0</v>
      </c>
      <c r="AE3" s="264">
        <f t="shared" si="0"/>
        <v>0</v>
      </c>
      <c r="AF3" s="264">
        <f t="shared" si="0"/>
        <v>0</v>
      </c>
      <c r="AG3" s="264">
        <f t="shared" si="0"/>
        <v>0</v>
      </c>
      <c r="AH3" s="264">
        <f t="shared" si="0"/>
        <v>0</v>
      </c>
      <c r="AI3" s="264">
        <f t="shared" si="0"/>
        <v>0</v>
      </c>
      <c r="AJ3" s="264">
        <f t="shared" si="0"/>
        <v>0</v>
      </c>
      <c r="AK3" s="264">
        <f t="shared" si="0"/>
        <v>0</v>
      </c>
      <c r="AL3" s="264">
        <f t="shared" si="0"/>
        <v>0</v>
      </c>
    </row>
    <row r="4" spans="1:38" ht="15.75" customHeight="1" x14ac:dyDescent="0.25">
      <c r="A4" s="243" t="str">
        <f>+'COSTOS DE OPERACION'!A4</f>
        <v>Jefe de TIC</v>
      </c>
      <c r="B4" s="305">
        <v>0</v>
      </c>
      <c r="C4" s="266"/>
      <c r="D4" s="266"/>
      <c r="E4" s="263">
        <f>B$4</f>
        <v>0</v>
      </c>
      <c r="F4" s="263">
        <f>B$4*1</f>
        <v>0</v>
      </c>
      <c r="G4" s="263">
        <f>B$4*1</f>
        <v>0</v>
      </c>
      <c r="H4" s="263">
        <f>B$4*1</f>
        <v>0</v>
      </c>
      <c r="I4" s="263">
        <f>B$4*1</f>
        <v>0</v>
      </c>
      <c r="J4" s="266"/>
      <c r="K4" s="266"/>
      <c r="L4" s="266"/>
      <c r="M4" s="266"/>
      <c r="N4" s="266"/>
      <c r="O4" s="266"/>
      <c r="P4" s="263">
        <f>B$4</f>
        <v>0</v>
      </c>
      <c r="Q4" s="266"/>
      <c r="R4" s="266"/>
      <c r="S4" s="266"/>
      <c r="T4" s="266"/>
      <c r="U4" s="266"/>
      <c r="V4" s="263">
        <f>B$4</f>
        <v>0</v>
      </c>
      <c r="W4" s="267"/>
      <c r="X4" s="267"/>
      <c r="Y4" s="267"/>
      <c r="Z4" s="267"/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  <c r="AL4" s="267"/>
    </row>
    <row r="5" spans="1:38" ht="15.75" customHeight="1" x14ac:dyDescent="0.25">
      <c r="A5" s="243" t="str">
        <f>+'COSTOS DE OPERACION'!A5</f>
        <v>Arquitecto de soluciones</v>
      </c>
      <c r="B5" s="305">
        <v>0</v>
      </c>
      <c r="C5" s="266"/>
      <c r="D5" s="263">
        <f>B$5*1</f>
        <v>0</v>
      </c>
      <c r="E5" s="263">
        <f>B$5</f>
        <v>0</v>
      </c>
      <c r="F5" s="266"/>
      <c r="G5" s="266"/>
      <c r="H5" s="266"/>
      <c r="I5" s="266"/>
      <c r="J5" s="263">
        <f>B$5</f>
        <v>0</v>
      </c>
      <c r="K5" s="266"/>
      <c r="L5" s="266"/>
      <c r="M5" s="266"/>
      <c r="N5" s="266"/>
      <c r="O5" s="266"/>
      <c r="P5" s="266"/>
      <c r="Q5" s="266"/>
      <c r="R5" s="263">
        <f>B$5</f>
        <v>0</v>
      </c>
      <c r="S5" s="263">
        <f>B$5*1</f>
        <v>0</v>
      </c>
      <c r="T5" s="263">
        <f>B$5</f>
        <v>0</v>
      </c>
      <c r="U5" s="266"/>
      <c r="V5" s="266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</row>
    <row r="6" spans="1:38" ht="15.75" customHeight="1" x14ac:dyDescent="0.25">
      <c r="A6" s="243" t="str">
        <f>+'COSTOS DE OPERACION'!A6</f>
        <v>Líder Técnico</v>
      </c>
      <c r="B6" s="305">
        <v>0</v>
      </c>
      <c r="C6" s="266"/>
      <c r="D6" s="263">
        <f>B$6</f>
        <v>0</v>
      </c>
      <c r="E6" s="263">
        <f>B$6</f>
        <v>0</v>
      </c>
      <c r="F6" s="263">
        <f>B$6*1</f>
        <v>0</v>
      </c>
      <c r="G6" s="263">
        <f>B$6*1</f>
        <v>0</v>
      </c>
      <c r="H6" s="263">
        <f>B$6</f>
        <v>0</v>
      </c>
      <c r="I6" s="263">
        <f>B$6</f>
        <v>0</v>
      </c>
      <c r="J6" s="266"/>
      <c r="K6" s="263">
        <f>B$6*1</f>
        <v>0</v>
      </c>
      <c r="L6" s="263">
        <f>B$6</f>
        <v>0</v>
      </c>
      <c r="M6" s="266"/>
      <c r="N6" s="263">
        <f>B$6</f>
        <v>0</v>
      </c>
      <c r="O6" s="266"/>
      <c r="P6" s="266"/>
      <c r="Q6" s="266"/>
      <c r="R6" s="263">
        <f>B$6</f>
        <v>0</v>
      </c>
      <c r="S6" s="263">
        <f>B$6*1</f>
        <v>0</v>
      </c>
      <c r="T6" s="263">
        <f>B$6*1</f>
        <v>0</v>
      </c>
      <c r="U6" s="263">
        <f>B$6*1</f>
        <v>0</v>
      </c>
      <c r="V6" s="266"/>
      <c r="W6" s="267"/>
      <c r="X6" s="267"/>
      <c r="Y6" s="267"/>
      <c r="Z6" s="267"/>
      <c r="AA6" s="267"/>
      <c r="AB6" s="267"/>
      <c r="AC6" s="267"/>
      <c r="AD6" s="267"/>
      <c r="AE6" s="267"/>
      <c r="AF6" s="267"/>
      <c r="AG6" s="267"/>
      <c r="AH6" s="267"/>
      <c r="AI6" s="267"/>
      <c r="AJ6" s="267"/>
      <c r="AK6" s="267"/>
      <c r="AL6" s="267"/>
    </row>
    <row r="7" spans="1:38" ht="15.75" customHeight="1" x14ac:dyDescent="0.25">
      <c r="A7" s="243" t="str">
        <f>+'COSTOS DE OPERACION'!A7</f>
        <v>Product Owner (Líder Funcional)</v>
      </c>
      <c r="B7" s="305">
        <v>0</v>
      </c>
      <c r="C7" s="263">
        <f>B$7</f>
        <v>0</v>
      </c>
      <c r="D7" s="266"/>
      <c r="E7" s="263">
        <f>B$7</f>
        <v>0</v>
      </c>
      <c r="F7" s="263">
        <f>B$7*1</f>
        <v>0</v>
      </c>
      <c r="G7" s="263">
        <f>B$7*1</f>
        <v>0</v>
      </c>
      <c r="H7" s="263">
        <f>B$7</f>
        <v>0</v>
      </c>
      <c r="I7" s="263">
        <f>B$7*1</f>
        <v>0</v>
      </c>
      <c r="J7" s="263">
        <f>B$7*1</f>
        <v>0</v>
      </c>
      <c r="K7" s="266"/>
      <c r="L7" s="266"/>
      <c r="M7" s="266"/>
      <c r="N7" s="263">
        <f>B$7</f>
        <v>0</v>
      </c>
      <c r="O7" s="263">
        <f>B$7</f>
        <v>0</v>
      </c>
      <c r="P7" s="263">
        <f>B$7</f>
        <v>0</v>
      </c>
      <c r="Q7" s="266"/>
      <c r="R7" s="263">
        <f>B$7</f>
        <v>0</v>
      </c>
      <c r="S7" s="266"/>
      <c r="T7" s="266"/>
      <c r="U7" s="266"/>
      <c r="V7" s="263">
        <f>B$7</f>
        <v>0</v>
      </c>
      <c r="W7" s="267"/>
      <c r="X7" s="267"/>
      <c r="Y7" s="267"/>
      <c r="Z7" s="267"/>
      <c r="AA7" s="267"/>
      <c r="AB7" s="267"/>
      <c r="AC7" s="267"/>
      <c r="AD7" s="267"/>
      <c r="AE7" s="267"/>
      <c r="AF7" s="267"/>
      <c r="AG7" s="267"/>
      <c r="AH7" s="267"/>
      <c r="AI7" s="267"/>
      <c r="AJ7" s="267"/>
      <c r="AK7" s="267"/>
      <c r="AL7" s="267"/>
    </row>
    <row r="8" spans="1:38" ht="15.75" customHeight="1" x14ac:dyDescent="0.25">
      <c r="A8" s="243" t="str">
        <f>+'COSTOS DE OPERACION'!A8</f>
        <v>Analista de Requerimientos</v>
      </c>
      <c r="B8" s="305">
        <v>0</v>
      </c>
      <c r="C8" s="263">
        <f>B$8*4</f>
        <v>0</v>
      </c>
      <c r="D8" s="263">
        <f>B$8*4</f>
        <v>0</v>
      </c>
      <c r="E8" s="263">
        <f>B$8*4</f>
        <v>0</v>
      </c>
      <c r="F8" s="266"/>
      <c r="G8" s="266"/>
      <c r="H8" s="266"/>
      <c r="I8" s="266"/>
      <c r="J8" s="263">
        <f>(B$8*4/20)*3</f>
        <v>0</v>
      </c>
      <c r="K8" s="266"/>
      <c r="L8" s="266"/>
      <c r="M8" s="266"/>
      <c r="N8" s="266"/>
      <c r="O8" s="266"/>
      <c r="P8" s="266"/>
      <c r="Q8" s="266"/>
      <c r="R8" s="266"/>
      <c r="S8" s="266"/>
      <c r="T8" s="266"/>
      <c r="U8" s="266"/>
      <c r="V8" s="266"/>
      <c r="W8" s="267"/>
      <c r="X8" s="267"/>
      <c r="Y8" s="267"/>
      <c r="Z8" s="267"/>
      <c r="AA8" s="267"/>
      <c r="AB8" s="267"/>
      <c r="AC8" s="267"/>
      <c r="AD8" s="267"/>
      <c r="AE8" s="267"/>
      <c r="AF8" s="267"/>
      <c r="AG8" s="267"/>
      <c r="AH8" s="267"/>
      <c r="AI8" s="267"/>
      <c r="AJ8" s="267"/>
      <c r="AK8" s="267"/>
      <c r="AL8" s="267"/>
    </row>
    <row r="9" spans="1:38" ht="15.75" customHeight="1" x14ac:dyDescent="0.25">
      <c r="A9" s="243" t="str">
        <f>+'COSTOS DE OPERACION'!A9</f>
        <v>Desarrollador Full Stack</v>
      </c>
      <c r="B9" s="305">
        <v>0</v>
      </c>
      <c r="C9" s="266"/>
      <c r="D9" s="266"/>
      <c r="E9" s="266"/>
      <c r="F9" s="263">
        <f>B$9*1*8</f>
        <v>0</v>
      </c>
      <c r="G9" s="263">
        <f>B$9*1*8</f>
        <v>0</v>
      </c>
      <c r="H9" s="263">
        <f>B$9*1*8</f>
        <v>0</v>
      </c>
      <c r="I9" s="263">
        <f>B$9*1*8</f>
        <v>0</v>
      </c>
      <c r="J9" s="263">
        <f>B$9*1*8</f>
        <v>0</v>
      </c>
      <c r="K9" s="263">
        <f>B$9*8</f>
        <v>0</v>
      </c>
      <c r="L9" s="263">
        <f>B$9*8*0.5</f>
        <v>0</v>
      </c>
      <c r="M9" s="266"/>
      <c r="N9" s="266"/>
      <c r="O9" s="266"/>
      <c r="P9" s="266"/>
      <c r="Q9" s="266"/>
      <c r="R9" s="263">
        <f>B$9*8</f>
        <v>0</v>
      </c>
      <c r="S9" s="263">
        <f>B$9*1*8</f>
        <v>0</v>
      </c>
      <c r="T9" s="263">
        <f>B$9*1*8</f>
        <v>0</v>
      </c>
      <c r="U9" s="263">
        <f>B$9*1*8</f>
        <v>0</v>
      </c>
      <c r="V9" s="266"/>
      <c r="W9" s="267"/>
      <c r="X9" s="267"/>
      <c r="Y9" s="267"/>
      <c r="Z9" s="267"/>
      <c r="AA9" s="267"/>
      <c r="AB9" s="267"/>
      <c r="AC9" s="267"/>
      <c r="AD9" s="267"/>
      <c r="AE9" s="267"/>
      <c r="AF9" s="267"/>
      <c r="AG9" s="267"/>
      <c r="AH9" s="267"/>
      <c r="AI9" s="267"/>
      <c r="AJ9" s="267"/>
      <c r="AK9" s="267"/>
      <c r="AL9" s="267"/>
    </row>
    <row r="10" spans="1:38" ht="15.75" customHeight="1" x14ac:dyDescent="0.25">
      <c r="A10" s="243" t="str">
        <f>+'COSTOS DE OPERACION'!A10</f>
        <v>Desarrollador Front-end</v>
      </c>
      <c r="B10" s="305">
        <v>0</v>
      </c>
      <c r="C10" s="266"/>
      <c r="D10" s="266"/>
      <c r="E10" s="266"/>
      <c r="F10" s="263">
        <f>B$10*1</f>
        <v>0</v>
      </c>
      <c r="G10" s="263">
        <f>B$10*1</f>
        <v>0</v>
      </c>
      <c r="H10" s="263">
        <f>B$10*1</f>
        <v>0</v>
      </c>
      <c r="I10" s="263">
        <f>B$10*1</f>
        <v>0</v>
      </c>
      <c r="J10" s="263">
        <f>B$10*1</f>
        <v>0</v>
      </c>
      <c r="K10" s="266"/>
      <c r="L10" s="266"/>
      <c r="M10" s="266"/>
      <c r="N10" s="266"/>
      <c r="O10" s="266"/>
      <c r="P10" s="266"/>
      <c r="Q10" s="266"/>
      <c r="R10" s="263">
        <f>B$10</f>
        <v>0</v>
      </c>
      <c r="S10" s="263">
        <f>B$10*1</f>
        <v>0</v>
      </c>
      <c r="T10" s="263">
        <f>B$10*1</f>
        <v>0</v>
      </c>
      <c r="U10" s="263">
        <f>B$10*1</f>
        <v>0</v>
      </c>
      <c r="V10" s="266"/>
      <c r="W10" s="267"/>
      <c r="X10" s="267"/>
      <c r="Y10" s="267"/>
      <c r="Z10" s="267"/>
      <c r="AA10" s="267"/>
      <c r="AB10" s="267"/>
      <c r="AC10" s="267"/>
      <c r="AD10" s="267"/>
      <c r="AE10" s="267"/>
      <c r="AF10" s="267"/>
      <c r="AG10" s="267"/>
      <c r="AH10" s="267"/>
      <c r="AI10" s="267"/>
      <c r="AJ10" s="267"/>
      <c r="AK10" s="267"/>
      <c r="AL10" s="267"/>
    </row>
    <row r="11" spans="1:38" ht="15.75" customHeight="1" x14ac:dyDescent="0.25">
      <c r="A11" s="243" t="str">
        <f>+'COSTOS DE OPERACION'!A11</f>
        <v>Desarrollador Back-end</v>
      </c>
      <c r="B11" s="305">
        <v>0</v>
      </c>
      <c r="C11" s="266"/>
      <c r="D11" s="266"/>
      <c r="E11" s="266"/>
      <c r="F11" s="263">
        <f>B$11*1</f>
        <v>0</v>
      </c>
      <c r="G11" s="263">
        <f>B$11*1</f>
        <v>0</v>
      </c>
      <c r="H11" s="263">
        <f>B$11*1</f>
        <v>0</v>
      </c>
      <c r="I11" s="263">
        <f>B$11*1</f>
        <v>0</v>
      </c>
      <c r="J11" s="263">
        <f>B$11*1</f>
        <v>0</v>
      </c>
      <c r="K11" s="263">
        <f>B$11*1</f>
        <v>0</v>
      </c>
      <c r="L11" s="263">
        <f>B$11*1</f>
        <v>0</v>
      </c>
      <c r="M11" s="266"/>
      <c r="N11" s="266"/>
      <c r="O11" s="266"/>
      <c r="P11" s="266"/>
      <c r="Q11" s="266"/>
      <c r="R11" s="263">
        <f>B$11</f>
        <v>0</v>
      </c>
      <c r="S11" s="263">
        <f>B$11*1</f>
        <v>0</v>
      </c>
      <c r="T11" s="263">
        <f>B$11*1</f>
        <v>0</v>
      </c>
      <c r="U11" s="263">
        <f>B$11*1</f>
        <v>0</v>
      </c>
      <c r="V11" s="266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</row>
    <row r="12" spans="1:38" ht="15.75" customHeight="1" x14ac:dyDescent="0.25">
      <c r="A12" s="243" t="str">
        <f>+'COSTOS DE OPERACION'!A12</f>
        <v>Desarrollador de Base de Datos</v>
      </c>
      <c r="B12" s="305">
        <v>0</v>
      </c>
      <c r="C12" s="266"/>
      <c r="D12" s="266"/>
      <c r="E12" s="266"/>
      <c r="F12" s="266"/>
      <c r="G12" s="266"/>
      <c r="H12" s="266"/>
      <c r="I12" s="263">
        <f>B$12*1</f>
        <v>0</v>
      </c>
      <c r="J12" s="263">
        <f>B$12*1</f>
        <v>0</v>
      </c>
      <c r="K12" s="263">
        <f>B$12*1</f>
        <v>0</v>
      </c>
      <c r="L12" s="266"/>
      <c r="M12" s="266"/>
      <c r="N12" s="266"/>
      <c r="O12" s="266"/>
      <c r="P12" s="266"/>
      <c r="Q12" s="266"/>
      <c r="R12" s="266"/>
      <c r="S12" s="266"/>
      <c r="T12" s="266"/>
      <c r="U12" s="266"/>
      <c r="V12" s="266"/>
      <c r="W12" s="267"/>
      <c r="X12" s="267"/>
      <c r="Y12" s="267"/>
      <c r="Z12" s="267"/>
      <c r="AA12" s="267"/>
      <c r="AB12" s="267"/>
      <c r="AC12" s="267"/>
      <c r="AD12" s="267"/>
      <c r="AE12" s="267"/>
      <c r="AF12" s="267"/>
      <c r="AG12" s="267"/>
      <c r="AH12" s="267"/>
      <c r="AI12" s="267"/>
      <c r="AJ12" s="267"/>
      <c r="AK12" s="267"/>
      <c r="AL12" s="267"/>
    </row>
    <row r="13" spans="1:38" ht="15.75" customHeight="1" x14ac:dyDescent="0.25">
      <c r="A13" s="243" t="str">
        <f>+'COSTOS DE OPERACION'!A13</f>
        <v>Diseñador UX</v>
      </c>
      <c r="B13" s="305">
        <v>0</v>
      </c>
      <c r="C13" s="266"/>
      <c r="D13" s="263">
        <f>B$13</f>
        <v>0</v>
      </c>
      <c r="E13" s="263">
        <f>(B$13/20)*5</f>
        <v>0</v>
      </c>
      <c r="F13" s="266"/>
      <c r="G13" s="266"/>
      <c r="H13" s="266"/>
      <c r="I13" s="266"/>
      <c r="J13" s="266"/>
      <c r="K13" s="266"/>
      <c r="L13" s="266"/>
      <c r="M13" s="266"/>
      <c r="N13" s="266"/>
      <c r="O13" s="266"/>
      <c r="P13" s="266"/>
      <c r="Q13" s="266"/>
      <c r="R13" s="266"/>
      <c r="S13" s="266"/>
      <c r="T13" s="266"/>
      <c r="U13" s="266"/>
      <c r="V13" s="266"/>
      <c r="W13" s="267"/>
      <c r="X13" s="267"/>
      <c r="Y13" s="267"/>
      <c r="Z13" s="267"/>
      <c r="AA13" s="267"/>
      <c r="AB13" s="267"/>
      <c r="AC13" s="267"/>
      <c r="AD13" s="267"/>
      <c r="AE13" s="267"/>
      <c r="AF13" s="267"/>
      <c r="AG13" s="267"/>
      <c r="AH13" s="267"/>
      <c r="AI13" s="267"/>
      <c r="AJ13" s="267"/>
      <c r="AK13" s="267"/>
      <c r="AL13" s="267"/>
    </row>
    <row r="14" spans="1:38" ht="15.75" customHeight="1" x14ac:dyDescent="0.25">
      <c r="A14" s="243" t="str">
        <f>+'COSTOS DE OPERACION'!A14</f>
        <v>Especialista en Integración</v>
      </c>
      <c r="B14" s="305">
        <v>0</v>
      </c>
      <c r="C14" s="266"/>
      <c r="D14" s="263">
        <f>B$14*3</f>
        <v>0</v>
      </c>
      <c r="E14" s="266"/>
      <c r="F14" s="266"/>
      <c r="G14" s="266"/>
      <c r="H14" s="266"/>
      <c r="I14" s="263">
        <f>B$14*1*3</f>
        <v>0</v>
      </c>
      <c r="J14" s="263">
        <f>B$14*1*3</f>
        <v>0</v>
      </c>
      <c r="K14" s="263">
        <f>B$14*3</f>
        <v>0</v>
      </c>
      <c r="L14" s="263">
        <f>B$14*3</f>
        <v>0</v>
      </c>
      <c r="M14" s="266"/>
      <c r="N14" s="266"/>
      <c r="O14" s="266"/>
      <c r="P14" s="266"/>
      <c r="Q14" s="266"/>
      <c r="R14" s="266"/>
      <c r="S14" s="266"/>
      <c r="T14" s="266"/>
      <c r="U14" s="266"/>
      <c r="V14" s="266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67"/>
      <c r="AH14" s="267"/>
      <c r="AI14" s="267"/>
      <c r="AJ14" s="267"/>
      <c r="AK14" s="267"/>
      <c r="AL14" s="267"/>
    </row>
    <row r="15" spans="1:38" ht="15.75" customHeight="1" x14ac:dyDescent="0.25">
      <c r="A15" s="243" t="str">
        <f>+'COSTOS DE OPERACION'!A15</f>
        <v>Encargado de Seguridad TI</v>
      </c>
      <c r="B15" s="305">
        <v>0</v>
      </c>
      <c r="C15" s="266"/>
      <c r="D15" s="266"/>
      <c r="E15" s="266"/>
      <c r="F15" s="263">
        <f>B$15*1</f>
        <v>0</v>
      </c>
      <c r="G15" s="263">
        <f>B$15*1</f>
        <v>0</v>
      </c>
      <c r="H15" s="263">
        <f>B$15</f>
        <v>0</v>
      </c>
      <c r="I15" s="263">
        <f>B$15</f>
        <v>0</v>
      </c>
      <c r="J15" s="266"/>
      <c r="K15" s="266"/>
      <c r="L15" s="266"/>
      <c r="M15" s="266"/>
      <c r="N15" s="266"/>
      <c r="O15" s="266"/>
      <c r="P15" s="263">
        <f>B$15</f>
        <v>0</v>
      </c>
      <c r="Q15" s="266"/>
      <c r="R15" s="266"/>
      <c r="S15" s="266"/>
      <c r="T15" s="266"/>
      <c r="U15" s="266"/>
      <c r="V15" s="263">
        <f>B$15</f>
        <v>0</v>
      </c>
      <c r="W15" s="264">
        <f t="shared" ref="W15:AL15" si="1">$B$15*1</f>
        <v>0</v>
      </c>
      <c r="X15" s="264">
        <f t="shared" si="1"/>
        <v>0</v>
      </c>
      <c r="Y15" s="264">
        <f t="shared" si="1"/>
        <v>0</v>
      </c>
      <c r="Z15" s="264">
        <f t="shared" si="1"/>
        <v>0</v>
      </c>
      <c r="AA15" s="264">
        <f t="shared" si="1"/>
        <v>0</v>
      </c>
      <c r="AB15" s="264">
        <f t="shared" si="1"/>
        <v>0</v>
      </c>
      <c r="AC15" s="264">
        <f t="shared" si="1"/>
        <v>0</v>
      </c>
      <c r="AD15" s="264">
        <f t="shared" si="1"/>
        <v>0</v>
      </c>
      <c r="AE15" s="264">
        <f t="shared" si="1"/>
        <v>0</v>
      </c>
      <c r="AF15" s="264">
        <f t="shared" si="1"/>
        <v>0</v>
      </c>
      <c r="AG15" s="264">
        <f t="shared" si="1"/>
        <v>0</v>
      </c>
      <c r="AH15" s="264">
        <f t="shared" si="1"/>
        <v>0</v>
      </c>
      <c r="AI15" s="264">
        <f t="shared" si="1"/>
        <v>0</v>
      </c>
      <c r="AJ15" s="264">
        <f t="shared" si="1"/>
        <v>0</v>
      </c>
      <c r="AK15" s="264">
        <f t="shared" si="1"/>
        <v>0</v>
      </c>
      <c r="AL15" s="264">
        <f t="shared" si="1"/>
        <v>0</v>
      </c>
    </row>
    <row r="16" spans="1:38" ht="15.75" customHeight="1" x14ac:dyDescent="0.25">
      <c r="A16" s="243" t="str">
        <f>+'COSTOS DE OPERACION'!A16</f>
        <v>Ingeniero DevOps</v>
      </c>
      <c r="B16" s="305">
        <v>0</v>
      </c>
      <c r="C16" s="266"/>
      <c r="D16" s="266"/>
      <c r="E16" s="263">
        <f t="shared" ref="E16:F16" si="2">$B$16*2</f>
        <v>0</v>
      </c>
      <c r="F16" s="263">
        <f t="shared" si="2"/>
        <v>0</v>
      </c>
      <c r="G16" s="263">
        <f>B$16*1*2</f>
        <v>0</v>
      </c>
      <c r="H16" s="263">
        <f>B$16*1*2</f>
        <v>0</v>
      </c>
      <c r="I16" s="263">
        <f>B$16*1*2</f>
        <v>0</v>
      </c>
      <c r="J16" s="266"/>
      <c r="K16" s="266"/>
      <c r="L16" s="263">
        <f>B$16*2</f>
        <v>0</v>
      </c>
      <c r="M16" s="266"/>
      <c r="N16" s="263">
        <f>B$16*2</f>
        <v>0</v>
      </c>
      <c r="O16" s="263">
        <f>B$16*1*2</f>
        <v>0</v>
      </c>
      <c r="P16" s="263">
        <f>B$16*1*2</f>
        <v>0</v>
      </c>
      <c r="Q16" s="263">
        <f>B$16*1*2</f>
        <v>0</v>
      </c>
      <c r="R16" s="263">
        <f>B$16*2</f>
        <v>0</v>
      </c>
      <c r="S16" s="266"/>
      <c r="T16" s="266"/>
      <c r="U16" s="266"/>
      <c r="V16" s="266"/>
      <c r="W16" s="267"/>
      <c r="X16" s="267"/>
      <c r="Y16" s="267"/>
      <c r="Z16" s="267"/>
      <c r="AA16" s="267"/>
      <c r="AB16" s="267"/>
      <c r="AC16" s="267"/>
      <c r="AD16" s="267"/>
      <c r="AE16" s="267"/>
      <c r="AF16" s="267"/>
      <c r="AG16" s="267"/>
      <c r="AH16" s="267"/>
      <c r="AI16" s="267"/>
      <c r="AJ16" s="267"/>
      <c r="AK16" s="267"/>
      <c r="AL16" s="267"/>
    </row>
    <row r="17" spans="1:38" ht="15.75" customHeight="1" x14ac:dyDescent="0.25">
      <c r="A17" s="243" t="str">
        <f>+'COSTOS DE OPERACION'!A17</f>
        <v>Administrador de Base de Datos</v>
      </c>
      <c r="B17" s="305">
        <v>0</v>
      </c>
      <c r="C17" s="266"/>
      <c r="D17" s="266"/>
      <c r="E17" s="266"/>
      <c r="F17" s="266"/>
      <c r="G17" s="266"/>
      <c r="H17" s="266"/>
      <c r="I17" s="263">
        <f>B$17*1</f>
        <v>0</v>
      </c>
      <c r="J17" s="263">
        <f>B$17*1</f>
        <v>0</v>
      </c>
      <c r="K17" s="263">
        <f>B$17*1</f>
        <v>0</v>
      </c>
      <c r="L17" s="266"/>
      <c r="M17" s="266"/>
      <c r="N17" s="266"/>
      <c r="O17" s="263">
        <f>B$17*1</f>
        <v>0</v>
      </c>
      <c r="P17" s="266"/>
      <c r="Q17" s="266"/>
      <c r="R17" s="266"/>
      <c r="S17" s="266"/>
      <c r="T17" s="266"/>
      <c r="U17" s="266"/>
      <c r="V17" s="266"/>
      <c r="W17" s="267"/>
      <c r="X17" s="267"/>
      <c r="Y17" s="267"/>
      <c r="Z17" s="267"/>
      <c r="AA17" s="267"/>
      <c r="AB17" s="267"/>
      <c r="AC17" s="267"/>
      <c r="AD17" s="267"/>
      <c r="AE17" s="267"/>
      <c r="AF17" s="267"/>
      <c r="AG17" s="267"/>
      <c r="AH17" s="267"/>
      <c r="AI17" s="267"/>
      <c r="AJ17" s="267"/>
      <c r="AK17" s="267"/>
      <c r="AL17" s="267"/>
    </row>
    <row r="18" spans="1:38" ht="15.75" customHeight="1" x14ac:dyDescent="0.25">
      <c r="A18" s="243" t="str">
        <f>+'COSTOS DE OPERACION'!A18</f>
        <v>QA Lead</v>
      </c>
      <c r="B18" s="305">
        <v>0</v>
      </c>
      <c r="C18" s="263">
        <f>B$18</f>
        <v>0</v>
      </c>
      <c r="D18" s="266"/>
      <c r="E18" s="266"/>
      <c r="F18" s="266"/>
      <c r="G18" s="266"/>
      <c r="H18" s="263">
        <f>B$18*1</f>
        <v>0</v>
      </c>
      <c r="I18" s="263">
        <f>B$18</f>
        <v>0</v>
      </c>
      <c r="J18" s="266"/>
      <c r="K18" s="263">
        <f t="shared" ref="K18:N18" si="3">$B$18*1</f>
        <v>0</v>
      </c>
      <c r="L18" s="263">
        <f t="shared" si="3"/>
        <v>0</v>
      </c>
      <c r="M18" s="263">
        <f t="shared" si="3"/>
        <v>0</v>
      </c>
      <c r="N18" s="263">
        <f t="shared" si="3"/>
        <v>0</v>
      </c>
      <c r="O18" s="266"/>
      <c r="P18" s="263">
        <f t="shared" ref="P18:R18" si="4">$B$18*1</f>
        <v>0</v>
      </c>
      <c r="Q18" s="263">
        <f t="shared" si="4"/>
        <v>0</v>
      </c>
      <c r="R18" s="263">
        <f t="shared" si="4"/>
        <v>0</v>
      </c>
      <c r="S18" s="266"/>
      <c r="T18" s="266"/>
      <c r="U18" s="266"/>
      <c r="V18" s="266"/>
      <c r="W18" s="267"/>
      <c r="X18" s="267"/>
      <c r="Y18" s="267"/>
      <c r="Z18" s="267"/>
      <c r="AA18" s="267"/>
      <c r="AB18" s="267"/>
      <c r="AC18" s="267"/>
      <c r="AD18" s="267"/>
      <c r="AE18" s="267"/>
      <c r="AF18" s="267"/>
      <c r="AG18" s="267"/>
      <c r="AH18" s="267"/>
      <c r="AI18" s="267"/>
      <c r="AJ18" s="267"/>
      <c r="AK18" s="267"/>
      <c r="AL18" s="267"/>
    </row>
    <row r="19" spans="1:38" ht="15.75" customHeight="1" x14ac:dyDescent="0.25">
      <c r="A19" s="243" t="str">
        <f>+'COSTOS DE OPERACION'!A19</f>
        <v>Operador Service Desk</v>
      </c>
      <c r="B19" s="305">
        <v>0</v>
      </c>
      <c r="C19" s="266"/>
      <c r="D19" s="266"/>
      <c r="E19" s="266"/>
      <c r="F19" s="266"/>
      <c r="G19" s="266"/>
      <c r="H19" s="266"/>
      <c r="I19" s="266"/>
      <c r="J19" s="266"/>
      <c r="K19" s="266"/>
      <c r="L19" s="263">
        <f>B$19</f>
        <v>0</v>
      </c>
      <c r="M19" s="263">
        <f>B$19</f>
        <v>0</v>
      </c>
      <c r="N19" s="266"/>
      <c r="O19" s="266"/>
      <c r="P19" s="266"/>
      <c r="Q19" s="266"/>
      <c r="R19" s="266"/>
      <c r="S19" s="266"/>
      <c r="T19" s="266"/>
      <c r="U19" s="266"/>
      <c r="V19" s="266"/>
      <c r="W19" s="264">
        <f>B$19*1</f>
        <v>0</v>
      </c>
      <c r="X19" s="264">
        <f>B$19*1</f>
        <v>0</v>
      </c>
      <c r="Y19" s="264">
        <f>B$19*1</f>
        <v>0</v>
      </c>
      <c r="Z19" s="264">
        <f>B$19*1</f>
        <v>0</v>
      </c>
      <c r="AA19" s="264">
        <f>B$19*1</f>
        <v>0</v>
      </c>
      <c r="AB19" s="264">
        <f>B$19*1</f>
        <v>0</v>
      </c>
      <c r="AC19" s="264">
        <f>B$19*1</f>
        <v>0</v>
      </c>
      <c r="AD19" s="264">
        <f>B$19*1</f>
        <v>0</v>
      </c>
      <c r="AE19" s="264">
        <f>B$19*1</f>
        <v>0</v>
      </c>
      <c r="AF19" s="264">
        <f>B$19*1</f>
        <v>0</v>
      </c>
      <c r="AG19" s="264">
        <f>B$19*1</f>
        <v>0</v>
      </c>
      <c r="AH19" s="264">
        <f>B$19*1</f>
        <v>0</v>
      </c>
      <c r="AI19" s="264">
        <f>B$19*1</f>
        <v>0</v>
      </c>
      <c r="AJ19" s="264">
        <f>B$19*1</f>
        <v>0</v>
      </c>
      <c r="AK19" s="264">
        <f>B$19*1</f>
        <v>0</v>
      </c>
      <c r="AL19" s="264">
        <f>B$19*1</f>
        <v>0</v>
      </c>
    </row>
    <row r="20" spans="1:38" ht="15.75" customHeight="1" x14ac:dyDescent="0.25">
      <c r="A20" s="243" t="str">
        <f>+'COSTOS DE OPERACION'!A20</f>
        <v>Especialista en Soporte Técnico Nivel 2</v>
      </c>
      <c r="B20" s="305">
        <v>0</v>
      </c>
      <c r="C20" s="266"/>
      <c r="D20" s="266"/>
      <c r="E20" s="266"/>
      <c r="F20" s="266"/>
      <c r="G20" s="266"/>
      <c r="H20" s="266"/>
      <c r="I20" s="266"/>
      <c r="J20" s="266"/>
      <c r="K20" s="266"/>
      <c r="L20" s="263">
        <f>B$20</f>
        <v>0</v>
      </c>
      <c r="M20" s="263">
        <f>B$20*1</f>
        <v>0</v>
      </c>
      <c r="N20" s="263">
        <f>B$20</f>
        <v>0</v>
      </c>
      <c r="O20" s="266"/>
      <c r="P20" s="266"/>
      <c r="Q20" s="266"/>
      <c r="R20" s="266"/>
      <c r="S20" s="266"/>
      <c r="T20" s="266"/>
      <c r="U20" s="266"/>
      <c r="V20" s="266"/>
      <c r="W20" s="264">
        <f>B$20*1</f>
        <v>0</v>
      </c>
      <c r="X20" s="264">
        <f>B$20*1</f>
        <v>0</v>
      </c>
      <c r="Y20" s="264">
        <f>B$20*1</f>
        <v>0</v>
      </c>
      <c r="Z20" s="264">
        <f>B$20*1</f>
        <v>0</v>
      </c>
      <c r="AA20" s="264">
        <f>B$20*1</f>
        <v>0</v>
      </c>
      <c r="AB20" s="264">
        <f>B$20*1</f>
        <v>0</v>
      </c>
      <c r="AC20" s="264">
        <f>B$20*1</f>
        <v>0</v>
      </c>
      <c r="AD20" s="264">
        <f>B$20*1</f>
        <v>0</v>
      </c>
      <c r="AE20" s="264">
        <f>B$20*1</f>
        <v>0</v>
      </c>
      <c r="AF20" s="264">
        <f>B$20*1</f>
        <v>0</v>
      </c>
      <c r="AG20" s="264">
        <f>B$20*1</f>
        <v>0</v>
      </c>
      <c r="AH20" s="264">
        <f>B$20*1</f>
        <v>0</v>
      </c>
      <c r="AI20" s="264">
        <f>B$20*1</f>
        <v>0</v>
      </c>
      <c r="AJ20" s="264">
        <f>B$20*1</f>
        <v>0</v>
      </c>
      <c r="AK20" s="264">
        <f>B$20*1</f>
        <v>0</v>
      </c>
      <c r="AL20" s="264">
        <f>B$20*1</f>
        <v>0</v>
      </c>
    </row>
    <row r="21" spans="1:38" ht="15.75" customHeight="1" x14ac:dyDescent="0.25">
      <c r="A21" s="243" t="str">
        <f>+'COSTOS DE OPERACION'!A21</f>
        <v>Tester</v>
      </c>
      <c r="B21" s="305">
        <v>0</v>
      </c>
      <c r="C21" s="266"/>
      <c r="D21" s="266"/>
      <c r="E21" s="266"/>
      <c r="F21" s="266"/>
      <c r="G21" s="266"/>
      <c r="H21" s="263">
        <f>B$21*1*4</f>
        <v>0</v>
      </c>
      <c r="I21" s="263">
        <f>B$21*4</f>
        <v>0</v>
      </c>
      <c r="J21" s="266"/>
      <c r="K21" s="263">
        <f>B$21*1*4</f>
        <v>0</v>
      </c>
      <c r="L21" s="266"/>
      <c r="M21" s="266"/>
      <c r="N21" s="266"/>
      <c r="O21" s="266"/>
      <c r="P21" s="266"/>
      <c r="Q21" s="266"/>
      <c r="R21" s="266"/>
      <c r="S21" s="266"/>
      <c r="T21" s="266"/>
      <c r="U21" s="266"/>
      <c r="V21" s="266"/>
      <c r="W21" s="267"/>
      <c r="X21" s="267"/>
      <c r="Y21" s="267"/>
      <c r="Z21" s="267"/>
      <c r="AA21" s="267"/>
      <c r="AB21" s="267"/>
      <c r="AC21" s="267"/>
      <c r="AD21" s="267"/>
      <c r="AE21" s="267"/>
      <c r="AF21" s="267"/>
      <c r="AG21" s="267"/>
      <c r="AH21" s="267"/>
      <c r="AI21" s="267"/>
      <c r="AJ21" s="267"/>
      <c r="AK21" s="267"/>
      <c r="AL21" s="267"/>
    </row>
    <row r="22" spans="1:38" ht="15.75" customHeight="1" x14ac:dyDescent="0.25">
      <c r="A22" s="243" t="str">
        <f>+'COSTOS DE OPERACION'!A22</f>
        <v>Documentador</v>
      </c>
      <c r="B22" s="305">
        <v>0</v>
      </c>
      <c r="C22" s="266"/>
      <c r="D22" s="266"/>
      <c r="E22" s="266"/>
      <c r="F22" s="266"/>
      <c r="G22" s="266"/>
      <c r="H22" s="266"/>
      <c r="I22" s="263">
        <f>B$22*1*2</f>
        <v>0</v>
      </c>
      <c r="J22" s="266"/>
      <c r="K22" s="266"/>
      <c r="L22" s="266"/>
      <c r="M22" s="266"/>
      <c r="N22" s="266"/>
      <c r="O22" s="266"/>
      <c r="P22" s="266"/>
      <c r="Q22" s="266"/>
      <c r="R22" s="263">
        <f>B$22*2</f>
        <v>0</v>
      </c>
      <c r="S22" s="266"/>
      <c r="T22" s="263">
        <f>B$22*2</f>
        <v>0</v>
      </c>
      <c r="U22" s="263">
        <f>B$22*2</f>
        <v>0</v>
      </c>
      <c r="V22" s="263">
        <f>B$22*2</f>
        <v>0</v>
      </c>
      <c r="W22" s="268">
        <f t="shared" ref="W22:AL22" si="5">$B$22*1</f>
        <v>0</v>
      </c>
      <c r="X22" s="268">
        <f t="shared" si="5"/>
        <v>0</v>
      </c>
      <c r="Y22" s="268">
        <f t="shared" si="5"/>
        <v>0</v>
      </c>
      <c r="Z22" s="268">
        <f t="shared" si="5"/>
        <v>0</v>
      </c>
      <c r="AA22" s="268">
        <f t="shared" si="5"/>
        <v>0</v>
      </c>
      <c r="AB22" s="268">
        <f t="shared" si="5"/>
        <v>0</v>
      </c>
      <c r="AC22" s="268">
        <f t="shared" si="5"/>
        <v>0</v>
      </c>
      <c r="AD22" s="268">
        <f t="shared" si="5"/>
        <v>0</v>
      </c>
      <c r="AE22" s="268">
        <f t="shared" si="5"/>
        <v>0</v>
      </c>
      <c r="AF22" s="268">
        <f t="shared" si="5"/>
        <v>0</v>
      </c>
      <c r="AG22" s="268">
        <f t="shared" si="5"/>
        <v>0</v>
      </c>
      <c r="AH22" s="268">
        <f t="shared" si="5"/>
        <v>0</v>
      </c>
      <c r="AI22" s="268">
        <f t="shared" si="5"/>
        <v>0</v>
      </c>
      <c r="AJ22" s="268">
        <f t="shared" si="5"/>
        <v>0</v>
      </c>
      <c r="AK22" s="268">
        <f t="shared" si="5"/>
        <v>0</v>
      </c>
      <c r="AL22" s="268">
        <f t="shared" si="5"/>
        <v>0</v>
      </c>
    </row>
    <row r="23" spans="1:38" ht="15.75" customHeight="1" x14ac:dyDescent="0.25">
      <c r="A23" s="243" t="str">
        <f>+'COSTOS DE OPERACION'!A23</f>
        <v>Change Manager</v>
      </c>
      <c r="B23" s="305">
        <v>0</v>
      </c>
      <c r="C23" s="263">
        <f>B$23</f>
        <v>0</v>
      </c>
      <c r="D23" s="266"/>
      <c r="E23" s="266"/>
      <c r="F23" s="266"/>
      <c r="G23" s="266"/>
      <c r="H23" s="266"/>
      <c r="I23" s="266"/>
      <c r="J23" s="266"/>
      <c r="K23" s="266"/>
      <c r="L23" s="266"/>
      <c r="M23" s="266"/>
      <c r="N23" s="266"/>
      <c r="O23" s="266"/>
      <c r="P23" s="266"/>
      <c r="Q23" s="266"/>
      <c r="R23" s="266"/>
      <c r="S23" s="266"/>
      <c r="T23" s="266"/>
      <c r="U23" s="266"/>
      <c r="V23" s="266"/>
      <c r="W23" s="264">
        <f>B$23*1</f>
        <v>0</v>
      </c>
      <c r="X23" s="264">
        <f>B$23*1</f>
        <v>0</v>
      </c>
      <c r="Y23" s="264">
        <f>B$23*1</f>
        <v>0</v>
      </c>
      <c r="Z23" s="264">
        <f>B$23*1</f>
        <v>0</v>
      </c>
      <c r="AA23" s="264">
        <f>B$23*1</f>
        <v>0</v>
      </c>
      <c r="AB23" s="264">
        <f>B$23*1</f>
        <v>0</v>
      </c>
      <c r="AC23" s="264">
        <f>B$23*1</f>
        <v>0</v>
      </c>
      <c r="AD23" s="264">
        <f>B$23*1</f>
        <v>0</v>
      </c>
      <c r="AE23" s="264">
        <f>B$23*1</f>
        <v>0</v>
      </c>
      <c r="AF23" s="264">
        <f>B$23*1</f>
        <v>0</v>
      </c>
      <c r="AG23" s="264">
        <f>B$23*1</f>
        <v>0</v>
      </c>
      <c r="AH23" s="264">
        <f>B$23*1</f>
        <v>0</v>
      </c>
      <c r="AI23" s="264">
        <f>B$23*1</f>
        <v>0</v>
      </c>
      <c r="AJ23" s="264">
        <f>B$23*1</f>
        <v>0</v>
      </c>
      <c r="AK23" s="264">
        <f>B$23*1</f>
        <v>0</v>
      </c>
      <c r="AL23" s="264">
        <f>B$23*1</f>
        <v>0</v>
      </c>
    </row>
    <row r="24" spans="1:38" ht="15.75" customHeight="1" x14ac:dyDescent="0.25">
      <c r="A24" s="243" t="str">
        <f>+'COSTOS DE OPERACION'!A24</f>
        <v>Instructor de Capacitación</v>
      </c>
      <c r="B24" s="305">
        <v>0</v>
      </c>
      <c r="C24" s="266"/>
      <c r="D24" s="266"/>
      <c r="E24" s="266"/>
      <c r="F24" s="266"/>
      <c r="G24" s="266"/>
      <c r="H24" s="266"/>
      <c r="I24" s="266"/>
      <c r="J24" s="266"/>
      <c r="K24" s="266"/>
      <c r="L24" s="266"/>
      <c r="M24" s="266"/>
      <c r="N24" s="266"/>
      <c r="O24" s="266"/>
      <c r="P24" s="263">
        <f>B$24</f>
        <v>0</v>
      </c>
      <c r="Q24" s="266"/>
      <c r="R24" s="263">
        <f>B$24</f>
        <v>0</v>
      </c>
      <c r="S24" s="266"/>
      <c r="T24" s="266"/>
      <c r="U24" s="266"/>
      <c r="V24" s="266"/>
      <c r="W24" s="267"/>
      <c r="X24" s="267"/>
      <c r="Y24" s="267"/>
      <c r="Z24" s="267"/>
      <c r="AA24" s="267"/>
      <c r="AB24" s="267"/>
      <c r="AC24" s="267"/>
      <c r="AD24" s="267"/>
      <c r="AE24" s="267"/>
      <c r="AF24" s="267"/>
      <c r="AG24" s="267"/>
      <c r="AH24" s="267"/>
      <c r="AI24" s="267"/>
      <c r="AJ24" s="267"/>
      <c r="AK24" s="267"/>
      <c r="AL24" s="267"/>
    </row>
    <row r="25" spans="1:38" ht="15.75" customHeight="1" x14ac:dyDescent="0.25">
      <c r="A25" s="243" t="str">
        <f>+'COSTOS DE OPERACION'!A25</f>
        <v>Gerente de Administración de Finanzas</v>
      </c>
      <c r="B25" s="305">
        <v>0</v>
      </c>
      <c r="C25" s="266"/>
      <c r="D25" s="266"/>
      <c r="E25" s="266"/>
      <c r="F25" s="266"/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266"/>
      <c r="T25" s="266"/>
      <c r="U25" s="266"/>
      <c r="V25" s="263">
        <f>B$25</f>
        <v>0</v>
      </c>
      <c r="W25" s="267"/>
      <c r="X25" s="267"/>
      <c r="Y25" s="267"/>
      <c r="Z25" s="267"/>
      <c r="AA25" s="267"/>
      <c r="AB25" s="267"/>
      <c r="AC25" s="267"/>
      <c r="AD25" s="267"/>
      <c r="AE25" s="267"/>
      <c r="AF25" s="267"/>
      <c r="AG25" s="267"/>
      <c r="AH25" s="267"/>
      <c r="AI25" s="267"/>
      <c r="AJ25" s="267"/>
      <c r="AK25" s="267"/>
      <c r="AL25" s="267"/>
    </row>
    <row r="26" spans="1:38" ht="15.75" customHeight="1" x14ac:dyDescent="0.25">
      <c r="A26" s="243" t="str">
        <f>+'COSTOS DE OPERACION'!A26</f>
        <v>Especialista en Contabilidad</v>
      </c>
      <c r="B26" s="305">
        <v>0</v>
      </c>
      <c r="C26" s="266"/>
      <c r="D26" s="266"/>
      <c r="E26" s="266"/>
      <c r="F26" s="266"/>
      <c r="G26" s="266"/>
      <c r="H26" s="266"/>
      <c r="I26" s="266"/>
      <c r="J26" s="266"/>
      <c r="K26" s="266"/>
      <c r="L26" s="266"/>
      <c r="M26" s="266"/>
      <c r="N26" s="266"/>
      <c r="O26" s="266"/>
      <c r="P26" s="266"/>
      <c r="Q26" s="266"/>
      <c r="R26" s="266"/>
      <c r="S26" s="266"/>
      <c r="T26" s="266"/>
      <c r="U26" s="266"/>
      <c r="V26" s="263">
        <f>B$26</f>
        <v>0</v>
      </c>
      <c r="W26" s="267"/>
      <c r="X26" s="267"/>
      <c r="Y26" s="267"/>
      <c r="Z26" s="267"/>
      <c r="AA26" s="267"/>
      <c r="AB26" s="267"/>
      <c r="AC26" s="267"/>
      <c r="AD26" s="267"/>
      <c r="AE26" s="267"/>
      <c r="AF26" s="267"/>
      <c r="AG26" s="267"/>
      <c r="AH26" s="267"/>
      <c r="AI26" s="267"/>
      <c r="AJ26" s="267"/>
      <c r="AK26" s="267"/>
      <c r="AL26" s="267"/>
    </row>
    <row r="27" spans="1:38" ht="15.75" customHeight="1" x14ac:dyDescent="0.25">
      <c r="A27" s="243" t="str">
        <f>+'COSTOS DE OPERACION'!A27</f>
        <v>Gestor de Adquisiciones</v>
      </c>
      <c r="B27" s="305">
        <v>0</v>
      </c>
      <c r="C27" s="263">
        <f>B$27</f>
        <v>0</v>
      </c>
      <c r="D27" s="266"/>
      <c r="E27" s="263">
        <f>B$27</f>
        <v>0</v>
      </c>
      <c r="F27" s="263">
        <f>B$27*1</f>
        <v>0</v>
      </c>
      <c r="G27" s="263">
        <f>B$27*1</f>
        <v>0</v>
      </c>
      <c r="H27" s="263">
        <f>B$27*1</f>
        <v>0</v>
      </c>
      <c r="I27" s="263">
        <f>B$27*1</f>
        <v>0</v>
      </c>
      <c r="J27" s="266"/>
      <c r="K27" s="266"/>
      <c r="L27" s="266"/>
      <c r="M27" s="266"/>
      <c r="N27" s="266"/>
      <c r="O27" s="266"/>
      <c r="P27" s="266"/>
      <c r="Q27" s="266"/>
      <c r="R27" s="266"/>
      <c r="S27" s="266"/>
      <c r="T27" s="266"/>
      <c r="U27" s="266"/>
      <c r="V27" s="263">
        <f>B$27</f>
        <v>0</v>
      </c>
      <c r="W27" s="264">
        <f t="shared" ref="W27:AL27" si="6">$B$27*1</f>
        <v>0</v>
      </c>
      <c r="X27" s="264">
        <f t="shared" si="6"/>
        <v>0</v>
      </c>
      <c r="Y27" s="264">
        <f t="shared" si="6"/>
        <v>0</v>
      </c>
      <c r="Z27" s="264">
        <f t="shared" si="6"/>
        <v>0</v>
      </c>
      <c r="AA27" s="264">
        <f t="shared" si="6"/>
        <v>0</v>
      </c>
      <c r="AB27" s="264">
        <f t="shared" si="6"/>
        <v>0</v>
      </c>
      <c r="AC27" s="264">
        <f t="shared" si="6"/>
        <v>0</v>
      </c>
      <c r="AD27" s="264">
        <f t="shared" si="6"/>
        <v>0</v>
      </c>
      <c r="AE27" s="264">
        <f t="shared" si="6"/>
        <v>0</v>
      </c>
      <c r="AF27" s="264">
        <f t="shared" si="6"/>
        <v>0</v>
      </c>
      <c r="AG27" s="264">
        <f t="shared" si="6"/>
        <v>0</v>
      </c>
      <c r="AH27" s="264">
        <f t="shared" si="6"/>
        <v>0</v>
      </c>
      <c r="AI27" s="264">
        <f t="shared" si="6"/>
        <v>0</v>
      </c>
      <c r="AJ27" s="264">
        <f t="shared" si="6"/>
        <v>0</v>
      </c>
      <c r="AK27" s="264">
        <f t="shared" si="6"/>
        <v>0</v>
      </c>
      <c r="AL27" s="264">
        <f t="shared" si="6"/>
        <v>0</v>
      </c>
    </row>
    <row r="28" spans="1:38" ht="15.75" customHeight="1" x14ac:dyDescent="0.25">
      <c r="A28" s="243" t="str">
        <f>+'COSTOS DE OPERACION'!A28</f>
        <v>Asesor Legal</v>
      </c>
      <c r="B28" s="305">
        <v>0</v>
      </c>
      <c r="C28" s="266"/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6"/>
      <c r="S28" s="266"/>
      <c r="T28" s="266"/>
      <c r="U28" s="266"/>
      <c r="V28" s="263">
        <f>B$28</f>
        <v>0</v>
      </c>
      <c r="W28" s="267"/>
      <c r="X28" s="267"/>
      <c r="Y28" s="267"/>
      <c r="Z28" s="267"/>
      <c r="AA28" s="267"/>
      <c r="AB28" s="267"/>
      <c r="AC28" s="267"/>
      <c r="AD28" s="267"/>
      <c r="AE28" s="267"/>
      <c r="AF28" s="267"/>
      <c r="AG28" s="267"/>
      <c r="AH28" s="267"/>
      <c r="AI28" s="267"/>
      <c r="AJ28" s="267"/>
      <c r="AK28" s="267"/>
      <c r="AL28" s="268">
        <f>B$28*1</f>
        <v>0</v>
      </c>
    </row>
    <row r="29" spans="1:38" ht="15.75" customHeight="1" x14ac:dyDescent="0.25">
      <c r="A29" s="243" t="str">
        <f>+'COSTOS DE OPERACION'!A29</f>
        <v>Director Comercial</v>
      </c>
      <c r="B29" s="305">
        <v>0</v>
      </c>
      <c r="C29" s="263">
        <f>B$29</f>
        <v>0</v>
      </c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6"/>
      <c r="Q29" s="266"/>
      <c r="R29" s="266"/>
      <c r="S29" s="266"/>
      <c r="T29" s="266"/>
      <c r="U29" s="266"/>
      <c r="V29" s="266"/>
      <c r="W29" s="267"/>
      <c r="X29" s="267"/>
      <c r="Y29" s="267"/>
      <c r="Z29" s="267"/>
      <c r="AA29" s="267"/>
      <c r="AB29" s="267"/>
      <c r="AC29" s="267"/>
      <c r="AD29" s="267"/>
      <c r="AE29" s="267"/>
      <c r="AF29" s="267"/>
      <c r="AG29" s="267"/>
      <c r="AH29" s="267"/>
      <c r="AI29" s="267"/>
      <c r="AJ29" s="267"/>
      <c r="AK29" s="267"/>
      <c r="AL29" s="267"/>
    </row>
    <row r="30" spans="1:38" ht="15.75" customHeight="1" x14ac:dyDescent="0.25">
      <c r="A30" s="243" t="str">
        <f>+'COSTOS DE OPERACION'!A30</f>
        <v>Consultor de Preventa</v>
      </c>
      <c r="B30" s="305">
        <v>0</v>
      </c>
      <c r="C30" s="263">
        <f>B$30</f>
        <v>0</v>
      </c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266"/>
      <c r="O30" s="266"/>
      <c r="P30" s="266"/>
      <c r="Q30" s="266"/>
      <c r="R30" s="266"/>
      <c r="S30" s="266"/>
      <c r="T30" s="266"/>
      <c r="U30" s="266"/>
      <c r="V30" s="266"/>
      <c r="W30" s="267"/>
      <c r="X30" s="267"/>
      <c r="Y30" s="267"/>
      <c r="Z30" s="267"/>
      <c r="AA30" s="267"/>
      <c r="AB30" s="267"/>
      <c r="AC30" s="267"/>
      <c r="AD30" s="267"/>
      <c r="AE30" s="267"/>
      <c r="AF30" s="267"/>
      <c r="AG30" s="267"/>
      <c r="AH30" s="267"/>
      <c r="AI30" s="267"/>
      <c r="AJ30" s="267"/>
      <c r="AK30" s="267"/>
      <c r="AL30" s="264">
        <f>B$30*1</f>
        <v>0</v>
      </c>
    </row>
    <row r="31" spans="1:38" ht="15.75" customHeight="1" x14ac:dyDescent="0.25">
      <c r="A31" s="243" t="str">
        <f>+'COSTOS DE OPERACION'!A31</f>
        <v>Especialista en Licitaciones</v>
      </c>
      <c r="B31" s="305">
        <v>0</v>
      </c>
      <c r="C31" s="263">
        <f>B$31</f>
        <v>0</v>
      </c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6"/>
      <c r="O31" s="266"/>
      <c r="P31" s="266"/>
      <c r="Q31" s="266"/>
      <c r="R31" s="266"/>
      <c r="S31" s="266"/>
      <c r="T31" s="266"/>
      <c r="U31" s="266"/>
      <c r="V31" s="263">
        <f>B$31</f>
        <v>0</v>
      </c>
      <c r="W31" s="267"/>
      <c r="X31" s="267"/>
      <c r="Y31" s="267"/>
      <c r="Z31" s="267"/>
      <c r="AA31" s="267"/>
      <c r="AB31" s="267"/>
      <c r="AC31" s="267"/>
      <c r="AD31" s="267"/>
      <c r="AE31" s="267"/>
      <c r="AF31" s="267"/>
      <c r="AG31" s="267"/>
      <c r="AH31" s="267"/>
      <c r="AI31" s="267"/>
      <c r="AJ31" s="267"/>
      <c r="AK31" s="267"/>
      <c r="AL31" s="268">
        <f>B$31*1</f>
        <v>0</v>
      </c>
    </row>
    <row r="32" spans="1:38" ht="15.75" customHeight="1" x14ac:dyDescent="0.25">
      <c r="A32" s="243" t="str">
        <f>+'COSTOS DE OPERACION'!A32</f>
        <v>Administrador de plataforma</v>
      </c>
      <c r="B32" s="305">
        <v>0</v>
      </c>
      <c r="C32" s="266"/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6"/>
      <c r="O32" s="266"/>
      <c r="P32" s="266"/>
      <c r="Q32" s="266"/>
      <c r="R32" s="266"/>
      <c r="S32" s="266"/>
      <c r="T32" s="266"/>
      <c r="U32" s="266"/>
      <c r="V32" s="266"/>
      <c r="W32" s="264">
        <f t="shared" ref="W32:AL33" si="7">$B$31*1</f>
        <v>0</v>
      </c>
      <c r="X32" s="264">
        <f t="shared" si="7"/>
        <v>0</v>
      </c>
      <c r="Y32" s="264">
        <f t="shared" si="7"/>
        <v>0</v>
      </c>
      <c r="Z32" s="264">
        <f t="shared" si="7"/>
        <v>0</v>
      </c>
      <c r="AA32" s="264">
        <f t="shared" si="7"/>
        <v>0</v>
      </c>
      <c r="AB32" s="264">
        <f t="shared" si="7"/>
        <v>0</v>
      </c>
      <c r="AC32" s="264">
        <f t="shared" si="7"/>
        <v>0</v>
      </c>
      <c r="AD32" s="264">
        <f t="shared" si="7"/>
        <v>0</v>
      </c>
      <c r="AE32" s="264">
        <f t="shared" si="7"/>
        <v>0</v>
      </c>
      <c r="AF32" s="264">
        <f t="shared" si="7"/>
        <v>0</v>
      </c>
      <c r="AG32" s="264">
        <f t="shared" si="7"/>
        <v>0</v>
      </c>
      <c r="AH32" s="264">
        <f t="shared" si="7"/>
        <v>0</v>
      </c>
      <c r="AI32" s="264">
        <f t="shared" si="7"/>
        <v>0</v>
      </c>
      <c r="AJ32" s="264">
        <f t="shared" si="7"/>
        <v>0</v>
      </c>
      <c r="AK32" s="264">
        <f t="shared" si="7"/>
        <v>0</v>
      </c>
      <c r="AL32" s="264">
        <f t="shared" si="7"/>
        <v>0</v>
      </c>
    </row>
    <row r="33" spans="1:38" ht="15.75" customHeight="1" x14ac:dyDescent="0.25">
      <c r="A33" s="243" t="s">
        <v>309</v>
      </c>
      <c r="B33" s="305">
        <v>0</v>
      </c>
      <c r="C33" s="266"/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6"/>
      <c r="O33" s="266"/>
      <c r="P33" s="266"/>
      <c r="Q33" s="266"/>
      <c r="R33" s="266"/>
      <c r="S33" s="266"/>
      <c r="T33" s="266"/>
      <c r="U33" s="266"/>
      <c r="V33" s="266"/>
      <c r="W33" s="264">
        <f t="shared" si="7"/>
        <v>0</v>
      </c>
      <c r="X33" s="264">
        <f t="shared" si="7"/>
        <v>0</v>
      </c>
      <c r="Y33" s="264">
        <f t="shared" si="7"/>
        <v>0</v>
      </c>
      <c r="Z33" s="264">
        <f t="shared" si="7"/>
        <v>0</v>
      </c>
      <c r="AA33" s="264">
        <f t="shared" si="7"/>
        <v>0</v>
      </c>
      <c r="AB33" s="264">
        <f t="shared" si="7"/>
        <v>0</v>
      </c>
      <c r="AC33" s="264">
        <f t="shared" si="7"/>
        <v>0</v>
      </c>
      <c r="AD33" s="264">
        <f t="shared" si="7"/>
        <v>0</v>
      </c>
      <c r="AE33" s="264">
        <f t="shared" si="7"/>
        <v>0</v>
      </c>
      <c r="AF33" s="264">
        <f t="shared" si="7"/>
        <v>0</v>
      </c>
      <c r="AG33" s="264">
        <f t="shared" si="7"/>
        <v>0</v>
      </c>
      <c r="AH33" s="264">
        <f t="shared" si="7"/>
        <v>0</v>
      </c>
      <c r="AI33" s="264">
        <f t="shared" si="7"/>
        <v>0</v>
      </c>
      <c r="AJ33" s="264">
        <f t="shared" si="7"/>
        <v>0</v>
      </c>
      <c r="AK33" s="264">
        <f t="shared" si="7"/>
        <v>0</v>
      </c>
      <c r="AL33" s="264">
        <f t="shared" si="7"/>
        <v>0</v>
      </c>
    </row>
    <row r="34" spans="1:38" ht="15.75" customHeight="1" x14ac:dyDescent="0.25">
      <c r="A34" s="306" t="s">
        <v>101</v>
      </c>
      <c r="B34" s="307">
        <f>SUM(B3:B33)</f>
        <v>0</v>
      </c>
      <c r="C34" s="307">
        <f t="shared" ref="C34:V34" si="8">SUM(C3:C32)</f>
        <v>0</v>
      </c>
      <c r="D34" s="307">
        <f t="shared" si="8"/>
        <v>0</v>
      </c>
      <c r="E34" s="307">
        <f t="shared" si="8"/>
        <v>0</v>
      </c>
      <c r="F34" s="307">
        <f t="shared" si="8"/>
        <v>0</v>
      </c>
      <c r="G34" s="307">
        <f t="shared" si="8"/>
        <v>0</v>
      </c>
      <c r="H34" s="307">
        <f t="shared" si="8"/>
        <v>0</v>
      </c>
      <c r="I34" s="307">
        <f t="shared" si="8"/>
        <v>0</v>
      </c>
      <c r="J34" s="307">
        <f t="shared" si="8"/>
        <v>0</v>
      </c>
      <c r="K34" s="307">
        <f t="shared" si="8"/>
        <v>0</v>
      </c>
      <c r="L34" s="307">
        <f t="shared" si="8"/>
        <v>0</v>
      </c>
      <c r="M34" s="307">
        <f t="shared" si="8"/>
        <v>0</v>
      </c>
      <c r="N34" s="307">
        <f t="shared" si="8"/>
        <v>0</v>
      </c>
      <c r="O34" s="307">
        <f t="shared" si="8"/>
        <v>0</v>
      </c>
      <c r="P34" s="307">
        <f t="shared" si="8"/>
        <v>0</v>
      </c>
      <c r="Q34" s="307">
        <f t="shared" si="8"/>
        <v>0</v>
      </c>
      <c r="R34" s="307">
        <f t="shared" si="8"/>
        <v>0</v>
      </c>
      <c r="S34" s="307">
        <f t="shared" si="8"/>
        <v>0</v>
      </c>
      <c r="T34" s="307">
        <f t="shared" si="8"/>
        <v>0</v>
      </c>
      <c r="U34" s="307">
        <f t="shared" si="8"/>
        <v>0</v>
      </c>
      <c r="V34" s="307">
        <f t="shared" si="8"/>
        <v>0</v>
      </c>
      <c r="W34" s="308">
        <f t="shared" ref="W34:AL34" si="9">SUM(W3:W33)</f>
        <v>0</v>
      </c>
      <c r="X34" s="308">
        <f t="shared" si="9"/>
        <v>0</v>
      </c>
      <c r="Y34" s="308">
        <f t="shared" si="9"/>
        <v>0</v>
      </c>
      <c r="Z34" s="308">
        <f t="shared" si="9"/>
        <v>0</v>
      </c>
      <c r="AA34" s="308">
        <f t="shared" si="9"/>
        <v>0</v>
      </c>
      <c r="AB34" s="308">
        <f t="shared" si="9"/>
        <v>0</v>
      </c>
      <c r="AC34" s="308">
        <f t="shared" si="9"/>
        <v>0</v>
      </c>
      <c r="AD34" s="308">
        <f t="shared" si="9"/>
        <v>0</v>
      </c>
      <c r="AE34" s="308">
        <f t="shared" si="9"/>
        <v>0</v>
      </c>
      <c r="AF34" s="308">
        <f t="shared" si="9"/>
        <v>0</v>
      </c>
      <c r="AG34" s="308">
        <f t="shared" si="9"/>
        <v>0</v>
      </c>
      <c r="AH34" s="308">
        <f t="shared" si="9"/>
        <v>0</v>
      </c>
      <c r="AI34" s="308">
        <f t="shared" si="9"/>
        <v>0</v>
      </c>
      <c r="AJ34" s="308">
        <f t="shared" si="9"/>
        <v>0</v>
      </c>
      <c r="AK34" s="308">
        <f t="shared" si="9"/>
        <v>0</v>
      </c>
      <c r="AL34" s="308">
        <f t="shared" si="9"/>
        <v>0</v>
      </c>
    </row>
    <row r="35" spans="1:38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170"/>
      <c r="Q35" s="173"/>
      <c r="R35" s="173"/>
      <c r="S35" s="173"/>
      <c r="T35" s="173"/>
      <c r="U35" s="157" t="s">
        <v>101</v>
      </c>
      <c r="V35" s="309">
        <f>SUM(B34:V34)</f>
        <v>0</v>
      </c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279" t="s">
        <v>101</v>
      </c>
      <c r="AL35" s="273">
        <f>SUM(W34:AL34)</f>
        <v>0</v>
      </c>
    </row>
    <row r="36" spans="1:38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173"/>
      <c r="P36" s="170"/>
      <c r="Q36" s="173"/>
      <c r="R36" s="173"/>
      <c r="S36" s="173"/>
      <c r="T36" s="173"/>
      <c r="U36" s="282" t="s">
        <v>298</v>
      </c>
      <c r="V36" s="310">
        <f>SUM(G33:V33)</f>
        <v>0</v>
      </c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283" t="s">
        <v>298</v>
      </c>
      <c r="AL36" s="273">
        <f>SUM(W33:AL33)</f>
        <v>0</v>
      </c>
    </row>
    <row r="37" spans="1:38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173"/>
      <c r="P37" s="170"/>
      <c r="Q37" s="173"/>
      <c r="R37" s="173"/>
      <c r="S37" s="173"/>
      <c r="T37" s="173"/>
      <c r="U37" s="129" t="s">
        <v>299</v>
      </c>
      <c r="V37" s="310">
        <f>V35-V36</f>
        <v>0</v>
      </c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/>
      <c r="AH37" s="173"/>
      <c r="AI37" s="173"/>
      <c r="AJ37" s="173"/>
      <c r="AK37" s="285" t="s">
        <v>299</v>
      </c>
      <c r="AL37" s="273">
        <f>AL35-AL36</f>
        <v>0</v>
      </c>
    </row>
    <row r="38" spans="1:38" ht="15.75" customHeight="1" x14ac:dyDescent="0.25">
      <c r="A38" s="444" t="s">
        <v>300</v>
      </c>
      <c r="B38" s="445"/>
      <c r="C38" s="445"/>
      <c r="D38" s="445"/>
      <c r="E38" s="445"/>
      <c r="F38" s="445"/>
      <c r="G38" s="445"/>
      <c r="H38" s="445"/>
      <c r="I38" s="445"/>
      <c r="J38" s="445"/>
      <c r="K38" s="445"/>
      <c r="L38" s="445"/>
      <c r="M38" s="445"/>
      <c r="N38" s="445"/>
      <c r="O38" s="445"/>
      <c r="P38" s="445"/>
      <c r="Q38" s="445"/>
      <c r="R38" s="445"/>
      <c r="S38" s="445"/>
      <c r="T38" s="445"/>
      <c r="U38" s="445"/>
      <c r="V38" s="439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15.75" customHeight="1" x14ac:dyDescent="0.25">
      <c r="A39" s="286"/>
      <c r="B39" s="287" t="s">
        <v>301</v>
      </c>
      <c r="C39" s="287" t="s">
        <v>259</v>
      </c>
      <c r="D39" s="287" t="s">
        <v>260</v>
      </c>
      <c r="E39" s="287" t="s">
        <v>261</v>
      </c>
      <c r="F39" s="287" t="s">
        <v>262</v>
      </c>
      <c r="G39" s="287" t="s">
        <v>263</v>
      </c>
      <c r="H39" s="287" t="s">
        <v>264</v>
      </c>
      <c r="I39" s="287" t="s">
        <v>265</v>
      </c>
      <c r="J39" s="287" t="s">
        <v>266</v>
      </c>
      <c r="K39" s="287" t="s">
        <v>267</v>
      </c>
      <c r="L39" s="287" t="s">
        <v>268</v>
      </c>
      <c r="M39" s="287" t="s">
        <v>269</v>
      </c>
      <c r="N39" s="287" t="s">
        <v>270</v>
      </c>
      <c r="O39" s="287" t="s">
        <v>271</v>
      </c>
      <c r="P39" s="287" t="s">
        <v>272</v>
      </c>
      <c r="Q39" s="287" t="s">
        <v>273</v>
      </c>
      <c r="R39" s="287" t="s">
        <v>274</v>
      </c>
      <c r="S39" s="287" t="s">
        <v>275</v>
      </c>
      <c r="T39" s="287" t="s">
        <v>276</v>
      </c>
      <c r="U39" s="287" t="s">
        <v>277</v>
      </c>
      <c r="V39" s="287" t="s">
        <v>278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15.75" customHeight="1" x14ac:dyDescent="0.25">
      <c r="A40" s="290"/>
      <c xmlns="http://schemas.openxmlformats.org/spreadsheetml/2006/main" r="B40" s="291" t="str">
        <f>'COSTOS DE OPERACION'!B40</f>
        <v>Líder de Implantación / Cambio</v>
      </c>
      <c r="C40" s="311"/>
      <c r="D40" s="311"/>
      <c r="E40" s="311"/>
      <c r="F40" s="311"/>
      <c r="G40" s="311"/>
      <c r="H40" s="311"/>
      <c r="I40" s="311"/>
      <c r="J40" s="311"/>
      <c r="K40" s="263">
        <f>B$23</f>
        <v>0</v>
      </c>
      <c r="L40" s="290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15.75" customHeight="1" x14ac:dyDescent="0.25">
      <c r="A41" s="290"/>
      <c xmlns="http://schemas.openxmlformats.org/spreadsheetml/2006/main" r="B41" s="291" t="str">
        <f>'COSTOS DE OPERACION'!B41</f>
        <v>Instructor de Capacitación</v>
      </c>
      <c r="C41" s="311"/>
      <c r="D41" s="311"/>
      <c r="E41" s="311"/>
      <c r="F41" s="311"/>
      <c r="G41" s="311"/>
      <c r="H41" s="311"/>
      <c r="I41" s="311"/>
      <c r="J41" s="311"/>
      <c r="K41" s="263">
        <f>B$24*1</f>
        <v>0</v>
      </c>
      <c r="L41" s="312"/>
      <c r="M41" s="311"/>
      <c r="N41" s="311"/>
      <c r="O41" s="311"/>
      <c r="P41" s="311"/>
      <c r="Q41" s="311"/>
      <c r="R41" s="311">
        <f>B$24*0.25</f>
        <v>0</v>
      </c>
      <c r="S41" s="311"/>
      <c r="T41" s="311"/>
      <c r="U41" s="311"/>
      <c r="V41" s="311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15.75" customHeight="1" x14ac:dyDescent="0.25">
      <c r="A42" s="290"/>
      <c xmlns="http://schemas.openxmlformats.org/spreadsheetml/2006/main" r="B42" s="297" t="str">
        <f>'COSTOS DE OPERACION'!B42</f>
        <v>Líder Funcional</v>
      </c>
      <c r="C42" s="311"/>
      <c r="D42" s="311"/>
      <c r="E42" s="311"/>
      <c r="F42" s="311"/>
      <c r="G42" s="311"/>
      <c r="H42" s="311"/>
      <c r="I42" s="311"/>
      <c r="J42" s="311"/>
      <c r="K42" s="263">
        <f>B$7</f>
        <v>0</v>
      </c>
      <c r="L42" s="290"/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15.75" customHeight="1" x14ac:dyDescent="0.25">
      <c r="A43" s="290"/>
      <c xmlns="http://schemas.openxmlformats.org/spreadsheetml/2006/main" r="B43" s="297" t="str">
        <f>'COSTOS DE OPERACION'!B43</f>
        <v>Documentador</v>
      </c>
      <c r="C43" s="311"/>
      <c r="D43" s="311"/>
      <c r="E43" s="311"/>
      <c r="F43" s="311"/>
      <c r="G43" s="311"/>
      <c r="H43" s="311"/>
      <c r="I43" s="311"/>
      <c r="J43" s="311"/>
      <c r="K43" s="263">
        <f>B$22*2</f>
        <v>0</v>
      </c>
      <c r="L43" s="263">
        <f>B$22*2</f>
        <v>0</v>
      </c>
      <c r="M43" s="311"/>
      <c r="N43" s="311"/>
      <c r="O43" s="311"/>
      <c r="P43" s="311"/>
      <c r="Q43" s="311"/>
      <c r="R43" s="311"/>
      <c r="S43" s="311"/>
      <c r="T43" s="311"/>
      <c r="U43" s="311"/>
      <c r="V43" s="311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15.75" customHeight="1" x14ac:dyDescent="0.25">
      <c r="A44" s="299"/>
      <c r="B44" s="299" t="s">
        <v>304</v>
      </c>
      <c r="C44" s="300">
        <f t="shared" ref="C44:V44" si="10">SUM(C40:C43)</f>
        <v>0</v>
      </c>
      <c r="D44" s="300">
        <f t="shared" si="10"/>
        <v>0</v>
      </c>
      <c r="E44" s="300">
        <f t="shared" si="10"/>
        <v>0</v>
      </c>
      <c r="F44" s="300">
        <f t="shared" si="10"/>
        <v>0</v>
      </c>
      <c r="G44" s="300">
        <f t="shared" si="10"/>
        <v>0</v>
      </c>
      <c r="H44" s="300">
        <f t="shared" si="10"/>
        <v>0</v>
      </c>
      <c r="I44" s="300">
        <f t="shared" si="10"/>
        <v>0</v>
      </c>
      <c r="J44" s="300">
        <f t="shared" si="10"/>
        <v>0</v>
      </c>
      <c r="K44" s="300">
        <f t="shared" si="10"/>
        <v>0</v>
      </c>
      <c r="L44" s="300">
        <f t="shared" si="10"/>
        <v>0</v>
      </c>
      <c r="M44" s="300">
        <f t="shared" si="10"/>
        <v>0</v>
      </c>
      <c r="N44" s="300">
        <f t="shared" si="10"/>
        <v>0</v>
      </c>
      <c r="O44" s="300">
        <f t="shared" si="10"/>
        <v>0</v>
      </c>
      <c r="P44" s="300">
        <f t="shared" si="10"/>
        <v>0</v>
      </c>
      <c r="Q44" s="300">
        <f t="shared" si="10"/>
        <v>0</v>
      </c>
      <c r="R44" s="300">
        <f t="shared" si="10"/>
        <v>0</v>
      </c>
      <c r="S44" s="300">
        <f t="shared" si="10"/>
        <v>0</v>
      </c>
      <c r="T44" s="300">
        <f t="shared" si="10"/>
        <v>0</v>
      </c>
      <c r="U44" s="300">
        <f t="shared" si="10"/>
        <v>0</v>
      </c>
      <c r="V44" s="300">
        <f t="shared" si="10"/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287" t="s">
        <v>310</v>
      </c>
      <c r="V45" s="302">
        <f>SUM(C44:V44)</f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15.75" customHeight="1" x14ac:dyDescent="0.25">
      <c r="A47" s="312" t="s">
        <v>311</v>
      </c>
      <c r="B47" s="313">
        <v>0.4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15.75" customHeight="1" x14ac:dyDescent="0.25">
      <c r="A48" s="173"/>
      <c r="B48" s="17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15.75" customHeight="1" x14ac:dyDescent="0.25">
      <c r="A49" s="173"/>
      <c r="B49" s="17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135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135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135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135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135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135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135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135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135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135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135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135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135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135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135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135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135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135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135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135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135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135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135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135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135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135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135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135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135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35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135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135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135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135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135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135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135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135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135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135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135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135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135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135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135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135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135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135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135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135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135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135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135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135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135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135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135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135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135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135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135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135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135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135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135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135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135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135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1:38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135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135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135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135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135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135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35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135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135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135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135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135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135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135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135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135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135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135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135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135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135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135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1:38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135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135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135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135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135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135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135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135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135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135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135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135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135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135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135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135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135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35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:38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35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35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135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135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135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135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135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135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135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135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135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135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135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135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135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135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135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135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135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135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135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135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135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135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135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135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135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135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135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135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135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135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135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135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135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135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135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135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135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135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135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135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135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135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135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135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135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135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135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135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135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135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135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135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135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135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135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135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135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135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135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135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135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135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135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135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135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135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135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135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135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135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135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135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135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1:38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1:38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1:38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1:38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1:38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spans="1:38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1:38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spans="1:38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1:38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1:38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1:38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1:38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spans="1:38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1:38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1:38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1:38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spans="1:38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1:38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1:38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spans="1:38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spans="1:38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1:38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1:38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1:38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1:38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spans="1:38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1:38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38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spans="1:38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spans="1:38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1:38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spans="1:38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1:38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1:38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spans="1:38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spans="1:38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1:38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spans="1:38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spans="1:38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spans="1:38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1:38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spans="1:38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1:38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spans="1:38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1:38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spans="1:38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spans="1:38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spans="1:38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spans="1:38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spans="1:38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1:38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spans="1:38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38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spans="1:38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spans="1:38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spans="1:38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1:38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spans="1:38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spans="1:38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spans="1:38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38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1:38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1:38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spans="1:38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38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spans="1:38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spans="1:38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spans="1:38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1:38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spans="1:38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1:38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spans="1:38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spans="1:38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spans="1:38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spans="1:38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spans="1:38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38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spans="1:38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spans="1:38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spans="1:38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1:38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spans="1:38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1:38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spans="1:38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1:38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spans="1:38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spans="1:38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spans="1:38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38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spans="1:38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spans="1:38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spans="1:38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spans="1:38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spans="1:38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1:38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spans="1:38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1:38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38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1:38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spans="1:38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1:38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spans="1:38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spans="1:38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spans="1:38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1:38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spans="1:38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38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spans="1:38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spans="1:38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spans="1:38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spans="1:38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spans="1:38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1:38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spans="1:38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1:38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38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spans="1:38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spans="1:38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spans="1:38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spans="1:38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spans="1:38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spans="1:38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1:38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spans="1:38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spans="1:38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spans="1:38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spans="1:38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38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1:38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spans="1:38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spans="1:38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spans="1:38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1:38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spans="1:38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1:38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spans="1:38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spans="1:38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spans="1:38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spans="1:38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spans="1:38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spans="1:38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spans="1:38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spans="1:38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spans="1:38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1:38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1:38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:38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spans="1:38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:38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spans="1:38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1:38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spans="1:38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1:38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spans="1:38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spans="1:38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spans="1:38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spans="1:38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spans="1:38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spans="1:38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spans="1:38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spans="1:38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spans="1:38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spans="1:38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1:38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spans="1:38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spans="1:38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spans="1:38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spans="1:38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spans="1:38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spans="1:38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spans="1:38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spans="1:38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spans="1:38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spans="1:38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spans="1:38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1:38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spans="1:38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spans="1:38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spans="1:38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spans="1:38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1:38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spans="1:38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spans="1:38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spans="1:38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spans="1:38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spans="1:38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spans="1:38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38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1:38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1:38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1:38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1:38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spans="1:38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spans="1:38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1:38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spans="1:38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1:38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:38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:38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spans="1:38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1:38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spans="1:38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spans="1:38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spans="1:38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1:38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spans="1:38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1:38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spans="1:38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spans="1:38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spans="1:38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spans="1:38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1:38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spans="1:38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1:38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spans="1:38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spans="1:38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spans="1:38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spans="1:38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spans="1:38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spans="1:38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spans="1:38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spans="1:38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spans="1:38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38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spans="1:38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spans="1:38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spans="1:38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spans="1:38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spans="1:38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spans="1:38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spans="1:38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spans="1:38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spans="1:38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spans="1:38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spans="1:38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38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1:38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spans="1:38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spans="1:38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spans="1:38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spans="1:38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spans="1:38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spans="1:38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spans="1:38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spans="1:38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spans="1:38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spans="1:38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38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spans="1:38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spans="1:38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spans="1:38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1:38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spans="1:38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spans="1:38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spans="1:38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spans="1:38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spans="1:38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spans="1:38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spans="1:38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1:38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spans="1:38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spans="1:38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38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1:38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spans="1:38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spans="1:38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spans="1:38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38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spans="1:38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spans="1:38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spans="1:38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spans="1:38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spans="1:38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spans="1:38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spans="1:38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spans="1:38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spans="1:38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spans="1:38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spans="1:38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spans="1:38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spans="1:38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spans="1:38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spans="1:38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spans="1:38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spans="1:38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spans="1:38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spans="1:38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spans="1:38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spans="1:38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spans="1:38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spans="1:38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spans="1:38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spans="1:38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spans="1:38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spans="1:38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spans="1:38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spans="1:38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spans="1:38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spans="1:38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spans="1:38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spans="1:38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spans="1:38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spans="1:38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spans="1:38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spans="1:38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spans="1:38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spans="1:38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spans="1:38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spans="1:38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spans="1:38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spans="1:38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spans="1:38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spans="1:38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spans="1:38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spans="1:38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spans="1:38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spans="1:38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spans="1:38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spans="1:38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spans="1:38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spans="1:38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spans="1:38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spans="1:38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spans="1:38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spans="1:38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spans="1:38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spans="1:38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spans="1:38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spans="1:38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spans="1:38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spans="1:38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spans="1:38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spans="1:38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spans="1:38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spans="1:38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spans="1:38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spans="1:38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spans="1:38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spans="1:38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spans="1:38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spans="1:38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spans="1:38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spans="1:38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spans="1:38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spans="1:38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spans="1:38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spans="1:38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spans="1:38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spans="1:38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spans="1:38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spans="1:38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spans="1:38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spans="1:38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spans="1:38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spans="1:38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spans="1:38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spans="1:38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spans="1:38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spans="1:38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spans="1:38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spans="1:38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spans="1:38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spans="1:38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spans="1:38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spans="1:38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spans="1:38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spans="1:38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spans="1:38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spans="1:38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spans="1:38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spans="1:38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spans="1:38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spans="1:38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spans="1:38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spans="1:38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spans="1:38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spans="1:38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spans="1:38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spans="1:38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spans="1:38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spans="1:38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spans="1:38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spans="1:38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spans="1:38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spans="1:38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spans="1:38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spans="1:38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spans="1:38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spans="1:38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spans="1:38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spans="1:38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spans="1:38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spans="1:38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spans="1:38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spans="1:38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spans="1:38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spans="1:38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spans="1:38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spans="1:38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spans="1:38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spans="1:38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spans="1:38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spans="1:38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spans="1:38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spans="1:38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spans="1:38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spans="1:38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spans="1:38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spans="1:38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spans="1:38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spans="1:38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spans="1:38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spans="1:38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spans="1:38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spans="1:38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spans="1:38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spans="1:38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spans="1:38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spans="1:38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spans="1:38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spans="1:38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spans="1:38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spans="1:38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spans="1:38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spans="1:38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spans="1:38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spans="1:38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spans="1:38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spans="1:38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spans="1:38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spans="1:38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spans="1:38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spans="1:38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spans="1:38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spans="1:38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spans="1:38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spans="1:38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spans="1:38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spans="1:38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spans="1:38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spans="1:38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spans="1:38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spans="1:38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spans="1:38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spans="1:38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spans="1:38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spans="1:38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spans="1:38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spans="1:38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spans="1:38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spans="1:38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spans="1:38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spans="1:38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spans="1:38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spans="1:38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spans="1:38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spans="1:38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spans="1:38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spans="1:38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spans="1:38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spans="1:38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spans="1:38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spans="1:38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spans="1:38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spans="1:38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spans="1:38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spans="1:38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spans="1:38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spans="1:38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spans="1:38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spans="1:38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spans="1:38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spans="1:38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spans="1:38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spans="1:38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spans="1:38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spans="1:38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spans="1:38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spans="1:38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spans="1:38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spans="1:38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spans="1:38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spans="1:38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spans="1:38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spans="1:38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spans="1:38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spans="1:38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spans="1:38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spans="1:38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spans="1:38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spans="1:38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spans="1:38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spans="1:38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spans="1:38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spans="1:38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spans="1:38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spans="1:38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spans="1:38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spans="1:38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spans="1:38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spans="1:38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spans="1:38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spans="1:38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spans="1:38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spans="1:38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spans="1:38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spans="1:38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spans="1:38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spans="1:38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spans="1:38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spans="1:38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spans="1:38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spans="1:38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spans="1:38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spans="1:38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spans="1:38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spans="1:38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spans="1:38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spans="1:38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spans="1:38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spans="1:38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spans="1:38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spans="1:38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spans="1:38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spans="1:38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spans="1:38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spans="1:38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spans="1:38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spans="1:38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spans="1:38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spans="1:38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spans="1:38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spans="1:38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spans="1:38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spans="1:38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spans="1:38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spans="1:38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spans="1:38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spans="1:38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spans="1:38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spans="1:38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spans="1:38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spans="1:38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spans="1:38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spans="1:38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spans="1:38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spans="1:38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spans="1:38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spans="1:38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spans="1:38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spans="1:38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spans="1:38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spans="1:38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spans="1:38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spans="1:38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spans="1:38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spans="1:38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spans="1:38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spans="1:38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spans="1:38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spans="1:38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spans="1:38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spans="1:38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spans="1:38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spans="1:38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spans="1:38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spans="1:38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spans="1:38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spans="1:38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spans="1:38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spans="1:38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spans="1:38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spans="1:38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spans="1:38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spans="1:38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spans="1:38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spans="1:38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spans="1:38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spans="1:38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spans="1:38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spans="1:38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spans="1:38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spans="1:38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spans="1:38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spans="1:38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spans="1:38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spans="1:38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spans="1:38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spans="1:38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spans="1:38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spans="1:38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spans="1:38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spans="1:38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spans="1:38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spans="1:38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spans="1:38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spans="1:38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spans="1:38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spans="1:38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spans="1:38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spans="1:38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spans="1:38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spans="1:38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spans="1:38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spans="1:38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spans="1:38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spans="1:38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spans="1:38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spans="1:38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spans="1:38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spans="1:38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spans="1:38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spans="1:38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spans="1:38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spans="1:38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spans="1:38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spans="1:38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spans="1:38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spans="1:38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spans="1:38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spans="1:38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spans="1:38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spans="1:38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spans="1:38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spans="1:38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spans="1:38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spans="1:38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spans="1:38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spans="1:38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spans="1:38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spans="1:38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spans="1:38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spans="1:38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spans="1:38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spans="1:38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spans="1:38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spans="1:38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spans="1:38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spans="1:38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spans="1:38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spans="1:38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spans="1:38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spans="1:38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spans="1:38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spans="1:38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spans="1:38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spans="1:38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spans="1:38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spans="1:38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spans="1:38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spans="1:38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spans="1:38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spans="1:38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spans="1:38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spans="1:38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spans="1:38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spans="1:38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spans="1:38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spans="1:38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spans="1:38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spans="1:38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spans="1:38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spans="1:38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spans="1:38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spans="1:38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spans="1:38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spans="1:38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spans="1:38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spans="1:38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spans="1:38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spans="1:38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spans="1:38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spans="1:38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spans="1:38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spans="1:38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spans="1:38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spans="1:38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spans="1:38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spans="1:38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spans="1:38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spans="1:38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spans="1:38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spans="1:38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spans="1:38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spans="1:38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spans="1:38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spans="1:38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spans="1:38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spans="1:38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spans="1:38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spans="1:38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spans="1:38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spans="1:38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</sheetData>
  <mergeCells count="3">
    <mergeCell ref="C1:V1"/>
    <mergeCell ref="W1:AL1"/>
    <mergeCell ref="A38:V38"/>
  </mergeCells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V997"/>
  <sheetViews>
    <sheetView workbookViewId="0">
      <selection activeCell="C9" sqref="C9"/>
    </sheetView>
  </sheetViews>
  <sheetFormatPr baseColWidth="10" defaultColWidth="12.5703125" defaultRowHeight="15" customHeight="1" x14ac:dyDescent="0.2"/>
  <cols>
    <col min="1" max="1" width="33.7109375" customWidth="1"/>
    <col min="2" max="7" width="12.7109375" customWidth="1"/>
    <col min="8" max="9" width="13.7109375" customWidth="1"/>
    <col min="10" max="48" width="12.7109375" customWidth="1"/>
  </cols>
  <sheetData>
    <row r="1" spans="1:48" ht="27" customHeight="1" x14ac:dyDescent="0.45">
      <c r="A1" s="1" t="s">
        <v>328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3"/>
      <c r="AN1" s="3"/>
      <c r="AO1" s="3"/>
      <c r="AP1" s="3"/>
      <c r="AQ1" s="3"/>
      <c r="AR1" s="86"/>
      <c r="AS1" s="86"/>
      <c r="AT1" s="86"/>
      <c r="AU1" s="86"/>
      <c r="AV1" s="86"/>
    </row>
    <row r="2" spans="1:48" ht="15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15.75" customHeight="1" x14ac:dyDescent="0.2">
      <c r="A3" s="161" t="s">
        <v>53</v>
      </c>
      <c r="B3" s="161">
        <v>0</v>
      </c>
      <c r="C3" s="161">
        <v>1</v>
      </c>
      <c r="D3" s="161">
        <v>2</v>
      </c>
      <c r="E3" s="161">
        <v>3</v>
      </c>
      <c r="F3" s="161">
        <v>4</v>
      </c>
      <c r="G3" s="161">
        <v>5</v>
      </c>
      <c r="H3" s="161">
        <v>6</v>
      </c>
      <c r="I3" s="161">
        <v>7</v>
      </c>
      <c r="J3" s="161">
        <v>8</v>
      </c>
      <c r="K3" s="161">
        <v>9</v>
      </c>
      <c r="L3" s="161">
        <v>10</v>
      </c>
      <c r="M3" s="161">
        <v>11</v>
      </c>
      <c r="N3" s="161">
        <v>12</v>
      </c>
      <c r="O3" s="161">
        <v>13</v>
      </c>
      <c r="P3" s="161">
        <v>14</v>
      </c>
      <c r="Q3" s="161">
        <v>15</v>
      </c>
      <c r="R3" s="161">
        <v>16</v>
      </c>
      <c r="S3" s="161">
        <v>17</v>
      </c>
      <c r="T3" s="161">
        <v>18</v>
      </c>
      <c r="U3" s="161">
        <v>19</v>
      </c>
      <c r="V3" s="161">
        <v>20</v>
      </c>
      <c r="W3" s="161">
        <v>21</v>
      </c>
      <c r="X3" s="161">
        <v>22</v>
      </c>
      <c r="Y3" s="161">
        <v>23</v>
      </c>
      <c r="Z3" s="161">
        <v>24</v>
      </c>
      <c r="AA3" s="161">
        <v>25</v>
      </c>
      <c r="AB3" s="161">
        <v>26</v>
      </c>
      <c r="AC3" s="161">
        <v>27</v>
      </c>
      <c r="AD3" s="161">
        <v>28</v>
      </c>
      <c r="AE3" s="161">
        <v>29</v>
      </c>
      <c r="AF3" s="161">
        <v>30</v>
      </c>
      <c r="AG3" s="161">
        <v>31</v>
      </c>
      <c r="AH3" s="161">
        <v>32</v>
      </c>
      <c r="AI3" s="161">
        <v>33</v>
      </c>
      <c r="AJ3" s="161">
        <v>34</v>
      </c>
      <c r="AK3" s="116">
        <v>35</v>
      </c>
      <c r="AL3" s="161">
        <f>AK3+1</f>
        <v>36</v>
      </c>
      <c r="AM3" s="3"/>
      <c r="AN3" s="3"/>
      <c r="AO3" s="3"/>
      <c r="AP3" s="3"/>
      <c r="AQ3" s="3"/>
      <c r="AR3" s="143"/>
      <c r="AS3" s="143"/>
      <c r="AT3" s="143"/>
      <c r="AU3" s="143"/>
      <c r="AV3" s="143"/>
    </row>
    <row r="4" spans="1:48" ht="15.75" customHeight="1" x14ac:dyDescent="0.2">
      <c r="A4" s="161" t="s">
        <v>54</v>
      </c>
      <c r="B4" s="161"/>
      <c r="C4" s="327">
        <v>45292</v>
      </c>
      <c r="D4" s="327">
        <v>45323</v>
      </c>
      <c r="E4" s="327">
        <v>45352</v>
      </c>
      <c r="F4" s="327">
        <v>45383</v>
      </c>
      <c r="G4" s="327">
        <v>45413</v>
      </c>
      <c r="H4" s="327">
        <v>45444</v>
      </c>
      <c r="I4" s="327">
        <v>45474</v>
      </c>
      <c r="J4" s="327">
        <v>45505</v>
      </c>
      <c r="K4" s="327">
        <v>45536</v>
      </c>
      <c r="L4" s="327">
        <v>45566</v>
      </c>
      <c r="M4" s="327">
        <v>45597</v>
      </c>
      <c r="N4" s="327">
        <v>45627</v>
      </c>
      <c r="O4" s="327">
        <v>45658</v>
      </c>
      <c r="P4" s="327">
        <v>45689</v>
      </c>
      <c r="Q4" s="327">
        <v>45717</v>
      </c>
      <c r="R4" s="327">
        <v>45748</v>
      </c>
      <c r="S4" s="327">
        <v>45778</v>
      </c>
      <c r="T4" s="327">
        <v>45809</v>
      </c>
      <c r="U4" s="327">
        <v>45839</v>
      </c>
      <c r="V4" s="327">
        <v>45870</v>
      </c>
      <c r="W4" s="327">
        <v>45901</v>
      </c>
      <c r="X4" s="327">
        <v>45931</v>
      </c>
      <c r="Y4" s="327">
        <v>45962</v>
      </c>
      <c r="Z4" s="327">
        <v>45992</v>
      </c>
      <c r="AA4" s="327">
        <v>46023</v>
      </c>
      <c r="AB4" s="327">
        <v>46054</v>
      </c>
      <c r="AC4" s="327">
        <v>46082</v>
      </c>
      <c r="AD4" s="327">
        <v>46113</v>
      </c>
      <c r="AE4" s="327">
        <v>46143</v>
      </c>
      <c r="AF4" s="327">
        <v>46174</v>
      </c>
      <c r="AG4" s="327">
        <v>46204</v>
      </c>
      <c r="AH4" s="327">
        <v>46235</v>
      </c>
      <c r="AI4" s="327">
        <v>46266</v>
      </c>
      <c r="AJ4" s="327">
        <v>46296</v>
      </c>
      <c r="AK4" s="328">
        <v>46327</v>
      </c>
      <c r="AL4" s="327">
        <f>AK4+31</f>
        <v>46358</v>
      </c>
      <c r="AM4" s="3"/>
      <c r="AN4" s="3"/>
      <c r="AO4" s="3"/>
      <c r="AP4" s="3"/>
      <c r="AQ4" s="3"/>
      <c r="AR4" s="329"/>
      <c r="AS4" s="329"/>
      <c r="AT4" s="329"/>
      <c r="AU4" s="329"/>
      <c r="AV4" s="329"/>
    </row>
    <row r="5" spans="1:48" ht="15.75" customHeight="1" x14ac:dyDescent="0.2">
      <c r="A5" s="306" t="s">
        <v>329</v>
      </c>
      <c r="B5" s="121">
        <f>'FLUJO DE CAJA NETO'!B13</f>
        <v>0</v>
      </c>
      <c r="C5" s="121">
        <f>'FLUJO DE CAJA NETO'!C13</f>
        <v>0</v>
      </c>
      <c r="D5" s="121">
        <f>'FLUJO DE CAJA NETO'!D13</f>
        <v>0</v>
      </c>
      <c r="E5" s="121">
        <f>'FLUJO DE CAJA NETO'!E13</f>
        <v>0</v>
      </c>
      <c r="F5" s="121">
        <f>'FLUJO DE CAJA NETO'!F13</f>
        <v>0</v>
      </c>
      <c r="G5" s="121">
        <f>'FLUJO DE CAJA NETO'!G13</f>
        <v>0</v>
      </c>
      <c r="H5" s="121">
        <f>'FLUJO DE CAJA NETO'!H13</f>
        <v>0</v>
      </c>
      <c r="I5" s="121">
        <f>'FLUJO DE CAJA NETO'!I13</f>
        <v>0</v>
      </c>
      <c r="J5" s="121">
        <f>'FLUJO DE CAJA NETO'!J13</f>
        <v>0</v>
      </c>
      <c r="K5" s="121">
        <f>'FLUJO DE CAJA NETO'!K13</f>
        <v>0</v>
      </c>
      <c r="L5" s="121">
        <f>'FLUJO DE CAJA NETO'!L13</f>
        <v>0</v>
      </c>
      <c r="M5" s="121">
        <f>'FLUJO DE CAJA NETO'!M13</f>
        <v>0</v>
      </c>
      <c r="N5" s="121">
        <f>'FLUJO DE CAJA NETO'!N13</f>
        <v>0</v>
      </c>
      <c r="O5" s="121">
        <f>'FLUJO DE CAJA NETO'!O13+'TARIFAS DE OPERACION'!O34</f>
        <v>0</v>
      </c>
      <c r="P5" s="121">
        <f>'FLUJO DE CAJA NETO'!P13</f>
        <v>0</v>
      </c>
      <c r="Q5" s="121">
        <f>'FLUJO DE CAJA NETO'!Q13</f>
        <v>0</v>
      </c>
      <c r="R5" s="121">
        <f>'FLUJO DE CAJA NETO'!R13</f>
        <v>0</v>
      </c>
      <c r="S5" s="121">
        <f>'FLUJO DE CAJA NETO'!S13</f>
        <v>0</v>
      </c>
      <c r="T5" s="121">
        <f>'FLUJO DE CAJA NETO'!T13</f>
        <v>0</v>
      </c>
      <c r="U5" s="121">
        <f>'FLUJO DE CAJA NETO'!U13</f>
        <v>0</v>
      </c>
      <c r="V5" s="121">
        <f>'FLUJO DE CAJA NETO'!V13</f>
        <v>0</v>
      </c>
      <c r="W5" s="121">
        <f>'FLUJO DE CAJA NETO'!W13</f>
        <v>0</v>
      </c>
      <c r="X5" s="121">
        <f>'FLUJO DE CAJA NETO'!X13</f>
        <v>0</v>
      </c>
      <c r="Y5" s="121">
        <f>'FLUJO DE CAJA NETO'!Y13</f>
        <v>0</v>
      </c>
      <c r="Z5" s="121">
        <f>'FLUJO DE CAJA NETO'!Z13</f>
        <v>0</v>
      </c>
      <c r="AA5" s="121">
        <f>'FLUJO DE CAJA NETO'!AA13</f>
        <v>0</v>
      </c>
      <c r="AB5" s="121">
        <f>'FLUJO DE CAJA NETO'!AB13</f>
        <v>0</v>
      </c>
      <c r="AC5" s="121">
        <f>'FLUJO DE CAJA NETO'!AC13</f>
        <v>0</v>
      </c>
      <c r="AD5" s="121">
        <f>'FLUJO DE CAJA NETO'!AD13</f>
        <v>0</v>
      </c>
      <c r="AE5" s="121">
        <f>'FLUJO DE CAJA NETO'!AE13</f>
        <v>0</v>
      </c>
      <c r="AF5" s="121">
        <f>'FLUJO DE CAJA NETO'!AF13</f>
        <v>0</v>
      </c>
      <c r="AG5" s="121">
        <f>'FLUJO DE CAJA NETO'!AG13</f>
        <v>0</v>
      </c>
      <c r="AH5" s="121">
        <f>'FLUJO DE CAJA NETO'!AH13</f>
        <v>0</v>
      </c>
      <c r="AI5" s="121">
        <f>'FLUJO DE CAJA NETO'!AI13</f>
        <v>0</v>
      </c>
      <c r="AJ5" s="121">
        <f>'FLUJO DE CAJA NETO'!AJ13</f>
        <v>0</v>
      </c>
      <c r="AK5" s="330">
        <f>'FLUJO DE CAJA NETO'!AK13</f>
        <v>0</v>
      </c>
      <c r="AL5" s="121">
        <f>'FLUJO DE CAJA NETO'!AL13</f>
        <v>0</v>
      </c>
      <c r="AM5" s="3"/>
      <c r="AN5" s="3"/>
      <c r="AO5" s="3"/>
      <c r="AP5" s="3"/>
      <c r="AQ5" s="3"/>
      <c r="AR5" s="331"/>
      <c r="AS5" s="331"/>
      <c r="AT5" s="331"/>
      <c r="AU5" s="331"/>
      <c r="AV5" s="331"/>
    </row>
    <row r="6" spans="1:48" ht="15.75" customHeight="1" x14ac:dyDescent="0.2">
      <c r="A6" s="306" t="s">
        <v>330</v>
      </c>
      <c r="B6" s="121"/>
      <c r="C6" s="121">
        <f>-'COSTOS DE OPERACION'!C$34</f>
        <v>0</v>
      </c>
      <c r="D6" s="121">
        <f>-'COSTOS DE OPERACION'!D$34</f>
        <v>0</v>
      </c>
      <c r="E6" s="121">
        <f>-'COSTOS DE OPERACION'!E$34</f>
        <v>0</v>
      </c>
      <c r="F6" s="121">
        <f>-'COSTOS DE OPERACION'!F$34</f>
        <v>0</v>
      </c>
      <c r="G6" s="121">
        <f>-'COSTOS DE OPERACION'!G$34</f>
        <v>0</v>
      </c>
      <c r="H6" s="121">
        <f>-'COSTOS DE OPERACION'!H34</f>
        <v>0</v>
      </c>
      <c r="I6" s="121">
        <f>-'COSTOS DE OPERACION'!I34</f>
        <v>0</v>
      </c>
      <c r="J6" s="121">
        <f>-'COSTOS DE OPERACION'!J34</f>
        <v>0</v>
      </c>
      <c r="K6" s="121">
        <f>-'COSTOS DE OPERACION'!K34</f>
        <v>0</v>
      </c>
      <c r="L6" s="121">
        <f>-'COSTOS DE OPERACION'!L34</f>
        <v>0</v>
      </c>
      <c r="M6" s="121">
        <f>-'COSTOS DE OPERACION'!M34</f>
        <v>0</v>
      </c>
      <c r="N6" s="121">
        <f>-'COSTOS DE OPERACION'!N34</f>
        <v>0</v>
      </c>
      <c r="O6" s="121">
        <f>-'COSTOS DE OPERACION'!O34</f>
        <v>0</v>
      </c>
      <c r="P6" s="121">
        <f>-'COSTOS DE OPERACION'!P34</f>
        <v>0</v>
      </c>
      <c r="Q6" s="121">
        <f>-'COSTOS DE OPERACION'!Q34</f>
        <v>0</v>
      </c>
      <c r="R6" s="121">
        <f>-'COSTOS DE OPERACION'!R34</f>
        <v>0</v>
      </c>
      <c r="S6" s="121">
        <f>-'COSTOS DE OPERACION'!S34</f>
        <v>0</v>
      </c>
      <c r="T6" s="121">
        <f>-'COSTOS DE OPERACION'!T34</f>
        <v>0</v>
      </c>
      <c r="U6" s="121">
        <f>-'COSTOS DE OPERACION'!U34</f>
        <v>0</v>
      </c>
      <c r="V6" s="121">
        <f>-'COSTOS DE OPERACION'!V34</f>
        <v>0</v>
      </c>
      <c r="W6" s="121">
        <f>-'COSTOS DE OPERACION'!W34</f>
        <v>0</v>
      </c>
      <c r="X6" s="121">
        <f>-'COSTOS DE OPERACION'!X34</f>
        <v>0</v>
      </c>
      <c r="Y6" s="121">
        <f>-'COSTOS DE OPERACION'!Y34</f>
        <v>0</v>
      </c>
      <c r="Z6" s="121">
        <f>-'COSTOS DE OPERACION'!Z34</f>
        <v>0</v>
      </c>
      <c r="AA6" s="121">
        <f>-'COSTOS DE OPERACION'!AA34</f>
        <v>0</v>
      </c>
      <c r="AB6" s="121">
        <f>-'COSTOS DE OPERACION'!AB34</f>
        <v>0</v>
      </c>
      <c r="AC6" s="121">
        <f>-'COSTOS DE OPERACION'!AC34</f>
        <v>0</v>
      </c>
      <c r="AD6" s="121">
        <f>-'COSTOS DE OPERACION'!AD34</f>
        <v>0</v>
      </c>
      <c r="AE6" s="121">
        <f>-'COSTOS DE OPERACION'!AE34</f>
        <v>0</v>
      </c>
      <c r="AF6" s="121">
        <f>-'COSTOS DE OPERACION'!AF34</f>
        <v>0</v>
      </c>
      <c r="AG6" s="121">
        <f>-'COSTOS DE OPERACION'!AG34</f>
        <v>0</v>
      </c>
      <c r="AH6" s="121">
        <f>-'COSTOS DE OPERACION'!AH34</f>
        <v>0</v>
      </c>
      <c r="AI6" s="121">
        <f>-'COSTOS DE OPERACION'!AI34</f>
        <v>0</v>
      </c>
      <c r="AJ6" s="121">
        <f>-'COSTOS DE OPERACION'!AJ34</f>
        <v>0</v>
      </c>
      <c r="AK6" s="121">
        <f>-'COSTOS DE OPERACION'!AK34</f>
        <v>0</v>
      </c>
      <c r="AL6" s="121">
        <f>-'COSTOS DE OPERACION'!AL34</f>
        <v>0</v>
      </c>
      <c r="AM6" s="3"/>
      <c r="AN6" s="3"/>
      <c r="AO6" s="3"/>
      <c r="AP6" s="3"/>
      <c r="AQ6" s="3"/>
      <c r="AR6" s="331"/>
      <c r="AS6" s="331"/>
      <c r="AT6" s="331"/>
      <c r="AU6" s="331"/>
      <c r="AV6" s="331"/>
    </row>
    <row r="7" spans="1:48" ht="15.75" customHeight="1" x14ac:dyDescent="0.2">
      <c r="A7" s="306" t="s">
        <v>331</v>
      </c>
      <c r="B7" s="121"/>
      <c r="C7" s="332">
        <f>'FLUJO DE CAJA NETO'!C33</f>
        <v>0</v>
      </c>
      <c r="D7" s="332">
        <f>'FLUJO DE CAJA NETO'!D33</f>
        <v>0</v>
      </c>
      <c r="E7" s="332">
        <f>'FLUJO DE CAJA NETO'!E33</f>
        <v>0</v>
      </c>
      <c r="F7" s="332">
        <f>'FLUJO DE CAJA NETO'!F33</f>
        <v>0</v>
      </c>
      <c r="G7" s="332">
        <f>'FLUJO DE CAJA NETO'!G33</f>
        <v>0</v>
      </c>
      <c r="H7" s="332">
        <f>'FLUJO DE CAJA NETO'!H33</f>
        <v>0</v>
      </c>
      <c r="I7" s="332">
        <f>'FLUJO DE CAJA NETO'!I33</f>
        <v>0</v>
      </c>
      <c r="J7" s="332">
        <f>'FLUJO DE CAJA NETO'!J33</f>
        <v>0</v>
      </c>
      <c r="K7" s="332">
        <f>'FLUJO DE CAJA NETO'!K33</f>
        <v>0</v>
      </c>
      <c r="L7" s="332">
        <f>'FLUJO DE CAJA NETO'!L33</f>
        <v>0</v>
      </c>
      <c r="M7" s="332">
        <f>'FLUJO DE CAJA NETO'!M33</f>
        <v>0</v>
      </c>
      <c r="N7" s="332">
        <f>'FLUJO DE CAJA NETO'!N33</f>
        <v>0</v>
      </c>
      <c r="O7" s="332">
        <f>'FLUJO DE CAJA NETO'!O33</f>
        <v>0</v>
      </c>
      <c r="P7" s="332">
        <f>'FLUJO DE CAJA NETO'!P33</f>
        <v>0</v>
      </c>
      <c r="Q7" s="332">
        <f>'FLUJO DE CAJA NETO'!Q33</f>
        <v>0</v>
      </c>
      <c r="R7" s="332">
        <f>'FLUJO DE CAJA NETO'!R33</f>
        <v>0</v>
      </c>
      <c r="S7" s="332">
        <f>'FLUJO DE CAJA NETO'!S33</f>
        <v>0</v>
      </c>
      <c r="T7" s="332">
        <f>'FLUJO DE CAJA NETO'!T33</f>
        <v>0</v>
      </c>
      <c r="U7" s="332">
        <f>'FLUJO DE CAJA NETO'!U33</f>
        <v>0</v>
      </c>
      <c r="V7" s="332">
        <f>'FLUJO DE CAJA NETO'!V33</f>
        <v>0</v>
      </c>
      <c r="W7" s="332">
        <f>'FLUJO DE CAJA NETO'!W33</f>
        <v>0</v>
      </c>
      <c r="X7" s="332">
        <f>'FLUJO DE CAJA NETO'!X33</f>
        <v>0</v>
      </c>
      <c r="Y7" s="332">
        <f>'FLUJO DE CAJA NETO'!Y33</f>
        <v>0</v>
      </c>
      <c r="Z7" s="332">
        <f>'FLUJO DE CAJA NETO'!Z33</f>
        <v>0</v>
      </c>
      <c r="AA7" s="332">
        <f>'FLUJO DE CAJA NETO'!AA33</f>
        <v>0</v>
      </c>
      <c r="AB7" s="332">
        <f>'FLUJO DE CAJA NETO'!AB33</f>
        <v>0</v>
      </c>
      <c r="AC7" s="332">
        <f>'FLUJO DE CAJA NETO'!AC33</f>
        <v>0</v>
      </c>
      <c r="AD7" s="332">
        <f>'FLUJO DE CAJA NETO'!AD33</f>
        <v>0</v>
      </c>
      <c r="AE7" s="332">
        <f>'FLUJO DE CAJA NETO'!AE33</f>
        <v>0</v>
      </c>
      <c r="AF7" s="332">
        <f>'FLUJO DE CAJA NETO'!AF33</f>
        <v>0</v>
      </c>
      <c r="AG7" s="332">
        <f>'FLUJO DE CAJA NETO'!AG33</f>
        <v>0</v>
      </c>
      <c r="AH7" s="332">
        <f>'FLUJO DE CAJA NETO'!AH33</f>
        <v>0</v>
      </c>
      <c r="AI7" s="332">
        <f>'FLUJO DE CAJA NETO'!AI33</f>
        <v>0</v>
      </c>
      <c r="AJ7" s="332">
        <f>'FLUJO DE CAJA NETO'!AJ33</f>
        <v>0</v>
      </c>
      <c r="AK7" s="332">
        <f>'FLUJO DE CAJA NETO'!AK33</f>
        <v>0</v>
      </c>
      <c r="AL7" s="332">
        <f>'FLUJO DE CAJA NETO'!AL33</f>
        <v>0</v>
      </c>
      <c r="AM7" s="3"/>
      <c r="AN7" s="3"/>
      <c r="AO7" s="3"/>
      <c r="AP7" s="3"/>
      <c r="AQ7" s="3"/>
      <c r="AR7" s="331"/>
      <c r="AS7" s="331"/>
      <c r="AT7" s="331"/>
      <c r="AU7" s="331"/>
      <c r="AV7" s="331"/>
    </row>
    <row r="8" spans="1:48" ht="15.75" customHeight="1" x14ac:dyDescent="0.2">
      <c r="A8" s="306" t="s">
        <v>332</v>
      </c>
      <c r="B8" s="121"/>
      <c r="C8" s="121">
        <f>SUM('FLUJO DE CAJA NETO'!C35)</f>
        <v>0</v>
      </c>
      <c r="D8" s="121">
        <f>SUM('FLUJO DE CAJA NETO'!D35)</f>
        <v>0</v>
      </c>
      <c r="E8" s="121">
        <f>SUM('FLUJO DE CAJA NETO'!E35)</f>
        <v>0</v>
      </c>
      <c r="F8" s="121">
        <f>SUM('FLUJO DE CAJA NETO'!F35)</f>
        <v>0</v>
      </c>
      <c r="G8" s="121">
        <f>SUM('FLUJO DE CAJA NETO'!G35)</f>
        <v>0</v>
      </c>
      <c r="H8" s="121">
        <f>SUM('FLUJO DE CAJA NETO'!H35)</f>
        <v>0</v>
      </c>
      <c r="I8" s="121">
        <f>SUM('FLUJO DE CAJA NETO'!I35)</f>
        <v>0</v>
      </c>
      <c r="J8" s="121">
        <f>SUM('FLUJO DE CAJA NETO'!J35)</f>
        <v>0</v>
      </c>
      <c r="K8" s="121">
        <f>SUM('FLUJO DE CAJA NETO'!K35)</f>
        <v>0</v>
      </c>
      <c r="L8" s="121">
        <f>SUM('FLUJO DE CAJA NETO'!L35)</f>
        <v>0</v>
      </c>
      <c r="M8" s="121">
        <f>SUM('FLUJO DE CAJA NETO'!M35)</f>
        <v>0</v>
      </c>
      <c r="N8" s="121">
        <f>SUM('FLUJO DE CAJA NETO'!N35)</f>
        <v>0</v>
      </c>
      <c r="O8" s="121">
        <f>SUM('FLUJO DE CAJA NETO'!O35)</f>
        <v>0</v>
      </c>
      <c r="P8" s="121">
        <f>SUM('FLUJO DE CAJA NETO'!P35)</f>
        <v>0</v>
      </c>
      <c r="Q8" s="121">
        <f>SUM('FLUJO DE CAJA NETO'!Q35)</f>
        <v>0</v>
      </c>
      <c r="R8" s="121">
        <f>SUM('FLUJO DE CAJA NETO'!R35)</f>
        <v>0</v>
      </c>
      <c r="S8" s="121">
        <f>SUM('FLUJO DE CAJA NETO'!S35)</f>
        <v>0</v>
      </c>
      <c r="T8" s="121">
        <f>SUM('FLUJO DE CAJA NETO'!T35)</f>
        <v>0</v>
      </c>
      <c r="U8" s="121">
        <f>SUM('FLUJO DE CAJA NETO'!U35)</f>
        <v>0</v>
      </c>
      <c r="V8" s="121">
        <f>SUM('FLUJO DE CAJA NETO'!V35)</f>
        <v>0</v>
      </c>
      <c r="W8" s="121">
        <f>SUM('FLUJO DE CAJA NETO'!W35)</f>
        <v>0</v>
      </c>
      <c r="X8" s="121">
        <f>SUM('FLUJO DE CAJA NETO'!X35)</f>
        <v>0</v>
      </c>
      <c r="Y8" s="121">
        <f>SUM('FLUJO DE CAJA NETO'!Y35)</f>
        <v>0</v>
      </c>
      <c r="Z8" s="121">
        <f>SUM('FLUJO DE CAJA NETO'!Z35)</f>
        <v>0</v>
      </c>
      <c r="AA8" s="121">
        <f>SUM('FLUJO DE CAJA NETO'!AA35)</f>
        <v>0</v>
      </c>
      <c r="AB8" s="121">
        <f>SUM('FLUJO DE CAJA NETO'!AB35)</f>
        <v>0</v>
      </c>
      <c r="AC8" s="121">
        <f>SUM('FLUJO DE CAJA NETO'!AC35)</f>
        <v>0</v>
      </c>
      <c r="AD8" s="121">
        <f>SUM('FLUJO DE CAJA NETO'!AD35)</f>
        <v>0</v>
      </c>
      <c r="AE8" s="121">
        <f>SUM('FLUJO DE CAJA NETO'!AE35)</f>
        <v>0</v>
      </c>
      <c r="AF8" s="121">
        <f>SUM('FLUJO DE CAJA NETO'!AF35)</f>
        <v>0</v>
      </c>
      <c r="AG8" s="121">
        <f>SUM('FLUJO DE CAJA NETO'!AG35)</f>
        <v>0</v>
      </c>
      <c r="AH8" s="121">
        <f>SUM('FLUJO DE CAJA NETO'!AH35)</f>
        <v>0</v>
      </c>
      <c r="AI8" s="121">
        <f>SUM('FLUJO DE CAJA NETO'!AI35)</f>
        <v>0</v>
      </c>
      <c r="AJ8" s="121">
        <f>SUM('FLUJO DE CAJA NETO'!AJ35)</f>
        <v>0</v>
      </c>
      <c r="AK8" s="330">
        <f>SUM('FLUJO DE CAJA NETO'!AK35)</f>
        <v>0</v>
      </c>
      <c r="AL8" s="121">
        <f>SUM('FLUJO DE CAJA NETO'!AL35)</f>
        <v>0</v>
      </c>
      <c r="AM8" s="3"/>
      <c r="AN8" s="3"/>
      <c r="AO8" s="3"/>
      <c r="AP8" s="3"/>
      <c r="AQ8" s="3"/>
      <c r="AR8" s="331"/>
      <c r="AS8" s="331"/>
      <c r="AT8" s="331"/>
      <c r="AU8" s="331"/>
      <c r="AV8" s="331"/>
    </row>
    <row r="9" spans="1:48" ht="15.75" customHeight="1" x14ac:dyDescent="0.2">
      <c r="A9" s="306" t="s">
        <v>333</v>
      </c>
      <c r="B9" s="121"/>
      <c r="C9" s="121">
        <f>-FINANCIAMIENTO!$C$20</f>
        <v>0</v>
      </c>
      <c r="D9" s="121">
        <f>-FINANCIAMIENTO!$C$20</f>
        <v>0</v>
      </c>
      <c r="E9" s="121">
        <f>-FINANCIAMIENTO!$C$20</f>
        <v>0</v>
      </c>
      <c r="F9" s="121">
        <f>-FINANCIAMIENTO!$C$20</f>
        <v>0</v>
      </c>
      <c r="G9" s="121">
        <f>-FINANCIAMIENTO!$C$20</f>
        <v>0</v>
      </c>
      <c r="H9" s="121">
        <f>-FINANCIAMIENTO!$C$20</f>
        <v>0</v>
      </c>
      <c r="I9" s="121">
        <f>-FINANCIAMIENTO!$C$20</f>
        <v>0</v>
      </c>
      <c r="J9" s="121">
        <f>-FINANCIAMIENTO!$C$20</f>
        <v>0</v>
      </c>
      <c r="K9" s="121">
        <f>-FINANCIAMIENTO!$C$20</f>
        <v>0</v>
      </c>
      <c r="L9" s="121">
        <f>-FINANCIAMIENTO!$C$20</f>
        <v>0</v>
      </c>
      <c r="M9" s="121">
        <f>-FINANCIAMIENTO!$C$20</f>
        <v>0</v>
      </c>
      <c r="N9" s="121">
        <f>-FINANCIAMIENTO!$C$20</f>
        <v>0</v>
      </c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330"/>
      <c r="AL9" s="121"/>
      <c r="AM9" s="3"/>
      <c r="AN9" s="3"/>
      <c r="AO9" s="3"/>
      <c r="AP9" s="3"/>
      <c r="AQ9" s="3"/>
      <c r="AR9" s="331"/>
      <c r="AS9" s="331"/>
      <c r="AT9" s="331"/>
      <c r="AU9" s="331"/>
      <c r="AV9" s="331"/>
    </row>
    <row r="10" spans="1:48" ht="15.75" customHeight="1" x14ac:dyDescent="0.2">
      <c r="A10" s="306" t="s">
        <v>334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>
        <f>-'ADQUISICIONES IMPLEMENTACIÓN'!M8</f>
        <v>0</v>
      </c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>
        <f>-'ADQUISICIONES OPERACIÓN'!M8</f>
        <v>0</v>
      </c>
      <c r="AF10" s="121"/>
      <c r="AG10" s="121"/>
      <c r="AH10" s="121"/>
      <c r="AI10" s="121"/>
      <c r="AJ10" s="121"/>
      <c r="AK10" s="121"/>
      <c r="AL10" s="121"/>
      <c r="AM10" s="3"/>
      <c r="AN10" s="3"/>
      <c r="AO10" s="3"/>
      <c r="AP10" s="3"/>
      <c r="AQ10" s="3"/>
      <c r="AR10" s="331"/>
      <c r="AS10" s="331"/>
      <c r="AT10" s="331"/>
      <c r="AU10" s="331"/>
      <c r="AV10" s="331"/>
    </row>
    <row r="11" spans="1:48" ht="15.75" customHeight="1" x14ac:dyDescent="0.2">
      <c r="A11" s="306" t="s">
        <v>335</v>
      </c>
      <c r="B11" s="333"/>
      <c r="C11" s="333">
        <f t="shared" ref="C11:AL11" si="0">SUM(C5:C10)</f>
        <v>0</v>
      </c>
      <c r="D11" s="333">
        <f t="shared" si="0"/>
        <v>0</v>
      </c>
      <c r="E11" s="333">
        <f t="shared" si="0"/>
        <v>0</v>
      </c>
      <c r="F11" s="333">
        <f t="shared" si="0"/>
        <v>0</v>
      </c>
      <c r="G11" s="333">
        <f t="shared" si="0"/>
        <v>0</v>
      </c>
      <c r="H11" s="333">
        <f t="shared" si="0"/>
        <v>0</v>
      </c>
      <c r="I11" s="333">
        <f t="shared" si="0"/>
        <v>0</v>
      </c>
      <c r="J11" s="333">
        <f t="shared" si="0"/>
        <v>0</v>
      </c>
      <c r="K11" s="333">
        <f t="shared" si="0"/>
        <v>0</v>
      </c>
      <c r="L11" s="333">
        <f t="shared" si="0"/>
        <v>0</v>
      </c>
      <c r="M11" s="333">
        <f t="shared" si="0"/>
        <v>0</v>
      </c>
      <c r="N11" s="333">
        <f t="shared" si="0"/>
        <v>0</v>
      </c>
      <c r="O11" s="333">
        <f t="shared" si="0"/>
        <v>0</v>
      </c>
      <c r="P11" s="333">
        <f t="shared" si="0"/>
        <v>0</v>
      </c>
      <c r="Q11" s="333">
        <f t="shared" si="0"/>
        <v>0</v>
      </c>
      <c r="R11" s="333">
        <f t="shared" si="0"/>
        <v>0</v>
      </c>
      <c r="S11" s="333">
        <f t="shared" si="0"/>
        <v>0</v>
      </c>
      <c r="T11" s="333">
        <f t="shared" si="0"/>
        <v>0</v>
      </c>
      <c r="U11" s="333">
        <f t="shared" si="0"/>
        <v>0</v>
      </c>
      <c r="V11" s="333">
        <f t="shared" si="0"/>
        <v>0</v>
      </c>
      <c r="W11" s="333">
        <f t="shared" si="0"/>
        <v>0</v>
      </c>
      <c r="X11" s="333">
        <f t="shared" si="0"/>
        <v>0</v>
      </c>
      <c r="Y11" s="333">
        <f t="shared" si="0"/>
        <v>0</v>
      </c>
      <c r="Z11" s="333">
        <f t="shared" si="0"/>
        <v>0</v>
      </c>
      <c r="AA11" s="333">
        <f t="shared" si="0"/>
        <v>0</v>
      </c>
      <c r="AB11" s="333">
        <f t="shared" si="0"/>
        <v>0</v>
      </c>
      <c r="AC11" s="333">
        <f t="shared" si="0"/>
        <v>0</v>
      </c>
      <c r="AD11" s="333">
        <f t="shared" si="0"/>
        <v>0</v>
      </c>
      <c r="AE11" s="333">
        <f t="shared" si="0"/>
        <v>0</v>
      </c>
      <c r="AF11" s="333">
        <f t="shared" si="0"/>
        <v>0</v>
      </c>
      <c r="AG11" s="333">
        <f t="shared" si="0"/>
        <v>0</v>
      </c>
      <c r="AH11" s="333">
        <f t="shared" si="0"/>
        <v>0</v>
      </c>
      <c r="AI11" s="333">
        <f t="shared" si="0"/>
        <v>0</v>
      </c>
      <c r="AJ11" s="333">
        <f t="shared" si="0"/>
        <v>0</v>
      </c>
      <c r="AK11" s="334">
        <f t="shared" si="0"/>
        <v>0</v>
      </c>
      <c r="AL11" s="333">
        <f t="shared" si="0"/>
        <v>0</v>
      </c>
      <c r="AM11" s="3"/>
      <c r="AN11" s="3"/>
      <c r="AO11" s="3"/>
      <c r="AP11" s="3"/>
      <c r="AQ11" s="3"/>
      <c r="AR11" s="335"/>
      <c r="AS11" s="335"/>
      <c r="AT11" s="335"/>
      <c r="AU11" s="335"/>
      <c r="AV11" s="335"/>
    </row>
    <row r="12" spans="1:48" ht="15.75" customHeight="1" x14ac:dyDescent="0.2">
      <c r="A12" s="306" t="s">
        <v>336</v>
      </c>
      <c r="B12" s="121"/>
      <c r="C12" s="121">
        <f t="shared" ref="C12:AL12" si="1">C11*-27%</f>
        <v>0</v>
      </c>
      <c r="D12" s="121">
        <f t="shared" si="1"/>
        <v>0</v>
      </c>
      <c r="E12" s="121">
        <f t="shared" si="1"/>
        <v>0</v>
      </c>
      <c r="F12" s="121">
        <f t="shared" si="1"/>
        <v>0</v>
      </c>
      <c r="G12" s="121">
        <f t="shared" si="1"/>
        <v>0</v>
      </c>
      <c r="H12" s="121">
        <f t="shared" si="1"/>
        <v>0</v>
      </c>
      <c r="I12" s="121">
        <f t="shared" si="1"/>
        <v>0</v>
      </c>
      <c r="J12" s="121">
        <f t="shared" si="1"/>
        <v>0</v>
      </c>
      <c r="K12" s="121">
        <f t="shared" si="1"/>
        <v>0</v>
      </c>
      <c r="L12" s="121">
        <f t="shared" si="1"/>
        <v>0</v>
      </c>
      <c r="M12" s="121">
        <f t="shared" si="1"/>
        <v>0</v>
      </c>
      <c r="N12" s="121">
        <f t="shared" si="1"/>
        <v>0</v>
      </c>
      <c r="O12" s="121">
        <f t="shared" si="1"/>
        <v>0</v>
      </c>
      <c r="P12" s="121">
        <f t="shared" si="1"/>
        <v>0</v>
      </c>
      <c r="Q12" s="121">
        <f t="shared" si="1"/>
        <v>0</v>
      </c>
      <c r="R12" s="121">
        <f t="shared" si="1"/>
        <v>0</v>
      </c>
      <c r="S12" s="121">
        <f t="shared" si="1"/>
        <v>0</v>
      </c>
      <c r="T12" s="121">
        <f t="shared" si="1"/>
        <v>0</v>
      </c>
      <c r="U12" s="121">
        <f t="shared" si="1"/>
        <v>0</v>
      </c>
      <c r="V12" s="121">
        <f t="shared" si="1"/>
        <v>0</v>
      </c>
      <c r="W12" s="121">
        <f t="shared" si="1"/>
        <v>0</v>
      </c>
      <c r="X12" s="121">
        <f t="shared" si="1"/>
        <v>0</v>
      </c>
      <c r="Y12" s="121">
        <f t="shared" si="1"/>
        <v>0</v>
      </c>
      <c r="Z12" s="121">
        <f t="shared" si="1"/>
        <v>0</v>
      </c>
      <c r="AA12" s="121">
        <f t="shared" si="1"/>
        <v>0</v>
      </c>
      <c r="AB12" s="121">
        <f t="shared" si="1"/>
        <v>0</v>
      </c>
      <c r="AC12" s="121">
        <f t="shared" si="1"/>
        <v>0</v>
      </c>
      <c r="AD12" s="121">
        <f t="shared" si="1"/>
        <v>0</v>
      </c>
      <c r="AE12" s="121">
        <f t="shared" si="1"/>
        <v>0</v>
      </c>
      <c r="AF12" s="121">
        <f t="shared" si="1"/>
        <v>0</v>
      </c>
      <c r="AG12" s="121">
        <f t="shared" si="1"/>
        <v>0</v>
      </c>
      <c r="AH12" s="121">
        <f t="shared" si="1"/>
        <v>0</v>
      </c>
      <c r="AI12" s="121">
        <f t="shared" si="1"/>
        <v>0</v>
      </c>
      <c r="AJ12" s="121">
        <f t="shared" si="1"/>
        <v>0</v>
      </c>
      <c r="AK12" s="121">
        <f t="shared" si="1"/>
        <v>0</v>
      </c>
      <c r="AL12" s="121">
        <f t="shared" si="1"/>
        <v>0</v>
      </c>
      <c r="AM12" s="3"/>
      <c r="AN12" s="3"/>
      <c r="AO12" s="3"/>
      <c r="AP12" s="3"/>
      <c r="AQ12" s="3"/>
      <c r="AR12" s="331"/>
      <c r="AS12" s="331"/>
      <c r="AT12" s="331"/>
      <c r="AU12" s="331"/>
      <c r="AV12" s="331"/>
    </row>
    <row r="13" spans="1:48" ht="15.75" customHeight="1" x14ac:dyDescent="0.2">
      <c r="A13" s="336" t="s">
        <v>337</v>
      </c>
      <c r="B13" s="333"/>
      <c r="C13" s="333">
        <f t="shared" ref="C13:AL13" si="2">SUM(C11:C12)</f>
        <v>0</v>
      </c>
      <c r="D13" s="333">
        <f t="shared" si="2"/>
        <v>0</v>
      </c>
      <c r="E13" s="333">
        <f t="shared" si="2"/>
        <v>0</v>
      </c>
      <c r="F13" s="333">
        <f t="shared" si="2"/>
        <v>0</v>
      </c>
      <c r="G13" s="333">
        <f t="shared" si="2"/>
        <v>0</v>
      </c>
      <c r="H13" s="333">
        <f t="shared" si="2"/>
        <v>0</v>
      </c>
      <c r="I13" s="333">
        <f t="shared" si="2"/>
        <v>0</v>
      </c>
      <c r="J13" s="333">
        <f t="shared" si="2"/>
        <v>0</v>
      </c>
      <c r="K13" s="333">
        <f t="shared" si="2"/>
        <v>0</v>
      </c>
      <c r="L13" s="333">
        <f t="shared" si="2"/>
        <v>0</v>
      </c>
      <c r="M13" s="333">
        <f t="shared" si="2"/>
        <v>0</v>
      </c>
      <c r="N13" s="333">
        <f t="shared" si="2"/>
        <v>0</v>
      </c>
      <c r="O13" s="333">
        <f t="shared" si="2"/>
        <v>0</v>
      </c>
      <c r="P13" s="333">
        <f t="shared" si="2"/>
        <v>0</v>
      </c>
      <c r="Q13" s="333">
        <f t="shared" si="2"/>
        <v>0</v>
      </c>
      <c r="R13" s="333">
        <f t="shared" si="2"/>
        <v>0</v>
      </c>
      <c r="S13" s="333">
        <f t="shared" si="2"/>
        <v>0</v>
      </c>
      <c r="T13" s="333">
        <f t="shared" si="2"/>
        <v>0</v>
      </c>
      <c r="U13" s="333">
        <f t="shared" si="2"/>
        <v>0</v>
      </c>
      <c r="V13" s="333">
        <f t="shared" si="2"/>
        <v>0</v>
      </c>
      <c r="W13" s="333">
        <f t="shared" si="2"/>
        <v>0</v>
      </c>
      <c r="X13" s="333">
        <f t="shared" si="2"/>
        <v>0</v>
      </c>
      <c r="Y13" s="333">
        <f t="shared" si="2"/>
        <v>0</v>
      </c>
      <c r="Z13" s="333">
        <f t="shared" si="2"/>
        <v>0</v>
      </c>
      <c r="AA13" s="333">
        <f t="shared" si="2"/>
        <v>0</v>
      </c>
      <c r="AB13" s="333">
        <f t="shared" si="2"/>
        <v>0</v>
      </c>
      <c r="AC13" s="333">
        <f t="shared" si="2"/>
        <v>0</v>
      </c>
      <c r="AD13" s="333">
        <f t="shared" si="2"/>
        <v>0</v>
      </c>
      <c r="AE13" s="333">
        <f t="shared" si="2"/>
        <v>0</v>
      </c>
      <c r="AF13" s="333">
        <f t="shared" si="2"/>
        <v>0</v>
      </c>
      <c r="AG13" s="333">
        <f t="shared" si="2"/>
        <v>0</v>
      </c>
      <c r="AH13" s="333">
        <f t="shared" si="2"/>
        <v>0</v>
      </c>
      <c r="AI13" s="333">
        <f t="shared" si="2"/>
        <v>0</v>
      </c>
      <c r="AJ13" s="333">
        <f t="shared" si="2"/>
        <v>0</v>
      </c>
      <c r="AK13" s="334">
        <f t="shared" si="2"/>
        <v>0</v>
      </c>
      <c r="AL13" s="333">
        <f t="shared" si="2"/>
        <v>0</v>
      </c>
      <c r="AM13" s="3"/>
      <c r="AN13" s="3"/>
      <c r="AO13" s="3"/>
      <c r="AP13" s="3"/>
      <c r="AQ13" s="3"/>
      <c r="AR13" s="335"/>
      <c r="AS13" s="335"/>
      <c r="AT13" s="335"/>
      <c r="AU13" s="335"/>
      <c r="AV13" s="335"/>
    </row>
    <row r="14" spans="1:48" ht="15.75" customHeight="1" x14ac:dyDescent="0.2">
      <c r="A14" s="306" t="s">
        <v>338</v>
      </c>
      <c r="B14" s="333">
        <f>-RESUMEN!$B$8*PARÁMETROS!B19</f>
        <v>0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337"/>
      <c r="AL14" s="121">
        <f>RESUMEN!B8*0.2+(-B14)</f>
        <v>0</v>
      </c>
      <c r="AM14" s="3"/>
      <c r="AN14" s="3"/>
      <c r="AO14" s="3"/>
      <c r="AP14" s="3"/>
      <c r="AQ14" s="3"/>
      <c r="AR14" s="331"/>
      <c r="AS14" s="331"/>
      <c r="AT14" s="331"/>
      <c r="AU14" s="331"/>
      <c r="AV14" s="331"/>
    </row>
    <row r="15" spans="1:48" ht="15.75" customHeight="1" x14ac:dyDescent="0.2">
      <c r="A15" s="306" t="s">
        <v>334</v>
      </c>
      <c r="B15" s="121"/>
      <c r="C15" s="121">
        <f t="shared" ref="C15:AL15" si="3">-C10</f>
        <v>0</v>
      </c>
      <c r="D15" s="121">
        <f t="shared" si="3"/>
        <v>0</v>
      </c>
      <c r="E15" s="121">
        <f t="shared" si="3"/>
        <v>0</v>
      </c>
      <c r="F15" s="121">
        <f t="shared" si="3"/>
        <v>0</v>
      </c>
      <c r="G15" s="121">
        <f t="shared" si="3"/>
        <v>0</v>
      </c>
      <c r="H15" s="121">
        <f t="shared" si="3"/>
        <v>0</v>
      </c>
      <c r="I15" s="121">
        <f t="shared" si="3"/>
        <v>0</v>
      </c>
      <c r="J15" s="121">
        <f t="shared" si="3"/>
        <v>0</v>
      </c>
      <c r="K15" s="121">
        <f t="shared" si="3"/>
        <v>0</v>
      </c>
      <c r="L15" s="121">
        <f t="shared" si="3"/>
        <v>0</v>
      </c>
      <c r="M15" s="121">
        <f t="shared" si="3"/>
        <v>0</v>
      </c>
      <c r="N15" s="121">
        <f t="shared" si="3"/>
        <v>0</v>
      </c>
      <c r="O15" s="121">
        <f t="shared" si="3"/>
        <v>0</v>
      </c>
      <c r="P15" s="121">
        <f t="shared" si="3"/>
        <v>0</v>
      </c>
      <c r="Q15" s="121">
        <f t="shared" si="3"/>
        <v>0</v>
      </c>
      <c r="R15" s="121">
        <f t="shared" si="3"/>
        <v>0</v>
      </c>
      <c r="S15" s="121">
        <f t="shared" si="3"/>
        <v>0</v>
      </c>
      <c r="T15" s="121">
        <f t="shared" si="3"/>
        <v>0</v>
      </c>
      <c r="U15" s="121">
        <f t="shared" si="3"/>
        <v>0</v>
      </c>
      <c r="V15" s="121">
        <f t="shared" si="3"/>
        <v>0</v>
      </c>
      <c r="W15" s="121">
        <f t="shared" si="3"/>
        <v>0</v>
      </c>
      <c r="X15" s="121">
        <f t="shared" si="3"/>
        <v>0</v>
      </c>
      <c r="Y15" s="121">
        <f t="shared" si="3"/>
        <v>0</v>
      </c>
      <c r="Z15" s="121">
        <f t="shared" si="3"/>
        <v>0</v>
      </c>
      <c r="AA15" s="121">
        <f t="shared" si="3"/>
        <v>0</v>
      </c>
      <c r="AB15" s="121">
        <f t="shared" si="3"/>
        <v>0</v>
      </c>
      <c r="AC15" s="121">
        <f t="shared" si="3"/>
        <v>0</v>
      </c>
      <c r="AD15" s="121">
        <f t="shared" si="3"/>
        <v>0</v>
      </c>
      <c r="AE15" s="121">
        <f t="shared" si="3"/>
        <v>0</v>
      </c>
      <c r="AF15" s="121">
        <f t="shared" si="3"/>
        <v>0</v>
      </c>
      <c r="AG15" s="121">
        <f t="shared" si="3"/>
        <v>0</v>
      </c>
      <c r="AH15" s="121">
        <f t="shared" si="3"/>
        <v>0</v>
      </c>
      <c r="AI15" s="121">
        <f t="shared" si="3"/>
        <v>0</v>
      </c>
      <c r="AJ15" s="121">
        <f t="shared" si="3"/>
        <v>0</v>
      </c>
      <c r="AK15" s="330">
        <f t="shared" si="3"/>
        <v>0</v>
      </c>
      <c r="AL15" s="121">
        <f t="shared" si="3"/>
        <v>0</v>
      </c>
      <c r="AM15" s="3"/>
      <c r="AN15" s="3"/>
      <c r="AO15" s="3"/>
      <c r="AP15" s="3"/>
      <c r="AQ15" s="3"/>
      <c r="AR15" s="331"/>
      <c r="AS15" s="331"/>
      <c r="AT15" s="331"/>
      <c r="AU15" s="331"/>
      <c r="AV15" s="331"/>
    </row>
    <row r="16" spans="1:48" ht="15.75" customHeight="1" x14ac:dyDescent="0.2">
      <c r="A16" s="306" t="s">
        <v>339</v>
      </c>
      <c r="B16" s="333">
        <f>SUM(B5:B14)</f>
        <v>0</v>
      </c>
      <c r="C16" s="333">
        <f t="shared" ref="C16:AL16" si="4">SUM(C13:C15)</f>
        <v>0</v>
      </c>
      <c r="D16" s="333">
        <f t="shared" si="4"/>
        <v>0</v>
      </c>
      <c r="E16" s="333">
        <f t="shared" si="4"/>
        <v>0</v>
      </c>
      <c r="F16" s="333">
        <f t="shared" si="4"/>
        <v>0</v>
      </c>
      <c r="G16" s="333">
        <f t="shared" si="4"/>
        <v>0</v>
      </c>
      <c r="H16" s="333">
        <f t="shared" si="4"/>
        <v>0</v>
      </c>
      <c r="I16" s="333">
        <f t="shared" si="4"/>
        <v>0</v>
      </c>
      <c r="J16" s="333">
        <f t="shared" si="4"/>
        <v>0</v>
      </c>
      <c r="K16" s="333">
        <f t="shared" si="4"/>
        <v>0</v>
      </c>
      <c r="L16" s="333">
        <f t="shared" si="4"/>
        <v>0</v>
      </c>
      <c r="M16" s="333">
        <f t="shared" si="4"/>
        <v>0</v>
      </c>
      <c r="N16" s="333">
        <f t="shared" si="4"/>
        <v>0</v>
      </c>
      <c r="O16" s="333">
        <f t="shared" si="4"/>
        <v>0</v>
      </c>
      <c r="P16" s="333">
        <f t="shared" si="4"/>
        <v>0</v>
      </c>
      <c r="Q16" s="333">
        <f t="shared" si="4"/>
        <v>0</v>
      </c>
      <c r="R16" s="333">
        <f t="shared" si="4"/>
        <v>0</v>
      </c>
      <c r="S16" s="333">
        <f t="shared" si="4"/>
        <v>0</v>
      </c>
      <c r="T16" s="333">
        <f t="shared" si="4"/>
        <v>0</v>
      </c>
      <c r="U16" s="333">
        <f t="shared" si="4"/>
        <v>0</v>
      </c>
      <c r="V16" s="333">
        <f t="shared" si="4"/>
        <v>0</v>
      </c>
      <c r="W16" s="333">
        <f t="shared" si="4"/>
        <v>0</v>
      </c>
      <c r="X16" s="333">
        <f t="shared" si="4"/>
        <v>0</v>
      </c>
      <c r="Y16" s="333">
        <f t="shared" si="4"/>
        <v>0</v>
      </c>
      <c r="Z16" s="333">
        <f t="shared" si="4"/>
        <v>0</v>
      </c>
      <c r="AA16" s="333">
        <f t="shared" si="4"/>
        <v>0</v>
      </c>
      <c r="AB16" s="333">
        <f t="shared" si="4"/>
        <v>0</v>
      </c>
      <c r="AC16" s="333">
        <f t="shared" si="4"/>
        <v>0</v>
      </c>
      <c r="AD16" s="333">
        <f t="shared" si="4"/>
        <v>0</v>
      </c>
      <c r="AE16" s="333">
        <f t="shared" si="4"/>
        <v>0</v>
      </c>
      <c r="AF16" s="333">
        <f t="shared" si="4"/>
        <v>0</v>
      </c>
      <c r="AG16" s="333">
        <f t="shared" si="4"/>
        <v>0</v>
      </c>
      <c r="AH16" s="333">
        <f t="shared" si="4"/>
        <v>0</v>
      </c>
      <c r="AI16" s="333">
        <f t="shared" si="4"/>
        <v>0</v>
      </c>
      <c r="AJ16" s="333">
        <f t="shared" si="4"/>
        <v>0</v>
      </c>
      <c r="AK16" s="334">
        <f t="shared" si="4"/>
        <v>0</v>
      </c>
      <c r="AL16" s="333">
        <f t="shared" si="4"/>
        <v>0</v>
      </c>
      <c r="AM16" s="3"/>
      <c r="AN16" s="3"/>
      <c r="AO16" s="3"/>
      <c r="AP16" s="3"/>
      <c r="AQ16" s="3"/>
      <c r="AR16" s="335"/>
      <c r="AS16" s="335"/>
      <c r="AT16" s="335"/>
      <c r="AU16" s="335"/>
      <c r="AV16" s="335"/>
    </row>
    <row r="17" spans="1:48" ht="15.75" customHeight="1" x14ac:dyDescent="0.2">
      <c r="A17" s="306" t="s">
        <v>340</v>
      </c>
      <c r="B17" s="338"/>
      <c r="C17" s="338">
        <f>PARÁMETROS!$B$18</f>
        <v>1.586090332465151E-3</v>
      </c>
      <c r="D17" s="338">
        <f>PARÁMETROS!$B$18</f>
        <v>1.586090332465151E-3</v>
      </c>
      <c r="E17" s="338">
        <f>PARÁMETROS!$B$18</f>
        <v>1.586090332465151E-3</v>
      </c>
      <c r="F17" s="338">
        <f>PARÁMETROS!$B$18</f>
        <v>1.586090332465151E-3</v>
      </c>
      <c r="G17" s="338">
        <f>PARÁMETROS!$B$18</f>
        <v>1.586090332465151E-3</v>
      </c>
      <c r="H17" s="338">
        <f>PARÁMETROS!$B$18</f>
        <v>1.586090332465151E-3</v>
      </c>
      <c r="I17" s="338">
        <f>PARÁMETROS!$B$18</f>
        <v>1.586090332465151E-3</v>
      </c>
      <c r="J17" s="338">
        <f>PARÁMETROS!$B$18</f>
        <v>1.586090332465151E-3</v>
      </c>
      <c r="K17" s="338">
        <f>PARÁMETROS!$B$18</f>
        <v>1.586090332465151E-3</v>
      </c>
      <c r="L17" s="338">
        <f>PARÁMETROS!$B$18</f>
        <v>1.586090332465151E-3</v>
      </c>
      <c r="M17" s="338">
        <f>PARÁMETROS!$B$18</f>
        <v>1.586090332465151E-3</v>
      </c>
      <c r="N17" s="338">
        <f>PARÁMETROS!$B$18</f>
        <v>1.586090332465151E-3</v>
      </c>
      <c r="O17" s="338">
        <f>PARÁMETROS!$B$18</f>
        <v>1.586090332465151E-3</v>
      </c>
      <c r="P17" s="338">
        <f>PARÁMETROS!$B$18</f>
        <v>1.586090332465151E-3</v>
      </c>
      <c r="Q17" s="338">
        <f>PARÁMETROS!$B$18</f>
        <v>1.586090332465151E-3</v>
      </c>
      <c r="R17" s="338">
        <f>PARÁMETROS!$B$18</f>
        <v>1.586090332465151E-3</v>
      </c>
      <c r="S17" s="338">
        <f>PARÁMETROS!$B$18</f>
        <v>1.586090332465151E-3</v>
      </c>
      <c r="T17" s="338">
        <f>PARÁMETROS!$B$18</f>
        <v>1.586090332465151E-3</v>
      </c>
      <c r="U17" s="338">
        <f>PARÁMETROS!$B$18</f>
        <v>1.586090332465151E-3</v>
      </c>
      <c r="V17" s="338">
        <f>PARÁMETROS!$B$18</f>
        <v>1.586090332465151E-3</v>
      </c>
      <c r="W17" s="338">
        <f>PARÁMETROS!$B$18</f>
        <v>1.586090332465151E-3</v>
      </c>
      <c r="X17" s="338">
        <f>PARÁMETROS!$B$18</f>
        <v>1.586090332465151E-3</v>
      </c>
      <c r="Y17" s="338">
        <f>PARÁMETROS!$B$18</f>
        <v>1.586090332465151E-3</v>
      </c>
      <c r="Z17" s="338">
        <f>PARÁMETROS!$B$18</f>
        <v>1.586090332465151E-3</v>
      </c>
      <c r="AA17" s="338">
        <f>PARÁMETROS!$B$18</f>
        <v>1.586090332465151E-3</v>
      </c>
      <c r="AB17" s="338">
        <f>PARÁMETROS!$B$18</f>
        <v>1.586090332465151E-3</v>
      </c>
      <c r="AC17" s="338">
        <f>PARÁMETROS!$B$18</f>
        <v>1.586090332465151E-3</v>
      </c>
      <c r="AD17" s="338">
        <f>PARÁMETROS!$B$18</f>
        <v>1.586090332465151E-3</v>
      </c>
      <c r="AE17" s="338">
        <f>PARÁMETROS!$B$18</f>
        <v>1.586090332465151E-3</v>
      </c>
      <c r="AF17" s="338">
        <f>PARÁMETROS!$B$18</f>
        <v>1.586090332465151E-3</v>
      </c>
      <c r="AG17" s="338">
        <f>PARÁMETROS!$B$18</f>
        <v>1.586090332465151E-3</v>
      </c>
      <c r="AH17" s="338">
        <f>PARÁMETROS!$B$18</f>
        <v>1.586090332465151E-3</v>
      </c>
      <c r="AI17" s="338">
        <f>PARÁMETROS!$B$18</f>
        <v>1.586090332465151E-3</v>
      </c>
      <c r="AJ17" s="338">
        <f>PARÁMETROS!$B$18</f>
        <v>1.586090332465151E-3</v>
      </c>
      <c r="AK17" s="339">
        <f>PARÁMETROS!$B$18</f>
        <v>1.586090332465151E-3</v>
      </c>
      <c r="AL17" s="338">
        <f>PARÁMETROS!$B$18</f>
        <v>1.586090332465151E-3</v>
      </c>
      <c r="AM17" s="3"/>
      <c r="AN17" s="3"/>
      <c r="AO17" s="3"/>
      <c r="AP17" s="3"/>
      <c r="AQ17" s="3"/>
      <c r="AR17" s="340"/>
      <c r="AS17" s="340"/>
      <c r="AT17" s="340"/>
      <c r="AU17" s="340"/>
      <c r="AV17" s="340"/>
    </row>
    <row r="18" spans="1:48" ht="15.75" customHeight="1" x14ac:dyDescent="0.2">
      <c r="A18" s="306" t="s">
        <v>341</v>
      </c>
      <c r="B18" s="121"/>
      <c r="C18" s="341">
        <f t="shared" ref="C18:AL18" si="5">1+C17</f>
        <v>1.0015860903324652</v>
      </c>
      <c r="D18" s="341">
        <f t="shared" si="5"/>
        <v>1.0015860903324652</v>
      </c>
      <c r="E18" s="341">
        <f t="shared" si="5"/>
        <v>1.0015860903324652</v>
      </c>
      <c r="F18" s="341">
        <f t="shared" si="5"/>
        <v>1.0015860903324652</v>
      </c>
      <c r="G18" s="341">
        <f t="shared" si="5"/>
        <v>1.0015860903324652</v>
      </c>
      <c r="H18" s="341">
        <f t="shared" si="5"/>
        <v>1.0015860903324652</v>
      </c>
      <c r="I18" s="341">
        <f t="shared" si="5"/>
        <v>1.0015860903324652</v>
      </c>
      <c r="J18" s="341">
        <f t="shared" si="5"/>
        <v>1.0015860903324652</v>
      </c>
      <c r="K18" s="341">
        <f t="shared" si="5"/>
        <v>1.0015860903324652</v>
      </c>
      <c r="L18" s="341">
        <f t="shared" si="5"/>
        <v>1.0015860903324652</v>
      </c>
      <c r="M18" s="341">
        <f t="shared" si="5"/>
        <v>1.0015860903324652</v>
      </c>
      <c r="N18" s="341">
        <f t="shared" si="5"/>
        <v>1.0015860903324652</v>
      </c>
      <c r="O18" s="341">
        <f t="shared" si="5"/>
        <v>1.0015860903324652</v>
      </c>
      <c r="P18" s="341">
        <f t="shared" si="5"/>
        <v>1.0015860903324652</v>
      </c>
      <c r="Q18" s="341">
        <f t="shared" si="5"/>
        <v>1.0015860903324652</v>
      </c>
      <c r="R18" s="341">
        <f t="shared" si="5"/>
        <v>1.0015860903324652</v>
      </c>
      <c r="S18" s="341">
        <f t="shared" si="5"/>
        <v>1.0015860903324652</v>
      </c>
      <c r="T18" s="341">
        <f t="shared" si="5"/>
        <v>1.0015860903324652</v>
      </c>
      <c r="U18" s="341">
        <f t="shared" si="5"/>
        <v>1.0015860903324652</v>
      </c>
      <c r="V18" s="341">
        <f t="shared" si="5"/>
        <v>1.0015860903324652</v>
      </c>
      <c r="W18" s="341">
        <f t="shared" si="5"/>
        <v>1.0015860903324652</v>
      </c>
      <c r="X18" s="341">
        <f t="shared" si="5"/>
        <v>1.0015860903324652</v>
      </c>
      <c r="Y18" s="341">
        <f t="shared" si="5"/>
        <v>1.0015860903324652</v>
      </c>
      <c r="Z18" s="341">
        <f t="shared" si="5"/>
        <v>1.0015860903324652</v>
      </c>
      <c r="AA18" s="341">
        <f t="shared" si="5"/>
        <v>1.0015860903324652</v>
      </c>
      <c r="AB18" s="341">
        <f t="shared" si="5"/>
        <v>1.0015860903324652</v>
      </c>
      <c r="AC18" s="341">
        <f t="shared" si="5"/>
        <v>1.0015860903324652</v>
      </c>
      <c r="AD18" s="341">
        <f t="shared" si="5"/>
        <v>1.0015860903324652</v>
      </c>
      <c r="AE18" s="341">
        <f t="shared" si="5"/>
        <v>1.0015860903324652</v>
      </c>
      <c r="AF18" s="341">
        <f t="shared" si="5"/>
        <v>1.0015860903324652</v>
      </c>
      <c r="AG18" s="341">
        <f t="shared" si="5"/>
        <v>1.0015860903324652</v>
      </c>
      <c r="AH18" s="341">
        <f t="shared" si="5"/>
        <v>1.0015860903324652</v>
      </c>
      <c r="AI18" s="341">
        <f t="shared" si="5"/>
        <v>1.0015860903324652</v>
      </c>
      <c r="AJ18" s="341">
        <f t="shared" si="5"/>
        <v>1.0015860903324652</v>
      </c>
      <c r="AK18" s="342">
        <f t="shared" si="5"/>
        <v>1.0015860903324652</v>
      </c>
      <c r="AL18" s="341">
        <f t="shared" si="5"/>
        <v>1.0015860903324652</v>
      </c>
      <c r="AM18" s="3"/>
      <c r="AN18" s="3"/>
      <c r="AO18" s="3"/>
      <c r="AP18" s="3"/>
      <c r="AQ18" s="3"/>
      <c r="AR18" s="343"/>
      <c r="AS18" s="343"/>
      <c r="AT18" s="343"/>
      <c r="AU18" s="343"/>
      <c r="AV18" s="343"/>
    </row>
    <row r="19" spans="1:48" ht="15.75" customHeight="1" x14ac:dyDescent="0.2">
      <c r="A19" s="306" t="s">
        <v>342</v>
      </c>
      <c r="B19" s="121"/>
      <c r="C19" s="341">
        <f>C18</f>
        <v>1.0015860903324652</v>
      </c>
      <c r="D19" s="341">
        <f t="shared" ref="D19:AL19" si="6">C19*D18</f>
        <v>1.003174696347473</v>
      </c>
      <c r="E19" s="341">
        <f t="shared" si="6"/>
        <v>1.0047658220351234</v>
      </c>
      <c r="F19" s="341">
        <f t="shared" si="6"/>
        <v>1.0063594713918447</v>
      </c>
      <c r="G19" s="341">
        <f t="shared" si="6"/>
        <v>1.007955648420404</v>
      </c>
      <c r="H19" s="341">
        <f t="shared" si="6"/>
        <v>1.0095543571299173</v>
      </c>
      <c r="I19" s="341">
        <f t="shared" si="6"/>
        <v>1.0111556015358591</v>
      </c>
      <c r="J19" s="341">
        <f t="shared" si="6"/>
        <v>1.0127593856600732</v>
      </c>
      <c r="K19" s="341">
        <f t="shared" si="6"/>
        <v>1.014365713530782</v>
      </c>
      <c r="L19" s="341">
        <f t="shared" si="6"/>
        <v>1.0159745891825973</v>
      </c>
      <c r="M19" s="341">
        <f t="shared" si="6"/>
        <v>1.01758601665653</v>
      </c>
      <c r="N19" s="341">
        <f t="shared" si="6"/>
        <v>1.0192000000000008</v>
      </c>
      <c r="O19" s="341">
        <f t="shared" si="6"/>
        <v>1.0208165432668492</v>
      </c>
      <c r="P19" s="341">
        <f t="shared" si="6"/>
        <v>1.0224356505173453</v>
      </c>
      <c r="Q19" s="341">
        <f t="shared" si="6"/>
        <v>1.0240573258181986</v>
      </c>
      <c r="R19" s="341">
        <f t="shared" si="6"/>
        <v>1.025681573242569</v>
      </c>
      <c r="S19" s="341">
        <f t="shared" si="6"/>
        <v>1.0273083968700767</v>
      </c>
      <c r="T19" s="341">
        <f t="shared" si="6"/>
        <v>1.0289378007868126</v>
      </c>
      <c r="U19" s="341">
        <f t="shared" si="6"/>
        <v>1.0305697890853485</v>
      </c>
      <c r="V19" s="341">
        <f t="shared" si="6"/>
        <v>1.0322043658647473</v>
      </c>
      <c r="W19" s="341">
        <f t="shared" si="6"/>
        <v>1.0338415352305736</v>
      </c>
      <c r="X19" s="341">
        <f t="shared" si="6"/>
        <v>1.0354813012949038</v>
      </c>
      <c r="Y19" s="341">
        <f t="shared" si="6"/>
        <v>1.0371236681763361</v>
      </c>
      <c r="Z19" s="341">
        <f t="shared" si="6"/>
        <v>1.0387686400000014</v>
      </c>
      <c r="AA19" s="341">
        <f t="shared" si="6"/>
        <v>1.0404162208975734</v>
      </c>
      <c r="AB19" s="341">
        <f t="shared" si="6"/>
        <v>1.0420664150072789</v>
      </c>
      <c r="AC19" s="341">
        <f t="shared" si="6"/>
        <v>1.0437192264739086</v>
      </c>
      <c r="AD19" s="341">
        <f t="shared" si="6"/>
        <v>1.0453746594488269</v>
      </c>
      <c r="AE19" s="341">
        <f t="shared" si="6"/>
        <v>1.0470327180899828</v>
      </c>
      <c r="AF19" s="341">
        <f t="shared" si="6"/>
        <v>1.04869340656192</v>
      </c>
      <c r="AG19" s="341">
        <f t="shared" si="6"/>
        <v>1.0503567290357878</v>
      </c>
      <c r="AH19" s="341">
        <f t="shared" si="6"/>
        <v>1.0520226896893512</v>
      </c>
      <c r="AI19" s="341">
        <f t="shared" si="6"/>
        <v>1.0536912927070015</v>
      </c>
      <c r="AJ19" s="341">
        <f t="shared" si="6"/>
        <v>1.0553625422797668</v>
      </c>
      <c r="AK19" s="342">
        <f t="shared" si="6"/>
        <v>1.0570364426053225</v>
      </c>
      <c r="AL19" s="341">
        <f t="shared" si="6"/>
        <v>1.0587129978880021</v>
      </c>
      <c r="AM19" s="3"/>
      <c r="AN19" s="3"/>
      <c r="AO19" s="3"/>
      <c r="AP19" s="3"/>
      <c r="AQ19" s="3"/>
      <c r="AR19" s="343"/>
      <c r="AS19" s="343"/>
      <c r="AT19" s="343"/>
      <c r="AU19" s="343"/>
      <c r="AV19" s="343"/>
    </row>
    <row r="20" spans="1:48" ht="15.75" customHeight="1" x14ac:dyDescent="0.2">
      <c r="A20" s="306" t="s">
        <v>343</v>
      </c>
      <c r="B20" s="333">
        <f>B16</f>
        <v>0</v>
      </c>
      <c r="C20" s="333">
        <f t="shared" ref="C20:AL20" si="7">C16/C19</f>
        <v>0</v>
      </c>
      <c r="D20" s="333">
        <f t="shared" si="7"/>
        <v>0</v>
      </c>
      <c r="E20" s="333">
        <f t="shared" si="7"/>
        <v>0</v>
      </c>
      <c r="F20" s="333">
        <f t="shared" si="7"/>
        <v>0</v>
      </c>
      <c r="G20" s="333">
        <f t="shared" si="7"/>
        <v>0</v>
      </c>
      <c r="H20" s="333">
        <f t="shared" si="7"/>
        <v>0</v>
      </c>
      <c r="I20" s="333">
        <f t="shared" si="7"/>
        <v>0</v>
      </c>
      <c r="J20" s="333">
        <f t="shared" si="7"/>
        <v>0</v>
      </c>
      <c r="K20" s="333">
        <f t="shared" si="7"/>
        <v>0</v>
      </c>
      <c r="L20" s="333">
        <f t="shared" si="7"/>
        <v>0</v>
      </c>
      <c r="M20" s="333">
        <f t="shared" si="7"/>
        <v>0</v>
      </c>
      <c r="N20" s="333">
        <f t="shared" si="7"/>
        <v>0</v>
      </c>
      <c r="O20" s="333">
        <f t="shared" si="7"/>
        <v>0</v>
      </c>
      <c r="P20" s="333">
        <f t="shared" si="7"/>
        <v>0</v>
      </c>
      <c r="Q20" s="333">
        <f t="shared" si="7"/>
        <v>0</v>
      </c>
      <c r="R20" s="333">
        <f t="shared" si="7"/>
        <v>0</v>
      </c>
      <c r="S20" s="333">
        <f t="shared" si="7"/>
        <v>0</v>
      </c>
      <c r="T20" s="333">
        <f t="shared" si="7"/>
        <v>0</v>
      </c>
      <c r="U20" s="333">
        <f t="shared" si="7"/>
        <v>0</v>
      </c>
      <c r="V20" s="333">
        <f t="shared" si="7"/>
        <v>0</v>
      </c>
      <c r="W20" s="333">
        <f t="shared" si="7"/>
        <v>0</v>
      </c>
      <c r="X20" s="333">
        <f t="shared" si="7"/>
        <v>0</v>
      </c>
      <c r="Y20" s="333">
        <f t="shared" si="7"/>
        <v>0</v>
      </c>
      <c r="Z20" s="333">
        <f t="shared" si="7"/>
        <v>0</v>
      </c>
      <c r="AA20" s="333">
        <f t="shared" si="7"/>
        <v>0</v>
      </c>
      <c r="AB20" s="333">
        <f t="shared" si="7"/>
        <v>0</v>
      </c>
      <c r="AC20" s="333">
        <f t="shared" si="7"/>
        <v>0</v>
      </c>
      <c r="AD20" s="333">
        <f t="shared" si="7"/>
        <v>0</v>
      </c>
      <c r="AE20" s="333">
        <f t="shared" si="7"/>
        <v>0</v>
      </c>
      <c r="AF20" s="333">
        <f t="shared" si="7"/>
        <v>0</v>
      </c>
      <c r="AG20" s="333">
        <f t="shared" si="7"/>
        <v>0</v>
      </c>
      <c r="AH20" s="333">
        <f t="shared" si="7"/>
        <v>0</v>
      </c>
      <c r="AI20" s="333">
        <f t="shared" si="7"/>
        <v>0</v>
      </c>
      <c r="AJ20" s="333">
        <f t="shared" si="7"/>
        <v>0</v>
      </c>
      <c r="AK20" s="334">
        <f t="shared" si="7"/>
        <v>0</v>
      </c>
      <c r="AL20" s="333">
        <f t="shared" si="7"/>
        <v>0</v>
      </c>
      <c r="AM20" s="3"/>
      <c r="AN20" s="3"/>
      <c r="AO20" s="3"/>
      <c r="AP20" s="3"/>
      <c r="AQ20" s="3"/>
      <c r="AR20" s="335"/>
      <c r="AS20" s="335"/>
      <c r="AT20" s="335"/>
      <c r="AU20" s="335"/>
      <c r="AV20" s="335"/>
    </row>
    <row r="21" spans="1:48" ht="15.75" customHeight="1" x14ac:dyDescent="0.2">
      <c r="A21" s="306" t="s">
        <v>344</v>
      </c>
      <c r="B21" s="333">
        <f>B16</f>
        <v>0</v>
      </c>
      <c r="C21" s="333">
        <f t="shared" ref="C21:AL21" si="8">C20+B21</f>
        <v>0</v>
      </c>
      <c r="D21" s="333">
        <f t="shared" si="8"/>
        <v>0</v>
      </c>
      <c r="E21" s="333">
        <f t="shared" si="8"/>
        <v>0</v>
      </c>
      <c r="F21" s="333">
        <f t="shared" si="8"/>
        <v>0</v>
      </c>
      <c r="G21" s="333">
        <f t="shared" si="8"/>
        <v>0</v>
      </c>
      <c r="H21" s="333">
        <f t="shared" si="8"/>
        <v>0</v>
      </c>
      <c r="I21" s="333">
        <f t="shared" si="8"/>
        <v>0</v>
      </c>
      <c r="J21" s="333">
        <f t="shared" si="8"/>
        <v>0</v>
      </c>
      <c r="K21" s="333">
        <f t="shared" si="8"/>
        <v>0</v>
      </c>
      <c r="L21" s="333">
        <f t="shared" si="8"/>
        <v>0</v>
      </c>
      <c r="M21" s="333">
        <f t="shared" si="8"/>
        <v>0</v>
      </c>
      <c r="N21" s="333">
        <f t="shared" si="8"/>
        <v>0</v>
      </c>
      <c r="O21" s="333">
        <f t="shared" si="8"/>
        <v>0</v>
      </c>
      <c r="P21" s="333">
        <f t="shared" si="8"/>
        <v>0</v>
      </c>
      <c r="Q21" s="333">
        <f t="shared" si="8"/>
        <v>0</v>
      </c>
      <c r="R21" s="333">
        <f t="shared" si="8"/>
        <v>0</v>
      </c>
      <c r="S21" s="333">
        <f t="shared" si="8"/>
        <v>0</v>
      </c>
      <c r="T21" s="333">
        <f t="shared" si="8"/>
        <v>0</v>
      </c>
      <c r="U21" s="333">
        <f t="shared" si="8"/>
        <v>0</v>
      </c>
      <c r="V21" s="333">
        <f t="shared" si="8"/>
        <v>0</v>
      </c>
      <c r="W21" s="333">
        <f t="shared" si="8"/>
        <v>0</v>
      </c>
      <c r="X21" s="333">
        <f t="shared" si="8"/>
        <v>0</v>
      </c>
      <c r="Y21" s="333">
        <f t="shared" si="8"/>
        <v>0</v>
      </c>
      <c r="Z21" s="333">
        <f t="shared" si="8"/>
        <v>0</v>
      </c>
      <c r="AA21" s="333">
        <f t="shared" si="8"/>
        <v>0</v>
      </c>
      <c r="AB21" s="333">
        <f t="shared" si="8"/>
        <v>0</v>
      </c>
      <c r="AC21" s="333">
        <f t="shared" si="8"/>
        <v>0</v>
      </c>
      <c r="AD21" s="333">
        <f t="shared" si="8"/>
        <v>0</v>
      </c>
      <c r="AE21" s="333">
        <f t="shared" si="8"/>
        <v>0</v>
      </c>
      <c r="AF21" s="333">
        <f t="shared" si="8"/>
        <v>0</v>
      </c>
      <c r="AG21" s="333">
        <f t="shared" si="8"/>
        <v>0</v>
      </c>
      <c r="AH21" s="333">
        <f t="shared" si="8"/>
        <v>0</v>
      </c>
      <c r="AI21" s="333">
        <f t="shared" si="8"/>
        <v>0</v>
      </c>
      <c r="AJ21" s="333">
        <f t="shared" si="8"/>
        <v>0</v>
      </c>
      <c r="AK21" s="334">
        <f t="shared" si="8"/>
        <v>0</v>
      </c>
      <c r="AL21" s="333">
        <f t="shared" si="8"/>
        <v>0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ht="15.75" customHeight="1" x14ac:dyDescent="0.2">
      <c r="A23" s="306" t="s">
        <v>345</v>
      </c>
      <c r="B23" s="121">
        <f>AL21</f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ht="15.75" customHeight="1" x14ac:dyDescent="0.2">
      <c r="A24" s="306" t="s">
        <v>79</v>
      </c>
      <c r="B24" s="121">
        <f>FINANCIAMIENTO!B14</f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ht="15.75" customHeight="1" x14ac:dyDescent="0.2">
      <c r="A25" s="306" t="s">
        <v>346</v>
      </c>
      <c r="B25" s="121">
        <f>SUM(B23:B24,1)</f>
        <v>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t="15.75" customHeight="1" x14ac:dyDescent="0.2">
      <c r="A26" s="306" t="s">
        <v>23</v>
      </c>
      <c r="B26" s="344" t="e">
        <f>IRR(C16:AL16)</f>
        <v>#NUM!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ht="30.75" x14ac:dyDescent="0.45">
      <c r="A28" s="1" t="s">
        <v>347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t="15.75" customHeight="1" x14ac:dyDescent="0.2">
      <c r="A30" s="345" t="s">
        <v>348</v>
      </c>
      <c r="B30" s="346">
        <v>0</v>
      </c>
      <c r="C30" s="346">
        <v>1</v>
      </c>
      <c r="D30" s="346">
        <v>2</v>
      </c>
      <c r="E30" s="346">
        <v>3</v>
      </c>
      <c r="F30" s="3"/>
      <c r="G30" s="161"/>
      <c r="H30" s="161" t="s">
        <v>349</v>
      </c>
      <c r="I30" s="161" t="s">
        <v>350</v>
      </c>
      <c r="J30" s="161" t="s">
        <v>351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ht="15.75" customHeight="1" x14ac:dyDescent="0.2">
      <c r="A31" s="347" t="s">
        <v>352</v>
      </c>
      <c r="B31" s="348"/>
      <c r="C31" s="121">
        <f t="shared" ref="C31:C34" si="9">SUM(C5:N5)</f>
        <v>0</v>
      </c>
      <c r="D31" s="121">
        <f t="shared" ref="D31:D34" si="10">SUM(O5:Z5)</f>
        <v>0</v>
      </c>
      <c r="E31" s="121">
        <f t="shared" ref="E31:E34" si="11">SUM(AA5:AL5)</f>
        <v>0</v>
      </c>
      <c r="F31" s="3"/>
      <c r="G31" s="161" t="s">
        <v>353</v>
      </c>
      <c r="H31" s="120">
        <f>B50</f>
        <v>0</v>
      </c>
      <c r="I31" s="120">
        <f t="shared" ref="I31:J31" si="12">H31-H34</f>
        <v>0</v>
      </c>
      <c r="J31" s="120">
        <f t="shared" si="12"/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ht="15.75" customHeight="1" x14ac:dyDescent="0.2">
      <c r="A32" s="347" t="s">
        <v>354</v>
      </c>
      <c r="B32" s="348"/>
      <c r="C32" s="121">
        <f t="shared" si="9"/>
        <v>0</v>
      </c>
      <c r="D32" s="121">
        <f t="shared" si="10"/>
        <v>0</v>
      </c>
      <c r="E32" s="121">
        <f t="shared" si="11"/>
        <v>0</v>
      </c>
      <c r="F32" s="3"/>
      <c r="G32" s="161" t="s">
        <v>355</v>
      </c>
      <c r="H32" s="120">
        <f t="shared" ref="H32:J32" si="13">-PMT($B$48,$B$49,$H$31)</f>
        <v>0</v>
      </c>
      <c r="I32" s="120">
        <f t="shared" si="13"/>
        <v>0</v>
      </c>
      <c r="J32" s="120">
        <f t="shared" si="13"/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t="15.75" customHeight="1" x14ac:dyDescent="0.2">
      <c r="A33" s="347" t="s">
        <v>356</v>
      </c>
      <c r="B33" s="348"/>
      <c r="C33" s="121">
        <f t="shared" si="9"/>
        <v>0</v>
      </c>
      <c r="D33" s="121">
        <f t="shared" si="10"/>
        <v>0</v>
      </c>
      <c r="E33" s="121">
        <f t="shared" si="11"/>
        <v>0</v>
      </c>
      <c r="F33" s="3"/>
      <c r="G33" s="161" t="s">
        <v>357</v>
      </c>
      <c r="H33" s="120">
        <f t="shared" ref="H33:J33" si="14">H31*$B$48</f>
        <v>0</v>
      </c>
      <c r="I33" s="120">
        <f t="shared" si="14"/>
        <v>0</v>
      </c>
      <c r="J33" s="120">
        <f t="shared" si="14"/>
        <v>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15.75" customHeight="1" x14ac:dyDescent="0.2">
      <c r="A34" s="347" t="s">
        <v>358</v>
      </c>
      <c r="B34" s="348"/>
      <c r="C34" s="121">
        <f t="shared" si="9"/>
        <v>0</v>
      </c>
      <c r="D34" s="121">
        <f t="shared" si="10"/>
        <v>0</v>
      </c>
      <c r="E34" s="121">
        <f t="shared" si="11"/>
        <v>0</v>
      </c>
      <c r="F34" s="3"/>
      <c r="G34" s="161" t="s">
        <v>359</v>
      </c>
      <c r="H34" s="120">
        <f t="shared" ref="H34:J34" si="15">H32-H33</f>
        <v>0</v>
      </c>
      <c r="I34" s="120">
        <f t="shared" si="15"/>
        <v>0</v>
      </c>
      <c r="J34" s="120">
        <f t="shared" si="15"/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ht="15.75" customHeight="1" x14ac:dyDescent="0.2">
      <c r="A35" s="347" t="s">
        <v>360</v>
      </c>
      <c r="B35" s="348"/>
      <c r="C35" s="121">
        <f t="shared" ref="C35:D35" si="16">SUM(N10:Y10)</f>
        <v>0</v>
      </c>
      <c r="D35" s="121">
        <f t="shared" si="16"/>
        <v>0</v>
      </c>
      <c r="E35" s="121">
        <f>SUM(AA10:AL10)</f>
        <v>0</v>
      </c>
      <c r="F35" s="3"/>
      <c r="G35" s="161"/>
      <c r="H35" s="349"/>
      <c r="I35" s="349"/>
      <c r="J35" s="349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 spans="1:48" ht="15.75" customHeight="1" x14ac:dyDescent="0.2">
      <c r="A36" s="350" t="s">
        <v>361</v>
      </c>
      <c r="B36" s="351"/>
      <c r="C36" s="121">
        <f t="shared" ref="C36:E36" si="17">SUM(C31:C35)</f>
        <v>0</v>
      </c>
      <c r="D36" s="121">
        <f t="shared" si="17"/>
        <v>0</v>
      </c>
      <c r="E36" s="121">
        <f t="shared" si="17"/>
        <v>0</v>
      </c>
      <c r="F36" s="3"/>
      <c r="G36" s="161" t="s">
        <v>357</v>
      </c>
      <c r="H36" s="120">
        <f t="shared" ref="H36:J36" si="18">-H33</f>
        <v>0</v>
      </c>
      <c r="I36" s="120">
        <f t="shared" si="18"/>
        <v>0</v>
      </c>
      <c r="J36" s="120">
        <f t="shared" si="18"/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1:48" ht="15.75" customHeight="1" x14ac:dyDescent="0.2">
      <c r="A37" s="347" t="s">
        <v>362</v>
      </c>
      <c r="B37" s="348"/>
      <c r="C37" s="120">
        <f t="shared" ref="C37:E37" si="19">-C36*0.27</f>
        <v>0</v>
      </c>
      <c r="D37" s="120">
        <f t="shared" si="19"/>
        <v>0</v>
      </c>
      <c r="E37" s="120">
        <f t="shared" si="19"/>
        <v>0</v>
      </c>
      <c r="F37" s="3"/>
      <c r="G37" s="161" t="s">
        <v>363</v>
      </c>
      <c r="H37" s="120">
        <f t="shared" ref="H37:J37" si="20">H36*-0.27</f>
        <v>0</v>
      </c>
      <c r="I37" s="120">
        <f t="shared" si="20"/>
        <v>0</v>
      </c>
      <c r="J37" s="120">
        <f t="shared" si="20"/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spans="1:48" ht="15.75" customHeight="1" x14ac:dyDescent="0.2">
      <c r="A38" s="350" t="s">
        <v>364</v>
      </c>
      <c r="B38" s="351"/>
      <c r="C38" s="333">
        <f t="shared" ref="C38:E38" si="21">C36+C37</f>
        <v>0</v>
      </c>
      <c r="D38" s="333">
        <f t="shared" si="21"/>
        <v>0</v>
      </c>
      <c r="E38" s="333">
        <f t="shared" si="21"/>
        <v>0</v>
      </c>
      <c r="F38" s="3"/>
      <c r="G38" s="161" t="s">
        <v>359</v>
      </c>
      <c r="H38" s="120">
        <f t="shared" ref="H38:J38" si="22">-H34</f>
        <v>0</v>
      </c>
      <c r="I38" s="120">
        <f t="shared" si="22"/>
        <v>0</v>
      </c>
      <c r="J38" s="120">
        <f t="shared" si="22"/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spans="1:48" ht="15.75" customHeight="1" x14ac:dyDescent="0.2">
      <c r="A39" s="347" t="s">
        <v>365</v>
      </c>
      <c r="B39" s="121">
        <f>$B$16</f>
        <v>0</v>
      </c>
      <c r="C39" s="348"/>
      <c r="D39" s="348"/>
      <c r="E39" s="121">
        <f>-$B$16</f>
        <v>0</v>
      </c>
      <c r="F39" s="3"/>
      <c r="G39" s="161" t="s">
        <v>366</v>
      </c>
      <c r="H39" s="120">
        <f t="shared" ref="H39:J39" si="23">SUM(H36:H38)</f>
        <v>0</v>
      </c>
      <c r="I39" s="120">
        <f t="shared" si="23"/>
        <v>0</v>
      </c>
      <c r="J39" s="120">
        <f t="shared" si="23"/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48" ht="15.75" customHeight="1" x14ac:dyDescent="0.2">
      <c r="A40" s="347" t="s">
        <v>360</v>
      </c>
      <c r="B40" s="348"/>
      <c r="C40" s="121">
        <f>SUM(C15:N15)</f>
        <v>0</v>
      </c>
      <c r="D40" s="121">
        <f>SUM(O15:Z15)</f>
        <v>0</v>
      </c>
      <c r="E40" s="121">
        <f>SUM(AA15:AK15)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spans="1:48" ht="15.75" customHeight="1" x14ac:dyDescent="0.2">
      <c r="A41" s="347" t="s">
        <v>367</v>
      </c>
      <c r="B41" s="121">
        <f>SUM(B39:B40)</f>
        <v>0</v>
      </c>
      <c r="C41" s="121">
        <f t="shared" ref="C41:E41" si="24">SUM(C38:C40)</f>
        <v>0</v>
      </c>
      <c r="D41" s="121">
        <f t="shared" si="24"/>
        <v>0</v>
      </c>
      <c r="E41" s="121">
        <f t="shared" si="24"/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spans="1:48" ht="15.75" customHeight="1" x14ac:dyDescent="0.2">
      <c r="A42" s="306" t="s">
        <v>368</v>
      </c>
      <c r="B42" s="348"/>
      <c r="C42" s="352">
        <f t="shared" ref="C42:E42" si="25">$B$48</f>
        <v>1.9199999999999998E-2</v>
      </c>
      <c r="D42" s="352">
        <f t="shared" si="25"/>
        <v>1.9199999999999998E-2</v>
      </c>
      <c r="E42" s="352">
        <f t="shared" si="25"/>
        <v>1.9199999999999998E-2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48" ht="15.75" customHeight="1" x14ac:dyDescent="0.2">
      <c r="A43" s="347" t="s">
        <v>369</v>
      </c>
      <c r="B43" s="348"/>
      <c r="C43" s="121">
        <f t="shared" ref="C43:E43" si="26">C42+1</f>
        <v>1.0192000000000001</v>
      </c>
      <c r="D43" s="121">
        <f t="shared" si="26"/>
        <v>1.0192000000000001</v>
      </c>
      <c r="E43" s="121">
        <f t="shared" si="26"/>
        <v>1.0192000000000001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 spans="1:48" ht="15.75" customHeight="1" x14ac:dyDescent="0.2">
      <c r="A44" s="347" t="s">
        <v>370</v>
      </c>
      <c r="B44" s="348"/>
      <c r="C44" s="121">
        <f>C43</f>
        <v>1.0192000000000001</v>
      </c>
      <c r="D44" s="121">
        <f t="shared" ref="D44:E44" si="27">C44*D43</f>
        <v>1.0387686400000002</v>
      </c>
      <c r="E44" s="121">
        <f t="shared" si="27"/>
        <v>1.0587129978880003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spans="1:48" ht="15.75" customHeight="1" x14ac:dyDescent="0.2">
      <c r="A45" s="347" t="s">
        <v>371</v>
      </c>
      <c r="B45" s="348"/>
      <c r="C45" s="121">
        <f t="shared" ref="C45:E45" si="28">C41/C44</f>
        <v>0</v>
      </c>
      <c r="D45" s="121">
        <f t="shared" si="28"/>
        <v>0</v>
      </c>
      <c r="E45" s="121">
        <f t="shared" si="28"/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spans="1:48" ht="15.75" customHeight="1" x14ac:dyDescent="0.2">
      <c r="A46" s="347" t="s">
        <v>372</v>
      </c>
      <c r="B46" s="121">
        <f>B21</f>
        <v>0</v>
      </c>
      <c r="C46" s="121">
        <f t="shared" ref="C46:E46" si="29">B46+C45</f>
        <v>0</v>
      </c>
      <c r="D46" s="121">
        <f t="shared" si="29"/>
        <v>0</v>
      </c>
      <c r="E46" s="121">
        <f t="shared" si="29"/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</row>
    <row r="47" spans="1:48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</row>
    <row r="48" spans="1:48" ht="15.75" customHeight="1" x14ac:dyDescent="0.2">
      <c r="A48" s="306" t="s">
        <v>373</v>
      </c>
      <c r="B48" s="352">
        <f>PARÁMETROS!B17</f>
        <v>1.9199999999999998E-2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</row>
    <row r="49" spans="1:48" ht="15.75" customHeight="1" x14ac:dyDescent="0.2">
      <c r="A49" s="306" t="s">
        <v>374</v>
      </c>
      <c r="B49" s="353">
        <f>MAX(B30:E30)</f>
        <v>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</row>
    <row r="50" spans="1:48" ht="15.75" customHeight="1" x14ac:dyDescent="0.2">
      <c r="A50" s="306" t="s">
        <v>375</v>
      </c>
      <c r="B50" s="120">
        <f>RESUMEN!B8*0.7</f>
        <v>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</row>
    <row r="51" spans="1:48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</row>
    <row r="52" spans="1:48" ht="15.75" customHeight="1" x14ac:dyDescent="0.2">
      <c r="A52" s="306" t="s">
        <v>376</v>
      </c>
      <c r="B52" s="121">
        <f>E46</f>
        <v>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spans="1:48" ht="15.75" customHeight="1" x14ac:dyDescent="0.2">
      <c r="A53" s="306" t="s">
        <v>377</v>
      </c>
      <c r="B53" s="121">
        <f t="array" ref="B53">NPV(B48,H39:J39)+B50</f>
        <v>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</row>
    <row r="54" spans="1:48" ht="15.75" customHeight="1" x14ac:dyDescent="0.2">
      <c r="A54" s="306" t="s">
        <v>378</v>
      </c>
      <c r="B54" s="121">
        <f>SUM(B52:B53)</f>
        <v>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spans="1:48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 spans="1:48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57" spans="1:48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spans="1:48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spans="1:48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</row>
    <row r="60" spans="1:48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spans="1:48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spans="1:48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spans="1:48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 spans="1:48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 spans="1:48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spans="1:48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spans="1:48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 spans="1:48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 spans="1:48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spans="1:48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spans="1:48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 spans="1:48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spans="1:48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 spans="1:48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 spans="1:48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</row>
    <row r="76" spans="1:48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 spans="1:48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spans="1:48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 spans="1:48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 spans="1:48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spans="1:48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 spans="1:48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 spans="1:48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 spans="1:48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 spans="1:48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spans="1:48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spans="1:48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spans="1:48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spans="1:48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 spans="1:48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 spans="1:48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 spans="1:48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</row>
    <row r="93" spans="1:48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</row>
    <row r="94" spans="1:48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 spans="1:48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</row>
    <row r="96" spans="1:48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</row>
    <row r="97" spans="1:48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</row>
    <row r="98" spans="1:48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</row>
    <row r="99" spans="1:48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</row>
    <row r="100" spans="1:48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 spans="1:48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</row>
    <row r="102" spans="1:48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 spans="1:48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</row>
    <row r="104" spans="1:48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 spans="1:48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</row>
    <row r="106" spans="1:48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</row>
    <row r="107" spans="1:48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</row>
    <row r="108" spans="1:48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</row>
    <row r="109" spans="1:48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 spans="1:48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 spans="1:48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</row>
    <row r="112" spans="1:48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</row>
    <row r="113" spans="1:48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 spans="1:48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</row>
    <row r="115" spans="1:48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</row>
    <row r="116" spans="1:48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</row>
    <row r="117" spans="1:48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</row>
    <row r="118" spans="1:48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</row>
    <row r="119" spans="1:48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</row>
    <row r="120" spans="1:48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</row>
    <row r="121" spans="1:48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</row>
    <row r="122" spans="1:48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</row>
    <row r="123" spans="1:48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</row>
    <row r="124" spans="1:48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</row>
    <row r="125" spans="1:48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</row>
    <row r="126" spans="1:48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</row>
    <row r="127" spans="1:48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</row>
    <row r="128" spans="1:48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</row>
    <row r="129" spans="1:48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</row>
    <row r="130" spans="1:48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</row>
    <row r="131" spans="1:48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</row>
    <row r="132" spans="1:48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</row>
    <row r="133" spans="1:48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</row>
    <row r="134" spans="1:48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</row>
    <row r="135" spans="1:48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</row>
    <row r="136" spans="1:48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</row>
    <row r="137" spans="1:48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</row>
    <row r="138" spans="1:48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</row>
    <row r="139" spans="1:48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</row>
    <row r="140" spans="1:48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</row>
    <row r="141" spans="1:48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</row>
    <row r="142" spans="1:48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</row>
    <row r="143" spans="1:48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</row>
    <row r="144" spans="1:48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</row>
    <row r="145" spans="1:48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</row>
    <row r="146" spans="1:48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</row>
    <row r="147" spans="1:48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</row>
    <row r="148" spans="1:48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</row>
    <row r="149" spans="1:48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</row>
    <row r="150" spans="1:48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</row>
    <row r="151" spans="1:48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</row>
    <row r="152" spans="1:48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</row>
    <row r="153" spans="1:48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</row>
    <row r="154" spans="1:48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</row>
    <row r="155" spans="1:48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</row>
    <row r="156" spans="1:48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</row>
    <row r="157" spans="1:48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</row>
    <row r="158" spans="1:48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</row>
    <row r="159" spans="1:48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</row>
    <row r="160" spans="1:48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</row>
    <row r="161" spans="1:48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</row>
    <row r="162" spans="1:48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</row>
    <row r="163" spans="1:48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</row>
    <row r="164" spans="1:48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</row>
    <row r="165" spans="1:48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</row>
    <row r="166" spans="1:48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</row>
    <row r="167" spans="1:48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</row>
    <row r="168" spans="1:48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</row>
    <row r="169" spans="1:48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</row>
    <row r="170" spans="1:48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</row>
    <row r="171" spans="1:48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</row>
    <row r="172" spans="1:48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</row>
    <row r="173" spans="1:48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</row>
    <row r="174" spans="1:48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</row>
    <row r="175" spans="1:48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</row>
    <row r="176" spans="1:48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</row>
    <row r="177" spans="1:48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</row>
    <row r="178" spans="1:48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</row>
    <row r="179" spans="1:48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</row>
    <row r="180" spans="1:48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</row>
    <row r="181" spans="1:48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</row>
    <row r="182" spans="1:48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</row>
    <row r="183" spans="1:48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</row>
    <row r="184" spans="1:48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</row>
    <row r="185" spans="1:48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</row>
    <row r="186" spans="1:48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</row>
    <row r="187" spans="1:48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</row>
    <row r="188" spans="1:48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</row>
    <row r="189" spans="1:48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</row>
    <row r="190" spans="1:48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</row>
    <row r="191" spans="1:48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</row>
    <row r="192" spans="1:48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</row>
    <row r="193" spans="1:48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</row>
    <row r="194" spans="1:48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</row>
    <row r="195" spans="1:48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</row>
    <row r="196" spans="1:48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</row>
    <row r="197" spans="1:48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</row>
    <row r="198" spans="1:48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</row>
    <row r="199" spans="1:48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</row>
    <row r="200" spans="1:48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</row>
    <row r="201" spans="1:48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</row>
    <row r="202" spans="1:48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</row>
    <row r="203" spans="1:48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</row>
    <row r="204" spans="1:48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</row>
    <row r="205" spans="1:48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</row>
    <row r="206" spans="1:48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</row>
    <row r="207" spans="1:48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</row>
    <row r="208" spans="1:48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</row>
    <row r="209" spans="1:48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</row>
    <row r="210" spans="1:48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</row>
    <row r="211" spans="1:48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</row>
    <row r="212" spans="1:48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</row>
    <row r="213" spans="1:48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</row>
    <row r="214" spans="1:48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</row>
    <row r="215" spans="1:48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</row>
    <row r="216" spans="1:48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</row>
    <row r="217" spans="1:48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</row>
    <row r="218" spans="1:48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</row>
    <row r="219" spans="1:48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</row>
    <row r="220" spans="1:48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</row>
    <row r="221" spans="1:48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</row>
    <row r="222" spans="1:48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</row>
    <row r="223" spans="1:48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</row>
    <row r="224" spans="1:48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</row>
    <row r="225" spans="1:48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</row>
    <row r="226" spans="1:48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</row>
    <row r="227" spans="1:48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</row>
    <row r="228" spans="1:48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</row>
    <row r="229" spans="1:48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</row>
    <row r="230" spans="1:48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</row>
    <row r="231" spans="1:48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</row>
    <row r="232" spans="1:48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</row>
    <row r="233" spans="1:48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</row>
    <row r="234" spans="1:48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</row>
    <row r="235" spans="1:48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</row>
    <row r="236" spans="1:48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</row>
    <row r="237" spans="1:48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</row>
    <row r="238" spans="1:48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</row>
    <row r="239" spans="1:48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</row>
    <row r="240" spans="1:48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</row>
    <row r="241" spans="1:48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</row>
    <row r="242" spans="1:48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</row>
    <row r="243" spans="1:48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</row>
    <row r="244" spans="1:48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</row>
    <row r="245" spans="1:48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</row>
    <row r="246" spans="1:48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</row>
    <row r="247" spans="1:48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</row>
    <row r="248" spans="1:48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</row>
    <row r="249" spans="1:48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</row>
    <row r="250" spans="1:48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</row>
    <row r="251" spans="1:48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</row>
    <row r="252" spans="1:48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</row>
    <row r="253" spans="1:48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</row>
    <row r="254" spans="1:48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</row>
    <row r="255" spans="1:48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</row>
    <row r="256" spans="1:48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</row>
    <row r="257" spans="1:48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</row>
    <row r="258" spans="1:48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</row>
    <row r="259" spans="1:48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</row>
    <row r="260" spans="1:48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</row>
    <row r="261" spans="1:48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</row>
    <row r="262" spans="1:48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</row>
    <row r="263" spans="1:48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</row>
    <row r="264" spans="1:48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</row>
    <row r="265" spans="1:48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</row>
    <row r="266" spans="1:48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</row>
    <row r="267" spans="1:48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</row>
    <row r="268" spans="1:48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</row>
    <row r="269" spans="1:48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</row>
    <row r="270" spans="1:48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</row>
    <row r="271" spans="1:48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</row>
    <row r="272" spans="1:48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</row>
    <row r="273" spans="1:48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</row>
    <row r="274" spans="1:48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</row>
    <row r="275" spans="1:48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</row>
    <row r="276" spans="1:48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</row>
    <row r="277" spans="1:48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</row>
    <row r="278" spans="1:48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</row>
    <row r="279" spans="1:48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</row>
    <row r="280" spans="1:48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</row>
    <row r="281" spans="1:48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</row>
    <row r="282" spans="1:48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</row>
    <row r="283" spans="1:48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</row>
    <row r="284" spans="1:48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</row>
    <row r="285" spans="1:48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</row>
    <row r="286" spans="1:48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</row>
    <row r="287" spans="1:48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</row>
    <row r="288" spans="1:48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</row>
    <row r="289" spans="1:48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</row>
    <row r="290" spans="1:48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</row>
    <row r="291" spans="1:48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</row>
    <row r="292" spans="1:48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</row>
    <row r="293" spans="1:48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</row>
    <row r="294" spans="1:48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</row>
    <row r="295" spans="1:48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</row>
    <row r="296" spans="1:48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</row>
    <row r="297" spans="1:48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</row>
    <row r="298" spans="1:48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</row>
    <row r="299" spans="1:48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</row>
    <row r="300" spans="1:48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</row>
    <row r="301" spans="1:48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</row>
    <row r="302" spans="1:48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</row>
    <row r="303" spans="1:48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</row>
    <row r="304" spans="1:48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</row>
    <row r="305" spans="1:48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</row>
    <row r="306" spans="1:48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</row>
    <row r="307" spans="1:48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</row>
    <row r="308" spans="1:48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</row>
    <row r="309" spans="1:48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</row>
    <row r="310" spans="1:48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</row>
    <row r="311" spans="1:48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</row>
    <row r="312" spans="1:48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</row>
    <row r="313" spans="1:48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</row>
    <row r="314" spans="1:48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</row>
    <row r="315" spans="1:48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</row>
    <row r="316" spans="1:48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</row>
    <row r="317" spans="1:48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</row>
    <row r="318" spans="1:48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</row>
    <row r="319" spans="1:48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</row>
    <row r="320" spans="1:48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</row>
    <row r="321" spans="1:48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</row>
    <row r="322" spans="1:48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</row>
    <row r="323" spans="1:48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</row>
    <row r="324" spans="1:48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</row>
    <row r="325" spans="1:48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</row>
    <row r="326" spans="1:48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</row>
    <row r="327" spans="1:48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</row>
    <row r="328" spans="1:48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</row>
    <row r="329" spans="1:48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</row>
    <row r="330" spans="1:48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</row>
    <row r="331" spans="1:48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</row>
    <row r="332" spans="1:48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</row>
    <row r="333" spans="1:48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</row>
    <row r="334" spans="1:48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</row>
    <row r="335" spans="1:48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</row>
    <row r="336" spans="1:48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</row>
    <row r="337" spans="1:48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</row>
    <row r="338" spans="1:48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</row>
    <row r="339" spans="1:48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</row>
    <row r="340" spans="1:48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</row>
    <row r="341" spans="1:48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</row>
    <row r="342" spans="1:48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</row>
    <row r="343" spans="1:48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</row>
    <row r="344" spans="1:48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</row>
    <row r="345" spans="1:48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</row>
    <row r="346" spans="1:48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</row>
    <row r="347" spans="1:48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</row>
    <row r="348" spans="1:48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</row>
    <row r="349" spans="1:48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</row>
    <row r="350" spans="1:48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</row>
    <row r="351" spans="1:48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</row>
    <row r="352" spans="1:48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</row>
    <row r="353" spans="1:48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</row>
    <row r="354" spans="1:48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</row>
    <row r="355" spans="1:48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</row>
    <row r="356" spans="1:48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</row>
    <row r="357" spans="1:48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</row>
    <row r="358" spans="1:48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</row>
    <row r="359" spans="1:48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</row>
    <row r="360" spans="1:48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</row>
    <row r="361" spans="1:48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</row>
    <row r="362" spans="1:48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</row>
    <row r="363" spans="1:48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</row>
    <row r="364" spans="1:48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</row>
    <row r="365" spans="1:48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</row>
    <row r="366" spans="1:48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</row>
    <row r="367" spans="1:48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</row>
    <row r="368" spans="1:48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</row>
    <row r="369" spans="1:48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</row>
    <row r="370" spans="1:48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</row>
    <row r="371" spans="1:48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</row>
    <row r="372" spans="1:48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</row>
    <row r="373" spans="1:48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</row>
    <row r="374" spans="1:48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</row>
    <row r="375" spans="1:48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</row>
    <row r="376" spans="1:48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</row>
    <row r="377" spans="1:48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</row>
    <row r="378" spans="1:48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</row>
    <row r="379" spans="1:48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</row>
    <row r="380" spans="1:48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</row>
    <row r="381" spans="1:48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</row>
    <row r="382" spans="1:48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</row>
    <row r="383" spans="1:48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</row>
    <row r="384" spans="1:48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</row>
    <row r="385" spans="1:48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</row>
    <row r="386" spans="1:48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</row>
    <row r="387" spans="1:48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</row>
    <row r="388" spans="1:48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</row>
    <row r="389" spans="1:48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</row>
    <row r="390" spans="1:48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</row>
    <row r="391" spans="1:48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</row>
    <row r="392" spans="1:48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</row>
    <row r="393" spans="1:48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</row>
    <row r="394" spans="1:48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</row>
    <row r="395" spans="1:48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</row>
    <row r="396" spans="1:48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</row>
    <row r="397" spans="1:48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</row>
    <row r="398" spans="1:48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</row>
    <row r="399" spans="1:48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</row>
    <row r="400" spans="1:48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</row>
    <row r="401" spans="1:48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</row>
    <row r="402" spans="1:48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</row>
    <row r="403" spans="1:48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</row>
    <row r="404" spans="1:48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</row>
    <row r="405" spans="1:48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</row>
    <row r="406" spans="1:48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</row>
    <row r="407" spans="1:48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</row>
    <row r="408" spans="1:48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</row>
    <row r="409" spans="1:48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</row>
    <row r="410" spans="1:48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</row>
    <row r="411" spans="1:48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</row>
    <row r="412" spans="1:48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</row>
    <row r="413" spans="1:48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</row>
    <row r="414" spans="1:48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</row>
    <row r="415" spans="1:48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</row>
    <row r="416" spans="1:48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</row>
    <row r="417" spans="1:48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</row>
    <row r="418" spans="1:48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</row>
    <row r="419" spans="1:48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</row>
    <row r="420" spans="1:48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</row>
    <row r="421" spans="1:48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</row>
    <row r="422" spans="1:48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</row>
    <row r="423" spans="1:48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</row>
    <row r="424" spans="1:48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</row>
    <row r="425" spans="1:48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</row>
    <row r="426" spans="1:48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</row>
    <row r="427" spans="1:48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</row>
    <row r="428" spans="1:48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</row>
    <row r="429" spans="1:48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</row>
    <row r="430" spans="1:48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</row>
    <row r="431" spans="1:48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</row>
    <row r="432" spans="1:48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</row>
    <row r="433" spans="1:48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</row>
    <row r="434" spans="1:48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</row>
    <row r="435" spans="1:48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</row>
    <row r="436" spans="1:48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</row>
    <row r="437" spans="1:48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</row>
    <row r="438" spans="1:48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</row>
    <row r="439" spans="1:48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</row>
    <row r="440" spans="1:48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</row>
    <row r="441" spans="1:48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</row>
    <row r="442" spans="1:48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</row>
    <row r="443" spans="1:48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</row>
    <row r="444" spans="1:48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</row>
    <row r="445" spans="1:48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</row>
    <row r="446" spans="1:48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</row>
    <row r="447" spans="1:48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</row>
    <row r="448" spans="1:48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</row>
    <row r="449" spans="1:48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</row>
    <row r="450" spans="1:48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</row>
    <row r="451" spans="1:48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</row>
    <row r="452" spans="1:48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</row>
    <row r="453" spans="1:48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</row>
    <row r="454" spans="1:48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</row>
    <row r="455" spans="1:48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</row>
    <row r="456" spans="1:48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</row>
    <row r="457" spans="1:48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</row>
    <row r="458" spans="1:48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</row>
    <row r="459" spans="1:48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</row>
    <row r="460" spans="1:48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</row>
    <row r="461" spans="1:48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</row>
    <row r="462" spans="1:48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</row>
    <row r="463" spans="1:48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</row>
    <row r="464" spans="1:48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</row>
    <row r="465" spans="1:48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</row>
    <row r="466" spans="1:48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</row>
    <row r="467" spans="1:48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</row>
    <row r="468" spans="1:48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</row>
    <row r="469" spans="1:48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</row>
    <row r="470" spans="1:48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</row>
    <row r="471" spans="1:48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</row>
    <row r="472" spans="1:48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</row>
    <row r="473" spans="1:48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</row>
    <row r="474" spans="1:48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</row>
    <row r="475" spans="1:48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</row>
    <row r="476" spans="1:48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</row>
    <row r="477" spans="1:48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</row>
    <row r="478" spans="1:48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</row>
    <row r="479" spans="1:48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</row>
    <row r="480" spans="1:48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</row>
    <row r="481" spans="1:48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</row>
    <row r="482" spans="1:48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</row>
    <row r="483" spans="1:48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</row>
    <row r="484" spans="1:48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</row>
    <row r="485" spans="1:48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</row>
    <row r="486" spans="1:48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</row>
    <row r="487" spans="1:48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</row>
    <row r="488" spans="1:48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</row>
    <row r="489" spans="1:48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</row>
    <row r="490" spans="1:48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</row>
    <row r="491" spans="1:48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</row>
    <row r="492" spans="1:48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</row>
    <row r="493" spans="1:48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</row>
    <row r="494" spans="1:48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</row>
    <row r="495" spans="1:48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</row>
    <row r="496" spans="1:48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</row>
    <row r="497" spans="1:48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</row>
    <row r="498" spans="1:48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</row>
    <row r="499" spans="1:48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</row>
    <row r="500" spans="1:48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</row>
    <row r="501" spans="1:48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</row>
    <row r="502" spans="1:48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</row>
    <row r="503" spans="1:48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</row>
    <row r="504" spans="1:48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</row>
    <row r="505" spans="1:48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</row>
    <row r="506" spans="1:48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</row>
    <row r="507" spans="1:48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</row>
    <row r="508" spans="1:48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</row>
    <row r="509" spans="1:48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</row>
    <row r="510" spans="1:48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</row>
    <row r="511" spans="1:48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</row>
    <row r="512" spans="1:48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</row>
    <row r="513" spans="1:48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</row>
    <row r="514" spans="1:48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</row>
    <row r="515" spans="1:48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</row>
    <row r="516" spans="1:48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</row>
    <row r="517" spans="1:48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</row>
    <row r="518" spans="1:48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</row>
    <row r="519" spans="1:48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</row>
    <row r="520" spans="1:48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</row>
    <row r="521" spans="1:48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</row>
    <row r="522" spans="1:48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</row>
    <row r="523" spans="1:48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</row>
    <row r="524" spans="1:48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</row>
    <row r="525" spans="1:48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</row>
    <row r="526" spans="1:48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</row>
    <row r="527" spans="1:48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</row>
    <row r="528" spans="1:48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</row>
    <row r="529" spans="1:48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</row>
    <row r="530" spans="1:48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</row>
    <row r="531" spans="1:48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</row>
    <row r="532" spans="1:48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</row>
    <row r="533" spans="1:48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</row>
    <row r="534" spans="1:48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</row>
    <row r="535" spans="1:48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</row>
    <row r="536" spans="1:48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</row>
    <row r="537" spans="1:48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</row>
    <row r="538" spans="1:48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</row>
    <row r="539" spans="1:48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</row>
    <row r="540" spans="1:48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</row>
    <row r="541" spans="1:48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</row>
    <row r="542" spans="1:48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</row>
    <row r="543" spans="1:48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</row>
    <row r="544" spans="1:48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</row>
    <row r="545" spans="1:48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</row>
    <row r="546" spans="1:48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</row>
    <row r="547" spans="1:48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</row>
    <row r="548" spans="1:48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</row>
    <row r="549" spans="1:48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</row>
    <row r="550" spans="1:48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</row>
    <row r="551" spans="1:48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</row>
    <row r="552" spans="1:48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</row>
    <row r="553" spans="1:48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</row>
    <row r="554" spans="1:48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</row>
    <row r="555" spans="1:48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</row>
    <row r="556" spans="1:48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</row>
    <row r="557" spans="1:48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</row>
    <row r="558" spans="1:48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</row>
    <row r="559" spans="1:48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</row>
    <row r="560" spans="1:48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</row>
    <row r="561" spans="1:48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</row>
    <row r="562" spans="1:48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</row>
    <row r="563" spans="1:48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</row>
    <row r="564" spans="1:48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</row>
    <row r="565" spans="1:48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</row>
    <row r="566" spans="1:48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</row>
    <row r="567" spans="1:48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</row>
    <row r="568" spans="1:48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</row>
    <row r="569" spans="1:48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</row>
    <row r="570" spans="1:48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</row>
    <row r="571" spans="1:48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</row>
    <row r="572" spans="1:48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</row>
    <row r="573" spans="1:48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</row>
    <row r="574" spans="1:48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</row>
    <row r="575" spans="1:48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</row>
    <row r="576" spans="1:48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</row>
    <row r="577" spans="1:48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</row>
    <row r="578" spans="1:48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</row>
    <row r="579" spans="1:48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</row>
    <row r="580" spans="1:48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</row>
    <row r="581" spans="1:48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</row>
    <row r="582" spans="1:48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</row>
    <row r="583" spans="1:48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</row>
    <row r="584" spans="1:48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</row>
    <row r="585" spans="1:48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</row>
    <row r="586" spans="1:48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</row>
    <row r="587" spans="1:48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</row>
    <row r="588" spans="1:48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</row>
    <row r="589" spans="1:48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</row>
    <row r="590" spans="1:48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</row>
    <row r="591" spans="1:48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</row>
    <row r="592" spans="1:48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</row>
    <row r="593" spans="1:48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</row>
    <row r="594" spans="1:48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</row>
    <row r="595" spans="1:48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</row>
    <row r="596" spans="1:48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</row>
    <row r="597" spans="1:48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</row>
    <row r="598" spans="1:48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</row>
    <row r="599" spans="1:48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</row>
    <row r="600" spans="1:48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</row>
    <row r="601" spans="1:48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</row>
    <row r="602" spans="1:48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</row>
    <row r="603" spans="1:48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</row>
    <row r="604" spans="1:48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</row>
    <row r="605" spans="1:48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</row>
    <row r="606" spans="1:48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</row>
    <row r="607" spans="1:48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</row>
    <row r="608" spans="1:48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</row>
    <row r="609" spans="1:48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</row>
    <row r="610" spans="1:48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</row>
    <row r="611" spans="1:48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</row>
    <row r="612" spans="1:48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</row>
    <row r="613" spans="1:48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</row>
    <row r="614" spans="1:48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</row>
    <row r="615" spans="1:48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</row>
    <row r="616" spans="1:48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</row>
    <row r="617" spans="1:48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</row>
    <row r="618" spans="1:48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</row>
    <row r="619" spans="1:48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</row>
    <row r="620" spans="1:48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</row>
    <row r="621" spans="1:48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</row>
    <row r="622" spans="1:48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</row>
    <row r="623" spans="1:48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</row>
    <row r="624" spans="1:48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</row>
    <row r="625" spans="1:48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</row>
    <row r="626" spans="1:48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</row>
    <row r="627" spans="1:48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</row>
    <row r="628" spans="1:48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</row>
    <row r="629" spans="1:48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</row>
    <row r="630" spans="1:48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</row>
    <row r="631" spans="1:48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</row>
    <row r="632" spans="1:48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</row>
    <row r="633" spans="1:48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</row>
    <row r="634" spans="1:48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</row>
    <row r="635" spans="1:48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</row>
    <row r="636" spans="1:48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</row>
    <row r="637" spans="1:48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</row>
    <row r="638" spans="1:48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</row>
    <row r="639" spans="1:48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</row>
    <row r="640" spans="1:48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</row>
    <row r="641" spans="1:48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</row>
    <row r="642" spans="1:48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</row>
    <row r="643" spans="1:48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</row>
    <row r="644" spans="1:48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</row>
    <row r="645" spans="1:48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</row>
    <row r="646" spans="1:48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</row>
    <row r="647" spans="1:48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</row>
    <row r="648" spans="1:48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</row>
    <row r="649" spans="1:48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</row>
    <row r="650" spans="1:48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</row>
    <row r="651" spans="1:48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</row>
    <row r="652" spans="1:48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</row>
    <row r="653" spans="1:48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</row>
    <row r="654" spans="1:48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</row>
    <row r="655" spans="1:48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</row>
    <row r="656" spans="1:48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</row>
    <row r="657" spans="1:48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</row>
    <row r="658" spans="1:48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</row>
    <row r="659" spans="1:48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</row>
    <row r="660" spans="1:48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</row>
    <row r="661" spans="1:48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</row>
    <row r="662" spans="1:48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</row>
    <row r="663" spans="1:48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</row>
    <row r="664" spans="1:48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</row>
    <row r="665" spans="1:48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</row>
    <row r="666" spans="1:48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</row>
    <row r="667" spans="1:48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</row>
    <row r="668" spans="1:48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</row>
    <row r="669" spans="1:48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</row>
    <row r="670" spans="1:48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</row>
    <row r="671" spans="1:48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</row>
    <row r="672" spans="1:48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</row>
    <row r="673" spans="1:48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</row>
    <row r="674" spans="1:48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</row>
    <row r="675" spans="1:48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</row>
    <row r="676" spans="1:48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</row>
    <row r="677" spans="1:48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</row>
    <row r="678" spans="1:48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</row>
    <row r="679" spans="1:48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</row>
    <row r="680" spans="1:48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</row>
    <row r="681" spans="1:48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</row>
    <row r="682" spans="1:48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</row>
    <row r="683" spans="1:48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</row>
    <row r="684" spans="1:48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</row>
    <row r="685" spans="1:48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</row>
    <row r="686" spans="1:48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</row>
    <row r="687" spans="1:48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</row>
    <row r="688" spans="1:48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</row>
    <row r="689" spans="1:48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</row>
    <row r="690" spans="1:48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</row>
    <row r="691" spans="1:48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</row>
    <row r="692" spans="1:48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</row>
    <row r="693" spans="1:48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</row>
    <row r="694" spans="1:48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</row>
    <row r="695" spans="1:48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</row>
    <row r="696" spans="1:48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</row>
    <row r="697" spans="1:48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</row>
    <row r="698" spans="1:48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</row>
    <row r="699" spans="1:48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</row>
    <row r="700" spans="1:48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</row>
    <row r="701" spans="1:48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</row>
    <row r="702" spans="1:48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</row>
    <row r="703" spans="1:48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</row>
    <row r="704" spans="1:48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</row>
    <row r="705" spans="1:48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</row>
    <row r="706" spans="1:48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</row>
    <row r="707" spans="1:48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</row>
    <row r="708" spans="1:48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</row>
    <row r="709" spans="1:48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</row>
    <row r="710" spans="1:48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</row>
    <row r="711" spans="1:48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</row>
    <row r="712" spans="1:48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</row>
    <row r="713" spans="1:48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</row>
    <row r="714" spans="1:48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</row>
    <row r="715" spans="1:48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</row>
    <row r="716" spans="1:48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</row>
    <row r="717" spans="1:48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</row>
    <row r="718" spans="1:48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</row>
    <row r="719" spans="1:48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</row>
    <row r="720" spans="1:48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</row>
    <row r="721" spans="1:48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</row>
    <row r="722" spans="1:48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</row>
    <row r="723" spans="1:48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</row>
    <row r="724" spans="1:48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</row>
    <row r="725" spans="1:48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</row>
    <row r="726" spans="1:48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</row>
    <row r="727" spans="1:48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</row>
    <row r="728" spans="1:48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</row>
    <row r="729" spans="1:48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</row>
    <row r="730" spans="1:48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</row>
    <row r="731" spans="1:48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</row>
    <row r="732" spans="1:48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</row>
    <row r="733" spans="1:48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</row>
    <row r="734" spans="1:48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</row>
    <row r="735" spans="1:48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</row>
    <row r="736" spans="1:48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</row>
    <row r="737" spans="1:48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</row>
    <row r="738" spans="1:48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</row>
    <row r="739" spans="1:48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</row>
    <row r="740" spans="1:48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</row>
    <row r="741" spans="1:48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</row>
    <row r="742" spans="1:48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</row>
    <row r="743" spans="1:48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</row>
    <row r="744" spans="1:48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</row>
    <row r="745" spans="1:48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</row>
    <row r="746" spans="1:48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</row>
    <row r="747" spans="1:48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</row>
    <row r="748" spans="1:48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</row>
    <row r="749" spans="1:48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</row>
    <row r="750" spans="1:48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</row>
    <row r="751" spans="1:48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</row>
    <row r="752" spans="1:48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</row>
    <row r="753" spans="1:48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</row>
    <row r="754" spans="1:48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</row>
    <row r="755" spans="1:48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</row>
    <row r="756" spans="1:48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</row>
    <row r="757" spans="1:48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</row>
    <row r="758" spans="1:48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</row>
    <row r="759" spans="1:48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</row>
    <row r="760" spans="1:48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</row>
    <row r="761" spans="1:48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</row>
    <row r="762" spans="1:48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</row>
    <row r="763" spans="1:48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</row>
    <row r="764" spans="1:48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</row>
    <row r="765" spans="1:48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</row>
    <row r="766" spans="1:48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</row>
    <row r="767" spans="1:48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</row>
    <row r="768" spans="1:48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</row>
    <row r="769" spans="1:48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</row>
    <row r="770" spans="1:48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</row>
    <row r="771" spans="1:48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</row>
    <row r="772" spans="1:48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</row>
    <row r="773" spans="1:48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</row>
    <row r="774" spans="1:48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</row>
    <row r="775" spans="1:48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</row>
    <row r="776" spans="1:48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</row>
    <row r="777" spans="1:48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</row>
    <row r="778" spans="1:48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</row>
    <row r="779" spans="1:48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</row>
    <row r="780" spans="1:48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</row>
    <row r="781" spans="1:48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</row>
    <row r="782" spans="1:48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</row>
    <row r="783" spans="1:48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</row>
    <row r="784" spans="1:48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</row>
    <row r="785" spans="1:48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</row>
    <row r="786" spans="1:48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</row>
    <row r="787" spans="1:48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</row>
    <row r="788" spans="1:48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</row>
    <row r="789" spans="1:48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</row>
    <row r="790" spans="1:48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</row>
    <row r="791" spans="1:48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</row>
    <row r="792" spans="1:48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</row>
    <row r="793" spans="1:48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</row>
    <row r="794" spans="1:48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</row>
    <row r="795" spans="1:48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</row>
    <row r="796" spans="1:48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</row>
    <row r="797" spans="1:48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</row>
    <row r="798" spans="1:48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</row>
    <row r="799" spans="1:48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</row>
    <row r="800" spans="1:48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</row>
    <row r="801" spans="1:48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</row>
    <row r="802" spans="1:48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</row>
    <row r="803" spans="1:48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</row>
    <row r="804" spans="1:48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</row>
    <row r="805" spans="1:48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</row>
    <row r="806" spans="1:48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</row>
    <row r="807" spans="1:48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</row>
    <row r="808" spans="1:48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</row>
    <row r="809" spans="1:48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</row>
    <row r="810" spans="1:48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</row>
    <row r="811" spans="1:48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</row>
    <row r="812" spans="1:48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</row>
    <row r="813" spans="1:48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</row>
    <row r="814" spans="1:48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</row>
    <row r="815" spans="1:48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</row>
    <row r="816" spans="1:48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</row>
    <row r="817" spans="1:48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</row>
    <row r="818" spans="1:48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</row>
    <row r="819" spans="1:48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</row>
    <row r="820" spans="1:48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</row>
    <row r="821" spans="1:48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</row>
    <row r="822" spans="1:48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</row>
    <row r="823" spans="1:48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</row>
    <row r="824" spans="1:48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</row>
    <row r="825" spans="1:48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</row>
    <row r="826" spans="1:48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</row>
    <row r="827" spans="1:48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</row>
    <row r="828" spans="1:48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</row>
    <row r="829" spans="1:48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</row>
    <row r="830" spans="1:48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</row>
    <row r="831" spans="1:48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</row>
    <row r="832" spans="1:48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</row>
    <row r="833" spans="1:48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</row>
    <row r="834" spans="1:48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</row>
    <row r="835" spans="1:48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</row>
    <row r="836" spans="1:48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</row>
    <row r="837" spans="1:48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</row>
    <row r="838" spans="1:48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</row>
    <row r="839" spans="1:48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</row>
    <row r="840" spans="1:48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</row>
    <row r="841" spans="1:48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</row>
    <row r="842" spans="1:48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</row>
    <row r="843" spans="1:48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</row>
    <row r="844" spans="1:48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</row>
    <row r="845" spans="1:48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</row>
    <row r="846" spans="1:48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</row>
    <row r="847" spans="1:48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</row>
    <row r="848" spans="1:48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</row>
    <row r="849" spans="1:48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</row>
    <row r="850" spans="1:48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</row>
    <row r="851" spans="1:48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</row>
    <row r="852" spans="1:48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</row>
    <row r="853" spans="1:48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</row>
    <row r="854" spans="1:48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</row>
    <row r="855" spans="1:48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</row>
    <row r="856" spans="1:48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</row>
    <row r="857" spans="1:48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</row>
    <row r="858" spans="1:48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</row>
    <row r="859" spans="1:48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</row>
    <row r="860" spans="1:48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</row>
    <row r="861" spans="1:48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</row>
    <row r="862" spans="1:48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</row>
    <row r="863" spans="1:48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</row>
    <row r="864" spans="1:48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</row>
    <row r="865" spans="1:48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</row>
    <row r="866" spans="1:48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</row>
    <row r="867" spans="1:48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</row>
    <row r="868" spans="1:48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</row>
    <row r="869" spans="1:48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</row>
    <row r="870" spans="1:48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</row>
    <row r="871" spans="1:48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</row>
    <row r="872" spans="1:48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</row>
    <row r="873" spans="1:48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</row>
    <row r="874" spans="1:48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</row>
    <row r="875" spans="1:48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</row>
    <row r="876" spans="1:48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</row>
    <row r="877" spans="1:48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</row>
    <row r="878" spans="1:48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</row>
    <row r="879" spans="1:48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</row>
    <row r="880" spans="1:48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</row>
    <row r="881" spans="1:48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</row>
    <row r="882" spans="1:48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</row>
    <row r="883" spans="1:48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</row>
    <row r="884" spans="1:48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</row>
    <row r="885" spans="1:48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</row>
    <row r="886" spans="1:48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</row>
    <row r="887" spans="1:48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</row>
    <row r="888" spans="1:48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</row>
    <row r="889" spans="1:48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</row>
    <row r="890" spans="1:48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</row>
    <row r="891" spans="1:48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</row>
    <row r="892" spans="1:48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</row>
    <row r="893" spans="1:48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</row>
    <row r="894" spans="1:48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</row>
    <row r="895" spans="1:48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</row>
    <row r="896" spans="1:48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</row>
    <row r="897" spans="1:48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</row>
    <row r="898" spans="1:48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</row>
    <row r="899" spans="1:48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</row>
    <row r="900" spans="1:48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</row>
    <row r="901" spans="1:48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</row>
    <row r="902" spans="1:48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</row>
    <row r="903" spans="1:48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</row>
    <row r="904" spans="1:48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</row>
    <row r="905" spans="1:48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</row>
    <row r="906" spans="1:48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</row>
    <row r="907" spans="1:48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</row>
    <row r="908" spans="1:48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</row>
    <row r="909" spans="1:48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</row>
    <row r="910" spans="1:48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</row>
    <row r="911" spans="1:48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</row>
    <row r="912" spans="1:48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</row>
    <row r="913" spans="1:48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</row>
    <row r="914" spans="1:48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</row>
    <row r="915" spans="1:48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</row>
    <row r="916" spans="1:48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</row>
    <row r="917" spans="1:48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</row>
    <row r="918" spans="1:48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</row>
    <row r="919" spans="1:48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</row>
    <row r="920" spans="1:48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</row>
    <row r="921" spans="1:48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</row>
    <row r="922" spans="1:48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</row>
    <row r="923" spans="1:48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</row>
    <row r="924" spans="1:48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</row>
    <row r="925" spans="1:48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</row>
    <row r="926" spans="1:48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</row>
    <row r="927" spans="1:48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</row>
    <row r="928" spans="1:48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</row>
    <row r="929" spans="1:48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</row>
    <row r="930" spans="1:48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</row>
    <row r="931" spans="1:48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</row>
    <row r="932" spans="1:48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</row>
    <row r="933" spans="1:48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</row>
    <row r="934" spans="1:48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</row>
    <row r="935" spans="1:48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</row>
    <row r="936" spans="1:48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</row>
    <row r="937" spans="1:48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</row>
    <row r="938" spans="1:48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</row>
    <row r="939" spans="1:48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</row>
    <row r="940" spans="1:48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</row>
    <row r="941" spans="1:48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</row>
    <row r="942" spans="1:48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</row>
    <row r="943" spans="1:48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</row>
    <row r="944" spans="1:48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</row>
    <row r="945" spans="1:48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</row>
    <row r="946" spans="1:48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</row>
    <row r="947" spans="1:48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</row>
    <row r="948" spans="1:48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</row>
    <row r="949" spans="1:48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</row>
    <row r="950" spans="1:48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</row>
    <row r="951" spans="1:48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</row>
    <row r="952" spans="1:48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</row>
    <row r="953" spans="1:48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</row>
    <row r="954" spans="1:48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</row>
    <row r="955" spans="1:48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</row>
    <row r="956" spans="1:48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</row>
    <row r="957" spans="1:48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</row>
    <row r="958" spans="1:48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</row>
    <row r="959" spans="1:48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</row>
    <row r="960" spans="1:48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</row>
    <row r="961" spans="1:48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</row>
    <row r="962" spans="1:48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</row>
    <row r="963" spans="1:48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</row>
    <row r="964" spans="1:48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</row>
    <row r="965" spans="1:48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</row>
    <row r="966" spans="1:48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</row>
    <row r="967" spans="1:48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</row>
    <row r="968" spans="1:48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</row>
    <row r="969" spans="1:48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</row>
    <row r="970" spans="1:48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</row>
    <row r="971" spans="1:48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</row>
    <row r="972" spans="1:48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</row>
    <row r="973" spans="1:48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</row>
    <row r="974" spans="1:48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</row>
    <row r="975" spans="1:48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</row>
    <row r="976" spans="1:48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</row>
    <row r="977" spans="1:48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</row>
    <row r="978" spans="1:48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</row>
    <row r="979" spans="1:48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</row>
    <row r="980" spans="1:48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</row>
    <row r="981" spans="1:48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</row>
    <row r="982" spans="1:48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</row>
    <row r="983" spans="1:48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</row>
    <row r="984" spans="1:48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</row>
    <row r="985" spans="1:48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</row>
    <row r="986" spans="1:48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</row>
    <row r="987" spans="1:48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</row>
    <row r="988" spans="1:48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</row>
    <row r="989" spans="1:48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</row>
    <row r="990" spans="1:48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</row>
    <row r="991" spans="1:48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</row>
    <row r="992" spans="1:48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</row>
    <row r="993" spans="1:48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</row>
    <row r="994" spans="1:48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</row>
    <row r="995" spans="1:48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</row>
    <row r="996" spans="1:48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</row>
    <row r="997" spans="1:48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</row>
  </sheetData>
  <conditionalFormatting sqref="AM1:AN57 AO1:AQ58 B5:J29 K5:AL57 AR5:AV58 A22 A27 A29 B31:E46 F31:J55 B48:B54 C48:E55 A51">
    <cfRule type="cellIs" dxfId="5" priority="1" operator="lessThan">
      <formula>0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Y963"/>
  <sheetViews>
    <sheetView tabSelected="1" workbookViewId="0">
      <pane ySplit="3" topLeftCell="A4" activePane="bottomLeft" state="frozen"/>
      <selection pane="bottomLeft" activeCell="C31" sqref="C31"/>
    </sheetView>
  </sheetViews>
  <sheetFormatPr baseColWidth="10" defaultColWidth="12.5703125" defaultRowHeight="15" customHeight="1" x14ac:dyDescent="0.2"/>
  <cols>
    <col min="1" max="1" width="57" customWidth="1"/>
    <col min="2" max="51" width="12.7109375" customWidth="1"/>
  </cols>
  <sheetData>
    <row r="1" spans="1:51" ht="15.75" customHeight="1" x14ac:dyDescent="0.2">
      <c r="A1" s="3"/>
      <c r="B1" s="3"/>
      <c r="C1" s="420" t="s">
        <v>312</v>
      </c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1"/>
      <c r="T1" s="421"/>
      <c r="U1" s="421"/>
      <c r="V1" s="422"/>
      <c r="W1" s="423" t="s">
        <v>313</v>
      </c>
      <c r="X1" s="421"/>
      <c r="Y1" s="421"/>
      <c r="Z1" s="421"/>
      <c r="AA1" s="421"/>
      <c r="AB1" s="421"/>
      <c r="AC1" s="421"/>
      <c r="AD1" s="421"/>
      <c r="AE1" s="421"/>
      <c r="AF1" s="421"/>
      <c r="AG1" s="421"/>
      <c r="AH1" s="421"/>
      <c r="AI1" s="421"/>
      <c r="AJ1" s="421"/>
      <c r="AK1" s="421"/>
      <c r="AL1" s="422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</row>
    <row r="2" spans="1:51" ht="15.75" customHeight="1" x14ac:dyDescent="0.2">
      <c r="A2" s="314" t="s">
        <v>53</v>
      </c>
      <c r="B2" s="314">
        <v>0</v>
      </c>
      <c r="C2" s="314">
        <v>1</v>
      </c>
      <c r="D2" s="314">
        <v>2</v>
      </c>
      <c r="E2" s="314">
        <v>3</v>
      </c>
      <c r="F2" s="314">
        <v>4</v>
      </c>
      <c r="G2" s="314">
        <v>5</v>
      </c>
      <c r="H2" s="314">
        <v>6</v>
      </c>
      <c r="I2" s="314">
        <v>7</v>
      </c>
      <c r="J2" s="314">
        <v>8</v>
      </c>
      <c r="K2" s="314">
        <v>9</v>
      </c>
      <c r="L2" s="314">
        <v>10</v>
      </c>
      <c r="M2" s="314">
        <v>11</v>
      </c>
      <c r="N2" s="314">
        <v>12</v>
      </c>
      <c r="O2" s="315">
        <v>13</v>
      </c>
      <c r="P2" s="315">
        <v>14</v>
      </c>
      <c r="Q2" s="315">
        <v>15</v>
      </c>
      <c r="R2" s="315">
        <v>16</v>
      </c>
      <c r="S2" s="315">
        <v>17</v>
      </c>
      <c r="T2" s="315">
        <v>18</v>
      </c>
      <c r="U2" s="315">
        <v>19</v>
      </c>
      <c r="V2" s="315">
        <v>20</v>
      </c>
      <c r="W2" s="315">
        <v>21</v>
      </c>
      <c r="X2" s="315">
        <v>22</v>
      </c>
      <c r="Y2" s="315">
        <v>23</v>
      </c>
      <c r="Z2" s="315">
        <v>24</v>
      </c>
      <c r="AA2" s="315">
        <v>25</v>
      </c>
      <c r="AB2" s="315">
        <v>26</v>
      </c>
      <c r="AC2" s="315">
        <v>27</v>
      </c>
      <c r="AD2" s="315">
        <v>28</v>
      </c>
      <c r="AE2" s="315">
        <v>29</v>
      </c>
      <c r="AF2" s="315">
        <v>30</v>
      </c>
      <c r="AG2" s="315">
        <v>31</v>
      </c>
      <c r="AH2" s="315">
        <v>32</v>
      </c>
      <c r="AI2" s="315">
        <v>33</v>
      </c>
      <c r="AJ2" s="315">
        <v>34</v>
      </c>
      <c r="AK2" s="315">
        <v>35</v>
      </c>
      <c r="AL2" s="315">
        <f>AK2+1</f>
        <v>36</v>
      </c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</row>
    <row r="3" spans="1:51" ht="15.75" customHeight="1" x14ac:dyDescent="0.2">
      <c r="A3" s="314" t="s">
        <v>54</v>
      </c>
      <c r="B3" s="316"/>
      <c r="C3" s="317">
        <v>46023</v>
      </c>
      <c r="D3" s="317">
        <v>46054</v>
      </c>
      <c r="E3" s="317">
        <v>46082</v>
      </c>
      <c r="F3" s="317">
        <v>46113</v>
      </c>
      <c r="G3" s="317">
        <v>46143</v>
      </c>
      <c r="H3" s="317">
        <v>46174</v>
      </c>
      <c r="I3" s="317">
        <v>46204</v>
      </c>
      <c r="J3" s="317">
        <v>46235</v>
      </c>
      <c r="K3" s="317">
        <v>46266</v>
      </c>
      <c r="L3" s="317">
        <v>46296</v>
      </c>
      <c r="M3" s="317">
        <v>46327</v>
      </c>
      <c r="N3" s="317">
        <v>46357</v>
      </c>
      <c r="O3" s="317">
        <v>46388</v>
      </c>
      <c r="P3" s="317">
        <v>46419</v>
      </c>
      <c r="Q3" s="317">
        <v>46447</v>
      </c>
      <c r="R3" s="317">
        <v>46478</v>
      </c>
      <c r="S3" s="317">
        <v>46508</v>
      </c>
      <c r="T3" s="317">
        <v>46539</v>
      </c>
      <c r="U3" s="317">
        <v>46569</v>
      </c>
      <c r="V3" s="317">
        <v>46600</v>
      </c>
      <c r="W3" s="317">
        <v>46631</v>
      </c>
      <c r="X3" s="317">
        <v>46661</v>
      </c>
      <c r="Y3" s="317">
        <v>46692</v>
      </c>
      <c r="Z3" s="317">
        <v>46722</v>
      </c>
      <c r="AA3" s="317">
        <v>46753</v>
      </c>
      <c r="AB3" s="317">
        <v>46784</v>
      </c>
      <c r="AC3" s="317">
        <v>46813</v>
      </c>
      <c r="AD3" s="317">
        <v>46844</v>
      </c>
      <c r="AE3" s="317">
        <v>46874</v>
      </c>
      <c r="AF3" s="317">
        <v>46905</v>
      </c>
      <c r="AG3" s="317">
        <v>46935</v>
      </c>
      <c r="AH3" s="317">
        <v>46966</v>
      </c>
      <c r="AI3" s="317">
        <v>46997</v>
      </c>
      <c r="AJ3" s="317">
        <v>47027</v>
      </c>
      <c r="AK3" s="317">
        <v>47058</v>
      </c>
      <c r="AL3" s="317">
        <v>47088</v>
      </c>
      <c r="AM3" s="193"/>
      <c r="AN3" s="193"/>
      <c r="AO3" s="193"/>
      <c r="AP3" s="193"/>
      <c r="AQ3" s="193"/>
      <c r="AR3" s="193"/>
      <c r="AS3" s="193"/>
      <c r="AT3" s="193"/>
      <c r="AU3" s="193"/>
      <c r="AV3" s="193"/>
      <c r="AW3" s="193"/>
      <c r="AX3" s="193"/>
      <c r="AY3" s="193"/>
    </row>
    <row r="4" spans="1:51" ht="15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1" ht="15.75" customHeight="1" x14ac:dyDescent="0.2">
      <c r="A5" s="424" t="s">
        <v>314</v>
      </c>
      <c r="B5" s="416"/>
      <c r="C5" s="416"/>
      <c r="D5" s="416"/>
      <c r="E5" s="416"/>
      <c r="F5" s="416"/>
      <c r="G5" s="416"/>
      <c r="H5" s="416"/>
      <c r="I5" s="416"/>
      <c r="J5" s="416"/>
      <c r="K5" s="416"/>
      <c r="L5" s="416"/>
      <c r="M5" s="416"/>
      <c r="N5" s="416"/>
      <c r="O5" s="416"/>
      <c r="P5" s="416"/>
      <c r="Q5" s="416"/>
      <c r="R5" s="416"/>
      <c r="S5" s="416"/>
      <c r="T5" s="416"/>
      <c r="U5" s="416"/>
      <c r="V5" s="416"/>
      <c r="W5" s="416"/>
      <c r="X5" s="416"/>
      <c r="Y5" s="416"/>
      <c r="Z5" s="416"/>
      <c r="AA5" s="416"/>
      <c r="AB5" s="416"/>
      <c r="AC5" s="416"/>
      <c r="AD5" s="416"/>
      <c r="AE5" s="416"/>
      <c r="AF5" s="416"/>
      <c r="AG5" s="416"/>
      <c r="AH5" s="416"/>
      <c r="AI5" s="416"/>
      <c r="AJ5" s="416"/>
      <c r="AK5" s="416"/>
      <c r="AL5" s="417"/>
      <c r="AM5" s="318"/>
      <c r="AN5" s="318"/>
      <c r="AO5" s="318"/>
      <c r="AP5" s="318"/>
      <c r="AQ5" s="318"/>
      <c r="AR5" s="318"/>
      <c r="AS5" s="318"/>
      <c r="AT5" s="318"/>
      <c r="AU5" s="318"/>
      <c r="AV5" s="318"/>
      <c r="AW5" s="318"/>
      <c r="AX5" s="318"/>
      <c r="AY5" s="318"/>
    </row>
    <row r="6" spans="1:51" ht="15.75" customHeight="1" x14ac:dyDescent="0.2">
      <c r="A6" s="319"/>
      <c r="B6" s="319"/>
      <c r="C6" s="319"/>
      <c r="D6" s="319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19"/>
      <c r="P6" s="319"/>
      <c r="Q6" s="319"/>
      <c r="R6" s="319"/>
      <c r="S6" s="319"/>
      <c r="T6" s="319"/>
      <c r="U6" s="319"/>
      <c r="V6" s="319"/>
      <c r="W6" s="319"/>
      <c r="X6" s="319"/>
      <c r="Y6" s="319"/>
      <c r="Z6" s="319"/>
      <c r="AA6" s="319"/>
      <c r="AB6" s="319"/>
      <c r="AC6" s="319"/>
      <c r="AD6" s="319"/>
      <c r="AE6" s="319"/>
      <c r="AF6" s="319"/>
      <c r="AG6" s="319"/>
      <c r="AH6" s="319"/>
      <c r="AI6" s="319"/>
      <c r="AJ6" s="319"/>
      <c r="AK6" s="319"/>
      <c r="AL6" s="319"/>
      <c r="AM6" s="319"/>
      <c r="AN6" s="319"/>
      <c r="AO6" s="319"/>
      <c r="AP6" s="319"/>
      <c r="AQ6" s="319"/>
      <c r="AR6" s="319"/>
      <c r="AS6" s="319"/>
      <c r="AT6" s="319"/>
      <c r="AU6" s="319"/>
      <c r="AV6" s="319"/>
      <c r="AW6" s="319"/>
      <c r="AX6" s="319"/>
      <c r="AY6" s="319"/>
    </row>
    <row r="7" spans="1:51" ht="15.75" customHeight="1" x14ac:dyDescent="0.2">
      <c r="A7" s="320" t="s">
        <v>315</v>
      </c>
      <c r="B7" s="120">
        <f t="shared" ref="B7:AL7" si="0">B13-B27</f>
        <v>0</v>
      </c>
      <c r="C7" s="120">
        <f>C13-C27</f>
        <v>0</v>
      </c>
      <c r="D7" s="120">
        <f t="shared" si="0"/>
        <v>0</v>
      </c>
      <c r="E7" s="120">
        <f t="shared" si="0"/>
        <v>0</v>
      </c>
      <c r="F7" s="120">
        <f t="shared" si="0"/>
        <v>0</v>
      </c>
      <c r="G7" s="120">
        <f t="shared" si="0"/>
        <v>0</v>
      </c>
      <c r="H7" s="120">
        <f t="shared" si="0"/>
        <v>0</v>
      </c>
      <c r="I7" s="120">
        <f t="shared" si="0"/>
        <v>0</v>
      </c>
      <c r="J7" s="120">
        <f t="shared" si="0"/>
        <v>0</v>
      </c>
      <c r="K7" s="120">
        <f t="shared" si="0"/>
        <v>0</v>
      </c>
      <c r="L7" s="120">
        <f t="shared" si="0"/>
        <v>0</v>
      </c>
      <c r="M7" s="120">
        <f t="shared" si="0"/>
        <v>0</v>
      </c>
      <c r="N7" s="120">
        <f t="shared" si="0"/>
        <v>0</v>
      </c>
      <c r="O7" s="120">
        <f t="shared" si="0"/>
        <v>0</v>
      </c>
      <c r="P7" s="120">
        <f t="shared" si="0"/>
        <v>0</v>
      </c>
      <c r="Q7" s="120">
        <f t="shared" si="0"/>
        <v>0</v>
      </c>
      <c r="R7" s="120">
        <f t="shared" si="0"/>
        <v>0</v>
      </c>
      <c r="S7" s="120">
        <f t="shared" si="0"/>
        <v>0</v>
      </c>
      <c r="T7" s="120">
        <f t="shared" si="0"/>
        <v>0</v>
      </c>
      <c r="U7" s="120">
        <f t="shared" si="0"/>
        <v>0</v>
      </c>
      <c r="V7" s="120">
        <f t="shared" si="0"/>
        <v>0</v>
      </c>
      <c r="W7" s="120">
        <f t="shared" si="0"/>
        <v>0</v>
      </c>
      <c r="X7" s="120">
        <f t="shared" si="0"/>
        <v>0</v>
      </c>
      <c r="Y7" s="120">
        <f t="shared" si="0"/>
        <v>0</v>
      </c>
      <c r="Z7" s="120">
        <f t="shared" si="0"/>
        <v>0</v>
      </c>
      <c r="AA7" s="120">
        <f t="shared" si="0"/>
        <v>0</v>
      </c>
      <c r="AB7" s="120">
        <f t="shared" si="0"/>
        <v>0</v>
      </c>
      <c r="AC7" s="120">
        <f t="shared" si="0"/>
        <v>0</v>
      </c>
      <c r="AD7" s="120">
        <f t="shared" si="0"/>
        <v>0</v>
      </c>
      <c r="AE7" s="120">
        <f t="shared" si="0"/>
        <v>0</v>
      </c>
      <c r="AF7" s="120">
        <f t="shared" si="0"/>
        <v>0</v>
      </c>
      <c r="AG7" s="120">
        <f t="shared" si="0"/>
        <v>0</v>
      </c>
      <c r="AH7" s="120">
        <f t="shared" si="0"/>
        <v>0</v>
      </c>
      <c r="AI7" s="120">
        <f t="shared" si="0"/>
        <v>0</v>
      </c>
      <c r="AJ7" s="120">
        <f t="shared" si="0"/>
        <v>0</v>
      </c>
      <c r="AK7" s="120">
        <f t="shared" si="0"/>
        <v>0</v>
      </c>
      <c r="AL7" s="120">
        <f t="shared" si="0"/>
        <v>0</v>
      </c>
      <c r="AM7" s="319"/>
      <c r="AN7" s="319"/>
      <c r="AO7" s="319"/>
      <c r="AP7" s="319"/>
      <c r="AQ7" s="319"/>
      <c r="AR7" s="319"/>
      <c r="AS7" s="319"/>
      <c r="AT7" s="319"/>
      <c r="AU7" s="319"/>
      <c r="AV7" s="319"/>
      <c r="AW7" s="319"/>
      <c r="AX7" s="319"/>
      <c r="AY7" s="319"/>
    </row>
    <row r="8" spans="1:51" ht="15.75" customHeight="1" x14ac:dyDescent="0.2">
      <c r="A8" s="320" t="s">
        <v>316</v>
      </c>
      <c r="B8" s="321">
        <f>B7</f>
        <v>0</v>
      </c>
      <c r="C8" s="321">
        <f t="shared" ref="C8:AL8" si="1">B8+C7</f>
        <v>0</v>
      </c>
      <c r="D8" s="321">
        <f t="shared" si="1"/>
        <v>0</v>
      </c>
      <c r="E8" s="321">
        <f t="shared" si="1"/>
        <v>0</v>
      </c>
      <c r="F8" s="321">
        <f t="shared" si="1"/>
        <v>0</v>
      </c>
      <c r="G8" s="321">
        <f t="shared" si="1"/>
        <v>0</v>
      </c>
      <c r="H8" s="321">
        <f t="shared" si="1"/>
        <v>0</v>
      </c>
      <c r="I8" s="321">
        <f t="shared" si="1"/>
        <v>0</v>
      </c>
      <c r="J8" s="321">
        <f t="shared" si="1"/>
        <v>0</v>
      </c>
      <c r="K8" s="321">
        <f t="shared" si="1"/>
        <v>0</v>
      </c>
      <c r="L8" s="321">
        <f t="shared" si="1"/>
        <v>0</v>
      </c>
      <c r="M8" s="321">
        <f t="shared" si="1"/>
        <v>0</v>
      </c>
      <c r="N8" s="321">
        <f t="shared" si="1"/>
        <v>0</v>
      </c>
      <c r="O8" s="321">
        <f t="shared" si="1"/>
        <v>0</v>
      </c>
      <c r="P8" s="321">
        <f t="shared" si="1"/>
        <v>0</v>
      </c>
      <c r="Q8" s="321">
        <f t="shared" si="1"/>
        <v>0</v>
      </c>
      <c r="R8" s="321">
        <f t="shared" si="1"/>
        <v>0</v>
      </c>
      <c r="S8" s="321">
        <f t="shared" si="1"/>
        <v>0</v>
      </c>
      <c r="T8" s="321">
        <f t="shared" si="1"/>
        <v>0</v>
      </c>
      <c r="U8" s="321">
        <f t="shared" si="1"/>
        <v>0</v>
      </c>
      <c r="V8" s="321">
        <f t="shared" si="1"/>
        <v>0</v>
      </c>
      <c r="W8" s="321">
        <f t="shared" si="1"/>
        <v>0</v>
      </c>
      <c r="X8" s="321">
        <f t="shared" si="1"/>
        <v>0</v>
      </c>
      <c r="Y8" s="321">
        <f t="shared" si="1"/>
        <v>0</v>
      </c>
      <c r="Z8" s="321">
        <f t="shared" si="1"/>
        <v>0</v>
      </c>
      <c r="AA8" s="321">
        <f t="shared" si="1"/>
        <v>0</v>
      </c>
      <c r="AB8" s="321">
        <f t="shared" si="1"/>
        <v>0</v>
      </c>
      <c r="AC8" s="321">
        <f t="shared" si="1"/>
        <v>0</v>
      </c>
      <c r="AD8" s="321">
        <f t="shared" si="1"/>
        <v>0</v>
      </c>
      <c r="AE8" s="321">
        <f t="shared" si="1"/>
        <v>0</v>
      </c>
      <c r="AF8" s="321">
        <f t="shared" si="1"/>
        <v>0</v>
      </c>
      <c r="AG8" s="321">
        <f t="shared" si="1"/>
        <v>0</v>
      </c>
      <c r="AH8" s="321">
        <f t="shared" si="1"/>
        <v>0</v>
      </c>
      <c r="AI8" s="321">
        <f t="shared" si="1"/>
        <v>0</v>
      </c>
      <c r="AJ8" s="321">
        <f t="shared" si="1"/>
        <v>0</v>
      </c>
      <c r="AK8" s="321">
        <f t="shared" si="1"/>
        <v>0</v>
      </c>
      <c r="AL8" s="321">
        <f t="shared" si="1"/>
        <v>0</v>
      </c>
      <c r="AM8" s="319"/>
      <c r="AN8" s="319"/>
      <c r="AO8" s="319"/>
      <c r="AP8" s="319"/>
      <c r="AQ8" s="319"/>
      <c r="AR8" s="319"/>
      <c r="AS8" s="319"/>
      <c r="AT8" s="319"/>
      <c r="AU8" s="319"/>
      <c r="AV8" s="319"/>
      <c r="AW8" s="319"/>
      <c r="AX8" s="319"/>
      <c r="AY8" s="319"/>
    </row>
    <row r="9" spans="1:51" ht="15.75" customHeight="1" x14ac:dyDescent="0.2">
      <c r="A9" s="319"/>
      <c r="B9" s="319"/>
      <c r="C9" s="319"/>
      <c r="D9" s="319"/>
      <c r="E9" s="319"/>
      <c r="F9" s="319"/>
      <c r="G9" s="319"/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19"/>
      <c r="AA9" s="319"/>
      <c r="AB9" s="319"/>
      <c r="AC9" s="319"/>
      <c r="AD9" s="319"/>
      <c r="AE9" s="319"/>
      <c r="AF9" s="319"/>
      <c r="AG9" s="319"/>
      <c r="AH9" s="319"/>
      <c r="AI9" s="319"/>
      <c r="AJ9" s="319"/>
      <c r="AK9" s="319"/>
      <c r="AL9" s="319"/>
      <c r="AM9" s="319"/>
      <c r="AN9" s="319"/>
      <c r="AO9" s="319"/>
      <c r="AP9" s="319"/>
      <c r="AQ9" s="319"/>
      <c r="AR9" s="319"/>
      <c r="AS9" s="319"/>
      <c r="AT9" s="319"/>
      <c r="AU9" s="319"/>
      <c r="AV9" s="319"/>
      <c r="AW9" s="319"/>
      <c r="AX9" s="319"/>
      <c r="AY9" s="319"/>
    </row>
    <row r="10" spans="1:51" ht="15.75" customHeight="1" x14ac:dyDescent="0.2">
      <c r="A10" s="425" t="s">
        <v>317</v>
      </c>
      <c r="B10" s="418"/>
      <c r="C10" s="418"/>
      <c r="D10" s="418"/>
      <c r="E10" s="418"/>
      <c r="F10" s="418"/>
      <c r="G10" s="418"/>
      <c r="H10" s="418"/>
      <c r="I10" s="418"/>
      <c r="J10" s="418"/>
      <c r="K10" s="418"/>
      <c r="L10" s="418"/>
      <c r="M10" s="418"/>
      <c r="N10" s="418"/>
      <c r="O10" s="418"/>
      <c r="P10" s="418"/>
      <c r="Q10" s="418"/>
      <c r="R10" s="418"/>
      <c r="S10" s="418"/>
      <c r="T10" s="418"/>
      <c r="U10" s="418"/>
      <c r="V10" s="418"/>
      <c r="W10" s="418"/>
      <c r="X10" s="418"/>
      <c r="Y10" s="418"/>
      <c r="Z10" s="418"/>
      <c r="AA10" s="418"/>
      <c r="AB10" s="418"/>
      <c r="AC10" s="418"/>
      <c r="AD10" s="418"/>
      <c r="AE10" s="418"/>
      <c r="AF10" s="418"/>
      <c r="AG10" s="418"/>
      <c r="AH10" s="418"/>
      <c r="AI10" s="418"/>
      <c r="AJ10" s="418"/>
      <c r="AK10" s="418"/>
      <c r="AL10" s="418"/>
      <c r="AM10" s="322"/>
      <c r="AN10" s="322"/>
      <c r="AO10" s="322"/>
      <c r="AP10" s="322"/>
      <c r="AQ10" s="322"/>
      <c r="AR10" s="322"/>
      <c r="AS10" s="322"/>
      <c r="AT10" s="322"/>
      <c r="AU10" s="322"/>
      <c r="AV10" s="322"/>
      <c r="AW10" s="322"/>
      <c r="AX10" s="322"/>
      <c r="AY10" s="322"/>
    </row>
    <row r="11" spans="1:51" ht="15.75" customHeight="1" x14ac:dyDescent="0.2">
      <c r="A11" s="419"/>
      <c r="B11" s="419"/>
      <c r="C11" s="419"/>
      <c r="D11" s="419"/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19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19"/>
      <c r="AL11" s="419"/>
      <c r="AM11" s="322"/>
      <c r="AN11" s="322"/>
      <c r="AO11" s="322"/>
      <c r="AP11" s="322"/>
      <c r="AQ11" s="322"/>
      <c r="AR11" s="322"/>
      <c r="AS11" s="322"/>
      <c r="AT11" s="322"/>
      <c r="AU11" s="322"/>
      <c r="AV11" s="322"/>
      <c r="AW11" s="322"/>
      <c r="AX11" s="322"/>
      <c r="AY11" s="322"/>
    </row>
    <row r="12" spans="1:51" ht="15.75" customHeight="1" x14ac:dyDescent="0.2">
      <c r="A12" s="319"/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19"/>
      <c r="N12" s="319"/>
      <c r="O12" s="319"/>
      <c r="P12" s="319"/>
      <c r="Q12" s="319"/>
      <c r="R12" s="319"/>
      <c r="S12" s="319"/>
      <c r="T12" s="319"/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  <c r="AS12" s="319"/>
      <c r="AT12" s="319"/>
      <c r="AU12" s="319"/>
      <c r="AV12" s="319"/>
      <c r="AW12" s="319"/>
      <c r="AX12" s="319"/>
      <c r="AY12" s="319"/>
    </row>
    <row r="13" spans="1:51" ht="15.75" customHeight="1" x14ac:dyDescent="0.2">
      <c r="A13" s="323" t="s">
        <v>318</v>
      </c>
      <c r="B13" s="120">
        <f t="shared" ref="B13:AL13" si="2">SUM(B16:B23)</f>
        <v>0</v>
      </c>
      <c r="C13" s="120">
        <f t="shared" si="2"/>
        <v>0</v>
      </c>
      <c r="D13" s="120">
        <f t="shared" si="2"/>
        <v>0</v>
      </c>
      <c r="E13" s="120">
        <f t="shared" si="2"/>
        <v>0</v>
      </c>
      <c r="F13" s="120">
        <f t="shared" si="2"/>
        <v>0</v>
      </c>
      <c r="G13" s="120">
        <f t="shared" si="2"/>
        <v>0</v>
      </c>
      <c r="H13" s="120">
        <f t="shared" si="2"/>
        <v>0</v>
      </c>
      <c r="I13" s="120">
        <f t="shared" si="2"/>
        <v>0</v>
      </c>
      <c r="J13" s="120">
        <f t="shared" si="2"/>
        <v>0</v>
      </c>
      <c r="K13" s="120">
        <f t="shared" si="2"/>
        <v>0</v>
      </c>
      <c r="L13" s="120">
        <f t="shared" si="2"/>
        <v>0</v>
      </c>
      <c r="M13" s="120">
        <f t="shared" si="2"/>
        <v>0</v>
      </c>
      <c r="N13" s="120">
        <f t="shared" si="2"/>
        <v>0</v>
      </c>
      <c r="O13" s="120">
        <f t="shared" si="2"/>
        <v>0</v>
      </c>
      <c r="P13" s="120">
        <f t="shared" si="2"/>
        <v>0</v>
      </c>
      <c r="Q13" s="120">
        <f t="shared" si="2"/>
        <v>0</v>
      </c>
      <c r="R13" s="120">
        <f t="shared" si="2"/>
        <v>0</v>
      </c>
      <c r="S13" s="120">
        <f t="shared" si="2"/>
        <v>0</v>
      </c>
      <c r="T13" s="120">
        <f t="shared" si="2"/>
        <v>0</v>
      </c>
      <c r="U13" s="120">
        <f t="shared" si="2"/>
        <v>0</v>
      </c>
      <c r="V13" s="120">
        <f t="shared" si="2"/>
        <v>0</v>
      </c>
      <c r="W13" s="120">
        <f t="shared" si="2"/>
        <v>0</v>
      </c>
      <c r="X13" s="120">
        <f t="shared" si="2"/>
        <v>0</v>
      </c>
      <c r="Y13" s="120">
        <f t="shared" si="2"/>
        <v>0</v>
      </c>
      <c r="Z13" s="120">
        <f t="shared" si="2"/>
        <v>0</v>
      </c>
      <c r="AA13" s="120">
        <f t="shared" si="2"/>
        <v>0</v>
      </c>
      <c r="AB13" s="120">
        <f t="shared" si="2"/>
        <v>0</v>
      </c>
      <c r="AC13" s="120">
        <f t="shared" si="2"/>
        <v>0</v>
      </c>
      <c r="AD13" s="120">
        <f t="shared" si="2"/>
        <v>0</v>
      </c>
      <c r="AE13" s="120">
        <f t="shared" si="2"/>
        <v>0</v>
      </c>
      <c r="AF13" s="120">
        <f t="shared" si="2"/>
        <v>0</v>
      </c>
      <c r="AG13" s="120">
        <f t="shared" si="2"/>
        <v>0</v>
      </c>
      <c r="AH13" s="120">
        <f t="shared" si="2"/>
        <v>0</v>
      </c>
      <c r="AI13" s="120">
        <f t="shared" si="2"/>
        <v>0</v>
      </c>
      <c r="AJ13" s="120">
        <f t="shared" si="2"/>
        <v>0</v>
      </c>
      <c r="AK13" s="120">
        <f t="shared" si="2"/>
        <v>0</v>
      </c>
      <c r="AL13" s="120">
        <f t="shared" si="2"/>
        <v>0</v>
      </c>
      <c r="AM13" s="319"/>
      <c r="AN13" s="319"/>
      <c r="AO13" s="319"/>
      <c r="AP13" s="319"/>
      <c r="AQ13" s="319"/>
      <c r="AR13" s="319"/>
      <c r="AS13" s="319"/>
      <c r="AT13" s="319"/>
      <c r="AU13" s="319"/>
      <c r="AV13" s="319"/>
      <c r="AW13" s="319"/>
      <c r="AX13" s="319"/>
      <c r="AY13" s="319"/>
    </row>
    <row r="14" spans="1:51" ht="15.75" customHeight="1" x14ac:dyDescent="0.2">
      <c r="A14" s="323" t="s">
        <v>319</v>
      </c>
      <c r="B14" s="321">
        <f>B13</f>
        <v>0</v>
      </c>
      <c r="C14" s="321">
        <f t="shared" ref="C14:AL14" si="3">C13+B14</f>
        <v>0</v>
      </c>
      <c r="D14" s="321">
        <f t="shared" si="3"/>
        <v>0</v>
      </c>
      <c r="E14" s="321">
        <f t="shared" si="3"/>
        <v>0</v>
      </c>
      <c r="F14" s="321">
        <f t="shared" si="3"/>
        <v>0</v>
      </c>
      <c r="G14" s="321">
        <f t="shared" si="3"/>
        <v>0</v>
      </c>
      <c r="H14" s="321">
        <f t="shared" si="3"/>
        <v>0</v>
      </c>
      <c r="I14" s="321">
        <f t="shared" si="3"/>
        <v>0</v>
      </c>
      <c r="J14" s="321">
        <f t="shared" si="3"/>
        <v>0</v>
      </c>
      <c r="K14" s="321">
        <f t="shared" si="3"/>
        <v>0</v>
      </c>
      <c r="L14" s="321">
        <f t="shared" si="3"/>
        <v>0</v>
      </c>
      <c r="M14" s="321">
        <f t="shared" si="3"/>
        <v>0</v>
      </c>
      <c r="N14" s="321">
        <f t="shared" si="3"/>
        <v>0</v>
      </c>
      <c r="O14" s="321">
        <f t="shared" si="3"/>
        <v>0</v>
      </c>
      <c r="P14" s="321">
        <f t="shared" si="3"/>
        <v>0</v>
      </c>
      <c r="Q14" s="321">
        <f t="shared" si="3"/>
        <v>0</v>
      </c>
      <c r="R14" s="321">
        <f t="shared" si="3"/>
        <v>0</v>
      </c>
      <c r="S14" s="321">
        <f t="shared" si="3"/>
        <v>0</v>
      </c>
      <c r="T14" s="321">
        <f t="shared" si="3"/>
        <v>0</v>
      </c>
      <c r="U14" s="321">
        <f t="shared" si="3"/>
        <v>0</v>
      </c>
      <c r="V14" s="321">
        <f t="shared" si="3"/>
        <v>0</v>
      </c>
      <c r="W14" s="321">
        <f t="shared" si="3"/>
        <v>0</v>
      </c>
      <c r="X14" s="321">
        <f t="shared" si="3"/>
        <v>0</v>
      </c>
      <c r="Y14" s="321">
        <f t="shared" si="3"/>
        <v>0</v>
      </c>
      <c r="Z14" s="321">
        <f t="shared" si="3"/>
        <v>0</v>
      </c>
      <c r="AA14" s="321">
        <f t="shared" si="3"/>
        <v>0</v>
      </c>
      <c r="AB14" s="321">
        <f t="shared" si="3"/>
        <v>0</v>
      </c>
      <c r="AC14" s="321">
        <f t="shared" si="3"/>
        <v>0</v>
      </c>
      <c r="AD14" s="321">
        <f t="shared" si="3"/>
        <v>0</v>
      </c>
      <c r="AE14" s="321">
        <f t="shared" si="3"/>
        <v>0</v>
      </c>
      <c r="AF14" s="321">
        <f t="shared" si="3"/>
        <v>0</v>
      </c>
      <c r="AG14" s="321">
        <f t="shared" si="3"/>
        <v>0</v>
      </c>
      <c r="AH14" s="321">
        <f t="shared" si="3"/>
        <v>0</v>
      </c>
      <c r="AI14" s="321">
        <f t="shared" si="3"/>
        <v>0</v>
      </c>
      <c r="AJ14" s="321">
        <f t="shared" si="3"/>
        <v>0</v>
      </c>
      <c r="AK14" s="321">
        <f t="shared" si="3"/>
        <v>0</v>
      </c>
      <c r="AL14" s="321">
        <f t="shared" si="3"/>
        <v>0</v>
      </c>
      <c r="AM14" s="319"/>
      <c r="AN14" s="319"/>
      <c r="AO14" s="319"/>
      <c r="AP14" s="319"/>
      <c r="AQ14" s="319"/>
      <c r="AR14" s="319"/>
      <c r="AS14" s="319"/>
      <c r="AT14" s="319"/>
      <c r="AU14" s="319"/>
      <c r="AV14" s="319"/>
      <c r="AW14" s="319"/>
      <c r="AX14" s="319"/>
      <c r="AY14" s="319"/>
    </row>
    <row r="15" spans="1:51" ht="15.75" customHeight="1" x14ac:dyDescent="0.2">
      <c r="A15" s="319"/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19"/>
      <c r="N15" s="319"/>
      <c r="O15" s="319"/>
      <c r="P15" s="319"/>
      <c r="Q15" s="319"/>
      <c r="R15" s="319"/>
      <c r="S15" s="319"/>
      <c r="T15" s="319"/>
      <c r="U15" s="319"/>
      <c r="V15" s="319"/>
      <c r="W15" s="319"/>
      <c r="X15" s="319"/>
      <c r="Y15" s="319"/>
      <c r="Z15" s="319"/>
      <c r="AA15" s="319"/>
      <c r="AB15" s="319"/>
      <c r="AC15" s="319"/>
      <c r="AD15" s="319"/>
      <c r="AE15" s="319"/>
      <c r="AF15" s="319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  <c r="AS15" s="319"/>
      <c r="AT15" s="319"/>
      <c r="AU15" s="319"/>
      <c r="AV15" s="319"/>
      <c r="AW15" s="319"/>
      <c r="AX15" s="319"/>
      <c r="AY15" s="319"/>
    </row>
    <row r="16" spans="1:51" ht="15.75" customHeight="1" x14ac:dyDescent="0.2">
      <c r="A16" s="320" t="s">
        <v>72</v>
      </c>
      <c r="B16" s="120"/>
      <c r="C16" s="120"/>
      <c r="D16" s="120"/>
      <c r="E16" s="120">
        <f>RESUMEN!$G$6*0.1</f>
        <v>0</v>
      </c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319"/>
      <c r="AN16" s="319"/>
      <c r="AO16" s="319"/>
      <c r="AP16" s="319"/>
      <c r="AQ16" s="319"/>
      <c r="AR16" s="319"/>
      <c r="AS16" s="319"/>
      <c r="AT16" s="319"/>
      <c r="AU16" s="319"/>
      <c r="AV16" s="319"/>
      <c r="AW16" s="319"/>
      <c r="AX16" s="319"/>
      <c r="AY16" s="319"/>
    </row>
    <row r="17" spans="1:51" ht="15.75" customHeight="1" x14ac:dyDescent="0.2">
      <c r="A17" s="320" t="s">
        <v>73</v>
      </c>
      <c r="B17" s="321"/>
      <c r="C17" s="321"/>
      <c r="D17" s="321"/>
      <c r="E17" s="321"/>
      <c r="F17" s="321"/>
      <c r="G17" s="321"/>
      <c r="H17" s="321"/>
      <c r="I17" s="321"/>
      <c r="J17" s="321">
        <f>RESUMEN!$G$6*0.2</f>
        <v>0</v>
      </c>
      <c r="K17" s="321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  <c r="X17" s="321"/>
      <c r="Y17" s="321"/>
      <c r="Z17" s="321"/>
      <c r="AA17" s="321"/>
      <c r="AB17" s="321"/>
      <c r="AC17" s="321"/>
      <c r="AD17" s="321"/>
      <c r="AE17" s="321"/>
      <c r="AF17" s="321"/>
      <c r="AG17" s="321"/>
      <c r="AH17" s="321"/>
      <c r="AI17" s="321"/>
      <c r="AJ17" s="321"/>
      <c r="AK17" s="321"/>
      <c r="AL17" s="321"/>
      <c r="AM17" s="319"/>
      <c r="AN17" s="319"/>
      <c r="AO17" s="319"/>
      <c r="AP17" s="319"/>
      <c r="AQ17" s="319"/>
      <c r="AR17" s="319"/>
      <c r="AS17" s="319"/>
      <c r="AT17" s="319"/>
      <c r="AU17" s="319"/>
      <c r="AV17" s="319"/>
      <c r="AW17" s="319"/>
      <c r="AX17" s="319"/>
      <c r="AY17" s="319"/>
    </row>
    <row r="18" spans="1:51" ht="15.75" customHeight="1" x14ac:dyDescent="0.2">
      <c r="A18" s="320" t="s">
        <v>74</v>
      </c>
      <c r="B18" s="321"/>
      <c r="C18" s="321"/>
      <c r="D18" s="321"/>
      <c r="E18" s="321"/>
      <c r="F18" s="321"/>
      <c r="G18" s="321"/>
      <c r="H18" s="321"/>
      <c r="I18" s="321"/>
      <c r="J18" s="321"/>
      <c r="K18" s="321"/>
      <c r="L18" s="321">
        <f>RESUMEN!$G$6*0.2</f>
        <v>0</v>
      </c>
      <c r="M18" s="321"/>
      <c r="N18" s="321"/>
      <c r="O18" s="321"/>
      <c r="P18" s="321"/>
      <c r="Q18" s="321"/>
      <c r="R18" s="321"/>
      <c r="S18" s="321"/>
      <c r="T18" s="321"/>
      <c r="U18" s="321"/>
      <c r="V18" s="321"/>
      <c r="W18" s="321"/>
      <c r="X18" s="321"/>
      <c r="Y18" s="321"/>
      <c r="Z18" s="321"/>
      <c r="AA18" s="321"/>
      <c r="AB18" s="321"/>
      <c r="AC18" s="321"/>
      <c r="AD18" s="321"/>
      <c r="AE18" s="321"/>
      <c r="AF18" s="321"/>
      <c r="AG18" s="321"/>
      <c r="AH18" s="321"/>
      <c r="AI18" s="321"/>
      <c r="AJ18" s="321"/>
      <c r="AK18" s="321"/>
      <c r="AL18" s="321"/>
      <c r="AM18" s="319"/>
      <c r="AN18" s="319"/>
      <c r="AO18" s="319"/>
      <c r="AP18" s="319"/>
      <c r="AQ18" s="319"/>
      <c r="AR18" s="319"/>
      <c r="AS18" s="319"/>
      <c r="AT18" s="319"/>
      <c r="AU18" s="319"/>
      <c r="AV18" s="319"/>
      <c r="AW18" s="319"/>
      <c r="AX18" s="319"/>
      <c r="AY18" s="319"/>
    </row>
    <row r="19" spans="1:51" ht="15.75" customHeight="1" x14ac:dyDescent="0.2">
      <c r="A19" s="320" t="s">
        <v>75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>
        <f>RESUMEN!$G$6*0.1</f>
        <v>0</v>
      </c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321"/>
      <c r="AB19" s="321"/>
      <c r="AC19" s="321"/>
      <c r="AD19" s="321"/>
      <c r="AE19" s="321"/>
      <c r="AF19" s="321"/>
      <c r="AG19" s="321"/>
      <c r="AH19" s="321"/>
      <c r="AI19" s="321"/>
      <c r="AJ19" s="321"/>
      <c r="AK19" s="321"/>
      <c r="AL19" s="321"/>
      <c r="AM19" s="319"/>
      <c r="AN19" s="319"/>
      <c r="AO19" s="319"/>
      <c r="AP19" s="319"/>
      <c r="AQ19" s="319"/>
      <c r="AR19" s="319"/>
      <c r="AS19" s="319"/>
      <c r="AT19" s="319"/>
      <c r="AU19" s="319"/>
      <c r="AV19" s="319"/>
      <c r="AW19" s="319"/>
      <c r="AX19" s="319"/>
      <c r="AY19" s="319"/>
    </row>
    <row r="20" spans="1:51" ht="15.75" customHeight="1" x14ac:dyDescent="0.2">
      <c r="A20" s="320" t="s">
        <v>76</v>
      </c>
      <c r="B20" s="321"/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>
        <f>RESUMEN!$G$6*0.2</f>
        <v>0</v>
      </c>
      <c r="S20" s="321"/>
      <c r="T20" s="321"/>
      <c r="U20" s="321"/>
      <c r="V20" s="321"/>
      <c r="W20" s="321"/>
      <c r="X20" s="321"/>
      <c r="Y20" s="321"/>
      <c r="Z20" s="321"/>
      <c r="AA20" s="321"/>
      <c r="AB20" s="321"/>
      <c r="AC20" s="321"/>
      <c r="AD20" s="321"/>
      <c r="AE20" s="321"/>
      <c r="AF20" s="321"/>
      <c r="AG20" s="321"/>
      <c r="AH20" s="321"/>
      <c r="AI20" s="321"/>
      <c r="AJ20" s="321"/>
      <c r="AK20" s="321"/>
      <c r="AL20" s="321"/>
      <c r="AM20" s="319"/>
      <c r="AN20" s="319"/>
      <c r="AO20" s="319"/>
      <c r="AP20" s="319"/>
      <c r="AQ20" s="319"/>
      <c r="AR20" s="319"/>
      <c r="AS20" s="319"/>
      <c r="AT20" s="319"/>
      <c r="AU20" s="319"/>
      <c r="AV20" s="319"/>
      <c r="AW20" s="319"/>
      <c r="AX20" s="319"/>
      <c r="AY20" s="319"/>
    </row>
    <row r="21" spans="1:51" ht="15.75" customHeight="1" x14ac:dyDescent="0.2">
      <c r="A21" s="320" t="s">
        <v>78</v>
      </c>
      <c r="B21" s="321"/>
      <c r="C21" s="321"/>
      <c r="D21" s="321"/>
      <c r="E21" s="321"/>
      <c r="F21" s="321"/>
      <c r="G21" s="321"/>
      <c r="H21" s="321"/>
      <c r="I21" s="321"/>
      <c r="J21" s="321"/>
      <c r="K21" s="321"/>
      <c r="L21" s="321"/>
      <c r="M21" s="321"/>
      <c r="N21" s="321"/>
      <c r="O21" s="321"/>
      <c r="P21" s="321"/>
      <c r="Q21" s="321"/>
      <c r="R21" s="321"/>
      <c r="S21" s="321"/>
      <c r="T21" s="321"/>
      <c r="U21" s="321"/>
      <c r="V21" s="321">
        <f>RESUMEN!$G$6*0.2</f>
        <v>0</v>
      </c>
      <c r="W21" s="321"/>
      <c r="X21" s="321"/>
      <c r="Y21" s="321"/>
      <c r="Z21" s="321"/>
      <c r="AA21" s="321"/>
      <c r="AB21" s="321"/>
      <c r="AC21" s="321"/>
      <c r="AD21" s="321"/>
      <c r="AE21" s="321"/>
      <c r="AF21" s="321"/>
      <c r="AG21" s="321"/>
      <c r="AH21" s="321"/>
      <c r="AI21" s="321"/>
      <c r="AJ21" s="321"/>
      <c r="AK21" s="321"/>
      <c r="AL21" s="321"/>
      <c r="AM21" s="319"/>
      <c r="AN21" s="319"/>
      <c r="AO21" s="319"/>
      <c r="AP21" s="319"/>
      <c r="AQ21" s="319"/>
      <c r="AR21" s="319"/>
      <c r="AS21" s="319"/>
      <c r="AT21" s="319"/>
      <c r="AU21" s="319"/>
      <c r="AV21" s="319"/>
      <c r="AW21" s="319"/>
      <c r="AX21" s="319"/>
      <c r="AY21" s="319"/>
    </row>
    <row r="22" spans="1:51" ht="15.75" customHeight="1" x14ac:dyDescent="0.2">
      <c r="A22" s="320" t="s">
        <v>80</v>
      </c>
      <c r="B22" s="321"/>
      <c r="C22" s="321"/>
      <c r="D22" s="321"/>
      <c r="E22" s="321"/>
      <c r="F22" s="321"/>
      <c r="G22" s="321"/>
      <c r="H22" s="321"/>
      <c r="I22" s="321"/>
      <c r="J22" s="321"/>
      <c r="K22" s="321"/>
      <c r="L22" s="321"/>
      <c r="M22" s="321"/>
      <c r="N22" s="321"/>
      <c r="O22" s="321"/>
      <c r="P22" s="321"/>
      <c r="Q22" s="321"/>
      <c r="R22" s="321"/>
      <c r="S22" s="321"/>
      <c r="T22" s="321"/>
      <c r="U22" s="321"/>
      <c r="V22" s="321"/>
      <c r="W22" s="321">
        <f>RESUMEN!$G$7/16</f>
        <v>0</v>
      </c>
      <c r="X22" s="321">
        <f>RESUMEN!$G$7/16</f>
        <v>0</v>
      </c>
      <c r="Y22" s="321">
        <f>RESUMEN!$G$7/16</f>
        <v>0</v>
      </c>
      <c r="Z22" s="321">
        <f>RESUMEN!$G$7/16</f>
        <v>0</v>
      </c>
      <c r="AA22" s="321">
        <f>RESUMEN!$G$7/16</f>
        <v>0</v>
      </c>
      <c r="AB22" s="321">
        <f>RESUMEN!$G$7/16</f>
        <v>0</v>
      </c>
      <c r="AC22" s="321">
        <f>RESUMEN!$G$7/16</f>
        <v>0</v>
      </c>
      <c r="AD22" s="321">
        <f>RESUMEN!$G$7/16</f>
        <v>0</v>
      </c>
      <c r="AE22" s="321">
        <f>RESUMEN!$G$7/16</f>
        <v>0</v>
      </c>
      <c r="AF22" s="321">
        <f>RESUMEN!$G$7/16</f>
        <v>0</v>
      </c>
      <c r="AG22" s="321">
        <f>RESUMEN!$G$7/16</f>
        <v>0</v>
      </c>
      <c r="AH22" s="321">
        <f>RESUMEN!$G$7/16</f>
        <v>0</v>
      </c>
      <c r="AI22" s="321">
        <f>RESUMEN!$G$7/16</f>
        <v>0</v>
      </c>
      <c r="AJ22" s="321">
        <f>RESUMEN!$G$7/16</f>
        <v>0</v>
      </c>
      <c r="AK22" s="321">
        <f>RESUMEN!$G$7/16</f>
        <v>0</v>
      </c>
      <c r="AL22" s="321">
        <f>RESUMEN!$G$7/16</f>
        <v>0</v>
      </c>
      <c r="AM22" s="319"/>
      <c r="AN22" s="319"/>
      <c r="AO22" s="319"/>
      <c r="AP22" s="319"/>
      <c r="AQ22" s="319"/>
      <c r="AR22" s="319"/>
      <c r="AS22" s="319"/>
      <c r="AT22" s="319"/>
      <c r="AU22" s="319"/>
      <c r="AV22" s="319"/>
      <c r="AW22" s="319"/>
      <c r="AX22" s="319"/>
      <c r="AY22" s="319"/>
    </row>
    <row r="23" spans="1:51" ht="15.75" customHeight="1" x14ac:dyDescent="0.2">
      <c r="A23" s="320" t="s">
        <v>82</v>
      </c>
      <c r="B23" s="120">
        <f>RESUMEN!$B$8*PARÁMETROS!B20</f>
        <v>0</v>
      </c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319"/>
      <c r="AN23" s="319"/>
      <c r="AO23" s="319"/>
      <c r="AP23" s="319"/>
      <c r="AQ23" s="319"/>
      <c r="AR23" s="319"/>
      <c r="AS23" s="319"/>
      <c r="AT23" s="319"/>
      <c r="AU23" s="319"/>
      <c r="AV23" s="319"/>
      <c r="AW23" s="319"/>
      <c r="AX23" s="319"/>
      <c r="AY23" s="319"/>
    </row>
    <row r="24" spans="1:51" ht="15.75" customHeight="1" x14ac:dyDescent="0.2">
      <c r="A24" s="319"/>
      <c r="B24" s="319"/>
      <c r="C24" s="319"/>
      <c r="D24" s="319"/>
      <c r="E24" s="319"/>
      <c r="F24" s="319"/>
      <c r="G24" s="319"/>
      <c r="H24" s="319"/>
      <c r="I24" s="319"/>
      <c r="J24" s="319"/>
      <c r="K24" s="319"/>
      <c r="L24" s="319"/>
      <c r="M24" s="319"/>
      <c r="N24" s="319"/>
      <c r="O24" s="319"/>
      <c r="P24" s="319"/>
      <c r="Q24" s="319"/>
      <c r="R24" s="319"/>
      <c r="S24" s="319"/>
      <c r="T24" s="319"/>
      <c r="U24" s="319"/>
      <c r="V24" s="319"/>
      <c r="W24" s="319"/>
      <c r="X24" s="319"/>
      <c r="Y24" s="319"/>
      <c r="Z24" s="319"/>
      <c r="AA24" s="319"/>
      <c r="AB24" s="319"/>
      <c r="AC24" s="319"/>
      <c r="AD24" s="319"/>
      <c r="AE24" s="319"/>
      <c r="AF24" s="319"/>
      <c r="AG24" s="319"/>
      <c r="AH24" s="319"/>
      <c r="AI24" s="319"/>
      <c r="AJ24" s="319"/>
      <c r="AK24" s="319"/>
      <c r="AL24" s="319"/>
      <c r="AM24" s="319"/>
      <c r="AN24" s="319"/>
      <c r="AO24" s="319"/>
      <c r="AP24" s="319"/>
      <c r="AQ24" s="319"/>
      <c r="AR24" s="319"/>
      <c r="AS24" s="319"/>
      <c r="AT24" s="319"/>
      <c r="AU24" s="319"/>
      <c r="AV24" s="319"/>
      <c r="AW24" s="319"/>
      <c r="AX24" s="319"/>
      <c r="AY24" s="319"/>
    </row>
    <row r="25" spans="1:51" ht="15.75" customHeight="1" x14ac:dyDescent="0.2">
      <c r="A25" s="415" t="s">
        <v>320</v>
      </c>
      <c r="B25" s="416"/>
      <c r="C25" s="416"/>
      <c r="D25" s="416"/>
      <c r="E25" s="416"/>
      <c r="F25" s="416"/>
      <c r="G25" s="416"/>
      <c r="H25" s="416"/>
      <c r="I25" s="416"/>
      <c r="J25" s="416"/>
      <c r="K25" s="416"/>
      <c r="L25" s="416"/>
      <c r="M25" s="416"/>
      <c r="N25" s="416"/>
      <c r="O25" s="416"/>
      <c r="P25" s="416"/>
      <c r="Q25" s="416"/>
      <c r="R25" s="416"/>
      <c r="S25" s="416"/>
      <c r="T25" s="416"/>
      <c r="U25" s="416"/>
      <c r="V25" s="416"/>
      <c r="W25" s="416"/>
      <c r="X25" s="416"/>
      <c r="Y25" s="416"/>
      <c r="Z25" s="416"/>
      <c r="AA25" s="416"/>
      <c r="AB25" s="416"/>
      <c r="AC25" s="416"/>
      <c r="AD25" s="416"/>
      <c r="AE25" s="416"/>
      <c r="AF25" s="416"/>
      <c r="AG25" s="416"/>
      <c r="AH25" s="416"/>
      <c r="AI25" s="416"/>
      <c r="AJ25" s="416"/>
      <c r="AK25" s="416"/>
      <c r="AL25" s="417"/>
      <c r="AM25" s="322"/>
      <c r="AN25" s="322"/>
      <c r="AO25" s="322"/>
      <c r="AP25" s="322"/>
      <c r="AQ25" s="322"/>
      <c r="AR25" s="322"/>
      <c r="AS25" s="322"/>
      <c r="AT25" s="322"/>
      <c r="AU25" s="322"/>
      <c r="AV25" s="322"/>
      <c r="AW25" s="322"/>
      <c r="AX25" s="322"/>
      <c r="AY25" s="322"/>
    </row>
    <row r="26" spans="1:51" ht="15.75" customHeight="1" x14ac:dyDescent="0.2">
      <c r="A26" s="319"/>
      <c r="B26" s="319"/>
      <c r="C26" s="319"/>
      <c r="D26" s="319"/>
      <c r="E26" s="319"/>
      <c r="F26" s="319"/>
      <c r="G26" s="319"/>
      <c r="H26" s="319"/>
      <c r="I26" s="319"/>
      <c r="J26" s="319"/>
      <c r="K26" s="319"/>
      <c r="L26" s="3"/>
      <c r="M26" s="319"/>
      <c r="N26" s="319"/>
      <c r="O26" s="319"/>
      <c r="P26" s="319"/>
      <c r="Q26" s="319"/>
      <c r="R26" s="319"/>
      <c r="S26" s="319"/>
      <c r="T26" s="319"/>
      <c r="U26" s="319"/>
      <c r="V26" s="319"/>
      <c r="W26" s="319"/>
      <c r="X26" s="319"/>
      <c r="Y26" s="319"/>
      <c r="Z26" s="319"/>
      <c r="AA26" s="319"/>
      <c r="AB26" s="319"/>
      <c r="AC26" s="319"/>
      <c r="AD26" s="319"/>
      <c r="AE26" s="319"/>
      <c r="AF26" s="319"/>
      <c r="AG26" s="319"/>
      <c r="AH26" s="319"/>
      <c r="AI26" s="319"/>
      <c r="AJ26" s="319"/>
      <c r="AK26" s="319"/>
      <c r="AL26" s="319"/>
      <c r="AM26" s="319"/>
      <c r="AN26" s="319"/>
      <c r="AO26" s="319"/>
      <c r="AP26" s="319"/>
      <c r="AQ26" s="319"/>
      <c r="AR26" s="319"/>
      <c r="AS26" s="319"/>
      <c r="AT26" s="319"/>
      <c r="AU26" s="319"/>
      <c r="AV26" s="319"/>
      <c r="AW26" s="319"/>
      <c r="AX26" s="319"/>
      <c r="AY26" s="319"/>
    </row>
    <row r="27" spans="1:51" ht="15.75" customHeight="1" x14ac:dyDescent="0.2">
      <c r="A27" s="323" t="s">
        <v>321</v>
      </c>
      <c r="B27" s="321">
        <f t="shared" ref="B27:AL27" si="4">-SUM(B31:B35)</f>
        <v>0</v>
      </c>
      <c r="C27" s="321">
        <f t="shared" si="4"/>
        <v>0</v>
      </c>
      <c r="D27" s="321">
        <f t="shared" si="4"/>
        <v>0</v>
      </c>
      <c r="E27" s="321">
        <f t="shared" si="4"/>
        <v>0</v>
      </c>
      <c r="F27" s="321">
        <f t="shared" si="4"/>
        <v>0</v>
      </c>
      <c r="G27" s="321">
        <f t="shared" si="4"/>
        <v>0</v>
      </c>
      <c r="H27" s="321">
        <f t="shared" si="4"/>
        <v>0</v>
      </c>
      <c r="I27" s="321">
        <f t="shared" si="4"/>
        <v>0</v>
      </c>
      <c r="J27" s="321">
        <f t="shared" si="4"/>
        <v>0</v>
      </c>
      <c r="K27" s="321">
        <f t="shared" si="4"/>
        <v>0</v>
      </c>
      <c r="L27" s="321">
        <f t="shared" si="4"/>
        <v>0</v>
      </c>
      <c r="M27" s="321">
        <f t="shared" si="4"/>
        <v>0</v>
      </c>
      <c r="N27" s="321">
        <f t="shared" si="4"/>
        <v>0</v>
      </c>
      <c r="O27" s="321">
        <f t="shared" si="4"/>
        <v>0</v>
      </c>
      <c r="P27" s="321">
        <f t="shared" si="4"/>
        <v>0</v>
      </c>
      <c r="Q27" s="321">
        <f t="shared" si="4"/>
        <v>0</v>
      </c>
      <c r="R27" s="321">
        <f t="shared" si="4"/>
        <v>0</v>
      </c>
      <c r="S27" s="321">
        <f t="shared" si="4"/>
        <v>0</v>
      </c>
      <c r="T27" s="321">
        <f t="shared" si="4"/>
        <v>0</v>
      </c>
      <c r="U27" s="321">
        <f t="shared" si="4"/>
        <v>0</v>
      </c>
      <c r="V27" s="321">
        <f t="shared" si="4"/>
        <v>0</v>
      </c>
      <c r="W27" s="321">
        <f t="shared" si="4"/>
        <v>0</v>
      </c>
      <c r="X27" s="321">
        <f t="shared" si="4"/>
        <v>0</v>
      </c>
      <c r="Y27" s="321">
        <f t="shared" si="4"/>
        <v>0</v>
      </c>
      <c r="Z27" s="321">
        <f t="shared" si="4"/>
        <v>0</v>
      </c>
      <c r="AA27" s="321">
        <f t="shared" si="4"/>
        <v>0</v>
      </c>
      <c r="AB27" s="321">
        <f t="shared" si="4"/>
        <v>0</v>
      </c>
      <c r="AC27" s="321">
        <f t="shared" si="4"/>
        <v>0</v>
      </c>
      <c r="AD27" s="321">
        <f t="shared" si="4"/>
        <v>0</v>
      </c>
      <c r="AE27" s="321">
        <f t="shared" si="4"/>
        <v>0</v>
      </c>
      <c r="AF27" s="321">
        <f t="shared" si="4"/>
        <v>0</v>
      </c>
      <c r="AG27" s="321">
        <f t="shared" si="4"/>
        <v>0</v>
      </c>
      <c r="AH27" s="321">
        <f t="shared" si="4"/>
        <v>0</v>
      </c>
      <c r="AI27" s="321">
        <f t="shared" si="4"/>
        <v>0</v>
      </c>
      <c r="AJ27" s="321">
        <f t="shared" si="4"/>
        <v>0</v>
      </c>
      <c r="AK27" s="321">
        <f t="shared" si="4"/>
        <v>0</v>
      </c>
      <c r="AL27" s="321">
        <f t="shared" si="4"/>
        <v>0</v>
      </c>
      <c r="AM27" s="319"/>
      <c r="AN27" s="319"/>
      <c r="AO27" s="319"/>
      <c r="AP27" s="319"/>
      <c r="AQ27" s="319"/>
      <c r="AR27" s="319"/>
      <c r="AS27" s="319"/>
      <c r="AT27" s="319"/>
      <c r="AU27" s="319"/>
      <c r="AV27" s="319"/>
      <c r="AW27" s="319"/>
      <c r="AX27" s="319"/>
      <c r="AY27" s="319"/>
    </row>
    <row r="28" spans="1:51" ht="15.75" customHeight="1" x14ac:dyDescent="0.2">
      <c r="A28" s="323" t="s">
        <v>322</v>
      </c>
      <c r="B28" s="120">
        <f>B27</f>
        <v>0</v>
      </c>
      <c r="C28" s="120">
        <f t="shared" ref="C28:AL28" si="5">C27+B28</f>
        <v>0</v>
      </c>
      <c r="D28" s="120">
        <f t="shared" si="5"/>
        <v>0</v>
      </c>
      <c r="E28" s="120">
        <f t="shared" si="5"/>
        <v>0</v>
      </c>
      <c r="F28" s="120">
        <f t="shared" si="5"/>
        <v>0</v>
      </c>
      <c r="G28" s="120">
        <f t="shared" si="5"/>
        <v>0</v>
      </c>
      <c r="H28" s="120">
        <f t="shared" si="5"/>
        <v>0</v>
      </c>
      <c r="I28" s="120">
        <f t="shared" si="5"/>
        <v>0</v>
      </c>
      <c r="J28" s="120">
        <f t="shared" si="5"/>
        <v>0</v>
      </c>
      <c r="K28" s="120">
        <f t="shared" si="5"/>
        <v>0</v>
      </c>
      <c r="L28" s="120">
        <f t="shared" si="5"/>
        <v>0</v>
      </c>
      <c r="M28" s="120">
        <f t="shared" si="5"/>
        <v>0</v>
      </c>
      <c r="N28" s="120">
        <f t="shared" si="5"/>
        <v>0</v>
      </c>
      <c r="O28" s="120">
        <f t="shared" si="5"/>
        <v>0</v>
      </c>
      <c r="P28" s="120">
        <f t="shared" si="5"/>
        <v>0</v>
      </c>
      <c r="Q28" s="120">
        <f t="shared" si="5"/>
        <v>0</v>
      </c>
      <c r="R28" s="120">
        <f t="shared" si="5"/>
        <v>0</v>
      </c>
      <c r="S28" s="120">
        <f t="shared" si="5"/>
        <v>0</v>
      </c>
      <c r="T28" s="120">
        <f t="shared" si="5"/>
        <v>0</v>
      </c>
      <c r="U28" s="120">
        <f t="shared" si="5"/>
        <v>0</v>
      </c>
      <c r="V28" s="120">
        <f t="shared" si="5"/>
        <v>0</v>
      </c>
      <c r="W28" s="120">
        <f t="shared" si="5"/>
        <v>0</v>
      </c>
      <c r="X28" s="120">
        <f t="shared" si="5"/>
        <v>0</v>
      </c>
      <c r="Y28" s="120">
        <f t="shared" si="5"/>
        <v>0</v>
      </c>
      <c r="Z28" s="120">
        <f t="shared" si="5"/>
        <v>0</v>
      </c>
      <c r="AA28" s="120">
        <f t="shared" si="5"/>
        <v>0</v>
      </c>
      <c r="AB28" s="120">
        <f t="shared" si="5"/>
        <v>0</v>
      </c>
      <c r="AC28" s="120">
        <f t="shared" si="5"/>
        <v>0</v>
      </c>
      <c r="AD28" s="120">
        <f t="shared" si="5"/>
        <v>0</v>
      </c>
      <c r="AE28" s="120">
        <f t="shared" si="5"/>
        <v>0</v>
      </c>
      <c r="AF28" s="120">
        <f t="shared" si="5"/>
        <v>0</v>
      </c>
      <c r="AG28" s="120">
        <f t="shared" si="5"/>
        <v>0</v>
      </c>
      <c r="AH28" s="120">
        <f t="shared" si="5"/>
        <v>0</v>
      </c>
      <c r="AI28" s="120">
        <f t="shared" si="5"/>
        <v>0</v>
      </c>
      <c r="AJ28" s="120">
        <f t="shared" si="5"/>
        <v>0</v>
      </c>
      <c r="AK28" s="120">
        <f t="shared" si="5"/>
        <v>0</v>
      </c>
      <c r="AL28" s="120">
        <f t="shared" si="5"/>
        <v>0</v>
      </c>
      <c r="AM28" s="319"/>
      <c r="AN28" s="319"/>
      <c r="AO28" s="319"/>
      <c r="AP28" s="319"/>
      <c r="AQ28" s="319"/>
      <c r="AR28" s="319"/>
      <c r="AS28" s="319"/>
      <c r="AT28" s="319"/>
      <c r="AU28" s="319"/>
      <c r="AV28" s="319"/>
      <c r="AW28" s="319"/>
      <c r="AX28" s="319"/>
      <c r="AY28" s="319"/>
    </row>
    <row r="29" spans="1:51" ht="15.75" customHeight="1" x14ac:dyDescent="0.2">
      <c r="A29" s="319"/>
      <c r="B29" s="319"/>
      <c r="C29" s="319"/>
      <c r="D29" s="319"/>
      <c r="E29" s="319"/>
      <c r="F29" s="319"/>
      <c r="G29" s="319"/>
      <c r="H29" s="319"/>
      <c r="I29" s="319"/>
      <c r="J29" s="319"/>
      <c r="K29" s="319"/>
      <c r="L29" s="319"/>
      <c r="M29" s="319"/>
      <c r="N29" s="319"/>
      <c r="O29" s="319"/>
      <c r="P29" s="319"/>
      <c r="Q29" s="319"/>
      <c r="R29" s="319"/>
      <c r="S29" s="319"/>
      <c r="T29" s="319"/>
      <c r="U29" s="319"/>
      <c r="V29" s="319"/>
      <c r="W29" s="319"/>
      <c r="X29" s="319"/>
      <c r="Y29" s="319"/>
      <c r="Z29" s="319"/>
      <c r="AA29" s="319"/>
      <c r="AB29" s="319"/>
      <c r="AC29" s="319"/>
      <c r="AD29" s="319"/>
      <c r="AE29" s="319"/>
      <c r="AF29" s="319"/>
      <c r="AG29" s="319"/>
      <c r="AH29" s="319"/>
      <c r="AI29" s="319"/>
      <c r="AJ29" s="319"/>
      <c r="AK29" s="319"/>
      <c r="AL29" s="319"/>
      <c r="AM29" s="319"/>
      <c r="AN29" s="319"/>
      <c r="AO29" s="319"/>
      <c r="AP29" s="319"/>
      <c r="AQ29" s="319"/>
      <c r="AR29" s="319"/>
      <c r="AS29" s="319"/>
      <c r="AT29" s="319"/>
      <c r="AU29" s="319"/>
      <c r="AV29" s="319"/>
      <c r="AW29" s="319"/>
      <c r="AX29" s="319"/>
      <c r="AY29" s="319"/>
    </row>
    <row r="30" spans="1:51" ht="15.75" customHeight="1" x14ac:dyDescent="0.2">
      <c r="A30" s="324"/>
      <c r="B30" s="325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V30" s="326"/>
      <c r="W30" s="326"/>
      <c r="X30" s="326"/>
      <c r="Y30" s="326"/>
      <c r="Z30" s="326"/>
      <c r="AA30" s="326"/>
      <c r="AB30" s="326"/>
      <c r="AC30" s="326"/>
      <c r="AD30" s="326"/>
      <c r="AE30" s="326"/>
      <c r="AF30" s="326"/>
      <c r="AG30" s="326"/>
      <c r="AH30" s="326"/>
      <c r="AI30" s="326"/>
      <c r="AJ30" s="326"/>
      <c r="AK30" s="326"/>
      <c r="AL30" s="326"/>
      <c r="AM30" s="319"/>
      <c r="AN30" s="319"/>
      <c r="AO30" s="319"/>
      <c r="AP30" s="319"/>
      <c r="AQ30" s="319"/>
      <c r="AR30" s="319"/>
      <c r="AS30" s="319"/>
      <c r="AT30" s="319"/>
      <c r="AU30" s="319"/>
      <c r="AV30" s="319"/>
      <c r="AW30" s="319"/>
      <c r="AX30" s="319"/>
      <c r="AY30" s="319"/>
    </row>
    <row r="31" spans="1:51" ht="15.75" customHeight="1" x14ac:dyDescent="0.2">
      <c r="A31" s="320" t="s">
        <v>323</v>
      </c>
      <c r="B31" s="121">
        <f>'FLUJO DE CAJA COMPLETO'!B14</f>
        <v>0</v>
      </c>
      <c r="C31" s="120">
        <f>'FLUJO DE CAJA COMPLETO'!C9</f>
        <v>0</v>
      </c>
      <c r="D31" s="120">
        <f>'FLUJO DE CAJA COMPLETO'!D9</f>
        <v>0</v>
      </c>
      <c r="E31" s="120">
        <f>'FLUJO DE CAJA COMPLETO'!E9</f>
        <v>0</v>
      </c>
      <c r="F31" s="120">
        <f>'FLUJO DE CAJA COMPLETO'!F9</f>
        <v>0</v>
      </c>
      <c r="G31" s="120">
        <f>'FLUJO DE CAJA COMPLETO'!G9</f>
        <v>0</v>
      </c>
      <c r="H31" s="120">
        <f>'FLUJO DE CAJA COMPLETO'!H9</f>
        <v>0</v>
      </c>
      <c r="I31" s="120">
        <f>'FLUJO DE CAJA COMPLETO'!I9</f>
        <v>0</v>
      </c>
      <c r="J31" s="120">
        <f>'FLUJO DE CAJA COMPLETO'!J9</f>
        <v>0</v>
      </c>
      <c r="K31" s="120">
        <f>'FLUJO DE CAJA COMPLETO'!K9</f>
        <v>0</v>
      </c>
      <c r="L31" s="120">
        <f>'FLUJO DE CAJA COMPLETO'!L9</f>
        <v>0</v>
      </c>
      <c r="M31" s="120">
        <f>'FLUJO DE CAJA COMPLETO'!M9</f>
        <v>0</v>
      </c>
      <c r="N31" s="120">
        <f>'FLUJO DE CAJA COMPLETO'!N9</f>
        <v>0</v>
      </c>
      <c r="O31" s="120">
        <f>'FLUJO DE CAJA COMPLETO'!O9</f>
        <v>0</v>
      </c>
      <c r="P31" s="120">
        <f>'FLUJO DE CAJA COMPLETO'!P9</f>
        <v>0</v>
      </c>
      <c r="Q31" s="120">
        <f>'FLUJO DE CAJA COMPLETO'!Q9</f>
        <v>0</v>
      </c>
      <c r="R31" s="120">
        <f>'FLUJO DE CAJA COMPLETO'!R9</f>
        <v>0</v>
      </c>
      <c r="S31" s="120">
        <f>'FLUJO DE CAJA COMPLETO'!S9</f>
        <v>0</v>
      </c>
      <c r="T31" s="120">
        <f>'FLUJO DE CAJA COMPLETO'!T9</f>
        <v>0</v>
      </c>
      <c r="U31" s="120">
        <f>'FLUJO DE CAJA COMPLETO'!U9</f>
        <v>0</v>
      </c>
      <c r="V31" s="120">
        <f>'FLUJO DE CAJA COMPLETO'!V9</f>
        <v>0</v>
      </c>
      <c r="W31" s="120">
        <f>'FLUJO DE CAJA COMPLETO'!W9</f>
        <v>0</v>
      </c>
      <c r="X31" s="120">
        <f>'FLUJO DE CAJA COMPLETO'!X9</f>
        <v>0</v>
      </c>
      <c r="Y31" s="120">
        <f>'FLUJO DE CAJA COMPLETO'!Y9</f>
        <v>0</v>
      </c>
      <c r="Z31" s="120">
        <f>'FLUJO DE CAJA COMPLETO'!Z9</f>
        <v>0</v>
      </c>
      <c r="AA31" s="120">
        <f>'FLUJO DE CAJA COMPLETO'!AA9</f>
        <v>0</v>
      </c>
      <c r="AB31" s="120">
        <f>'FLUJO DE CAJA COMPLETO'!AB9</f>
        <v>0</v>
      </c>
      <c r="AC31" s="120">
        <f>'FLUJO DE CAJA COMPLETO'!AC9</f>
        <v>0</v>
      </c>
      <c r="AD31" s="120">
        <f>'FLUJO DE CAJA COMPLETO'!AD9</f>
        <v>0</v>
      </c>
      <c r="AE31" s="120">
        <f>'FLUJO DE CAJA COMPLETO'!AE9</f>
        <v>0</v>
      </c>
      <c r="AF31" s="120">
        <f>'FLUJO DE CAJA COMPLETO'!AF9</f>
        <v>0</v>
      </c>
      <c r="AG31" s="120">
        <f>'FLUJO DE CAJA COMPLETO'!AG9</f>
        <v>0</v>
      </c>
      <c r="AH31" s="120">
        <f>'FLUJO DE CAJA COMPLETO'!AH9</f>
        <v>0</v>
      </c>
      <c r="AI31" s="120">
        <f>'FLUJO DE CAJA COMPLETO'!AI9</f>
        <v>0</v>
      </c>
      <c r="AJ31" s="120">
        <f>'FLUJO DE CAJA COMPLETO'!AJ9</f>
        <v>0</v>
      </c>
      <c r="AK31" s="120">
        <f>'FLUJO DE CAJA COMPLETO'!AK9</f>
        <v>0</v>
      </c>
      <c r="AL31" s="120">
        <f>'FLUJO DE CAJA COMPLETO'!AL9</f>
        <v>0</v>
      </c>
      <c r="AM31" s="319"/>
      <c r="AN31" s="319"/>
      <c r="AO31" s="319"/>
      <c r="AP31" s="319"/>
      <c r="AQ31" s="319"/>
      <c r="AR31" s="319"/>
      <c r="AS31" s="319"/>
      <c r="AT31" s="319"/>
      <c r="AU31" s="319"/>
      <c r="AV31" s="319"/>
      <c r="AW31" s="319"/>
      <c r="AX31" s="319"/>
      <c r="AY31" s="319"/>
    </row>
    <row r="32" spans="1:51" ht="15.75" customHeight="1" x14ac:dyDescent="0.2">
      <c r="A32" s="320" t="s">
        <v>324</v>
      </c>
      <c r="B32" s="120"/>
      <c r="C32" s="120">
        <f>-'COSTOS DE OPERACION'!C34</f>
        <v>0</v>
      </c>
      <c r="D32" s="120">
        <f>-'COSTOS DE OPERACION'!D34</f>
        <v>0</v>
      </c>
      <c r="E32" s="120">
        <f>-'COSTOS DE OPERACION'!E34</f>
        <v>0</v>
      </c>
      <c r="F32" s="120">
        <f>-'COSTOS DE OPERACION'!F34</f>
        <v>0</v>
      </c>
      <c r="G32" s="120">
        <f>-'COSTOS DE OPERACION'!G34</f>
        <v>0</v>
      </c>
      <c r="H32" s="120">
        <f>-'COSTOS DE OPERACION'!H34</f>
        <v>0</v>
      </c>
      <c r="I32" s="120">
        <f>-'COSTOS DE OPERACION'!I34</f>
        <v>0</v>
      </c>
      <c r="J32" s="120">
        <f>-'COSTOS DE OPERACION'!J34</f>
        <v>0</v>
      </c>
      <c r="K32" s="120">
        <f>-'COSTOS DE OPERACION'!K34</f>
        <v>0</v>
      </c>
      <c r="L32" s="120">
        <f>-'COSTOS DE OPERACION'!L34</f>
        <v>0</v>
      </c>
      <c r="M32" s="120">
        <f>-'COSTOS DE OPERACION'!M34</f>
        <v>0</v>
      </c>
      <c r="N32" s="120">
        <f>-'COSTOS DE OPERACION'!N34</f>
        <v>0</v>
      </c>
      <c r="O32" s="120">
        <f>-'COSTOS DE OPERACION'!O34</f>
        <v>0</v>
      </c>
      <c r="P32" s="120">
        <f>-'COSTOS DE OPERACION'!P34</f>
        <v>0</v>
      </c>
      <c r="Q32" s="120">
        <f>-'COSTOS DE OPERACION'!Q34</f>
        <v>0</v>
      </c>
      <c r="R32" s="120">
        <f>-'COSTOS DE OPERACION'!R34</f>
        <v>0</v>
      </c>
      <c r="S32" s="120">
        <f>-'COSTOS DE OPERACION'!S34</f>
        <v>0</v>
      </c>
      <c r="T32" s="120">
        <f>-'COSTOS DE OPERACION'!T34</f>
        <v>0</v>
      </c>
      <c r="U32" s="120">
        <f>-'COSTOS DE OPERACION'!U34</f>
        <v>0</v>
      </c>
      <c r="V32" s="120">
        <f>-'COSTOS DE OPERACION'!V34</f>
        <v>0</v>
      </c>
      <c r="W32" s="120">
        <f>-'COSTOS DE OPERACION'!W34</f>
        <v>0</v>
      </c>
      <c r="X32" s="120">
        <f>-'COSTOS DE OPERACION'!X34</f>
        <v>0</v>
      </c>
      <c r="Y32" s="120">
        <f>-'COSTOS DE OPERACION'!Y34</f>
        <v>0</v>
      </c>
      <c r="Z32" s="120">
        <f>-'COSTOS DE OPERACION'!Z34</f>
        <v>0</v>
      </c>
      <c r="AA32" s="120">
        <f>-'COSTOS DE OPERACION'!AA34</f>
        <v>0</v>
      </c>
      <c r="AB32" s="120">
        <f>-'COSTOS DE OPERACION'!AB34</f>
        <v>0</v>
      </c>
      <c r="AC32" s="120">
        <f>-'COSTOS DE OPERACION'!AC34</f>
        <v>0</v>
      </c>
      <c r="AD32" s="120">
        <f>-'COSTOS DE OPERACION'!AD34</f>
        <v>0</v>
      </c>
      <c r="AE32" s="120">
        <f>-'COSTOS DE OPERACION'!AE34</f>
        <v>0</v>
      </c>
      <c r="AF32" s="120">
        <f>-'COSTOS DE OPERACION'!AF34</f>
        <v>0</v>
      </c>
      <c r="AG32" s="120">
        <f>-'COSTOS DE OPERACION'!AG34</f>
        <v>0</v>
      </c>
      <c r="AH32" s="120">
        <f>-'COSTOS DE OPERACION'!AH34</f>
        <v>0</v>
      </c>
      <c r="AI32" s="120">
        <f>-'COSTOS DE OPERACION'!AI34</f>
        <v>0</v>
      </c>
      <c r="AJ32" s="120">
        <f>-'COSTOS DE OPERACION'!AJ34</f>
        <v>0</v>
      </c>
      <c r="AK32" s="120">
        <f>-'COSTOS DE OPERACION'!AK34</f>
        <v>0</v>
      </c>
      <c r="AL32" s="120">
        <f>-'COSTOS DE OPERACION'!AL34</f>
        <v>0</v>
      </c>
      <c r="AM32" s="319"/>
      <c r="AN32" s="319"/>
      <c r="AO32" s="319"/>
      <c r="AP32" s="319"/>
      <c r="AQ32" s="319"/>
      <c r="AR32" s="319"/>
      <c r="AS32" s="319"/>
      <c r="AT32" s="319"/>
      <c r="AU32" s="319"/>
      <c r="AV32" s="319"/>
      <c r="AW32" s="319"/>
      <c r="AX32" s="319"/>
      <c r="AY32" s="319"/>
    </row>
    <row r="33" spans="1:51" ht="15.75" customHeight="1" x14ac:dyDescent="0.2">
      <c r="A33" s="320" t="s">
        <v>325</v>
      </c>
      <c r="B33" s="120"/>
      <c r="C33" s="120"/>
      <c r="D33" s="120"/>
      <c r="E33" s="120"/>
      <c r="F33" s="120">
        <f>-'ADQUISICIONES IMPLEMENTACIÓN'!B70</f>
        <v>0</v>
      </c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>
        <f>-'ADQUISICIONES OPERACIÓN'!B48</f>
        <v>0</v>
      </c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319"/>
      <c r="AN33" s="319"/>
      <c r="AO33" s="319"/>
      <c r="AP33" s="319"/>
      <c r="AQ33" s="319"/>
      <c r="AR33" s="319"/>
      <c r="AS33" s="319"/>
      <c r="AT33" s="319"/>
      <c r="AU33" s="319"/>
      <c r="AV33" s="319"/>
      <c r="AW33" s="319"/>
      <c r="AX33" s="319"/>
      <c r="AY33" s="319"/>
    </row>
    <row r="34" spans="1:51" ht="15.75" customHeight="1" x14ac:dyDescent="0.2">
      <c r="A34" s="320" t="s">
        <v>326</v>
      </c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319"/>
      <c r="AN34" s="319"/>
      <c r="AO34" s="319"/>
      <c r="AP34" s="319"/>
      <c r="AQ34" s="319"/>
      <c r="AR34" s="319"/>
      <c r="AS34" s="319"/>
      <c r="AT34" s="319"/>
      <c r="AU34" s="319"/>
      <c r="AV34" s="319"/>
      <c r="AW34" s="319"/>
      <c r="AX34" s="319"/>
      <c r="AY34" s="319"/>
    </row>
    <row r="35" spans="1:51" ht="15.75" customHeight="1" x14ac:dyDescent="0.2">
      <c r="A35" s="320" t="s">
        <v>327</v>
      </c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>
        <f>-'ADQUISICIONES IMPLEMENTACIÓN'!C71</f>
        <v>0</v>
      </c>
      <c r="M35" s="120">
        <f>-'ADQUISICIONES IMPLEMENTACIÓN'!C71</f>
        <v>0</v>
      </c>
      <c r="N35" s="120">
        <f>-'ADQUISICIONES IMPLEMENTACIÓN'!C71</f>
        <v>0</v>
      </c>
      <c r="O35" s="120">
        <f>-'ADQUISICIONES IMPLEMENTACIÓN'!C71</f>
        <v>0</v>
      </c>
      <c r="P35" s="120">
        <f>-'ADQUISICIONES IMPLEMENTACIÓN'!C71</f>
        <v>0</v>
      </c>
      <c r="Q35" s="120">
        <f>-'ADQUISICIONES IMPLEMENTACIÓN'!C71</f>
        <v>0</v>
      </c>
      <c r="R35" s="120">
        <f>-'ADQUISICIONES IMPLEMENTACIÓN'!C71</f>
        <v>0</v>
      </c>
      <c r="S35" s="120">
        <f>-'ADQUISICIONES IMPLEMENTACIÓN'!C71</f>
        <v>0</v>
      </c>
      <c r="T35" s="120">
        <f>-'ADQUISICIONES IMPLEMENTACIÓN'!C71</f>
        <v>0</v>
      </c>
      <c r="U35" s="120">
        <f>-'ADQUISICIONES IMPLEMENTACIÓN'!C71</f>
        <v>0</v>
      </c>
      <c r="V35" s="120">
        <f>-'ADQUISICIONES IMPLEMENTACIÓN'!C71</f>
        <v>0</v>
      </c>
      <c r="W35" s="120">
        <f>-'ADQUISICIONES OPERACIÓN'!C49</f>
        <v>0</v>
      </c>
      <c r="X35" s="120">
        <f>-'ADQUISICIONES OPERACIÓN'!C49</f>
        <v>0</v>
      </c>
      <c r="Y35" s="120">
        <f>-'ADQUISICIONES OPERACIÓN'!C49</f>
        <v>0</v>
      </c>
      <c r="Z35" s="120">
        <f>-'ADQUISICIONES OPERACIÓN'!C49</f>
        <v>0</v>
      </c>
      <c r="AA35" s="120">
        <f>-'ADQUISICIONES OPERACIÓN'!C49</f>
        <v>0</v>
      </c>
      <c r="AB35" s="120">
        <f>-'ADQUISICIONES OPERACIÓN'!C49</f>
        <v>0</v>
      </c>
      <c r="AC35" s="120">
        <f>-'ADQUISICIONES OPERACIÓN'!C49</f>
        <v>0</v>
      </c>
      <c r="AD35" s="120">
        <f>-'ADQUISICIONES OPERACIÓN'!C49</f>
        <v>0</v>
      </c>
      <c r="AE35" s="120">
        <f>-'ADQUISICIONES OPERACIÓN'!C49</f>
        <v>0</v>
      </c>
      <c r="AF35" s="120">
        <f>-'ADQUISICIONES OPERACIÓN'!C49</f>
        <v>0</v>
      </c>
      <c r="AG35" s="120">
        <f>-'ADQUISICIONES OPERACIÓN'!C49</f>
        <v>0</v>
      </c>
      <c r="AH35" s="120">
        <f>-'ADQUISICIONES OPERACIÓN'!C49</f>
        <v>0</v>
      </c>
      <c r="AI35" s="120">
        <f>-'ADQUISICIONES OPERACIÓN'!C49</f>
        <v>0</v>
      </c>
      <c r="AJ35" s="120">
        <f>-'ADQUISICIONES OPERACIÓN'!C49</f>
        <v>0</v>
      </c>
      <c r="AK35" s="120">
        <f>-'ADQUISICIONES OPERACIÓN'!C49</f>
        <v>0</v>
      </c>
      <c r="AL35" s="120">
        <f>-'ADQUISICIONES OPERACIÓN'!C49</f>
        <v>0</v>
      </c>
      <c r="AM35" s="319"/>
      <c r="AN35" s="319"/>
      <c r="AO35" s="319"/>
      <c r="AP35" s="319"/>
      <c r="AQ35" s="319"/>
      <c r="AR35" s="319"/>
      <c r="AS35" s="319"/>
      <c r="AT35" s="319"/>
      <c r="AU35" s="319"/>
      <c r="AV35" s="319"/>
      <c r="AW35" s="319"/>
      <c r="AX35" s="319"/>
      <c r="AY35" s="319"/>
    </row>
    <row r="36" spans="1:51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</row>
    <row r="37" spans="1:51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</row>
    <row r="38" spans="1:51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</row>
    <row r="39" spans="1:51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</row>
    <row r="40" spans="1:51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</row>
    <row r="41" spans="1:51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</row>
    <row r="42" spans="1:51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</row>
    <row r="43" spans="1:51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</row>
    <row r="44" spans="1:51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</row>
    <row r="45" spans="1:51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</row>
    <row r="46" spans="1:51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</row>
    <row r="47" spans="1:51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</row>
    <row r="48" spans="1:51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</row>
    <row r="49" spans="1:51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</row>
    <row r="50" spans="1:51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</row>
    <row r="51" spans="1:51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</row>
    <row r="52" spans="1:51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</row>
    <row r="53" spans="1:51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</row>
    <row r="54" spans="1:51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</row>
    <row r="55" spans="1:51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</row>
    <row r="56" spans="1:51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</row>
    <row r="57" spans="1:51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</row>
    <row r="58" spans="1:51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</row>
    <row r="59" spans="1:51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</row>
    <row r="60" spans="1:51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</row>
    <row r="61" spans="1:51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</row>
    <row r="62" spans="1:51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</row>
    <row r="63" spans="1:51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</row>
    <row r="64" spans="1:51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</row>
    <row r="65" spans="1:51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</row>
    <row r="66" spans="1:51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</row>
    <row r="67" spans="1:51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</row>
    <row r="68" spans="1:51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</row>
    <row r="69" spans="1:51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</row>
    <row r="70" spans="1:51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</row>
    <row r="71" spans="1:51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</row>
    <row r="72" spans="1:51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</row>
    <row r="73" spans="1:51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</row>
    <row r="74" spans="1:51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 spans="1:51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 spans="1:51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</row>
    <row r="77" spans="1:51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 spans="1:51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 spans="1:51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</row>
    <row r="80" spans="1:51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 spans="1:51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</row>
    <row r="82" spans="1:51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 spans="1:51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 spans="1:51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 spans="1:51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</row>
    <row r="86" spans="1:51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 spans="1:51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 spans="1:51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 spans="1:51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 spans="1:51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 spans="1:51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 spans="1:51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 spans="1:51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 spans="1:51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spans="1:51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 spans="1:51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 spans="1:51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  <row r="98" spans="1:51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 spans="1:51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 spans="1:51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 spans="1:51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</row>
    <row r="102" spans="1:51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 spans="1:51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 spans="1:51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 spans="1:51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 spans="1:51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 spans="1:51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 spans="1:51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  <row r="109" spans="1:51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</row>
    <row r="110" spans="1:51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</row>
    <row r="111" spans="1:51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</row>
    <row r="112" spans="1:51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</row>
    <row r="113" spans="1:51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</row>
    <row r="114" spans="1:51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</row>
    <row r="115" spans="1:51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</row>
    <row r="116" spans="1:51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 spans="1:51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</row>
    <row r="118" spans="1:51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</row>
    <row r="119" spans="1:51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</row>
    <row r="120" spans="1:51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</row>
    <row r="121" spans="1:51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</row>
    <row r="122" spans="1:51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</row>
    <row r="123" spans="1:51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 spans="1:51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 spans="1:51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</row>
    <row r="126" spans="1:51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</row>
    <row r="127" spans="1:51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</row>
    <row r="128" spans="1:51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</row>
    <row r="129" spans="1:51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</row>
    <row r="130" spans="1:51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</row>
    <row r="131" spans="1:51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</row>
    <row r="132" spans="1:51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 spans="1:51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</row>
    <row r="134" spans="1:51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</row>
    <row r="135" spans="1:51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</row>
    <row r="136" spans="1:51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</row>
    <row r="137" spans="1:51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</row>
    <row r="138" spans="1:51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</row>
    <row r="139" spans="1:51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</row>
    <row r="140" spans="1:51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</row>
    <row r="141" spans="1:51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</row>
    <row r="142" spans="1:51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</row>
    <row r="143" spans="1:51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</row>
    <row r="144" spans="1:51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 spans="1:51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 spans="1:51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 spans="1:51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 spans="1:51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 spans="1:51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 spans="1:51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 spans="1:51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  <row r="152" spans="1:51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</row>
    <row r="153" spans="1:51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</row>
    <row r="154" spans="1:51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</row>
    <row r="155" spans="1:51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</row>
    <row r="156" spans="1:51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</row>
    <row r="157" spans="1:51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</row>
    <row r="158" spans="1:51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</row>
    <row r="159" spans="1:51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</row>
    <row r="160" spans="1:51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</row>
    <row r="161" spans="1:51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</row>
    <row r="162" spans="1:51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 spans="1:51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</row>
    <row r="164" spans="1:51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 spans="1:51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</row>
    <row r="166" spans="1:51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</row>
    <row r="167" spans="1:51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 spans="1:51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</row>
    <row r="169" spans="1:51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 spans="1:51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</row>
    <row r="171" spans="1:51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 spans="1:51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</row>
    <row r="173" spans="1:51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 spans="1:51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 spans="1:51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 spans="1:51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 spans="1:51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 spans="1:51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 spans="1:51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 spans="1:51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 spans="1:51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 spans="1:51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 spans="1:51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 spans="1:51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 spans="1:51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 spans="1:51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 spans="1:51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 spans="1:51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 spans="1:51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 spans="1:51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 spans="1:51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 spans="1:51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 spans="1:51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 spans="1:51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 spans="1:51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 spans="1:51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 spans="1:51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 spans="1:51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 spans="1:51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 spans="1:51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 spans="1:51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</row>
    <row r="202" spans="1:51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 spans="1:51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 spans="1:51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 spans="1:51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 spans="1:51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 spans="1:51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</row>
    <row r="208" spans="1:51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 spans="1:51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 spans="1:51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 spans="1:51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 spans="1:51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 spans="1:51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 spans="1:51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 spans="1:51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 spans="1:51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 spans="1:51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 spans="1:51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 spans="1:51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 spans="1:51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 spans="1:51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 spans="1:51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 spans="1:51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 spans="1:51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 spans="1:51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 spans="1:51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 spans="1:51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 spans="1:51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 spans="1:51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 spans="1:51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 spans="1:51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 spans="1:51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 spans="1:51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 spans="1:51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 spans="1:51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  <row r="236" spans="1:51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</row>
    <row r="237" spans="1:51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</row>
    <row r="238" spans="1:51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</row>
    <row r="239" spans="1:51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</row>
    <row r="240" spans="1:51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</row>
    <row r="241" spans="1:51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</row>
    <row r="242" spans="1:51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</row>
    <row r="243" spans="1:51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</row>
    <row r="244" spans="1:51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  <row r="245" spans="1:51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</row>
    <row r="246" spans="1:51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</row>
    <row r="247" spans="1:51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</row>
    <row r="248" spans="1:51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</row>
    <row r="249" spans="1:51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</row>
    <row r="250" spans="1:51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</row>
    <row r="251" spans="1:51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</row>
    <row r="252" spans="1:51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</row>
    <row r="253" spans="1:51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</row>
    <row r="254" spans="1:51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</row>
    <row r="255" spans="1:51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</row>
    <row r="256" spans="1:51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</row>
    <row r="257" spans="1:51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</row>
    <row r="258" spans="1:51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</row>
    <row r="259" spans="1:51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</row>
    <row r="260" spans="1:51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</row>
    <row r="261" spans="1:51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</row>
    <row r="262" spans="1:51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</row>
    <row r="263" spans="1:51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</row>
    <row r="264" spans="1:51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</row>
    <row r="265" spans="1:51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</row>
    <row r="266" spans="1:51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</row>
    <row r="267" spans="1:51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</row>
    <row r="268" spans="1:51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</row>
    <row r="269" spans="1:51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</row>
    <row r="270" spans="1:51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</row>
    <row r="271" spans="1:51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</row>
    <row r="272" spans="1:51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</row>
    <row r="273" spans="1:51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</row>
    <row r="274" spans="1:51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</row>
    <row r="275" spans="1:51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</row>
    <row r="276" spans="1:51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</row>
    <row r="277" spans="1:51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</row>
    <row r="278" spans="1:51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</row>
    <row r="279" spans="1:51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</row>
    <row r="280" spans="1:51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</row>
    <row r="281" spans="1:51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</row>
    <row r="282" spans="1:51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</row>
    <row r="283" spans="1:51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</row>
    <row r="284" spans="1:51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</row>
    <row r="285" spans="1:51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</row>
    <row r="286" spans="1:51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</row>
    <row r="287" spans="1:51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</row>
    <row r="288" spans="1:51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</row>
    <row r="289" spans="1:51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</row>
    <row r="290" spans="1:51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</row>
    <row r="291" spans="1:51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</row>
    <row r="292" spans="1:51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</row>
    <row r="293" spans="1:51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</row>
    <row r="294" spans="1:51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</row>
    <row r="295" spans="1:51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</row>
    <row r="296" spans="1:51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</row>
    <row r="297" spans="1:51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</row>
    <row r="298" spans="1:51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</row>
    <row r="299" spans="1:51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</row>
    <row r="300" spans="1:51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</row>
    <row r="301" spans="1:51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</row>
    <row r="302" spans="1:51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</row>
    <row r="303" spans="1:51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</row>
    <row r="304" spans="1:51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</row>
    <row r="305" spans="1:51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</row>
    <row r="306" spans="1:51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</row>
    <row r="307" spans="1:51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</row>
    <row r="308" spans="1:51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</row>
    <row r="309" spans="1:51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</row>
    <row r="310" spans="1:51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</row>
    <row r="311" spans="1:51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</row>
    <row r="312" spans="1:51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</row>
    <row r="313" spans="1:51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</row>
    <row r="314" spans="1:51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</row>
    <row r="315" spans="1:51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</row>
    <row r="316" spans="1:51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</row>
    <row r="317" spans="1:51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</row>
    <row r="318" spans="1:51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</row>
    <row r="319" spans="1:51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</row>
    <row r="320" spans="1:51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</row>
    <row r="321" spans="1:51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</row>
    <row r="322" spans="1:51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</row>
    <row r="323" spans="1:51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</row>
    <row r="324" spans="1:51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</row>
    <row r="325" spans="1:51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</row>
    <row r="326" spans="1:51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</row>
    <row r="327" spans="1:51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</row>
    <row r="328" spans="1:51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</row>
    <row r="329" spans="1:51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</row>
    <row r="330" spans="1:51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</row>
    <row r="331" spans="1:51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</row>
    <row r="332" spans="1:51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</row>
    <row r="333" spans="1:51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</row>
    <row r="334" spans="1:51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</row>
    <row r="335" spans="1:51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</row>
    <row r="336" spans="1:51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</row>
    <row r="337" spans="1:51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</row>
    <row r="338" spans="1:51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</row>
    <row r="339" spans="1:51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</row>
    <row r="340" spans="1:51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</row>
    <row r="341" spans="1:51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</row>
    <row r="342" spans="1:51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</row>
    <row r="343" spans="1:51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</row>
    <row r="344" spans="1:51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</row>
    <row r="345" spans="1:51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</row>
    <row r="346" spans="1:51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</row>
    <row r="347" spans="1:51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</row>
    <row r="348" spans="1:51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</row>
    <row r="349" spans="1:51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</row>
    <row r="350" spans="1:51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</row>
    <row r="351" spans="1:51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</row>
    <row r="352" spans="1:51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</row>
    <row r="353" spans="1:51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</row>
    <row r="354" spans="1:51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</row>
    <row r="355" spans="1:51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</row>
    <row r="356" spans="1:51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</row>
    <row r="357" spans="1:51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</row>
    <row r="358" spans="1:51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</row>
    <row r="359" spans="1:51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</row>
    <row r="360" spans="1:51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</row>
    <row r="361" spans="1:51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</row>
    <row r="362" spans="1:51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</row>
    <row r="363" spans="1:51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</row>
    <row r="364" spans="1:51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</row>
    <row r="365" spans="1:51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</row>
    <row r="366" spans="1:51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</row>
    <row r="367" spans="1:51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</row>
    <row r="368" spans="1:51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</row>
    <row r="369" spans="1:51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</row>
    <row r="370" spans="1:51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</row>
    <row r="371" spans="1:51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</row>
    <row r="372" spans="1:51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</row>
    <row r="373" spans="1:51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</row>
    <row r="374" spans="1:51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</row>
    <row r="375" spans="1:51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</row>
    <row r="376" spans="1:51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</row>
    <row r="377" spans="1:51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</row>
    <row r="378" spans="1:51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</row>
    <row r="379" spans="1:51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</row>
    <row r="380" spans="1:51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</row>
    <row r="381" spans="1:51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</row>
    <row r="382" spans="1:51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</row>
    <row r="383" spans="1:51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</row>
    <row r="384" spans="1:51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</row>
    <row r="385" spans="1:51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</row>
    <row r="386" spans="1:51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</row>
    <row r="387" spans="1:51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</row>
    <row r="388" spans="1:51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</row>
    <row r="389" spans="1:51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</row>
    <row r="390" spans="1:51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</row>
    <row r="391" spans="1:51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</row>
    <row r="392" spans="1:51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</row>
    <row r="393" spans="1:51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</row>
    <row r="394" spans="1:51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</row>
    <row r="395" spans="1:51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</row>
    <row r="396" spans="1:51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</row>
    <row r="397" spans="1:51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</row>
    <row r="398" spans="1:51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</row>
    <row r="399" spans="1:51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</row>
    <row r="400" spans="1:51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</row>
    <row r="401" spans="1:51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</row>
    <row r="402" spans="1:51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</row>
    <row r="403" spans="1:51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</row>
    <row r="404" spans="1:51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</row>
    <row r="405" spans="1:51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</row>
    <row r="406" spans="1:51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</row>
    <row r="407" spans="1:51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</row>
    <row r="408" spans="1:51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</row>
    <row r="409" spans="1:51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</row>
    <row r="410" spans="1:51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</row>
    <row r="411" spans="1:51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</row>
    <row r="412" spans="1:51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</row>
    <row r="413" spans="1:51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</row>
    <row r="414" spans="1:51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</row>
    <row r="415" spans="1:51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</row>
    <row r="416" spans="1:51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</row>
    <row r="417" spans="1:51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</row>
    <row r="418" spans="1:51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</row>
    <row r="419" spans="1:51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</row>
    <row r="420" spans="1:51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</row>
    <row r="421" spans="1:51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</row>
    <row r="422" spans="1:51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</row>
    <row r="423" spans="1:51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</row>
    <row r="424" spans="1:51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</row>
    <row r="425" spans="1:51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</row>
    <row r="426" spans="1:51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</row>
    <row r="427" spans="1:51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</row>
    <row r="428" spans="1:51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</row>
    <row r="429" spans="1:51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</row>
    <row r="430" spans="1:51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</row>
    <row r="431" spans="1:51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</row>
    <row r="432" spans="1:51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</row>
    <row r="433" spans="1:51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</row>
    <row r="434" spans="1:51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</row>
    <row r="435" spans="1:51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</row>
    <row r="436" spans="1:51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</row>
    <row r="437" spans="1:51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</row>
    <row r="438" spans="1:51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</row>
    <row r="439" spans="1:51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</row>
    <row r="440" spans="1:51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</row>
    <row r="441" spans="1:51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</row>
    <row r="442" spans="1:51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</row>
    <row r="443" spans="1:51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</row>
    <row r="444" spans="1:51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</row>
    <row r="445" spans="1:51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</row>
    <row r="446" spans="1:51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</row>
    <row r="447" spans="1:51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</row>
    <row r="448" spans="1:51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</row>
    <row r="449" spans="1:51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</row>
    <row r="450" spans="1:51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</row>
    <row r="451" spans="1:51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</row>
    <row r="452" spans="1:51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</row>
    <row r="453" spans="1:51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</row>
    <row r="454" spans="1:51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</row>
    <row r="455" spans="1:51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</row>
    <row r="456" spans="1:51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</row>
    <row r="457" spans="1:51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</row>
    <row r="458" spans="1:51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</row>
    <row r="459" spans="1:51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</row>
    <row r="460" spans="1:51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</row>
    <row r="461" spans="1:51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</row>
    <row r="462" spans="1:51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</row>
    <row r="463" spans="1:51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</row>
    <row r="464" spans="1:51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</row>
    <row r="465" spans="1:51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</row>
    <row r="466" spans="1:51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</row>
    <row r="467" spans="1:51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</row>
    <row r="468" spans="1:51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</row>
    <row r="469" spans="1:51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</row>
    <row r="470" spans="1:51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</row>
    <row r="471" spans="1:51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</row>
    <row r="472" spans="1:51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</row>
    <row r="473" spans="1:51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</row>
    <row r="474" spans="1:51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</row>
    <row r="475" spans="1:51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</row>
    <row r="476" spans="1:51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</row>
    <row r="477" spans="1:51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</row>
    <row r="478" spans="1:51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</row>
    <row r="479" spans="1:51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</row>
    <row r="480" spans="1:51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</row>
    <row r="481" spans="1:51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</row>
    <row r="482" spans="1:51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</row>
    <row r="483" spans="1:51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</row>
    <row r="484" spans="1:51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</row>
    <row r="485" spans="1:51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</row>
    <row r="486" spans="1:51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</row>
    <row r="487" spans="1:51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</row>
    <row r="488" spans="1:51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</row>
    <row r="489" spans="1:51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</row>
    <row r="490" spans="1:51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</row>
    <row r="491" spans="1:51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</row>
    <row r="492" spans="1:51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</row>
    <row r="493" spans="1:51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</row>
    <row r="494" spans="1:51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</row>
    <row r="495" spans="1:51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</row>
    <row r="496" spans="1:51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</row>
    <row r="497" spans="1:51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</row>
    <row r="498" spans="1:51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</row>
    <row r="499" spans="1:51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</row>
    <row r="500" spans="1:51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</row>
    <row r="501" spans="1:51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</row>
    <row r="502" spans="1:51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</row>
    <row r="503" spans="1:51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</row>
    <row r="504" spans="1:51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</row>
    <row r="505" spans="1:51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</row>
    <row r="506" spans="1:51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</row>
    <row r="507" spans="1:51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</row>
    <row r="508" spans="1:51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</row>
    <row r="509" spans="1:51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</row>
    <row r="510" spans="1:51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</row>
    <row r="511" spans="1:51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</row>
    <row r="512" spans="1:51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</row>
    <row r="513" spans="1:51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</row>
    <row r="514" spans="1:51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</row>
    <row r="515" spans="1:51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</row>
    <row r="516" spans="1:51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</row>
    <row r="517" spans="1:51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</row>
    <row r="518" spans="1:51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</row>
    <row r="519" spans="1:51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</row>
    <row r="520" spans="1:51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</row>
    <row r="521" spans="1:51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</row>
    <row r="522" spans="1:51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</row>
    <row r="523" spans="1:51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</row>
    <row r="524" spans="1:51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</row>
    <row r="525" spans="1:51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</row>
    <row r="526" spans="1:51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</row>
    <row r="527" spans="1:51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</row>
    <row r="528" spans="1:51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</row>
    <row r="529" spans="1:51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</row>
    <row r="530" spans="1:51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</row>
    <row r="531" spans="1:51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</row>
    <row r="532" spans="1:51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</row>
    <row r="533" spans="1:51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</row>
    <row r="534" spans="1:51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</row>
    <row r="535" spans="1:51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</row>
    <row r="536" spans="1:51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</row>
    <row r="537" spans="1:51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</row>
    <row r="538" spans="1:51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</row>
    <row r="539" spans="1:51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</row>
    <row r="540" spans="1:51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</row>
    <row r="541" spans="1:51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</row>
    <row r="542" spans="1:51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</row>
    <row r="543" spans="1:51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</row>
    <row r="544" spans="1:51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</row>
    <row r="545" spans="1:51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</row>
    <row r="546" spans="1:51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</row>
    <row r="547" spans="1:51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</row>
    <row r="548" spans="1:51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</row>
    <row r="549" spans="1:51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</row>
    <row r="550" spans="1:51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</row>
    <row r="551" spans="1:51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</row>
    <row r="552" spans="1:51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</row>
    <row r="553" spans="1:51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</row>
    <row r="554" spans="1:51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</row>
    <row r="555" spans="1:51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</row>
    <row r="556" spans="1:51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</row>
    <row r="557" spans="1:51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</row>
    <row r="558" spans="1:51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</row>
    <row r="559" spans="1:51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</row>
    <row r="560" spans="1:51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</row>
    <row r="561" spans="1:51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</row>
    <row r="562" spans="1:51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</row>
    <row r="563" spans="1:51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</row>
    <row r="564" spans="1:51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</row>
    <row r="565" spans="1:51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</row>
    <row r="566" spans="1:51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</row>
    <row r="567" spans="1:51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</row>
    <row r="568" spans="1:51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</row>
    <row r="569" spans="1:51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</row>
    <row r="570" spans="1:51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</row>
    <row r="571" spans="1:51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</row>
    <row r="572" spans="1:51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</row>
    <row r="573" spans="1:51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</row>
    <row r="574" spans="1:51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</row>
    <row r="575" spans="1:51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</row>
    <row r="576" spans="1:51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</row>
    <row r="577" spans="1:51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</row>
    <row r="578" spans="1:51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</row>
    <row r="579" spans="1:51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</row>
    <row r="580" spans="1:51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</row>
    <row r="581" spans="1:51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</row>
    <row r="582" spans="1:51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</row>
    <row r="583" spans="1:51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</row>
    <row r="584" spans="1:51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</row>
    <row r="585" spans="1:51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</row>
    <row r="586" spans="1:51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</row>
    <row r="587" spans="1:51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</row>
    <row r="588" spans="1:51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</row>
    <row r="589" spans="1:51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</row>
    <row r="590" spans="1:51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</row>
    <row r="591" spans="1:51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</row>
    <row r="592" spans="1:51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</row>
    <row r="593" spans="1:51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</row>
    <row r="594" spans="1:51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</row>
    <row r="595" spans="1:51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</row>
    <row r="596" spans="1:51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</row>
    <row r="597" spans="1:51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</row>
    <row r="598" spans="1:51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</row>
    <row r="599" spans="1:51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</row>
    <row r="600" spans="1:51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</row>
    <row r="601" spans="1:51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</row>
    <row r="602" spans="1:51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</row>
    <row r="603" spans="1:51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</row>
    <row r="604" spans="1:51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</row>
    <row r="605" spans="1:51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</row>
    <row r="606" spans="1:51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</row>
    <row r="607" spans="1:51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</row>
    <row r="608" spans="1:51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</row>
    <row r="609" spans="1:51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</row>
    <row r="610" spans="1:51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</row>
    <row r="611" spans="1:51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</row>
    <row r="612" spans="1:51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</row>
    <row r="613" spans="1:51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</row>
    <row r="614" spans="1:51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</row>
    <row r="615" spans="1:51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</row>
    <row r="616" spans="1:51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</row>
    <row r="617" spans="1:51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</row>
    <row r="618" spans="1:51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</row>
    <row r="619" spans="1:51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</row>
    <row r="620" spans="1:51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</row>
    <row r="621" spans="1:51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</row>
    <row r="622" spans="1:51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</row>
    <row r="623" spans="1:51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</row>
    <row r="624" spans="1:51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</row>
    <row r="625" spans="1:51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</row>
    <row r="626" spans="1:51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</row>
    <row r="627" spans="1:51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</row>
    <row r="628" spans="1:51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</row>
    <row r="629" spans="1:51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</row>
    <row r="630" spans="1:51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</row>
    <row r="631" spans="1:51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</row>
    <row r="632" spans="1:51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</row>
    <row r="633" spans="1:51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</row>
    <row r="634" spans="1:51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</row>
    <row r="635" spans="1:51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</row>
    <row r="636" spans="1:51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</row>
    <row r="637" spans="1:51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</row>
    <row r="638" spans="1:51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</row>
    <row r="639" spans="1:51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</row>
    <row r="640" spans="1:51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</row>
    <row r="641" spans="1:51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</row>
    <row r="642" spans="1:51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</row>
    <row r="643" spans="1:51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</row>
    <row r="644" spans="1:51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</row>
    <row r="645" spans="1:51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</row>
    <row r="646" spans="1:51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</row>
    <row r="647" spans="1:51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</row>
    <row r="648" spans="1:51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</row>
    <row r="649" spans="1:51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</row>
    <row r="650" spans="1:51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</row>
    <row r="651" spans="1:51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</row>
    <row r="652" spans="1:51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</row>
    <row r="653" spans="1:51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</row>
    <row r="654" spans="1:51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</row>
    <row r="655" spans="1:51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</row>
    <row r="656" spans="1:51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</row>
    <row r="657" spans="1:51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</row>
    <row r="658" spans="1:51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</row>
    <row r="659" spans="1:51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</row>
    <row r="660" spans="1:51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</row>
    <row r="661" spans="1:51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</row>
    <row r="662" spans="1:51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</row>
    <row r="663" spans="1:51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</row>
    <row r="664" spans="1:51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</row>
    <row r="665" spans="1:51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</row>
    <row r="666" spans="1:51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</row>
    <row r="667" spans="1:51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</row>
    <row r="668" spans="1:51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</row>
    <row r="669" spans="1:51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</row>
    <row r="670" spans="1:51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</row>
    <row r="671" spans="1:51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</row>
    <row r="672" spans="1:51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</row>
    <row r="673" spans="1:51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</row>
    <row r="674" spans="1:51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</row>
    <row r="675" spans="1:51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</row>
    <row r="676" spans="1:51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</row>
    <row r="677" spans="1:51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</row>
    <row r="678" spans="1:51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</row>
    <row r="679" spans="1:51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</row>
    <row r="680" spans="1:51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</row>
    <row r="681" spans="1:51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</row>
    <row r="682" spans="1:51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</row>
    <row r="683" spans="1:51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</row>
    <row r="684" spans="1:51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</row>
    <row r="685" spans="1:51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</row>
    <row r="686" spans="1:51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</row>
    <row r="687" spans="1:51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</row>
    <row r="688" spans="1:51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</row>
    <row r="689" spans="1:51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</row>
    <row r="690" spans="1:51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</row>
    <row r="691" spans="1:51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</row>
    <row r="692" spans="1:51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</row>
    <row r="693" spans="1:51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</row>
    <row r="694" spans="1:51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</row>
    <row r="695" spans="1:51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</row>
    <row r="696" spans="1:51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</row>
    <row r="697" spans="1:51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</row>
    <row r="698" spans="1:51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</row>
    <row r="699" spans="1:51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</row>
    <row r="700" spans="1:51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</row>
    <row r="701" spans="1:51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</row>
    <row r="702" spans="1:51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</row>
    <row r="703" spans="1:51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</row>
    <row r="704" spans="1:51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</row>
    <row r="705" spans="1:51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</row>
    <row r="706" spans="1:51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</row>
    <row r="707" spans="1:51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</row>
    <row r="708" spans="1:51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</row>
    <row r="709" spans="1:51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</row>
    <row r="710" spans="1:51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</row>
    <row r="711" spans="1:51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</row>
    <row r="712" spans="1:51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</row>
    <row r="713" spans="1:51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</row>
    <row r="714" spans="1:51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</row>
    <row r="715" spans="1:51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</row>
    <row r="716" spans="1:51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</row>
    <row r="717" spans="1:51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</row>
    <row r="718" spans="1:51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</row>
    <row r="719" spans="1:51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</row>
    <row r="720" spans="1:51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</row>
    <row r="721" spans="1:51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</row>
    <row r="722" spans="1:51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</row>
    <row r="723" spans="1:51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</row>
    <row r="724" spans="1:51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</row>
    <row r="725" spans="1:51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</row>
    <row r="726" spans="1:51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</row>
    <row r="727" spans="1:51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</row>
    <row r="728" spans="1:51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</row>
    <row r="729" spans="1:51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</row>
    <row r="730" spans="1:51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</row>
    <row r="731" spans="1:51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</row>
    <row r="732" spans="1:51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</row>
    <row r="733" spans="1:51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</row>
    <row r="734" spans="1:51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</row>
    <row r="735" spans="1:51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</row>
    <row r="736" spans="1:51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</row>
    <row r="737" spans="1:51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</row>
    <row r="738" spans="1:51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</row>
    <row r="739" spans="1:51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</row>
    <row r="740" spans="1:51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</row>
    <row r="741" spans="1:51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</row>
    <row r="742" spans="1:51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</row>
    <row r="743" spans="1:51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</row>
    <row r="744" spans="1:51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</row>
    <row r="745" spans="1:51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</row>
    <row r="746" spans="1:51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</row>
    <row r="747" spans="1:51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</row>
    <row r="748" spans="1:51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</row>
    <row r="749" spans="1:51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</row>
    <row r="750" spans="1:51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</row>
    <row r="751" spans="1:51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</row>
    <row r="752" spans="1:51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</row>
    <row r="753" spans="1:51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</row>
    <row r="754" spans="1:51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</row>
    <row r="755" spans="1:51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</row>
    <row r="756" spans="1:51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</row>
    <row r="757" spans="1:51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</row>
    <row r="758" spans="1:51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</row>
    <row r="759" spans="1:51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</row>
    <row r="760" spans="1:51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</row>
    <row r="761" spans="1:51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</row>
    <row r="762" spans="1:51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</row>
    <row r="763" spans="1:51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</row>
    <row r="764" spans="1:51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</row>
    <row r="765" spans="1:51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</row>
    <row r="766" spans="1:51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</row>
    <row r="767" spans="1:51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</row>
    <row r="768" spans="1:51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</row>
    <row r="769" spans="1:51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</row>
    <row r="770" spans="1:51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</row>
    <row r="771" spans="1:51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</row>
    <row r="772" spans="1:51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</row>
    <row r="773" spans="1:51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</row>
    <row r="774" spans="1:51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</row>
    <row r="775" spans="1:51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</row>
    <row r="776" spans="1:51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</row>
    <row r="777" spans="1:51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</row>
    <row r="778" spans="1:51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</row>
    <row r="779" spans="1:51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</row>
    <row r="780" spans="1:51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</row>
    <row r="781" spans="1:51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</row>
    <row r="782" spans="1:51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</row>
    <row r="783" spans="1:51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</row>
    <row r="784" spans="1:51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</row>
    <row r="785" spans="1:51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</row>
    <row r="786" spans="1:51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</row>
    <row r="787" spans="1:51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</row>
    <row r="788" spans="1:51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</row>
    <row r="789" spans="1:51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</row>
    <row r="790" spans="1:51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</row>
    <row r="791" spans="1:51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</row>
    <row r="792" spans="1:51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</row>
    <row r="793" spans="1:51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</row>
    <row r="794" spans="1:51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</row>
    <row r="795" spans="1:51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</row>
    <row r="796" spans="1:51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</row>
    <row r="797" spans="1:51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</row>
    <row r="798" spans="1:51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</row>
    <row r="799" spans="1:51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</row>
    <row r="800" spans="1:51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</row>
    <row r="801" spans="1:51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</row>
    <row r="802" spans="1:51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</row>
    <row r="803" spans="1:51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</row>
    <row r="804" spans="1:51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</row>
    <row r="805" spans="1:51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</row>
    <row r="806" spans="1:51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</row>
    <row r="807" spans="1:51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</row>
    <row r="808" spans="1:51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</row>
    <row r="809" spans="1:51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</row>
    <row r="810" spans="1:51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</row>
    <row r="811" spans="1:51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</row>
    <row r="812" spans="1:51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</row>
    <row r="813" spans="1:51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</row>
    <row r="814" spans="1:51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</row>
    <row r="815" spans="1:51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</row>
    <row r="816" spans="1:51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</row>
    <row r="817" spans="1:51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</row>
    <row r="818" spans="1:51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</row>
    <row r="819" spans="1:51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</row>
    <row r="820" spans="1:51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</row>
    <row r="821" spans="1:51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</row>
    <row r="822" spans="1:51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</row>
    <row r="823" spans="1:51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</row>
    <row r="824" spans="1:51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</row>
    <row r="825" spans="1:51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</row>
    <row r="826" spans="1:51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</row>
    <row r="827" spans="1:51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</row>
    <row r="828" spans="1:51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</row>
    <row r="829" spans="1:51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</row>
    <row r="830" spans="1:51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</row>
    <row r="831" spans="1:51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</row>
    <row r="832" spans="1:51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</row>
    <row r="833" spans="1:51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</row>
    <row r="834" spans="1:51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</row>
    <row r="835" spans="1:51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</row>
    <row r="836" spans="1:51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</row>
    <row r="837" spans="1:51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</row>
    <row r="838" spans="1:51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</row>
    <row r="839" spans="1:51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</row>
    <row r="840" spans="1:51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</row>
    <row r="841" spans="1:51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</row>
    <row r="842" spans="1:51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</row>
    <row r="843" spans="1:51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</row>
    <row r="844" spans="1:51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</row>
    <row r="845" spans="1:51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</row>
    <row r="846" spans="1:51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</row>
    <row r="847" spans="1:51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</row>
    <row r="848" spans="1:51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</row>
    <row r="849" spans="1:51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</row>
    <row r="850" spans="1:51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</row>
    <row r="851" spans="1:51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</row>
    <row r="852" spans="1:51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</row>
    <row r="853" spans="1:51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</row>
    <row r="854" spans="1:51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</row>
    <row r="855" spans="1:51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</row>
    <row r="856" spans="1:51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</row>
    <row r="857" spans="1:51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</row>
    <row r="858" spans="1:51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</row>
    <row r="859" spans="1:51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</row>
    <row r="860" spans="1:51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</row>
    <row r="861" spans="1:51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</row>
    <row r="862" spans="1:51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</row>
    <row r="863" spans="1:51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</row>
    <row r="864" spans="1:51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</row>
    <row r="865" spans="1:51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</row>
    <row r="866" spans="1:51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</row>
    <row r="867" spans="1:51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</row>
    <row r="868" spans="1:51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</row>
    <row r="869" spans="1:51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</row>
    <row r="870" spans="1:51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</row>
    <row r="871" spans="1:51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</row>
    <row r="872" spans="1:51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</row>
    <row r="873" spans="1:51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</row>
    <row r="874" spans="1:51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</row>
    <row r="875" spans="1:51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</row>
    <row r="876" spans="1:51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</row>
    <row r="877" spans="1:51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</row>
    <row r="878" spans="1:51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</row>
    <row r="879" spans="1:51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</row>
    <row r="880" spans="1:51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</row>
    <row r="881" spans="1:51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</row>
    <row r="882" spans="1:51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</row>
    <row r="883" spans="1:51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</row>
    <row r="884" spans="1:51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</row>
    <row r="885" spans="1:51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</row>
    <row r="886" spans="1:51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</row>
    <row r="887" spans="1:51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</row>
    <row r="888" spans="1:51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</row>
    <row r="889" spans="1:51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</row>
    <row r="890" spans="1:51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</row>
    <row r="891" spans="1:51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</row>
    <row r="892" spans="1:51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</row>
    <row r="893" spans="1:51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</row>
    <row r="894" spans="1:51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</row>
    <row r="895" spans="1:51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</row>
    <row r="896" spans="1:51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</row>
    <row r="897" spans="1:51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</row>
    <row r="898" spans="1:51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</row>
    <row r="899" spans="1:51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</row>
    <row r="900" spans="1:51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</row>
    <row r="901" spans="1:51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</row>
    <row r="902" spans="1:51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</row>
    <row r="903" spans="1:51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</row>
    <row r="904" spans="1:51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</row>
    <row r="905" spans="1:51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</row>
    <row r="906" spans="1:51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</row>
    <row r="907" spans="1:51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</row>
    <row r="908" spans="1:51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</row>
    <row r="909" spans="1:51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</row>
    <row r="910" spans="1:51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</row>
    <row r="911" spans="1:51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</row>
    <row r="912" spans="1:51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</row>
    <row r="913" spans="1:51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</row>
    <row r="914" spans="1:51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</row>
    <row r="915" spans="1:51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</row>
    <row r="916" spans="1:51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</row>
    <row r="917" spans="1:51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</row>
    <row r="918" spans="1:51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</row>
    <row r="919" spans="1:51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</row>
    <row r="920" spans="1:51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</row>
    <row r="921" spans="1:51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</row>
    <row r="922" spans="1:51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</row>
    <row r="923" spans="1:51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</row>
    <row r="924" spans="1:51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</row>
    <row r="925" spans="1:51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</row>
    <row r="926" spans="1:51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</row>
    <row r="927" spans="1:51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</row>
    <row r="928" spans="1:51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</row>
    <row r="929" spans="1:51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</row>
    <row r="930" spans="1:51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</row>
    <row r="931" spans="1:51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</row>
    <row r="932" spans="1:51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</row>
    <row r="933" spans="1:51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</row>
    <row r="934" spans="1:51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</row>
    <row r="935" spans="1:51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</row>
    <row r="936" spans="1:51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</row>
    <row r="937" spans="1:51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</row>
    <row r="938" spans="1:51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</row>
    <row r="939" spans="1:51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</row>
    <row r="940" spans="1:51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</row>
    <row r="941" spans="1:51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</row>
    <row r="942" spans="1:51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</row>
    <row r="943" spans="1:51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</row>
    <row r="944" spans="1:51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</row>
    <row r="945" spans="1:51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</row>
    <row r="946" spans="1:51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</row>
    <row r="947" spans="1:51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</row>
    <row r="948" spans="1:51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</row>
    <row r="949" spans="1:51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</row>
    <row r="950" spans="1:51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</row>
    <row r="951" spans="1:51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</row>
    <row r="952" spans="1:51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</row>
    <row r="953" spans="1:51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</row>
    <row r="954" spans="1:51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</row>
    <row r="955" spans="1:51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</row>
    <row r="956" spans="1:51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</row>
    <row r="957" spans="1:51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</row>
    <row r="958" spans="1:51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</row>
    <row r="959" spans="1:51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</row>
    <row r="960" spans="1:51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</row>
    <row r="961" spans="1:51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</row>
    <row r="962" spans="1:51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</row>
    <row r="963" spans="1:51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</row>
  </sheetData>
  <mergeCells count="42"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C1:V1"/>
    <mergeCell ref="W1:AL1"/>
    <mergeCell ref="A5:AL5"/>
    <mergeCell ref="A10:A11"/>
    <mergeCell ref="B10:B11"/>
    <mergeCell ref="C10:C11"/>
    <mergeCell ref="D10:D11"/>
    <mergeCell ref="AH10:AH11"/>
    <mergeCell ref="AI10:AI11"/>
    <mergeCell ref="AJ10:AJ11"/>
    <mergeCell ref="AK10:AK11"/>
    <mergeCell ref="AL10:AL11"/>
    <mergeCell ref="O10:O11"/>
    <mergeCell ref="P10:P11"/>
    <mergeCell ref="Q10:Q11"/>
    <mergeCell ref="R10:R11"/>
    <mergeCell ref="A25:AL25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</mergeCells>
  <conditionalFormatting sqref="B7:AY8">
    <cfRule type="cellIs" dxfId="4" priority="1" operator="lessThan">
      <formula>0</formula>
    </cfRule>
  </conditionalFormatting>
  <conditionalFormatting sqref="B30:AY35">
    <cfRule type="cellIs" dxfId="3" priority="2" operator="lessThan">
      <formula>0</formula>
    </cfRule>
  </conditionalFormatting>
  <conditionalFormatting sqref="G16">
    <cfRule type="cellIs" dxfId="2" priority="3" operator="lessThan">
      <formula>0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23"/>
  <sheetViews>
    <sheetView workbookViewId="0">
      <selection activeCell="F4" sqref="F4"/>
    </sheetView>
  </sheetViews>
  <sheetFormatPr baseColWidth="10" defaultColWidth="12.5703125" defaultRowHeight="15" customHeight="1" x14ac:dyDescent="0.2"/>
  <cols>
    <col min="1" max="1" width="27.7109375" customWidth="1"/>
    <col min="2" max="2" width="13" customWidth="1"/>
    <col min="3" max="3" width="13.28515625" customWidth="1"/>
    <col min="4" max="4" width="20.5703125" customWidth="1"/>
    <col min="5" max="5" width="39.7109375" customWidth="1"/>
    <col min="6" max="6" width="15.85546875" customWidth="1"/>
    <col min="7" max="7" width="14.7109375" customWidth="1"/>
    <col min="8" max="8" width="20.5703125" customWidth="1"/>
    <col min="9" max="9" width="21.28515625" customWidth="1"/>
    <col min="10" max="10" width="19.85546875" customWidth="1"/>
    <col min="11" max="11" width="18.42578125" customWidth="1"/>
    <col min="12" max="12" width="28.28515625" customWidth="1"/>
    <col min="13" max="26" width="12.7109375" customWidth="1"/>
  </cols>
  <sheetData>
    <row r="1" spans="1:26" ht="15.75" customHeight="1" x14ac:dyDescent="0.2">
      <c r="A1" s="87" t="s">
        <v>61</v>
      </c>
      <c r="B1" s="88" t="s">
        <v>5</v>
      </c>
      <c r="C1" s="89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90" t="s">
        <v>62</v>
      </c>
      <c r="B2" s="91">
        <f>'Costos HH - Sueldos'!B4</f>
        <v>900</v>
      </c>
      <c r="C2" s="92">
        <f>+B2/B4</f>
        <v>2.2499999999999999E-2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90" t="s">
        <v>63</v>
      </c>
      <c r="B3" s="91">
        <f>'Costos HH - Sueldos'!B5</f>
        <v>1000</v>
      </c>
      <c r="C3" s="92">
        <f>+B3/B4</f>
        <v>2.5000000000000001E-2</v>
      </c>
      <c r="D3" s="3"/>
      <c r="E3" s="87"/>
      <c r="F3" s="87" t="s">
        <v>4</v>
      </c>
      <c r="G3" s="87" t="s">
        <v>6</v>
      </c>
      <c r="H3" s="87" t="s">
        <v>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90" t="s">
        <v>4</v>
      </c>
      <c r="B4" s="91">
        <f>'Costos HH - Sueldos'!B6</f>
        <v>40000</v>
      </c>
      <c r="C4" s="93">
        <f>+B4/B2</f>
        <v>44.444444444444443</v>
      </c>
      <c r="D4" s="3"/>
      <c r="E4" s="94" t="s">
        <v>64</v>
      </c>
      <c r="F4" s="95">
        <f>RESUMEN!B8*PARÁMETROS!B20</f>
        <v>0</v>
      </c>
      <c r="G4" s="95">
        <f>H4/('Costos HH - Sueldos'!B4)</f>
        <v>0</v>
      </c>
      <c r="H4" s="96">
        <f>F4*('Costos HH - Sueldos'!B6)</f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90" t="s">
        <v>40</v>
      </c>
      <c r="B5" s="97">
        <v>160</v>
      </c>
      <c r="C5" s="98" t="s">
        <v>41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86"/>
      <c r="B6" s="86"/>
      <c r="C6" s="8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9" t="s">
        <v>65</v>
      </c>
      <c r="B7" s="100"/>
      <c r="C7" s="86"/>
      <c r="D7" s="3"/>
      <c r="E7" s="101" t="s">
        <v>66</v>
      </c>
      <c r="F7" s="101" t="s">
        <v>54</v>
      </c>
      <c r="G7" s="101" t="s">
        <v>67</v>
      </c>
      <c r="H7" s="101" t="s">
        <v>68</v>
      </c>
      <c r="I7" s="101" t="s">
        <v>69</v>
      </c>
      <c r="J7" s="3"/>
      <c r="K7" s="102" t="s">
        <v>70</v>
      </c>
      <c r="L7" s="102" t="s">
        <v>71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03" t="s">
        <v>49</v>
      </c>
      <c r="B8" s="104">
        <f>PARÁMETROS!B19</f>
        <v>0.2</v>
      </c>
      <c r="C8" s="86"/>
      <c r="D8" s="3"/>
      <c r="E8" s="105" t="s">
        <v>72</v>
      </c>
      <c r="F8" s="106">
        <v>46108</v>
      </c>
      <c r="G8" s="107">
        <f>'FLUJO DE CAJA NETO'!E16</f>
        <v>0</v>
      </c>
      <c r="H8" s="107">
        <f t="shared" ref="H8:H14" si="0">G8*0.19</f>
        <v>0</v>
      </c>
      <c r="I8" s="107">
        <f t="shared" ref="I8:I14" si="1">G8+H8</f>
        <v>0</v>
      </c>
      <c r="J8" s="3"/>
      <c r="K8" s="108">
        <f t="shared" ref="K8:K15" si="2">$G8*$B$4</f>
        <v>0</v>
      </c>
      <c r="L8" s="109">
        <f t="shared" ref="L8:L15" si="3">$G8*$C$4</f>
        <v>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103" t="s">
        <v>50</v>
      </c>
      <c r="B9" s="104">
        <f>PARÁMETROS!B20</f>
        <v>0.8</v>
      </c>
      <c r="C9" s="3"/>
      <c r="D9" s="3"/>
      <c r="E9" s="105" t="s">
        <v>73</v>
      </c>
      <c r="F9" s="106">
        <v>46265</v>
      </c>
      <c r="G9" s="107">
        <f>'FLUJO DE CAJA NETO'!J17</f>
        <v>0</v>
      </c>
      <c r="H9" s="107">
        <f t="shared" si="0"/>
        <v>0</v>
      </c>
      <c r="I9" s="107">
        <f t="shared" si="1"/>
        <v>0</v>
      </c>
      <c r="J9" s="3"/>
      <c r="K9" s="108">
        <f t="shared" si="2"/>
        <v>0</v>
      </c>
      <c r="L9" s="109">
        <f t="shared" si="3"/>
        <v>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103" t="s">
        <v>43</v>
      </c>
      <c r="B10" s="104">
        <f>PARÁMETROS!B13</f>
        <v>8.9999999999999993E-3</v>
      </c>
      <c r="C10" s="3"/>
      <c r="D10" s="3"/>
      <c r="E10" s="105" t="s">
        <v>74</v>
      </c>
      <c r="F10" s="106">
        <v>46297</v>
      </c>
      <c r="G10" s="107">
        <f>'FLUJO DE CAJA NETO'!L18</f>
        <v>0</v>
      </c>
      <c r="H10" s="107">
        <f t="shared" si="0"/>
        <v>0</v>
      </c>
      <c r="I10" s="107">
        <f t="shared" si="1"/>
        <v>0</v>
      </c>
      <c r="J10" s="3"/>
      <c r="K10" s="108">
        <f t="shared" si="2"/>
        <v>0</v>
      </c>
      <c r="L10" s="109">
        <f t="shared" si="3"/>
        <v>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103" t="s">
        <v>45</v>
      </c>
      <c r="B11" s="110">
        <f>PARÁMETROS!B15</f>
        <v>0.03</v>
      </c>
      <c r="C11" s="3"/>
      <c r="D11" s="3"/>
      <c r="E11" s="105" t="s">
        <v>75</v>
      </c>
      <c r="F11" s="106">
        <v>46374</v>
      </c>
      <c r="G11" s="107">
        <f>'FLUJO DE CAJA NETO'!N19</f>
        <v>0</v>
      </c>
      <c r="H11" s="107">
        <f t="shared" si="0"/>
        <v>0</v>
      </c>
      <c r="I11" s="107">
        <f t="shared" si="1"/>
        <v>0</v>
      </c>
      <c r="J11" s="3"/>
      <c r="K11" s="108">
        <f t="shared" si="2"/>
        <v>0</v>
      </c>
      <c r="L11" s="109">
        <f t="shared" si="3"/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03" t="s">
        <v>46</v>
      </c>
      <c r="B12" s="111">
        <f>PARÁMETROS!$B$16</f>
        <v>0.27</v>
      </c>
      <c r="C12" s="3"/>
      <c r="D12" s="3"/>
      <c r="E12" s="105" t="s">
        <v>76</v>
      </c>
      <c r="F12" s="106">
        <v>46489</v>
      </c>
      <c r="G12" s="107">
        <f>'FLUJO DE CAJA NETO'!R20</f>
        <v>0</v>
      </c>
      <c r="H12" s="107">
        <f t="shared" si="0"/>
        <v>0</v>
      </c>
      <c r="I12" s="107">
        <f t="shared" si="1"/>
        <v>0</v>
      </c>
      <c r="J12" s="3"/>
      <c r="K12" s="108">
        <f t="shared" si="2"/>
        <v>0</v>
      </c>
      <c r="L12" s="109">
        <f t="shared" si="3"/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103" t="s">
        <v>77</v>
      </c>
      <c r="B13" s="98">
        <v>24</v>
      </c>
      <c r="C13" s="3"/>
      <c r="D13" s="3"/>
      <c r="E13" s="105" t="s">
        <v>78</v>
      </c>
      <c r="F13" s="106">
        <v>46612</v>
      </c>
      <c r="G13" s="107">
        <f>'FLUJO DE CAJA NETO'!V21</f>
        <v>0</v>
      </c>
      <c r="H13" s="107">
        <f t="shared" si="0"/>
        <v>0</v>
      </c>
      <c r="I13" s="107">
        <f t="shared" si="1"/>
        <v>0</v>
      </c>
      <c r="J13" s="3"/>
      <c r="K13" s="108">
        <f t="shared" si="2"/>
        <v>0</v>
      </c>
      <c r="L13" s="109">
        <f t="shared" si="3"/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112" t="s">
        <v>79</v>
      </c>
      <c r="B14" s="113">
        <f t="array" ref="B14">F4+NPV(PARÁMETROS!B15,L20:L31)</f>
        <v>0</v>
      </c>
      <c r="C14" s="3"/>
      <c r="D14" s="3"/>
      <c r="E14" s="105" t="s">
        <v>80</v>
      </c>
      <c r="F14" s="114" t="s">
        <v>81</v>
      </c>
      <c r="G14" s="107">
        <f>'FLUJO DE CAJA NETO'!W22</f>
        <v>0</v>
      </c>
      <c r="H14" s="107">
        <f t="shared" si="0"/>
        <v>0</v>
      </c>
      <c r="I14" s="107">
        <f t="shared" si="1"/>
        <v>0</v>
      </c>
      <c r="J14" s="3"/>
      <c r="K14" s="108">
        <f t="shared" si="2"/>
        <v>0</v>
      </c>
      <c r="L14" s="109">
        <f t="shared" si="3"/>
        <v>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3"/>
      <c r="B15" s="3"/>
      <c r="C15" s="86"/>
      <c r="D15" s="3"/>
      <c r="E15" s="105" t="s">
        <v>82</v>
      </c>
      <c r="F15" s="95"/>
      <c r="G15" s="107">
        <f>'FLUJO DE CAJA NETO'!B23</f>
        <v>0</v>
      </c>
      <c r="H15" s="115"/>
      <c r="I15" s="115"/>
      <c r="J15" s="3"/>
      <c r="K15" s="108">
        <f t="shared" si="2"/>
        <v>0</v>
      </c>
      <c r="L15" s="109">
        <f t="shared" si="3"/>
        <v>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8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446" t="s">
        <v>83</v>
      </c>
      <c r="B18" s="421"/>
      <c r="C18" s="421"/>
      <c r="D18" s="421"/>
      <c r="E18" s="422"/>
      <c r="F18" s="3"/>
      <c r="G18" s="446" t="s">
        <v>84</v>
      </c>
      <c r="H18" s="421"/>
      <c r="I18" s="421"/>
      <c r="J18" s="421"/>
      <c r="K18" s="421"/>
      <c r="L18" s="42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117" t="s">
        <v>53</v>
      </c>
      <c r="B19" s="118" t="s">
        <v>85</v>
      </c>
      <c r="C19" s="118" t="s">
        <v>86</v>
      </c>
      <c r="D19" s="118" t="s">
        <v>87</v>
      </c>
      <c r="E19" s="118" t="s">
        <v>88</v>
      </c>
      <c r="F19" s="3"/>
      <c r="G19" s="117" t="s">
        <v>53</v>
      </c>
      <c r="H19" s="118" t="s">
        <v>87</v>
      </c>
      <c r="I19" s="118" t="s">
        <v>89</v>
      </c>
      <c r="J19" s="118" t="s">
        <v>90</v>
      </c>
      <c r="K19" s="118" t="s">
        <v>88</v>
      </c>
      <c r="L19" s="118" t="s">
        <v>91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112">
        <v>1</v>
      </c>
      <c r="B20" s="119">
        <f>F4</f>
        <v>0</v>
      </c>
      <c r="C20" s="119">
        <f>-PMT((PARÁMETROS!$B$13),$B$13,$B$20)</f>
        <v>0</v>
      </c>
      <c r="D20" s="119">
        <f>(PARÁMETROS!$B$13)*B20</f>
        <v>0</v>
      </c>
      <c r="E20" s="119">
        <f t="shared" ref="E20:E43" si="4">C20-D20</f>
        <v>0</v>
      </c>
      <c r="F20" s="3"/>
      <c r="G20" s="112">
        <v>1</v>
      </c>
      <c r="H20" s="120">
        <f t="shared" ref="H20:H43" si="5">-D20</f>
        <v>0</v>
      </c>
      <c r="I20" s="120">
        <f>-(PARÁMETROS!$B$16)*H20</f>
        <v>0</v>
      </c>
      <c r="J20" s="120">
        <f t="shared" ref="J20:J43" si="6">H20+I20</f>
        <v>0</v>
      </c>
      <c r="K20" s="121">
        <f t="shared" ref="K20:K43" si="7">-E20</f>
        <v>0</v>
      </c>
      <c r="L20" s="121">
        <f t="shared" ref="L20:L43" si="8">K20+J20</f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112">
        <v>2</v>
      </c>
      <c r="B21" s="119">
        <f t="shared" ref="B21:B43" si="9">B20-E20</f>
        <v>0</v>
      </c>
      <c r="C21" s="119">
        <f>-PMT((PARÁMETROS!$B$13),$B$13,$B$20)</f>
        <v>0</v>
      </c>
      <c r="D21" s="119">
        <f>(PARÁMETROS!$B$13)*B21</f>
        <v>0</v>
      </c>
      <c r="E21" s="119">
        <f t="shared" si="4"/>
        <v>0</v>
      </c>
      <c r="F21" s="3"/>
      <c r="G21" s="112">
        <v>2</v>
      </c>
      <c r="H21" s="120">
        <f t="shared" si="5"/>
        <v>0</v>
      </c>
      <c r="I21" s="120">
        <f>-(PARÁMETROS!$B$16)*H21</f>
        <v>0</v>
      </c>
      <c r="J21" s="120">
        <f t="shared" si="6"/>
        <v>0</v>
      </c>
      <c r="K21" s="121">
        <f t="shared" si="7"/>
        <v>0</v>
      </c>
      <c r="L21" s="121">
        <f t="shared" si="8"/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112">
        <v>3</v>
      </c>
      <c r="B22" s="119">
        <f t="shared" si="9"/>
        <v>0</v>
      </c>
      <c r="C22" s="119">
        <f>-PMT((PARÁMETROS!$B$13),$B$13,$B$20)</f>
        <v>0</v>
      </c>
      <c r="D22" s="119">
        <f>(PARÁMETROS!$B$13)*B22</f>
        <v>0</v>
      </c>
      <c r="E22" s="119">
        <f t="shared" si="4"/>
        <v>0</v>
      </c>
      <c r="F22" s="3"/>
      <c r="G22" s="112">
        <v>3</v>
      </c>
      <c r="H22" s="120">
        <f t="shared" si="5"/>
        <v>0</v>
      </c>
      <c r="I22" s="120">
        <f>-(PARÁMETROS!$B$16)*H22</f>
        <v>0</v>
      </c>
      <c r="J22" s="120">
        <f t="shared" si="6"/>
        <v>0</v>
      </c>
      <c r="K22" s="121">
        <f t="shared" si="7"/>
        <v>0</v>
      </c>
      <c r="L22" s="121">
        <f t="shared" si="8"/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112">
        <v>4</v>
      </c>
      <c r="B23" s="119">
        <f t="shared" si="9"/>
        <v>0</v>
      </c>
      <c r="C23" s="119">
        <f>-PMT((PARÁMETROS!$B$13),$B$13,$B$20)</f>
        <v>0</v>
      </c>
      <c r="D23" s="119">
        <f>(PARÁMETROS!$B$13)*B23</f>
        <v>0</v>
      </c>
      <c r="E23" s="119">
        <f t="shared" si="4"/>
        <v>0</v>
      </c>
      <c r="F23" s="3"/>
      <c r="G23" s="112">
        <v>4</v>
      </c>
      <c r="H23" s="120">
        <f t="shared" si="5"/>
        <v>0</v>
      </c>
      <c r="I23" s="120">
        <f>-(PARÁMETROS!$B$16)*H23</f>
        <v>0</v>
      </c>
      <c r="J23" s="120">
        <f t="shared" si="6"/>
        <v>0</v>
      </c>
      <c r="K23" s="121">
        <f t="shared" si="7"/>
        <v>0</v>
      </c>
      <c r="L23" s="121">
        <f t="shared" si="8"/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112">
        <v>5</v>
      </c>
      <c r="B24" s="119">
        <f t="shared" si="9"/>
        <v>0</v>
      </c>
      <c r="C24" s="119">
        <f>-PMT((PARÁMETROS!$B$13),$B$13,$B$20)</f>
        <v>0</v>
      </c>
      <c r="D24" s="119">
        <f>(PARÁMETROS!$B$13)*B24</f>
        <v>0</v>
      </c>
      <c r="E24" s="119">
        <f t="shared" si="4"/>
        <v>0</v>
      </c>
      <c r="F24" s="3"/>
      <c r="G24" s="112">
        <v>5</v>
      </c>
      <c r="H24" s="120">
        <f t="shared" si="5"/>
        <v>0</v>
      </c>
      <c r="I24" s="120">
        <f>-(PARÁMETROS!$B$16)*H24</f>
        <v>0</v>
      </c>
      <c r="J24" s="120">
        <f t="shared" si="6"/>
        <v>0</v>
      </c>
      <c r="K24" s="121">
        <f t="shared" si="7"/>
        <v>0</v>
      </c>
      <c r="L24" s="121">
        <f t="shared" si="8"/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112">
        <v>6</v>
      </c>
      <c r="B25" s="119">
        <f t="shared" si="9"/>
        <v>0</v>
      </c>
      <c r="C25" s="119">
        <f>-PMT((PARÁMETROS!$B$13),$B$13,$B$20)</f>
        <v>0</v>
      </c>
      <c r="D25" s="119">
        <f>(PARÁMETROS!$B$13)*B25</f>
        <v>0</v>
      </c>
      <c r="E25" s="119">
        <f t="shared" si="4"/>
        <v>0</v>
      </c>
      <c r="F25" s="3"/>
      <c r="G25" s="112">
        <v>6</v>
      </c>
      <c r="H25" s="120">
        <f t="shared" si="5"/>
        <v>0</v>
      </c>
      <c r="I25" s="120">
        <f>-(PARÁMETROS!$B$16)*H25</f>
        <v>0</v>
      </c>
      <c r="J25" s="120">
        <f t="shared" si="6"/>
        <v>0</v>
      </c>
      <c r="K25" s="121">
        <f t="shared" si="7"/>
        <v>0</v>
      </c>
      <c r="L25" s="121">
        <f t="shared" si="8"/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112">
        <v>7</v>
      </c>
      <c r="B26" s="119">
        <f t="shared" si="9"/>
        <v>0</v>
      </c>
      <c r="C26" s="119">
        <f>-PMT((PARÁMETROS!$B$13),$B$13,$B$20)</f>
        <v>0</v>
      </c>
      <c r="D26" s="119">
        <f>(PARÁMETROS!$B$13)*B26</f>
        <v>0</v>
      </c>
      <c r="E26" s="119">
        <f t="shared" si="4"/>
        <v>0</v>
      </c>
      <c r="F26" s="3"/>
      <c r="G26" s="112">
        <v>7</v>
      </c>
      <c r="H26" s="120">
        <f t="shared" si="5"/>
        <v>0</v>
      </c>
      <c r="I26" s="120">
        <f>-(PARÁMETROS!$B$16)*H26</f>
        <v>0</v>
      </c>
      <c r="J26" s="120">
        <f t="shared" si="6"/>
        <v>0</v>
      </c>
      <c r="K26" s="121">
        <f t="shared" si="7"/>
        <v>0</v>
      </c>
      <c r="L26" s="121">
        <f t="shared" si="8"/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112">
        <v>8</v>
      </c>
      <c r="B27" s="119">
        <f t="shared" si="9"/>
        <v>0</v>
      </c>
      <c r="C27" s="119">
        <f>-PMT((PARÁMETROS!$B$13),$B$13,$B$20)</f>
        <v>0</v>
      </c>
      <c r="D27" s="119">
        <f>(PARÁMETROS!$B$13)*B27</f>
        <v>0</v>
      </c>
      <c r="E27" s="119">
        <f t="shared" si="4"/>
        <v>0</v>
      </c>
      <c r="F27" s="3"/>
      <c r="G27" s="112">
        <v>8</v>
      </c>
      <c r="H27" s="120">
        <f t="shared" si="5"/>
        <v>0</v>
      </c>
      <c r="I27" s="120">
        <f>-(PARÁMETROS!$B$16)*H27</f>
        <v>0</v>
      </c>
      <c r="J27" s="120">
        <f t="shared" si="6"/>
        <v>0</v>
      </c>
      <c r="K27" s="121">
        <f t="shared" si="7"/>
        <v>0</v>
      </c>
      <c r="L27" s="121">
        <f t="shared" si="8"/>
        <v>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112">
        <v>9</v>
      </c>
      <c r="B28" s="119">
        <f t="shared" si="9"/>
        <v>0</v>
      </c>
      <c r="C28" s="119">
        <f>-PMT((PARÁMETROS!$B$13),$B$13,$B$20)</f>
        <v>0</v>
      </c>
      <c r="D28" s="119">
        <f>(PARÁMETROS!$B$13)*B28</f>
        <v>0</v>
      </c>
      <c r="E28" s="119">
        <f t="shared" si="4"/>
        <v>0</v>
      </c>
      <c r="F28" s="3"/>
      <c r="G28" s="112">
        <v>9</v>
      </c>
      <c r="H28" s="120">
        <f t="shared" si="5"/>
        <v>0</v>
      </c>
      <c r="I28" s="120">
        <f>-(PARÁMETROS!$B$16)*H28</f>
        <v>0</v>
      </c>
      <c r="J28" s="120">
        <f t="shared" si="6"/>
        <v>0</v>
      </c>
      <c r="K28" s="121">
        <f t="shared" si="7"/>
        <v>0</v>
      </c>
      <c r="L28" s="121">
        <f t="shared" si="8"/>
        <v>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112">
        <v>10</v>
      </c>
      <c r="B29" s="119">
        <f t="shared" si="9"/>
        <v>0</v>
      </c>
      <c r="C29" s="119">
        <f>-PMT((PARÁMETROS!$B$13),$B$13,$B$20)</f>
        <v>0</v>
      </c>
      <c r="D29" s="119">
        <f>(PARÁMETROS!$B$13)*B29</f>
        <v>0</v>
      </c>
      <c r="E29" s="119">
        <f t="shared" si="4"/>
        <v>0</v>
      </c>
      <c r="F29" s="3"/>
      <c r="G29" s="112">
        <v>10</v>
      </c>
      <c r="H29" s="120">
        <f t="shared" si="5"/>
        <v>0</v>
      </c>
      <c r="I29" s="120">
        <f>-(PARÁMETROS!$B$16)*H29</f>
        <v>0</v>
      </c>
      <c r="J29" s="120">
        <f t="shared" si="6"/>
        <v>0</v>
      </c>
      <c r="K29" s="121">
        <f t="shared" si="7"/>
        <v>0</v>
      </c>
      <c r="L29" s="121">
        <f t="shared" si="8"/>
        <v>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112">
        <v>11</v>
      </c>
      <c r="B30" s="119">
        <f t="shared" si="9"/>
        <v>0</v>
      </c>
      <c r="C30" s="119">
        <f>-PMT((PARÁMETROS!$B$13),$B$13,$B$20)</f>
        <v>0</v>
      </c>
      <c r="D30" s="119">
        <f>(PARÁMETROS!$B$13)*B30</f>
        <v>0</v>
      </c>
      <c r="E30" s="119">
        <f t="shared" si="4"/>
        <v>0</v>
      </c>
      <c r="F30" s="3"/>
      <c r="G30" s="112">
        <v>11</v>
      </c>
      <c r="H30" s="120">
        <f t="shared" si="5"/>
        <v>0</v>
      </c>
      <c r="I30" s="120">
        <f>-(PARÁMETROS!$B$16)*H30</f>
        <v>0</v>
      </c>
      <c r="J30" s="120">
        <f t="shared" si="6"/>
        <v>0</v>
      </c>
      <c r="K30" s="121">
        <f t="shared" si="7"/>
        <v>0</v>
      </c>
      <c r="L30" s="121">
        <f t="shared" si="8"/>
        <v>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112">
        <f t="shared" ref="A31:A43" si="10">A30+1</f>
        <v>12</v>
      </c>
      <c r="B31" s="119">
        <f t="shared" si="9"/>
        <v>0</v>
      </c>
      <c r="C31" s="119">
        <f>-PMT((PARÁMETROS!$B$13),$B$13,$B$20)</f>
        <v>0</v>
      </c>
      <c r="D31" s="119">
        <f>(PARÁMETROS!$B$13)*B31</f>
        <v>0</v>
      </c>
      <c r="E31" s="119">
        <f t="shared" si="4"/>
        <v>0</v>
      </c>
      <c r="F31" s="3"/>
      <c r="G31" s="112">
        <v>12</v>
      </c>
      <c r="H31" s="120">
        <f t="shared" si="5"/>
        <v>0</v>
      </c>
      <c r="I31" s="120">
        <f>-(PARÁMETROS!$B$16)*H31</f>
        <v>0</v>
      </c>
      <c r="J31" s="120">
        <f t="shared" si="6"/>
        <v>0</v>
      </c>
      <c r="K31" s="121">
        <f t="shared" si="7"/>
        <v>0</v>
      </c>
      <c r="L31" s="121">
        <f t="shared" si="8"/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112">
        <f t="shared" si="10"/>
        <v>13</v>
      </c>
      <c r="B32" s="119">
        <f t="shared" si="9"/>
        <v>0</v>
      </c>
      <c r="C32" s="119">
        <f>-PMT((PARÁMETROS!$B$13),$B$13,$B$20)</f>
        <v>0</v>
      </c>
      <c r="D32" s="119">
        <f>(PARÁMETROS!$B$13)*B32</f>
        <v>0</v>
      </c>
      <c r="E32" s="119">
        <f t="shared" si="4"/>
        <v>0</v>
      </c>
      <c r="F32" s="3"/>
      <c r="G32" s="112">
        <f t="shared" ref="G32:G43" si="11">G31+1</f>
        <v>13</v>
      </c>
      <c r="H32" s="120">
        <f t="shared" si="5"/>
        <v>0</v>
      </c>
      <c r="I32" s="120">
        <f>-(PARÁMETROS!$B$16)*H32</f>
        <v>0</v>
      </c>
      <c r="J32" s="120">
        <f t="shared" si="6"/>
        <v>0</v>
      </c>
      <c r="K32" s="121">
        <f t="shared" si="7"/>
        <v>0</v>
      </c>
      <c r="L32" s="121">
        <f t="shared" si="8"/>
        <v>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112">
        <f t="shared" si="10"/>
        <v>14</v>
      </c>
      <c r="B33" s="119">
        <f t="shared" si="9"/>
        <v>0</v>
      </c>
      <c r="C33" s="119">
        <f>-PMT((PARÁMETROS!$B$13),$B$13,$B$20)</f>
        <v>0</v>
      </c>
      <c r="D33" s="119">
        <f>(PARÁMETROS!$B$13)*B33</f>
        <v>0</v>
      </c>
      <c r="E33" s="119">
        <f t="shared" si="4"/>
        <v>0</v>
      </c>
      <c r="F33" s="3"/>
      <c r="G33" s="112">
        <f t="shared" si="11"/>
        <v>14</v>
      </c>
      <c r="H33" s="120">
        <f t="shared" si="5"/>
        <v>0</v>
      </c>
      <c r="I33" s="120">
        <f>-(PARÁMETROS!$B$16)*H33</f>
        <v>0</v>
      </c>
      <c r="J33" s="120">
        <f t="shared" si="6"/>
        <v>0</v>
      </c>
      <c r="K33" s="121">
        <f t="shared" si="7"/>
        <v>0</v>
      </c>
      <c r="L33" s="121">
        <f t="shared" si="8"/>
        <v>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112">
        <f t="shared" si="10"/>
        <v>15</v>
      </c>
      <c r="B34" s="119">
        <f t="shared" si="9"/>
        <v>0</v>
      </c>
      <c r="C34" s="119">
        <f>-PMT((PARÁMETROS!$B$13),$B$13,$B$20)</f>
        <v>0</v>
      </c>
      <c r="D34" s="119">
        <f>(PARÁMETROS!$B$13)*B34</f>
        <v>0</v>
      </c>
      <c r="E34" s="119">
        <f t="shared" si="4"/>
        <v>0</v>
      </c>
      <c r="F34" s="3"/>
      <c r="G34" s="112">
        <f t="shared" si="11"/>
        <v>15</v>
      </c>
      <c r="H34" s="120">
        <f t="shared" si="5"/>
        <v>0</v>
      </c>
      <c r="I34" s="120">
        <f>-(PARÁMETROS!$B$16)*H34</f>
        <v>0</v>
      </c>
      <c r="J34" s="120">
        <f t="shared" si="6"/>
        <v>0</v>
      </c>
      <c r="K34" s="121">
        <f t="shared" si="7"/>
        <v>0</v>
      </c>
      <c r="L34" s="121">
        <f t="shared" si="8"/>
        <v>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112">
        <f t="shared" si="10"/>
        <v>16</v>
      </c>
      <c r="B35" s="119">
        <f t="shared" si="9"/>
        <v>0</v>
      </c>
      <c r="C35" s="119">
        <f>-PMT((PARÁMETROS!$B$13),$B$13,$B$20)</f>
        <v>0</v>
      </c>
      <c r="D35" s="119">
        <f>(PARÁMETROS!$B$13)*B35</f>
        <v>0</v>
      </c>
      <c r="E35" s="119">
        <f t="shared" si="4"/>
        <v>0</v>
      </c>
      <c r="F35" s="3"/>
      <c r="G35" s="112">
        <f t="shared" si="11"/>
        <v>16</v>
      </c>
      <c r="H35" s="120">
        <f t="shared" si="5"/>
        <v>0</v>
      </c>
      <c r="I35" s="120">
        <f>-(PARÁMETROS!$B$16)*H35</f>
        <v>0</v>
      </c>
      <c r="J35" s="120">
        <f t="shared" si="6"/>
        <v>0</v>
      </c>
      <c r="K35" s="121">
        <f t="shared" si="7"/>
        <v>0</v>
      </c>
      <c r="L35" s="121">
        <f t="shared" si="8"/>
        <v>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112">
        <f t="shared" si="10"/>
        <v>17</v>
      </c>
      <c r="B36" s="119">
        <f t="shared" si="9"/>
        <v>0</v>
      </c>
      <c r="C36" s="119">
        <f>-PMT((PARÁMETROS!$B$13),$B$13,$B$20)</f>
        <v>0</v>
      </c>
      <c r="D36" s="119">
        <f>(PARÁMETROS!$B$13)*B36</f>
        <v>0</v>
      </c>
      <c r="E36" s="119">
        <f t="shared" si="4"/>
        <v>0</v>
      </c>
      <c r="F36" s="3"/>
      <c r="G36" s="112">
        <f t="shared" si="11"/>
        <v>17</v>
      </c>
      <c r="H36" s="120">
        <f t="shared" si="5"/>
        <v>0</v>
      </c>
      <c r="I36" s="120">
        <f>-(PARÁMETROS!$B$16)*H36</f>
        <v>0</v>
      </c>
      <c r="J36" s="120">
        <f t="shared" si="6"/>
        <v>0</v>
      </c>
      <c r="K36" s="121">
        <f t="shared" si="7"/>
        <v>0</v>
      </c>
      <c r="L36" s="121">
        <f t="shared" si="8"/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112">
        <f t="shared" si="10"/>
        <v>18</v>
      </c>
      <c r="B37" s="119">
        <f t="shared" si="9"/>
        <v>0</v>
      </c>
      <c r="C37" s="119">
        <f>-PMT((PARÁMETROS!$B$13),$B$13,$B$20)</f>
        <v>0</v>
      </c>
      <c r="D37" s="119">
        <f>(PARÁMETROS!$B$13)*B37</f>
        <v>0</v>
      </c>
      <c r="E37" s="119">
        <f t="shared" si="4"/>
        <v>0</v>
      </c>
      <c r="F37" s="3"/>
      <c r="G37" s="112">
        <f t="shared" si="11"/>
        <v>18</v>
      </c>
      <c r="H37" s="120">
        <f t="shared" si="5"/>
        <v>0</v>
      </c>
      <c r="I37" s="120">
        <f>-(PARÁMETROS!$B$16)*H37</f>
        <v>0</v>
      </c>
      <c r="J37" s="120">
        <f t="shared" si="6"/>
        <v>0</v>
      </c>
      <c r="K37" s="121">
        <f t="shared" si="7"/>
        <v>0</v>
      </c>
      <c r="L37" s="121">
        <f t="shared" si="8"/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112">
        <f t="shared" si="10"/>
        <v>19</v>
      </c>
      <c r="B38" s="119">
        <f t="shared" si="9"/>
        <v>0</v>
      </c>
      <c r="C38" s="119">
        <f>-PMT((PARÁMETROS!$B$13),$B$13,$B$20)</f>
        <v>0</v>
      </c>
      <c r="D38" s="119">
        <f>(PARÁMETROS!$B$13)*B38</f>
        <v>0</v>
      </c>
      <c r="E38" s="119">
        <f t="shared" si="4"/>
        <v>0</v>
      </c>
      <c r="F38" s="3"/>
      <c r="G38" s="112">
        <f t="shared" si="11"/>
        <v>19</v>
      </c>
      <c r="H38" s="120">
        <f t="shared" si="5"/>
        <v>0</v>
      </c>
      <c r="I38" s="120">
        <f>-(PARÁMETROS!$B$16)*H38</f>
        <v>0</v>
      </c>
      <c r="J38" s="120">
        <f t="shared" si="6"/>
        <v>0</v>
      </c>
      <c r="K38" s="121">
        <f t="shared" si="7"/>
        <v>0</v>
      </c>
      <c r="L38" s="121">
        <f t="shared" si="8"/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112">
        <f t="shared" si="10"/>
        <v>20</v>
      </c>
      <c r="B39" s="119">
        <f t="shared" si="9"/>
        <v>0</v>
      </c>
      <c r="C39" s="119">
        <f>-PMT((PARÁMETROS!$B$13),$B$13,$B$20)</f>
        <v>0</v>
      </c>
      <c r="D39" s="119">
        <f>(PARÁMETROS!$B$13)*B39</f>
        <v>0</v>
      </c>
      <c r="E39" s="119">
        <f t="shared" si="4"/>
        <v>0</v>
      </c>
      <c r="F39" s="3"/>
      <c r="G39" s="112">
        <f t="shared" si="11"/>
        <v>20</v>
      </c>
      <c r="H39" s="120">
        <f t="shared" si="5"/>
        <v>0</v>
      </c>
      <c r="I39" s="120">
        <f>-(PARÁMETROS!$B$16)*H39</f>
        <v>0</v>
      </c>
      <c r="J39" s="120">
        <f t="shared" si="6"/>
        <v>0</v>
      </c>
      <c r="K39" s="121">
        <f t="shared" si="7"/>
        <v>0</v>
      </c>
      <c r="L39" s="121">
        <f t="shared" si="8"/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112">
        <f t="shared" si="10"/>
        <v>21</v>
      </c>
      <c r="B40" s="119">
        <f t="shared" si="9"/>
        <v>0</v>
      </c>
      <c r="C40" s="119">
        <f>-PMT((PARÁMETROS!$B$13),$B$13,$B$20)</f>
        <v>0</v>
      </c>
      <c r="D40" s="119">
        <f>(PARÁMETROS!$B$13)*B40</f>
        <v>0</v>
      </c>
      <c r="E40" s="119">
        <f t="shared" si="4"/>
        <v>0</v>
      </c>
      <c r="F40" s="3"/>
      <c r="G40" s="112">
        <f t="shared" si="11"/>
        <v>21</v>
      </c>
      <c r="H40" s="120">
        <f t="shared" si="5"/>
        <v>0</v>
      </c>
      <c r="I40" s="120">
        <f>-(PARÁMETROS!$B$16)*H40</f>
        <v>0</v>
      </c>
      <c r="J40" s="120">
        <f t="shared" si="6"/>
        <v>0</v>
      </c>
      <c r="K40" s="121">
        <f t="shared" si="7"/>
        <v>0</v>
      </c>
      <c r="L40" s="121">
        <f t="shared" si="8"/>
        <v>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112">
        <f t="shared" si="10"/>
        <v>22</v>
      </c>
      <c r="B41" s="119">
        <f t="shared" si="9"/>
        <v>0</v>
      </c>
      <c r="C41" s="119">
        <f>-PMT((PARÁMETROS!$B$13),$B$13,$B$20)</f>
        <v>0</v>
      </c>
      <c r="D41" s="119">
        <f>(PARÁMETROS!$B$13)*B41</f>
        <v>0</v>
      </c>
      <c r="E41" s="119">
        <f t="shared" si="4"/>
        <v>0</v>
      </c>
      <c r="F41" s="3"/>
      <c r="G41" s="112">
        <f t="shared" si="11"/>
        <v>22</v>
      </c>
      <c r="H41" s="120">
        <f t="shared" si="5"/>
        <v>0</v>
      </c>
      <c r="I41" s="120">
        <f>-(PARÁMETROS!$B$16)*H41</f>
        <v>0</v>
      </c>
      <c r="J41" s="120">
        <f t="shared" si="6"/>
        <v>0</v>
      </c>
      <c r="K41" s="121">
        <f t="shared" si="7"/>
        <v>0</v>
      </c>
      <c r="L41" s="121">
        <f t="shared" si="8"/>
        <v>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112">
        <f t="shared" si="10"/>
        <v>23</v>
      </c>
      <c r="B42" s="119">
        <f t="shared" si="9"/>
        <v>0</v>
      </c>
      <c r="C42" s="119">
        <f>-PMT((PARÁMETROS!$B$13),$B$13,$B$20)</f>
        <v>0</v>
      </c>
      <c r="D42" s="119">
        <f>(PARÁMETROS!$B$13)*B42</f>
        <v>0</v>
      </c>
      <c r="E42" s="119">
        <f t="shared" si="4"/>
        <v>0</v>
      </c>
      <c r="F42" s="3"/>
      <c r="G42" s="112">
        <f t="shared" si="11"/>
        <v>23</v>
      </c>
      <c r="H42" s="120">
        <f t="shared" si="5"/>
        <v>0</v>
      </c>
      <c r="I42" s="120">
        <f>-(PARÁMETROS!$B$16)*H42</f>
        <v>0</v>
      </c>
      <c r="J42" s="120">
        <f t="shared" si="6"/>
        <v>0</v>
      </c>
      <c r="K42" s="121">
        <f t="shared" si="7"/>
        <v>0</v>
      </c>
      <c r="L42" s="121">
        <f t="shared" si="8"/>
        <v>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112">
        <f t="shared" si="10"/>
        <v>24</v>
      </c>
      <c r="B43" s="119">
        <f t="shared" si="9"/>
        <v>0</v>
      </c>
      <c r="C43" s="119">
        <f>-PMT((PARÁMETROS!$B$13),$B$13,$B$20)</f>
        <v>0</v>
      </c>
      <c r="D43" s="119">
        <f>(PARÁMETROS!$B$13)*B43</f>
        <v>0</v>
      </c>
      <c r="E43" s="119">
        <f t="shared" si="4"/>
        <v>0</v>
      </c>
      <c r="F43" s="3"/>
      <c r="G43" s="112">
        <f t="shared" si="11"/>
        <v>24</v>
      </c>
      <c r="H43" s="120">
        <f t="shared" si="5"/>
        <v>0</v>
      </c>
      <c r="I43" s="120">
        <f>-(PARÁMETROS!$B$16)*H43</f>
        <v>0</v>
      </c>
      <c r="J43" s="120">
        <f t="shared" si="6"/>
        <v>0</v>
      </c>
      <c r="K43" s="121">
        <f t="shared" si="7"/>
        <v>0</v>
      </c>
      <c r="L43" s="121">
        <f t="shared" si="8"/>
        <v>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</sheetData>
  <mergeCells count="2">
    <mergeCell ref="A18:E18"/>
    <mergeCell ref="G18:L18"/>
  </mergeCells>
  <conditionalFormatting sqref="B20:E43">
    <cfRule type="cellIs" dxfId="1" priority="1" operator="lessThan">
      <formula>0</formula>
    </cfRule>
  </conditionalFormatting>
  <conditionalFormatting sqref="H20:L43">
    <cfRule type="cellIs" dxfId="0" priority="2" operator="lessThan">
      <formula>0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O988"/>
  <sheetViews>
    <sheetView topLeftCell="H18" workbookViewId="0">
      <selection activeCell="R41" sqref="R41"/>
    </sheetView>
  </sheetViews>
  <sheetFormatPr baseColWidth="10" defaultColWidth="12.5703125" defaultRowHeight="15" customHeight="1" x14ac:dyDescent="0.2"/>
  <cols>
    <col min="1" max="1" width="35.85546875" customWidth="1"/>
    <col min="2" max="2" width="27.28515625" customWidth="1"/>
    <col min="3" max="41" width="12.5703125" customWidth="1"/>
  </cols>
  <sheetData>
    <row r="1" spans="1:41" ht="15.75" customHeight="1" x14ac:dyDescent="0.25">
      <c r="A1" s="259"/>
      <c r="B1" s="259"/>
      <c r="C1" s="441" t="s">
        <v>256</v>
      </c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42"/>
      <c r="W1" s="443" t="s">
        <v>257</v>
      </c>
      <c r="X1" s="436"/>
      <c r="Y1" s="436"/>
      <c r="Z1" s="436"/>
      <c r="AA1" s="436"/>
      <c r="AB1" s="436"/>
      <c r="AC1" s="436"/>
      <c r="AD1" s="436"/>
      <c r="AE1" s="436"/>
      <c r="AF1" s="436"/>
      <c r="AG1" s="436"/>
      <c r="AH1" s="436"/>
      <c r="AI1" s="436"/>
      <c r="AJ1" s="436"/>
      <c r="AK1" s="436"/>
      <c r="AL1" s="442"/>
      <c r="AM1" s="447" t="s">
        <v>254</v>
      </c>
      <c r="AN1" s="427"/>
      <c r="AO1" s="427"/>
    </row>
    <row r="2" spans="1:41" ht="15.75" customHeight="1" x14ac:dyDescent="0.25">
      <c r="A2" s="260"/>
      <c r="B2" s="260" t="s">
        <v>258</v>
      </c>
      <c r="C2" s="260" t="s">
        <v>259</v>
      </c>
      <c r="D2" s="260" t="s">
        <v>260</v>
      </c>
      <c r="E2" s="260" t="s">
        <v>261</v>
      </c>
      <c r="F2" s="260" t="s">
        <v>262</v>
      </c>
      <c r="G2" s="260" t="s">
        <v>263</v>
      </c>
      <c r="H2" s="260" t="s">
        <v>264</v>
      </c>
      <c r="I2" s="260" t="s">
        <v>265</v>
      </c>
      <c r="J2" s="260" t="s">
        <v>266</v>
      </c>
      <c r="K2" s="260" t="s">
        <v>267</v>
      </c>
      <c r="L2" s="260" t="s">
        <v>268</v>
      </c>
      <c r="M2" s="260" t="s">
        <v>269</v>
      </c>
      <c r="N2" s="260" t="s">
        <v>270</v>
      </c>
      <c r="O2" s="260" t="s">
        <v>271</v>
      </c>
      <c r="P2" s="260" t="s">
        <v>272</v>
      </c>
      <c r="Q2" s="260" t="s">
        <v>273</v>
      </c>
      <c r="R2" s="260" t="s">
        <v>274</v>
      </c>
      <c r="S2" s="260" t="s">
        <v>275</v>
      </c>
      <c r="T2" s="260" t="s">
        <v>276</v>
      </c>
      <c r="U2" s="260" t="s">
        <v>277</v>
      </c>
      <c r="V2" s="260" t="s">
        <v>278</v>
      </c>
      <c r="W2" s="261" t="s">
        <v>279</v>
      </c>
      <c r="X2" s="261" t="s">
        <v>280</v>
      </c>
      <c r="Y2" s="261" t="s">
        <v>281</v>
      </c>
      <c r="Z2" s="261" t="s">
        <v>282</v>
      </c>
      <c r="AA2" s="261" t="s">
        <v>283</v>
      </c>
      <c r="AB2" s="261" t="s">
        <v>284</v>
      </c>
      <c r="AC2" s="261" t="s">
        <v>285</v>
      </c>
      <c r="AD2" s="261" t="s">
        <v>286</v>
      </c>
      <c r="AE2" s="261" t="s">
        <v>287</v>
      </c>
      <c r="AF2" s="261" t="s">
        <v>288</v>
      </c>
      <c r="AG2" s="261" t="s">
        <v>289</v>
      </c>
      <c r="AH2" s="261" t="s">
        <v>290</v>
      </c>
      <c r="AI2" s="261" t="s">
        <v>291</v>
      </c>
      <c r="AJ2" s="261" t="s">
        <v>292</v>
      </c>
      <c r="AK2" s="261" t="s">
        <v>293</v>
      </c>
      <c r="AL2" s="261" t="s">
        <v>294</v>
      </c>
      <c r="AM2" s="262" t="s">
        <v>295</v>
      </c>
      <c r="AN2" s="262" t="s">
        <v>296</v>
      </c>
      <c r="AO2" s="262" t="s">
        <v>101</v>
      </c>
    </row>
    <row r="3" spans="1:41" ht="15.75" customHeight="1" x14ac:dyDescent="0.25">
      <c xmlns="http://schemas.openxmlformats.org/spreadsheetml/2006/main" r="A3" s="243" t="str">
        <f>'Costos HH - Sueldos'!$A11</f>
        <v>Jefe de Proyecto</v>
      </c>
      <c r="B3" s="263">
        <v>0</v>
      </c>
      <c r="C3" s="263">
        <f>B$3</f>
        <v>0</v>
      </c>
      <c r="D3" s="263">
        <f>B$3*1</f>
        <v>0</v>
      </c>
      <c r="E3" s="263">
        <f>B$3*1</f>
        <v>0</v>
      </c>
      <c r="F3" s="263">
        <f>B$3*1</f>
        <v>0</v>
      </c>
      <c r="G3" s="263">
        <f>B$3*1</f>
        <v>0</v>
      </c>
      <c r="H3" s="263">
        <f>B$3*1</f>
        <v>0</v>
      </c>
      <c r="I3" s="263">
        <f>B$3*1</f>
        <v>0</v>
      </c>
      <c r="J3" s="263">
        <f>B$3*1</f>
        <v>0</v>
      </c>
      <c r="K3" s="263">
        <f>B$3*1</f>
        <v>0</v>
      </c>
      <c r="L3" s="263">
        <f>B$3*1</f>
        <v>0</v>
      </c>
      <c r="M3" s="263">
        <f>B$3*1</f>
        <v>0</v>
      </c>
      <c r="N3" s="263">
        <f>B$3*1</f>
        <v>0</v>
      </c>
      <c r="O3" s="263">
        <f>B$3*1</f>
        <v>0</v>
      </c>
      <c r="P3" s="263">
        <f>B$3*1</f>
        <v>0</v>
      </c>
      <c r="Q3" s="263">
        <f>B$3*1</f>
        <v>0</v>
      </c>
      <c r="R3" s="263">
        <f>B$3*1</f>
        <v>0</v>
      </c>
      <c r="S3" s="263">
        <f>B$3*1</f>
        <v>0</v>
      </c>
      <c r="T3" s="263">
        <f>B$3*1</f>
        <v>0</v>
      </c>
      <c r="U3" s="263">
        <f>B$3*1</f>
        <v>0</v>
      </c>
      <c r="V3" s="263">
        <f>B$3*1</f>
        <v>0</v>
      </c>
      <c r="W3" s="264">
        <f t="shared" ref="W3:AL3" si="0">B$3*1</f>
        <v>0</v>
      </c>
      <c r="X3" s="264">
        <f t="shared" si="0"/>
        <v>0</v>
      </c>
      <c r="Y3" s="264">
        <f t="shared" si="0"/>
        <v>0</v>
      </c>
      <c r="Z3" s="264">
        <f t="shared" si="0"/>
        <v>0</v>
      </c>
      <c r="AA3" s="264">
        <f t="shared" si="0"/>
        <v>0</v>
      </c>
      <c r="AB3" s="264">
        <f t="shared" si="0"/>
        <v>0</v>
      </c>
      <c r="AC3" s="264">
        <f t="shared" si="0"/>
        <v>0</v>
      </c>
      <c r="AD3" s="264">
        <f t="shared" si="0"/>
        <v>0</v>
      </c>
      <c r="AE3" s="264">
        <f t="shared" si="0"/>
        <v>0</v>
      </c>
      <c r="AF3" s="264">
        <f t="shared" si="0"/>
        <v>0</v>
      </c>
      <c r="AG3" s="264">
        <f t="shared" si="0"/>
        <v>0</v>
      </c>
      <c r="AH3" s="264">
        <f t="shared" si="0"/>
        <v>0</v>
      </c>
      <c r="AI3" s="264">
        <f t="shared" si="0"/>
        <v>0</v>
      </c>
      <c r="AJ3" s="264">
        <f t="shared" si="0"/>
        <v>0</v>
      </c>
      <c r="AK3" s="264">
        <f t="shared" si="0"/>
        <v>0</v>
      </c>
      <c r="AL3" s="264">
        <f t="shared" si="0"/>
        <v>0</v>
      </c>
      <c r="AM3" s="265">
        <f t="shared" ref="AM3:AM33" si="1">SUM(C3:V3)</f>
        <v>0</v>
      </c>
      <c r="AN3" s="265">
        <f t="shared" ref="AN3:AN33" si="2">SUM(W3:AL3)</f>
        <v>0</v>
      </c>
      <c r="AO3" s="265">
        <f t="shared" ref="AO3:AO33" si="3">SUM(AM3,AN3)</f>
        <v>0</v>
      </c>
    </row>
    <row r="4" spans="1:41" ht="15.75" customHeight="1" x14ac:dyDescent="0.25">
      <c xmlns="http://schemas.openxmlformats.org/spreadsheetml/2006/main" r="A4" s="243" t="str">
        <f>'Costos HH - Sueldos'!$A12</f>
        <v>LÃ­der de IntegraciÃ³n</v>
      </c>
      <c r="B4" s="263">
        <v>0</v>
      </c>
      <c r="C4" s="266"/>
      <c r="D4" s="266"/>
      <c r="E4" s="263">
        <f>B$4</f>
        <v>0</v>
      </c>
      <c r="F4" s="263">
        <f>B$4*1</f>
        <v>0</v>
      </c>
      <c r="G4" s="263">
        <f>B$4*1</f>
        <v>0</v>
      </c>
      <c r="H4" s="263">
        <f>B$4*1</f>
        <v>0</v>
      </c>
      <c r="I4" s="263">
        <f>B$4*1</f>
        <v>0</v>
      </c>
      <c r="J4" s="266"/>
      <c r="K4" s="266"/>
      <c r="L4" s="266"/>
      <c r="M4" s="266"/>
      <c r="N4" s="266"/>
      <c r="O4" s="266"/>
      <c r="P4" s="263">
        <f>B$4</f>
        <v>0</v>
      </c>
      <c r="Q4" s="266"/>
      <c r="R4" s="266"/>
      <c r="S4" s="266"/>
      <c r="T4" s="266"/>
      <c r="U4" s="266"/>
      <c r="V4" s="263">
        <f>B$4</f>
        <v>0</v>
      </c>
      <c r="W4" s="267"/>
      <c r="X4" s="267"/>
      <c r="Y4" s="267"/>
      <c r="Z4" s="267"/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  <c r="AL4" s="267"/>
      <c r="AM4" s="265">
        <f t="shared" si="1"/>
        <v>0</v>
      </c>
      <c r="AN4" s="265">
        <f t="shared" si="2"/>
        <v>0</v>
      </c>
      <c r="AO4" s="265">
        <f t="shared" si="3"/>
        <v>0</v>
      </c>
    </row>
    <row r="5" spans="1:41" ht="15.75" customHeight="1" x14ac:dyDescent="0.25">
      <c xmlns="http://schemas.openxmlformats.org/spreadsheetml/2006/main" r="A5" s="243" t="str">
        <f>'Costos HH - Sueldos'!$A13</f>
        <v>Arquitecto de SoluciÃ³n</v>
      </c>
      <c r="B5" s="263">
        <v>0</v>
      </c>
      <c r="C5" s="266"/>
      <c r="D5" s="263">
        <f>B$5*1</f>
        <v>0</v>
      </c>
      <c r="E5" s="263">
        <f>B$5</f>
        <v>0</v>
      </c>
      <c r="F5" s="266"/>
      <c r="G5" s="266"/>
      <c r="H5" s="266"/>
      <c r="I5" s="266"/>
      <c r="J5" s="263">
        <f>B$5</f>
        <v>0</v>
      </c>
      <c r="K5" s="266"/>
      <c r="L5" s="266"/>
      <c r="M5" s="266"/>
      <c r="N5" s="266"/>
      <c r="O5" s="266"/>
      <c r="P5" s="266"/>
      <c r="Q5" s="266"/>
      <c r="R5" s="263">
        <f>B$5</f>
        <v>0</v>
      </c>
      <c r="S5" s="263">
        <f>B$5*1</f>
        <v>0</v>
      </c>
      <c r="T5" s="263">
        <f>B$5</f>
        <v>0</v>
      </c>
      <c r="U5" s="266"/>
      <c r="V5" s="266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  <c r="AM5" s="265">
        <f t="shared" si="1"/>
        <v>0</v>
      </c>
      <c r="AN5" s="265">
        <f t="shared" si="2"/>
        <v>0</v>
      </c>
      <c r="AO5" s="265">
        <f t="shared" si="3"/>
        <v>0</v>
      </c>
    </row>
    <row r="6" spans="1:41" ht="15.75" customHeight="1" x14ac:dyDescent="0.25">
      <c xmlns="http://schemas.openxmlformats.org/spreadsheetml/2006/main" r="A6" s="243" t="str">
        <f>'Costos HH - Sueldos'!$A14</f>
        <v>LÃ­der de Desarrollo</v>
      </c>
      <c r="B6" s="263">
        <v>0</v>
      </c>
      <c r="C6" s="266"/>
      <c r="D6" s="263">
        <f>B$6</f>
        <v>0</v>
      </c>
      <c r="E6" s="263">
        <f>B$6</f>
        <v>0</v>
      </c>
      <c r="F6" s="263">
        <f>B$6*1</f>
        <v>0</v>
      </c>
      <c r="G6" s="263">
        <f>B$6*1</f>
        <v>0</v>
      </c>
      <c r="H6" s="263">
        <f>B$6</f>
        <v>0</v>
      </c>
      <c r="I6" s="263">
        <f>B$6</f>
        <v>0</v>
      </c>
      <c r="J6" s="266"/>
      <c r="K6" s="263">
        <f>B$6*1</f>
        <v>0</v>
      </c>
      <c r="L6" s="263">
        <f>B$6</f>
        <v>0</v>
      </c>
      <c r="M6" s="266"/>
      <c r="N6" s="263">
        <f>B$6</f>
        <v>0</v>
      </c>
      <c r="O6" s="266"/>
      <c r="P6" s="266"/>
      <c r="Q6" s="266"/>
      <c r="R6" s="263">
        <f>B$6</f>
        <v>0</v>
      </c>
      <c r="S6" s="263">
        <f>B$6*1</f>
        <v>0</v>
      </c>
      <c r="T6" s="263">
        <f>B$6*1</f>
        <v>0</v>
      </c>
      <c r="U6" s="263">
        <f>B$6*1</f>
        <v>0</v>
      </c>
      <c r="V6" s="266"/>
      <c r="W6" s="267"/>
      <c r="X6" s="267"/>
      <c r="Y6" s="267"/>
      <c r="Z6" s="267"/>
      <c r="AA6" s="267"/>
      <c r="AB6" s="267"/>
      <c r="AC6" s="267"/>
      <c r="AD6" s="267"/>
      <c r="AE6" s="267"/>
      <c r="AF6" s="267"/>
      <c r="AG6" s="267"/>
      <c r="AH6" s="267"/>
      <c r="AI6" s="267"/>
      <c r="AJ6" s="267"/>
      <c r="AK6" s="267"/>
      <c r="AL6" s="267"/>
      <c r="AM6" s="265">
        <f t="shared" si="1"/>
        <v>0</v>
      </c>
      <c r="AN6" s="265">
        <f t="shared" si="2"/>
        <v>0</v>
      </c>
      <c r="AO6" s="265">
        <f t="shared" si="3"/>
        <v>0</v>
      </c>
    </row>
    <row r="7" spans="1:41" ht="15.75" customHeight="1" x14ac:dyDescent="0.25">
      <c xmlns="http://schemas.openxmlformats.org/spreadsheetml/2006/main" r="A7" s="243" t="str">
        <f>'Costos HH - Sueldos'!$A15</f>
        <v>LÃ­der Funcional</v>
      </c>
      <c r="B7" s="263">
        <v>0</v>
      </c>
      <c r="C7" s="263">
        <f>B$7</f>
        <v>0</v>
      </c>
      <c r="D7" s="266"/>
      <c r="E7" s="263">
        <f>B$7</f>
        <v>0</v>
      </c>
      <c r="F7" s="263">
        <f>B$7*1</f>
        <v>0</v>
      </c>
      <c r="G7" s="263">
        <f>B$7*1</f>
        <v>0</v>
      </c>
      <c r="H7" s="263">
        <f>B$7</f>
        <v>0</v>
      </c>
      <c r="I7" s="263">
        <f>B$7*1</f>
        <v>0</v>
      </c>
      <c r="J7" s="263">
        <f>B$7*1</f>
        <v>0</v>
      </c>
      <c r="K7" s="266"/>
      <c r="L7" s="266"/>
      <c r="M7" s="266"/>
      <c r="N7" s="263">
        <f>B$7</f>
        <v>0</v>
      </c>
      <c r="O7" s="263">
        <f>B$7</f>
        <v>0</v>
      </c>
      <c r="P7" s="263">
        <f>B$7</f>
        <v>0</v>
      </c>
      <c r="Q7" s="266"/>
      <c r="R7" s="263">
        <f>B$7</f>
        <v>0</v>
      </c>
      <c r="S7" s="266"/>
      <c r="T7" s="266"/>
      <c r="U7" s="266"/>
      <c r="V7" s="263">
        <f>B$7</f>
        <v>0</v>
      </c>
      <c r="W7" s="267"/>
      <c r="X7" s="267"/>
      <c r="Y7" s="267"/>
      <c r="Z7" s="267"/>
      <c r="AA7" s="267"/>
      <c r="AB7" s="267"/>
      <c r="AC7" s="267"/>
      <c r="AD7" s="267"/>
      <c r="AE7" s="267"/>
      <c r="AF7" s="267"/>
      <c r="AG7" s="267"/>
      <c r="AH7" s="267"/>
      <c r="AI7" s="267"/>
      <c r="AJ7" s="267"/>
      <c r="AK7" s="267"/>
      <c r="AL7" s="267"/>
      <c r="AM7" s="265">
        <f t="shared" si="1"/>
        <v>0</v>
      </c>
      <c r="AN7" s="265">
        <f t="shared" si="2"/>
        <v>0</v>
      </c>
      <c r="AO7" s="265">
        <f t="shared" si="3"/>
        <v>0</v>
      </c>
    </row>
    <row r="8" spans="1:41" ht="15.75" customHeight="1" x14ac:dyDescent="0.25">
      <c r="A8" s="243" t="str">
        <f>'Costos HH - Sueldos'!$A16</f>
        <v>Analista de Requerimientos</v>
      </c>
      <c r="B8" s="263">
        <v>0</v>
      </c>
      <c r="C8" s="263">
        <f>B$8*4</f>
        <v>0</v>
      </c>
      <c r="D8" s="263">
        <f>B$8*4</f>
        <v>0</v>
      </c>
      <c r="E8" s="263">
        <f>B$8*4</f>
        <v>0</v>
      </c>
      <c r="F8" s="266"/>
      <c r="G8" s="266"/>
      <c r="H8" s="266"/>
      <c r="I8" s="266"/>
      <c r="J8" s="263">
        <f>(B$8*4/20)*3</f>
        <v>0</v>
      </c>
      <c r="K8" s="266"/>
      <c r="L8" s="266"/>
      <c r="M8" s="266"/>
      <c r="N8" s="266"/>
      <c r="O8" s="266"/>
      <c r="P8" s="266"/>
      <c r="Q8" s="266"/>
      <c r="R8" s="266"/>
      <c r="S8" s="266"/>
      <c r="T8" s="266"/>
      <c r="U8" s="266"/>
      <c r="V8" s="266"/>
      <c r="W8" s="267"/>
      <c r="X8" s="267"/>
      <c r="Y8" s="267"/>
      <c r="Z8" s="267"/>
      <c r="AA8" s="267"/>
      <c r="AB8" s="267"/>
      <c r="AC8" s="267"/>
      <c r="AD8" s="267"/>
      <c r="AE8" s="267"/>
      <c r="AF8" s="267"/>
      <c r="AG8" s="267"/>
      <c r="AH8" s="267"/>
      <c r="AI8" s="267"/>
      <c r="AJ8" s="267"/>
      <c r="AK8" s="267"/>
      <c r="AL8" s="267"/>
      <c r="AM8" s="265">
        <f t="shared" si="1"/>
        <v>0</v>
      </c>
      <c r="AN8" s="265">
        <f t="shared" si="2"/>
        <v>0</v>
      </c>
      <c r="AO8" s="265">
        <f t="shared" si="3"/>
        <v>0</v>
      </c>
    </row>
    <row r="9" spans="1:41" ht="15.75" customHeight="1" x14ac:dyDescent="0.25">
      <c r="A9" s="243" t="str">
        <f>'Costos HH - Sueldos'!$A17</f>
        <v>Desarrollador Full Stack</v>
      </c>
      <c r="B9" s="263">
        <v>0</v>
      </c>
      <c r="C9" s="266"/>
      <c r="D9" s="266"/>
      <c r="E9" s="266"/>
      <c r="F9" s="263">
        <f>B$9*1*8</f>
        <v>0</v>
      </c>
      <c r="G9" s="263">
        <f>B$9*1*8</f>
        <v>0</v>
      </c>
      <c r="H9" s="263">
        <f>B$9*1*8</f>
        <v>0</v>
      </c>
      <c r="I9" s="263">
        <f>B$9*1*8</f>
        <v>0</v>
      </c>
      <c r="J9" s="263">
        <f>B$9*1*8</f>
        <v>0</v>
      </c>
      <c r="K9" s="263">
        <f>B$9*8</f>
        <v>0</v>
      </c>
      <c r="L9" s="263">
        <f>B$9*8*0.5</f>
        <v>0</v>
      </c>
      <c r="M9" s="266"/>
      <c r="N9" s="266"/>
      <c r="O9" s="266"/>
      <c r="P9" s="266"/>
      <c r="Q9" s="266"/>
      <c r="R9" s="263">
        <f>B$9*8</f>
        <v>0</v>
      </c>
      <c r="S9" s="263">
        <f>B$9*1*8</f>
        <v>0</v>
      </c>
      <c r="T9" s="263">
        <f>B$9*1*8</f>
        <v>0</v>
      </c>
      <c r="U9" s="263">
        <f>B$9*1*8</f>
        <v>0</v>
      </c>
      <c r="V9" s="266"/>
      <c r="W9" s="267"/>
      <c r="X9" s="267"/>
      <c r="Y9" s="267"/>
      <c r="Z9" s="267"/>
      <c r="AA9" s="267"/>
      <c r="AB9" s="267"/>
      <c r="AC9" s="267"/>
      <c r="AD9" s="267"/>
      <c r="AE9" s="267"/>
      <c r="AF9" s="267"/>
      <c r="AG9" s="267"/>
      <c r="AH9" s="267"/>
      <c r="AI9" s="267"/>
      <c r="AJ9" s="267"/>
      <c r="AK9" s="267"/>
      <c r="AL9" s="267"/>
      <c r="AM9" s="265">
        <f t="shared" si="1"/>
        <v>0</v>
      </c>
      <c r="AN9" s="265">
        <f t="shared" si="2"/>
        <v>0</v>
      </c>
      <c r="AO9" s="265">
        <f t="shared" si="3"/>
        <v>0</v>
      </c>
    </row>
    <row r="10" spans="1:41" ht="15.75" customHeight="1" x14ac:dyDescent="0.25">
      <c r="A10" s="243" t="str">
        <f>'Costos HH - Sueldos'!$A18</f>
        <v>Desarrollador Front-end</v>
      </c>
      <c r="B10" s="263">
        <v>0</v>
      </c>
      <c r="C10" s="266"/>
      <c r="D10" s="266"/>
      <c r="E10" s="266"/>
      <c r="F10" s="263">
        <f>B$10*1</f>
        <v>0</v>
      </c>
      <c r="G10" s="263">
        <f>B$10*1</f>
        <v>0</v>
      </c>
      <c r="H10" s="263">
        <f>B$10*1</f>
        <v>0</v>
      </c>
      <c r="I10" s="263">
        <f>B$10*1</f>
        <v>0</v>
      </c>
      <c r="J10" s="263">
        <f>B$10*1</f>
        <v>0</v>
      </c>
      <c r="K10" s="266"/>
      <c r="L10" s="266"/>
      <c r="M10" s="266"/>
      <c r="N10" s="266"/>
      <c r="O10" s="266"/>
      <c r="P10" s="266"/>
      <c r="Q10" s="266"/>
      <c r="R10" s="263">
        <f>B$10</f>
        <v>0</v>
      </c>
      <c r="S10" s="263">
        <f>B$10*1</f>
        <v>0</v>
      </c>
      <c r="T10" s="263">
        <f>B$10*1</f>
        <v>0</v>
      </c>
      <c r="U10" s="263">
        <f>B$10*1</f>
        <v>0</v>
      </c>
      <c r="V10" s="266"/>
      <c r="W10" s="267"/>
      <c r="X10" s="267"/>
      <c r="Y10" s="267"/>
      <c r="Z10" s="267"/>
      <c r="AA10" s="267"/>
      <c r="AB10" s="267"/>
      <c r="AC10" s="267"/>
      <c r="AD10" s="267"/>
      <c r="AE10" s="267"/>
      <c r="AF10" s="267"/>
      <c r="AG10" s="267"/>
      <c r="AH10" s="267"/>
      <c r="AI10" s="267"/>
      <c r="AJ10" s="267"/>
      <c r="AK10" s="267"/>
      <c r="AL10" s="267"/>
      <c r="AM10" s="265">
        <f t="shared" si="1"/>
        <v>0</v>
      </c>
      <c r="AN10" s="265">
        <f t="shared" si="2"/>
        <v>0</v>
      </c>
      <c r="AO10" s="265">
        <f t="shared" si="3"/>
        <v>0</v>
      </c>
    </row>
    <row r="11" spans="1:41" ht="15.75" customHeight="1" x14ac:dyDescent="0.25">
      <c r="A11" s="243" t="str">
        <f>'Costos HH - Sueldos'!$A19</f>
        <v>Desarrollador Back-end</v>
      </c>
      <c r="B11" s="263">
        <v>0</v>
      </c>
      <c r="C11" s="266"/>
      <c r="D11" s="266"/>
      <c r="E11" s="266"/>
      <c r="F11" s="263">
        <f>B$11*1</f>
        <v>0</v>
      </c>
      <c r="G11" s="263">
        <f>B$11*1</f>
        <v>0</v>
      </c>
      <c r="H11" s="263">
        <f>B$11*1</f>
        <v>0</v>
      </c>
      <c r="I11" s="263">
        <f>B$11*1</f>
        <v>0</v>
      </c>
      <c r="J11" s="263">
        <f>B$11*1</f>
        <v>0</v>
      </c>
      <c r="K11" s="263">
        <f>B$11*1</f>
        <v>0</v>
      </c>
      <c r="L11" s="263">
        <f>B$11*1</f>
        <v>0</v>
      </c>
      <c r="M11" s="266"/>
      <c r="N11" s="266"/>
      <c r="O11" s="266"/>
      <c r="P11" s="266"/>
      <c r="Q11" s="266"/>
      <c r="R11" s="263">
        <f>B$11</f>
        <v>0</v>
      </c>
      <c r="S11" s="263">
        <f>B$11*1</f>
        <v>0</v>
      </c>
      <c r="T11" s="263">
        <f>B$11*1</f>
        <v>0</v>
      </c>
      <c r="U11" s="263">
        <f>B$11*1</f>
        <v>0</v>
      </c>
      <c r="V11" s="266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  <c r="AM11" s="265">
        <f t="shared" si="1"/>
        <v>0</v>
      </c>
      <c r="AN11" s="265">
        <f t="shared" si="2"/>
        <v>0</v>
      </c>
      <c r="AO11" s="265">
        <f t="shared" si="3"/>
        <v>0</v>
      </c>
    </row>
    <row r="12" spans="1:41" ht="15.75" customHeight="1" x14ac:dyDescent="0.25">
      <c r="A12" s="243" t="str">
        <f>'Costos HH - Sueldos'!$A20</f>
        <v>Desarrollador de Base de Datos</v>
      </c>
      <c r="B12" s="263">
        <v>0</v>
      </c>
      <c r="C12" s="266"/>
      <c r="D12" s="266"/>
      <c r="E12" s="266"/>
      <c r="F12" s="266"/>
      <c r="G12" s="266"/>
      <c r="H12" s="266"/>
      <c r="I12" s="263">
        <f>B$12*1</f>
        <v>0</v>
      </c>
      <c r="J12" s="263">
        <f>B$12*1</f>
        <v>0</v>
      </c>
      <c r="K12" s="263">
        <f>B$12*1</f>
        <v>0</v>
      </c>
      <c r="L12" s="266"/>
      <c r="M12" s="266"/>
      <c r="N12" s="266"/>
      <c r="O12" s="266"/>
      <c r="P12" s="266"/>
      <c r="Q12" s="266"/>
      <c r="R12" s="266"/>
      <c r="S12" s="266"/>
      <c r="T12" s="266"/>
      <c r="U12" s="266"/>
      <c r="V12" s="266"/>
      <c r="W12" s="267"/>
      <c r="X12" s="267"/>
      <c r="Y12" s="267"/>
      <c r="Z12" s="267"/>
      <c r="AA12" s="267"/>
      <c r="AB12" s="267"/>
      <c r="AC12" s="267"/>
      <c r="AD12" s="267"/>
      <c r="AE12" s="267"/>
      <c r="AF12" s="267"/>
      <c r="AG12" s="267"/>
      <c r="AH12" s="267"/>
      <c r="AI12" s="267"/>
      <c r="AJ12" s="267"/>
      <c r="AK12" s="267"/>
      <c r="AL12" s="267"/>
      <c r="AM12" s="265">
        <f t="shared" si="1"/>
        <v>0</v>
      </c>
      <c r="AN12" s="265">
        <f t="shared" si="2"/>
        <v>0</v>
      </c>
      <c r="AO12" s="265">
        <f t="shared" si="3"/>
        <v>0</v>
      </c>
    </row>
    <row r="13" spans="1:41" ht="15.75" customHeight="1" x14ac:dyDescent="0.25">
      <c r="A13" s="243" t="str">
        <f>'Costos HH - Sueldos'!$A21</f>
        <v>Diseñador UX</v>
      </c>
      <c r="B13" s="263">
        <v>0</v>
      </c>
      <c r="C13" s="266"/>
      <c r="D13" s="263">
        <f>B$13</f>
        <v>0</v>
      </c>
      <c r="E13" s="263">
        <f>(B$13/20)*5</f>
        <v>0</v>
      </c>
      <c r="F13" s="266"/>
      <c r="G13" s="266"/>
      <c r="H13" s="266"/>
      <c r="I13" s="266"/>
      <c r="J13" s="266"/>
      <c r="K13" s="266"/>
      <c r="L13" s="266"/>
      <c r="M13" s="266"/>
      <c r="N13" s="266"/>
      <c r="O13" s="266"/>
      <c r="P13" s="266"/>
      <c r="Q13" s="266"/>
      <c r="R13" s="266"/>
      <c r="S13" s="266"/>
      <c r="T13" s="266"/>
      <c r="U13" s="266"/>
      <c r="V13" s="266"/>
      <c r="W13" s="267"/>
      <c r="X13" s="267"/>
      <c r="Y13" s="267"/>
      <c r="Z13" s="267"/>
      <c r="AA13" s="267"/>
      <c r="AB13" s="267"/>
      <c r="AC13" s="267"/>
      <c r="AD13" s="267"/>
      <c r="AE13" s="267"/>
      <c r="AF13" s="267"/>
      <c r="AG13" s="267"/>
      <c r="AH13" s="267"/>
      <c r="AI13" s="267"/>
      <c r="AJ13" s="267"/>
      <c r="AK13" s="267"/>
      <c r="AL13" s="267"/>
      <c r="AM13" s="265">
        <f t="shared" si="1"/>
        <v>0</v>
      </c>
      <c r="AN13" s="265">
        <f t="shared" si="2"/>
        <v>0</v>
      </c>
      <c r="AO13" s="265">
        <f t="shared" si="3"/>
        <v>0</v>
      </c>
    </row>
    <row r="14" spans="1:41" ht="15.75" customHeight="1" x14ac:dyDescent="0.25">
      <c r="A14" s="243" t="str">
        <f>'Costos HH - Sueldos'!$A22</f>
        <v>Especialista en Integración</v>
      </c>
      <c r="B14" s="263">
        <v>0</v>
      </c>
      <c r="C14" s="266"/>
      <c r="D14" s="263">
        <f>B$14*3</f>
        <v>0</v>
      </c>
      <c r="E14" s="266"/>
      <c r="F14" s="266"/>
      <c r="G14" s="266"/>
      <c r="H14" s="266"/>
      <c r="I14" s="263">
        <f>B$14*1*3</f>
        <v>0</v>
      </c>
      <c r="J14" s="263">
        <f>B$14*1*3</f>
        <v>0</v>
      </c>
      <c r="K14" s="263">
        <f>B$14*3</f>
        <v>0</v>
      </c>
      <c r="L14" s="263">
        <f>B$14*3</f>
        <v>0</v>
      </c>
      <c r="M14" s="266"/>
      <c r="N14" s="266"/>
      <c r="O14" s="266"/>
      <c r="P14" s="266"/>
      <c r="Q14" s="266"/>
      <c r="R14" s="266"/>
      <c r="S14" s="266"/>
      <c r="T14" s="266"/>
      <c r="U14" s="266"/>
      <c r="V14" s="266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67"/>
      <c r="AH14" s="267"/>
      <c r="AI14" s="267"/>
      <c r="AJ14" s="267"/>
      <c r="AK14" s="267"/>
      <c r="AL14" s="267"/>
      <c r="AM14" s="265">
        <f t="shared" si="1"/>
        <v>0</v>
      </c>
      <c r="AN14" s="265">
        <f t="shared" si="2"/>
        <v>0</v>
      </c>
      <c r="AO14" s="265">
        <f t="shared" si="3"/>
        <v>0</v>
      </c>
    </row>
    <row r="15" spans="1:41" ht="15.75" customHeight="1" x14ac:dyDescent="0.25">
      <c xmlns="http://schemas.openxmlformats.org/spreadsheetml/2006/main" r="A15" s="243" t="str">
        <f>'Costos HH - Sueldos'!$A23</f>
        <v>Encargado de Seguridad</v>
      </c>
      <c r="B15" s="263">
        <v>0</v>
      </c>
      <c r="C15" s="266"/>
      <c r="D15" s="266"/>
      <c r="E15" s="266"/>
      <c r="F15" s="263">
        <f>B$15*1</f>
        <v>0</v>
      </c>
      <c r="G15" s="263">
        <f>B$15*1</f>
        <v>0</v>
      </c>
      <c r="H15" s="263">
        <f>B$15</f>
        <v>0</v>
      </c>
      <c r="I15" s="263">
        <f>B$15</f>
        <v>0</v>
      </c>
      <c r="J15" s="266"/>
      <c r="K15" s="266"/>
      <c r="L15" s="266"/>
      <c r="M15" s="266"/>
      <c r="N15" s="266"/>
      <c r="O15" s="266"/>
      <c r="P15" s="263">
        <f>B$15</f>
        <v>0</v>
      </c>
      <c r="Q15" s="266"/>
      <c r="R15" s="266"/>
      <c r="S15" s="266"/>
      <c r="T15" s="266"/>
      <c r="U15" s="266"/>
      <c r="V15" s="263">
        <f>B$15</f>
        <v>0</v>
      </c>
      <c r="W15" s="264">
        <f t="shared" ref="W15:AL15" si="4">$B$15*1</f>
        <v>0</v>
      </c>
      <c r="X15" s="264">
        <f t="shared" si="4"/>
        <v>0</v>
      </c>
      <c r="Y15" s="264">
        <f t="shared" si="4"/>
        <v>0</v>
      </c>
      <c r="Z15" s="264">
        <f t="shared" si="4"/>
        <v>0</v>
      </c>
      <c r="AA15" s="264">
        <f t="shared" si="4"/>
        <v>0</v>
      </c>
      <c r="AB15" s="264">
        <f t="shared" si="4"/>
        <v>0</v>
      </c>
      <c r="AC15" s="264">
        <f t="shared" si="4"/>
        <v>0</v>
      </c>
      <c r="AD15" s="264">
        <f t="shared" si="4"/>
        <v>0</v>
      </c>
      <c r="AE15" s="264">
        <f t="shared" si="4"/>
        <v>0</v>
      </c>
      <c r="AF15" s="264">
        <f t="shared" si="4"/>
        <v>0</v>
      </c>
      <c r="AG15" s="264">
        <f t="shared" si="4"/>
        <v>0</v>
      </c>
      <c r="AH15" s="264">
        <f t="shared" si="4"/>
        <v>0</v>
      </c>
      <c r="AI15" s="264">
        <f t="shared" si="4"/>
        <v>0</v>
      </c>
      <c r="AJ15" s="264">
        <f t="shared" si="4"/>
        <v>0</v>
      </c>
      <c r="AK15" s="264">
        <f t="shared" si="4"/>
        <v>0</v>
      </c>
      <c r="AL15" s="264">
        <f t="shared" si="4"/>
        <v>0</v>
      </c>
      <c r="AM15" s="265">
        <f t="shared" si="1"/>
        <v>0</v>
      </c>
      <c r="AN15" s="265">
        <f t="shared" si="2"/>
        <v>0</v>
      </c>
      <c r="AO15" s="265">
        <f t="shared" si="3"/>
        <v>0</v>
      </c>
    </row>
    <row r="16" spans="1:41" ht="15.75" customHeight="1" x14ac:dyDescent="0.25">
      <c r="A16" s="243" t="str">
        <f>'Costos HH - Sueldos'!$A24</f>
        <v>Ingeniero DevOps</v>
      </c>
      <c r="B16" s="263">
        <v>0</v>
      </c>
      <c r="C16" s="266"/>
      <c r="D16" s="266"/>
      <c r="E16" s="263">
        <f t="shared" ref="E16:F16" si="5">$B$16*2</f>
        <v>0</v>
      </c>
      <c r="F16" s="263">
        <f t="shared" si="5"/>
        <v>0</v>
      </c>
      <c r="G16" s="263">
        <f>B$16*1*2</f>
        <v>0</v>
      </c>
      <c r="H16" s="263">
        <f>B$16*1*2</f>
        <v>0</v>
      </c>
      <c r="I16" s="263">
        <f>B$16*1*2</f>
        <v>0</v>
      </c>
      <c r="J16" s="266"/>
      <c r="K16" s="266"/>
      <c r="L16" s="263">
        <f>B$16*2</f>
        <v>0</v>
      </c>
      <c r="M16" s="266"/>
      <c r="N16" s="263">
        <f>B$16*2</f>
        <v>0</v>
      </c>
      <c r="O16" s="263">
        <f>B$16*1*2</f>
        <v>0</v>
      </c>
      <c r="P16" s="263">
        <f>B$16*1*2</f>
        <v>0</v>
      </c>
      <c r="Q16" s="263">
        <f>B$16*1*2</f>
        <v>0</v>
      </c>
      <c r="R16" s="263">
        <f>B$16*2</f>
        <v>0</v>
      </c>
      <c r="S16" s="266"/>
      <c r="T16" s="266"/>
      <c r="U16" s="266"/>
      <c r="V16" s="266"/>
      <c r="W16" s="267"/>
      <c r="X16" s="267"/>
      <c r="Y16" s="267"/>
      <c r="Z16" s="267"/>
      <c r="AA16" s="267"/>
      <c r="AB16" s="267"/>
      <c r="AC16" s="267"/>
      <c r="AD16" s="267"/>
      <c r="AE16" s="267"/>
      <c r="AF16" s="267"/>
      <c r="AG16" s="267"/>
      <c r="AH16" s="267"/>
      <c r="AI16" s="267"/>
      <c r="AJ16" s="267"/>
      <c r="AK16" s="267"/>
      <c r="AL16" s="267"/>
      <c r="AM16" s="265">
        <f t="shared" si="1"/>
        <v>0</v>
      </c>
      <c r="AN16" s="265">
        <f t="shared" si="2"/>
        <v>0</v>
      </c>
      <c r="AO16" s="265">
        <f t="shared" si="3"/>
        <v>0</v>
      </c>
    </row>
    <row r="17" spans="1:41" ht="15.75" customHeight="1" x14ac:dyDescent="0.25">
      <c r="A17" s="243" t="str">
        <f>'Costos HH - Sueldos'!$A25</f>
        <v>Administrador de Base de Datos</v>
      </c>
      <c r="B17" s="263">
        <v>0</v>
      </c>
      <c r="C17" s="266"/>
      <c r="D17" s="266"/>
      <c r="E17" s="266"/>
      <c r="F17" s="266"/>
      <c r="G17" s="266"/>
      <c r="H17" s="266"/>
      <c r="I17" s="263">
        <f>B$17*1</f>
        <v>0</v>
      </c>
      <c r="J17" s="263">
        <f>B$17*1</f>
        <v>0</v>
      </c>
      <c r="K17" s="263">
        <f>B$17*1</f>
        <v>0</v>
      </c>
      <c r="L17" s="266"/>
      <c r="M17" s="266"/>
      <c r="N17" s="266"/>
      <c r="O17" s="263">
        <f>B$17*1</f>
        <v>0</v>
      </c>
      <c r="P17" s="266"/>
      <c r="Q17" s="266"/>
      <c r="R17" s="266"/>
      <c r="S17" s="266"/>
      <c r="T17" s="266"/>
      <c r="U17" s="266"/>
      <c r="V17" s="266"/>
      <c r="W17" s="267"/>
      <c r="X17" s="267"/>
      <c r="Y17" s="267"/>
      <c r="Z17" s="267"/>
      <c r="AA17" s="267"/>
      <c r="AB17" s="267"/>
      <c r="AC17" s="267"/>
      <c r="AD17" s="267"/>
      <c r="AE17" s="267"/>
      <c r="AF17" s="267"/>
      <c r="AG17" s="267"/>
      <c r="AH17" s="267"/>
      <c r="AI17" s="267"/>
      <c r="AJ17" s="267"/>
      <c r="AK17" s="267"/>
      <c r="AL17" s="267"/>
      <c r="AM17" s="265">
        <f t="shared" si="1"/>
        <v>0</v>
      </c>
      <c r="AN17" s="265">
        <f t="shared" si="2"/>
        <v>0</v>
      </c>
      <c r="AO17" s="265">
        <f t="shared" si="3"/>
        <v>0</v>
      </c>
    </row>
    <row r="18" spans="1:41" ht="15.75" customHeight="1" x14ac:dyDescent="0.25">
      <c xmlns="http://schemas.openxmlformats.org/spreadsheetml/2006/main" r="A18" s="243" t="str">
        <f>'Costos HH - Sueldos'!$A26</f>
        <v>LÃ­der de Calidad y Pruebas</v>
      </c>
      <c r="B18" s="263">
        <v>0</v>
      </c>
      <c r="C18" s="263">
        <f>B$18</f>
        <v>0</v>
      </c>
      <c r="D18" s="266"/>
      <c r="E18" s="266"/>
      <c r="F18" s="266"/>
      <c r="G18" s="266"/>
      <c r="H18" s="263">
        <f>B$18*1</f>
        <v>0</v>
      </c>
      <c r="I18" s="263">
        <f>B$18</f>
        <v>0</v>
      </c>
      <c r="J18" s="266"/>
      <c r="K18" s="263">
        <f t="shared" ref="K18:N18" si="6">$B$18*1</f>
        <v>0</v>
      </c>
      <c r="L18" s="263">
        <f t="shared" si="6"/>
        <v>0</v>
      </c>
      <c r="M18" s="263">
        <f t="shared" si="6"/>
        <v>0</v>
      </c>
      <c r="N18" s="263">
        <f t="shared" si="6"/>
        <v>0</v>
      </c>
      <c r="O18" s="266"/>
      <c r="P18" s="263">
        <f t="shared" ref="P18:R18" si="7">$B$18*1</f>
        <v>0</v>
      </c>
      <c r="Q18" s="263">
        <f t="shared" si="7"/>
        <v>0</v>
      </c>
      <c r="R18" s="263">
        <f t="shared" si="7"/>
        <v>0</v>
      </c>
      <c r="S18" s="266"/>
      <c r="T18" s="266"/>
      <c r="U18" s="266"/>
      <c r="V18" s="266"/>
      <c r="W18" s="267"/>
      <c r="X18" s="267"/>
      <c r="Y18" s="267"/>
      <c r="Z18" s="267"/>
      <c r="AA18" s="267"/>
      <c r="AB18" s="267"/>
      <c r="AC18" s="267"/>
      <c r="AD18" s="267"/>
      <c r="AE18" s="267"/>
      <c r="AF18" s="267"/>
      <c r="AG18" s="267"/>
      <c r="AH18" s="267"/>
      <c r="AI18" s="267"/>
      <c r="AJ18" s="267"/>
      <c r="AK18" s="267"/>
      <c r="AL18" s="267"/>
      <c r="AM18" s="265">
        <f t="shared" si="1"/>
        <v>0</v>
      </c>
      <c r="AN18" s="265">
        <f t="shared" si="2"/>
        <v>0</v>
      </c>
      <c r="AO18" s="265">
        <f t="shared" si="3"/>
        <v>0</v>
      </c>
    </row>
    <row r="19" spans="1:41" ht="15.75" customHeight="1" x14ac:dyDescent="0.25">
      <c xmlns="http://schemas.openxmlformats.org/spreadsheetml/2006/main" r="A19" s="243" t="str">
        <f>'Costos HH - Sueldos'!$A27</f>
        <v>Operador de Mesa de Servicio (N1)</v>
      </c>
      <c r="B19" s="263">
        <v>0</v>
      </c>
      <c r="C19" s="266"/>
      <c r="D19" s="266"/>
      <c r="E19" s="266"/>
      <c r="F19" s="266"/>
      <c r="G19" s="266"/>
      <c r="H19" s="266"/>
      <c r="I19" s="266"/>
      <c r="J19" s="266"/>
      <c r="K19" s="266"/>
      <c r="L19" s="263">
        <f>B$19</f>
        <v>0</v>
      </c>
      <c r="M19" s="263">
        <f>B$19</f>
        <v>0</v>
      </c>
      <c r="N19" s="266"/>
      <c r="O19" s="266"/>
      <c r="P19" s="266"/>
      <c r="Q19" s="266"/>
      <c r="R19" s="266"/>
      <c r="S19" s="266"/>
      <c r="T19" s="266"/>
      <c r="U19" s="266"/>
      <c r="V19" s="266"/>
      <c r="W19" s="264">
        <f>B$19*1</f>
        <v>0</v>
      </c>
      <c r="X19" s="264">
        <f>B$19*1</f>
        <v>0</v>
      </c>
      <c r="Y19" s="264">
        <f>B$19*1</f>
        <v>0</v>
      </c>
      <c r="Z19" s="264">
        <f>B$19*1</f>
        <v>0</v>
      </c>
      <c r="AA19" s="264">
        <f>B$19*1</f>
        <v>0</v>
      </c>
      <c r="AB19" s="264">
        <f>B$19*1</f>
        <v>0</v>
      </c>
      <c r="AC19" s="264">
        <f>B$19*1</f>
        <v>0</v>
      </c>
      <c r="AD19" s="264">
        <f>B$19*1</f>
        <v>0</v>
      </c>
      <c r="AE19" s="264">
        <f>B$19*1</f>
        <v>0</v>
      </c>
      <c r="AF19" s="264">
        <f>B$19*1</f>
        <v>0</v>
      </c>
      <c r="AG19" s="264">
        <f>B$19*1</f>
        <v>0</v>
      </c>
      <c r="AH19" s="264">
        <f>B$19*1</f>
        <v>0</v>
      </c>
      <c r="AI19" s="264">
        <f>B$19*1</f>
        <v>0</v>
      </c>
      <c r="AJ19" s="264">
        <f>B$19*1</f>
        <v>0</v>
      </c>
      <c r="AK19" s="264">
        <f>B$19*1</f>
        <v>0</v>
      </c>
      <c r="AL19" s="264">
        <f>B$19*1</f>
        <v>0</v>
      </c>
      <c r="AM19" s="265">
        <f t="shared" si="1"/>
        <v>0</v>
      </c>
      <c r="AN19" s="265">
        <f t="shared" si="2"/>
        <v>0</v>
      </c>
      <c r="AO19" s="265">
        <f t="shared" si="3"/>
        <v>0</v>
      </c>
    </row>
    <row r="20" spans="1:41" ht="15.75" customHeight="1" x14ac:dyDescent="0.25">
      <c r="A20" s="243" t="str">
        <f>'Costos HH - Sueldos'!$A28</f>
        <v>Especialista en Soporte Técnico Nivel 2</v>
      </c>
      <c r="B20" s="263">
        <v>0</v>
      </c>
      <c r="C20" s="266"/>
      <c r="D20" s="266"/>
      <c r="E20" s="266"/>
      <c r="F20" s="266"/>
      <c r="G20" s="266"/>
      <c r="H20" s="266"/>
      <c r="I20" s="266"/>
      <c r="J20" s="266"/>
      <c r="K20" s="266"/>
      <c r="L20" s="263">
        <f>B$20</f>
        <v>0</v>
      </c>
      <c r="M20" s="263">
        <f>B$20*1</f>
        <v>0</v>
      </c>
      <c r="N20" s="263">
        <f>B$20</f>
        <v>0</v>
      </c>
      <c r="O20" s="266"/>
      <c r="P20" s="266"/>
      <c r="Q20" s="266"/>
      <c r="R20" s="266"/>
      <c r="S20" s="266"/>
      <c r="T20" s="266"/>
      <c r="U20" s="266"/>
      <c r="V20" s="266"/>
      <c r="W20" s="264">
        <f>B$20*1</f>
        <v>0</v>
      </c>
      <c r="X20" s="264">
        <f>B$20*1</f>
        <v>0</v>
      </c>
      <c r="Y20" s="264">
        <f>B$20*1</f>
        <v>0</v>
      </c>
      <c r="Z20" s="264">
        <f>B$20*1</f>
        <v>0</v>
      </c>
      <c r="AA20" s="264">
        <f>B$20*1</f>
        <v>0</v>
      </c>
      <c r="AB20" s="264">
        <f>B$20*1</f>
        <v>0</v>
      </c>
      <c r="AC20" s="264">
        <f>B$20*1</f>
        <v>0</v>
      </c>
      <c r="AD20" s="264">
        <f>B$20*1</f>
        <v>0</v>
      </c>
      <c r="AE20" s="264">
        <f>B$20*1</f>
        <v>0</v>
      </c>
      <c r="AF20" s="264">
        <f>B$20*1</f>
        <v>0</v>
      </c>
      <c r="AG20" s="264">
        <f>B$20*1</f>
        <v>0</v>
      </c>
      <c r="AH20" s="264">
        <f>B$20*1</f>
        <v>0</v>
      </c>
      <c r="AI20" s="264">
        <f>B$20*1</f>
        <v>0</v>
      </c>
      <c r="AJ20" s="264">
        <f>B$20*1</f>
        <v>0</v>
      </c>
      <c r="AK20" s="264">
        <f>B$20*1</f>
        <v>0</v>
      </c>
      <c r="AL20" s="264">
        <f>B$20*1</f>
        <v>0</v>
      </c>
      <c r="AM20" s="265">
        <f t="shared" si="1"/>
        <v>0</v>
      </c>
      <c r="AN20" s="265">
        <f t="shared" si="2"/>
        <v>0</v>
      </c>
      <c r="AO20" s="265">
        <f t="shared" si="3"/>
        <v>0</v>
      </c>
    </row>
    <row r="21" spans="1:41" ht="15.75" customHeight="1" x14ac:dyDescent="0.25">
      <c r="A21" s="243" t="str">
        <f>'Costos HH - Sueldos'!$A29</f>
        <v>Tester</v>
      </c>
      <c r="B21" s="263">
        <v>0</v>
      </c>
      <c r="C21" s="266"/>
      <c r="D21" s="266"/>
      <c r="E21" s="266"/>
      <c r="F21" s="266"/>
      <c r="G21" s="266"/>
      <c r="H21" s="263">
        <f>B$21*1*4</f>
        <v>0</v>
      </c>
      <c r="I21" s="263">
        <f>B$21*4</f>
        <v>0</v>
      </c>
      <c r="J21" s="266"/>
      <c r="K21" s="263">
        <f>B$21*1*4</f>
        <v>0</v>
      </c>
      <c r="L21" s="266"/>
      <c r="M21" s="266"/>
      <c r="N21" s="266"/>
      <c r="O21" s="266"/>
      <c r="P21" s="266"/>
      <c r="Q21" s="266"/>
      <c r="R21" s="266"/>
      <c r="S21" s="266"/>
      <c r="T21" s="266"/>
      <c r="U21" s="266"/>
      <c r="V21" s="266"/>
      <c r="W21" s="267"/>
      <c r="X21" s="267"/>
      <c r="Y21" s="267"/>
      <c r="Z21" s="267"/>
      <c r="AA21" s="267"/>
      <c r="AB21" s="267"/>
      <c r="AC21" s="267"/>
      <c r="AD21" s="267"/>
      <c r="AE21" s="267"/>
      <c r="AF21" s="267"/>
      <c r="AG21" s="267"/>
      <c r="AH21" s="267"/>
      <c r="AI21" s="267"/>
      <c r="AJ21" s="267"/>
      <c r="AK21" s="267"/>
      <c r="AL21" s="267"/>
      <c r="AM21" s="265">
        <f t="shared" si="1"/>
        <v>0</v>
      </c>
      <c r="AN21" s="265">
        <f t="shared" si="2"/>
        <v>0</v>
      </c>
      <c r="AO21" s="265">
        <f t="shared" si="3"/>
        <v>0</v>
      </c>
    </row>
    <row r="22" spans="1:41" ht="15.75" customHeight="1" x14ac:dyDescent="0.25">
      <c r="A22" s="243" t="str">
        <f>'Costos HH - Sueldos'!$A30</f>
        <v>Documentador</v>
      </c>
      <c r="B22" s="263">
        <v>0</v>
      </c>
      <c r="C22" s="266"/>
      <c r="D22" s="266"/>
      <c r="E22" s="266"/>
      <c r="F22" s="266"/>
      <c r="G22" s="266"/>
      <c r="H22" s="266"/>
      <c r="I22" s="263">
        <f>B$22*1*2</f>
        <v>0</v>
      </c>
      <c r="J22" s="266"/>
      <c r="K22" s="266"/>
      <c r="L22" s="266"/>
      <c r="M22" s="266"/>
      <c r="N22" s="266"/>
      <c r="O22" s="266"/>
      <c r="P22" s="266"/>
      <c r="Q22" s="266"/>
      <c r="R22" s="263">
        <f>B$22*2</f>
        <v>0</v>
      </c>
      <c r="S22" s="266"/>
      <c r="T22" s="263">
        <f>B$22*2</f>
        <v>0</v>
      </c>
      <c r="U22" s="263">
        <f>B$22*2</f>
        <v>0</v>
      </c>
      <c r="V22" s="263">
        <f>B$22*2</f>
        <v>0</v>
      </c>
      <c r="W22" s="268">
        <f t="shared" ref="W22:AL22" si="8">$B$22*1</f>
        <v>0</v>
      </c>
      <c r="X22" s="268">
        <f t="shared" si="8"/>
        <v>0</v>
      </c>
      <c r="Y22" s="268">
        <f t="shared" si="8"/>
        <v>0</v>
      </c>
      <c r="Z22" s="268">
        <f t="shared" si="8"/>
        <v>0</v>
      </c>
      <c r="AA22" s="268">
        <f t="shared" si="8"/>
        <v>0</v>
      </c>
      <c r="AB22" s="268">
        <f t="shared" si="8"/>
        <v>0</v>
      </c>
      <c r="AC22" s="268">
        <f t="shared" si="8"/>
        <v>0</v>
      </c>
      <c r="AD22" s="268">
        <f t="shared" si="8"/>
        <v>0</v>
      </c>
      <c r="AE22" s="268">
        <f t="shared" si="8"/>
        <v>0</v>
      </c>
      <c r="AF22" s="268">
        <f t="shared" si="8"/>
        <v>0</v>
      </c>
      <c r="AG22" s="268">
        <f t="shared" si="8"/>
        <v>0</v>
      </c>
      <c r="AH22" s="268">
        <f t="shared" si="8"/>
        <v>0</v>
      </c>
      <c r="AI22" s="268">
        <f t="shared" si="8"/>
        <v>0</v>
      </c>
      <c r="AJ22" s="268">
        <f t="shared" si="8"/>
        <v>0</v>
      </c>
      <c r="AK22" s="268">
        <f t="shared" si="8"/>
        <v>0</v>
      </c>
      <c r="AL22" s="268">
        <f t="shared" si="8"/>
        <v>0</v>
      </c>
      <c r="AM22" s="265">
        <f t="shared" si="1"/>
        <v>0</v>
      </c>
      <c r="AN22" s="265">
        <f t="shared" si="2"/>
        <v>0</v>
      </c>
      <c r="AO22" s="265">
        <f t="shared" si="3"/>
        <v>0</v>
      </c>
    </row>
    <row r="23" spans="1:41" ht="15.75" customHeight="1" x14ac:dyDescent="0.25">
      <c xmlns="http://schemas.openxmlformats.org/spreadsheetml/2006/main" r="A23" s="243" t="str">
        <f>'Costos HH - Sueldos'!$A31</f>
        <v>LÃ­der de ImplantaciÃ³n / Cambio</v>
      </c>
      <c r="B23" s="263">
        <v>0</v>
      </c>
      <c r="C23" s="263">
        <f>B$23</f>
        <v>0</v>
      </c>
      <c r="D23" s="266"/>
      <c r="E23" s="266"/>
      <c r="F23" s="266"/>
      <c r="G23" s="266"/>
      <c r="H23" s="266"/>
      <c r="I23" s="266"/>
      <c r="J23" s="266"/>
      <c r="K23" s="266"/>
      <c r="L23" s="266"/>
      <c r="M23" s="266"/>
      <c r="N23" s="266"/>
      <c r="O23" s="266"/>
      <c r="P23" s="266"/>
      <c r="Q23" s="266"/>
      <c r="R23" s="266"/>
      <c r="S23" s="266"/>
      <c r="T23" s="266"/>
      <c r="U23" s="266"/>
      <c r="V23" s="266"/>
      <c r="W23" s="264">
        <f>B$23*1</f>
        <v>0</v>
      </c>
      <c r="X23" s="264">
        <f>B$23*1</f>
        <v>0</v>
      </c>
      <c r="Y23" s="264">
        <f>B$23*1</f>
        <v>0</v>
      </c>
      <c r="Z23" s="264">
        <f>B$23*1</f>
        <v>0</v>
      </c>
      <c r="AA23" s="264">
        <f>B$23*1</f>
        <v>0</v>
      </c>
      <c r="AB23" s="264">
        <f>B$23*1</f>
        <v>0</v>
      </c>
      <c r="AC23" s="264">
        <f>B$23*1</f>
        <v>0</v>
      </c>
      <c r="AD23" s="264">
        <f>B$23*1</f>
        <v>0</v>
      </c>
      <c r="AE23" s="264">
        <f>B$23*1</f>
        <v>0</v>
      </c>
      <c r="AF23" s="264">
        <f>B$23*1</f>
        <v>0</v>
      </c>
      <c r="AG23" s="264">
        <f>B$23*1</f>
        <v>0</v>
      </c>
      <c r="AH23" s="264">
        <f>B$23*1</f>
        <v>0</v>
      </c>
      <c r="AI23" s="264">
        <f>B$23*1</f>
        <v>0</v>
      </c>
      <c r="AJ23" s="264">
        <f>B$23*1</f>
        <v>0</v>
      </c>
      <c r="AK23" s="264">
        <f>B$23*1</f>
        <v>0</v>
      </c>
      <c r="AL23" s="264">
        <f>B$23*1</f>
        <v>0</v>
      </c>
      <c r="AM23" s="265">
        <f t="shared" si="1"/>
        <v>0</v>
      </c>
      <c r="AN23" s="265">
        <f t="shared" si="2"/>
        <v>0</v>
      </c>
      <c r="AO23" s="265">
        <f t="shared" si="3"/>
        <v>0</v>
      </c>
    </row>
    <row r="24" spans="1:41" ht="15.75" customHeight="1" x14ac:dyDescent="0.25">
      <c r="A24" s="243" t="str">
        <f>'Costos HH - Sueldos'!$A32</f>
        <v>Instructor de Capacitación</v>
      </c>
      <c r="B24" s="263">
        <v>0</v>
      </c>
      <c r="C24" s="266"/>
      <c r="D24" s="266"/>
      <c r="E24" s="266"/>
      <c r="F24" s="266"/>
      <c r="G24" s="266"/>
      <c r="H24" s="266"/>
      <c r="I24" s="266"/>
      <c r="J24" s="266"/>
      <c r="K24" s="266"/>
      <c r="L24" s="266"/>
      <c r="M24" s="266"/>
      <c r="N24" s="266"/>
      <c r="O24" s="266"/>
      <c r="P24" s="263">
        <f>B$24</f>
        <v>0</v>
      </c>
      <c r="Q24" s="266"/>
      <c r="R24" s="263">
        <f>B$24</f>
        <v>0</v>
      </c>
      <c r="S24" s="266"/>
      <c r="T24" s="266"/>
      <c r="U24" s="266"/>
      <c r="V24" s="266"/>
      <c r="W24" s="267"/>
      <c r="X24" s="267"/>
      <c r="Y24" s="267"/>
      <c r="Z24" s="267"/>
      <c r="AA24" s="267"/>
      <c r="AB24" s="267"/>
      <c r="AC24" s="267"/>
      <c r="AD24" s="267"/>
      <c r="AE24" s="267"/>
      <c r="AF24" s="267"/>
      <c r="AG24" s="267"/>
      <c r="AH24" s="267"/>
      <c r="AI24" s="267"/>
      <c r="AJ24" s="267"/>
      <c r="AK24" s="267"/>
      <c r="AL24" s="267"/>
      <c r="AM24" s="265">
        <f t="shared" si="1"/>
        <v>0</v>
      </c>
      <c r="AN24" s="265">
        <f t="shared" si="2"/>
        <v>0</v>
      </c>
      <c r="AO24" s="265">
        <f t="shared" si="3"/>
        <v>0</v>
      </c>
    </row>
    <row r="25" spans="1:41" ht="15.75" customHeight="1" x14ac:dyDescent="0.25">
      <c xmlns="http://schemas.openxmlformats.org/spreadsheetml/2006/main" r="A25" s="243" t="str">
        <f>'Costos HH - Sueldos'!$A33</f>
        <v>LÃ­der de Datos</v>
      </c>
      <c r="B25" s="263">
        <v>0</v>
      </c>
      <c r="C25" s="266"/>
      <c r="D25" s="266"/>
      <c r="E25" s="266"/>
      <c r="F25" s="266"/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266"/>
      <c r="T25" s="266"/>
      <c r="U25" s="266"/>
      <c r="V25" s="263">
        <f>B$25</f>
        <v>0</v>
      </c>
      <c r="W25" s="267"/>
      <c r="X25" s="267"/>
      <c r="Y25" s="267"/>
      <c r="Z25" s="267"/>
      <c r="AA25" s="267"/>
      <c r="AB25" s="267"/>
      <c r="AC25" s="267"/>
      <c r="AD25" s="267"/>
      <c r="AE25" s="267"/>
      <c r="AF25" s="267"/>
      <c r="AG25" s="267"/>
      <c r="AH25" s="267"/>
      <c r="AI25" s="267"/>
      <c r="AJ25" s="267"/>
      <c r="AK25" s="267"/>
      <c r="AL25" s="267"/>
      <c r="AM25" s="265">
        <f t="shared" si="1"/>
        <v>0</v>
      </c>
      <c r="AN25" s="265">
        <f t="shared" si="2"/>
        <v>0</v>
      </c>
      <c r="AO25" s="265">
        <f t="shared" si="3"/>
        <v>0</v>
      </c>
    </row>
    <row r="26" spans="1:41" ht="15.75" customHeight="1" x14ac:dyDescent="0.25">
      <c xmlns="http://schemas.openxmlformats.org/spreadsheetml/2006/main" r="A26" s="243" t="str">
        <f>'Costos HH - Sueldos'!$A34</f>
        <v>LÃ­der de OperaciÃ³n / SRE</v>
      </c>
      <c r="B26" s="263">
        <v>0</v>
      </c>
      <c r="C26" s="266"/>
      <c r="D26" s="266"/>
      <c r="E26" s="266"/>
      <c r="F26" s="266"/>
      <c r="G26" s="266"/>
      <c r="H26" s="266"/>
      <c r="I26" s="266"/>
      <c r="J26" s="266"/>
      <c r="K26" s="266"/>
      <c r="L26" s="266"/>
      <c r="M26" s="266"/>
      <c r="N26" s="266"/>
      <c r="O26" s="266"/>
      <c r="P26" s="266"/>
      <c r="Q26" s="266"/>
      <c r="R26" s="266"/>
      <c r="S26" s="266"/>
      <c r="T26" s="266"/>
      <c r="U26" s="266"/>
      <c r="V26" s="263">
        <f>B$26</f>
        <v>0</v>
      </c>
      <c r="W26" s="267"/>
      <c r="X26" s="267"/>
      <c r="Y26" s="267"/>
      <c r="Z26" s="267"/>
      <c r="AA26" s="267"/>
      <c r="AB26" s="267"/>
      <c r="AC26" s="267"/>
      <c r="AD26" s="267"/>
      <c r="AE26" s="267"/>
      <c r="AF26" s="267"/>
      <c r="AG26" s="267"/>
      <c r="AH26" s="267"/>
      <c r="AI26" s="267"/>
      <c r="AJ26" s="267"/>
      <c r="AK26" s="267"/>
      <c r="AL26" s="267"/>
      <c r="AM26" s="265">
        <f t="shared" si="1"/>
        <v>0</v>
      </c>
      <c r="AN26" s="265">
        <f t="shared" si="2"/>
        <v>0</v>
      </c>
      <c r="AO26" s="265">
        <f t="shared" si="3"/>
        <v>0</v>
      </c>
    </row>
    <row r="27" spans="1:41" ht="15.75" customHeight="1" x14ac:dyDescent="0.25">
      <c r="A27" s="243" t="str">
        <f>'Costos HH - Sueldos'!$A35</f>
        <v>Gestor de Adquisiciones</v>
      </c>
      <c r="B27" s="263">
        <v>0</v>
      </c>
      <c r="C27" s="263">
        <f>B$27</f>
        <v>0</v>
      </c>
      <c r="D27" s="266"/>
      <c r="E27" s="263">
        <f>B$27</f>
        <v>0</v>
      </c>
      <c r="F27" s="263">
        <f>B$27*1</f>
        <v>0</v>
      </c>
      <c r="G27" s="263">
        <f>B$27*1</f>
        <v>0</v>
      </c>
      <c r="H27" s="263">
        <f>B$27*1</f>
        <v>0</v>
      </c>
      <c r="I27" s="263">
        <f>B$27*1</f>
        <v>0</v>
      </c>
      <c r="J27" s="266"/>
      <c r="K27" s="266"/>
      <c r="L27" s="266"/>
      <c r="M27" s="266"/>
      <c r="N27" s="266"/>
      <c r="O27" s="266"/>
      <c r="P27" s="266"/>
      <c r="Q27" s="266"/>
      <c r="R27" s="266"/>
      <c r="S27" s="266"/>
      <c r="T27" s="266"/>
      <c r="U27" s="266"/>
      <c r="V27" s="263">
        <f>B$27</f>
        <v>0</v>
      </c>
      <c r="W27" s="264">
        <f t="shared" ref="W27:AL27" si="9">$B$27*1</f>
        <v>0</v>
      </c>
      <c r="X27" s="264">
        <f t="shared" si="9"/>
        <v>0</v>
      </c>
      <c r="Y27" s="264">
        <f t="shared" si="9"/>
        <v>0</v>
      </c>
      <c r="Z27" s="264">
        <f t="shared" si="9"/>
        <v>0</v>
      </c>
      <c r="AA27" s="264">
        <f t="shared" si="9"/>
        <v>0</v>
      </c>
      <c r="AB27" s="264">
        <f t="shared" si="9"/>
        <v>0</v>
      </c>
      <c r="AC27" s="264">
        <f t="shared" si="9"/>
        <v>0</v>
      </c>
      <c r="AD27" s="264">
        <f t="shared" si="9"/>
        <v>0</v>
      </c>
      <c r="AE27" s="264">
        <f t="shared" si="9"/>
        <v>0</v>
      </c>
      <c r="AF27" s="264">
        <f t="shared" si="9"/>
        <v>0</v>
      </c>
      <c r="AG27" s="264">
        <f t="shared" si="9"/>
        <v>0</v>
      </c>
      <c r="AH27" s="264">
        <f t="shared" si="9"/>
        <v>0</v>
      </c>
      <c r="AI27" s="264">
        <f t="shared" si="9"/>
        <v>0</v>
      </c>
      <c r="AJ27" s="264">
        <f t="shared" si="9"/>
        <v>0</v>
      </c>
      <c r="AK27" s="264">
        <f t="shared" si="9"/>
        <v>0</v>
      </c>
      <c r="AL27" s="264">
        <f t="shared" si="9"/>
        <v>0</v>
      </c>
      <c r="AM27" s="265">
        <f t="shared" si="1"/>
        <v>0</v>
      </c>
      <c r="AN27" s="265">
        <f t="shared" si="2"/>
        <v>0</v>
      </c>
      <c r="AO27" s="265">
        <f t="shared" si="3"/>
        <v>0</v>
      </c>
    </row>
    <row r="28" spans="1:41" ht="15.75" customHeight="1" x14ac:dyDescent="0.25">
      <c r="A28" s="243" t="str">
        <f>'Costos HH - Sueldos'!$A36</f>
        <v>Asesor Legal</v>
      </c>
      <c r="B28" s="263">
        <v>0</v>
      </c>
      <c r="C28" s="266"/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6"/>
      <c r="S28" s="266"/>
      <c r="T28" s="266"/>
      <c r="U28" s="266"/>
      <c r="V28" s="263">
        <f>B$28</f>
        <v>0</v>
      </c>
      <c r="W28" s="267"/>
      <c r="X28" s="267"/>
      <c r="Y28" s="267"/>
      <c r="Z28" s="267"/>
      <c r="AA28" s="267"/>
      <c r="AB28" s="267"/>
      <c r="AC28" s="267"/>
      <c r="AD28" s="267"/>
      <c r="AE28" s="267"/>
      <c r="AF28" s="267"/>
      <c r="AG28" s="267"/>
      <c r="AH28" s="267"/>
      <c r="AI28" s="267"/>
      <c r="AJ28" s="267"/>
      <c r="AK28" s="267"/>
      <c r="AL28" s="268">
        <f>B$28*1</f>
        <v>0</v>
      </c>
      <c r="AM28" s="265">
        <f t="shared" si="1"/>
        <v>0</v>
      </c>
      <c r="AN28" s="265">
        <f t="shared" si="2"/>
        <v>0</v>
      </c>
      <c r="AO28" s="265">
        <f t="shared" si="3"/>
        <v>0</v>
      </c>
    </row>
    <row r="29" spans="1:41" ht="15.75" customHeight="1" x14ac:dyDescent="0.25">
      <c xmlns="http://schemas.openxmlformats.org/spreadsheetml/2006/main" r="A29" s="243" t="str">
        <f>'Costos HH - Sueldos'!$A37</f>
        <v>Apoyo en bodega nocturna</v>
      </c>
      <c r="B29" s="263">
        <v>0</v>
      </c>
      <c r="C29" s="263">
        <f>B$29</f>
        <v>0</v>
      </c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6"/>
      <c r="Q29" s="266"/>
      <c r="R29" s="266"/>
      <c r="S29" s="266"/>
      <c r="T29" s="266"/>
      <c r="U29" s="266"/>
      <c r="V29" s="266"/>
      <c r="W29" s="267"/>
      <c r="X29" s="267"/>
      <c r="Y29" s="267"/>
      <c r="Z29" s="267"/>
      <c r="AA29" s="267"/>
      <c r="AB29" s="267"/>
      <c r="AC29" s="267"/>
      <c r="AD29" s="267"/>
      <c r="AE29" s="267"/>
      <c r="AF29" s="267"/>
      <c r="AG29" s="267"/>
      <c r="AH29" s="267"/>
      <c r="AI29" s="267"/>
      <c r="AJ29" s="267"/>
      <c r="AK29" s="267"/>
      <c r="AL29" s="267"/>
      <c r="AM29" s="265">
        <f t="shared" si="1"/>
        <v>0</v>
      </c>
      <c r="AN29" s="265">
        <f t="shared" si="2"/>
        <v>0</v>
      </c>
      <c r="AO29" s="265">
        <f t="shared" si="3"/>
        <v>0</v>
      </c>
    </row>
    <row r="30" spans="1:41" ht="15.75" customHeight="1" x14ac:dyDescent="0.25">
      <c xmlns="http://schemas.openxmlformats.org/spreadsheetml/2006/main" r="A30" s="243" t="str">
        <f>'Costos HH - Sueldos'!$A38</f>
        <v>Apoyo en cross-docking</v>
      </c>
      <c r="B30" s="263">
        <v>0</v>
      </c>
      <c r="C30" s="263">
        <f>B$30</f>
        <v>0</v>
      </c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266"/>
      <c r="O30" s="266"/>
      <c r="P30" s="266"/>
      <c r="Q30" s="266"/>
      <c r="R30" s="266"/>
      <c r="S30" s="266"/>
      <c r="T30" s="266"/>
      <c r="U30" s="266"/>
      <c r="V30" s="266"/>
      <c r="W30" s="267"/>
      <c r="X30" s="267"/>
      <c r="Y30" s="267"/>
      <c r="Z30" s="267"/>
      <c r="AA30" s="267"/>
      <c r="AB30" s="267"/>
      <c r="AC30" s="267"/>
      <c r="AD30" s="267"/>
      <c r="AE30" s="267"/>
      <c r="AF30" s="267"/>
      <c r="AG30" s="267"/>
      <c r="AH30" s="267"/>
      <c r="AI30" s="267"/>
      <c r="AJ30" s="267"/>
      <c r="AK30" s="267"/>
      <c r="AL30" s="264">
        <f>B$30*1</f>
        <v>0</v>
      </c>
      <c r="AM30" s="265">
        <f t="shared" si="1"/>
        <v>0</v>
      </c>
      <c r="AN30" s="265">
        <f t="shared" si="2"/>
        <v>0</v>
      </c>
      <c r="AO30" s="265">
        <f t="shared" si="3"/>
        <v>0</v>
      </c>
    </row>
    <row r="31" spans="1:41" ht="15.75" customHeight="1" x14ac:dyDescent="0.25">
      <c xmlns="http://schemas.openxmlformats.org/spreadsheetml/2006/main" r="A31" s="243" t="str">
        <f>'Costos HH - Sueldos'!$A39</f>
        <v>AcompaÃ±ante en ruta</v>
      </c>
      <c r="B31" s="263">
        <v>0</v>
      </c>
      <c r="C31" s="263">
        <f>B$31</f>
        <v>0</v>
      </c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6"/>
      <c r="O31" s="266"/>
      <c r="P31" s="266"/>
      <c r="Q31" s="266"/>
      <c r="R31" s="266"/>
      <c r="S31" s="266"/>
      <c r="T31" s="266"/>
      <c r="U31" s="266"/>
      <c r="V31" s="263">
        <f>B$31</f>
        <v>0</v>
      </c>
      <c r="W31" s="267"/>
      <c r="X31" s="267"/>
      <c r="Y31" s="267"/>
      <c r="Z31" s="267"/>
      <c r="AA31" s="267"/>
      <c r="AB31" s="267"/>
      <c r="AC31" s="267"/>
      <c r="AD31" s="267"/>
      <c r="AE31" s="267"/>
      <c r="AF31" s="267"/>
      <c r="AG31" s="267"/>
      <c r="AH31" s="267"/>
      <c r="AI31" s="267"/>
      <c r="AJ31" s="267"/>
      <c r="AK31" s="267"/>
      <c r="AL31" s="268">
        <f>B$31*1</f>
        <v>0</v>
      </c>
      <c r="AM31" s="265">
        <f t="shared" si="1"/>
        <v>0</v>
      </c>
      <c r="AN31" s="265">
        <f t="shared" si="2"/>
        <v>0</v>
      </c>
      <c r="AO31" s="265">
        <f t="shared" si="3"/>
        <v>0</v>
      </c>
    </row>
    <row r="32" spans="1:41" ht="15.75" customHeight="1" x14ac:dyDescent="0.25">
      <c r="A32" s="243" t="str">
        <f>'Costos HH - Sueldos'!$A40</f>
        <v>Administrador de plataforma</v>
      </c>
      <c r="B32" s="263">
        <v>0</v>
      </c>
      <c r="C32" s="266"/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6"/>
      <c r="O32" s="266"/>
      <c r="P32" s="266"/>
      <c r="Q32" s="266"/>
      <c r="R32" s="266"/>
      <c r="S32" s="266"/>
      <c r="T32" s="266"/>
      <c r="U32" s="266"/>
      <c r="V32" s="266"/>
      <c r="W32" s="264">
        <f t="shared" ref="W32:AL32" si="10">$B$31*1</f>
        <v>0</v>
      </c>
      <c r="X32" s="264">
        <f t="shared" si="10"/>
        <v>0</v>
      </c>
      <c r="Y32" s="264">
        <f t="shared" si="10"/>
        <v>0</v>
      </c>
      <c r="Z32" s="264">
        <f t="shared" si="10"/>
        <v>0</v>
      </c>
      <c r="AA32" s="264">
        <f t="shared" si="10"/>
        <v>0</v>
      </c>
      <c r="AB32" s="264">
        <f t="shared" si="10"/>
        <v>0</v>
      </c>
      <c r="AC32" s="264">
        <f t="shared" si="10"/>
        <v>0</v>
      </c>
      <c r="AD32" s="264">
        <f t="shared" si="10"/>
        <v>0</v>
      </c>
      <c r="AE32" s="264">
        <f t="shared" si="10"/>
        <v>0</v>
      </c>
      <c r="AF32" s="264">
        <f t="shared" si="10"/>
        <v>0</v>
      </c>
      <c r="AG32" s="264">
        <f t="shared" si="10"/>
        <v>0</v>
      </c>
      <c r="AH32" s="264">
        <f t="shared" si="10"/>
        <v>0</v>
      </c>
      <c r="AI32" s="264">
        <f t="shared" si="10"/>
        <v>0</v>
      </c>
      <c r="AJ32" s="264">
        <f t="shared" si="10"/>
        <v>0</v>
      </c>
      <c r="AK32" s="264">
        <f t="shared" si="10"/>
        <v>0</v>
      </c>
      <c r="AL32" s="264">
        <f t="shared" si="10"/>
        <v>0</v>
      </c>
      <c r="AM32" s="265">
        <f t="shared" si="1"/>
        <v>0</v>
      </c>
      <c r="AN32" s="265">
        <f t="shared" si="2"/>
        <v>0</v>
      </c>
      <c r="AO32" s="265">
        <f t="shared" si="3"/>
        <v>0</v>
      </c>
    </row>
    <row r="33" spans="1:41" ht="15.75" customHeight="1" x14ac:dyDescent="0.25">
      <c r="A33" s="243" t="s">
        <v>297</v>
      </c>
      <c r="B33" s="269">
        <v>0</v>
      </c>
      <c r="C33" s="266"/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6"/>
      <c r="O33" s="266"/>
      <c r="P33" s="266"/>
      <c r="Q33" s="266"/>
      <c r="R33" s="266"/>
      <c r="S33" s="266"/>
      <c r="T33" s="266"/>
      <c r="U33" s="266"/>
      <c r="V33" s="266"/>
      <c r="W33" s="269">
        <v>0</v>
      </c>
      <c r="X33" s="269">
        <v>0</v>
      </c>
      <c r="Y33" s="269">
        <v>0</v>
      </c>
      <c r="Z33" s="269">
        <v>0</v>
      </c>
      <c r="AA33" s="269">
        <v>0</v>
      </c>
      <c r="AB33" s="269">
        <v>0</v>
      </c>
      <c r="AC33" s="269">
        <v>0</v>
      </c>
      <c r="AD33" s="269">
        <v>0</v>
      </c>
      <c r="AE33" s="269">
        <v>0</v>
      </c>
      <c r="AF33" s="269">
        <v>0</v>
      </c>
      <c r="AG33" s="269">
        <v>0</v>
      </c>
      <c r="AH33" s="269">
        <v>0</v>
      </c>
      <c r="AI33" s="269">
        <v>0</v>
      </c>
      <c r="AJ33" s="269">
        <v>0</v>
      </c>
      <c r="AK33" s="269">
        <v>0</v>
      </c>
      <c r="AL33" s="269">
        <v>0</v>
      </c>
      <c r="AM33" s="265">
        <f t="shared" si="1"/>
        <v>0</v>
      </c>
      <c r="AN33" s="265">
        <f t="shared" si="2"/>
        <v>0</v>
      </c>
      <c r="AO33" s="265">
        <f t="shared" si="3"/>
        <v>0</v>
      </c>
    </row>
    <row r="34" spans="1:41" ht="15.75" customHeight="1" x14ac:dyDescent="0.25">
      <c r="A34" s="270" t="s">
        <v>101</v>
      </c>
      <c r="B34" s="271"/>
      <c r="C34" s="272">
        <f t="shared" ref="C34:L34" si="11">SUM(C3:C33)</f>
        <v>0</v>
      </c>
      <c r="D34" s="272">
        <f t="shared" si="11"/>
        <v>0</v>
      </c>
      <c r="E34" s="272">
        <f t="shared" si="11"/>
        <v>0</v>
      </c>
      <c r="F34" s="272">
        <f t="shared" si="11"/>
        <v>0</v>
      </c>
      <c r="G34" s="272">
        <f t="shared" si="11"/>
        <v>0</v>
      </c>
      <c r="H34" s="272">
        <f t="shared" si="11"/>
        <v>0</v>
      </c>
      <c r="I34" s="272">
        <f t="shared" si="11"/>
        <v>0</v>
      </c>
      <c r="J34" s="272">
        <f t="shared" si="11"/>
        <v>0</v>
      </c>
      <c r="K34" s="272">
        <f t="shared" si="11"/>
        <v>0</v>
      </c>
      <c r="L34" s="272">
        <f t="shared" si="11"/>
        <v>0</v>
      </c>
      <c r="M34" s="272">
        <f t="shared" ref="M34:V34" si="12">SUM(M3:M32)</f>
        <v>0</v>
      </c>
      <c r="N34" s="272">
        <f t="shared" si="12"/>
        <v>0</v>
      </c>
      <c r="O34" s="272">
        <f t="shared" si="12"/>
        <v>0</v>
      </c>
      <c r="P34" s="272">
        <f t="shared" si="12"/>
        <v>0</v>
      </c>
      <c r="Q34" s="272">
        <f t="shared" si="12"/>
        <v>0</v>
      </c>
      <c r="R34" s="272">
        <f t="shared" si="12"/>
        <v>0</v>
      </c>
      <c r="S34" s="272">
        <f t="shared" si="12"/>
        <v>0</v>
      </c>
      <c r="T34" s="272">
        <f t="shared" si="12"/>
        <v>0</v>
      </c>
      <c r="U34" s="272">
        <f t="shared" si="12"/>
        <v>0</v>
      </c>
      <c r="V34" s="272">
        <f t="shared" si="12"/>
        <v>0</v>
      </c>
      <c r="W34" s="273">
        <f t="shared" ref="W34:AO34" si="13">SUM(W3:W33)</f>
        <v>0</v>
      </c>
      <c r="X34" s="273">
        <f t="shared" si="13"/>
        <v>0</v>
      </c>
      <c r="Y34" s="273">
        <f t="shared" si="13"/>
        <v>0</v>
      </c>
      <c r="Z34" s="273">
        <f t="shared" si="13"/>
        <v>0</v>
      </c>
      <c r="AA34" s="273">
        <f t="shared" si="13"/>
        <v>0</v>
      </c>
      <c r="AB34" s="273">
        <f t="shared" si="13"/>
        <v>0</v>
      </c>
      <c r="AC34" s="273">
        <f t="shared" si="13"/>
        <v>0</v>
      </c>
      <c r="AD34" s="273">
        <f t="shared" si="13"/>
        <v>0</v>
      </c>
      <c r="AE34" s="273">
        <f t="shared" si="13"/>
        <v>0</v>
      </c>
      <c r="AF34" s="273">
        <f t="shared" si="13"/>
        <v>0</v>
      </c>
      <c r="AG34" s="273">
        <f t="shared" si="13"/>
        <v>0</v>
      </c>
      <c r="AH34" s="273">
        <f t="shared" si="13"/>
        <v>0</v>
      </c>
      <c r="AI34" s="273">
        <f t="shared" si="13"/>
        <v>0</v>
      </c>
      <c r="AJ34" s="273">
        <f t="shared" si="13"/>
        <v>0</v>
      </c>
      <c r="AK34" s="273">
        <f t="shared" si="13"/>
        <v>0</v>
      </c>
      <c r="AL34" s="274">
        <f t="shared" si="13"/>
        <v>0</v>
      </c>
      <c r="AM34" s="275">
        <f t="shared" si="13"/>
        <v>0</v>
      </c>
      <c r="AN34" s="275">
        <f t="shared" si="13"/>
        <v>0</v>
      </c>
      <c r="AO34" s="276">
        <f t="shared" si="13"/>
        <v>0</v>
      </c>
    </row>
    <row r="35" spans="1:41" ht="15.75" customHeight="1" x14ac:dyDescent="0.25">
      <c r="A35" s="173"/>
      <c r="B35" s="173"/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277" t="s">
        <v>101</v>
      </c>
      <c r="V35" s="278">
        <f>SUM(C34:V34)</f>
        <v>0</v>
      </c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279" t="s">
        <v>101</v>
      </c>
      <c r="AL35" s="280">
        <f>SUM(W34:AL34)</f>
        <v>0</v>
      </c>
      <c r="AM35" s="281"/>
      <c r="AN35" s="281"/>
      <c r="AO35" s="281"/>
    </row>
    <row r="36" spans="1:41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173"/>
      <c r="P36" s="173"/>
      <c r="Q36" s="173"/>
      <c r="R36" s="173"/>
      <c r="S36" s="173"/>
      <c r="T36" s="173"/>
      <c r="U36" s="282" t="s">
        <v>298</v>
      </c>
      <c r="V36" s="278">
        <f>SUM(G33:V33)</f>
        <v>0</v>
      </c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283" t="s">
        <v>298</v>
      </c>
      <c r="AL36" s="280">
        <f>SUM(W33:AL33)</f>
        <v>0</v>
      </c>
      <c r="AM36" s="284"/>
      <c r="AN36" s="284"/>
      <c r="AO36" s="284"/>
    </row>
    <row r="37" spans="1:41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173"/>
      <c r="P37" s="173"/>
      <c r="Q37" s="173"/>
      <c r="R37" s="173"/>
      <c r="S37" s="173"/>
      <c r="T37" s="173"/>
      <c r="U37" s="129" t="s">
        <v>299</v>
      </c>
      <c r="V37" s="278">
        <f>V35-V36</f>
        <v>0</v>
      </c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/>
      <c r="AH37" s="173"/>
      <c r="AI37" s="173"/>
      <c r="AJ37" s="173"/>
      <c r="AK37" s="285" t="s">
        <v>299</v>
      </c>
      <c r="AL37" s="280">
        <f>AL35-AL36</f>
        <v>0</v>
      </c>
      <c r="AM37" s="284"/>
      <c r="AN37" s="284"/>
      <c r="AO37" s="284"/>
    </row>
    <row r="38" spans="1:41" ht="15.75" customHeight="1" x14ac:dyDescent="0.25">
      <c r="A38" s="444" t="s">
        <v>300</v>
      </c>
      <c r="B38" s="445"/>
      <c r="C38" s="445"/>
      <c r="D38" s="445"/>
      <c r="E38" s="445"/>
      <c r="F38" s="445"/>
      <c r="G38" s="445"/>
      <c r="H38" s="445"/>
      <c r="I38" s="445"/>
      <c r="J38" s="445"/>
      <c r="K38" s="445"/>
      <c r="L38" s="445"/>
      <c r="M38" s="445"/>
      <c r="N38" s="445"/>
      <c r="O38" s="445"/>
      <c r="P38" s="445"/>
      <c r="Q38" s="445"/>
      <c r="R38" s="445"/>
      <c r="S38" s="445"/>
      <c r="T38" s="445"/>
      <c r="U38" s="445"/>
      <c r="V38" s="439"/>
      <c r="W38" s="3"/>
      <c r="X38" s="3"/>
      <c r="Y38" s="3"/>
      <c r="Z38" s="3"/>
      <c r="AA38" s="3"/>
      <c r="AB38" s="3"/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  <c r="AM38" s="173"/>
      <c r="AN38" s="173"/>
      <c r="AO38" s="173"/>
    </row>
    <row r="39" spans="1:41" ht="15.75" customHeight="1" x14ac:dyDescent="0.25">
      <c r="A39" s="286"/>
      <c r="B39" s="287" t="s">
        <v>301</v>
      </c>
      <c r="C39" s="287" t="s">
        <v>259</v>
      </c>
      <c r="D39" s="287" t="s">
        <v>260</v>
      </c>
      <c r="E39" s="287" t="s">
        <v>261</v>
      </c>
      <c r="F39" s="287" t="s">
        <v>262</v>
      </c>
      <c r="G39" s="287" t="s">
        <v>263</v>
      </c>
      <c r="H39" s="287" t="s">
        <v>264</v>
      </c>
      <c r="I39" s="287" t="s">
        <v>265</v>
      </c>
      <c r="J39" s="287" t="s">
        <v>266</v>
      </c>
      <c r="K39" s="287" t="s">
        <v>267</v>
      </c>
      <c r="L39" s="287" t="s">
        <v>268</v>
      </c>
      <c r="M39" s="287" t="s">
        <v>269</v>
      </c>
      <c r="N39" s="288" t="s">
        <v>270</v>
      </c>
      <c r="O39" s="289" t="s">
        <v>271</v>
      </c>
      <c r="P39" s="289" t="s">
        <v>272</v>
      </c>
      <c r="Q39" s="289" t="s">
        <v>273</v>
      </c>
      <c r="R39" s="289" t="s">
        <v>274</v>
      </c>
      <c r="S39" s="289" t="s">
        <v>275</v>
      </c>
      <c r="T39" s="289" t="s">
        <v>276</v>
      </c>
      <c r="U39" s="289" t="s">
        <v>277</v>
      </c>
      <c r="V39" s="289" t="s">
        <v>278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ht="15.75" customHeight="1" x14ac:dyDescent="0.25">
      <c r="A40" s="290"/>
      <c xmlns="http://schemas.openxmlformats.org/spreadsheetml/2006/main" r="B40" s="291" t="str">
        <f>'Costos HH - Sueldos'!A31</f>
        <v>Líder de Implantación / Cambio</v>
      </c>
      <c r="C40" s="292"/>
      <c r="D40" s="292"/>
      <c r="E40" s="292"/>
      <c r="F40" s="292"/>
      <c r="G40" s="292"/>
      <c r="H40" s="293"/>
      <c r="I40" s="293"/>
      <c r="J40" s="293"/>
      <c r="K40" s="263">
        <f>B$23</f>
        <v>0</v>
      </c>
      <c r="L40" s="294"/>
      <c r="M40" s="294"/>
      <c r="N40" s="292"/>
      <c r="O40" s="292"/>
      <c r="P40" s="292"/>
      <c r="Q40" s="292"/>
      <c r="R40" s="292"/>
      <c r="S40" s="292"/>
      <c r="T40" s="292"/>
      <c r="U40" s="292"/>
      <c r="V40" s="292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ht="15.75" customHeight="1" x14ac:dyDescent="0.25">
      <c r="A41" s="290"/>
      <c xmlns="http://schemas.openxmlformats.org/spreadsheetml/2006/main" r="B41" s="291" t="str">
        <f>'Costos HH - Sueldos'!A32</f>
        <v>Instructor de Capacitación</v>
      </c>
      <c r="C41" s="292"/>
      <c r="D41" s="292"/>
      <c r="E41" s="292"/>
      <c r="F41" s="292"/>
      <c r="G41" s="292"/>
      <c r="H41" s="293"/>
      <c r="I41" s="293"/>
      <c r="J41" s="293"/>
      <c r="K41" s="263">
        <f>B$24*1</f>
        <v>0</v>
      </c>
      <c r="L41" s="295"/>
      <c r="M41" s="294"/>
      <c r="N41" s="292"/>
      <c r="O41" s="292"/>
      <c r="P41" s="292"/>
      <c r="Q41" s="292"/>
      <c r="R41" s="296"/>
      <c r="S41" s="292"/>
      <c r="T41" s="292"/>
      <c r="U41" s="292"/>
      <c r="V41" s="292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ht="15.75" customHeight="1" x14ac:dyDescent="0.25">
      <c r="A42" s="290"/>
      <c xmlns="http://schemas.openxmlformats.org/spreadsheetml/2006/main" r="B42" s="297" t="str">
        <f>'Costos HH - Sueldos'!A15</f>
        <v>Líder Funcional</v>
      </c>
      <c r="C42" s="292"/>
      <c r="D42" s="292"/>
      <c r="E42" s="292"/>
      <c r="F42" s="292"/>
      <c r="G42" s="292"/>
      <c r="H42" s="293"/>
      <c r="I42" s="293"/>
      <c r="J42" s="293"/>
      <c r="K42" s="263">
        <f>B$7</f>
        <v>0</v>
      </c>
      <c r="L42" s="294"/>
      <c r="M42" s="294"/>
      <c r="N42" s="292"/>
      <c r="O42" s="292"/>
      <c r="P42" s="292"/>
      <c r="Q42" s="292"/>
      <c r="R42" s="292"/>
      <c r="S42" s="292"/>
      <c r="T42" s="292"/>
      <c r="U42" s="292"/>
      <c r="V42" s="29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ht="15.75" customHeight="1" x14ac:dyDescent="0.25">
      <c r="A43" s="290"/>
      <c xmlns="http://schemas.openxmlformats.org/spreadsheetml/2006/main" r="B43" s="297" t="str">
        <f>'Costos HH - Sueldos'!A30</f>
        <v>Documentador</v>
      </c>
      <c r="C43" s="292"/>
      <c r="D43" s="292"/>
      <c r="E43" s="292"/>
      <c r="F43" s="292"/>
      <c r="G43" s="292"/>
      <c r="H43" s="293"/>
      <c r="I43" s="293"/>
      <c r="J43" s="293"/>
      <c r="K43" s="263">
        <f>B$22*2</f>
        <v>0</v>
      </c>
      <c r="L43" s="263">
        <f>B$22*2</f>
        <v>0</v>
      </c>
      <c r="M43" s="294"/>
      <c r="N43" s="292"/>
      <c r="O43" s="292"/>
      <c r="P43" s="292"/>
      <c r="Q43" s="292"/>
      <c r="R43" s="292"/>
      <c r="S43" s="292"/>
      <c r="T43" s="292"/>
      <c r="U43" s="292"/>
      <c r="V43" s="29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298"/>
      <c r="AL43" s="3"/>
      <c r="AM43" s="3"/>
      <c r="AN43" s="3"/>
      <c r="AO43" s="3"/>
    </row>
    <row r="44" spans="1:41" ht="15.75" customHeight="1" x14ac:dyDescent="0.25">
      <c r="A44" s="299"/>
      <c r="B44" s="299" t="s">
        <v>304</v>
      </c>
      <c r="C44" s="300">
        <f t="shared" ref="C44:V44" si="14">SUM(C40:C43)</f>
        <v>0</v>
      </c>
      <c r="D44" s="300">
        <f t="shared" si="14"/>
        <v>0</v>
      </c>
      <c r="E44" s="300">
        <f t="shared" si="14"/>
        <v>0</v>
      </c>
      <c r="F44" s="300">
        <f t="shared" si="14"/>
        <v>0</v>
      </c>
      <c r="G44" s="300">
        <f t="shared" si="14"/>
        <v>0</v>
      </c>
      <c r="H44" s="300">
        <f t="shared" si="14"/>
        <v>0</v>
      </c>
      <c r="I44" s="300">
        <f t="shared" si="14"/>
        <v>0</v>
      </c>
      <c r="J44" s="300">
        <f t="shared" si="14"/>
        <v>0</v>
      </c>
      <c r="K44" s="300">
        <f t="shared" si="14"/>
        <v>0</v>
      </c>
      <c r="L44" s="300">
        <f t="shared" si="14"/>
        <v>0</v>
      </c>
      <c r="M44" s="300">
        <f t="shared" si="14"/>
        <v>0</v>
      </c>
      <c r="N44" s="300">
        <f t="shared" si="14"/>
        <v>0</v>
      </c>
      <c r="O44" s="300">
        <f t="shared" si="14"/>
        <v>0</v>
      </c>
      <c r="P44" s="300">
        <f t="shared" si="14"/>
        <v>0</v>
      </c>
      <c r="Q44" s="300">
        <f t="shared" si="14"/>
        <v>0</v>
      </c>
      <c r="R44" s="300">
        <f t="shared" si="14"/>
        <v>0</v>
      </c>
      <c r="S44" s="300">
        <f t="shared" si="14"/>
        <v>0</v>
      </c>
      <c r="T44" s="300">
        <f t="shared" si="14"/>
        <v>0</v>
      </c>
      <c r="U44" s="300">
        <f t="shared" si="14"/>
        <v>0</v>
      </c>
      <c r="V44" s="300">
        <f t="shared" si="14"/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01" t="s">
        <v>305</v>
      </c>
      <c r="V45" s="302">
        <f>SUM(C44:V44)</f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135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135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135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135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135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135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135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135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135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135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135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135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135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135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135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135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135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135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135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135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135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135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135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135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135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135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135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135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135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135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135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135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35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135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135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135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135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135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135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135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135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135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135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135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135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135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135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135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135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135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135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135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135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135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135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135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135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135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135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135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135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135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135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135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135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135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135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135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135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135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135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135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135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135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135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135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135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35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135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135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135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135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135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135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135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135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135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135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135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135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135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135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135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135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135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135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135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135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135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135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135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135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135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135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135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135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135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135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135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135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35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35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35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135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135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135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135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135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135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135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135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135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135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135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135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135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135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135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135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135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135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135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135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135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135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135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135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135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135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135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135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135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135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135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135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135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135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135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135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135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135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135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135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135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135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135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135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135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135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135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135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135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135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135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135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135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135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135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135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135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135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135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135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135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135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135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135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135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135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135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135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135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135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135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135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135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spans="1:41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spans="1:41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spans="1:41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spans="1:41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spans="1:41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spans="1:41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spans="1:41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spans="1:41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spans="1:41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spans="1:41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spans="1:41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spans="1:41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spans="1:41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spans="1:41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spans="1:41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 spans="1:41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spans="1:41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spans="1:41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spans="1:41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spans="1:41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spans="1:41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spans="1:41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spans="1:41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spans="1:41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 spans="1:41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 spans="1:41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spans="1:41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 spans="1:41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spans="1:41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</row>
    <row r="319" spans="1:41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 spans="1:41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 spans="1:41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 spans="1:41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</row>
    <row r="323" spans="1:41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</row>
    <row r="324" spans="1:41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</row>
    <row r="325" spans="1:41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 spans="1:41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</row>
    <row r="327" spans="1:41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</row>
    <row r="328" spans="1:41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</row>
    <row r="329" spans="1:41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 spans="1:41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 spans="1:41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 spans="1:41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 spans="1:41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 spans="1:41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 spans="1:41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</row>
    <row r="336" spans="1:41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</row>
    <row r="337" spans="1:41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 spans="1:41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 spans="1:41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spans="1:41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 spans="1:41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 spans="1:41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 spans="1:41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 spans="1:41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</row>
    <row r="345" spans="1:41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 spans="1:41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 spans="1:41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</row>
    <row r="348" spans="1:41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</row>
    <row r="349" spans="1:41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</row>
    <row r="350" spans="1:41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</row>
    <row r="351" spans="1:41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</row>
    <row r="352" spans="1:41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</row>
    <row r="353" spans="1:41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</row>
    <row r="354" spans="1:41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</row>
    <row r="355" spans="1:41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</row>
    <row r="356" spans="1:41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</row>
    <row r="357" spans="1:41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</row>
    <row r="358" spans="1:41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</row>
    <row r="359" spans="1:41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</row>
    <row r="360" spans="1:41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</row>
    <row r="361" spans="1:41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</row>
    <row r="362" spans="1:41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</row>
    <row r="363" spans="1:41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</row>
    <row r="364" spans="1:41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</row>
    <row r="365" spans="1:41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</row>
    <row r="366" spans="1:41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</row>
    <row r="367" spans="1:41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</row>
    <row r="368" spans="1:41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</row>
    <row r="369" spans="1:41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</row>
    <row r="370" spans="1:41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</row>
    <row r="371" spans="1:41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</row>
    <row r="372" spans="1:41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</row>
    <row r="373" spans="1:41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</row>
    <row r="374" spans="1:41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</row>
    <row r="375" spans="1:41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 spans="1:41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 spans="1:41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spans="1:41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spans="1:41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spans="1:41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spans="1:41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spans="1:41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spans="1:41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spans="1:41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 spans="1:41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 spans="1:41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 spans="1:41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spans="1:41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 spans="1:41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 spans="1:41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spans="1:41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 spans="1:41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spans="1:41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 spans="1:41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spans="1:41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 spans="1:41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spans="1:41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 spans="1:41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 spans="1:41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:41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 spans="1:41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 spans="1:41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 spans="1:41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spans="1:41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spans="1:41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 spans="1:41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spans="1:41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 spans="1:41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 spans="1:41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</row>
    <row r="410" spans="1:41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</row>
    <row r="411" spans="1:41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</row>
    <row r="412" spans="1:41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</row>
    <row r="413" spans="1:41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</row>
    <row r="414" spans="1:41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 spans="1:41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</row>
    <row r="416" spans="1:41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 spans="1:41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 spans="1:41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</row>
    <row r="419" spans="1:41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</row>
    <row r="420" spans="1:41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</row>
    <row r="421" spans="1:41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</row>
    <row r="422" spans="1:41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</row>
    <row r="423" spans="1:41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</row>
    <row r="424" spans="1:41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</row>
    <row r="425" spans="1:41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</row>
    <row r="426" spans="1:41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 spans="1:41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</row>
    <row r="428" spans="1:41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</row>
    <row r="429" spans="1:41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</row>
    <row r="430" spans="1:41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</row>
    <row r="431" spans="1:41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</row>
    <row r="432" spans="1:41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</row>
    <row r="433" spans="1:41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</row>
    <row r="434" spans="1:41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</row>
    <row r="435" spans="1:41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</row>
    <row r="436" spans="1:41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</row>
    <row r="437" spans="1:41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</row>
    <row r="438" spans="1:41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</row>
    <row r="439" spans="1:41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</row>
    <row r="440" spans="1:41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</row>
    <row r="441" spans="1:41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</row>
    <row r="442" spans="1:41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</row>
    <row r="443" spans="1:41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</row>
    <row r="444" spans="1:41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</row>
    <row r="445" spans="1:41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</row>
    <row r="446" spans="1:41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 spans="1:41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 spans="1:41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 spans="1:41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 spans="1:41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</row>
    <row r="451" spans="1:41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</row>
    <row r="452" spans="1:41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</row>
    <row r="453" spans="1:41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 spans="1:41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 spans="1:41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</row>
    <row r="456" spans="1:41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 spans="1:41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</row>
    <row r="458" spans="1:41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 spans="1:41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</row>
    <row r="460" spans="1:41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</row>
    <row r="461" spans="1:41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</row>
    <row r="462" spans="1:41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</row>
    <row r="463" spans="1:41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</row>
    <row r="464" spans="1:41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 spans="1:41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 spans="1:41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 spans="1:41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 spans="1:41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</row>
    <row r="469" spans="1:41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 spans="1:41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 spans="1:41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</row>
    <row r="472" spans="1:41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</row>
    <row r="473" spans="1:41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</row>
    <row r="474" spans="1:41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</row>
    <row r="475" spans="1:41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</row>
    <row r="476" spans="1:41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</row>
    <row r="477" spans="1:41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</row>
    <row r="478" spans="1:41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</row>
    <row r="479" spans="1:41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</row>
    <row r="480" spans="1:41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</row>
    <row r="481" spans="1:41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</row>
    <row r="482" spans="1:41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</row>
    <row r="483" spans="1:41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</row>
    <row r="484" spans="1:41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</row>
    <row r="485" spans="1:41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</row>
    <row r="486" spans="1:41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</row>
    <row r="487" spans="1:41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</row>
    <row r="488" spans="1:41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</row>
    <row r="489" spans="1:41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</row>
    <row r="490" spans="1:41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</row>
    <row r="491" spans="1:41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</row>
    <row r="492" spans="1:41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</row>
    <row r="493" spans="1:41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</row>
    <row r="494" spans="1:41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</row>
    <row r="495" spans="1:41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</row>
    <row r="496" spans="1:41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</row>
    <row r="497" spans="1:41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</row>
    <row r="498" spans="1:41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</row>
    <row r="499" spans="1:41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</row>
    <row r="500" spans="1:41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</row>
    <row r="501" spans="1:41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</row>
    <row r="502" spans="1:41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</row>
    <row r="503" spans="1:41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</row>
    <row r="504" spans="1:41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</row>
    <row r="505" spans="1:41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</row>
    <row r="506" spans="1:41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</row>
    <row r="507" spans="1:41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</row>
    <row r="508" spans="1:41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</row>
    <row r="509" spans="1:41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</row>
    <row r="510" spans="1:41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</row>
    <row r="511" spans="1:41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</row>
    <row r="512" spans="1:41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</row>
    <row r="513" spans="1:41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</row>
    <row r="514" spans="1:41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spans="1:41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spans="1:41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 spans="1:41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 spans="1:41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spans="1:41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spans="1:41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 spans="1:41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spans="1:41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spans="1:41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spans="1:41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1:41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1:41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 spans="1:41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spans="1:41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spans="1:41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spans="1:41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1:41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spans="1:41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spans="1:41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spans="1:41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1:41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spans="1:41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spans="1:41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spans="1:41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spans="1:41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1:41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spans="1:41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spans="1:41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 spans="1:41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spans="1:41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spans="1:41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spans="1:41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spans="1:41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spans="1:41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1:41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spans="1:41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spans="1:41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1:41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spans="1:41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spans="1:41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spans="1:41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spans="1:41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spans="1:41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1:41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 spans="1:41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 spans="1:41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spans="1:41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spans="1:41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spans="1:41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 spans="1:41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spans="1:41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 spans="1:41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 spans="1:41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  <row r="568" spans="1:41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</row>
    <row r="569" spans="1:41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</row>
    <row r="570" spans="1:41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</row>
    <row r="571" spans="1:41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</row>
    <row r="572" spans="1:41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</row>
    <row r="573" spans="1:41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</row>
    <row r="574" spans="1:41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</row>
    <row r="575" spans="1:41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</row>
    <row r="576" spans="1:41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</row>
    <row r="577" spans="1:41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</row>
    <row r="578" spans="1:41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</row>
    <row r="579" spans="1:41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</row>
    <row r="580" spans="1:41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</row>
    <row r="581" spans="1:41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</row>
    <row r="582" spans="1:41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</row>
    <row r="583" spans="1:41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</row>
    <row r="584" spans="1:41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</row>
    <row r="585" spans="1:41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</row>
    <row r="586" spans="1:41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</row>
    <row r="587" spans="1:41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</row>
    <row r="588" spans="1:41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</row>
    <row r="589" spans="1:41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</row>
    <row r="590" spans="1:41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</row>
    <row r="591" spans="1:41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</row>
    <row r="592" spans="1:41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</row>
    <row r="593" spans="1:41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</row>
    <row r="594" spans="1:41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</row>
    <row r="595" spans="1:41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</row>
    <row r="596" spans="1:41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</row>
    <row r="597" spans="1:41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</row>
    <row r="598" spans="1:41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</row>
    <row r="599" spans="1:41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</row>
    <row r="600" spans="1:41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</row>
    <row r="601" spans="1:41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</row>
    <row r="602" spans="1:41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</row>
    <row r="603" spans="1:41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</row>
    <row r="604" spans="1:41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</row>
    <row r="605" spans="1:41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</row>
    <row r="606" spans="1:41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</row>
    <row r="607" spans="1:41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</row>
    <row r="608" spans="1:41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</row>
    <row r="609" spans="1:41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</row>
    <row r="610" spans="1:41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</row>
    <row r="611" spans="1:41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</row>
    <row r="612" spans="1:41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</row>
    <row r="613" spans="1:41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</row>
    <row r="614" spans="1:41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</row>
    <row r="615" spans="1:41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</row>
    <row r="616" spans="1:41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</row>
    <row r="617" spans="1:41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</row>
    <row r="618" spans="1:41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</row>
    <row r="619" spans="1:41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</row>
    <row r="620" spans="1:41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</row>
    <row r="621" spans="1:41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</row>
    <row r="622" spans="1:41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</row>
    <row r="623" spans="1:41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</row>
    <row r="624" spans="1:41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</row>
    <row r="625" spans="1:41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</row>
    <row r="626" spans="1:41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</row>
    <row r="627" spans="1:41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</row>
    <row r="628" spans="1:41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</row>
    <row r="629" spans="1:41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</row>
    <row r="630" spans="1:41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</row>
    <row r="631" spans="1:41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</row>
    <row r="632" spans="1:41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</row>
    <row r="633" spans="1:41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</row>
    <row r="634" spans="1:41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</row>
    <row r="635" spans="1:41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</row>
    <row r="636" spans="1:41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</row>
    <row r="637" spans="1:41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</row>
    <row r="638" spans="1:41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</row>
    <row r="639" spans="1:41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</row>
    <row r="640" spans="1:41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</row>
    <row r="641" spans="1:41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</row>
    <row r="642" spans="1:41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</row>
    <row r="643" spans="1:41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</row>
    <row r="644" spans="1:41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</row>
    <row r="645" spans="1:41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</row>
    <row r="646" spans="1:41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</row>
    <row r="647" spans="1:41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</row>
    <row r="648" spans="1:41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</row>
    <row r="649" spans="1:41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</row>
    <row r="650" spans="1:41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</row>
    <row r="651" spans="1:41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</row>
    <row r="652" spans="1:41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</row>
    <row r="653" spans="1:41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</row>
    <row r="654" spans="1:41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</row>
    <row r="655" spans="1:41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</row>
    <row r="656" spans="1:41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</row>
    <row r="657" spans="1:41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</row>
    <row r="658" spans="1:41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</row>
    <row r="659" spans="1:41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</row>
    <row r="660" spans="1:41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</row>
    <row r="661" spans="1:41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</row>
    <row r="662" spans="1:41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</row>
    <row r="663" spans="1:41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</row>
    <row r="664" spans="1:41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</row>
    <row r="665" spans="1:41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</row>
    <row r="666" spans="1:41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</row>
    <row r="667" spans="1:41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</row>
    <row r="668" spans="1:41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</row>
    <row r="669" spans="1:41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</row>
    <row r="670" spans="1:41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</row>
    <row r="671" spans="1:41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</row>
    <row r="672" spans="1:41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</row>
    <row r="673" spans="1:41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</row>
    <row r="674" spans="1:41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</row>
    <row r="675" spans="1:41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</row>
    <row r="676" spans="1:41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</row>
    <row r="677" spans="1:41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</row>
    <row r="678" spans="1:41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</row>
    <row r="679" spans="1:41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</row>
    <row r="680" spans="1:41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</row>
    <row r="681" spans="1:41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</row>
    <row r="682" spans="1:41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</row>
    <row r="683" spans="1:41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</row>
    <row r="684" spans="1:41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</row>
    <row r="685" spans="1:41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</row>
    <row r="686" spans="1:41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</row>
    <row r="687" spans="1:41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</row>
    <row r="688" spans="1:41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</row>
    <row r="689" spans="1:41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</row>
    <row r="690" spans="1:41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</row>
    <row r="691" spans="1:41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</row>
    <row r="692" spans="1:41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</row>
    <row r="693" spans="1:41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</row>
    <row r="694" spans="1:41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</row>
    <row r="695" spans="1:41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</row>
    <row r="696" spans="1:41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</row>
    <row r="697" spans="1:41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</row>
    <row r="698" spans="1:41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</row>
    <row r="699" spans="1:41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</row>
    <row r="700" spans="1:41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</row>
    <row r="701" spans="1:41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</row>
    <row r="702" spans="1:41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</row>
    <row r="703" spans="1:41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</row>
    <row r="704" spans="1:41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</row>
    <row r="705" spans="1:41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</row>
    <row r="706" spans="1:41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</row>
    <row r="707" spans="1:41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</row>
    <row r="708" spans="1:41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</row>
    <row r="709" spans="1:41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</row>
    <row r="710" spans="1:41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</row>
    <row r="711" spans="1:41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</row>
    <row r="712" spans="1:41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</row>
    <row r="713" spans="1:41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</row>
    <row r="714" spans="1:41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</row>
    <row r="715" spans="1:41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</row>
    <row r="716" spans="1:41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</row>
    <row r="717" spans="1:41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</row>
    <row r="718" spans="1:41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</row>
    <row r="719" spans="1:41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</row>
    <row r="720" spans="1:41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</row>
    <row r="721" spans="1:41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</row>
    <row r="722" spans="1:41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</row>
    <row r="723" spans="1:41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</row>
    <row r="724" spans="1:41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</row>
    <row r="725" spans="1:41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</row>
    <row r="726" spans="1:41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</row>
    <row r="727" spans="1:41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</row>
    <row r="728" spans="1:41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</row>
    <row r="729" spans="1:41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</row>
    <row r="730" spans="1:41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</row>
    <row r="731" spans="1:41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</row>
    <row r="732" spans="1:41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</row>
    <row r="733" spans="1:41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</row>
    <row r="734" spans="1:41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</row>
    <row r="735" spans="1:41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</row>
    <row r="736" spans="1:41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</row>
    <row r="737" spans="1:41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</row>
    <row r="738" spans="1:41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</row>
    <row r="739" spans="1:41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</row>
    <row r="740" spans="1:41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</row>
    <row r="741" spans="1:41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</row>
    <row r="742" spans="1:41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</row>
    <row r="743" spans="1:41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</row>
    <row r="744" spans="1:41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</row>
    <row r="745" spans="1:41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</row>
    <row r="746" spans="1:41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</row>
    <row r="747" spans="1:41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</row>
    <row r="748" spans="1:41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</row>
    <row r="749" spans="1:41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</row>
    <row r="750" spans="1:41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</row>
    <row r="751" spans="1:41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</row>
    <row r="752" spans="1:41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</row>
    <row r="753" spans="1:41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</row>
    <row r="754" spans="1:41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</row>
    <row r="755" spans="1:41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</row>
    <row r="756" spans="1:41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</row>
    <row r="757" spans="1:41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</row>
    <row r="758" spans="1:41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</row>
    <row r="759" spans="1:41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</row>
    <row r="760" spans="1:41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</row>
    <row r="761" spans="1:41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</row>
    <row r="762" spans="1:41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</row>
    <row r="763" spans="1:41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</row>
    <row r="764" spans="1:41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</row>
    <row r="765" spans="1:41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</row>
    <row r="766" spans="1:41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</row>
    <row r="767" spans="1:41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</row>
    <row r="768" spans="1:41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</row>
    <row r="769" spans="1:41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</row>
    <row r="770" spans="1:41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</row>
    <row r="771" spans="1:41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</row>
    <row r="772" spans="1:41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</row>
    <row r="773" spans="1:41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</row>
    <row r="774" spans="1:41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</row>
    <row r="775" spans="1:41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</row>
    <row r="776" spans="1:41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</row>
    <row r="777" spans="1:41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</row>
    <row r="778" spans="1:41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</row>
    <row r="779" spans="1:41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</row>
    <row r="780" spans="1:41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</row>
    <row r="781" spans="1:41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</row>
    <row r="782" spans="1:41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</row>
    <row r="783" spans="1:41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</row>
    <row r="784" spans="1:41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</row>
    <row r="785" spans="1:41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</row>
    <row r="786" spans="1:41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</row>
    <row r="787" spans="1:41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</row>
    <row r="788" spans="1:41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</row>
    <row r="789" spans="1:41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</row>
    <row r="790" spans="1:41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</row>
    <row r="791" spans="1:41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</row>
    <row r="792" spans="1:41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</row>
    <row r="793" spans="1:41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</row>
    <row r="794" spans="1:41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</row>
    <row r="795" spans="1:41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</row>
    <row r="796" spans="1:41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</row>
    <row r="797" spans="1:41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</row>
    <row r="798" spans="1:41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</row>
    <row r="799" spans="1:41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</row>
    <row r="800" spans="1:41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</row>
    <row r="801" spans="1:41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</row>
    <row r="802" spans="1:41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</row>
    <row r="803" spans="1:41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</row>
    <row r="804" spans="1:41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</row>
    <row r="805" spans="1:41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</row>
    <row r="806" spans="1:41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</row>
    <row r="807" spans="1:41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</row>
    <row r="808" spans="1:41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</row>
    <row r="809" spans="1:41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</row>
    <row r="810" spans="1:41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</row>
    <row r="811" spans="1:41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</row>
    <row r="812" spans="1:41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</row>
    <row r="813" spans="1:41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</row>
    <row r="814" spans="1:41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</row>
    <row r="815" spans="1:41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</row>
    <row r="816" spans="1:41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</row>
    <row r="817" spans="1:41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</row>
    <row r="818" spans="1:41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</row>
    <row r="819" spans="1:41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</row>
    <row r="820" spans="1:41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</row>
    <row r="821" spans="1:41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</row>
    <row r="822" spans="1:41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</row>
    <row r="823" spans="1:41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</row>
    <row r="824" spans="1:41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</row>
    <row r="825" spans="1:41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</row>
    <row r="826" spans="1:41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</row>
    <row r="827" spans="1:41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</row>
    <row r="828" spans="1:41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</row>
    <row r="829" spans="1:41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</row>
    <row r="830" spans="1:41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</row>
    <row r="831" spans="1:41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</row>
    <row r="832" spans="1:41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</row>
    <row r="833" spans="1:41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</row>
    <row r="834" spans="1:41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</row>
    <row r="835" spans="1:41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</row>
    <row r="836" spans="1:41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</row>
    <row r="837" spans="1:41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</row>
    <row r="838" spans="1:41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</row>
    <row r="839" spans="1:41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</row>
    <row r="840" spans="1:41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</row>
    <row r="841" spans="1:41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</row>
    <row r="842" spans="1:41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</row>
    <row r="843" spans="1:41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</row>
    <row r="844" spans="1:41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</row>
    <row r="845" spans="1:41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</row>
    <row r="846" spans="1:41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</row>
    <row r="847" spans="1:41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</row>
    <row r="848" spans="1:41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 spans="1:41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 spans="1:41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  <row r="851" spans="1:41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</row>
    <row r="852" spans="1:41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</row>
    <row r="853" spans="1:41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</row>
    <row r="854" spans="1:41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</row>
    <row r="855" spans="1:41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</row>
    <row r="856" spans="1:41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</row>
    <row r="857" spans="1:41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</row>
    <row r="858" spans="1:41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</row>
    <row r="859" spans="1:41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</row>
    <row r="860" spans="1:41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</row>
    <row r="861" spans="1:41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</row>
    <row r="862" spans="1:41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</row>
    <row r="863" spans="1:41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</row>
    <row r="864" spans="1:41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</row>
    <row r="865" spans="1:41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</row>
    <row r="866" spans="1:41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</row>
    <row r="867" spans="1:41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</row>
    <row r="868" spans="1:41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</row>
    <row r="869" spans="1:41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</row>
    <row r="870" spans="1:41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</row>
    <row r="871" spans="1:41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</row>
    <row r="872" spans="1:41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</row>
    <row r="873" spans="1:41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</row>
    <row r="874" spans="1:41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</row>
    <row r="875" spans="1:41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</row>
    <row r="876" spans="1:41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</row>
    <row r="877" spans="1:41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</row>
    <row r="878" spans="1:41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</row>
    <row r="879" spans="1:41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</row>
    <row r="880" spans="1:41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</row>
    <row r="881" spans="1:41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</row>
    <row r="882" spans="1:41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</row>
    <row r="883" spans="1:41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</row>
    <row r="884" spans="1:41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</row>
    <row r="885" spans="1:41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</row>
    <row r="886" spans="1:41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</row>
    <row r="887" spans="1:41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</row>
    <row r="888" spans="1:41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</row>
    <row r="889" spans="1:41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</row>
    <row r="890" spans="1:41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</row>
    <row r="891" spans="1:41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</row>
    <row r="892" spans="1:41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</row>
    <row r="893" spans="1:41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</row>
    <row r="894" spans="1:41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</row>
    <row r="895" spans="1:41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</row>
    <row r="896" spans="1:41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</row>
    <row r="897" spans="1:41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</row>
    <row r="898" spans="1:41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</row>
    <row r="899" spans="1:41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</row>
    <row r="900" spans="1:41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</row>
    <row r="901" spans="1:41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</row>
    <row r="902" spans="1:41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</row>
    <row r="903" spans="1:41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</row>
    <row r="904" spans="1:41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</row>
    <row r="905" spans="1:41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</row>
    <row r="906" spans="1:41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</row>
    <row r="907" spans="1:41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</row>
    <row r="908" spans="1:41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</row>
    <row r="909" spans="1:41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</row>
    <row r="910" spans="1:41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</row>
    <row r="911" spans="1:41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</row>
    <row r="912" spans="1:41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</row>
    <row r="913" spans="1:41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</row>
    <row r="914" spans="1:41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</row>
    <row r="915" spans="1:41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</row>
    <row r="916" spans="1:41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</row>
    <row r="917" spans="1:41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</row>
    <row r="918" spans="1:41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</row>
    <row r="919" spans="1:41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</row>
    <row r="920" spans="1:41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</row>
    <row r="921" spans="1:41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</row>
    <row r="922" spans="1:41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</row>
    <row r="923" spans="1:41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</row>
    <row r="924" spans="1:41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</row>
    <row r="925" spans="1:41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</row>
    <row r="926" spans="1:41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</row>
    <row r="927" spans="1:41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</row>
    <row r="928" spans="1:41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</row>
    <row r="929" spans="1:41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</row>
    <row r="930" spans="1:41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</row>
    <row r="931" spans="1:41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</row>
    <row r="932" spans="1:41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</row>
    <row r="933" spans="1:41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</row>
    <row r="934" spans="1:41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</row>
    <row r="935" spans="1:41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</row>
    <row r="936" spans="1:41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</row>
    <row r="937" spans="1:41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</row>
    <row r="938" spans="1:41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</row>
    <row r="939" spans="1:41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</row>
    <row r="940" spans="1:41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</row>
    <row r="941" spans="1:41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</row>
    <row r="942" spans="1:41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</row>
    <row r="943" spans="1:41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</row>
    <row r="944" spans="1:41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</row>
    <row r="945" spans="1:41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</row>
    <row r="946" spans="1:41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</row>
    <row r="947" spans="1:41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</row>
    <row r="948" spans="1:41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</row>
    <row r="949" spans="1:41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</row>
    <row r="950" spans="1:41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</row>
    <row r="951" spans="1:41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</row>
    <row r="952" spans="1:41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</row>
    <row r="953" spans="1:41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</row>
    <row r="954" spans="1:41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</row>
    <row r="955" spans="1:41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</row>
    <row r="956" spans="1:41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</row>
    <row r="957" spans="1:41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</row>
    <row r="958" spans="1:41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</row>
    <row r="959" spans="1:41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</row>
    <row r="960" spans="1:41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</row>
    <row r="961" spans="1:41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</row>
    <row r="962" spans="1:41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</row>
    <row r="963" spans="1:41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</row>
    <row r="964" spans="1:41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</row>
    <row r="965" spans="1:41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</row>
    <row r="966" spans="1:41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</row>
    <row r="967" spans="1:41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</row>
    <row r="968" spans="1:41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</row>
    <row r="969" spans="1:41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</row>
    <row r="970" spans="1:41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</row>
    <row r="971" spans="1:41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</row>
    <row r="972" spans="1:41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</row>
    <row r="973" spans="1:41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</row>
    <row r="974" spans="1:41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</row>
    <row r="975" spans="1:41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</row>
    <row r="976" spans="1:41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</row>
    <row r="977" spans="1:41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</row>
    <row r="978" spans="1:41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</row>
    <row r="979" spans="1:41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</row>
    <row r="980" spans="1:41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</row>
    <row r="981" spans="1:41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</row>
    <row r="982" spans="1:41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</row>
    <row r="983" spans="1:41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</row>
    <row r="984" spans="1:41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</row>
    <row r="985" spans="1:41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</row>
    <row r="986" spans="1:41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</row>
    <row r="987" spans="1:41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  <row r="988" spans="1:41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</row>
  </sheetData>
  <mergeCells count="4">
    <mergeCell ref="C1:V1"/>
    <mergeCell ref="W1:AL1"/>
    <mergeCell ref="AM1:AO1"/>
    <mergeCell ref="A38:V38"/>
  </mergeCells>
  <pageMargins left="0.7" right="0.7" top="0.75" bottom="0.75" header="0" footer="0"/>
  <pageSetup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X1012"/>
  <sheetViews>
    <sheetView topLeftCell="A41" workbookViewId="0">
      <selection activeCell="F67" sqref="F67"/>
    </sheetView>
  </sheetViews>
  <sheetFormatPr baseColWidth="10" defaultColWidth="12.5703125" defaultRowHeight="15" customHeight="1" x14ac:dyDescent="0.2"/>
  <cols>
    <col min="1" max="1" width="39.85546875" customWidth="1"/>
    <col min="2" max="2" width="60.85546875" customWidth="1"/>
    <col min="3" max="3" width="14.28515625" customWidth="1"/>
    <col min="4" max="4" width="12.7109375" customWidth="1"/>
    <col min="5" max="5" width="10.7109375" customWidth="1"/>
    <col min="6" max="6" width="10.28515625" customWidth="1"/>
    <col min="7" max="8" width="11.42578125" customWidth="1"/>
    <col min="9" max="10" width="9.42578125" customWidth="1"/>
    <col min="11" max="11" width="15.28515625" customWidth="1"/>
    <col min="12" max="12" width="19.28515625" customWidth="1"/>
    <col min="13" max="13" width="18.140625" customWidth="1"/>
    <col min="14" max="24" width="12.7109375" customWidth="1"/>
  </cols>
  <sheetData>
    <row r="1" spans="1:24" ht="15.75" customHeight="1" x14ac:dyDescent="0.2">
      <c r="A1" s="354"/>
      <c r="B1" s="355"/>
      <c r="C1" s="43"/>
      <c r="D1" s="356"/>
      <c r="E1" s="357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spans="1:24" ht="15.75" customHeight="1" x14ac:dyDescent="0.2">
      <c r="A2" s="358" t="s">
        <v>6</v>
      </c>
      <c r="B2" s="359">
        <f>PARÁMETROS!$B$4</f>
        <v>900</v>
      </c>
      <c r="C2" s="43"/>
      <c r="D2" s="43"/>
      <c r="E2" s="42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spans="1:24" ht="15.75" customHeight="1" x14ac:dyDescent="0.2">
      <c r="A3" s="360" t="s">
        <v>379</v>
      </c>
      <c r="B3" s="361">
        <f>PARÁMETROS!$B$5</f>
        <v>1000</v>
      </c>
      <c r="C3" s="43"/>
      <c r="D3" s="43"/>
      <c r="E3" s="42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24" ht="15.75" customHeight="1" x14ac:dyDescent="0.2">
      <c r="A4" s="358" t="s">
        <v>4</v>
      </c>
      <c r="B4" s="359">
        <f>PARÁMETROS!$B$6</f>
        <v>40000</v>
      </c>
      <c r="C4" s="86"/>
      <c r="D4" s="43"/>
      <c r="E4" s="42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</row>
    <row r="5" spans="1:24" ht="15.75" customHeight="1" x14ac:dyDescent="0.2">
      <c r="A5" s="360" t="s">
        <v>179</v>
      </c>
      <c r="B5" s="362">
        <f>PARÁMETROS!$B$8</f>
        <v>160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</row>
    <row r="6" spans="1:24" ht="15.75" customHeight="1" x14ac:dyDescent="0.2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</row>
    <row r="7" spans="1:24" ht="15.75" customHeight="1" x14ac:dyDescent="0.2">
      <c r="A7" s="354" t="s">
        <v>380</v>
      </c>
      <c r="B7" s="354" t="s">
        <v>381</v>
      </c>
      <c r="C7" s="354" t="s">
        <v>382</v>
      </c>
      <c r="D7" s="354" t="s">
        <v>383</v>
      </c>
      <c r="E7" s="354" t="s">
        <v>384</v>
      </c>
      <c r="F7" s="354" t="s">
        <v>385</v>
      </c>
      <c r="G7" s="354" t="s">
        <v>386</v>
      </c>
      <c r="H7" s="354" t="s">
        <v>387</v>
      </c>
      <c r="I7" s="354" t="s">
        <v>388</v>
      </c>
      <c r="J7" s="354" t="s">
        <v>389</v>
      </c>
      <c r="K7" s="354" t="s">
        <v>390</v>
      </c>
      <c r="L7" s="354" t="s">
        <v>391</v>
      </c>
      <c r="M7" s="363" t="s">
        <v>392</v>
      </c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</row>
    <row r="8" spans="1:24" ht="15.75" customHeight="1" x14ac:dyDescent="0.2">
      <c r="A8" s="448" t="s">
        <v>393</v>
      </c>
      <c r="B8" s="416"/>
      <c r="C8" s="416"/>
      <c r="D8" s="416"/>
      <c r="E8" s="416"/>
      <c r="F8" s="416"/>
      <c r="G8" s="416"/>
      <c r="H8" s="416"/>
      <c r="I8" s="416"/>
      <c r="J8" s="416"/>
      <c r="K8" s="416"/>
      <c r="L8" s="417"/>
      <c r="M8" s="364">
        <f>SUM(L9:L66)</f>
        <v>0</v>
      </c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</row>
    <row r="9" spans="1:24" ht="15.75" customHeight="1" x14ac:dyDescent="0.2">
      <c r="A9" s="358"/>
      <c r="B9" s="358"/>
      <c r="C9" s="365"/>
      <c r="D9" s="366">
        <f t="shared" ref="D9:D19" si="0">C9*$B$2</f>
        <v>0</v>
      </c>
      <c r="E9" s="359">
        <f t="shared" ref="E9:E19" si="1">D9/$B$4</f>
        <v>0</v>
      </c>
      <c r="F9" s="358">
        <v>0</v>
      </c>
      <c r="G9" s="359">
        <f t="shared" ref="G9:G19" si="2">F9*C9</f>
        <v>0</v>
      </c>
      <c r="H9" s="366">
        <f t="shared" ref="H9:H19" si="3">F9*D9</f>
        <v>0</v>
      </c>
      <c r="I9" s="359">
        <f t="shared" ref="I9:I19" si="4">F9*E9</f>
        <v>0</v>
      </c>
      <c r="J9" s="359">
        <f t="shared" ref="J9:J20" si="5">I9*0.19</f>
        <v>0</v>
      </c>
      <c r="K9" s="367">
        <v>0</v>
      </c>
      <c r="L9" s="359">
        <v>0</v>
      </c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</row>
    <row r="10" spans="1:24" ht="15.75" customHeight="1" x14ac:dyDescent="0.2">
      <c r="A10" s="358"/>
      <c r="B10" s="358"/>
      <c r="C10" s="365"/>
      <c r="D10" s="366">
        <f t="shared" si="0"/>
        <v>0</v>
      </c>
      <c r="E10" s="359">
        <f t="shared" si="1"/>
        <v>0</v>
      </c>
      <c r="F10" s="358">
        <v>0</v>
      </c>
      <c r="G10" s="359">
        <f t="shared" si="2"/>
        <v>0</v>
      </c>
      <c r="H10" s="366">
        <f t="shared" si="3"/>
        <v>0</v>
      </c>
      <c r="I10" s="359">
        <f t="shared" si="4"/>
        <v>0</v>
      </c>
      <c r="J10" s="359">
        <f t="shared" si="5"/>
        <v>0</v>
      </c>
      <c r="K10" s="367">
        <v>0</v>
      </c>
      <c r="L10" s="359">
        <v>0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</row>
    <row r="11" spans="1:24" ht="15.75" customHeight="1" x14ac:dyDescent="0.2">
      <c r="A11" s="358"/>
      <c r="B11" s="358"/>
      <c r="C11" s="365"/>
      <c r="D11" s="366">
        <f t="shared" si="0"/>
        <v>0</v>
      </c>
      <c r="E11" s="359">
        <f t="shared" si="1"/>
        <v>0</v>
      </c>
      <c r="F11" s="358">
        <v>0</v>
      </c>
      <c r="G11" s="359">
        <f t="shared" si="2"/>
        <v>0</v>
      </c>
      <c r="H11" s="366">
        <f t="shared" si="3"/>
        <v>0</v>
      </c>
      <c r="I11" s="359">
        <f t="shared" si="4"/>
        <v>0</v>
      </c>
      <c r="J11" s="359">
        <f t="shared" si="5"/>
        <v>0</v>
      </c>
      <c r="K11" s="367">
        <v>0</v>
      </c>
      <c r="L11" s="359">
        <v>0</v>
      </c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</row>
    <row r="12" spans="1:24" ht="15.75" customHeight="1" x14ac:dyDescent="0.2">
      <c r="A12" s="358"/>
      <c r="B12" s="358"/>
      <c r="C12" s="365"/>
      <c r="D12" s="366">
        <f t="shared" si="0"/>
        <v>0</v>
      </c>
      <c r="E12" s="359">
        <f t="shared" si="1"/>
        <v>0</v>
      </c>
      <c r="F12" s="358">
        <v>0</v>
      </c>
      <c r="G12" s="359">
        <f t="shared" si="2"/>
        <v>0</v>
      </c>
      <c r="H12" s="366">
        <f t="shared" si="3"/>
        <v>0</v>
      </c>
      <c r="I12" s="359">
        <f t="shared" si="4"/>
        <v>0</v>
      </c>
      <c r="J12" s="359">
        <f t="shared" si="5"/>
        <v>0</v>
      </c>
      <c r="K12" s="367">
        <v>0</v>
      </c>
      <c r="L12" s="359">
        <v>0</v>
      </c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</row>
    <row r="13" spans="1:24" ht="15.75" customHeight="1" x14ac:dyDescent="0.2">
      <c r="A13" s="358"/>
      <c r="B13" s="358"/>
      <c r="C13" s="365"/>
      <c r="D13" s="366">
        <f t="shared" si="0"/>
        <v>0</v>
      </c>
      <c r="E13" s="359">
        <f t="shared" si="1"/>
        <v>0</v>
      </c>
      <c r="F13" s="358">
        <v>0</v>
      </c>
      <c r="G13" s="359">
        <f t="shared" si="2"/>
        <v>0</v>
      </c>
      <c r="H13" s="366">
        <f t="shared" si="3"/>
        <v>0</v>
      </c>
      <c r="I13" s="359">
        <f t="shared" si="4"/>
        <v>0</v>
      </c>
      <c r="J13" s="359">
        <f t="shared" si="5"/>
        <v>0</v>
      </c>
      <c r="K13" s="367">
        <v>0</v>
      </c>
      <c r="L13" s="359">
        <v>0</v>
      </c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</row>
    <row r="14" spans="1:24" ht="15.75" customHeight="1" x14ac:dyDescent="0.2">
      <c r="A14" s="358"/>
      <c r="B14" s="358"/>
      <c r="C14" s="365"/>
      <c r="D14" s="366">
        <f t="shared" si="0"/>
        <v>0</v>
      </c>
      <c r="E14" s="359">
        <f t="shared" si="1"/>
        <v>0</v>
      </c>
      <c r="F14" s="358">
        <v>0</v>
      </c>
      <c r="G14" s="359">
        <f t="shared" si="2"/>
        <v>0</v>
      </c>
      <c r="H14" s="366">
        <f t="shared" si="3"/>
        <v>0</v>
      </c>
      <c r="I14" s="359">
        <f t="shared" si="4"/>
        <v>0</v>
      </c>
      <c r="J14" s="359">
        <f t="shared" si="5"/>
        <v>0</v>
      </c>
      <c r="K14" s="367">
        <v>0</v>
      </c>
      <c r="L14" s="359">
        <v>0</v>
      </c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</row>
    <row r="15" spans="1:24" ht="15.75" customHeight="1" x14ac:dyDescent="0.2">
      <c r="A15" s="358"/>
      <c r="B15" s="358"/>
      <c r="C15" s="365"/>
      <c r="D15" s="366">
        <f t="shared" si="0"/>
        <v>0</v>
      </c>
      <c r="E15" s="359">
        <f t="shared" si="1"/>
        <v>0</v>
      </c>
      <c r="F15" s="358">
        <v>0</v>
      </c>
      <c r="G15" s="359">
        <f t="shared" si="2"/>
        <v>0</v>
      </c>
      <c r="H15" s="366">
        <f t="shared" si="3"/>
        <v>0</v>
      </c>
      <c r="I15" s="359">
        <f t="shared" si="4"/>
        <v>0</v>
      </c>
      <c r="J15" s="359">
        <f t="shared" si="5"/>
        <v>0</v>
      </c>
      <c r="K15" s="367">
        <v>0</v>
      </c>
      <c r="L15" s="359">
        <v>0</v>
      </c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</row>
    <row r="16" spans="1:24" ht="15.75" customHeight="1" x14ac:dyDescent="0.2">
      <c r="A16" s="358"/>
      <c r="B16" s="358"/>
      <c r="C16" s="365"/>
      <c r="D16" s="366">
        <f t="shared" si="0"/>
        <v>0</v>
      </c>
      <c r="E16" s="359">
        <f t="shared" si="1"/>
        <v>0</v>
      </c>
      <c r="F16" s="358">
        <v>0</v>
      </c>
      <c r="G16" s="359">
        <f t="shared" si="2"/>
        <v>0</v>
      </c>
      <c r="H16" s="366">
        <f t="shared" si="3"/>
        <v>0</v>
      </c>
      <c r="I16" s="359">
        <f t="shared" si="4"/>
        <v>0</v>
      </c>
      <c r="J16" s="359">
        <f t="shared" si="5"/>
        <v>0</v>
      </c>
      <c r="K16" s="367">
        <v>0</v>
      </c>
      <c r="L16" s="359">
        <v>0</v>
      </c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</row>
    <row r="17" spans="1:24" ht="15.75" customHeight="1" x14ac:dyDescent="0.2">
      <c r="A17" s="358"/>
      <c r="B17" s="358"/>
      <c r="C17" s="365"/>
      <c r="D17" s="366">
        <f t="shared" si="0"/>
        <v>0</v>
      </c>
      <c r="E17" s="359">
        <f t="shared" si="1"/>
        <v>0</v>
      </c>
      <c r="F17" s="358">
        <v>0</v>
      </c>
      <c r="G17" s="359">
        <f t="shared" si="2"/>
        <v>0</v>
      </c>
      <c r="H17" s="366">
        <f t="shared" si="3"/>
        <v>0</v>
      </c>
      <c r="I17" s="359">
        <f t="shared" si="4"/>
        <v>0</v>
      </c>
      <c r="J17" s="359">
        <f t="shared" si="5"/>
        <v>0</v>
      </c>
      <c r="K17" s="367">
        <v>0</v>
      </c>
      <c r="L17" s="359">
        <v>0</v>
      </c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</row>
    <row r="18" spans="1:24" ht="15.75" customHeight="1" x14ac:dyDescent="0.2">
      <c r="A18" s="358"/>
      <c r="B18" s="358"/>
      <c r="C18" s="365"/>
      <c r="D18" s="366">
        <f t="shared" si="0"/>
        <v>0</v>
      </c>
      <c r="E18" s="359">
        <f t="shared" si="1"/>
        <v>0</v>
      </c>
      <c r="F18" s="358">
        <v>0</v>
      </c>
      <c r="G18" s="359">
        <f t="shared" si="2"/>
        <v>0</v>
      </c>
      <c r="H18" s="366">
        <f t="shared" si="3"/>
        <v>0</v>
      </c>
      <c r="I18" s="359">
        <f t="shared" si="4"/>
        <v>0</v>
      </c>
      <c r="J18" s="359">
        <f t="shared" si="5"/>
        <v>0</v>
      </c>
      <c r="K18" s="367">
        <v>0</v>
      </c>
      <c r="L18" s="359">
        <v>0</v>
      </c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</row>
    <row r="19" spans="1:24" ht="15.75" customHeight="1" x14ac:dyDescent="0.2">
      <c r="A19" s="358"/>
      <c r="B19" s="358"/>
      <c r="C19" s="365"/>
      <c r="D19" s="366">
        <f t="shared" si="0"/>
        <v>0</v>
      </c>
      <c r="E19" s="359">
        <f t="shared" si="1"/>
        <v>0</v>
      </c>
      <c r="F19" s="358">
        <v>0</v>
      </c>
      <c r="G19" s="359">
        <f t="shared" si="2"/>
        <v>0</v>
      </c>
      <c r="H19" s="366">
        <f t="shared" si="3"/>
        <v>0</v>
      </c>
      <c r="I19" s="359">
        <f t="shared" si="4"/>
        <v>0</v>
      </c>
      <c r="J19" s="359">
        <f t="shared" si="5"/>
        <v>0</v>
      </c>
      <c r="K19" s="367">
        <v>0</v>
      </c>
      <c r="L19" s="359">
        <v>0</v>
      </c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</row>
    <row r="20" spans="1:24" ht="15.75" customHeight="1" x14ac:dyDescent="0.2">
      <c r="A20" s="43"/>
      <c r="B20" s="43"/>
      <c r="C20" s="43"/>
      <c r="D20" s="43"/>
      <c r="E20" s="43"/>
      <c r="F20" s="368" t="s">
        <v>101</v>
      </c>
      <c r="G20" s="359">
        <f t="shared" ref="G20:I20" si="6">SUM(G9:G19)</f>
        <v>0</v>
      </c>
      <c r="H20" s="366">
        <f t="shared" si="6"/>
        <v>0</v>
      </c>
      <c r="I20" s="359">
        <f t="shared" si="6"/>
        <v>0</v>
      </c>
      <c r="J20" s="359">
        <f t="shared" si="5"/>
        <v>0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</row>
    <row r="21" spans="1:24" ht="15.75" customHeight="1" x14ac:dyDescent="0.2">
      <c r="A21" s="369" t="s">
        <v>394</v>
      </c>
      <c r="B21" s="370"/>
      <c r="C21" s="370"/>
      <c r="D21" s="370"/>
      <c r="E21" s="370"/>
      <c r="F21" s="370"/>
      <c r="G21" s="370"/>
      <c r="H21" s="370"/>
      <c r="I21" s="370"/>
      <c r="J21" s="370"/>
      <c r="K21" s="370"/>
      <c r="L21" s="371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</row>
    <row r="22" spans="1:24" ht="15.75" customHeight="1" x14ac:dyDescent="0.2">
      <c r="A22" s="358"/>
      <c r="B22" s="372"/>
      <c r="C22" s="373"/>
      <c r="D22" s="374">
        <f t="shared" ref="D22:D30" si="7">C22*$B$2</f>
        <v>0</v>
      </c>
      <c r="E22" s="375">
        <f t="shared" ref="E22:E30" si="8">D22/$B$4</f>
        <v>0</v>
      </c>
      <c r="F22" s="376">
        <v>0</v>
      </c>
      <c r="G22" s="359">
        <f t="shared" ref="G22:G30" si="9">F22*C22</f>
        <v>0</v>
      </c>
      <c r="H22" s="366">
        <f t="shared" ref="H22:H30" si="10">F22*D22</f>
        <v>0</v>
      </c>
      <c r="I22" s="375">
        <f t="shared" ref="I22:I30" si="11">F22*E22</f>
        <v>0</v>
      </c>
      <c r="J22" s="359">
        <f t="shared" ref="J22:J31" si="12">I22*0.19</f>
        <v>0</v>
      </c>
      <c r="K22" s="377">
        <v>6</v>
      </c>
      <c r="L22" s="375">
        <f t="shared" ref="L22:L26" si="13">I22/(K22)/12</f>
        <v>0</v>
      </c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</row>
    <row r="23" spans="1:24" ht="15.75" customHeight="1" x14ac:dyDescent="0.2">
      <c r="A23" s="358"/>
      <c r="B23" s="378"/>
      <c r="C23" s="379"/>
      <c r="D23" s="380">
        <f t="shared" si="7"/>
        <v>0</v>
      </c>
      <c r="E23" s="381">
        <f t="shared" si="8"/>
        <v>0</v>
      </c>
      <c r="F23" s="382">
        <v>0</v>
      </c>
      <c r="G23" s="359">
        <f t="shared" si="9"/>
        <v>0</v>
      </c>
      <c r="H23" s="366">
        <f t="shared" si="10"/>
        <v>0</v>
      </c>
      <c r="I23" s="381">
        <f t="shared" si="11"/>
        <v>0</v>
      </c>
      <c r="J23" s="359">
        <f t="shared" si="12"/>
        <v>0</v>
      </c>
      <c r="K23" s="383">
        <v>6</v>
      </c>
      <c r="L23" s="381">
        <f t="shared" si="13"/>
        <v>0</v>
      </c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</row>
    <row r="24" spans="1:24" ht="15.75" customHeight="1" x14ac:dyDescent="0.2">
      <c r="A24" s="358"/>
      <c r="B24" s="372"/>
      <c r="C24" s="373"/>
      <c r="D24" s="374">
        <f t="shared" si="7"/>
        <v>0</v>
      </c>
      <c r="E24" s="375">
        <f t="shared" si="8"/>
        <v>0</v>
      </c>
      <c r="F24" s="376">
        <v>0</v>
      </c>
      <c r="G24" s="359">
        <f t="shared" si="9"/>
        <v>0</v>
      </c>
      <c r="H24" s="366">
        <f t="shared" si="10"/>
        <v>0</v>
      </c>
      <c r="I24" s="375">
        <f t="shared" si="11"/>
        <v>0</v>
      </c>
      <c r="J24" s="359">
        <f t="shared" si="12"/>
        <v>0</v>
      </c>
      <c r="K24" s="377">
        <v>6</v>
      </c>
      <c r="L24" s="375">
        <f t="shared" si="13"/>
        <v>0</v>
      </c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 spans="1:24" ht="15.75" customHeight="1" x14ac:dyDescent="0.2">
      <c r="A25" s="384"/>
      <c r="B25" s="385"/>
      <c r="C25" s="373"/>
      <c r="D25" s="374">
        <f t="shared" si="7"/>
        <v>0</v>
      </c>
      <c r="E25" s="375">
        <f t="shared" si="8"/>
        <v>0</v>
      </c>
      <c r="F25" s="376">
        <v>0</v>
      </c>
      <c r="G25" s="359">
        <f t="shared" si="9"/>
        <v>0</v>
      </c>
      <c r="H25" s="366">
        <f t="shared" si="10"/>
        <v>0</v>
      </c>
      <c r="I25" s="375">
        <f t="shared" si="11"/>
        <v>0</v>
      </c>
      <c r="J25" s="359">
        <f t="shared" si="12"/>
        <v>0</v>
      </c>
      <c r="K25" s="377">
        <v>6</v>
      </c>
      <c r="L25" s="375">
        <f t="shared" si="13"/>
        <v>0</v>
      </c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</row>
    <row r="26" spans="1:24" ht="15.75" customHeight="1" x14ac:dyDescent="0.2">
      <c r="A26" s="358"/>
      <c r="B26" s="358"/>
      <c r="C26" s="386"/>
      <c r="D26" s="387">
        <f t="shared" si="7"/>
        <v>0</v>
      </c>
      <c r="E26" s="388">
        <f t="shared" si="8"/>
        <v>0</v>
      </c>
      <c r="F26" s="389">
        <v>0</v>
      </c>
      <c r="G26" s="359">
        <f t="shared" si="9"/>
        <v>0</v>
      </c>
      <c r="H26" s="366">
        <f t="shared" si="10"/>
        <v>0</v>
      </c>
      <c r="I26" s="388">
        <f t="shared" si="11"/>
        <v>0</v>
      </c>
      <c r="J26" s="359">
        <f t="shared" si="12"/>
        <v>0</v>
      </c>
      <c r="K26" s="390">
        <v>6</v>
      </c>
      <c r="L26" s="388">
        <f t="shared" si="13"/>
        <v>0</v>
      </c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</row>
    <row r="27" spans="1:24" ht="15.75" customHeight="1" x14ac:dyDescent="0.2">
      <c r="A27" s="358"/>
      <c r="B27" s="358"/>
      <c r="C27" s="391"/>
      <c r="D27" s="387">
        <f t="shared" si="7"/>
        <v>0</v>
      </c>
      <c r="E27" s="388">
        <f t="shared" si="8"/>
        <v>0</v>
      </c>
      <c r="F27" s="389">
        <v>0</v>
      </c>
      <c r="G27" s="359">
        <f t="shared" si="9"/>
        <v>0</v>
      </c>
      <c r="H27" s="366">
        <f t="shared" si="10"/>
        <v>0</v>
      </c>
      <c r="I27" s="388">
        <f t="shared" si="11"/>
        <v>0</v>
      </c>
      <c r="J27" s="359">
        <f t="shared" si="12"/>
        <v>0</v>
      </c>
      <c r="K27" s="390">
        <v>6</v>
      </c>
      <c r="L27" s="388">
        <v>0</v>
      </c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</row>
    <row r="28" spans="1:24" ht="15.75" customHeight="1" x14ac:dyDescent="0.2">
      <c r="A28" s="358"/>
      <c r="B28" s="358"/>
      <c r="C28" s="391"/>
      <c r="D28" s="387">
        <f t="shared" si="7"/>
        <v>0</v>
      </c>
      <c r="E28" s="388">
        <f t="shared" si="8"/>
        <v>0</v>
      </c>
      <c r="F28" s="389">
        <v>0</v>
      </c>
      <c r="G28" s="359">
        <f t="shared" si="9"/>
        <v>0</v>
      </c>
      <c r="H28" s="366">
        <f t="shared" si="10"/>
        <v>0</v>
      </c>
      <c r="I28" s="388">
        <f t="shared" si="11"/>
        <v>0</v>
      </c>
      <c r="J28" s="359">
        <f t="shared" si="12"/>
        <v>0</v>
      </c>
      <c r="K28" s="390">
        <v>6</v>
      </c>
      <c r="L28" s="388">
        <v>0</v>
      </c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</row>
    <row r="29" spans="1:24" ht="15.75" customHeight="1" x14ac:dyDescent="0.2">
      <c r="A29" s="358"/>
      <c r="B29" s="358"/>
      <c r="C29" s="391"/>
      <c r="D29" s="387">
        <f t="shared" si="7"/>
        <v>0</v>
      </c>
      <c r="E29" s="388">
        <f t="shared" si="8"/>
        <v>0</v>
      </c>
      <c r="F29" s="389">
        <v>0</v>
      </c>
      <c r="G29" s="359">
        <f t="shared" si="9"/>
        <v>0</v>
      </c>
      <c r="H29" s="366">
        <f t="shared" si="10"/>
        <v>0</v>
      </c>
      <c r="I29" s="388">
        <f t="shared" si="11"/>
        <v>0</v>
      </c>
      <c r="J29" s="359">
        <f t="shared" si="12"/>
        <v>0</v>
      </c>
      <c r="K29" s="390">
        <v>6</v>
      </c>
      <c r="L29" s="388">
        <v>0</v>
      </c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spans="1:24" ht="15.75" customHeight="1" x14ac:dyDescent="0.2">
      <c r="A30" s="358"/>
      <c r="B30" s="358"/>
      <c r="C30" s="391"/>
      <c r="D30" s="387">
        <f t="shared" si="7"/>
        <v>0</v>
      </c>
      <c r="E30" s="388">
        <f t="shared" si="8"/>
        <v>0</v>
      </c>
      <c r="F30" s="389">
        <v>0</v>
      </c>
      <c r="G30" s="359">
        <f t="shared" si="9"/>
        <v>0</v>
      </c>
      <c r="H30" s="366">
        <f t="shared" si="10"/>
        <v>0</v>
      </c>
      <c r="I30" s="388">
        <f t="shared" si="11"/>
        <v>0</v>
      </c>
      <c r="J30" s="359">
        <f t="shared" si="12"/>
        <v>0</v>
      </c>
      <c r="K30" s="390">
        <v>6</v>
      </c>
      <c r="L30" s="388">
        <v>0</v>
      </c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 spans="1:24" ht="15.75" customHeight="1" x14ac:dyDescent="0.2">
      <c r="A31" s="43"/>
      <c r="B31" s="43"/>
      <c r="C31" s="43"/>
      <c r="D31" s="43"/>
      <c r="E31" s="43"/>
      <c r="F31" s="368" t="s">
        <v>101</v>
      </c>
      <c r="G31" s="359">
        <f t="shared" ref="G31:I31" si="14">SUM(G22:G30)</f>
        <v>0</v>
      </c>
      <c r="H31" s="366">
        <f t="shared" si="14"/>
        <v>0</v>
      </c>
      <c r="I31" s="359">
        <f t="shared" si="14"/>
        <v>0</v>
      </c>
      <c r="J31" s="359">
        <f t="shared" si="12"/>
        <v>0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 spans="1:24" ht="15.75" customHeight="1" x14ac:dyDescent="0.2">
      <c r="A32" s="369" t="s">
        <v>395</v>
      </c>
      <c r="B32" s="370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 spans="1:24" ht="15.75" customHeight="1" x14ac:dyDescent="0.2">
      <c r="A33" s="358"/>
      <c r="B33" s="372"/>
      <c r="C33" s="373"/>
      <c r="D33" s="374">
        <f t="shared" ref="D33:D37" si="15">C33*$B$2</f>
        <v>0</v>
      </c>
      <c r="E33" s="375">
        <f t="shared" ref="E33:E37" si="16">D33/$B$4</f>
        <v>0</v>
      </c>
      <c r="F33" s="376">
        <v>0</v>
      </c>
      <c r="G33" s="359">
        <f t="shared" ref="G33:G37" si="17">F33*C33</f>
        <v>0</v>
      </c>
      <c r="H33" s="366">
        <f t="shared" ref="H33:H37" si="18">F33*D33</f>
        <v>0</v>
      </c>
      <c r="I33" s="375">
        <f t="shared" ref="I33:I37" si="19">F33*E33</f>
        <v>0</v>
      </c>
      <c r="J33" s="359">
        <f t="shared" ref="J33:J38" si="20">I33*0.19</f>
        <v>0</v>
      </c>
      <c r="K33" s="377">
        <v>7</v>
      </c>
      <c r="L33" s="375">
        <f t="shared" ref="L33:L37" si="21">I33/(K33)/12</f>
        <v>0</v>
      </c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 spans="1:24" ht="15.75" customHeight="1" x14ac:dyDescent="0.2">
      <c r="A34" s="384"/>
      <c r="B34" s="385"/>
      <c r="C34" s="373"/>
      <c r="D34" s="374">
        <f t="shared" si="15"/>
        <v>0</v>
      </c>
      <c r="E34" s="375">
        <f t="shared" si="16"/>
        <v>0</v>
      </c>
      <c r="F34" s="376">
        <v>0</v>
      </c>
      <c r="G34" s="359">
        <f t="shared" si="17"/>
        <v>0</v>
      </c>
      <c r="H34" s="366">
        <f t="shared" si="18"/>
        <v>0</v>
      </c>
      <c r="I34" s="375">
        <f t="shared" si="19"/>
        <v>0</v>
      </c>
      <c r="J34" s="359">
        <f t="shared" si="20"/>
        <v>0</v>
      </c>
      <c r="K34" s="377">
        <v>7</v>
      </c>
      <c r="L34" s="375">
        <f t="shared" si="21"/>
        <v>0</v>
      </c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 spans="1:24" ht="15.75" customHeight="1" x14ac:dyDescent="0.2">
      <c r="A35" s="384"/>
      <c r="B35" s="385"/>
      <c r="C35" s="373"/>
      <c r="D35" s="374">
        <f t="shared" si="15"/>
        <v>0</v>
      </c>
      <c r="E35" s="375">
        <f t="shared" si="16"/>
        <v>0</v>
      </c>
      <c r="F35" s="376">
        <v>0</v>
      </c>
      <c r="G35" s="359">
        <f t="shared" si="17"/>
        <v>0</v>
      </c>
      <c r="H35" s="366">
        <f t="shared" si="18"/>
        <v>0</v>
      </c>
      <c r="I35" s="375">
        <f t="shared" si="19"/>
        <v>0</v>
      </c>
      <c r="J35" s="359">
        <f t="shared" si="20"/>
        <v>0</v>
      </c>
      <c r="K35" s="377">
        <v>7</v>
      </c>
      <c r="L35" s="375">
        <f t="shared" si="21"/>
        <v>0</v>
      </c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spans="1:24" ht="15.75" customHeight="1" x14ac:dyDescent="0.2">
      <c r="A36" s="384"/>
      <c r="B36" s="392"/>
      <c r="C36" s="393"/>
      <c r="D36" s="374">
        <f t="shared" si="15"/>
        <v>0</v>
      </c>
      <c r="E36" s="375">
        <f t="shared" si="16"/>
        <v>0</v>
      </c>
      <c r="F36" s="376">
        <v>0</v>
      </c>
      <c r="G36" s="359">
        <f t="shared" si="17"/>
        <v>0</v>
      </c>
      <c r="H36" s="366">
        <f t="shared" si="18"/>
        <v>0</v>
      </c>
      <c r="I36" s="375">
        <f t="shared" si="19"/>
        <v>0</v>
      </c>
      <c r="J36" s="359">
        <f t="shared" si="20"/>
        <v>0</v>
      </c>
      <c r="K36" s="377">
        <v>7</v>
      </c>
      <c r="L36" s="375">
        <f t="shared" si="21"/>
        <v>0</v>
      </c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 spans="1:24" ht="15.75" customHeight="1" x14ac:dyDescent="0.2">
      <c r="A37" s="384"/>
      <c r="B37" s="385"/>
      <c r="C37" s="373"/>
      <c r="D37" s="374">
        <f t="shared" si="15"/>
        <v>0</v>
      </c>
      <c r="E37" s="375">
        <f t="shared" si="16"/>
        <v>0</v>
      </c>
      <c r="F37" s="376">
        <v>0</v>
      </c>
      <c r="G37" s="359">
        <f t="shared" si="17"/>
        <v>0</v>
      </c>
      <c r="H37" s="366">
        <f t="shared" si="18"/>
        <v>0</v>
      </c>
      <c r="I37" s="375">
        <f t="shared" si="19"/>
        <v>0</v>
      </c>
      <c r="J37" s="359">
        <f t="shared" si="20"/>
        <v>0</v>
      </c>
      <c r="K37" s="377">
        <v>7</v>
      </c>
      <c r="L37" s="375">
        <f t="shared" si="21"/>
        <v>0</v>
      </c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spans="1:24" ht="15.75" customHeight="1" x14ac:dyDescent="0.2">
      <c r="A38" s="43"/>
      <c r="B38" s="43"/>
      <c r="C38" s="43"/>
      <c r="D38" s="43"/>
      <c r="E38" s="43"/>
      <c r="F38" s="368" t="s">
        <v>101</v>
      </c>
      <c r="G38" s="359">
        <f t="shared" ref="G38:I38" si="22">SUM(G33:G37)</f>
        <v>0</v>
      </c>
      <c r="H38" s="366">
        <f t="shared" si="22"/>
        <v>0</v>
      </c>
      <c r="I38" s="359">
        <f t="shared" si="22"/>
        <v>0</v>
      </c>
      <c r="J38" s="359">
        <f t="shared" si="20"/>
        <v>0</v>
      </c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spans="1:24" ht="15.75" customHeight="1" x14ac:dyDescent="0.2">
      <c r="A39" s="369" t="s">
        <v>396</v>
      </c>
      <c r="B39" s="370"/>
      <c r="C39" s="370"/>
      <c r="D39" s="370"/>
      <c r="E39" s="370"/>
      <c r="F39" s="370"/>
      <c r="G39" s="370"/>
      <c r="H39" s="370"/>
      <c r="I39" s="370"/>
      <c r="J39" s="370"/>
      <c r="K39" s="370"/>
      <c r="L39" s="371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spans="1:24" ht="15.75" customHeight="1" x14ac:dyDescent="0.2">
      <c r="A40" s="358"/>
      <c r="B40" s="358"/>
      <c r="C40" s="373"/>
      <c r="D40" s="374">
        <f t="shared" ref="D40:D48" si="23">C40*$B$2</f>
        <v>0</v>
      </c>
      <c r="E40" s="375">
        <f t="shared" ref="E40:E48" si="24">D40/$B$4</f>
        <v>0</v>
      </c>
      <c r="F40" s="376">
        <v>0</v>
      </c>
      <c r="G40" s="359">
        <f t="shared" ref="G40:G48" si="25">F40*C40</f>
        <v>0</v>
      </c>
      <c r="H40" s="366">
        <f t="shared" ref="H40:H48" si="26">F40*D40</f>
        <v>0</v>
      </c>
      <c r="I40" s="375">
        <f t="shared" ref="I40:I48" si="27">F40*E40</f>
        <v>0</v>
      </c>
      <c r="J40" s="359">
        <f t="shared" ref="J40:J49" si="28">I40*0.19</f>
        <v>0</v>
      </c>
      <c r="K40" s="377">
        <v>0</v>
      </c>
      <c r="L40" s="375">
        <v>0</v>
      </c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spans="1:24" ht="15.75" customHeight="1" x14ac:dyDescent="0.2">
      <c r="A41" s="358"/>
      <c r="B41" s="358"/>
      <c r="C41" s="373"/>
      <c r="D41" s="374">
        <f t="shared" si="23"/>
        <v>0</v>
      </c>
      <c r="E41" s="375">
        <f t="shared" si="24"/>
        <v>0</v>
      </c>
      <c r="F41" s="376">
        <v>0</v>
      </c>
      <c r="G41" s="359">
        <f t="shared" si="25"/>
        <v>0</v>
      </c>
      <c r="H41" s="366">
        <f t="shared" si="26"/>
        <v>0</v>
      </c>
      <c r="I41" s="375">
        <f t="shared" si="27"/>
        <v>0</v>
      </c>
      <c r="J41" s="359">
        <f t="shared" si="28"/>
        <v>0</v>
      </c>
      <c r="K41" s="377">
        <v>10</v>
      </c>
      <c r="L41" s="375">
        <f t="shared" ref="L41:L48" si="29">I41/(K41)/12</f>
        <v>0</v>
      </c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spans="1:24" ht="15.75" customHeight="1" x14ac:dyDescent="0.2">
      <c r="A42" s="358"/>
      <c r="B42" s="358"/>
      <c r="C42" s="373"/>
      <c r="D42" s="374">
        <f t="shared" si="23"/>
        <v>0</v>
      </c>
      <c r="E42" s="375">
        <f t="shared" si="24"/>
        <v>0</v>
      </c>
      <c r="F42" s="376">
        <v>0</v>
      </c>
      <c r="G42" s="359">
        <f t="shared" si="25"/>
        <v>0</v>
      </c>
      <c r="H42" s="366">
        <f t="shared" si="26"/>
        <v>0</v>
      </c>
      <c r="I42" s="375">
        <f t="shared" si="27"/>
        <v>0</v>
      </c>
      <c r="J42" s="359">
        <f t="shared" si="28"/>
        <v>0</v>
      </c>
      <c r="K42" s="377">
        <v>15</v>
      </c>
      <c r="L42" s="375">
        <f t="shared" si="29"/>
        <v>0</v>
      </c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spans="1:24" ht="15.75" customHeight="1" x14ac:dyDescent="0.2">
      <c r="A43" s="358"/>
      <c r="B43" s="358"/>
      <c r="C43" s="373"/>
      <c r="D43" s="374">
        <f t="shared" si="23"/>
        <v>0</v>
      </c>
      <c r="E43" s="375">
        <f t="shared" si="24"/>
        <v>0</v>
      </c>
      <c r="F43" s="376">
        <v>0</v>
      </c>
      <c r="G43" s="359">
        <f t="shared" si="25"/>
        <v>0</v>
      </c>
      <c r="H43" s="366">
        <f t="shared" si="26"/>
        <v>0</v>
      </c>
      <c r="I43" s="375">
        <f t="shared" si="27"/>
        <v>0</v>
      </c>
      <c r="J43" s="359">
        <f t="shared" si="28"/>
        <v>0</v>
      </c>
      <c r="K43" s="377">
        <v>10</v>
      </c>
      <c r="L43" s="375">
        <f t="shared" si="29"/>
        <v>0</v>
      </c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spans="1:24" ht="15.75" customHeight="1" x14ac:dyDescent="0.2">
      <c r="A44" s="358"/>
      <c r="B44" s="358"/>
      <c r="C44" s="373"/>
      <c r="D44" s="374">
        <f t="shared" si="23"/>
        <v>0</v>
      </c>
      <c r="E44" s="375">
        <f t="shared" si="24"/>
        <v>0</v>
      </c>
      <c r="F44" s="376">
        <v>0</v>
      </c>
      <c r="G44" s="359">
        <f t="shared" si="25"/>
        <v>0</v>
      </c>
      <c r="H44" s="366">
        <f t="shared" si="26"/>
        <v>0</v>
      </c>
      <c r="I44" s="375">
        <f t="shared" si="27"/>
        <v>0</v>
      </c>
      <c r="J44" s="359">
        <f t="shared" si="28"/>
        <v>0</v>
      </c>
      <c r="K44" s="377">
        <v>15</v>
      </c>
      <c r="L44" s="375">
        <f t="shared" si="29"/>
        <v>0</v>
      </c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spans="1:24" ht="15.75" customHeight="1" x14ac:dyDescent="0.2">
      <c r="A45" s="358"/>
      <c r="B45" s="358"/>
      <c r="C45" s="373"/>
      <c r="D45" s="374">
        <f t="shared" si="23"/>
        <v>0</v>
      </c>
      <c r="E45" s="375">
        <f t="shared" si="24"/>
        <v>0</v>
      </c>
      <c r="F45" s="376">
        <v>0</v>
      </c>
      <c r="G45" s="359">
        <f t="shared" si="25"/>
        <v>0</v>
      </c>
      <c r="H45" s="366">
        <f t="shared" si="26"/>
        <v>0</v>
      </c>
      <c r="I45" s="375">
        <f t="shared" si="27"/>
        <v>0</v>
      </c>
      <c r="J45" s="359">
        <f t="shared" si="28"/>
        <v>0</v>
      </c>
      <c r="K45" s="377">
        <v>6</v>
      </c>
      <c r="L45" s="375">
        <f t="shared" si="29"/>
        <v>0</v>
      </c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spans="1:24" ht="15.75" customHeight="1" x14ac:dyDescent="0.2">
      <c r="A46" s="358"/>
      <c r="B46" s="358"/>
      <c r="C46" s="373"/>
      <c r="D46" s="374">
        <f t="shared" si="23"/>
        <v>0</v>
      </c>
      <c r="E46" s="375">
        <f t="shared" si="24"/>
        <v>0</v>
      </c>
      <c r="F46" s="376">
        <v>0</v>
      </c>
      <c r="G46" s="359">
        <f t="shared" si="25"/>
        <v>0</v>
      </c>
      <c r="H46" s="366">
        <f t="shared" si="26"/>
        <v>0</v>
      </c>
      <c r="I46" s="375">
        <f t="shared" si="27"/>
        <v>0</v>
      </c>
      <c r="J46" s="359">
        <f t="shared" si="28"/>
        <v>0</v>
      </c>
      <c r="K46" s="377">
        <v>10</v>
      </c>
      <c r="L46" s="375">
        <f t="shared" si="29"/>
        <v>0</v>
      </c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spans="1:24" ht="15.75" customHeight="1" x14ac:dyDescent="0.2">
      <c r="A47" s="358"/>
      <c r="B47" s="358"/>
      <c r="C47" s="373"/>
      <c r="D47" s="374">
        <f t="shared" si="23"/>
        <v>0</v>
      </c>
      <c r="E47" s="375">
        <f t="shared" si="24"/>
        <v>0</v>
      </c>
      <c r="F47" s="376">
        <v>0</v>
      </c>
      <c r="G47" s="359">
        <f t="shared" si="25"/>
        <v>0</v>
      </c>
      <c r="H47" s="366">
        <f t="shared" si="26"/>
        <v>0</v>
      </c>
      <c r="I47" s="375">
        <f t="shared" si="27"/>
        <v>0</v>
      </c>
      <c r="J47" s="359">
        <f t="shared" si="28"/>
        <v>0</v>
      </c>
      <c r="K47" s="377">
        <v>10</v>
      </c>
      <c r="L47" s="375">
        <f t="shared" si="29"/>
        <v>0</v>
      </c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spans="1:24" ht="15.75" customHeight="1" x14ac:dyDescent="0.2">
      <c r="A48" s="358"/>
      <c r="B48" s="358"/>
      <c r="C48" s="373"/>
      <c r="D48" s="374">
        <f t="shared" si="23"/>
        <v>0</v>
      </c>
      <c r="E48" s="375">
        <f t="shared" si="24"/>
        <v>0</v>
      </c>
      <c r="F48" s="376">
        <v>0</v>
      </c>
      <c r="G48" s="359">
        <f t="shared" si="25"/>
        <v>0</v>
      </c>
      <c r="H48" s="366">
        <f t="shared" si="26"/>
        <v>0</v>
      </c>
      <c r="I48" s="375">
        <f t="shared" si="27"/>
        <v>0</v>
      </c>
      <c r="J48" s="359">
        <f t="shared" si="28"/>
        <v>0</v>
      </c>
      <c r="K48" s="377">
        <v>10</v>
      </c>
      <c r="L48" s="375">
        <f t="shared" si="29"/>
        <v>0</v>
      </c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spans="1:24" ht="15.75" customHeight="1" x14ac:dyDescent="0.2">
      <c r="A49" s="43"/>
      <c r="B49" s="43"/>
      <c r="C49" s="43"/>
      <c r="D49" s="43"/>
      <c r="E49" s="43"/>
      <c r="F49" s="368" t="s">
        <v>101</v>
      </c>
      <c r="G49" s="359">
        <f t="shared" ref="G49:I49" si="30">SUM(G40:G48)</f>
        <v>0</v>
      </c>
      <c r="H49" s="366">
        <f t="shared" si="30"/>
        <v>0</v>
      </c>
      <c r="I49" s="359">
        <f t="shared" si="30"/>
        <v>0</v>
      </c>
      <c r="J49" s="359">
        <f t="shared" si="28"/>
        <v>0</v>
      </c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spans="1:24" ht="15.75" customHeight="1" x14ac:dyDescent="0.2">
      <c r="A50" s="369" t="s">
        <v>397</v>
      </c>
      <c r="B50" s="370"/>
      <c r="C50" s="370"/>
      <c r="D50" s="370"/>
      <c r="E50" s="370"/>
      <c r="F50" s="370"/>
      <c r="G50" s="370"/>
      <c r="H50" s="370"/>
      <c r="I50" s="370"/>
      <c r="J50" s="370"/>
      <c r="K50" s="370"/>
      <c r="L50" s="371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spans="1:24" ht="15.75" customHeight="1" x14ac:dyDescent="0.2">
      <c r="A51" s="384"/>
      <c r="B51" s="392"/>
      <c r="C51" s="393"/>
      <c r="D51" s="374">
        <f t="shared" ref="D51:D56" si="31">C51*$B$2</f>
        <v>0</v>
      </c>
      <c r="E51" s="375">
        <f t="shared" ref="E51:E56" si="32">D51/$B$4</f>
        <v>0</v>
      </c>
      <c r="F51" s="394">
        <v>0</v>
      </c>
      <c r="G51" s="359">
        <f t="shared" ref="G51:G56" si="33">F51*C51</f>
        <v>0</v>
      </c>
      <c r="H51" s="366">
        <f t="shared" ref="H51:H56" si="34">F51*D51</f>
        <v>0</v>
      </c>
      <c r="I51" s="375">
        <f t="shared" ref="I51:I56" si="35">F51*E51</f>
        <v>0</v>
      </c>
      <c r="J51" s="359">
        <f t="shared" ref="J51:J57" si="36">I51*0.19</f>
        <v>0</v>
      </c>
      <c r="K51" s="395">
        <v>0</v>
      </c>
      <c r="L51" s="375">
        <v>0</v>
      </c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spans="1:24" ht="15.75" customHeight="1" x14ac:dyDescent="0.2">
      <c r="A52" s="384"/>
      <c r="B52" s="392"/>
      <c r="C52" s="393"/>
      <c r="D52" s="374">
        <f t="shared" si="31"/>
        <v>0</v>
      </c>
      <c r="E52" s="375">
        <f t="shared" si="32"/>
        <v>0</v>
      </c>
      <c r="F52" s="394">
        <v>0</v>
      </c>
      <c r="G52" s="359">
        <f t="shared" si="33"/>
        <v>0</v>
      </c>
      <c r="H52" s="366">
        <f t="shared" si="34"/>
        <v>0</v>
      </c>
      <c r="I52" s="375">
        <f t="shared" si="35"/>
        <v>0</v>
      </c>
      <c r="J52" s="359">
        <f t="shared" si="36"/>
        <v>0</v>
      </c>
      <c r="K52" s="395">
        <v>0</v>
      </c>
      <c r="L52" s="375">
        <v>0</v>
      </c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spans="1:24" ht="15.75" customHeight="1" x14ac:dyDescent="0.2">
      <c r="A53" s="384"/>
      <c r="B53" s="392"/>
      <c r="C53" s="393"/>
      <c r="D53" s="374">
        <f t="shared" si="31"/>
        <v>0</v>
      </c>
      <c r="E53" s="375">
        <f t="shared" si="32"/>
        <v>0</v>
      </c>
      <c r="F53" s="394">
        <v>0</v>
      </c>
      <c r="G53" s="359">
        <f t="shared" si="33"/>
        <v>0</v>
      </c>
      <c r="H53" s="366">
        <f t="shared" si="34"/>
        <v>0</v>
      </c>
      <c r="I53" s="375">
        <f t="shared" si="35"/>
        <v>0</v>
      </c>
      <c r="J53" s="359">
        <f t="shared" si="36"/>
        <v>0</v>
      </c>
      <c r="K53" s="395">
        <v>0</v>
      </c>
      <c r="L53" s="375">
        <v>0</v>
      </c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spans="1:24" ht="15.75" customHeight="1" x14ac:dyDescent="0.2">
      <c r="A54" s="384"/>
      <c r="B54" s="392"/>
      <c r="C54" s="393"/>
      <c r="D54" s="374">
        <f t="shared" si="31"/>
        <v>0</v>
      </c>
      <c r="E54" s="375">
        <f t="shared" si="32"/>
        <v>0</v>
      </c>
      <c r="F54" s="394">
        <v>0</v>
      </c>
      <c r="G54" s="359">
        <f t="shared" si="33"/>
        <v>0</v>
      </c>
      <c r="H54" s="366">
        <f t="shared" si="34"/>
        <v>0</v>
      </c>
      <c r="I54" s="375">
        <f t="shared" si="35"/>
        <v>0</v>
      </c>
      <c r="J54" s="359">
        <f t="shared" si="36"/>
        <v>0</v>
      </c>
      <c r="K54" s="395">
        <v>0</v>
      </c>
      <c r="L54" s="375">
        <v>0</v>
      </c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spans="1:24" ht="15.75" customHeight="1" x14ac:dyDescent="0.2">
      <c r="A55" s="384"/>
      <c r="B55" s="392"/>
      <c r="C55" s="393"/>
      <c r="D55" s="374">
        <f t="shared" si="31"/>
        <v>0</v>
      </c>
      <c r="E55" s="375">
        <f t="shared" si="32"/>
        <v>0</v>
      </c>
      <c r="F55" s="394">
        <v>0</v>
      </c>
      <c r="G55" s="359">
        <f t="shared" si="33"/>
        <v>0</v>
      </c>
      <c r="H55" s="366">
        <f t="shared" si="34"/>
        <v>0</v>
      </c>
      <c r="I55" s="375">
        <f t="shared" si="35"/>
        <v>0</v>
      </c>
      <c r="J55" s="359">
        <f t="shared" si="36"/>
        <v>0</v>
      </c>
      <c r="K55" s="395">
        <v>0</v>
      </c>
      <c r="L55" s="375">
        <v>0</v>
      </c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spans="1:24" ht="15.75" customHeight="1" x14ac:dyDescent="0.2">
      <c r="A56" s="384"/>
      <c r="B56" s="392"/>
      <c r="C56" s="393"/>
      <c r="D56" s="374">
        <f t="shared" si="31"/>
        <v>0</v>
      </c>
      <c r="E56" s="375">
        <f t="shared" si="32"/>
        <v>0</v>
      </c>
      <c r="F56" s="394">
        <v>0</v>
      </c>
      <c r="G56" s="359">
        <f t="shared" si="33"/>
        <v>0</v>
      </c>
      <c r="H56" s="366">
        <f t="shared" si="34"/>
        <v>0</v>
      </c>
      <c r="I56" s="375">
        <f t="shared" si="35"/>
        <v>0</v>
      </c>
      <c r="J56" s="359">
        <f t="shared" si="36"/>
        <v>0</v>
      </c>
      <c r="K56" s="395">
        <v>0</v>
      </c>
      <c r="L56" s="375">
        <v>0</v>
      </c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spans="1:24" ht="15.75" customHeight="1" x14ac:dyDescent="0.2">
      <c r="A57" s="43"/>
      <c r="B57" s="43"/>
      <c r="C57" s="43"/>
      <c r="D57" s="43"/>
      <c r="E57" s="43"/>
      <c r="F57" s="368" t="s">
        <v>101</v>
      </c>
      <c r="G57" s="359">
        <f t="shared" ref="G57:I57" si="37">SUM(G51:G56)</f>
        <v>0</v>
      </c>
      <c r="H57" s="366">
        <f t="shared" si="37"/>
        <v>0</v>
      </c>
      <c r="I57" s="359">
        <f t="shared" si="37"/>
        <v>0</v>
      </c>
      <c r="J57" s="359">
        <f t="shared" si="36"/>
        <v>0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spans="1:24" ht="15.75" customHeight="1" x14ac:dyDescent="0.2">
      <c r="A58" s="369" t="s">
        <v>398</v>
      </c>
      <c r="B58" s="370"/>
      <c r="C58" s="370"/>
      <c r="D58" s="370"/>
      <c r="E58" s="370"/>
      <c r="F58" s="370"/>
      <c r="G58" s="370"/>
      <c r="H58" s="370"/>
      <c r="I58" s="370"/>
      <c r="J58" s="370"/>
      <c r="K58" s="370"/>
      <c r="L58" s="371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spans="1:24" ht="15.75" customHeight="1" x14ac:dyDescent="0.2">
      <c r="A59" s="358"/>
      <c r="B59" s="358"/>
      <c r="C59" s="373"/>
      <c r="D59" s="374">
        <f t="shared" ref="D59:D60" si="38">C59*$B$2</f>
        <v>0</v>
      </c>
      <c r="E59" s="375">
        <f t="shared" ref="E59:E60" si="39">D59/$B$4</f>
        <v>0</v>
      </c>
      <c r="F59" s="376">
        <v>0</v>
      </c>
      <c r="G59" s="359">
        <f t="shared" ref="G59:G60" si="40">F59*C59</f>
        <v>0</v>
      </c>
      <c r="H59" s="366">
        <f t="shared" ref="H59:H60" si="41">F59*D59</f>
        <v>0</v>
      </c>
      <c r="I59" s="375">
        <f t="shared" ref="I59:I60" si="42">F59*E59</f>
        <v>0</v>
      </c>
      <c r="J59" s="359">
        <f t="shared" ref="J59:J61" si="43">I59*0.19</f>
        <v>0</v>
      </c>
      <c r="K59" s="377">
        <v>0</v>
      </c>
      <c r="L59" s="375">
        <v>0</v>
      </c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spans="1:24" ht="15.75" customHeight="1" x14ac:dyDescent="0.2">
      <c r="A60" s="358"/>
      <c r="B60" s="358"/>
      <c r="C60" s="391"/>
      <c r="D60" s="387">
        <f t="shared" si="38"/>
        <v>0</v>
      </c>
      <c r="E60" s="388">
        <f t="shared" si="39"/>
        <v>0</v>
      </c>
      <c r="F60" s="389">
        <v>0</v>
      </c>
      <c r="G60" s="359">
        <f t="shared" si="40"/>
        <v>0</v>
      </c>
      <c r="H60" s="366">
        <f t="shared" si="41"/>
        <v>0</v>
      </c>
      <c r="I60" s="388">
        <f t="shared" si="42"/>
        <v>0</v>
      </c>
      <c r="J60" s="359">
        <f t="shared" si="43"/>
        <v>0</v>
      </c>
      <c r="K60" s="390">
        <v>0</v>
      </c>
      <c r="L60" s="388">
        <v>0</v>
      </c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spans="1:24" ht="15.75" customHeight="1" x14ac:dyDescent="0.2">
      <c r="A61" s="43"/>
      <c r="B61" s="43"/>
      <c r="C61" s="43"/>
      <c r="D61" s="43"/>
      <c r="E61" s="43"/>
      <c r="F61" s="368" t="s">
        <v>101</v>
      </c>
      <c r="G61" s="359">
        <f t="shared" ref="G61:I61" si="44">SUM(G59:G60)</f>
        <v>0</v>
      </c>
      <c r="H61" s="366">
        <f t="shared" si="44"/>
        <v>0</v>
      </c>
      <c r="I61" s="359">
        <f t="shared" si="44"/>
        <v>0</v>
      </c>
      <c r="J61" s="359">
        <f t="shared" si="43"/>
        <v>0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spans="1:24" ht="15" customHeight="1" x14ac:dyDescent="0.2">
      <c r="A62" s="396" t="s">
        <v>399</v>
      </c>
      <c r="B62" s="397"/>
      <c r="C62" s="397"/>
      <c r="D62" s="397"/>
      <c r="E62" s="397"/>
      <c r="F62" s="397"/>
      <c r="G62" s="397"/>
      <c r="H62" s="397"/>
      <c r="I62" s="397"/>
      <c r="J62" s="397"/>
      <c r="K62" s="397"/>
      <c r="L62" s="398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spans="1:24" ht="15" customHeight="1" x14ac:dyDescent="0.2">
      <c r="A63" s="358"/>
      <c r="B63" s="358"/>
      <c r="C63" s="391"/>
      <c r="D63" s="387">
        <f t="shared" ref="D63:D66" si="45">C63*$B$2</f>
        <v>0</v>
      </c>
      <c r="E63" s="388">
        <f t="shared" ref="E63:E66" si="46">D63/$B$4</f>
        <v>0</v>
      </c>
      <c r="F63" s="389">
        <v>0</v>
      </c>
      <c r="G63" s="359">
        <f t="shared" ref="G63:G66" si="47">F63*C63</f>
        <v>0</v>
      </c>
      <c r="H63" s="366">
        <f t="shared" ref="H63:H66" si="48">F63*D63</f>
        <v>0</v>
      </c>
      <c r="I63" s="388">
        <f t="shared" ref="I63:I66" si="49">F63*E63</f>
        <v>0</v>
      </c>
      <c r="J63" s="359">
        <f t="shared" ref="J63:J67" si="50">I63*0.19</f>
        <v>0</v>
      </c>
      <c r="K63" s="390">
        <v>0</v>
      </c>
      <c r="L63" s="388">
        <v>0</v>
      </c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spans="1:24" ht="15" customHeight="1" x14ac:dyDescent="0.2">
      <c r="A64" s="358"/>
      <c r="B64" s="358"/>
      <c r="C64" s="391"/>
      <c r="D64" s="387">
        <f t="shared" si="45"/>
        <v>0</v>
      </c>
      <c r="E64" s="388">
        <f t="shared" si="46"/>
        <v>0</v>
      </c>
      <c r="F64" s="389">
        <v>0</v>
      </c>
      <c r="G64" s="359">
        <f t="shared" si="47"/>
        <v>0</v>
      </c>
      <c r="H64" s="366">
        <f t="shared" si="48"/>
        <v>0</v>
      </c>
      <c r="I64" s="388">
        <f t="shared" si="49"/>
        <v>0</v>
      </c>
      <c r="J64" s="359">
        <f t="shared" si="50"/>
        <v>0</v>
      </c>
      <c r="K64" s="390">
        <v>0</v>
      </c>
      <c r="L64" s="388">
        <v>0</v>
      </c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spans="1:24" ht="15" customHeight="1" x14ac:dyDescent="0.2">
      <c r="A65" s="358"/>
      <c r="B65" s="358"/>
      <c r="C65" s="391"/>
      <c r="D65" s="387">
        <f t="shared" si="45"/>
        <v>0</v>
      </c>
      <c r="E65" s="388">
        <f t="shared" si="46"/>
        <v>0</v>
      </c>
      <c r="F65" s="389">
        <v>0</v>
      </c>
      <c r="G65" s="359">
        <f t="shared" si="47"/>
        <v>0</v>
      </c>
      <c r="H65" s="366">
        <f t="shared" si="48"/>
        <v>0</v>
      </c>
      <c r="I65" s="388">
        <f t="shared" si="49"/>
        <v>0</v>
      </c>
      <c r="J65" s="359">
        <f t="shared" si="50"/>
        <v>0</v>
      </c>
      <c r="K65" s="390">
        <v>0</v>
      </c>
      <c r="L65" s="388">
        <v>0</v>
      </c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spans="1:24" ht="15" customHeight="1" x14ac:dyDescent="0.2">
      <c r="A66" s="358"/>
      <c r="B66" s="358"/>
      <c r="C66" s="391"/>
      <c r="D66" s="387">
        <f t="shared" si="45"/>
        <v>0</v>
      </c>
      <c r="E66" s="388">
        <f t="shared" si="46"/>
        <v>0</v>
      </c>
      <c r="F66" s="389">
        <v>0</v>
      </c>
      <c r="G66" s="359">
        <f t="shared" si="47"/>
        <v>0</v>
      </c>
      <c r="H66" s="366">
        <f t="shared" si="48"/>
        <v>0</v>
      </c>
      <c r="I66" s="388">
        <f t="shared" si="49"/>
        <v>0</v>
      </c>
      <c r="J66" s="359">
        <f t="shared" si="50"/>
        <v>0</v>
      </c>
      <c r="K66" s="390">
        <v>0</v>
      </c>
      <c r="L66" s="388">
        <v>0</v>
      </c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spans="1:24" ht="15.75" customHeight="1" x14ac:dyDescent="0.2">
      <c r="A67" s="43"/>
      <c r="B67" s="43"/>
      <c r="C67" s="43"/>
      <c r="D67" s="43"/>
      <c r="E67" s="43"/>
      <c r="F67" s="368" t="s">
        <v>101</v>
      </c>
      <c r="G67" s="359">
        <f t="shared" ref="G67:I67" si="51">SUM(G63:G66)</f>
        <v>0</v>
      </c>
      <c r="H67" s="366">
        <f t="shared" si="51"/>
        <v>0</v>
      </c>
      <c r="I67" s="359">
        <f t="shared" si="51"/>
        <v>0</v>
      </c>
      <c r="J67" s="359">
        <f t="shared" si="50"/>
        <v>0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spans="1:24" ht="15.75" customHeight="1" x14ac:dyDescent="0.2">
      <c r="A68" s="3"/>
      <c r="B68" s="3"/>
      <c r="C68" s="3"/>
      <c r="D68" s="43"/>
      <c r="E68" s="43"/>
      <c r="F68" s="43"/>
      <c r="G68" s="43"/>
      <c r="H68" s="43"/>
      <c r="I68" s="43"/>
      <c r="J68" s="43"/>
      <c r="K68" s="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spans="1:24" ht="15.75" customHeight="1" x14ac:dyDescent="0.25">
      <c r="A69" s="43"/>
      <c r="B69" s="243" t="s">
        <v>400</v>
      </c>
      <c r="C69" s="243" t="s">
        <v>401</v>
      </c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spans="1:24" ht="15.75" customHeight="1" x14ac:dyDescent="0.25">
      <c r="A70" s="243" t="s">
        <v>402</v>
      </c>
      <c r="B70" s="399">
        <f>SUM(I31,I38,I49,I57)</f>
        <v>0</v>
      </c>
      <c r="C70" s="399">
        <v>0</v>
      </c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spans="1:24" ht="15.75" customHeight="1" x14ac:dyDescent="0.25">
      <c r="A71" s="243" t="s">
        <v>403</v>
      </c>
      <c r="B71" s="399">
        <v>0</v>
      </c>
      <c r="C71" s="400">
        <f>SUM(I20,I61,I67)</f>
        <v>0</v>
      </c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spans="1:24" ht="15.75" customHeight="1" x14ac:dyDescent="0.2">
      <c r="A72" s="43"/>
      <c r="B72" s="42"/>
      <c r="C72" s="42"/>
      <c r="D72" s="42"/>
      <c r="E72" s="42"/>
      <c r="F72" s="42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spans="1:24" ht="15.75" customHeight="1" x14ac:dyDescent="0.2">
      <c r="A73" s="43"/>
      <c r="B73" s="401"/>
      <c r="C73" s="402"/>
      <c r="D73" s="403"/>
      <c r="E73" s="42"/>
      <c r="F73" s="42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spans="1:24" ht="15.75" customHeight="1" x14ac:dyDescent="0.2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spans="1:24" ht="15.75" customHeight="1" x14ac:dyDescent="0.2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spans="1:24" ht="15.75" customHeight="1" x14ac:dyDescent="0.2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spans="1:24" ht="15.75" customHeight="1" x14ac:dyDescent="0.2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spans="1:24" ht="15.75" customHeight="1" x14ac:dyDescent="0.2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spans="1:24" ht="15.75" customHeight="1" x14ac:dyDescent="0.2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spans="1:24" ht="15.75" customHeight="1" x14ac:dyDescent="0.2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spans="1:24" ht="15.75" customHeight="1" x14ac:dyDescent="0.2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spans="1:24" ht="15.75" customHeight="1" x14ac:dyDescent="0.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spans="1:24" ht="15.75" customHeight="1" x14ac:dyDescent="0.2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spans="1:24" ht="15.75" customHeight="1" x14ac:dyDescent="0.2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spans="1:24" ht="15.75" customHeight="1" x14ac:dyDescent="0.2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spans="1:24" ht="15.75" customHeight="1" x14ac:dyDescent="0.2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spans="1:24" ht="15.75" customHeight="1" x14ac:dyDescent="0.2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spans="1:24" ht="15.75" customHeight="1" x14ac:dyDescent="0.2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spans="1:24" ht="15.75" customHeight="1" x14ac:dyDescent="0.2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spans="1:24" ht="15.75" customHeight="1" x14ac:dyDescent="0.2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spans="1:24" ht="15.75" customHeight="1" x14ac:dyDescent="0.2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spans="1:24" ht="15.75" customHeight="1" x14ac:dyDescent="0.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spans="1:24" ht="15.75" customHeight="1" x14ac:dyDescent="0.2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spans="1:24" ht="15.75" customHeight="1" x14ac:dyDescent="0.2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spans="1:24" ht="15.75" customHeight="1" x14ac:dyDescent="0.2">
      <c r="A95" s="3"/>
      <c r="B95" s="3"/>
      <c r="C95" s="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spans="1:24" ht="15.75" customHeight="1" x14ac:dyDescent="0.2">
      <c r="A96" s="3"/>
      <c r="B96" s="3"/>
      <c r="C96" s="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spans="1:24" ht="15.75" customHeight="1" x14ac:dyDescent="0.2">
      <c r="A97" s="3"/>
      <c r="B97" s="3"/>
      <c r="C97" s="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spans="1:24" ht="15.75" customHeight="1" x14ac:dyDescent="0.2">
      <c r="A98" s="3"/>
      <c r="B98" s="3"/>
      <c r="C98" s="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spans="1:24" ht="15.75" customHeight="1" x14ac:dyDescent="0.2">
      <c r="A99" s="3"/>
      <c r="B99" s="3"/>
      <c r="C99" s="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spans="1:24" ht="15.75" customHeight="1" x14ac:dyDescent="0.2">
      <c r="A100" s="3"/>
      <c r="B100" s="3"/>
      <c r="C100" s="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spans="1:24" ht="15.75" customHeight="1" x14ac:dyDescent="0.2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spans="1:24" ht="15.75" customHeight="1" x14ac:dyDescent="0.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spans="1:24" ht="15.75" customHeight="1" x14ac:dyDescent="0.2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spans="1:24" ht="15.75" customHeight="1" x14ac:dyDescent="0.2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spans="1:24" ht="15.75" customHeight="1" x14ac:dyDescent="0.2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spans="1:24" ht="15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spans="1:24" ht="15.75" customHeight="1" x14ac:dyDescent="0.2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spans="1:24" ht="15.75" customHeight="1" x14ac:dyDescent="0.2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spans="1:24" ht="15.75" customHeight="1" x14ac:dyDescent="0.2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spans="1:24" ht="15.75" customHeight="1" x14ac:dyDescent="0.2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spans="1:24" ht="15.75" customHeight="1" x14ac:dyDescent="0.2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spans="1:24" ht="15.75" customHeight="1" x14ac:dyDescent="0.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spans="1:24" ht="15.75" customHeight="1" x14ac:dyDescent="0.2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spans="1:24" ht="15.75" customHeight="1" x14ac:dyDescent="0.2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spans="1:24" ht="15.75" customHeight="1" x14ac:dyDescent="0.2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spans="1:24" ht="15.75" customHeight="1" x14ac:dyDescent="0.2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spans="1:24" ht="15.75" customHeight="1" x14ac:dyDescent="0.2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spans="1:24" ht="15.75" customHeight="1" x14ac:dyDescent="0.2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spans="1:24" ht="15.75" customHeight="1" x14ac:dyDescent="0.2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spans="1:24" ht="15.75" customHeight="1" x14ac:dyDescent="0.2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spans="1:24" ht="15.75" customHeight="1" x14ac:dyDescent="0.2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spans="1:24" ht="15.75" customHeight="1" x14ac:dyDescent="0.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spans="1:24" ht="15.75" customHeight="1" x14ac:dyDescent="0.2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spans="1:24" ht="15.75" customHeight="1" x14ac:dyDescent="0.2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spans="1:24" ht="15.75" customHeight="1" x14ac:dyDescent="0.2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spans="1:24" ht="15.75" customHeight="1" x14ac:dyDescent="0.2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spans="1:24" ht="15.75" customHeight="1" x14ac:dyDescent="0.2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spans="1:24" ht="15.75" customHeight="1" x14ac:dyDescent="0.2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spans="1:24" ht="15.75" customHeight="1" x14ac:dyDescent="0.2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spans="1:24" ht="15.75" customHeight="1" x14ac:dyDescent="0.2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spans="1:24" ht="15.75" customHeight="1" x14ac:dyDescent="0.2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spans="1:24" ht="15.75" customHeight="1" x14ac:dyDescent="0.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spans="1:24" ht="15.75" customHeight="1" x14ac:dyDescent="0.2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spans="1:24" ht="15.75" customHeight="1" x14ac:dyDescent="0.2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spans="1:24" ht="15.75" customHeight="1" x14ac:dyDescent="0.2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spans="1:24" ht="15.75" customHeight="1" x14ac:dyDescent="0.2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spans="1:24" ht="15.75" customHeight="1" x14ac:dyDescent="0.2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spans="1:24" ht="15.75" customHeight="1" x14ac:dyDescent="0.2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spans="1:24" ht="15.75" customHeight="1" x14ac:dyDescent="0.2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spans="1:24" ht="15.75" customHeight="1" x14ac:dyDescent="0.2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spans="1:24" ht="15.75" customHeight="1" x14ac:dyDescent="0.2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spans="1:24" ht="15.75" customHeight="1" x14ac:dyDescent="0.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spans="1:24" ht="15.75" customHeight="1" x14ac:dyDescent="0.2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spans="1:24" ht="15.75" customHeight="1" x14ac:dyDescent="0.2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spans="1:24" ht="15.75" customHeight="1" x14ac:dyDescent="0.2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spans="1:24" ht="15.75" customHeight="1" x14ac:dyDescent="0.2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spans="1:24" ht="15.75" customHeight="1" x14ac:dyDescent="0.2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spans="1:24" ht="15.75" customHeight="1" x14ac:dyDescent="0.2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spans="1:24" ht="15.75" customHeight="1" x14ac:dyDescent="0.2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spans="1:24" ht="15.75" customHeight="1" x14ac:dyDescent="0.2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spans="1:24" ht="15.75" customHeight="1" x14ac:dyDescent="0.2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spans="1:24" ht="15.75" customHeight="1" x14ac:dyDescent="0.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spans="1:24" ht="15.75" customHeight="1" x14ac:dyDescent="0.2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spans="1:24" ht="15.75" customHeight="1" x14ac:dyDescent="0.2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spans="1:24" ht="15.75" customHeight="1" x14ac:dyDescent="0.2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spans="1:24" ht="15.75" customHeight="1" x14ac:dyDescent="0.2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spans="1:24" ht="15.75" customHeight="1" x14ac:dyDescent="0.2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spans="1:24" ht="15.75" customHeight="1" x14ac:dyDescent="0.2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spans="1:24" ht="15.75" customHeight="1" x14ac:dyDescent="0.2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spans="1:24" ht="15.75" customHeight="1" x14ac:dyDescent="0.2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spans="1:24" ht="15.7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spans="1:24" ht="15.75" customHeight="1" x14ac:dyDescent="0.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spans="1:24" ht="15.75" customHeight="1" x14ac:dyDescent="0.2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spans="1:24" ht="15.75" customHeight="1" x14ac:dyDescent="0.2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spans="1:24" ht="15.75" customHeight="1" x14ac:dyDescent="0.2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spans="1:24" ht="15.75" customHeight="1" x14ac:dyDescent="0.2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spans="1:24" ht="15.75" customHeight="1" x14ac:dyDescent="0.2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spans="1:24" ht="15.75" customHeight="1" x14ac:dyDescent="0.2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spans="1:24" ht="15.75" customHeight="1" x14ac:dyDescent="0.2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spans="1:24" ht="15.75" customHeight="1" x14ac:dyDescent="0.2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spans="1:24" ht="15.75" customHeight="1" x14ac:dyDescent="0.2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spans="1:24" ht="15.75" customHeight="1" x14ac:dyDescent="0.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spans="1:24" ht="15.75" customHeight="1" x14ac:dyDescent="0.2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spans="1:24" ht="15.75" customHeight="1" x14ac:dyDescent="0.2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spans="1:24" ht="15.75" customHeight="1" x14ac:dyDescent="0.2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spans="1:24" ht="15.75" customHeight="1" x14ac:dyDescent="0.2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spans="1:24" ht="15.75" customHeight="1" x14ac:dyDescent="0.2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spans="1:24" ht="15.75" customHeight="1" x14ac:dyDescent="0.2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spans="1:24" ht="15.75" customHeight="1" x14ac:dyDescent="0.2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spans="1:24" ht="15.75" customHeight="1" x14ac:dyDescent="0.2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spans="1:24" ht="15.75" customHeight="1" x14ac:dyDescent="0.2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spans="1:24" ht="15.75" customHeight="1" x14ac:dyDescent="0.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spans="1:24" ht="15.75" customHeight="1" x14ac:dyDescent="0.2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spans="1:24" ht="15.75" customHeight="1" x14ac:dyDescent="0.2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spans="1:24" ht="15.75" customHeight="1" x14ac:dyDescent="0.2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spans="1:24" ht="15.75" customHeight="1" x14ac:dyDescent="0.2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spans="1:24" ht="15.75" customHeight="1" x14ac:dyDescent="0.2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spans="1:24" ht="15.75" customHeight="1" x14ac:dyDescent="0.2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spans="1:24" ht="15.75" customHeight="1" x14ac:dyDescent="0.2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spans="1:24" ht="15.75" customHeight="1" x14ac:dyDescent="0.2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spans="1:24" ht="15.75" customHeight="1" x14ac:dyDescent="0.2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spans="1:24" ht="15.75" customHeight="1" x14ac:dyDescent="0.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spans="1:24" ht="15.75" customHeight="1" x14ac:dyDescent="0.2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spans="1:24" ht="15.75" customHeight="1" x14ac:dyDescent="0.2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spans="1:24" ht="15.75" customHeight="1" x14ac:dyDescent="0.2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spans="1:24" ht="15.75" customHeight="1" x14ac:dyDescent="0.2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spans="1:24" ht="15.75" customHeight="1" x14ac:dyDescent="0.2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spans="1:24" ht="15.75" customHeight="1" x14ac:dyDescent="0.2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spans="1:24" ht="15.75" customHeight="1" x14ac:dyDescent="0.2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spans="1:24" ht="15.75" customHeight="1" x14ac:dyDescent="0.2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spans="1:24" ht="15.75" customHeight="1" x14ac:dyDescent="0.2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spans="1:24" ht="15.75" customHeight="1" x14ac:dyDescent="0.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spans="1:24" ht="15.75" customHeight="1" x14ac:dyDescent="0.2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spans="1:24" ht="15.75" customHeight="1" x14ac:dyDescent="0.2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spans="1:24" ht="15.75" customHeight="1" x14ac:dyDescent="0.2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spans="1:24" ht="15.75" customHeight="1" x14ac:dyDescent="0.2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spans="1:24" ht="15.75" customHeight="1" x14ac:dyDescent="0.2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spans="1:24" ht="15.75" customHeight="1" x14ac:dyDescent="0.2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spans="1:24" ht="15.75" customHeight="1" x14ac:dyDescent="0.2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spans="1:24" ht="15.75" customHeight="1" x14ac:dyDescent="0.2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spans="1:24" ht="15.75" customHeight="1" x14ac:dyDescent="0.2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spans="1:24" ht="15.75" customHeight="1" x14ac:dyDescent="0.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spans="1:24" ht="15.75" customHeight="1" x14ac:dyDescent="0.2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spans="1:24" ht="15.75" customHeight="1" x14ac:dyDescent="0.2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spans="1:24" ht="15.75" customHeight="1" x14ac:dyDescent="0.2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spans="1:24" ht="15.75" customHeight="1" x14ac:dyDescent="0.2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spans="1:24" ht="15.75" customHeight="1" x14ac:dyDescent="0.2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spans="1:24" ht="15.75" customHeight="1" x14ac:dyDescent="0.2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spans="1:24" ht="15.75" customHeight="1" x14ac:dyDescent="0.2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spans="1:24" ht="15.75" customHeight="1" x14ac:dyDescent="0.2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spans="1:24" ht="15.75" customHeight="1" x14ac:dyDescent="0.2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spans="1:24" ht="15.75" customHeight="1" x14ac:dyDescent="0.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spans="1:24" ht="15.75" customHeight="1" x14ac:dyDescent="0.2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spans="1:24" ht="15.75" customHeight="1" x14ac:dyDescent="0.2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spans="1:24" ht="15.75" customHeight="1" x14ac:dyDescent="0.2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spans="1:24" ht="15.75" customHeight="1" x14ac:dyDescent="0.2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spans="1:24" ht="15.75" customHeight="1" x14ac:dyDescent="0.2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spans="1:24" ht="15.75" customHeight="1" x14ac:dyDescent="0.2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spans="1:24" ht="15.75" customHeight="1" x14ac:dyDescent="0.2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spans="1:24" ht="15.75" customHeight="1" x14ac:dyDescent="0.2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spans="1:24" ht="15.75" customHeight="1" x14ac:dyDescent="0.2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spans="1:24" ht="15.75" customHeight="1" x14ac:dyDescent="0.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spans="1:24" ht="15.75" customHeight="1" x14ac:dyDescent="0.2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spans="1:24" ht="15.75" customHeight="1" x14ac:dyDescent="0.2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spans="1:24" ht="15.75" customHeight="1" x14ac:dyDescent="0.2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spans="1:24" ht="15.75" customHeight="1" x14ac:dyDescent="0.2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spans="1:24" ht="15.75" customHeight="1" x14ac:dyDescent="0.2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spans="1:24" ht="15.75" customHeight="1" x14ac:dyDescent="0.2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spans="1:24" ht="15.75" customHeight="1" x14ac:dyDescent="0.2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spans="1:24" ht="15.75" customHeight="1" x14ac:dyDescent="0.2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spans="1:24" ht="15.75" customHeight="1" x14ac:dyDescent="0.2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spans="1:24" ht="15.75" customHeight="1" x14ac:dyDescent="0.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</row>
    <row r="243" spans="1:24" ht="15.75" customHeight="1" x14ac:dyDescent="0.2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</row>
    <row r="244" spans="1:24" ht="15.75" customHeight="1" x14ac:dyDescent="0.2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</row>
    <row r="245" spans="1:24" ht="15.75" customHeight="1" x14ac:dyDescent="0.2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</row>
    <row r="246" spans="1:24" ht="15.75" customHeight="1" x14ac:dyDescent="0.2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</row>
    <row r="247" spans="1:24" ht="15.75" customHeight="1" x14ac:dyDescent="0.2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</row>
    <row r="248" spans="1:24" ht="15.75" customHeight="1" x14ac:dyDescent="0.2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</row>
    <row r="249" spans="1:24" ht="15.75" customHeight="1" x14ac:dyDescent="0.2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</row>
    <row r="250" spans="1:24" ht="15.75" customHeight="1" x14ac:dyDescent="0.2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</row>
    <row r="251" spans="1:24" ht="15.75" customHeight="1" x14ac:dyDescent="0.2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</row>
    <row r="252" spans="1:24" ht="15.75" customHeight="1" x14ac:dyDescent="0.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</row>
    <row r="253" spans="1:24" ht="15.75" customHeight="1" x14ac:dyDescent="0.2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</row>
    <row r="254" spans="1:24" ht="15.75" customHeight="1" x14ac:dyDescent="0.2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</row>
    <row r="255" spans="1:24" ht="15.75" customHeight="1" x14ac:dyDescent="0.2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</row>
    <row r="256" spans="1:24" ht="15.75" customHeight="1" x14ac:dyDescent="0.2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</row>
    <row r="257" spans="1:24" ht="15.75" customHeight="1" x14ac:dyDescent="0.2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</row>
    <row r="258" spans="1:24" ht="15.75" customHeight="1" x14ac:dyDescent="0.2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</row>
    <row r="259" spans="1:24" ht="15.75" customHeight="1" x14ac:dyDescent="0.2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</row>
    <row r="260" spans="1:24" ht="15.75" customHeight="1" x14ac:dyDescent="0.2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</row>
    <row r="261" spans="1:24" ht="15.75" customHeight="1" x14ac:dyDescent="0.2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</row>
    <row r="262" spans="1:24" ht="15.75" customHeight="1" x14ac:dyDescent="0.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</row>
    <row r="263" spans="1:24" ht="15.75" customHeight="1" x14ac:dyDescent="0.2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</row>
    <row r="264" spans="1:24" ht="15.75" customHeight="1" x14ac:dyDescent="0.2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</row>
    <row r="265" spans="1:24" ht="15.75" customHeight="1" x14ac:dyDescent="0.2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</row>
    <row r="266" spans="1:24" ht="15.75" customHeight="1" x14ac:dyDescent="0.2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</row>
    <row r="267" spans="1:24" ht="15.75" customHeight="1" x14ac:dyDescent="0.2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</row>
    <row r="268" spans="1:24" ht="15.75" customHeight="1" x14ac:dyDescent="0.2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</row>
    <row r="269" spans="1:24" ht="15.75" customHeight="1" x14ac:dyDescent="0.2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</row>
    <row r="270" spans="1:24" ht="15.75" customHeight="1" x14ac:dyDescent="0.2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</row>
    <row r="271" spans="1:24" ht="15.75" customHeight="1" x14ac:dyDescent="0.2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</row>
    <row r="272" spans="1:24" ht="15.75" customHeight="1" x14ac:dyDescent="0.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</row>
    <row r="273" spans="1:24" ht="15.75" customHeight="1" x14ac:dyDescent="0.2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</row>
    <row r="274" spans="1:24" ht="15.75" customHeight="1" x14ac:dyDescent="0.2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</row>
    <row r="275" spans="1:24" ht="15.75" customHeight="1" x14ac:dyDescent="0.2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</row>
    <row r="276" spans="1:24" ht="15.75" customHeight="1" x14ac:dyDescent="0.2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</row>
    <row r="277" spans="1:24" ht="15.75" customHeight="1" x14ac:dyDescent="0.2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</row>
    <row r="278" spans="1:24" ht="15.75" customHeight="1" x14ac:dyDescent="0.2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</row>
    <row r="279" spans="1:24" ht="15.75" customHeight="1" x14ac:dyDescent="0.2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</row>
    <row r="280" spans="1:24" ht="15.75" customHeight="1" x14ac:dyDescent="0.2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</row>
    <row r="281" spans="1:24" ht="15.75" customHeight="1" x14ac:dyDescent="0.2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</row>
    <row r="282" spans="1:24" ht="15.75" customHeight="1" x14ac:dyDescent="0.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</row>
    <row r="283" spans="1:24" ht="15.75" customHeight="1" x14ac:dyDescent="0.2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</row>
    <row r="284" spans="1:24" ht="15.75" customHeight="1" x14ac:dyDescent="0.2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</row>
    <row r="285" spans="1:24" ht="15.75" customHeight="1" x14ac:dyDescent="0.2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</row>
    <row r="286" spans="1:24" ht="15.75" customHeight="1" x14ac:dyDescent="0.2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</row>
    <row r="287" spans="1:24" ht="15.75" customHeight="1" x14ac:dyDescent="0.2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</row>
    <row r="288" spans="1:24" ht="15.75" customHeight="1" x14ac:dyDescent="0.2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</row>
    <row r="289" spans="1:24" ht="15.75" customHeight="1" x14ac:dyDescent="0.2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</row>
    <row r="290" spans="1:24" ht="15.75" customHeight="1" x14ac:dyDescent="0.2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</row>
    <row r="291" spans="1:24" ht="15.75" customHeight="1" x14ac:dyDescent="0.2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</row>
    <row r="292" spans="1:24" ht="15.75" customHeight="1" x14ac:dyDescent="0.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</row>
    <row r="293" spans="1:24" ht="15.75" customHeight="1" x14ac:dyDescent="0.2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</row>
    <row r="294" spans="1:24" ht="15.75" customHeight="1" x14ac:dyDescent="0.2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</row>
    <row r="295" spans="1:24" ht="15.75" customHeight="1" x14ac:dyDescent="0.2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</row>
    <row r="296" spans="1:24" ht="15.75" customHeight="1" x14ac:dyDescent="0.2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</row>
    <row r="297" spans="1:24" ht="15.75" customHeight="1" x14ac:dyDescent="0.2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</row>
    <row r="298" spans="1:24" ht="15.75" customHeight="1" x14ac:dyDescent="0.2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</row>
    <row r="299" spans="1:24" ht="15.75" customHeight="1" x14ac:dyDescent="0.2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</row>
    <row r="300" spans="1:24" ht="15.75" customHeight="1" x14ac:dyDescent="0.2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</row>
    <row r="301" spans="1:24" ht="15.75" customHeight="1" x14ac:dyDescent="0.2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</row>
    <row r="302" spans="1:24" ht="15.75" customHeight="1" x14ac:dyDescent="0.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</row>
    <row r="303" spans="1:24" ht="15.75" customHeight="1" x14ac:dyDescent="0.2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</row>
    <row r="304" spans="1:24" ht="15.75" customHeight="1" x14ac:dyDescent="0.2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</row>
    <row r="305" spans="1:24" ht="15.75" customHeight="1" x14ac:dyDescent="0.2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</row>
    <row r="306" spans="1:24" ht="15.75" customHeight="1" x14ac:dyDescent="0.2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</row>
    <row r="307" spans="1:24" ht="15.75" customHeight="1" x14ac:dyDescent="0.2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</row>
    <row r="308" spans="1:24" ht="15.75" customHeight="1" x14ac:dyDescent="0.2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</row>
    <row r="309" spans="1:24" ht="15.75" customHeight="1" x14ac:dyDescent="0.2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</row>
    <row r="310" spans="1:24" ht="15.75" customHeight="1" x14ac:dyDescent="0.2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</row>
    <row r="311" spans="1:24" ht="15.75" customHeight="1" x14ac:dyDescent="0.2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</row>
    <row r="312" spans="1:24" ht="15.75" customHeight="1" x14ac:dyDescent="0.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</row>
    <row r="313" spans="1:24" ht="15.75" customHeight="1" x14ac:dyDescent="0.2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</row>
    <row r="314" spans="1:24" ht="15.75" customHeight="1" x14ac:dyDescent="0.2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</row>
    <row r="315" spans="1:24" ht="15.75" customHeight="1" x14ac:dyDescent="0.2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</row>
    <row r="316" spans="1:24" ht="15.75" customHeight="1" x14ac:dyDescent="0.2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</row>
    <row r="317" spans="1:24" ht="15.75" customHeight="1" x14ac:dyDescent="0.2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</row>
    <row r="318" spans="1:24" ht="15.75" customHeight="1" x14ac:dyDescent="0.2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</row>
    <row r="319" spans="1:24" ht="15.75" customHeight="1" x14ac:dyDescent="0.2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</row>
    <row r="320" spans="1:24" ht="15.75" customHeight="1" x14ac:dyDescent="0.2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</row>
    <row r="321" spans="1:24" ht="15.75" customHeight="1" x14ac:dyDescent="0.2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</row>
    <row r="322" spans="1:24" ht="15.75" customHeight="1" x14ac:dyDescent="0.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</row>
    <row r="323" spans="1:24" ht="15.75" customHeight="1" x14ac:dyDescent="0.2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</row>
    <row r="324" spans="1:24" ht="15.75" customHeight="1" x14ac:dyDescent="0.2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</row>
    <row r="325" spans="1:24" ht="15.75" customHeight="1" x14ac:dyDescent="0.2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</row>
    <row r="326" spans="1:24" ht="15.75" customHeight="1" x14ac:dyDescent="0.2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</row>
    <row r="327" spans="1:24" ht="15.75" customHeight="1" x14ac:dyDescent="0.2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</row>
    <row r="328" spans="1:24" ht="15.75" customHeight="1" x14ac:dyDescent="0.2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</row>
    <row r="329" spans="1:24" ht="15.75" customHeight="1" x14ac:dyDescent="0.2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</row>
    <row r="330" spans="1:24" ht="15.75" customHeight="1" x14ac:dyDescent="0.2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</row>
    <row r="331" spans="1:24" ht="15.75" customHeight="1" x14ac:dyDescent="0.2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</row>
    <row r="332" spans="1:24" ht="15.75" customHeight="1" x14ac:dyDescent="0.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</row>
    <row r="333" spans="1:24" ht="15.75" customHeight="1" x14ac:dyDescent="0.2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</row>
    <row r="334" spans="1:24" ht="15.75" customHeight="1" x14ac:dyDescent="0.2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</row>
    <row r="335" spans="1:24" ht="15.75" customHeight="1" x14ac:dyDescent="0.2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</row>
    <row r="336" spans="1:24" ht="15.75" customHeight="1" x14ac:dyDescent="0.2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</row>
    <row r="337" spans="1:24" ht="15.75" customHeight="1" x14ac:dyDescent="0.2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</row>
    <row r="338" spans="1:24" ht="15.75" customHeight="1" x14ac:dyDescent="0.2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</row>
    <row r="339" spans="1:24" ht="15.75" customHeight="1" x14ac:dyDescent="0.2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</row>
    <row r="340" spans="1:24" ht="15.75" customHeight="1" x14ac:dyDescent="0.2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</row>
    <row r="341" spans="1:24" ht="15.75" customHeight="1" x14ac:dyDescent="0.2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</row>
    <row r="342" spans="1:24" ht="15.75" customHeight="1" x14ac:dyDescent="0.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</row>
    <row r="343" spans="1:24" ht="15.75" customHeight="1" x14ac:dyDescent="0.2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</row>
    <row r="344" spans="1:24" ht="15.75" customHeight="1" x14ac:dyDescent="0.2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</row>
    <row r="345" spans="1:24" ht="15.75" customHeight="1" x14ac:dyDescent="0.2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</row>
    <row r="346" spans="1:24" ht="15.75" customHeight="1" x14ac:dyDescent="0.2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</row>
    <row r="347" spans="1:24" ht="15.75" customHeight="1" x14ac:dyDescent="0.2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</row>
    <row r="348" spans="1:24" ht="15.75" customHeight="1" x14ac:dyDescent="0.2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</row>
    <row r="349" spans="1:24" ht="15.75" customHeight="1" x14ac:dyDescent="0.2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</row>
    <row r="350" spans="1:24" ht="15.75" customHeight="1" x14ac:dyDescent="0.2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</row>
    <row r="351" spans="1:24" ht="15.75" customHeight="1" x14ac:dyDescent="0.2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</row>
    <row r="352" spans="1:24" ht="15.75" customHeight="1" x14ac:dyDescent="0.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</row>
    <row r="353" spans="1:24" ht="15.75" customHeight="1" x14ac:dyDescent="0.2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</row>
    <row r="354" spans="1:24" ht="15.75" customHeight="1" x14ac:dyDescent="0.2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</row>
    <row r="355" spans="1:24" ht="15.75" customHeight="1" x14ac:dyDescent="0.2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</row>
    <row r="356" spans="1:24" ht="15.75" customHeight="1" x14ac:dyDescent="0.2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</row>
    <row r="357" spans="1:24" ht="15.75" customHeight="1" x14ac:dyDescent="0.2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</row>
    <row r="358" spans="1:24" ht="15.75" customHeight="1" x14ac:dyDescent="0.2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</row>
    <row r="359" spans="1:24" ht="15.75" customHeight="1" x14ac:dyDescent="0.2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</row>
    <row r="360" spans="1:24" ht="15.75" customHeight="1" x14ac:dyDescent="0.2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</row>
    <row r="361" spans="1:24" ht="15.75" customHeight="1" x14ac:dyDescent="0.2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</row>
    <row r="362" spans="1:24" ht="15.75" customHeight="1" x14ac:dyDescent="0.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</row>
    <row r="363" spans="1:24" ht="15.75" customHeight="1" x14ac:dyDescent="0.2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</row>
    <row r="364" spans="1:24" ht="15.75" customHeight="1" x14ac:dyDescent="0.2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</row>
    <row r="365" spans="1:24" ht="15.75" customHeight="1" x14ac:dyDescent="0.2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</row>
    <row r="366" spans="1:24" ht="15.75" customHeight="1" x14ac:dyDescent="0.2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</row>
    <row r="367" spans="1:24" ht="15.75" customHeight="1" x14ac:dyDescent="0.2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</row>
    <row r="368" spans="1:24" ht="15.75" customHeight="1" x14ac:dyDescent="0.2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</row>
    <row r="369" spans="1:24" ht="15.75" customHeight="1" x14ac:dyDescent="0.2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</row>
    <row r="370" spans="1:24" ht="15.75" customHeight="1" x14ac:dyDescent="0.2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</row>
    <row r="371" spans="1:24" ht="15.75" customHeight="1" x14ac:dyDescent="0.2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</row>
    <row r="372" spans="1:24" ht="15.75" customHeight="1" x14ac:dyDescent="0.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</row>
    <row r="373" spans="1:24" ht="15.75" customHeight="1" x14ac:dyDescent="0.2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</row>
    <row r="374" spans="1:24" ht="15.75" customHeight="1" x14ac:dyDescent="0.2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</row>
    <row r="375" spans="1:24" ht="15.75" customHeight="1" x14ac:dyDescent="0.2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</row>
    <row r="376" spans="1:24" ht="15.75" customHeight="1" x14ac:dyDescent="0.2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</row>
    <row r="377" spans="1:24" ht="15.75" customHeight="1" x14ac:dyDescent="0.2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</row>
    <row r="378" spans="1:24" ht="15.75" customHeight="1" x14ac:dyDescent="0.2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</row>
    <row r="379" spans="1:24" ht="15.75" customHeight="1" x14ac:dyDescent="0.2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</row>
    <row r="380" spans="1:24" ht="15.75" customHeight="1" x14ac:dyDescent="0.2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</row>
    <row r="381" spans="1:24" ht="15.75" customHeight="1" x14ac:dyDescent="0.2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</row>
    <row r="382" spans="1:24" ht="15.75" customHeight="1" x14ac:dyDescent="0.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</row>
    <row r="383" spans="1:24" ht="15.75" customHeight="1" x14ac:dyDescent="0.2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</row>
    <row r="384" spans="1:24" ht="15.75" customHeight="1" x14ac:dyDescent="0.2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</row>
    <row r="385" spans="1:24" ht="15.75" customHeight="1" x14ac:dyDescent="0.2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</row>
    <row r="386" spans="1:24" ht="15.75" customHeight="1" x14ac:dyDescent="0.2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</row>
    <row r="387" spans="1:24" ht="15.75" customHeight="1" x14ac:dyDescent="0.2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</row>
    <row r="388" spans="1:24" ht="15.75" customHeight="1" x14ac:dyDescent="0.2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</row>
    <row r="389" spans="1:24" ht="15.75" customHeight="1" x14ac:dyDescent="0.2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</row>
    <row r="390" spans="1:24" ht="15.75" customHeight="1" x14ac:dyDescent="0.2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</row>
    <row r="391" spans="1:24" ht="15.75" customHeight="1" x14ac:dyDescent="0.2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</row>
    <row r="392" spans="1:24" ht="15.75" customHeight="1" x14ac:dyDescent="0.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</row>
    <row r="393" spans="1:24" ht="15.75" customHeight="1" x14ac:dyDescent="0.2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</row>
    <row r="394" spans="1:24" ht="15.75" customHeight="1" x14ac:dyDescent="0.2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</row>
    <row r="395" spans="1:24" ht="15.75" customHeight="1" x14ac:dyDescent="0.2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</row>
    <row r="396" spans="1:24" ht="15.75" customHeight="1" x14ac:dyDescent="0.2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</row>
    <row r="397" spans="1:24" ht="15.75" customHeight="1" x14ac:dyDescent="0.2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</row>
    <row r="398" spans="1:24" ht="15.75" customHeight="1" x14ac:dyDescent="0.2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</row>
    <row r="399" spans="1:24" ht="15.75" customHeight="1" x14ac:dyDescent="0.2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</row>
    <row r="400" spans="1:24" ht="15.75" customHeight="1" x14ac:dyDescent="0.2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</row>
    <row r="401" spans="1:24" ht="15.75" customHeight="1" x14ac:dyDescent="0.2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</row>
    <row r="402" spans="1:24" ht="15.75" customHeight="1" x14ac:dyDescent="0.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</row>
    <row r="403" spans="1:24" ht="15.75" customHeight="1" x14ac:dyDescent="0.2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</row>
    <row r="404" spans="1:24" ht="15.75" customHeight="1" x14ac:dyDescent="0.2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</row>
    <row r="405" spans="1:24" ht="15.75" customHeight="1" x14ac:dyDescent="0.2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</row>
    <row r="406" spans="1:24" ht="15.75" customHeight="1" x14ac:dyDescent="0.2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</row>
    <row r="407" spans="1:24" ht="15.75" customHeight="1" x14ac:dyDescent="0.2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</row>
    <row r="408" spans="1:24" ht="15.75" customHeight="1" x14ac:dyDescent="0.2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</row>
    <row r="409" spans="1:24" ht="15.75" customHeight="1" x14ac:dyDescent="0.2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</row>
    <row r="410" spans="1:24" ht="15.75" customHeight="1" x14ac:dyDescent="0.2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</row>
    <row r="411" spans="1:24" ht="15.75" customHeight="1" x14ac:dyDescent="0.2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</row>
    <row r="412" spans="1:24" ht="15.75" customHeight="1" x14ac:dyDescent="0.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</row>
    <row r="413" spans="1:24" ht="15.75" customHeight="1" x14ac:dyDescent="0.2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</row>
    <row r="414" spans="1:24" ht="15.75" customHeight="1" x14ac:dyDescent="0.2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</row>
    <row r="415" spans="1:24" ht="15.75" customHeight="1" x14ac:dyDescent="0.2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</row>
    <row r="416" spans="1:24" ht="15.75" customHeight="1" x14ac:dyDescent="0.2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</row>
    <row r="417" spans="1:24" ht="15.75" customHeight="1" x14ac:dyDescent="0.2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</row>
    <row r="418" spans="1:24" ht="15.75" customHeight="1" x14ac:dyDescent="0.2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</row>
    <row r="419" spans="1:24" ht="15.75" customHeight="1" x14ac:dyDescent="0.2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</row>
    <row r="420" spans="1:24" ht="15.75" customHeight="1" x14ac:dyDescent="0.2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</row>
    <row r="421" spans="1:24" ht="15.75" customHeight="1" x14ac:dyDescent="0.2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</row>
    <row r="422" spans="1:24" ht="15.75" customHeight="1" x14ac:dyDescent="0.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</row>
    <row r="423" spans="1:24" ht="15.75" customHeight="1" x14ac:dyDescent="0.2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</row>
    <row r="424" spans="1:24" ht="15.75" customHeight="1" x14ac:dyDescent="0.2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</row>
    <row r="425" spans="1:24" ht="15.75" customHeight="1" x14ac:dyDescent="0.2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</row>
    <row r="426" spans="1:24" ht="15.75" customHeight="1" x14ac:dyDescent="0.2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</row>
    <row r="427" spans="1:24" ht="15.75" customHeight="1" x14ac:dyDescent="0.2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</row>
    <row r="428" spans="1:24" ht="15.75" customHeight="1" x14ac:dyDescent="0.2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</row>
    <row r="429" spans="1:24" ht="15.75" customHeight="1" x14ac:dyDescent="0.2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</row>
    <row r="430" spans="1:24" ht="15.75" customHeight="1" x14ac:dyDescent="0.2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</row>
    <row r="431" spans="1:24" ht="15.75" customHeight="1" x14ac:dyDescent="0.2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</row>
    <row r="432" spans="1:24" ht="15.75" customHeight="1" x14ac:dyDescent="0.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</row>
    <row r="433" spans="1:24" ht="15.75" customHeight="1" x14ac:dyDescent="0.2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</row>
    <row r="434" spans="1:24" ht="15.75" customHeight="1" x14ac:dyDescent="0.2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</row>
    <row r="435" spans="1:24" ht="15.75" customHeight="1" x14ac:dyDescent="0.2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</row>
    <row r="436" spans="1:24" ht="15.75" customHeight="1" x14ac:dyDescent="0.2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</row>
    <row r="437" spans="1:24" ht="15.75" customHeight="1" x14ac:dyDescent="0.2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</row>
    <row r="438" spans="1:24" ht="15.75" customHeight="1" x14ac:dyDescent="0.2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</row>
    <row r="439" spans="1:24" ht="15.75" customHeight="1" x14ac:dyDescent="0.2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</row>
    <row r="440" spans="1:24" ht="15.75" customHeight="1" x14ac:dyDescent="0.2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</row>
    <row r="441" spans="1:24" ht="15.75" customHeight="1" x14ac:dyDescent="0.2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</row>
    <row r="442" spans="1:24" ht="15.75" customHeight="1" x14ac:dyDescent="0.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</row>
    <row r="443" spans="1:24" ht="15.75" customHeight="1" x14ac:dyDescent="0.2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</row>
    <row r="444" spans="1:24" ht="15.75" customHeight="1" x14ac:dyDescent="0.2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</row>
    <row r="445" spans="1:24" ht="15.75" customHeight="1" x14ac:dyDescent="0.2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</row>
    <row r="446" spans="1:24" ht="15.75" customHeight="1" x14ac:dyDescent="0.2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</row>
    <row r="447" spans="1:24" ht="15.75" customHeight="1" x14ac:dyDescent="0.2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</row>
    <row r="448" spans="1:24" ht="15.75" customHeight="1" x14ac:dyDescent="0.2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</row>
    <row r="449" spans="1:24" ht="15.75" customHeight="1" x14ac:dyDescent="0.2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</row>
    <row r="450" spans="1:24" ht="15.75" customHeight="1" x14ac:dyDescent="0.2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</row>
    <row r="451" spans="1:24" ht="15.75" customHeight="1" x14ac:dyDescent="0.2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</row>
    <row r="452" spans="1:24" ht="15.75" customHeight="1" x14ac:dyDescent="0.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</row>
    <row r="453" spans="1:24" ht="15.75" customHeight="1" x14ac:dyDescent="0.2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</row>
    <row r="454" spans="1:24" ht="15.75" customHeight="1" x14ac:dyDescent="0.2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</row>
    <row r="455" spans="1:24" ht="15.75" customHeight="1" x14ac:dyDescent="0.2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</row>
    <row r="456" spans="1:24" ht="15.75" customHeight="1" x14ac:dyDescent="0.2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</row>
    <row r="457" spans="1:24" ht="15.75" customHeight="1" x14ac:dyDescent="0.2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</row>
    <row r="458" spans="1:24" ht="15.75" customHeight="1" x14ac:dyDescent="0.2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</row>
    <row r="459" spans="1:24" ht="15.75" customHeight="1" x14ac:dyDescent="0.2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</row>
    <row r="460" spans="1:24" ht="15.75" customHeight="1" x14ac:dyDescent="0.2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</row>
    <row r="461" spans="1:24" ht="15.75" customHeight="1" x14ac:dyDescent="0.2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</row>
    <row r="462" spans="1:24" ht="15.75" customHeight="1" x14ac:dyDescent="0.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</row>
    <row r="463" spans="1:24" ht="15.75" customHeight="1" x14ac:dyDescent="0.2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</row>
    <row r="464" spans="1:24" ht="15.75" customHeight="1" x14ac:dyDescent="0.2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</row>
    <row r="465" spans="1:24" ht="15.75" customHeight="1" x14ac:dyDescent="0.2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</row>
    <row r="466" spans="1:24" ht="15.75" customHeight="1" x14ac:dyDescent="0.2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</row>
    <row r="467" spans="1:24" ht="15.75" customHeight="1" x14ac:dyDescent="0.2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</row>
    <row r="468" spans="1:24" ht="15.75" customHeight="1" x14ac:dyDescent="0.2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</row>
    <row r="469" spans="1:24" ht="15.75" customHeight="1" x14ac:dyDescent="0.2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</row>
    <row r="470" spans="1:24" ht="15.75" customHeight="1" x14ac:dyDescent="0.2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</row>
    <row r="471" spans="1:24" ht="15.75" customHeight="1" x14ac:dyDescent="0.2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</row>
    <row r="472" spans="1:24" ht="15.75" customHeight="1" x14ac:dyDescent="0.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</row>
    <row r="473" spans="1:24" ht="15.75" customHeight="1" x14ac:dyDescent="0.2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</row>
    <row r="474" spans="1:24" ht="15.75" customHeight="1" x14ac:dyDescent="0.2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</row>
    <row r="475" spans="1:24" ht="15.75" customHeight="1" x14ac:dyDescent="0.2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</row>
    <row r="476" spans="1:24" ht="15.75" customHeight="1" x14ac:dyDescent="0.2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</row>
    <row r="477" spans="1:24" ht="15.75" customHeight="1" x14ac:dyDescent="0.2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</row>
    <row r="478" spans="1:24" ht="15.75" customHeight="1" x14ac:dyDescent="0.2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</row>
    <row r="479" spans="1:24" ht="15.75" customHeight="1" x14ac:dyDescent="0.2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</row>
    <row r="480" spans="1:24" ht="15.75" customHeight="1" x14ac:dyDescent="0.2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</row>
    <row r="481" spans="1:24" ht="15.75" customHeight="1" x14ac:dyDescent="0.2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</row>
    <row r="482" spans="1:24" ht="15.75" customHeight="1" x14ac:dyDescent="0.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</row>
    <row r="483" spans="1:24" ht="15.75" customHeight="1" x14ac:dyDescent="0.2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</row>
    <row r="484" spans="1:24" ht="15.75" customHeight="1" x14ac:dyDescent="0.2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</row>
    <row r="485" spans="1:24" ht="15.75" customHeight="1" x14ac:dyDescent="0.2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</row>
    <row r="486" spans="1:24" ht="15.75" customHeight="1" x14ac:dyDescent="0.2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</row>
    <row r="487" spans="1:24" ht="15.75" customHeight="1" x14ac:dyDescent="0.2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</row>
    <row r="488" spans="1:24" ht="15.75" customHeight="1" x14ac:dyDescent="0.2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</row>
    <row r="489" spans="1:24" ht="15.75" customHeight="1" x14ac:dyDescent="0.2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</row>
    <row r="490" spans="1:24" ht="15.75" customHeight="1" x14ac:dyDescent="0.2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</row>
    <row r="491" spans="1:24" ht="15.75" customHeight="1" x14ac:dyDescent="0.2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</row>
    <row r="492" spans="1:24" ht="15.75" customHeight="1" x14ac:dyDescent="0.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</row>
    <row r="493" spans="1:24" ht="15.75" customHeight="1" x14ac:dyDescent="0.2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</row>
    <row r="494" spans="1:24" ht="15.75" customHeight="1" x14ac:dyDescent="0.2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</row>
    <row r="495" spans="1:24" ht="15.75" customHeight="1" x14ac:dyDescent="0.2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</row>
    <row r="496" spans="1:24" ht="15.75" customHeight="1" x14ac:dyDescent="0.2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</row>
    <row r="497" spans="1:24" ht="15.75" customHeight="1" x14ac:dyDescent="0.2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</row>
    <row r="498" spans="1:24" ht="15.75" customHeight="1" x14ac:dyDescent="0.2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</row>
    <row r="499" spans="1:24" ht="15.75" customHeight="1" x14ac:dyDescent="0.2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</row>
    <row r="500" spans="1:24" ht="15.75" customHeight="1" x14ac:dyDescent="0.2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</row>
    <row r="501" spans="1:24" ht="15.75" customHeight="1" x14ac:dyDescent="0.2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</row>
    <row r="502" spans="1:24" ht="15.75" customHeight="1" x14ac:dyDescent="0.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</row>
    <row r="503" spans="1:24" ht="15.75" customHeight="1" x14ac:dyDescent="0.2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</row>
    <row r="504" spans="1:24" ht="15.75" customHeight="1" x14ac:dyDescent="0.2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</row>
    <row r="505" spans="1:24" ht="15.75" customHeight="1" x14ac:dyDescent="0.2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</row>
    <row r="506" spans="1:24" ht="15.75" customHeight="1" x14ac:dyDescent="0.2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</row>
    <row r="507" spans="1:24" ht="15.75" customHeight="1" x14ac:dyDescent="0.2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</row>
    <row r="508" spans="1:24" ht="15.75" customHeight="1" x14ac:dyDescent="0.2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</row>
    <row r="509" spans="1:24" ht="15.75" customHeight="1" x14ac:dyDescent="0.2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</row>
    <row r="510" spans="1:24" ht="15.75" customHeight="1" x14ac:dyDescent="0.2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</row>
    <row r="511" spans="1:24" ht="15.75" customHeight="1" x14ac:dyDescent="0.2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</row>
    <row r="512" spans="1:24" ht="15.75" customHeight="1" x14ac:dyDescent="0.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</row>
    <row r="513" spans="1:24" ht="15.75" customHeight="1" x14ac:dyDescent="0.2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</row>
    <row r="514" spans="1:24" ht="15.75" customHeight="1" x14ac:dyDescent="0.2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</row>
    <row r="515" spans="1:24" ht="15.75" customHeight="1" x14ac:dyDescent="0.2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</row>
    <row r="516" spans="1:24" ht="15.75" customHeight="1" x14ac:dyDescent="0.2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</row>
    <row r="517" spans="1:24" ht="15.75" customHeight="1" x14ac:dyDescent="0.2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</row>
    <row r="518" spans="1:24" ht="15.75" customHeight="1" x14ac:dyDescent="0.2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</row>
    <row r="519" spans="1:24" ht="15.75" customHeight="1" x14ac:dyDescent="0.2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</row>
    <row r="520" spans="1:24" ht="15.75" customHeight="1" x14ac:dyDescent="0.2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</row>
    <row r="521" spans="1:24" ht="15.75" customHeight="1" x14ac:dyDescent="0.2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</row>
    <row r="522" spans="1:24" ht="15.75" customHeight="1" x14ac:dyDescent="0.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</row>
    <row r="523" spans="1:24" ht="15.75" customHeight="1" x14ac:dyDescent="0.2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</row>
    <row r="524" spans="1:24" ht="15.75" customHeight="1" x14ac:dyDescent="0.2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</row>
    <row r="525" spans="1:24" ht="15.75" customHeight="1" x14ac:dyDescent="0.2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</row>
    <row r="526" spans="1:24" ht="15.75" customHeight="1" x14ac:dyDescent="0.2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</row>
    <row r="527" spans="1:24" ht="15.75" customHeight="1" x14ac:dyDescent="0.2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</row>
    <row r="528" spans="1:24" ht="15.75" customHeight="1" x14ac:dyDescent="0.2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</row>
    <row r="529" spans="1:24" ht="15.75" customHeight="1" x14ac:dyDescent="0.2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</row>
    <row r="530" spans="1:24" ht="15.75" customHeight="1" x14ac:dyDescent="0.2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</row>
    <row r="531" spans="1:24" ht="15.75" customHeight="1" x14ac:dyDescent="0.2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</row>
    <row r="532" spans="1:24" ht="15.75" customHeight="1" x14ac:dyDescent="0.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</row>
    <row r="533" spans="1:24" ht="15.75" customHeight="1" x14ac:dyDescent="0.2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</row>
    <row r="534" spans="1:24" ht="15.75" customHeight="1" x14ac:dyDescent="0.2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</row>
    <row r="535" spans="1:24" ht="15.75" customHeight="1" x14ac:dyDescent="0.2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</row>
    <row r="536" spans="1:24" ht="15.75" customHeight="1" x14ac:dyDescent="0.2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</row>
    <row r="537" spans="1:24" ht="15.75" customHeight="1" x14ac:dyDescent="0.2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</row>
    <row r="538" spans="1:24" ht="15.75" customHeight="1" x14ac:dyDescent="0.2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</row>
    <row r="539" spans="1:24" ht="15.75" customHeight="1" x14ac:dyDescent="0.2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</row>
    <row r="540" spans="1:24" ht="15.75" customHeight="1" x14ac:dyDescent="0.2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</row>
    <row r="541" spans="1:24" ht="15.75" customHeight="1" x14ac:dyDescent="0.2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</row>
    <row r="542" spans="1:24" ht="15.75" customHeight="1" x14ac:dyDescent="0.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</row>
    <row r="543" spans="1:24" ht="15.75" customHeight="1" x14ac:dyDescent="0.2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</row>
    <row r="544" spans="1:24" ht="15.75" customHeight="1" x14ac:dyDescent="0.2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</row>
    <row r="545" spans="1:24" ht="15.75" customHeight="1" x14ac:dyDescent="0.2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</row>
    <row r="546" spans="1:24" ht="15.75" customHeight="1" x14ac:dyDescent="0.2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</row>
    <row r="547" spans="1:24" ht="15.75" customHeight="1" x14ac:dyDescent="0.2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</row>
    <row r="548" spans="1:24" ht="15.75" customHeight="1" x14ac:dyDescent="0.2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</row>
    <row r="549" spans="1:24" ht="15.75" customHeight="1" x14ac:dyDescent="0.2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</row>
    <row r="550" spans="1:24" ht="15.75" customHeight="1" x14ac:dyDescent="0.2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</row>
    <row r="551" spans="1:24" ht="15.75" customHeight="1" x14ac:dyDescent="0.2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</row>
    <row r="552" spans="1:24" ht="15.75" customHeight="1" x14ac:dyDescent="0.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</row>
    <row r="553" spans="1:24" ht="15.75" customHeight="1" x14ac:dyDescent="0.2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</row>
    <row r="554" spans="1:24" ht="15.75" customHeight="1" x14ac:dyDescent="0.2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</row>
    <row r="555" spans="1:24" ht="15.75" customHeight="1" x14ac:dyDescent="0.2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</row>
    <row r="556" spans="1:24" ht="15.75" customHeight="1" x14ac:dyDescent="0.2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</row>
    <row r="557" spans="1:24" ht="15.75" customHeight="1" x14ac:dyDescent="0.2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</row>
    <row r="558" spans="1:24" ht="15.75" customHeight="1" x14ac:dyDescent="0.2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</row>
    <row r="559" spans="1:24" ht="15.75" customHeight="1" x14ac:dyDescent="0.2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</row>
    <row r="560" spans="1:24" ht="15.75" customHeight="1" x14ac:dyDescent="0.2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</row>
    <row r="561" spans="1:24" ht="15.75" customHeight="1" x14ac:dyDescent="0.2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</row>
    <row r="562" spans="1:24" ht="15.75" customHeight="1" x14ac:dyDescent="0.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</row>
    <row r="563" spans="1:24" ht="15.75" customHeight="1" x14ac:dyDescent="0.2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</row>
    <row r="564" spans="1:24" ht="15.75" customHeight="1" x14ac:dyDescent="0.2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</row>
    <row r="565" spans="1:24" ht="15.75" customHeight="1" x14ac:dyDescent="0.2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</row>
    <row r="566" spans="1:24" ht="15.75" customHeight="1" x14ac:dyDescent="0.2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</row>
    <row r="567" spans="1:24" ht="15.75" customHeight="1" x14ac:dyDescent="0.2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</row>
    <row r="568" spans="1:24" ht="15.75" customHeight="1" x14ac:dyDescent="0.2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</row>
    <row r="569" spans="1:24" ht="15.75" customHeight="1" x14ac:dyDescent="0.2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</row>
    <row r="570" spans="1:24" ht="15.75" customHeight="1" x14ac:dyDescent="0.2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</row>
    <row r="571" spans="1:24" ht="15.75" customHeight="1" x14ac:dyDescent="0.2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</row>
    <row r="572" spans="1:24" ht="15.75" customHeight="1" x14ac:dyDescent="0.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</row>
    <row r="573" spans="1:24" ht="15.75" customHeight="1" x14ac:dyDescent="0.2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</row>
    <row r="574" spans="1:24" ht="15.75" customHeight="1" x14ac:dyDescent="0.2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</row>
    <row r="575" spans="1:24" ht="15.75" customHeight="1" x14ac:dyDescent="0.2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</row>
    <row r="576" spans="1:24" ht="15.75" customHeight="1" x14ac:dyDescent="0.2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</row>
    <row r="577" spans="1:24" ht="15.75" customHeight="1" x14ac:dyDescent="0.2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</row>
    <row r="578" spans="1:24" ht="15.75" customHeight="1" x14ac:dyDescent="0.2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</row>
    <row r="579" spans="1:24" ht="15.75" customHeight="1" x14ac:dyDescent="0.2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</row>
    <row r="580" spans="1:24" ht="15.75" customHeight="1" x14ac:dyDescent="0.2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</row>
    <row r="581" spans="1:24" ht="15.75" customHeight="1" x14ac:dyDescent="0.2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</row>
    <row r="582" spans="1:24" ht="15.75" customHeight="1" x14ac:dyDescent="0.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</row>
    <row r="583" spans="1:24" ht="15.75" customHeight="1" x14ac:dyDescent="0.2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</row>
    <row r="584" spans="1:24" ht="15.75" customHeight="1" x14ac:dyDescent="0.2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</row>
    <row r="585" spans="1:24" ht="15.75" customHeight="1" x14ac:dyDescent="0.2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</row>
    <row r="586" spans="1:24" ht="15.75" customHeight="1" x14ac:dyDescent="0.2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</row>
    <row r="587" spans="1:24" ht="15.75" customHeight="1" x14ac:dyDescent="0.2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</row>
    <row r="588" spans="1:24" ht="15.75" customHeight="1" x14ac:dyDescent="0.2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</row>
    <row r="589" spans="1:24" ht="15.75" customHeight="1" x14ac:dyDescent="0.2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</row>
    <row r="590" spans="1:24" ht="15.75" customHeight="1" x14ac:dyDescent="0.2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</row>
    <row r="591" spans="1:24" ht="15.75" customHeight="1" x14ac:dyDescent="0.2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</row>
    <row r="592" spans="1:24" ht="15.75" customHeight="1" x14ac:dyDescent="0.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</row>
    <row r="593" spans="1:24" ht="15.75" customHeight="1" x14ac:dyDescent="0.2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</row>
    <row r="594" spans="1:24" ht="15.75" customHeight="1" x14ac:dyDescent="0.2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</row>
    <row r="595" spans="1:24" ht="15.75" customHeight="1" x14ac:dyDescent="0.2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</row>
    <row r="596" spans="1:24" ht="15.75" customHeight="1" x14ac:dyDescent="0.2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</row>
    <row r="597" spans="1:24" ht="15.75" customHeight="1" x14ac:dyDescent="0.2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</row>
    <row r="598" spans="1:24" ht="15.75" customHeight="1" x14ac:dyDescent="0.2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</row>
    <row r="599" spans="1:24" ht="15.75" customHeight="1" x14ac:dyDescent="0.2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</row>
    <row r="600" spans="1:24" ht="15.75" customHeight="1" x14ac:dyDescent="0.2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</row>
    <row r="601" spans="1:24" ht="15.75" customHeight="1" x14ac:dyDescent="0.2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</row>
    <row r="602" spans="1:24" ht="15.75" customHeight="1" x14ac:dyDescent="0.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</row>
    <row r="603" spans="1:24" ht="15.75" customHeight="1" x14ac:dyDescent="0.2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</row>
    <row r="604" spans="1:24" ht="15.75" customHeight="1" x14ac:dyDescent="0.2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</row>
    <row r="605" spans="1:24" ht="15.75" customHeight="1" x14ac:dyDescent="0.2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</row>
    <row r="606" spans="1:24" ht="15.75" customHeight="1" x14ac:dyDescent="0.2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</row>
    <row r="607" spans="1:24" ht="15.75" customHeight="1" x14ac:dyDescent="0.2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</row>
    <row r="608" spans="1:24" ht="15.75" customHeight="1" x14ac:dyDescent="0.2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</row>
    <row r="609" spans="1:24" ht="15.75" customHeight="1" x14ac:dyDescent="0.2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</row>
    <row r="610" spans="1:24" ht="15.75" customHeight="1" x14ac:dyDescent="0.2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</row>
    <row r="611" spans="1:24" ht="15.75" customHeight="1" x14ac:dyDescent="0.2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</row>
    <row r="612" spans="1:24" ht="15.75" customHeight="1" x14ac:dyDescent="0.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</row>
    <row r="613" spans="1:24" ht="15.75" customHeight="1" x14ac:dyDescent="0.2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</row>
    <row r="614" spans="1:24" ht="15.75" customHeight="1" x14ac:dyDescent="0.2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</row>
    <row r="615" spans="1:24" ht="15.75" customHeight="1" x14ac:dyDescent="0.2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</row>
    <row r="616" spans="1:24" ht="15.75" customHeight="1" x14ac:dyDescent="0.2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</row>
    <row r="617" spans="1:24" ht="15.75" customHeight="1" x14ac:dyDescent="0.2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</row>
    <row r="618" spans="1:24" ht="15.75" customHeight="1" x14ac:dyDescent="0.2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</row>
    <row r="619" spans="1:24" ht="15.75" customHeight="1" x14ac:dyDescent="0.2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</row>
    <row r="620" spans="1:24" ht="15.75" customHeight="1" x14ac:dyDescent="0.2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</row>
    <row r="621" spans="1:24" ht="15.75" customHeight="1" x14ac:dyDescent="0.2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</row>
    <row r="622" spans="1:24" ht="15.75" customHeight="1" x14ac:dyDescent="0.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</row>
    <row r="623" spans="1:24" ht="15.75" customHeight="1" x14ac:dyDescent="0.2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</row>
    <row r="624" spans="1:24" ht="15.75" customHeight="1" x14ac:dyDescent="0.2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</row>
    <row r="625" spans="1:24" ht="15.75" customHeight="1" x14ac:dyDescent="0.2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</row>
    <row r="626" spans="1:24" ht="15.75" customHeight="1" x14ac:dyDescent="0.2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</row>
    <row r="627" spans="1:24" ht="15.75" customHeight="1" x14ac:dyDescent="0.2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</row>
    <row r="628" spans="1:24" ht="15.75" customHeight="1" x14ac:dyDescent="0.2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</row>
    <row r="629" spans="1:24" ht="15.75" customHeight="1" x14ac:dyDescent="0.2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</row>
    <row r="630" spans="1:24" ht="15.75" customHeight="1" x14ac:dyDescent="0.2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</row>
    <row r="631" spans="1:24" ht="15.75" customHeight="1" x14ac:dyDescent="0.2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</row>
    <row r="632" spans="1:24" ht="15.75" customHeight="1" x14ac:dyDescent="0.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</row>
    <row r="633" spans="1:24" ht="15.75" customHeight="1" x14ac:dyDescent="0.2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</row>
    <row r="634" spans="1:24" ht="15.75" customHeight="1" x14ac:dyDescent="0.2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</row>
    <row r="635" spans="1:24" ht="15.75" customHeight="1" x14ac:dyDescent="0.2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</row>
    <row r="636" spans="1:24" ht="15.75" customHeight="1" x14ac:dyDescent="0.2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</row>
    <row r="637" spans="1:24" ht="15.75" customHeight="1" x14ac:dyDescent="0.2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</row>
    <row r="638" spans="1:24" ht="15.75" customHeight="1" x14ac:dyDescent="0.2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</row>
    <row r="639" spans="1:24" ht="15.75" customHeight="1" x14ac:dyDescent="0.2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</row>
    <row r="640" spans="1:24" ht="15.75" customHeight="1" x14ac:dyDescent="0.2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</row>
    <row r="641" spans="1:24" ht="15.75" customHeight="1" x14ac:dyDescent="0.2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</row>
    <row r="642" spans="1:24" ht="15.75" customHeight="1" x14ac:dyDescent="0.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</row>
    <row r="643" spans="1:24" ht="15.75" customHeight="1" x14ac:dyDescent="0.2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</row>
    <row r="644" spans="1:24" ht="15.75" customHeight="1" x14ac:dyDescent="0.2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</row>
    <row r="645" spans="1:24" ht="15.75" customHeight="1" x14ac:dyDescent="0.2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</row>
    <row r="646" spans="1:24" ht="15.75" customHeight="1" x14ac:dyDescent="0.2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</row>
    <row r="647" spans="1:24" ht="15.75" customHeight="1" x14ac:dyDescent="0.2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</row>
    <row r="648" spans="1:24" ht="15.75" customHeight="1" x14ac:dyDescent="0.2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</row>
    <row r="649" spans="1:24" ht="15.75" customHeight="1" x14ac:dyDescent="0.2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</row>
    <row r="650" spans="1:24" ht="15.75" customHeight="1" x14ac:dyDescent="0.2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</row>
    <row r="651" spans="1:24" ht="15.75" customHeight="1" x14ac:dyDescent="0.2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</row>
    <row r="652" spans="1:24" ht="15.75" customHeight="1" x14ac:dyDescent="0.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</row>
    <row r="653" spans="1:24" ht="15.75" customHeight="1" x14ac:dyDescent="0.2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</row>
    <row r="654" spans="1:24" ht="15.75" customHeight="1" x14ac:dyDescent="0.2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</row>
    <row r="655" spans="1:24" ht="15.75" customHeight="1" x14ac:dyDescent="0.2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</row>
    <row r="656" spans="1:24" ht="15.75" customHeight="1" x14ac:dyDescent="0.2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</row>
    <row r="657" spans="1:24" ht="15.75" customHeight="1" x14ac:dyDescent="0.2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</row>
    <row r="658" spans="1:24" ht="15.75" customHeight="1" x14ac:dyDescent="0.2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</row>
    <row r="659" spans="1:24" ht="15.75" customHeight="1" x14ac:dyDescent="0.2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</row>
    <row r="660" spans="1:24" ht="15.75" customHeight="1" x14ac:dyDescent="0.2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</row>
    <row r="661" spans="1:24" ht="15.75" customHeight="1" x14ac:dyDescent="0.2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</row>
    <row r="662" spans="1:24" ht="15.75" customHeight="1" x14ac:dyDescent="0.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</row>
    <row r="663" spans="1:24" ht="15.75" customHeight="1" x14ac:dyDescent="0.2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</row>
    <row r="664" spans="1:24" ht="15.75" customHeight="1" x14ac:dyDescent="0.2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</row>
    <row r="665" spans="1:24" ht="15.75" customHeight="1" x14ac:dyDescent="0.2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</row>
    <row r="666" spans="1:24" ht="15.75" customHeight="1" x14ac:dyDescent="0.2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</row>
    <row r="667" spans="1:24" ht="15.75" customHeight="1" x14ac:dyDescent="0.2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</row>
    <row r="668" spans="1:24" ht="15.75" customHeight="1" x14ac:dyDescent="0.2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</row>
    <row r="669" spans="1:24" ht="15.75" customHeight="1" x14ac:dyDescent="0.2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</row>
    <row r="670" spans="1:24" ht="15.75" customHeight="1" x14ac:dyDescent="0.2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</row>
    <row r="671" spans="1:24" ht="15.75" customHeight="1" x14ac:dyDescent="0.2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</row>
    <row r="672" spans="1:24" ht="15.75" customHeight="1" x14ac:dyDescent="0.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</row>
    <row r="673" spans="1:24" ht="15.75" customHeight="1" x14ac:dyDescent="0.2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</row>
    <row r="674" spans="1:24" ht="15.75" customHeight="1" x14ac:dyDescent="0.2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</row>
    <row r="675" spans="1:24" ht="15.75" customHeight="1" x14ac:dyDescent="0.2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</row>
    <row r="676" spans="1:24" ht="15.75" customHeight="1" x14ac:dyDescent="0.2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</row>
    <row r="677" spans="1:24" ht="15.75" customHeight="1" x14ac:dyDescent="0.2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</row>
    <row r="678" spans="1:24" ht="15.75" customHeight="1" x14ac:dyDescent="0.2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</row>
    <row r="679" spans="1:24" ht="15.75" customHeight="1" x14ac:dyDescent="0.2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</row>
    <row r="680" spans="1:24" ht="15.75" customHeight="1" x14ac:dyDescent="0.2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</row>
    <row r="681" spans="1:24" ht="15.75" customHeight="1" x14ac:dyDescent="0.2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</row>
    <row r="682" spans="1:24" ht="15.75" customHeight="1" x14ac:dyDescent="0.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</row>
    <row r="683" spans="1:24" ht="15.75" customHeight="1" x14ac:dyDescent="0.2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</row>
    <row r="684" spans="1:24" ht="15.75" customHeight="1" x14ac:dyDescent="0.2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</row>
    <row r="685" spans="1:24" ht="15.75" customHeight="1" x14ac:dyDescent="0.2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</row>
    <row r="686" spans="1:24" ht="15.75" customHeight="1" x14ac:dyDescent="0.2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</row>
    <row r="687" spans="1:24" ht="15.75" customHeight="1" x14ac:dyDescent="0.2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</row>
    <row r="688" spans="1:24" ht="15.75" customHeight="1" x14ac:dyDescent="0.2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</row>
    <row r="689" spans="1:24" ht="15.75" customHeight="1" x14ac:dyDescent="0.2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</row>
    <row r="690" spans="1:24" ht="15.75" customHeight="1" x14ac:dyDescent="0.2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</row>
    <row r="691" spans="1:24" ht="15.75" customHeight="1" x14ac:dyDescent="0.2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</row>
    <row r="692" spans="1:24" ht="15.75" customHeight="1" x14ac:dyDescent="0.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</row>
    <row r="693" spans="1:24" ht="15.75" customHeight="1" x14ac:dyDescent="0.2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</row>
    <row r="694" spans="1:24" ht="15.75" customHeight="1" x14ac:dyDescent="0.2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</row>
    <row r="695" spans="1:24" ht="15.75" customHeight="1" x14ac:dyDescent="0.2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</row>
    <row r="696" spans="1:24" ht="15.75" customHeight="1" x14ac:dyDescent="0.2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</row>
    <row r="697" spans="1:24" ht="15.75" customHeight="1" x14ac:dyDescent="0.2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</row>
    <row r="698" spans="1:24" ht="15.75" customHeight="1" x14ac:dyDescent="0.2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</row>
    <row r="699" spans="1:24" ht="15.75" customHeight="1" x14ac:dyDescent="0.2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</row>
    <row r="700" spans="1:24" ht="15.75" customHeight="1" x14ac:dyDescent="0.2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</row>
    <row r="701" spans="1:24" ht="15.75" customHeight="1" x14ac:dyDescent="0.2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</row>
    <row r="702" spans="1:24" ht="15.75" customHeight="1" x14ac:dyDescent="0.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</row>
    <row r="703" spans="1:24" ht="15.75" customHeight="1" x14ac:dyDescent="0.2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</row>
    <row r="704" spans="1:24" ht="15.75" customHeight="1" x14ac:dyDescent="0.2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</row>
    <row r="705" spans="1:24" ht="15.75" customHeight="1" x14ac:dyDescent="0.2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</row>
    <row r="706" spans="1:24" ht="15.75" customHeight="1" x14ac:dyDescent="0.2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</row>
    <row r="707" spans="1:24" ht="15.75" customHeight="1" x14ac:dyDescent="0.2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</row>
    <row r="708" spans="1:24" ht="15.75" customHeight="1" x14ac:dyDescent="0.2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</row>
    <row r="709" spans="1:24" ht="15.75" customHeight="1" x14ac:dyDescent="0.2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</row>
    <row r="710" spans="1:24" ht="15.75" customHeight="1" x14ac:dyDescent="0.2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</row>
    <row r="711" spans="1:24" ht="15.75" customHeight="1" x14ac:dyDescent="0.2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</row>
    <row r="712" spans="1:24" ht="15.75" customHeight="1" x14ac:dyDescent="0.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</row>
    <row r="713" spans="1:24" ht="15.75" customHeight="1" x14ac:dyDescent="0.2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</row>
    <row r="714" spans="1:24" ht="15.75" customHeight="1" x14ac:dyDescent="0.2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</row>
    <row r="715" spans="1:24" ht="15.75" customHeight="1" x14ac:dyDescent="0.2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</row>
    <row r="716" spans="1:24" ht="15.75" customHeight="1" x14ac:dyDescent="0.2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</row>
    <row r="717" spans="1:24" ht="15.75" customHeight="1" x14ac:dyDescent="0.2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</row>
    <row r="718" spans="1:24" ht="15.75" customHeight="1" x14ac:dyDescent="0.2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</row>
    <row r="719" spans="1:24" ht="15.75" customHeight="1" x14ac:dyDescent="0.2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</row>
    <row r="720" spans="1:24" ht="15.75" customHeight="1" x14ac:dyDescent="0.2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</row>
    <row r="721" spans="1:24" ht="15.75" customHeight="1" x14ac:dyDescent="0.2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</row>
    <row r="722" spans="1:24" ht="15.75" customHeight="1" x14ac:dyDescent="0.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</row>
    <row r="723" spans="1:24" ht="15.75" customHeight="1" x14ac:dyDescent="0.2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</row>
    <row r="724" spans="1:24" ht="15.75" customHeight="1" x14ac:dyDescent="0.2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</row>
    <row r="725" spans="1:24" ht="15.75" customHeight="1" x14ac:dyDescent="0.2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</row>
    <row r="726" spans="1:24" ht="15.75" customHeight="1" x14ac:dyDescent="0.2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</row>
    <row r="727" spans="1:24" ht="15.75" customHeight="1" x14ac:dyDescent="0.2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</row>
    <row r="728" spans="1:24" ht="15.75" customHeight="1" x14ac:dyDescent="0.2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</row>
    <row r="729" spans="1:24" ht="15.75" customHeight="1" x14ac:dyDescent="0.2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</row>
    <row r="730" spans="1:24" ht="15.75" customHeight="1" x14ac:dyDescent="0.2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</row>
    <row r="731" spans="1:24" ht="15.75" customHeight="1" x14ac:dyDescent="0.2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</row>
    <row r="732" spans="1:24" ht="15.75" customHeight="1" x14ac:dyDescent="0.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</row>
    <row r="733" spans="1:24" ht="15.75" customHeight="1" x14ac:dyDescent="0.2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</row>
    <row r="734" spans="1:24" ht="15.75" customHeight="1" x14ac:dyDescent="0.2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</row>
    <row r="735" spans="1:24" ht="15.75" customHeight="1" x14ac:dyDescent="0.2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</row>
    <row r="736" spans="1:24" ht="15.75" customHeight="1" x14ac:dyDescent="0.2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</row>
    <row r="737" spans="1:24" ht="15.75" customHeight="1" x14ac:dyDescent="0.2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</row>
    <row r="738" spans="1:24" ht="15.75" customHeight="1" x14ac:dyDescent="0.2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</row>
    <row r="739" spans="1:24" ht="15.75" customHeight="1" x14ac:dyDescent="0.2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</row>
    <row r="740" spans="1:24" ht="15.75" customHeight="1" x14ac:dyDescent="0.2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</row>
    <row r="741" spans="1:24" ht="15.75" customHeight="1" x14ac:dyDescent="0.2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</row>
    <row r="742" spans="1:24" ht="15.75" customHeight="1" x14ac:dyDescent="0.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</row>
    <row r="743" spans="1:24" ht="15.75" customHeight="1" x14ac:dyDescent="0.2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</row>
    <row r="744" spans="1:24" ht="15.75" customHeight="1" x14ac:dyDescent="0.2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</row>
    <row r="745" spans="1:24" ht="15.75" customHeight="1" x14ac:dyDescent="0.2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</row>
    <row r="746" spans="1:24" ht="15.75" customHeight="1" x14ac:dyDescent="0.2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</row>
    <row r="747" spans="1:24" ht="15.75" customHeight="1" x14ac:dyDescent="0.2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</row>
    <row r="748" spans="1:24" ht="15.75" customHeight="1" x14ac:dyDescent="0.2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</row>
    <row r="749" spans="1:24" ht="15.75" customHeight="1" x14ac:dyDescent="0.2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</row>
    <row r="750" spans="1:24" ht="15.75" customHeight="1" x14ac:dyDescent="0.2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</row>
    <row r="751" spans="1:24" ht="15.75" customHeight="1" x14ac:dyDescent="0.2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</row>
    <row r="752" spans="1:24" ht="15.75" customHeight="1" x14ac:dyDescent="0.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</row>
    <row r="753" spans="1:24" ht="15.75" customHeight="1" x14ac:dyDescent="0.2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</row>
    <row r="754" spans="1:24" ht="15.75" customHeight="1" x14ac:dyDescent="0.2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</row>
    <row r="755" spans="1:24" ht="15.75" customHeight="1" x14ac:dyDescent="0.2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</row>
    <row r="756" spans="1:24" ht="15.75" customHeight="1" x14ac:dyDescent="0.2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</row>
    <row r="757" spans="1:24" ht="15.75" customHeight="1" x14ac:dyDescent="0.2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</row>
    <row r="758" spans="1:24" ht="15.75" customHeight="1" x14ac:dyDescent="0.2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</row>
    <row r="759" spans="1:24" ht="15.75" customHeight="1" x14ac:dyDescent="0.2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</row>
    <row r="760" spans="1:24" ht="15.75" customHeight="1" x14ac:dyDescent="0.2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</row>
    <row r="761" spans="1:24" ht="15.75" customHeight="1" x14ac:dyDescent="0.2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</row>
    <row r="762" spans="1:24" ht="15.75" customHeight="1" x14ac:dyDescent="0.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</row>
    <row r="763" spans="1:24" ht="15.75" customHeight="1" x14ac:dyDescent="0.2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</row>
    <row r="764" spans="1:24" ht="15.75" customHeight="1" x14ac:dyDescent="0.2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</row>
    <row r="765" spans="1:24" ht="15.75" customHeight="1" x14ac:dyDescent="0.2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</row>
    <row r="766" spans="1:24" ht="15.75" customHeight="1" x14ac:dyDescent="0.2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</row>
    <row r="767" spans="1:24" ht="15.75" customHeight="1" x14ac:dyDescent="0.2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</row>
    <row r="768" spans="1:24" ht="15.75" customHeight="1" x14ac:dyDescent="0.2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</row>
    <row r="769" spans="1:24" ht="15.75" customHeight="1" x14ac:dyDescent="0.2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</row>
    <row r="770" spans="1:24" ht="15.75" customHeight="1" x14ac:dyDescent="0.2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</row>
    <row r="771" spans="1:24" ht="15.75" customHeight="1" x14ac:dyDescent="0.2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</row>
    <row r="772" spans="1:24" ht="15.75" customHeight="1" x14ac:dyDescent="0.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</row>
    <row r="773" spans="1:24" ht="15.75" customHeight="1" x14ac:dyDescent="0.2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</row>
    <row r="774" spans="1:24" ht="15.75" customHeight="1" x14ac:dyDescent="0.2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</row>
    <row r="775" spans="1:24" ht="15.75" customHeight="1" x14ac:dyDescent="0.2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</row>
    <row r="776" spans="1:24" ht="15.75" customHeight="1" x14ac:dyDescent="0.2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</row>
    <row r="777" spans="1:24" ht="15.75" customHeight="1" x14ac:dyDescent="0.2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</row>
    <row r="778" spans="1:24" ht="15.75" customHeight="1" x14ac:dyDescent="0.2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</row>
    <row r="779" spans="1:24" ht="15.75" customHeight="1" x14ac:dyDescent="0.2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</row>
    <row r="780" spans="1:24" ht="15.75" customHeight="1" x14ac:dyDescent="0.2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</row>
    <row r="781" spans="1:24" ht="15.75" customHeight="1" x14ac:dyDescent="0.2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</row>
    <row r="782" spans="1:24" ht="15.75" customHeight="1" x14ac:dyDescent="0.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</row>
    <row r="783" spans="1:24" ht="15.75" customHeight="1" x14ac:dyDescent="0.2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</row>
    <row r="784" spans="1:24" ht="15.75" customHeight="1" x14ac:dyDescent="0.2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</row>
    <row r="785" spans="1:24" ht="15.75" customHeight="1" x14ac:dyDescent="0.2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</row>
    <row r="786" spans="1:24" ht="15.75" customHeight="1" x14ac:dyDescent="0.2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</row>
    <row r="787" spans="1:24" ht="15.75" customHeight="1" x14ac:dyDescent="0.2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</row>
    <row r="788" spans="1:24" ht="15.75" customHeight="1" x14ac:dyDescent="0.2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</row>
    <row r="789" spans="1:24" ht="15.75" customHeight="1" x14ac:dyDescent="0.2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</row>
    <row r="790" spans="1:24" ht="15.75" customHeight="1" x14ac:dyDescent="0.2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</row>
    <row r="791" spans="1:24" ht="15.75" customHeight="1" x14ac:dyDescent="0.2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</row>
    <row r="792" spans="1:24" ht="15.75" customHeight="1" x14ac:dyDescent="0.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</row>
    <row r="793" spans="1:24" ht="15.75" customHeight="1" x14ac:dyDescent="0.2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</row>
    <row r="794" spans="1:24" ht="15.75" customHeight="1" x14ac:dyDescent="0.2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</row>
    <row r="795" spans="1:24" ht="15.75" customHeight="1" x14ac:dyDescent="0.2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</row>
    <row r="796" spans="1:24" ht="15.75" customHeight="1" x14ac:dyDescent="0.2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</row>
    <row r="797" spans="1:24" ht="15.75" customHeight="1" x14ac:dyDescent="0.2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</row>
    <row r="798" spans="1:24" ht="15.75" customHeight="1" x14ac:dyDescent="0.2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</row>
    <row r="799" spans="1:24" ht="15.75" customHeight="1" x14ac:dyDescent="0.2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</row>
    <row r="800" spans="1:24" ht="15.75" customHeight="1" x14ac:dyDescent="0.2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</row>
    <row r="801" spans="1:24" ht="15.75" customHeight="1" x14ac:dyDescent="0.2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</row>
    <row r="802" spans="1:24" ht="15.75" customHeight="1" x14ac:dyDescent="0.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</row>
    <row r="803" spans="1:24" ht="15.75" customHeight="1" x14ac:dyDescent="0.2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</row>
    <row r="804" spans="1:24" ht="15.75" customHeight="1" x14ac:dyDescent="0.2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</row>
    <row r="805" spans="1:24" ht="15.75" customHeight="1" x14ac:dyDescent="0.2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</row>
    <row r="806" spans="1:24" ht="15.75" customHeight="1" x14ac:dyDescent="0.2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</row>
    <row r="807" spans="1:24" ht="15.75" customHeight="1" x14ac:dyDescent="0.2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</row>
    <row r="808" spans="1:24" ht="15.75" customHeight="1" x14ac:dyDescent="0.2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</row>
    <row r="809" spans="1:24" ht="15.75" customHeight="1" x14ac:dyDescent="0.2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</row>
    <row r="810" spans="1:24" ht="15.75" customHeight="1" x14ac:dyDescent="0.2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</row>
    <row r="811" spans="1:24" ht="15.75" customHeight="1" x14ac:dyDescent="0.2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</row>
    <row r="812" spans="1:24" ht="15.75" customHeight="1" x14ac:dyDescent="0.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</row>
    <row r="813" spans="1:24" ht="15.75" customHeight="1" x14ac:dyDescent="0.2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</row>
    <row r="814" spans="1:24" ht="15.75" customHeight="1" x14ac:dyDescent="0.2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</row>
    <row r="815" spans="1:24" ht="15.75" customHeight="1" x14ac:dyDescent="0.2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</row>
    <row r="816" spans="1:24" ht="15.75" customHeight="1" x14ac:dyDescent="0.2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</row>
    <row r="817" spans="1:24" ht="15.75" customHeight="1" x14ac:dyDescent="0.2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</row>
    <row r="818" spans="1:24" ht="15.75" customHeight="1" x14ac:dyDescent="0.2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</row>
    <row r="819" spans="1:24" ht="15.75" customHeight="1" x14ac:dyDescent="0.2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</row>
    <row r="820" spans="1:24" ht="15.75" customHeight="1" x14ac:dyDescent="0.2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</row>
    <row r="821" spans="1:24" ht="15.75" customHeight="1" x14ac:dyDescent="0.2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</row>
    <row r="822" spans="1:24" ht="15.75" customHeight="1" x14ac:dyDescent="0.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</row>
    <row r="823" spans="1:24" ht="15.75" customHeight="1" x14ac:dyDescent="0.2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</row>
    <row r="824" spans="1:24" ht="15.75" customHeight="1" x14ac:dyDescent="0.2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</row>
    <row r="825" spans="1:24" ht="15.75" customHeight="1" x14ac:dyDescent="0.2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</row>
    <row r="826" spans="1:24" ht="15.75" customHeight="1" x14ac:dyDescent="0.2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</row>
    <row r="827" spans="1:24" ht="15.75" customHeight="1" x14ac:dyDescent="0.2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</row>
    <row r="828" spans="1:24" ht="15.75" customHeight="1" x14ac:dyDescent="0.2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</row>
    <row r="829" spans="1:24" ht="15.75" customHeight="1" x14ac:dyDescent="0.2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</row>
    <row r="830" spans="1:24" ht="15.75" customHeight="1" x14ac:dyDescent="0.2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</row>
    <row r="831" spans="1:24" ht="15.75" customHeight="1" x14ac:dyDescent="0.2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</row>
    <row r="832" spans="1:24" ht="15.75" customHeight="1" x14ac:dyDescent="0.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</row>
    <row r="833" spans="1:24" ht="15.75" customHeight="1" x14ac:dyDescent="0.2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</row>
    <row r="834" spans="1:24" ht="15.75" customHeight="1" x14ac:dyDescent="0.2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</row>
    <row r="835" spans="1:24" ht="15.75" customHeight="1" x14ac:dyDescent="0.2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</row>
    <row r="836" spans="1:24" ht="15.75" customHeight="1" x14ac:dyDescent="0.2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</row>
    <row r="837" spans="1:24" ht="15.75" customHeight="1" x14ac:dyDescent="0.2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</row>
    <row r="838" spans="1:24" ht="15.75" customHeight="1" x14ac:dyDescent="0.2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</row>
    <row r="839" spans="1:24" ht="15.75" customHeight="1" x14ac:dyDescent="0.2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</row>
    <row r="840" spans="1:24" ht="15.75" customHeight="1" x14ac:dyDescent="0.2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</row>
    <row r="841" spans="1:24" ht="15.75" customHeight="1" x14ac:dyDescent="0.2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</row>
    <row r="842" spans="1:24" ht="15.75" customHeight="1" x14ac:dyDescent="0.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</row>
    <row r="843" spans="1:24" ht="15.75" customHeight="1" x14ac:dyDescent="0.2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</row>
    <row r="844" spans="1:24" ht="15.75" customHeight="1" x14ac:dyDescent="0.2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</row>
    <row r="845" spans="1:24" ht="15.75" customHeight="1" x14ac:dyDescent="0.2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</row>
    <row r="846" spans="1:24" ht="15.75" customHeight="1" x14ac:dyDescent="0.2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</row>
    <row r="847" spans="1:24" ht="15.75" customHeight="1" x14ac:dyDescent="0.2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</row>
    <row r="848" spans="1:24" ht="15.75" customHeight="1" x14ac:dyDescent="0.2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</row>
    <row r="849" spans="1:24" ht="15.75" customHeight="1" x14ac:dyDescent="0.2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</row>
    <row r="850" spans="1:24" ht="15.75" customHeight="1" x14ac:dyDescent="0.2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</row>
    <row r="851" spans="1:24" ht="15.75" customHeight="1" x14ac:dyDescent="0.2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</row>
    <row r="852" spans="1:24" ht="15.75" customHeight="1" x14ac:dyDescent="0.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</row>
    <row r="853" spans="1:24" ht="15.75" customHeight="1" x14ac:dyDescent="0.2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</row>
    <row r="854" spans="1:24" ht="15.75" customHeight="1" x14ac:dyDescent="0.2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</row>
    <row r="855" spans="1:24" ht="15.75" customHeight="1" x14ac:dyDescent="0.2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</row>
    <row r="856" spans="1:24" ht="15.75" customHeight="1" x14ac:dyDescent="0.2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</row>
    <row r="857" spans="1:24" ht="15.75" customHeight="1" x14ac:dyDescent="0.2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</row>
    <row r="858" spans="1:24" ht="15.75" customHeight="1" x14ac:dyDescent="0.2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</row>
    <row r="859" spans="1:24" ht="15.75" customHeight="1" x14ac:dyDescent="0.2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</row>
    <row r="860" spans="1:24" ht="15.75" customHeight="1" x14ac:dyDescent="0.2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</row>
    <row r="861" spans="1:24" ht="15.75" customHeight="1" x14ac:dyDescent="0.2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</row>
    <row r="862" spans="1:24" ht="15.75" customHeight="1" x14ac:dyDescent="0.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</row>
    <row r="863" spans="1:24" ht="15.75" customHeight="1" x14ac:dyDescent="0.2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</row>
    <row r="864" spans="1:24" ht="15.75" customHeight="1" x14ac:dyDescent="0.2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</row>
    <row r="865" spans="1:24" ht="15.75" customHeight="1" x14ac:dyDescent="0.2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</row>
    <row r="866" spans="1:24" ht="15.75" customHeight="1" x14ac:dyDescent="0.2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</row>
    <row r="867" spans="1:24" ht="15.75" customHeight="1" x14ac:dyDescent="0.2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</row>
    <row r="868" spans="1:24" ht="15.75" customHeight="1" x14ac:dyDescent="0.2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</row>
    <row r="869" spans="1:24" ht="15.75" customHeight="1" x14ac:dyDescent="0.2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</row>
    <row r="870" spans="1:24" ht="15.75" customHeight="1" x14ac:dyDescent="0.2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</row>
    <row r="871" spans="1:24" ht="15.75" customHeight="1" x14ac:dyDescent="0.2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</row>
    <row r="872" spans="1:24" ht="15.75" customHeight="1" x14ac:dyDescent="0.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</row>
    <row r="873" spans="1:24" ht="15.75" customHeight="1" x14ac:dyDescent="0.2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</row>
    <row r="874" spans="1:24" ht="15.75" customHeight="1" x14ac:dyDescent="0.2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</row>
    <row r="875" spans="1:24" ht="15.75" customHeight="1" x14ac:dyDescent="0.2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</row>
    <row r="876" spans="1:24" ht="15.75" customHeight="1" x14ac:dyDescent="0.2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</row>
    <row r="877" spans="1:24" ht="15.75" customHeight="1" x14ac:dyDescent="0.2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</row>
    <row r="878" spans="1:24" ht="15.75" customHeight="1" x14ac:dyDescent="0.2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</row>
    <row r="879" spans="1:24" ht="15.75" customHeight="1" x14ac:dyDescent="0.2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</row>
    <row r="880" spans="1:24" ht="15.75" customHeight="1" x14ac:dyDescent="0.2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</row>
    <row r="881" spans="1:24" ht="15.75" customHeight="1" x14ac:dyDescent="0.2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</row>
    <row r="882" spans="1:24" ht="15.75" customHeight="1" x14ac:dyDescent="0.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</row>
    <row r="883" spans="1:24" ht="15.75" customHeight="1" x14ac:dyDescent="0.2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</row>
    <row r="884" spans="1:24" ht="15.75" customHeight="1" x14ac:dyDescent="0.2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</row>
    <row r="885" spans="1:24" ht="15.75" customHeight="1" x14ac:dyDescent="0.2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</row>
    <row r="886" spans="1:24" ht="15.75" customHeight="1" x14ac:dyDescent="0.2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</row>
    <row r="887" spans="1:24" ht="15.75" customHeight="1" x14ac:dyDescent="0.2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</row>
    <row r="888" spans="1:24" ht="15.75" customHeight="1" x14ac:dyDescent="0.2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</row>
    <row r="889" spans="1:24" ht="15.75" customHeight="1" x14ac:dyDescent="0.2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</row>
    <row r="890" spans="1:24" ht="15.75" customHeight="1" x14ac:dyDescent="0.2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</row>
    <row r="891" spans="1:24" ht="15.75" customHeight="1" x14ac:dyDescent="0.2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</row>
    <row r="892" spans="1:24" ht="15.75" customHeight="1" x14ac:dyDescent="0.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</row>
    <row r="893" spans="1:24" ht="15.75" customHeight="1" x14ac:dyDescent="0.2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</row>
    <row r="894" spans="1:24" ht="15.75" customHeight="1" x14ac:dyDescent="0.2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</row>
    <row r="895" spans="1:24" ht="15.75" customHeight="1" x14ac:dyDescent="0.2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</row>
    <row r="896" spans="1:24" ht="15.75" customHeight="1" x14ac:dyDescent="0.2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</row>
    <row r="897" spans="1:24" ht="15.75" customHeight="1" x14ac:dyDescent="0.2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</row>
    <row r="898" spans="1:24" ht="15.75" customHeight="1" x14ac:dyDescent="0.2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</row>
    <row r="899" spans="1:24" ht="15.75" customHeight="1" x14ac:dyDescent="0.2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</row>
    <row r="900" spans="1:24" ht="15.75" customHeight="1" x14ac:dyDescent="0.2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</row>
    <row r="901" spans="1:24" ht="15.75" customHeight="1" x14ac:dyDescent="0.2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</row>
    <row r="902" spans="1:24" ht="15.75" customHeight="1" x14ac:dyDescent="0.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</row>
    <row r="903" spans="1:24" ht="15.75" customHeight="1" x14ac:dyDescent="0.2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</row>
    <row r="904" spans="1:24" ht="15.75" customHeight="1" x14ac:dyDescent="0.2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</row>
    <row r="905" spans="1:24" ht="15.75" customHeight="1" x14ac:dyDescent="0.2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</row>
    <row r="906" spans="1:24" ht="15.75" customHeight="1" x14ac:dyDescent="0.2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</row>
    <row r="907" spans="1:24" ht="15.75" customHeight="1" x14ac:dyDescent="0.2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</row>
    <row r="908" spans="1:24" ht="15.75" customHeight="1" x14ac:dyDescent="0.2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</row>
    <row r="909" spans="1:24" ht="15.75" customHeight="1" x14ac:dyDescent="0.2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</row>
    <row r="910" spans="1:24" ht="15.75" customHeight="1" x14ac:dyDescent="0.2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</row>
    <row r="911" spans="1:24" ht="15.75" customHeight="1" x14ac:dyDescent="0.2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</row>
    <row r="912" spans="1:24" ht="15.75" customHeight="1" x14ac:dyDescent="0.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</row>
    <row r="913" spans="1:24" ht="15.75" customHeight="1" x14ac:dyDescent="0.2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</row>
    <row r="914" spans="1:24" ht="15.75" customHeight="1" x14ac:dyDescent="0.2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</row>
    <row r="915" spans="1:24" ht="15.75" customHeight="1" x14ac:dyDescent="0.2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</row>
    <row r="916" spans="1:24" ht="15.75" customHeight="1" x14ac:dyDescent="0.2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</row>
    <row r="917" spans="1:24" ht="15.75" customHeight="1" x14ac:dyDescent="0.2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</row>
    <row r="918" spans="1:24" ht="15.75" customHeight="1" x14ac:dyDescent="0.2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</row>
    <row r="919" spans="1:24" ht="15.75" customHeight="1" x14ac:dyDescent="0.2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</row>
    <row r="920" spans="1:24" ht="15.75" customHeight="1" x14ac:dyDescent="0.2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</row>
    <row r="921" spans="1:24" ht="15.75" customHeight="1" x14ac:dyDescent="0.2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</row>
    <row r="922" spans="1:24" ht="15.75" customHeight="1" x14ac:dyDescent="0.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</row>
    <row r="923" spans="1:24" ht="15.75" customHeight="1" x14ac:dyDescent="0.2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</row>
    <row r="924" spans="1:24" ht="15.75" customHeight="1" x14ac:dyDescent="0.2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</row>
    <row r="925" spans="1:24" ht="15.75" customHeight="1" x14ac:dyDescent="0.2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</row>
    <row r="926" spans="1:24" ht="15.75" customHeight="1" x14ac:dyDescent="0.2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</row>
    <row r="927" spans="1:24" ht="15.75" customHeight="1" x14ac:dyDescent="0.2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</row>
    <row r="928" spans="1:24" ht="15.75" customHeight="1" x14ac:dyDescent="0.2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</row>
    <row r="929" spans="1:24" ht="15.75" customHeight="1" x14ac:dyDescent="0.2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</row>
    <row r="930" spans="1:24" ht="15.75" customHeight="1" x14ac:dyDescent="0.2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</row>
    <row r="931" spans="1:24" ht="15.75" customHeight="1" x14ac:dyDescent="0.2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</row>
    <row r="932" spans="1:24" ht="15.75" customHeight="1" x14ac:dyDescent="0.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</row>
    <row r="933" spans="1:24" ht="15.75" customHeight="1" x14ac:dyDescent="0.2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</row>
    <row r="934" spans="1:24" ht="15.75" customHeight="1" x14ac:dyDescent="0.2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</row>
    <row r="935" spans="1:24" ht="15.75" customHeight="1" x14ac:dyDescent="0.2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</row>
    <row r="936" spans="1:24" ht="15.75" customHeight="1" x14ac:dyDescent="0.2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</row>
    <row r="937" spans="1:24" ht="15.75" customHeight="1" x14ac:dyDescent="0.2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</row>
    <row r="938" spans="1:24" ht="15.75" customHeight="1" x14ac:dyDescent="0.2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</row>
    <row r="939" spans="1:24" ht="15.75" customHeight="1" x14ac:dyDescent="0.2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</row>
    <row r="940" spans="1:24" ht="15.75" customHeight="1" x14ac:dyDescent="0.2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</row>
    <row r="941" spans="1:24" ht="15.75" customHeight="1" x14ac:dyDescent="0.2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</row>
    <row r="942" spans="1:24" ht="15.75" customHeight="1" x14ac:dyDescent="0.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</row>
    <row r="943" spans="1:24" ht="15.75" customHeight="1" x14ac:dyDescent="0.2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</row>
    <row r="944" spans="1:24" ht="15.75" customHeight="1" x14ac:dyDescent="0.2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</row>
    <row r="945" spans="1:24" ht="15.75" customHeight="1" x14ac:dyDescent="0.2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</row>
    <row r="946" spans="1:24" ht="15.75" customHeight="1" x14ac:dyDescent="0.2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</row>
    <row r="947" spans="1:24" ht="15.75" customHeight="1" x14ac:dyDescent="0.2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</row>
    <row r="948" spans="1:24" ht="15.75" customHeight="1" x14ac:dyDescent="0.2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</row>
    <row r="949" spans="1:24" ht="15.75" customHeight="1" x14ac:dyDescent="0.2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</row>
    <row r="950" spans="1:24" ht="15.75" customHeight="1" x14ac:dyDescent="0.2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</row>
    <row r="951" spans="1:24" ht="15.75" customHeight="1" x14ac:dyDescent="0.2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</row>
    <row r="952" spans="1:24" ht="15.75" customHeight="1" x14ac:dyDescent="0.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</row>
    <row r="953" spans="1:24" ht="15.75" customHeight="1" x14ac:dyDescent="0.2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</row>
    <row r="954" spans="1:24" ht="15.75" customHeight="1" x14ac:dyDescent="0.2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</row>
    <row r="955" spans="1:24" ht="15.75" customHeight="1" x14ac:dyDescent="0.2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</row>
    <row r="956" spans="1:24" ht="15.75" customHeight="1" x14ac:dyDescent="0.2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</row>
    <row r="957" spans="1:24" ht="15.75" customHeight="1" x14ac:dyDescent="0.2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</row>
    <row r="958" spans="1:24" ht="15.75" customHeight="1" x14ac:dyDescent="0.2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</row>
    <row r="959" spans="1:24" ht="15.75" customHeight="1" x14ac:dyDescent="0.2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</row>
    <row r="960" spans="1:24" ht="15.75" customHeight="1" x14ac:dyDescent="0.2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</row>
    <row r="961" spans="1:24" ht="15.75" customHeight="1" x14ac:dyDescent="0.2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</row>
    <row r="962" spans="1:24" ht="15.75" customHeight="1" x14ac:dyDescent="0.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</row>
    <row r="963" spans="1:24" ht="15.75" customHeight="1" x14ac:dyDescent="0.2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</row>
    <row r="964" spans="1:24" ht="15.75" customHeight="1" x14ac:dyDescent="0.2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</row>
    <row r="965" spans="1:24" ht="15.75" customHeight="1" x14ac:dyDescent="0.2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</row>
    <row r="966" spans="1:24" ht="15.75" customHeight="1" x14ac:dyDescent="0.2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</row>
    <row r="967" spans="1:24" ht="15.75" customHeight="1" x14ac:dyDescent="0.2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</row>
    <row r="968" spans="1:24" ht="15.75" customHeight="1" x14ac:dyDescent="0.2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</row>
    <row r="969" spans="1:24" ht="15.75" customHeight="1" x14ac:dyDescent="0.2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</row>
    <row r="970" spans="1:24" ht="15.75" customHeight="1" x14ac:dyDescent="0.2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</row>
    <row r="971" spans="1:24" ht="15.75" customHeight="1" x14ac:dyDescent="0.2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</row>
    <row r="972" spans="1:24" ht="15.75" customHeight="1" x14ac:dyDescent="0.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</row>
    <row r="973" spans="1:24" ht="15.75" customHeight="1" x14ac:dyDescent="0.2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</row>
    <row r="974" spans="1:24" ht="15.75" customHeight="1" x14ac:dyDescent="0.2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</row>
    <row r="975" spans="1:24" ht="15.75" customHeight="1" x14ac:dyDescent="0.2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</row>
    <row r="976" spans="1:24" ht="15.75" customHeight="1" x14ac:dyDescent="0.2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</row>
    <row r="977" spans="1:24" ht="15.75" customHeight="1" x14ac:dyDescent="0.2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</row>
    <row r="978" spans="1:24" ht="15.75" customHeight="1" x14ac:dyDescent="0.2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</row>
    <row r="979" spans="1:24" ht="15.75" customHeight="1" x14ac:dyDescent="0.2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</row>
    <row r="980" spans="1:24" ht="15.75" customHeight="1" x14ac:dyDescent="0.2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</row>
    <row r="981" spans="1:24" ht="15.75" customHeight="1" x14ac:dyDescent="0.2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</row>
    <row r="982" spans="1:24" ht="15.75" customHeight="1" x14ac:dyDescent="0.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</row>
    <row r="983" spans="1:24" ht="15.75" customHeight="1" x14ac:dyDescent="0.2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</row>
    <row r="984" spans="1:24" ht="15.75" customHeight="1" x14ac:dyDescent="0.2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</row>
    <row r="985" spans="1:24" ht="15.75" customHeight="1" x14ac:dyDescent="0.2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</row>
    <row r="986" spans="1:24" ht="15.75" customHeight="1" x14ac:dyDescent="0.2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</row>
    <row r="987" spans="1:24" ht="15.75" customHeight="1" x14ac:dyDescent="0.2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</row>
    <row r="988" spans="1:24" ht="15.75" customHeight="1" x14ac:dyDescent="0.2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</row>
    <row r="989" spans="1:24" ht="15.75" customHeight="1" x14ac:dyDescent="0.2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</row>
    <row r="990" spans="1:24" ht="15.75" customHeight="1" x14ac:dyDescent="0.2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</row>
    <row r="991" spans="1:24" ht="15.75" customHeight="1" x14ac:dyDescent="0.2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</row>
    <row r="992" spans="1:24" ht="15.75" customHeight="1" x14ac:dyDescent="0.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</row>
    <row r="993" spans="1:24" ht="15.75" customHeight="1" x14ac:dyDescent="0.2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</row>
    <row r="994" spans="1:24" ht="15.75" customHeight="1" x14ac:dyDescent="0.2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</row>
    <row r="995" spans="1:24" ht="15.75" customHeight="1" x14ac:dyDescent="0.2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</row>
    <row r="996" spans="1:24" ht="15.75" customHeight="1" x14ac:dyDescent="0.2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</row>
    <row r="997" spans="1:24" ht="15.75" customHeight="1" x14ac:dyDescent="0.2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</row>
    <row r="998" spans="1:24" ht="15.75" customHeight="1" x14ac:dyDescent="0.2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</row>
    <row r="999" spans="1:24" ht="15.75" customHeight="1" x14ac:dyDescent="0.2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</row>
    <row r="1000" spans="1:24" ht="15.75" customHeight="1" x14ac:dyDescent="0.2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</row>
    <row r="1001" spans="1:24" ht="15.75" customHeight="1" x14ac:dyDescent="0.2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</row>
    <row r="1002" spans="1:24" ht="15.75" customHeight="1" x14ac:dyDescent="0.2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</row>
    <row r="1003" spans="1:24" ht="15.75" customHeight="1" x14ac:dyDescent="0.2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</row>
    <row r="1004" spans="1:24" ht="15.75" customHeight="1" x14ac:dyDescent="0.2">
      <c r="A1004" s="43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</row>
    <row r="1005" spans="1:24" ht="15.75" customHeight="1" x14ac:dyDescent="0.2">
      <c r="A1005" s="43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</row>
    <row r="1006" spans="1:24" ht="15.75" customHeight="1" x14ac:dyDescent="0.2">
      <c r="A1006" s="43"/>
      <c r="B1006" s="43"/>
      <c r="C1006" s="43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</row>
    <row r="1007" spans="1:24" ht="15.75" customHeight="1" x14ac:dyDescent="0.2">
      <c r="A1007" s="43"/>
      <c r="B1007" s="43"/>
      <c r="C1007" s="43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</row>
    <row r="1008" spans="1:24" ht="15.75" customHeight="1" x14ac:dyDescent="0.2">
      <c r="A1008" s="43"/>
      <c r="B1008" s="43"/>
      <c r="C1008" s="43"/>
      <c r="D1008" s="43"/>
      <c r="E1008" s="43"/>
      <c r="F1008" s="43"/>
      <c r="G1008" s="43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</row>
    <row r="1009" spans="1:24" ht="15.75" customHeight="1" x14ac:dyDescent="0.2">
      <c r="A1009" s="43"/>
      <c r="B1009" s="43"/>
      <c r="C1009" s="43"/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</row>
    <row r="1010" spans="1:24" ht="15.75" customHeight="1" x14ac:dyDescent="0.2">
      <c r="A1010" s="43"/>
      <c r="B1010" s="43"/>
      <c r="C1010" s="43"/>
      <c r="D1010" s="43"/>
      <c r="E1010" s="43"/>
      <c r="F1010" s="43"/>
      <c r="G1010" s="43"/>
      <c r="H1010" s="43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</row>
    <row r="1011" spans="1:24" ht="15.75" customHeight="1" x14ac:dyDescent="0.2">
      <c r="A1011" s="43"/>
      <c r="B1011" s="43"/>
      <c r="C1011" s="43"/>
      <c r="D1011" s="43"/>
      <c r="E1011" s="43"/>
      <c r="F1011" s="43"/>
      <c r="G1011" s="43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</row>
    <row r="1012" spans="1:24" ht="15.75" customHeight="1" x14ac:dyDescent="0.2">
      <c r="A1012" s="43"/>
      <c r="B1012" s="43"/>
      <c r="C1012" s="43"/>
      <c r="D1012" s="43"/>
      <c r="E1012" s="43"/>
      <c r="F1012" s="43"/>
      <c r="G1012" s="43"/>
      <c r="H1012" s="43"/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</row>
  </sheetData>
  <mergeCells count="1">
    <mergeCell ref="A8:L8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Y990"/>
  <sheetViews>
    <sheetView topLeftCell="A21" workbookViewId="0">
      <selection activeCell="F45" sqref="F45"/>
    </sheetView>
  </sheetViews>
  <sheetFormatPr baseColWidth="10" defaultColWidth="12.5703125" defaultRowHeight="15" customHeight="1" x14ac:dyDescent="0.2"/>
  <cols>
    <col min="1" max="1" width="39.85546875" customWidth="1"/>
    <col min="2" max="2" width="60.85546875" customWidth="1"/>
    <col min="3" max="3" width="14.28515625" customWidth="1"/>
    <col min="4" max="4" width="12.7109375" customWidth="1"/>
    <col min="5" max="5" width="10.7109375" customWidth="1"/>
    <col min="6" max="6" width="10.28515625" customWidth="1"/>
    <col min="7" max="8" width="11.42578125" customWidth="1"/>
    <col min="9" max="10" width="9.42578125" customWidth="1"/>
    <col min="11" max="11" width="15.28515625" customWidth="1"/>
    <col min="12" max="12" width="19.28515625" customWidth="1"/>
    <col min="13" max="13" width="18.140625" customWidth="1"/>
    <col min="14" max="25" width="12.7109375" customWidth="1"/>
  </cols>
  <sheetData>
    <row r="1" spans="1:25" ht="15.75" customHeight="1" x14ac:dyDescent="0.2">
      <c r="A1" s="354" t="s">
        <v>61</v>
      </c>
      <c r="B1" s="355"/>
      <c r="C1" s="43"/>
      <c r="D1" s="356"/>
      <c r="E1" s="357"/>
      <c r="F1" s="43"/>
      <c r="G1" s="43"/>
      <c r="H1" s="40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ht="15.75" customHeight="1" x14ac:dyDescent="0.2">
      <c r="A2" s="358" t="s">
        <v>6</v>
      </c>
      <c r="B2" s="359">
        <f>PARÁMETROS!$B$4</f>
        <v>900</v>
      </c>
      <c r="C2" s="43"/>
      <c r="D2" s="43"/>
      <c r="E2" s="42"/>
      <c r="F2" s="43"/>
      <c r="G2" s="43"/>
      <c r="H2" s="404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ht="15.75" customHeight="1" x14ac:dyDescent="0.2">
      <c r="A3" s="360" t="s">
        <v>379</v>
      </c>
      <c r="B3" s="361">
        <f>PARÁMETROS!$B$5</f>
        <v>1000</v>
      </c>
      <c r="C3" s="43"/>
      <c r="D3" s="43"/>
      <c r="E3" s="42"/>
      <c r="F3" s="43"/>
      <c r="G3" s="43"/>
      <c r="H3" s="404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 ht="15.75" customHeight="1" x14ac:dyDescent="0.2">
      <c r="A4" s="358" t="s">
        <v>4</v>
      </c>
      <c r="B4" s="359">
        <f>PARÁMETROS!$B$6</f>
        <v>40000</v>
      </c>
      <c r="C4" s="86"/>
      <c r="D4" s="43"/>
      <c r="E4" s="42"/>
      <c r="F4" s="43"/>
      <c r="G4" s="43"/>
      <c r="H4" s="404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 ht="15.75" customHeight="1" x14ac:dyDescent="0.2">
      <c r="A5" s="360" t="s">
        <v>179</v>
      </c>
      <c r="B5" s="362">
        <f>PARÁMETROS!$B$8</f>
        <v>160</v>
      </c>
      <c r="C5" s="43"/>
      <c r="D5" s="43"/>
      <c r="E5" s="42"/>
      <c r="F5" s="43"/>
      <c r="G5" s="43"/>
      <c r="H5" s="404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spans="1:25" ht="15.75" customHeight="1" x14ac:dyDescent="0.2">
      <c r="A6" s="43"/>
      <c r="B6" s="43"/>
      <c r="C6" s="43"/>
      <c r="D6" s="43"/>
      <c r="E6" s="43"/>
      <c r="F6" s="43"/>
      <c r="G6" s="43"/>
      <c r="H6" s="404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 spans="1:25" ht="15.75" customHeight="1" x14ac:dyDescent="0.2">
      <c r="A7" s="354" t="s">
        <v>380</v>
      </c>
      <c r="B7" s="354" t="s">
        <v>381</v>
      </c>
      <c r="C7" s="354" t="s">
        <v>382</v>
      </c>
      <c r="D7" s="354" t="s">
        <v>383</v>
      </c>
      <c r="E7" s="354" t="s">
        <v>384</v>
      </c>
      <c r="F7" s="354" t="s">
        <v>385</v>
      </c>
      <c r="G7" s="405" t="s">
        <v>386</v>
      </c>
      <c r="H7" s="406" t="s">
        <v>387</v>
      </c>
      <c r="I7" s="354" t="s">
        <v>388</v>
      </c>
      <c r="J7" s="354" t="s">
        <v>389</v>
      </c>
      <c r="K7" s="354" t="s">
        <v>390</v>
      </c>
      <c r="L7" s="354" t="s">
        <v>391</v>
      </c>
      <c r="M7" s="363" t="s">
        <v>392</v>
      </c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1:25" ht="15.75" customHeight="1" x14ac:dyDescent="0.2">
      <c r="A8" s="450" t="s">
        <v>393</v>
      </c>
      <c r="B8" s="416"/>
      <c r="C8" s="416"/>
      <c r="D8" s="416"/>
      <c r="E8" s="416"/>
      <c r="F8" s="416"/>
      <c r="G8" s="416"/>
      <c r="H8" s="416"/>
      <c r="I8" s="416"/>
      <c r="J8" s="416"/>
      <c r="K8" s="416"/>
      <c r="L8" s="417"/>
      <c r="M8" s="407">
        <f>SUM(L9:L44)</f>
        <v>0</v>
      </c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 spans="1:25" ht="15.75" customHeight="1" x14ac:dyDescent="0.2">
      <c r="A9" s="358"/>
      <c r="B9" s="408"/>
      <c r="C9" s="391"/>
      <c r="D9" s="387">
        <f t="shared" ref="D9:D19" si="0">C9*$B$2</f>
        <v>0</v>
      </c>
      <c r="E9" s="388">
        <f t="shared" ref="E9:E19" si="1">D9/$B$4</f>
        <v>0</v>
      </c>
      <c r="F9" s="389">
        <v>0</v>
      </c>
      <c r="G9" s="391">
        <f t="shared" ref="G9:G19" si="2">F9*C9</f>
        <v>0</v>
      </c>
      <c r="H9" s="387">
        <f t="shared" ref="H9:H19" si="3">F9*D9</f>
        <v>0</v>
      </c>
      <c r="I9" s="388">
        <f t="shared" ref="I9:I19" si="4">F9*E9</f>
        <v>0</v>
      </c>
      <c r="J9" s="388">
        <f t="shared" ref="J9:J20" si="5">I9*0.19</f>
        <v>0</v>
      </c>
      <c r="K9" s="390">
        <v>0</v>
      </c>
      <c r="L9" s="388">
        <v>0</v>
      </c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5" ht="15.75" customHeight="1" x14ac:dyDescent="0.2">
      <c r="A10" s="358"/>
      <c r="B10" s="408"/>
      <c r="C10" s="391"/>
      <c r="D10" s="387">
        <f t="shared" si="0"/>
        <v>0</v>
      </c>
      <c r="E10" s="388">
        <f t="shared" si="1"/>
        <v>0</v>
      </c>
      <c r="F10" s="389">
        <v>0</v>
      </c>
      <c r="G10" s="391">
        <f t="shared" si="2"/>
        <v>0</v>
      </c>
      <c r="H10" s="387">
        <f t="shared" si="3"/>
        <v>0</v>
      </c>
      <c r="I10" s="388">
        <f t="shared" si="4"/>
        <v>0</v>
      </c>
      <c r="J10" s="388">
        <f t="shared" si="5"/>
        <v>0</v>
      </c>
      <c r="K10" s="390">
        <v>0</v>
      </c>
      <c r="L10" s="388">
        <v>0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1:25" ht="15.75" customHeight="1" x14ac:dyDescent="0.2">
      <c r="A11" s="358"/>
      <c r="B11" s="408"/>
      <c r="C11" s="391"/>
      <c r="D11" s="387">
        <f t="shared" si="0"/>
        <v>0</v>
      </c>
      <c r="E11" s="388">
        <f t="shared" si="1"/>
        <v>0</v>
      </c>
      <c r="F11" s="389">
        <v>0</v>
      </c>
      <c r="G11" s="391">
        <f t="shared" si="2"/>
        <v>0</v>
      </c>
      <c r="H11" s="387">
        <f t="shared" si="3"/>
        <v>0</v>
      </c>
      <c r="I11" s="388">
        <f t="shared" si="4"/>
        <v>0</v>
      </c>
      <c r="J11" s="388">
        <f t="shared" si="5"/>
        <v>0</v>
      </c>
      <c r="K11" s="390">
        <v>0</v>
      </c>
      <c r="L11" s="388">
        <v>0</v>
      </c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spans="1:25" ht="15.75" customHeight="1" x14ac:dyDescent="0.2">
      <c r="A12" s="358"/>
      <c r="B12" s="408"/>
      <c r="C12" s="391"/>
      <c r="D12" s="387">
        <f t="shared" si="0"/>
        <v>0</v>
      </c>
      <c r="E12" s="388">
        <f t="shared" si="1"/>
        <v>0</v>
      </c>
      <c r="F12" s="389">
        <v>0</v>
      </c>
      <c r="G12" s="391">
        <f t="shared" si="2"/>
        <v>0</v>
      </c>
      <c r="H12" s="387">
        <f t="shared" si="3"/>
        <v>0</v>
      </c>
      <c r="I12" s="388">
        <f t="shared" si="4"/>
        <v>0</v>
      </c>
      <c r="J12" s="388">
        <f t="shared" si="5"/>
        <v>0</v>
      </c>
      <c r="K12" s="390">
        <v>0</v>
      </c>
      <c r="L12" s="388">
        <v>0</v>
      </c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spans="1:25" ht="15.75" customHeight="1" x14ac:dyDescent="0.2">
      <c r="A13" s="358"/>
      <c r="B13" s="408"/>
      <c r="C13" s="391"/>
      <c r="D13" s="387">
        <f t="shared" si="0"/>
        <v>0</v>
      </c>
      <c r="E13" s="388">
        <f t="shared" si="1"/>
        <v>0</v>
      </c>
      <c r="F13" s="389">
        <v>0</v>
      </c>
      <c r="G13" s="391">
        <f t="shared" si="2"/>
        <v>0</v>
      </c>
      <c r="H13" s="387">
        <f t="shared" si="3"/>
        <v>0</v>
      </c>
      <c r="I13" s="388">
        <f t="shared" si="4"/>
        <v>0</v>
      </c>
      <c r="J13" s="388">
        <f t="shared" si="5"/>
        <v>0</v>
      </c>
      <c r="K13" s="390">
        <v>0</v>
      </c>
      <c r="L13" s="388">
        <v>0</v>
      </c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spans="1:25" ht="15.75" customHeight="1" x14ac:dyDescent="0.2">
      <c r="A14" s="358"/>
      <c r="B14" s="408"/>
      <c r="C14" s="391"/>
      <c r="D14" s="387">
        <f t="shared" si="0"/>
        <v>0</v>
      </c>
      <c r="E14" s="388">
        <f t="shared" si="1"/>
        <v>0</v>
      </c>
      <c r="F14" s="389">
        <v>0</v>
      </c>
      <c r="G14" s="391">
        <f t="shared" si="2"/>
        <v>0</v>
      </c>
      <c r="H14" s="387">
        <f t="shared" si="3"/>
        <v>0</v>
      </c>
      <c r="I14" s="388">
        <f t="shared" si="4"/>
        <v>0</v>
      </c>
      <c r="J14" s="388">
        <f t="shared" si="5"/>
        <v>0</v>
      </c>
      <c r="K14" s="390">
        <v>0</v>
      </c>
      <c r="L14" s="388">
        <v>0</v>
      </c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spans="1:25" ht="15.75" customHeight="1" x14ac:dyDescent="0.2">
      <c r="A15" s="358"/>
      <c r="B15" s="408"/>
      <c r="C15" s="391"/>
      <c r="D15" s="387">
        <f t="shared" si="0"/>
        <v>0</v>
      </c>
      <c r="E15" s="388">
        <f t="shared" si="1"/>
        <v>0</v>
      </c>
      <c r="F15" s="389">
        <v>0</v>
      </c>
      <c r="G15" s="391">
        <f t="shared" si="2"/>
        <v>0</v>
      </c>
      <c r="H15" s="387">
        <f t="shared" si="3"/>
        <v>0</v>
      </c>
      <c r="I15" s="388">
        <f t="shared" si="4"/>
        <v>0</v>
      </c>
      <c r="J15" s="388">
        <f t="shared" si="5"/>
        <v>0</v>
      </c>
      <c r="K15" s="390">
        <v>0</v>
      </c>
      <c r="L15" s="388">
        <v>0</v>
      </c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spans="1:25" ht="15.75" customHeight="1" x14ac:dyDescent="0.2">
      <c r="A16" s="358"/>
      <c r="B16" s="408"/>
      <c r="C16" s="391"/>
      <c r="D16" s="387">
        <f t="shared" si="0"/>
        <v>0</v>
      </c>
      <c r="E16" s="388">
        <f t="shared" si="1"/>
        <v>0</v>
      </c>
      <c r="F16" s="389">
        <v>0</v>
      </c>
      <c r="G16" s="391">
        <f t="shared" si="2"/>
        <v>0</v>
      </c>
      <c r="H16" s="387">
        <f t="shared" si="3"/>
        <v>0</v>
      </c>
      <c r="I16" s="388">
        <f t="shared" si="4"/>
        <v>0</v>
      </c>
      <c r="J16" s="388">
        <f t="shared" si="5"/>
        <v>0</v>
      </c>
      <c r="K16" s="390">
        <v>0</v>
      </c>
      <c r="L16" s="388">
        <v>0</v>
      </c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 spans="1:25" ht="15.75" customHeight="1" x14ac:dyDescent="0.2">
      <c r="A17" s="358"/>
      <c r="B17" s="408"/>
      <c r="C17" s="391"/>
      <c r="D17" s="387">
        <f t="shared" si="0"/>
        <v>0</v>
      </c>
      <c r="E17" s="388">
        <f t="shared" si="1"/>
        <v>0</v>
      </c>
      <c r="F17" s="389">
        <v>0</v>
      </c>
      <c r="G17" s="391">
        <f t="shared" si="2"/>
        <v>0</v>
      </c>
      <c r="H17" s="387">
        <f t="shared" si="3"/>
        <v>0</v>
      </c>
      <c r="I17" s="388">
        <f t="shared" si="4"/>
        <v>0</v>
      </c>
      <c r="J17" s="388">
        <f t="shared" si="5"/>
        <v>0</v>
      </c>
      <c r="K17" s="390">
        <v>0</v>
      </c>
      <c r="L17" s="388">
        <v>0</v>
      </c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 spans="1:25" ht="15.75" customHeight="1" x14ac:dyDescent="0.2">
      <c r="A18" s="358"/>
      <c r="B18" s="408"/>
      <c r="C18" s="391"/>
      <c r="D18" s="387">
        <f t="shared" si="0"/>
        <v>0</v>
      </c>
      <c r="E18" s="388">
        <f t="shared" si="1"/>
        <v>0</v>
      </c>
      <c r="F18" s="389">
        <v>0</v>
      </c>
      <c r="G18" s="391">
        <f t="shared" si="2"/>
        <v>0</v>
      </c>
      <c r="H18" s="387">
        <f t="shared" si="3"/>
        <v>0</v>
      </c>
      <c r="I18" s="388">
        <f t="shared" si="4"/>
        <v>0</v>
      </c>
      <c r="J18" s="388">
        <f t="shared" si="5"/>
        <v>0</v>
      </c>
      <c r="K18" s="390">
        <v>0</v>
      </c>
      <c r="L18" s="388">
        <v>0</v>
      </c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spans="1:25" ht="15.75" customHeight="1" x14ac:dyDescent="0.2">
      <c r="A19" s="358"/>
      <c r="B19" s="408"/>
      <c r="C19" s="391"/>
      <c r="D19" s="387">
        <f t="shared" si="0"/>
        <v>0</v>
      </c>
      <c r="E19" s="388">
        <f t="shared" si="1"/>
        <v>0</v>
      </c>
      <c r="F19" s="389">
        <v>0</v>
      </c>
      <c r="G19" s="391">
        <f t="shared" si="2"/>
        <v>0</v>
      </c>
      <c r="H19" s="387">
        <f t="shared" si="3"/>
        <v>0</v>
      </c>
      <c r="I19" s="388">
        <f t="shared" si="4"/>
        <v>0</v>
      </c>
      <c r="J19" s="388">
        <f t="shared" si="5"/>
        <v>0</v>
      </c>
      <c r="K19" s="390">
        <v>0</v>
      </c>
      <c r="L19" s="388">
        <v>0</v>
      </c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spans="1:25" ht="15.75" customHeight="1" x14ac:dyDescent="0.2">
      <c r="A20" s="3"/>
      <c r="B20" s="3"/>
      <c r="C20" s="3"/>
      <c r="D20" s="3"/>
      <c r="E20" s="3"/>
      <c r="F20" s="368" t="s">
        <v>101</v>
      </c>
      <c r="G20" s="391">
        <f t="shared" ref="G20:I20" si="6">SUM(G9:G19)</f>
        <v>0</v>
      </c>
      <c r="H20" s="387">
        <f t="shared" si="6"/>
        <v>0</v>
      </c>
      <c r="I20" s="388">
        <f t="shared" si="6"/>
        <v>0</v>
      </c>
      <c r="J20" s="388">
        <f t="shared" si="5"/>
        <v>0</v>
      </c>
      <c r="K20" s="3"/>
      <c r="L20" s="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spans="1:25" ht="15.75" customHeight="1" x14ac:dyDescent="0.2">
      <c r="A21" s="449" t="s">
        <v>394</v>
      </c>
      <c r="B21" s="421"/>
      <c r="C21" s="421"/>
      <c r="D21" s="421"/>
      <c r="E21" s="421"/>
      <c r="F21" s="421"/>
      <c r="G21" s="421"/>
      <c r="H21" s="421"/>
      <c r="I21" s="421"/>
      <c r="J21" s="421"/>
      <c r="K21" s="421"/>
      <c r="L21" s="422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 ht="15.75" customHeight="1" x14ac:dyDescent="0.2">
      <c r="A22" s="358"/>
      <c r="B22" s="372"/>
      <c r="C22" s="373"/>
      <c r="D22" s="374">
        <f t="shared" ref="D22:D26" si="7">C22*$B$2</f>
        <v>0</v>
      </c>
      <c r="E22" s="375">
        <f t="shared" ref="E22:E26" si="8">D22/$B$4</f>
        <v>0</v>
      </c>
      <c r="F22" s="376">
        <v>0</v>
      </c>
      <c r="G22" s="391">
        <f t="shared" ref="G22:G26" si="9">F22*C22</f>
        <v>0</v>
      </c>
      <c r="H22" s="387">
        <f t="shared" ref="H22:H26" si="10">F22*D22</f>
        <v>0</v>
      </c>
      <c r="I22" s="375">
        <f t="shared" ref="I22:I26" si="11">F22*E22</f>
        <v>0</v>
      </c>
      <c r="J22" s="375">
        <f t="shared" ref="J22:J27" si="12">I22*0.19</f>
        <v>0</v>
      </c>
      <c r="K22" s="377">
        <v>6</v>
      </c>
      <c r="L22" s="375">
        <f t="shared" ref="L22:L25" si="13">I22/(K22)/12</f>
        <v>0</v>
      </c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 ht="15.75" customHeight="1" x14ac:dyDescent="0.2">
      <c r="A23" s="358"/>
      <c r="B23" s="378"/>
      <c r="C23" s="379"/>
      <c r="D23" s="380">
        <f t="shared" si="7"/>
        <v>0</v>
      </c>
      <c r="E23" s="381">
        <f t="shared" si="8"/>
        <v>0</v>
      </c>
      <c r="F23" s="382">
        <v>0</v>
      </c>
      <c r="G23" s="391">
        <f t="shared" si="9"/>
        <v>0</v>
      </c>
      <c r="H23" s="387">
        <f t="shared" si="10"/>
        <v>0</v>
      </c>
      <c r="I23" s="381">
        <f t="shared" si="11"/>
        <v>0</v>
      </c>
      <c r="J23" s="375">
        <f t="shared" si="12"/>
        <v>0</v>
      </c>
      <c r="K23" s="383">
        <v>6</v>
      </c>
      <c r="L23" s="381">
        <f t="shared" si="13"/>
        <v>0</v>
      </c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 ht="15.75" customHeight="1" x14ac:dyDescent="0.2">
      <c r="A24" s="358"/>
      <c r="B24" s="372"/>
      <c r="C24" s="373"/>
      <c r="D24" s="374">
        <f t="shared" si="7"/>
        <v>0</v>
      </c>
      <c r="E24" s="375">
        <f t="shared" si="8"/>
        <v>0</v>
      </c>
      <c r="F24" s="376">
        <v>0</v>
      </c>
      <c r="G24" s="391">
        <f t="shared" si="9"/>
        <v>0</v>
      </c>
      <c r="H24" s="387">
        <f t="shared" si="10"/>
        <v>0</v>
      </c>
      <c r="I24" s="375">
        <f t="shared" si="11"/>
        <v>0</v>
      </c>
      <c r="J24" s="375">
        <f t="shared" si="12"/>
        <v>0</v>
      </c>
      <c r="K24" s="377">
        <v>6</v>
      </c>
      <c r="L24" s="375">
        <f t="shared" si="13"/>
        <v>0</v>
      </c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 ht="15.75" customHeight="1" x14ac:dyDescent="0.2">
      <c r="A25" s="358"/>
      <c r="B25" s="358"/>
      <c r="C25" s="373"/>
      <c r="D25" s="387">
        <f t="shared" si="7"/>
        <v>0</v>
      </c>
      <c r="E25" s="388">
        <f t="shared" si="8"/>
        <v>0</v>
      </c>
      <c r="F25" s="389">
        <v>0</v>
      </c>
      <c r="G25" s="391">
        <f t="shared" si="9"/>
        <v>0</v>
      </c>
      <c r="H25" s="387">
        <f t="shared" si="10"/>
        <v>0</v>
      </c>
      <c r="I25" s="388">
        <f t="shared" si="11"/>
        <v>0</v>
      </c>
      <c r="J25" s="375">
        <f t="shared" si="12"/>
        <v>0</v>
      </c>
      <c r="K25" s="390">
        <v>6</v>
      </c>
      <c r="L25" s="388">
        <f t="shared" si="13"/>
        <v>0</v>
      </c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 ht="15.75" customHeight="1" x14ac:dyDescent="0.2">
      <c r="A26" s="358"/>
      <c r="B26" s="358"/>
      <c r="C26" s="391"/>
      <c r="D26" s="387">
        <f t="shared" si="7"/>
        <v>0</v>
      </c>
      <c r="E26" s="388">
        <f t="shared" si="8"/>
        <v>0</v>
      </c>
      <c r="F26" s="389">
        <v>0</v>
      </c>
      <c r="G26" s="391">
        <f t="shared" si="9"/>
        <v>0</v>
      </c>
      <c r="H26" s="387">
        <f t="shared" si="10"/>
        <v>0</v>
      </c>
      <c r="I26" s="388">
        <f t="shared" si="11"/>
        <v>0</v>
      </c>
      <c r="J26" s="375">
        <f t="shared" si="12"/>
        <v>0</v>
      </c>
      <c r="K26" s="390">
        <v>6</v>
      </c>
      <c r="L26" s="388">
        <v>0</v>
      </c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 ht="15.75" customHeight="1" x14ac:dyDescent="0.2">
      <c r="A27" s="3"/>
      <c r="B27" s="3"/>
      <c r="C27" s="3"/>
      <c r="D27" s="3"/>
      <c r="E27" s="3"/>
      <c r="F27" s="368" t="s">
        <v>101</v>
      </c>
      <c r="G27" s="391">
        <f t="shared" ref="G27:I27" si="14">SUM(G22:G26)</f>
        <v>0</v>
      </c>
      <c r="H27" s="387">
        <f t="shared" si="14"/>
        <v>0</v>
      </c>
      <c r="I27" s="388">
        <f t="shared" si="14"/>
        <v>0</v>
      </c>
      <c r="J27" s="375">
        <f t="shared" si="12"/>
        <v>0</v>
      </c>
      <c r="K27" s="3"/>
      <c r="L27" s="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 ht="15.75" customHeight="1" x14ac:dyDescent="0.2">
      <c r="A28" s="449" t="s">
        <v>395</v>
      </c>
      <c r="B28" s="421"/>
      <c r="C28" s="421"/>
      <c r="D28" s="421"/>
      <c r="E28" s="421"/>
      <c r="F28" s="421"/>
      <c r="G28" s="421"/>
      <c r="H28" s="421"/>
      <c r="I28" s="421"/>
      <c r="J28" s="421"/>
      <c r="K28" s="421"/>
      <c r="L28" s="422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 ht="15.75" customHeight="1" x14ac:dyDescent="0.2">
      <c r="A29" s="358"/>
      <c r="B29" s="372"/>
      <c r="C29" s="373"/>
      <c r="D29" s="374">
        <f t="shared" ref="D29:D30" si="15">C29*$B$2</f>
        <v>0</v>
      </c>
      <c r="E29" s="375">
        <f t="shared" ref="E29:E30" si="16">D29/$B$4</f>
        <v>0</v>
      </c>
      <c r="F29" s="376">
        <v>0</v>
      </c>
      <c r="G29" s="391">
        <f t="shared" ref="G29:G30" si="17">F29*C29</f>
        <v>0</v>
      </c>
      <c r="H29" s="387">
        <f t="shared" ref="H29:H30" si="18">F29*D29</f>
        <v>0</v>
      </c>
      <c r="I29" s="375">
        <f t="shared" ref="I29:I30" si="19">F29*E29</f>
        <v>0</v>
      </c>
      <c r="J29" s="375">
        <f t="shared" ref="J29:J31" si="20">I29*0.19</f>
        <v>0</v>
      </c>
      <c r="K29" s="377">
        <v>7</v>
      </c>
      <c r="L29" s="375">
        <f t="shared" ref="L29:L30" si="21">I29/(K29)/12</f>
        <v>0</v>
      </c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 ht="15.75" customHeight="1" x14ac:dyDescent="0.2">
      <c r="A30" s="384"/>
      <c r="B30" s="385"/>
      <c r="C30" s="373"/>
      <c r="D30" s="374">
        <f t="shared" si="15"/>
        <v>0</v>
      </c>
      <c r="E30" s="375">
        <f t="shared" si="16"/>
        <v>0</v>
      </c>
      <c r="F30" s="376">
        <v>0</v>
      </c>
      <c r="G30" s="391">
        <f t="shared" si="17"/>
        <v>0</v>
      </c>
      <c r="H30" s="387">
        <f t="shared" si="18"/>
        <v>0</v>
      </c>
      <c r="I30" s="375">
        <f t="shared" si="19"/>
        <v>0</v>
      </c>
      <c r="J30" s="375">
        <f t="shared" si="20"/>
        <v>0</v>
      </c>
      <c r="K30" s="377">
        <v>7</v>
      </c>
      <c r="L30" s="375">
        <f t="shared" si="21"/>
        <v>0</v>
      </c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 ht="15.75" customHeight="1" x14ac:dyDescent="0.2">
      <c r="A31" s="3"/>
      <c r="B31" s="3"/>
      <c r="C31" s="3"/>
      <c r="D31" s="3"/>
      <c r="E31" s="3"/>
      <c r="F31" s="368" t="s">
        <v>101</v>
      </c>
      <c r="G31" s="391">
        <f t="shared" ref="G31:I31" si="22">SUM(G29:G30)</f>
        <v>0</v>
      </c>
      <c r="H31" s="387">
        <f t="shared" si="22"/>
        <v>0</v>
      </c>
      <c r="I31" s="388">
        <f t="shared" si="22"/>
        <v>0</v>
      </c>
      <c r="J31" s="375">
        <f t="shared" si="20"/>
        <v>0</v>
      </c>
      <c r="K31" s="3"/>
      <c r="L31" s="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 ht="15.75" customHeight="1" x14ac:dyDescent="0.2">
      <c r="A32" s="449" t="s">
        <v>404</v>
      </c>
      <c r="B32" s="421"/>
      <c r="C32" s="421"/>
      <c r="D32" s="421"/>
      <c r="E32" s="421"/>
      <c r="F32" s="421"/>
      <c r="G32" s="421"/>
      <c r="H32" s="421"/>
      <c r="I32" s="421"/>
      <c r="J32" s="421"/>
      <c r="K32" s="421"/>
      <c r="L32" s="422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spans="1:25" ht="15.75" customHeight="1" x14ac:dyDescent="0.2">
      <c r="A33" s="384"/>
      <c r="B33" s="409"/>
      <c r="C33" s="393"/>
      <c r="D33" s="374">
        <f t="shared" ref="D33:D34" si="23">C33*$B$2</f>
        <v>0</v>
      </c>
      <c r="E33" s="375">
        <f t="shared" ref="E33:E34" si="24">D33/$B$4</f>
        <v>0</v>
      </c>
      <c r="F33" s="394">
        <v>0</v>
      </c>
      <c r="G33" s="391">
        <f t="shared" ref="G33:G34" si="25">F33*C33</f>
        <v>0</v>
      </c>
      <c r="H33" s="387">
        <f t="shared" ref="H33:H34" si="26">F33*D33</f>
        <v>0</v>
      </c>
      <c r="I33" s="375">
        <f t="shared" ref="I33:I34" si="27">F33*E33</f>
        <v>0</v>
      </c>
      <c r="J33" s="410">
        <f t="shared" ref="J33:J35" si="28">I33*0.19</f>
        <v>0</v>
      </c>
      <c r="K33" s="395">
        <v>0</v>
      </c>
      <c r="L33" s="375">
        <v>0</v>
      </c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spans="1:25" ht="15.75" customHeight="1" x14ac:dyDescent="0.2">
      <c r="A34" s="384"/>
      <c r="B34" s="409"/>
      <c r="C34" s="393"/>
      <c r="D34" s="374">
        <f t="shared" si="23"/>
        <v>0</v>
      </c>
      <c r="E34" s="375">
        <f t="shared" si="24"/>
        <v>0</v>
      </c>
      <c r="F34" s="394">
        <v>0</v>
      </c>
      <c r="G34" s="391">
        <f t="shared" si="25"/>
        <v>0</v>
      </c>
      <c r="H34" s="387">
        <f t="shared" si="26"/>
        <v>0</v>
      </c>
      <c r="I34" s="375">
        <f t="shared" si="27"/>
        <v>0</v>
      </c>
      <c r="J34" s="410">
        <f t="shared" si="28"/>
        <v>0</v>
      </c>
      <c r="K34" s="395">
        <v>0</v>
      </c>
      <c r="L34" s="375">
        <v>0</v>
      </c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5" ht="15.75" customHeight="1" x14ac:dyDescent="0.2">
      <c r="A35" s="3"/>
      <c r="B35" s="3"/>
      <c r="C35" s="3"/>
      <c r="D35" s="3"/>
      <c r="E35" s="3"/>
      <c r="F35" s="368" t="s">
        <v>101</v>
      </c>
      <c r="G35" s="391">
        <f t="shared" ref="G35:I35" si="29">SUM(G33:G34)</f>
        <v>0</v>
      </c>
      <c r="H35" s="387">
        <f t="shared" si="29"/>
        <v>0</v>
      </c>
      <c r="I35" s="388">
        <f t="shared" si="29"/>
        <v>0</v>
      </c>
      <c r="J35" s="410">
        <f t="shared" si="28"/>
        <v>0</v>
      </c>
      <c r="K35" s="3"/>
      <c r="L35" s="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spans="1:25" ht="15.75" customHeight="1" x14ac:dyDescent="0.2">
      <c r="A36" s="449" t="s">
        <v>398</v>
      </c>
      <c r="B36" s="421"/>
      <c r="C36" s="421"/>
      <c r="D36" s="421"/>
      <c r="E36" s="421"/>
      <c r="F36" s="421"/>
      <c r="G36" s="421"/>
      <c r="H36" s="421"/>
      <c r="I36" s="421"/>
      <c r="J36" s="421"/>
      <c r="K36" s="421"/>
      <c r="L36" s="422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spans="1:25" ht="15.75" customHeight="1" x14ac:dyDescent="0.2">
      <c r="A37" s="358"/>
      <c r="B37" s="358"/>
      <c r="C37" s="373"/>
      <c r="D37" s="374">
        <f t="shared" ref="D37:D38" si="30">C37*$B$2</f>
        <v>0</v>
      </c>
      <c r="E37" s="375">
        <f t="shared" ref="E37:E38" si="31">D37/$B$4</f>
        <v>0</v>
      </c>
      <c r="F37" s="376">
        <v>0</v>
      </c>
      <c r="G37" s="391">
        <f t="shared" ref="G37:G38" si="32">F37*C37</f>
        <v>0</v>
      </c>
      <c r="H37" s="387">
        <f t="shared" ref="H37:H38" si="33">F37*D37</f>
        <v>0</v>
      </c>
      <c r="I37" s="375">
        <f t="shared" ref="I37:I38" si="34">F37*E37</f>
        <v>0</v>
      </c>
      <c r="J37" s="375">
        <f t="shared" ref="J37:J39" si="35">I37*0.19</f>
        <v>0</v>
      </c>
      <c r="K37" s="377">
        <v>0</v>
      </c>
      <c r="L37" s="375">
        <v>0</v>
      </c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spans="1:25" ht="15.75" customHeight="1" x14ac:dyDescent="0.2">
      <c r="A38" s="358"/>
      <c r="B38" s="358"/>
      <c r="C38" s="391"/>
      <c r="D38" s="387">
        <f t="shared" si="30"/>
        <v>0</v>
      </c>
      <c r="E38" s="388">
        <f t="shared" si="31"/>
        <v>0</v>
      </c>
      <c r="F38" s="389">
        <v>0</v>
      </c>
      <c r="G38" s="391">
        <f t="shared" si="32"/>
        <v>0</v>
      </c>
      <c r="H38" s="387">
        <f t="shared" si="33"/>
        <v>0</v>
      </c>
      <c r="I38" s="388">
        <f t="shared" si="34"/>
        <v>0</v>
      </c>
      <c r="J38" s="375">
        <f t="shared" si="35"/>
        <v>0</v>
      </c>
      <c r="K38" s="390">
        <v>0</v>
      </c>
      <c r="L38" s="388">
        <v>0</v>
      </c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spans="1:25" ht="15.75" customHeight="1" x14ac:dyDescent="0.2">
      <c r="A39" s="3"/>
      <c r="B39" s="3"/>
      <c r="C39" s="3"/>
      <c r="D39" s="3"/>
      <c r="E39" s="3"/>
      <c r="F39" s="368" t="s">
        <v>101</v>
      </c>
      <c r="G39" s="391">
        <f t="shared" ref="G39:I39" si="36">SUM(G37:G38)</f>
        <v>0</v>
      </c>
      <c r="H39" s="387">
        <f t="shared" si="36"/>
        <v>0</v>
      </c>
      <c r="I39" s="388">
        <f t="shared" si="36"/>
        <v>0</v>
      </c>
      <c r="J39" s="375">
        <f t="shared" si="35"/>
        <v>0</v>
      </c>
      <c r="K39" s="3"/>
      <c r="L39" s="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spans="1:25" ht="15" customHeight="1" x14ac:dyDescent="0.2">
      <c r="A40" s="449" t="s">
        <v>399</v>
      </c>
      <c r="B40" s="421"/>
      <c r="C40" s="421"/>
      <c r="D40" s="421"/>
      <c r="E40" s="421"/>
      <c r="F40" s="421"/>
      <c r="G40" s="421"/>
      <c r="H40" s="421"/>
      <c r="I40" s="421"/>
      <c r="J40" s="421"/>
      <c r="K40" s="421"/>
      <c r="L40" s="422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spans="1:25" ht="15" customHeight="1" x14ac:dyDescent="0.2">
      <c r="A41" s="358"/>
      <c r="B41" s="358"/>
      <c r="C41" s="391"/>
      <c r="D41" s="387">
        <f t="shared" ref="D41:D44" si="37">C41*$B$2</f>
        <v>0</v>
      </c>
      <c r="E41" s="388">
        <f t="shared" ref="E41:E44" si="38">D41/$B$4</f>
        <v>0</v>
      </c>
      <c r="F41" s="389">
        <v>0</v>
      </c>
      <c r="G41" s="391">
        <f t="shared" ref="G41:G44" si="39">F41*C41</f>
        <v>0</v>
      </c>
      <c r="H41" s="387">
        <f t="shared" ref="H41:H44" si="40">F41*D41</f>
        <v>0</v>
      </c>
      <c r="I41" s="388">
        <f t="shared" ref="I41:I44" si="41">F41*E41</f>
        <v>0</v>
      </c>
      <c r="J41" s="388">
        <f t="shared" ref="J41:J45" si="42">I41*0.19</f>
        <v>0</v>
      </c>
      <c r="K41" s="390">
        <v>0</v>
      </c>
      <c r="L41" s="388">
        <v>0</v>
      </c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spans="1:25" ht="15" customHeight="1" x14ac:dyDescent="0.2">
      <c r="A42" s="358"/>
      <c r="B42" s="358"/>
      <c r="C42" s="391"/>
      <c r="D42" s="387">
        <f t="shared" si="37"/>
        <v>0</v>
      </c>
      <c r="E42" s="388">
        <f t="shared" si="38"/>
        <v>0</v>
      </c>
      <c r="F42" s="389">
        <v>0</v>
      </c>
      <c r="G42" s="391">
        <f t="shared" si="39"/>
        <v>0</v>
      </c>
      <c r="H42" s="387">
        <f t="shared" si="40"/>
        <v>0</v>
      </c>
      <c r="I42" s="388">
        <f t="shared" si="41"/>
        <v>0</v>
      </c>
      <c r="J42" s="388">
        <f t="shared" si="42"/>
        <v>0</v>
      </c>
      <c r="K42" s="390">
        <v>0</v>
      </c>
      <c r="L42" s="388">
        <v>0</v>
      </c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spans="1:25" ht="15" customHeight="1" x14ac:dyDescent="0.2">
      <c r="A43" s="358"/>
      <c r="B43" s="358"/>
      <c r="C43" s="391"/>
      <c r="D43" s="387">
        <f t="shared" si="37"/>
        <v>0</v>
      </c>
      <c r="E43" s="388">
        <f t="shared" si="38"/>
        <v>0</v>
      </c>
      <c r="F43" s="389">
        <v>0</v>
      </c>
      <c r="G43" s="391">
        <f t="shared" si="39"/>
        <v>0</v>
      </c>
      <c r="H43" s="387">
        <f t="shared" si="40"/>
        <v>0</v>
      </c>
      <c r="I43" s="388">
        <f t="shared" si="41"/>
        <v>0</v>
      </c>
      <c r="J43" s="388">
        <f t="shared" si="42"/>
        <v>0</v>
      </c>
      <c r="K43" s="390">
        <v>0</v>
      </c>
      <c r="L43" s="388">
        <v>0</v>
      </c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spans="1:25" ht="15" customHeight="1" x14ac:dyDescent="0.2">
      <c r="A44" s="358"/>
      <c r="B44" s="358"/>
      <c r="C44" s="391"/>
      <c r="D44" s="387">
        <f t="shared" si="37"/>
        <v>0</v>
      </c>
      <c r="E44" s="388">
        <f t="shared" si="38"/>
        <v>0</v>
      </c>
      <c r="F44" s="389">
        <v>0</v>
      </c>
      <c r="G44" s="391">
        <f t="shared" si="39"/>
        <v>0</v>
      </c>
      <c r="H44" s="387">
        <f t="shared" si="40"/>
        <v>0</v>
      </c>
      <c r="I44" s="388">
        <f t="shared" si="41"/>
        <v>0</v>
      </c>
      <c r="J44" s="388">
        <f t="shared" si="42"/>
        <v>0</v>
      </c>
      <c r="K44" s="390">
        <v>0</v>
      </c>
      <c r="L44" s="388">
        <v>0</v>
      </c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spans="1:25" ht="15.75" customHeight="1" x14ac:dyDescent="0.2">
      <c r="A45" s="3"/>
      <c r="B45" s="3"/>
      <c r="C45" s="3"/>
      <c r="D45" s="3"/>
      <c r="E45" s="3"/>
      <c r="F45" s="368" t="s">
        <v>101</v>
      </c>
      <c r="G45" s="391">
        <f t="shared" ref="G45:I45" si="43">SUM(G41:G44)</f>
        <v>0</v>
      </c>
      <c r="H45" s="387">
        <f t="shared" si="43"/>
        <v>0</v>
      </c>
      <c r="I45" s="388">
        <f t="shared" si="43"/>
        <v>0</v>
      </c>
      <c r="J45" s="388">
        <f t="shared" si="42"/>
        <v>0</v>
      </c>
      <c r="K45" s="3"/>
      <c r="L45" s="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spans="1:25" ht="15.75" customHeight="1" x14ac:dyDescent="0.2">
      <c r="A46" s="3"/>
      <c r="B46" s="3"/>
      <c r="C46" s="3"/>
      <c r="D46" s="3"/>
      <c r="E46" s="3"/>
      <c r="F46" s="3"/>
      <c r="G46" s="411"/>
      <c r="H46" s="412"/>
      <c r="I46" s="3"/>
      <c r="J46" s="3"/>
      <c r="K46" s="3"/>
      <c r="L46" s="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spans="1:25" ht="15.75" customHeight="1" x14ac:dyDescent="0.25">
      <c r="A47" s="3"/>
      <c r="B47" s="243" t="s">
        <v>405</v>
      </c>
      <c r="C47" s="243" t="s">
        <v>401</v>
      </c>
      <c r="D47" s="3"/>
      <c r="E47" s="3"/>
      <c r="F47" s="3"/>
      <c r="G47" s="411"/>
      <c r="H47" s="412"/>
      <c r="I47" s="3"/>
      <c r="J47" s="3"/>
      <c r="K47" s="3"/>
      <c r="L47" s="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spans="1:25" ht="15.75" customHeight="1" x14ac:dyDescent="0.25">
      <c r="A48" s="243" t="s">
        <v>406</v>
      </c>
      <c r="B48" s="413">
        <f>SUM(I27,I31,I35)</f>
        <v>0</v>
      </c>
      <c r="C48" s="413">
        <v>0</v>
      </c>
      <c r="D48" s="3"/>
      <c r="E48" s="3"/>
      <c r="F48" s="3"/>
      <c r="G48" s="411"/>
      <c r="H48" s="412"/>
      <c r="I48" s="3"/>
      <c r="J48" s="3"/>
      <c r="K48" s="3"/>
      <c r="L48" s="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spans="1:25" ht="15.75" customHeight="1" x14ac:dyDescent="0.25">
      <c r="A49" s="243" t="s">
        <v>407</v>
      </c>
      <c r="B49" s="413">
        <v>0</v>
      </c>
      <c r="C49" s="414">
        <f>SUM(I20,I39,I45)</f>
        <v>0</v>
      </c>
      <c r="D49" s="3"/>
      <c r="E49" s="3"/>
      <c r="F49" s="3"/>
      <c r="G49" s="411"/>
      <c r="H49" s="412"/>
      <c r="I49" s="3"/>
      <c r="J49" s="3"/>
      <c r="K49" s="3"/>
      <c r="L49" s="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spans="1:25" ht="15.75" customHeight="1" x14ac:dyDescent="0.2">
      <c r="A50" s="43"/>
      <c r="B50" s="42"/>
      <c r="C50" s="42"/>
      <c r="D50" s="42"/>
      <c r="E50" s="42"/>
      <c r="F50" s="42"/>
      <c r="G50" s="43"/>
      <c r="H50" s="404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spans="1:25" ht="15.75" customHeight="1" x14ac:dyDescent="0.2">
      <c r="A51" s="43"/>
      <c r="B51" s="401"/>
      <c r="C51" s="402"/>
      <c r="D51" s="403"/>
      <c r="E51" s="42"/>
      <c r="F51" s="42"/>
      <c r="G51" s="43"/>
      <c r="H51" s="404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spans="1:25" ht="15.75" customHeight="1" x14ac:dyDescent="0.2">
      <c r="A52" s="43"/>
      <c r="B52" s="43"/>
      <c r="C52" s="43"/>
      <c r="D52" s="43"/>
      <c r="E52" s="43"/>
      <c r="F52" s="43"/>
      <c r="G52" s="43"/>
      <c r="H52" s="404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 ht="15.75" customHeight="1" x14ac:dyDescent="0.2">
      <c r="A53" s="43"/>
      <c r="B53" s="43"/>
      <c r="C53" s="43"/>
      <c r="D53" s="43"/>
      <c r="E53" s="43"/>
      <c r="F53" s="43"/>
      <c r="G53" s="43"/>
      <c r="H53" s="404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spans="1:25" ht="15.75" customHeight="1" x14ac:dyDescent="0.2">
      <c r="A54" s="43"/>
      <c r="B54" s="43"/>
      <c r="C54" s="43"/>
      <c r="D54" s="43"/>
      <c r="E54" s="43"/>
      <c r="F54" s="43"/>
      <c r="G54" s="43"/>
      <c r="H54" s="404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spans="1:25" ht="15.75" customHeight="1" x14ac:dyDescent="0.2">
      <c r="A55" s="43"/>
      <c r="B55" s="43"/>
      <c r="C55" s="43"/>
      <c r="D55" s="43"/>
      <c r="E55" s="43"/>
      <c r="F55" s="43"/>
      <c r="G55" s="43"/>
      <c r="H55" s="404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 ht="15.75" customHeight="1" x14ac:dyDescent="0.2">
      <c r="A56" s="43"/>
      <c r="B56" s="43"/>
      <c r="C56" s="43"/>
      <c r="D56" s="43"/>
      <c r="E56" s="43"/>
      <c r="F56" s="43"/>
      <c r="G56" s="43"/>
      <c r="H56" s="404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 ht="15.75" customHeight="1" x14ac:dyDescent="0.2">
      <c r="A57" s="43"/>
      <c r="B57" s="43"/>
      <c r="C57" s="43"/>
      <c r="D57" s="43"/>
      <c r="E57" s="43"/>
      <c r="F57" s="43"/>
      <c r="G57" s="43"/>
      <c r="H57" s="404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 ht="15.75" customHeight="1" x14ac:dyDescent="0.2">
      <c r="A58" s="43"/>
      <c r="B58" s="43"/>
      <c r="C58" s="43"/>
      <c r="D58" s="43"/>
      <c r="E58" s="43"/>
      <c r="F58" s="43"/>
      <c r="G58" s="43"/>
      <c r="H58" s="404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 ht="15.75" customHeight="1" x14ac:dyDescent="0.2">
      <c r="A59" s="43"/>
      <c r="B59" s="43"/>
      <c r="C59" s="43"/>
      <c r="D59" s="43"/>
      <c r="E59" s="43"/>
      <c r="F59" s="43"/>
      <c r="G59" s="43"/>
      <c r="H59" s="404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 ht="15.75" customHeight="1" x14ac:dyDescent="0.2">
      <c r="A60" s="43"/>
      <c r="B60" s="43"/>
      <c r="C60" s="43"/>
      <c r="D60" s="43"/>
      <c r="E60" s="43"/>
      <c r="F60" s="43"/>
      <c r="G60" s="43"/>
      <c r="H60" s="404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15.75" customHeight="1" x14ac:dyDescent="0.2">
      <c r="A61" s="43"/>
      <c r="B61" s="43"/>
      <c r="C61" s="43"/>
      <c r="D61" s="43"/>
      <c r="E61" s="43"/>
      <c r="F61" s="43"/>
      <c r="G61" s="43"/>
      <c r="H61" s="404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15.75" customHeight="1" x14ac:dyDescent="0.2">
      <c r="A62" s="43"/>
      <c r="B62" s="43"/>
      <c r="C62" s="43"/>
      <c r="D62" s="43"/>
      <c r="E62" s="43"/>
      <c r="F62" s="43"/>
      <c r="G62" s="43"/>
      <c r="H62" s="404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15.75" customHeight="1" x14ac:dyDescent="0.2">
      <c r="A63" s="43"/>
      <c r="B63" s="43"/>
      <c r="C63" s="43"/>
      <c r="D63" s="43"/>
      <c r="E63" s="43"/>
      <c r="F63" s="43"/>
      <c r="G63" s="43"/>
      <c r="H63" s="404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15.75" customHeight="1" x14ac:dyDescent="0.2">
      <c r="A64" s="43"/>
      <c r="B64" s="43"/>
      <c r="C64" s="43"/>
      <c r="D64" s="43"/>
      <c r="E64" s="43"/>
      <c r="F64" s="43"/>
      <c r="G64" s="43"/>
      <c r="H64" s="404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15.75" customHeight="1" x14ac:dyDescent="0.2">
      <c r="A65" s="43"/>
      <c r="B65" s="43"/>
      <c r="C65" s="43"/>
      <c r="D65" s="43"/>
      <c r="E65" s="43"/>
      <c r="F65" s="43"/>
      <c r="G65" s="43"/>
      <c r="H65" s="404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15.75" customHeight="1" x14ac:dyDescent="0.2">
      <c r="A66" s="43"/>
      <c r="B66" s="43"/>
      <c r="C66" s="43"/>
      <c r="D66" s="43"/>
      <c r="E66" s="43"/>
      <c r="F66" s="43"/>
      <c r="G66" s="43"/>
      <c r="H66" s="404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15.75" customHeight="1" x14ac:dyDescent="0.2">
      <c r="A67" s="43"/>
      <c r="B67" s="43"/>
      <c r="C67" s="43"/>
      <c r="D67" s="43"/>
      <c r="E67" s="43"/>
      <c r="F67" s="43"/>
      <c r="G67" s="43"/>
      <c r="H67" s="404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15.75" customHeight="1" x14ac:dyDescent="0.2">
      <c r="A68" s="43"/>
      <c r="B68" s="43"/>
      <c r="C68" s="43"/>
      <c r="D68" s="43"/>
      <c r="E68" s="43"/>
      <c r="F68" s="43"/>
      <c r="G68" s="43"/>
      <c r="H68" s="404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15.75" customHeight="1" x14ac:dyDescent="0.2">
      <c r="A69" s="43"/>
      <c r="B69" s="43"/>
      <c r="C69" s="43"/>
      <c r="D69" s="43"/>
      <c r="E69" s="43"/>
      <c r="F69" s="43"/>
      <c r="G69" s="43"/>
      <c r="H69" s="404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15.75" customHeight="1" x14ac:dyDescent="0.2">
      <c r="A70" s="43"/>
      <c r="B70" s="43"/>
      <c r="C70" s="43"/>
      <c r="D70" s="43"/>
      <c r="E70" s="43"/>
      <c r="F70" s="43"/>
      <c r="G70" s="43"/>
      <c r="H70" s="404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15.75" customHeight="1" x14ac:dyDescent="0.2">
      <c r="A71" s="43"/>
      <c r="B71" s="43"/>
      <c r="C71" s="43"/>
      <c r="D71" s="43"/>
      <c r="E71" s="43"/>
      <c r="F71" s="43"/>
      <c r="G71" s="43"/>
      <c r="H71" s="404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15.75" customHeight="1" x14ac:dyDescent="0.2">
      <c r="A72" s="43"/>
      <c r="B72" s="43"/>
      <c r="C72" s="43"/>
      <c r="D72" s="43"/>
      <c r="E72" s="43"/>
      <c r="F72" s="43"/>
      <c r="G72" s="43"/>
      <c r="H72" s="404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15.75" customHeight="1" x14ac:dyDescent="0.2">
      <c r="A73" s="3"/>
      <c r="B73" s="3"/>
      <c r="C73" s="3"/>
      <c r="D73" s="43"/>
      <c r="E73" s="43"/>
      <c r="F73" s="43"/>
      <c r="G73" s="43"/>
      <c r="H73" s="404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15.75" customHeight="1" x14ac:dyDescent="0.2">
      <c r="A74" s="3"/>
      <c r="B74" s="3"/>
      <c r="C74" s="3"/>
      <c r="D74" s="43"/>
      <c r="E74" s="43"/>
      <c r="F74" s="43"/>
      <c r="G74" s="43"/>
      <c r="H74" s="404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15.75" customHeight="1" x14ac:dyDescent="0.2">
      <c r="A75" s="3"/>
      <c r="B75" s="3"/>
      <c r="C75" s="3"/>
      <c r="D75" s="43"/>
      <c r="E75" s="43"/>
      <c r="F75" s="43"/>
      <c r="G75" s="43"/>
      <c r="H75" s="404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15.75" customHeight="1" x14ac:dyDescent="0.2">
      <c r="A76" s="3"/>
      <c r="B76" s="3"/>
      <c r="C76" s="3"/>
      <c r="D76" s="43"/>
      <c r="E76" s="43"/>
      <c r="F76" s="43"/>
      <c r="G76" s="43"/>
      <c r="H76" s="404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15.75" customHeight="1" x14ac:dyDescent="0.2">
      <c r="A77" s="3"/>
      <c r="B77" s="3"/>
      <c r="C77" s="3"/>
      <c r="D77" s="43"/>
      <c r="E77" s="43"/>
      <c r="F77" s="43"/>
      <c r="G77" s="43"/>
      <c r="H77" s="404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15.75" customHeight="1" x14ac:dyDescent="0.2">
      <c r="A78" s="3"/>
      <c r="B78" s="3"/>
      <c r="C78" s="3"/>
      <c r="D78" s="43"/>
      <c r="E78" s="43"/>
      <c r="F78" s="43"/>
      <c r="G78" s="43"/>
      <c r="H78" s="404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15.75" customHeight="1" x14ac:dyDescent="0.2">
      <c r="A79" s="43"/>
      <c r="B79" s="43"/>
      <c r="C79" s="43"/>
      <c r="D79" s="43"/>
      <c r="E79" s="43"/>
      <c r="F79" s="43"/>
      <c r="G79" s="43"/>
      <c r="H79" s="404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15.75" customHeight="1" x14ac:dyDescent="0.2">
      <c r="A80" s="43"/>
      <c r="B80" s="43"/>
      <c r="C80" s="43"/>
      <c r="D80" s="43"/>
      <c r="E80" s="43"/>
      <c r="F80" s="43"/>
      <c r="G80" s="43"/>
      <c r="H80" s="404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15.75" customHeight="1" x14ac:dyDescent="0.2">
      <c r="A81" s="43"/>
      <c r="B81" s="43"/>
      <c r="C81" s="43"/>
      <c r="D81" s="43"/>
      <c r="E81" s="43"/>
      <c r="F81" s="43"/>
      <c r="G81" s="43"/>
      <c r="H81" s="404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15.75" customHeight="1" x14ac:dyDescent="0.2">
      <c r="A82" s="43"/>
      <c r="B82" s="43"/>
      <c r="C82" s="43"/>
      <c r="D82" s="43"/>
      <c r="E82" s="43"/>
      <c r="F82" s="43"/>
      <c r="G82" s="43"/>
      <c r="H82" s="404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15.75" customHeight="1" x14ac:dyDescent="0.2">
      <c r="A83" s="43"/>
      <c r="B83" s="43"/>
      <c r="C83" s="43"/>
      <c r="D83" s="43"/>
      <c r="E83" s="43"/>
      <c r="F83" s="43"/>
      <c r="G83" s="43"/>
      <c r="H83" s="404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15.75" customHeight="1" x14ac:dyDescent="0.2">
      <c r="A84" s="43"/>
      <c r="B84" s="43"/>
      <c r="C84" s="43"/>
      <c r="D84" s="43"/>
      <c r="E84" s="43"/>
      <c r="F84" s="43"/>
      <c r="G84" s="43"/>
      <c r="H84" s="404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15.75" customHeight="1" x14ac:dyDescent="0.2">
      <c r="A85" s="43"/>
      <c r="B85" s="43"/>
      <c r="C85" s="43"/>
      <c r="D85" s="43"/>
      <c r="E85" s="43"/>
      <c r="F85" s="43"/>
      <c r="G85" s="43"/>
      <c r="H85" s="404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15.75" customHeight="1" x14ac:dyDescent="0.2">
      <c r="A86" s="43"/>
      <c r="B86" s="43"/>
      <c r="C86" s="43"/>
      <c r="D86" s="43"/>
      <c r="E86" s="43"/>
      <c r="F86" s="43"/>
      <c r="G86" s="43"/>
      <c r="H86" s="404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 ht="15.75" customHeight="1" x14ac:dyDescent="0.2">
      <c r="A87" s="43"/>
      <c r="B87" s="43"/>
      <c r="C87" s="43"/>
      <c r="D87" s="43"/>
      <c r="E87" s="43"/>
      <c r="F87" s="43"/>
      <c r="G87" s="43"/>
      <c r="H87" s="404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spans="1:25" ht="15.75" customHeight="1" x14ac:dyDescent="0.2">
      <c r="A88" s="43"/>
      <c r="B88" s="43"/>
      <c r="C88" s="43"/>
      <c r="D88" s="43"/>
      <c r="E88" s="43"/>
      <c r="F88" s="43"/>
      <c r="G88" s="43"/>
      <c r="H88" s="404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spans="1:25" ht="15.75" customHeight="1" x14ac:dyDescent="0.2">
      <c r="A89" s="43"/>
      <c r="B89" s="43"/>
      <c r="C89" s="43"/>
      <c r="D89" s="43"/>
      <c r="E89" s="43"/>
      <c r="F89" s="43"/>
      <c r="G89" s="43"/>
      <c r="H89" s="404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spans="1:25" ht="15.75" customHeight="1" x14ac:dyDescent="0.2">
      <c r="A90" s="43"/>
      <c r="B90" s="43"/>
      <c r="C90" s="43"/>
      <c r="D90" s="43"/>
      <c r="E90" s="43"/>
      <c r="F90" s="43"/>
      <c r="G90" s="43"/>
      <c r="H90" s="404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spans="1:25" ht="15.75" customHeight="1" x14ac:dyDescent="0.2">
      <c r="A91" s="43"/>
      <c r="B91" s="43"/>
      <c r="C91" s="43"/>
      <c r="D91" s="43"/>
      <c r="E91" s="43"/>
      <c r="F91" s="43"/>
      <c r="G91" s="43"/>
      <c r="H91" s="404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spans="1:25" ht="15.75" customHeight="1" x14ac:dyDescent="0.2">
      <c r="A92" s="43"/>
      <c r="B92" s="43"/>
      <c r="C92" s="43"/>
      <c r="D92" s="43"/>
      <c r="E92" s="43"/>
      <c r="F92" s="43"/>
      <c r="G92" s="43"/>
      <c r="H92" s="404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spans="1:25" ht="15.75" customHeight="1" x14ac:dyDescent="0.2">
      <c r="A93" s="43"/>
      <c r="B93" s="43"/>
      <c r="C93" s="43"/>
      <c r="D93" s="43"/>
      <c r="E93" s="43"/>
      <c r="F93" s="43"/>
      <c r="G93" s="43"/>
      <c r="H93" s="404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spans="1:25" ht="15.75" customHeight="1" x14ac:dyDescent="0.2">
      <c r="A94" s="43"/>
      <c r="B94" s="43"/>
      <c r="C94" s="43"/>
      <c r="D94" s="43"/>
      <c r="E94" s="43"/>
      <c r="F94" s="43"/>
      <c r="G94" s="43"/>
      <c r="H94" s="404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spans="1:25" ht="15.75" customHeight="1" x14ac:dyDescent="0.2">
      <c r="A95" s="43"/>
      <c r="B95" s="43"/>
      <c r="C95" s="43"/>
      <c r="D95" s="43"/>
      <c r="E95" s="43"/>
      <c r="F95" s="43"/>
      <c r="G95" s="43"/>
      <c r="H95" s="404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spans="1:25" ht="15.75" customHeight="1" x14ac:dyDescent="0.2">
      <c r="A96" s="43"/>
      <c r="B96" s="43"/>
      <c r="C96" s="43"/>
      <c r="D96" s="43"/>
      <c r="E96" s="43"/>
      <c r="F96" s="43"/>
      <c r="G96" s="43"/>
      <c r="H96" s="404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spans="1:25" ht="15.75" customHeight="1" x14ac:dyDescent="0.2">
      <c r="A97" s="43"/>
      <c r="B97" s="43"/>
      <c r="C97" s="43"/>
      <c r="D97" s="43"/>
      <c r="E97" s="43"/>
      <c r="F97" s="43"/>
      <c r="G97" s="43"/>
      <c r="H97" s="404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spans="1:25" ht="15.75" customHeight="1" x14ac:dyDescent="0.2">
      <c r="A98" s="43"/>
      <c r="B98" s="43"/>
      <c r="C98" s="43"/>
      <c r="D98" s="43"/>
      <c r="E98" s="43"/>
      <c r="F98" s="43"/>
      <c r="G98" s="43"/>
      <c r="H98" s="404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spans="1:25" ht="15.75" customHeight="1" x14ac:dyDescent="0.2">
      <c r="A99" s="43"/>
      <c r="B99" s="43"/>
      <c r="C99" s="43"/>
      <c r="D99" s="43"/>
      <c r="E99" s="43"/>
      <c r="F99" s="43"/>
      <c r="G99" s="43"/>
      <c r="H99" s="404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 ht="15.75" customHeight="1" x14ac:dyDescent="0.2">
      <c r="A100" s="43"/>
      <c r="B100" s="43"/>
      <c r="C100" s="43"/>
      <c r="D100" s="43"/>
      <c r="E100" s="43"/>
      <c r="F100" s="43"/>
      <c r="G100" s="43"/>
      <c r="H100" s="404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 ht="15.75" customHeight="1" x14ac:dyDescent="0.2">
      <c r="A101" s="43"/>
      <c r="B101" s="43"/>
      <c r="C101" s="43"/>
      <c r="D101" s="43"/>
      <c r="E101" s="43"/>
      <c r="F101" s="43"/>
      <c r="G101" s="43"/>
      <c r="H101" s="404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 ht="15.75" customHeight="1" x14ac:dyDescent="0.2">
      <c r="A102" s="43"/>
      <c r="B102" s="43"/>
      <c r="C102" s="43"/>
      <c r="D102" s="43"/>
      <c r="E102" s="43"/>
      <c r="F102" s="43"/>
      <c r="G102" s="43"/>
      <c r="H102" s="404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spans="1:25" ht="15.75" customHeight="1" x14ac:dyDescent="0.2">
      <c r="A103" s="43"/>
      <c r="B103" s="43"/>
      <c r="C103" s="43"/>
      <c r="D103" s="43"/>
      <c r="E103" s="43"/>
      <c r="F103" s="43"/>
      <c r="G103" s="43"/>
      <c r="H103" s="404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spans="1:25" ht="15.75" customHeight="1" x14ac:dyDescent="0.2">
      <c r="A104" s="43"/>
      <c r="B104" s="43"/>
      <c r="C104" s="43"/>
      <c r="D104" s="43"/>
      <c r="E104" s="43"/>
      <c r="F104" s="43"/>
      <c r="G104" s="43"/>
      <c r="H104" s="404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spans="1:25" ht="15.75" customHeight="1" x14ac:dyDescent="0.2">
      <c r="A105" s="43"/>
      <c r="B105" s="43"/>
      <c r="C105" s="43"/>
      <c r="D105" s="43"/>
      <c r="E105" s="43"/>
      <c r="F105" s="43"/>
      <c r="G105" s="43"/>
      <c r="H105" s="404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5" ht="15.75" customHeight="1" x14ac:dyDescent="0.2">
      <c r="A106" s="43"/>
      <c r="B106" s="43"/>
      <c r="C106" s="43"/>
      <c r="D106" s="43"/>
      <c r="E106" s="43"/>
      <c r="F106" s="43"/>
      <c r="G106" s="43"/>
      <c r="H106" s="404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5" ht="15.75" customHeight="1" x14ac:dyDescent="0.2">
      <c r="A107" s="43"/>
      <c r="B107" s="43"/>
      <c r="C107" s="43"/>
      <c r="D107" s="43"/>
      <c r="E107" s="43"/>
      <c r="F107" s="43"/>
      <c r="G107" s="43"/>
      <c r="H107" s="404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spans="1:25" ht="15.75" customHeight="1" x14ac:dyDescent="0.2">
      <c r="A108" s="43"/>
      <c r="B108" s="43"/>
      <c r="C108" s="43"/>
      <c r="D108" s="43"/>
      <c r="E108" s="43"/>
      <c r="F108" s="43"/>
      <c r="G108" s="43"/>
      <c r="H108" s="404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spans="1:25" ht="15.75" customHeight="1" x14ac:dyDescent="0.2">
      <c r="A109" s="43"/>
      <c r="B109" s="43"/>
      <c r="C109" s="43"/>
      <c r="D109" s="43"/>
      <c r="E109" s="43"/>
      <c r="F109" s="43"/>
      <c r="G109" s="43"/>
      <c r="H109" s="404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spans="1:25" ht="15.75" customHeight="1" x14ac:dyDescent="0.2">
      <c r="A110" s="43"/>
      <c r="B110" s="43"/>
      <c r="C110" s="43"/>
      <c r="D110" s="43"/>
      <c r="E110" s="43"/>
      <c r="F110" s="43"/>
      <c r="G110" s="43"/>
      <c r="H110" s="404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spans="1:25" ht="15.75" customHeight="1" x14ac:dyDescent="0.2">
      <c r="A111" s="43"/>
      <c r="B111" s="43"/>
      <c r="C111" s="43"/>
      <c r="D111" s="43"/>
      <c r="E111" s="43"/>
      <c r="F111" s="43"/>
      <c r="G111" s="43"/>
      <c r="H111" s="404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spans="1:25" ht="15.75" customHeight="1" x14ac:dyDescent="0.2">
      <c r="A112" s="43"/>
      <c r="B112" s="43"/>
      <c r="C112" s="43"/>
      <c r="D112" s="43"/>
      <c r="E112" s="43"/>
      <c r="F112" s="43"/>
      <c r="G112" s="43"/>
      <c r="H112" s="404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spans="1:25" ht="15.75" customHeight="1" x14ac:dyDescent="0.2">
      <c r="A113" s="43"/>
      <c r="B113" s="43"/>
      <c r="C113" s="43"/>
      <c r="D113" s="43"/>
      <c r="E113" s="43"/>
      <c r="F113" s="43"/>
      <c r="G113" s="43"/>
      <c r="H113" s="404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spans="1:25" ht="15.75" customHeight="1" x14ac:dyDescent="0.2">
      <c r="A114" s="43"/>
      <c r="B114" s="43"/>
      <c r="C114" s="43"/>
      <c r="D114" s="43"/>
      <c r="E114" s="43"/>
      <c r="F114" s="43"/>
      <c r="G114" s="43"/>
      <c r="H114" s="404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spans="1:25" ht="15.75" customHeight="1" x14ac:dyDescent="0.2">
      <c r="A115" s="43"/>
      <c r="B115" s="43"/>
      <c r="C115" s="43"/>
      <c r="D115" s="43"/>
      <c r="E115" s="43"/>
      <c r="F115" s="43"/>
      <c r="G115" s="43"/>
      <c r="H115" s="404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spans="1:25" ht="15.75" customHeight="1" x14ac:dyDescent="0.2">
      <c r="A116" s="43"/>
      <c r="B116" s="43"/>
      <c r="C116" s="43"/>
      <c r="D116" s="43"/>
      <c r="E116" s="43"/>
      <c r="F116" s="43"/>
      <c r="G116" s="43"/>
      <c r="H116" s="404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spans="1:25" ht="15.75" customHeight="1" x14ac:dyDescent="0.2">
      <c r="A117" s="43"/>
      <c r="B117" s="43"/>
      <c r="C117" s="43"/>
      <c r="D117" s="43"/>
      <c r="E117" s="43"/>
      <c r="F117" s="43"/>
      <c r="G117" s="43"/>
      <c r="H117" s="404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spans="1:25" ht="15.75" customHeight="1" x14ac:dyDescent="0.2">
      <c r="A118" s="43"/>
      <c r="B118" s="43"/>
      <c r="C118" s="43"/>
      <c r="D118" s="43"/>
      <c r="E118" s="43"/>
      <c r="F118" s="43"/>
      <c r="G118" s="43"/>
      <c r="H118" s="404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spans="1:25" ht="15.75" customHeight="1" x14ac:dyDescent="0.2">
      <c r="A119" s="43"/>
      <c r="B119" s="43"/>
      <c r="C119" s="43"/>
      <c r="D119" s="43"/>
      <c r="E119" s="43"/>
      <c r="F119" s="43"/>
      <c r="G119" s="43"/>
      <c r="H119" s="404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spans="1:25" ht="15.75" customHeight="1" x14ac:dyDescent="0.2">
      <c r="A120" s="43"/>
      <c r="B120" s="43"/>
      <c r="C120" s="43"/>
      <c r="D120" s="43"/>
      <c r="E120" s="43"/>
      <c r="F120" s="43"/>
      <c r="G120" s="43"/>
      <c r="H120" s="404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spans="1:25" ht="15.75" customHeight="1" x14ac:dyDescent="0.2">
      <c r="A121" s="43"/>
      <c r="B121" s="43"/>
      <c r="C121" s="43"/>
      <c r="D121" s="43"/>
      <c r="E121" s="43"/>
      <c r="F121" s="43"/>
      <c r="G121" s="43"/>
      <c r="H121" s="404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spans="1:25" ht="15.75" customHeight="1" x14ac:dyDescent="0.2">
      <c r="A122" s="43"/>
      <c r="B122" s="43"/>
      <c r="C122" s="43"/>
      <c r="D122" s="43"/>
      <c r="E122" s="43"/>
      <c r="F122" s="43"/>
      <c r="G122" s="43"/>
      <c r="H122" s="404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 ht="15.75" customHeight="1" x14ac:dyDescent="0.2">
      <c r="A123" s="43"/>
      <c r="B123" s="43"/>
      <c r="C123" s="43"/>
      <c r="D123" s="43"/>
      <c r="E123" s="43"/>
      <c r="F123" s="43"/>
      <c r="G123" s="43"/>
      <c r="H123" s="404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 ht="15.75" customHeight="1" x14ac:dyDescent="0.2">
      <c r="A124" s="43"/>
      <c r="B124" s="43"/>
      <c r="C124" s="43"/>
      <c r="D124" s="43"/>
      <c r="E124" s="43"/>
      <c r="F124" s="43"/>
      <c r="G124" s="43"/>
      <c r="H124" s="404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 ht="15.75" customHeight="1" x14ac:dyDescent="0.2">
      <c r="A125" s="43"/>
      <c r="B125" s="43"/>
      <c r="C125" s="43"/>
      <c r="D125" s="43"/>
      <c r="E125" s="43"/>
      <c r="F125" s="43"/>
      <c r="G125" s="43"/>
      <c r="H125" s="404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 ht="15.75" customHeight="1" x14ac:dyDescent="0.2">
      <c r="A126" s="43"/>
      <c r="B126" s="43"/>
      <c r="C126" s="43"/>
      <c r="D126" s="43"/>
      <c r="E126" s="43"/>
      <c r="F126" s="43"/>
      <c r="G126" s="43"/>
      <c r="H126" s="404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 ht="15.75" customHeight="1" x14ac:dyDescent="0.2">
      <c r="A127" s="43"/>
      <c r="B127" s="43"/>
      <c r="C127" s="43"/>
      <c r="D127" s="43"/>
      <c r="E127" s="43"/>
      <c r="F127" s="43"/>
      <c r="G127" s="43"/>
      <c r="H127" s="404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 ht="15.75" customHeight="1" x14ac:dyDescent="0.2">
      <c r="A128" s="43"/>
      <c r="B128" s="43"/>
      <c r="C128" s="43"/>
      <c r="D128" s="43"/>
      <c r="E128" s="43"/>
      <c r="F128" s="43"/>
      <c r="G128" s="43"/>
      <c r="H128" s="404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 ht="15.75" customHeight="1" x14ac:dyDescent="0.2">
      <c r="A129" s="43"/>
      <c r="B129" s="43"/>
      <c r="C129" s="43"/>
      <c r="D129" s="43"/>
      <c r="E129" s="43"/>
      <c r="F129" s="43"/>
      <c r="G129" s="43"/>
      <c r="H129" s="404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 ht="15.75" customHeight="1" x14ac:dyDescent="0.2">
      <c r="A130" s="43"/>
      <c r="B130" s="43"/>
      <c r="C130" s="43"/>
      <c r="D130" s="43"/>
      <c r="E130" s="43"/>
      <c r="F130" s="43"/>
      <c r="G130" s="43"/>
      <c r="H130" s="404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spans="1:25" ht="15.75" customHeight="1" x14ac:dyDescent="0.2">
      <c r="A131" s="43"/>
      <c r="B131" s="43"/>
      <c r="C131" s="43"/>
      <c r="D131" s="43"/>
      <c r="E131" s="43"/>
      <c r="F131" s="43"/>
      <c r="G131" s="43"/>
      <c r="H131" s="404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 ht="15.75" customHeight="1" x14ac:dyDescent="0.2">
      <c r="A132" s="43"/>
      <c r="B132" s="43"/>
      <c r="C132" s="43"/>
      <c r="D132" s="43"/>
      <c r="E132" s="43"/>
      <c r="F132" s="43"/>
      <c r="G132" s="43"/>
      <c r="H132" s="404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 ht="15.75" customHeight="1" x14ac:dyDescent="0.2">
      <c r="A133" s="43"/>
      <c r="B133" s="43"/>
      <c r="C133" s="43"/>
      <c r="D133" s="43"/>
      <c r="E133" s="43"/>
      <c r="F133" s="43"/>
      <c r="G133" s="43"/>
      <c r="H133" s="404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 ht="15.75" customHeight="1" x14ac:dyDescent="0.2">
      <c r="A134" s="43"/>
      <c r="B134" s="43"/>
      <c r="C134" s="43"/>
      <c r="D134" s="43"/>
      <c r="E134" s="43"/>
      <c r="F134" s="43"/>
      <c r="G134" s="43"/>
      <c r="H134" s="404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spans="1:25" ht="15.75" customHeight="1" x14ac:dyDescent="0.2">
      <c r="A135" s="43"/>
      <c r="B135" s="43"/>
      <c r="C135" s="43"/>
      <c r="D135" s="43"/>
      <c r="E135" s="43"/>
      <c r="F135" s="43"/>
      <c r="G135" s="43"/>
      <c r="H135" s="404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spans="1:25" ht="15.75" customHeight="1" x14ac:dyDescent="0.2">
      <c r="A136" s="43"/>
      <c r="B136" s="43"/>
      <c r="C136" s="43"/>
      <c r="D136" s="43"/>
      <c r="E136" s="43"/>
      <c r="F136" s="43"/>
      <c r="G136" s="43"/>
      <c r="H136" s="404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spans="1:25" ht="15.75" customHeight="1" x14ac:dyDescent="0.2">
      <c r="A137" s="43"/>
      <c r="B137" s="43"/>
      <c r="C137" s="43"/>
      <c r="D137" s="43"/>
      <c r="E137" s="43"/>
      <c r="F137" s="43"/>
      <c r="G137" s="43"/>
      <c r="H137" s="404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spans="1:25" ht="15.75" customHeight="1" x14ac:dyDescent="0.2">
      <c r="A138" s="43"/>
      <c r="B138" s="43"/>
      <c r="C138" s="43"/>
      <c r="D138" s="43"/>
      <c r="E138" s="43"/>
      <c r="F138" s="43"/>
      <c r="G138" s="43"/>
      <c r="H138" s="404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spans="1:25" ht="15.75" customHeight="1" x14ac:dyDescent="0.2">
      <c r="A139" s="43"/>
      <c r="B139" s="43"/>
      <c r="C139" s="43"/>
      <c r="D139" s="43"/>
      <c r="E139" s="43"/>
      <c r="F139" s="43"/>
      <c r="G139" s="43"/>
      <c r="H139" s="404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spans="1:25" ht="15.75" customHeight="1" x14ac:dyDescent="0.2">
      <c r="A140" s="43"/>
      <c r="B140" s="43"/>
      <c r="C140" s="43"/>
      <c r="D140" s="43"/>
      <c r="E140" s="43"/>
      <c r="F140" s="43"/>
      <c r="G140" s="43"/>
      <c r="H140" s="404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spans="1:25" ht="15.75" customHeight="1" x14ac:dyDescent="0.2">
      <c r="A141" s="43"/>
      <c r="B141" s="43"/>
      <c r="C141" s="43"/>
      <c r="D141" s="43"/>
      <c r="E141" s="43"/>
      <c r="F141" s="43"/>
      <c r="G141" s="43"/>
      <c r="H141" s="404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spans="1:25" ht="15.75" customHeight="1" x14ac:dyDescent="0.2">
      <c r="A142" s="43"/>
      <c r="B142" s="43"/>
      <c r="C142" s="43"/>
      <c r="D142" s="43"/>
      <c r="E142" s="43"/>
      <c r="F142" s="43"/>
      <c r="G142" s="43"/>
      <c r="H142" s="404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spans="1:25" ht="15.75" customHeight="1" x14ac:dyDescent="0.2">
      <c r="A143" s="43"/>
      <c r="B143" s="43"/>
      <c r="C143" s="43"/>
      <c r="D143" s="43"/>
      <c r="E143" s="43"/>
      <c r="F143" s="43"/>
      <c r="G143" s="43"/>
      <c r="H143" s="404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spans="1:25" ht="15.75" customHeight="1" x14ac:dyDescent="0.2">
      <c r="A144" s="43"/>
      <c r="B144" s="43"/>
      <c r="C144" s="43"/>
      <c r="D144" s="43"/>
      <c r="E144" s="43"/>
      <c r="F144" s="43"/>
      <c r="G144" s="43"/>
      <c r="H144" s="404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spans="1:25" ht="15.75" customHeight="1" x14ac:dyDescent="0.2">
      <c r="A145" s="43"/>
      <c r="B145" s="43"/>
      <c r="C145" s="43"/>
      <c r="D145" s="43"/>
      <c r="E145" s="43"/>
      <c r="F145" s="43"/>
      <c r="G145" s="43"/>
      <c r="H145" s="404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spans="1:25" ht="15.75" customHeight="1" x14ac:dyDescent="0.2">
      <c r="A146" s="43"/>
      <c r="B146" s="43"/>
      <c r="C146" s="43"/>
      <c r="D146" s="43"/>
      <c r="E146" s="43"/>
      <c r="F146" s="43"/>
      <c r="G146" s="43"/>
      <c r="H146" s="404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spans="1:25" ht="15.75" customHeight="1" x14ac:dyDescent="0.2">
      <c r="A147" s="43"/>
      <c r="B147" s="43"/>
      <c r="C147" s="43"/>
      <c r="D147" s="43"/>
      <c r="E147" s="43"/>
      <c r="F147" s="43"/>
      <c r="G147" s="43"/>
      <c r="H147" s="404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spans="1:25" ht="15.75" customHeight="1" x14ac:dyDescent="0.2">
      <c r="A148" s="43"/>
      <c r="B148" s="43"/>
      <c r="C148" s="43"/>
      <c r="D148" s="43"/>
      <c r="E148" s="43"/>
      <c r="F148" s="43"/>
      <c r="G148" s="43"/>
      <c r="H148" s="404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spans="1:25" ht="15.75" customHeight="1" x14ac:dyDescent="0.2">
      <c r="A149" s="43"/>
      <c r="B149" s="43"/>
      <c r="C149" s="43"/>
      <c r="D149" s="43"/>
      <c r="E149" s="43"/>
      <c r="F149" s="43"/>
      <c r="G149" s="43"/>
      <c r="H149" s="404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spans="1:25" ht="15.75" customHeight="1" x14ac:dyDescent="0.2">
      <c r="A150" s="43"/>
      <c r="B150" s="43"/>
      <c r="C150" s="43"/>
      <c r="D150" s="43"/>
      <c r="E150" s="43"/>
      <c r="F150" s="43"/>
      <c r="G150" s="43"/>
      <c r="H150" s="404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spans="1:25" ht="15.75" customHeight="1" x14ac:dyDescent="0.2">
      <c r="A151" s="43"/>
      <c r="B151" s="43"/>
      <c r="C151" s="43"/>
      <c r="D151" s="43"/>
      <c r="E151" s="43"/>
      <c r="F151" s="43"/>
      <c r="G151" s="43"/>
      <c r="H151" s="404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spans="1:25" ht="15.75" customHeight="1" x14ac:dyDescent="0.2">
      <c r="A152" s="43"/>
      <c r="B152" s="43"/>
      <c r="C152" s="43"/>
      <c r="D152" s="43"/>
      <c r="E152" s="43"/>
      <c r="F152" s="43"/>
      <c r="G152" s="43"/>
      <c r="H152" s="404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spans="1:25" ht="15.75" customHeight="1" x14ac:dyDescent="0.2">
      <c r="A153" s="43"/>
      <c r="B153" s="43"/>
      <c r="C153" s="43"/>
      <c r="D153" s="43"/>
      <c r="E153" s="43"/>
      <c r="F153" s="43"/>
      <c r="G153" s="43"/>
      <c r="H153" s="404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spans="1:25" ht="15.75" customHeight="1" x14ac:dyDescent="0.2">
      <c r="A154" s="43"/>
      <c r="B154" s="43"/>
      <c r="C154" s="43"/>
      <c r="D154" s="43"/>
      <c r="E154" s="43"/>
      <c r="F154" s="43"/>
      <c r="G154" s="43"/>
      <c r="H154" s="404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spans="1:25" ht="15.75" customHeight="1" x14ac:dyDescent="0.2">
      <c r="A155" s="43"/>
      <c r="B155" s="43"/>
      <c r="C155" s="43"/>
      <c r="D155" s="43"/>
      <c r="E155" s="43"/>
      <c r="F155" s="43"/>
      <c r="G155" s="43"/>
      <c r="H155" s="404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spans="1:25" ht="15.75" customHeight="1" x14ac:dyDescent="0.2">
      <c r="A156" s="43"/>
      <c r="B156" s="43"/>
      <c r="C156" s="43"/>
      <c r="D156" s="43"/>
      <c r="E156" s="43"/>
      <c r="F156" s="43"/>
      <c r="G156" s="43"/>
      <c r="H156" s="404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spans="1:25" ht="15.75" customHeight="1" x14ac:dyDescent="0.2">
      <c r="A157" s="43"/>
      <c r="B157" s="43"/>
      <c r="C157" s="43"/>
      <c r="D157" s="43"/>
      <c r="E157" s="43"/>
      <c r="F157" s="43"/>
      <c r="G157" s="43"/>
      <c r="H157" s="404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spans="1:25" ht="15.75" customHeight="1" x14ac:dyDescent="0.2">
      <c r="A158" s="43"/>
      <c r="B158" s="43"/>
      <c r="C158" s="43"/>
      <c r="D158" s="43"/>
      <c r="E158" s="43"/>
      <c r="F158" s="43"/>
      <c r="G158" s="43"/>
      <c r="H158" s="404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spans="1:25" ht="15.75" customHeight="1" x14ac:dyDescent="0.2">
      <c r="A159" s="43"/>
      <c r="B159" s="43"/>
      <c r="C159" s="43"/>
      <c r="D159" s="43"/>
      <c r="E159" s="43"/>
      <c r="F159" s="43"/>
      <c r="G159" s="43"/>
      <c r="H159" s="404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spans="1:25" ht="15.75" customHeight="1" x14ac:dyDescent="0.2">
      <c r="A160" s="43"/>
      <c r="B160" s="43"/>
      <c r="C160" s="43"/>
      <c r="D160" s="43"/>
      <c r="E160" s="43"/>
      <c r="F160" s="43"/>
      <c r="G160" s="43"/>
      <c r="H160" s="404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spans="1:25" ht="15.75" customHeight="1" x14ac:dyDescent="0.2">
      <c r="A161" s="43"/>
      <c r="B161" s="43"/>
      <c r="C161" s="43"/>
      <c r="D161" s="43"/>
      <c r="E161" s="43"/>
      <c r="F161" s="43"/>
      <c r="G161" s="43"/>
      <c r="H161" s="404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spans="1:25" ht="15.75" customHeight="1" x14ac:dyDescent="0.2">
      <c r="A162" s="43"/>
      <c r="B162" s="43"/>
      <c r="C162" s="43"/>
      <c r="D162" s="43"/>
      <c r="E162" s="43"/>
      <c r="F162" s="43"/>
      <c r="G162" s="43"/>
      <c r="H162" s="404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spans="1:25" ht="15.75" customHeight="1" x14ac:dyDescent="0.2">
      <c r="A163" s="43"/>
      <c r="B163" s="43"/>
      <c r="C163" s="43"/>
      <c r="D163" s="43"/>
      <c r="E163" s="43"/>
      <c r="F163" s="43"/>
      <c r="G163" s="43"/>
      <c r="H163" s="404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spans="1:25" ht="15.75" customHeight="1" x14ac:dyDescent="0.2">
      <c r="A164" s="43"/>
      <c r="B164" s="43"/>
      <c r="C164" s="43"/>
      <c r="D164" s="43"/>
      <c r="E164" s="43"/>
      <c r="F164" s="43"/>
      <c r="G164" s="43"/>
      <c r="H164" s="404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spans="1:25" ht="15.75" customHeight="1" x14ac:dyDescent="0.2">
      <c r="A165" s="43"/>
      <c r="B165" s="43"/>
      <c r="C165" s="43"/>
      <c r="D165" s="43"/>
      <c r="E165" s="43"/>
      <c r="F165" s="43"/>
      <c r="G165" s="43"/>
      <c r="H165" s="404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spans="1:25" ht="15.75" customHeight="1" x14ac:dyDescent="0.2">
      <c r="A166" s="43"/>
      <c r="B166" s="43"/>
      <c r="C166" s="43"/>
      <c r="D166" s="43"/>
      <c r="E166" s="43"/>
      <c r="F166" s="43"/>
      <c r="G166" s="43"/>
      <c r="H166" s="404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spans="1:25" ht="15.75" customHeight="1" x14ac:dyDescent="0.2">
      <c r="A167" s="43"/>
      <c r="B167" s="43"/>
      <c r="C167" s="43"/>
      <c r="D167" s="43"/>
      <c r="E167" s="43"/>
      <c r="F167" s="43"/>
      <c r="G167" s="43"/>
      <c r="H167" s="404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spans="1:25" ht="15.75" customHeight="1" x14ac:dyDescent="0.2">
      <c r="A168" s="43"/>
      <c r="B168" s="43"/>
      <c r="C168" s="43"/>
      <c r="D168" s="43"/>
      <c r="E168" s="43"/>
      <c r="F168" s="43"/>
      <c r="G168" s="43"/>
      <c r="H168" s="404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spans="1:25" ht="15.75" customHeight="1" x14ac:dyDescent="0.2">
      <c r="A169" s="43"/>
      <c r="B169" s="43"/>
      <c r="C169" s="43"/>
      <c r="D169" s="43"/>
      <c r="E169" s="43"/>
      <c r="F169" s="43"/>
      <c r="G169" s="43"/>
      <c r="H169" s="404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spans="1:25" ht="15.75" customHeight="1" x14ac:dyDescent="0.2">
      <c r="A170" s="43"/>
      <c r="B170" s="43"/>
      <c r="C170" s="43"/>
      <c r="D170" s="43"/>
      <c r="E170" s="43"/>
      <c r="F170" s="43"/>
      <c r="G170" s="43"/>
      <c r="H170" s="404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spans="1:25" ht="15.75" customHeight="1" x14ac:dyDescent="0.2">
      <c r="A171" s="43"/>
      <c r="B171" s="43"/>
      <c r="C171" s="43"/>
      <c r="D171" s="43"/>
      <c r="E171" s="43"/>
      <c r="F171" s="43"/>
      <c r="G171" s="43"/>
      <c r="H171" s="404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spans="1:25" ht="15.75" customHeight="1" x14ac:dyDescent="0.2">
      <c r="A172" s="43"/>
      <c r="B172" s="43"/>
      <c r="C172" s="43"/>
      <c r="D172" s="43"/>
      <c r="E172" s="43"/>
      <c r="F172" s="43"/>
      <c r="G172" s="43"/>
      <c r="H172" s="404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spans="1:25" ht="15.75" customHeight="1" x14ac:dyDescent="0.2">
      <c r="A173" s="43"/>
      <c r="B173" s="43"/>
      <c r="C173" s="43"/>
      <c r="D173" s="43"/>
      <c r="E173" s="43"/>
      <c r="F173" s="43"/>
      <c r="G173" s="43"/>
      <c r="H173" s="404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spans="1:25" ht="15.75" customHeight="1" x14ac:dyDescent="0.2">
      <c r="A174" s="43"/>
      <c r="B174" s="43"/>
      <c r="C174" s="43"/>
      <c r="D174" s="43"/>
      <c r="E174" s="43"/>
      <c r="F174" s="43"/>
      <c r="G174" s="43"/>
      <c r="H174" s="404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spans="1:25" ht="15.75" customHeight="1" x14ac:dyDescent="0.2">
      <c r="A175" s="43"/>
      <c r="B175" s="43"/>
      <c r="C175" s="43"/>
      <c r="D175" s="43"/>
      <c r="E175" s="43"/>
      <c r="F175" s="43"/>
      <c r="G175" s="43"/>
      <c r="H175" s="404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spans="1:25" ht="15.75" customHeight="1" x14ac:dyDescent="0.2">
      <c r="A176" s="43"/>
      <c r="B176" s="43"/>
      <c r="C176" s="43"/>
      <c r="D176" s="43"/>
      <c r="E176" s="43"/>
      <c r="F176" s="43"/>
      <c r="G176" s="43"/>
      <c r="H176" s="404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spans="1:25" ht="15.75" customHeight="1" x14ac:dyDescent="0.2">
      <c r="A177" s="43"/>
      <c r="B177" s="43"/>
      <c r="C177" s="43"/>
      <c r="D177" s="43"/>
      <c r="E177" s="43"/>
      <c r="F177" s="43"/>
      <c r="G177" s="43"/>
      <c r="H177" s="404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spans="1:25" ht="15.75" customHeight="1" x14ac:dyDescent="0.2">
      <c r="A178" s="43"/>
      <c r="B178" s="43"/>
      <c r="C178" s="43"/>
      <c r="D178" s="43"/>
      <c r="E178" s="43"/>
      <c r="F178" s="43"/>
      <c r="G178" s="43"/>
      <c r="H178" s="404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spans="1:25" ht="15.75" customHeight="1" x14ac:dyDescent="0.2">
      <c r="A179" s="43"/>
      <c r="B179" s="43"/>
      <c r="C179" s="43"/>
      <c r="D179" s="43"/>
      <c r="E179" s="43"/>
      <c r="F179" s="43"/>
      <c r="G179" s="43"/>
      <c r="H179" s="404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spans="1:25" ht="15.75" customHeight="1" x14ac:dyDescent="0.2">
      <c r="A180" s="43"/>
      <c r="B180" s="43"/>
      <c r="C180" s="43"/>
      <c r="D180" s="43"/>
      <c r="E180" s="43"/>
      <c r="F180" s="43"/>
      <c r="G180" s="43"/>
      <c r="H180" s="404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spans="1:25" ht="15.75" customHeight="1" x14ac:dyDescent="0.2">
      <c r="A181" s="43"/>
      <c r="B181" s="43"/>
      <c r="C181" s="43"/>
      <c r="D181" s="43"/>
      <c r="E181" s="43"/>
      <c r="F181" s="43"/>
      <c r="G181" s="43"/>
      <c r="H181" s="404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spans="1:25" ht="15.75" customHeight="1" x14ac:dyDescent="0.2">
      <c r="A182" s="43"/>
      <c r="B182" s="43"/>
      <c r="C182" s="43"/>
      <c r="D182" s="43"/>
      <c r="E182" s="43"/>
      <c r="F182" s="43"/>
      <c r="G182" s="43"/>
      <c r="H182" s="404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spans="1:25" ht="15.75" customHeight="1" x14ac:dyDescent="0.2">
      <c r="A183" s="43"/>
      <c r="B183" s="43"/>
      <c r="C183" s="43"/>
      <c r="D183" s="43"/>
      <c r="E183" s="43"/>
      <c r="F183" s="43"/>
      <c r="G183" s="43"/>
      <c r="H183" s="404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spans="1:25" ht="15.75" customHeight="1" x14ac:dyDescent="0.2">
      <c r="A184" s="43"/>
      <c r="B184" s="43"/>
      <c r="C184" s="43"/>
      <c r="D184" s="43"/>
      <c r="E184" s="43"/>
      <c r="F184" s="43"/>
      <c r="G184" s="43"/>
      <c r="H184" s="404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spans="1:25" ht="15.75" customHeight="1" x14ac:dyDescent="0.2">
      <c r="A185" s="43"/>
      <c r="B185" s="43"/>
      <c r="C185" s="43"/>
      <c r="D185" s="43"/>
      <c r="E185" s="43"/>
      <c r="F185" s="43"/>
      <c r="G185" s="43"/>
      <c r="H185" s="404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spans="1:25" ht="15.75" customHeight="1" x14ac:dyDescent="0.2">
      <c r="A186" s="43"/>
      <c r="B186" s="43"/>
      <c r="C186" s="43"/>
      <c r="D186" s="43"/>
      <c r="E186" s="43"/>
      <c r="F186" s="43"/>
      <c r="G186" s="43"/>
      <c r="H186" s="404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spans="1:25" ht="15.75" customHeight="1" x14ac:dyDescent="0.2">
      <c r="A187" s="43"/>
      <c r="B187" s="43"/>
      <c r="C187" s="43"/>
      <c r="D187" s="43"/>
      <c r="E187" s="43"/>
      <c r="F187" s="43"/>
      <c r="G187" s="43"/>
      <c r="H187" s="404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spans="1:25" ht="15.75" customHeight="1" x14ac:dyDescent="0.2">
      <c r="A188" s="43"/>
      <c r="B188" s="43"/>
      <c r="C188" s="43"/>
      <c r="D188" s="43"/>
      <c r="E188" s="43"/>
      <c r="F188" s="43"/>
      <c r="G188" s="43"/>
      <c r="H188" s="404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spans="1:25" ht="15.75" customHeight="1" x14ac:dyDescent="0.2">
      <c r="A189" s="43"/>
      <c r="B189" s="43"/>
      <c r="C189" s="43"/>
      <c r="D189" s="43"/>
      <c r="E189" s="43"/>
      <c r="F189" s="43"/>
      <c r="G189" s="43"/>
      <c r="H189" s="404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spans="1:25" ht="15.75" customHeight="1" x14ac:dyDescent="0.2">
      <c r="A190" s="43"/>
      <c r="B190" s="43"/>
      <c r="C190" s="43"/>
      <c r="D190" s="43"/>
      <c r="E190" s="43"/>
      <c r="F190" s="43"/>
      <c r="G190" s="43"/>
      <c r="H190" s="404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spans="1:25" ht="15.75" customHeight="1" x14ac:dyDescent="0.2">
      <c r="A191" s="43"/>
      <c r="B191" s="43"/>
      <c r="C191" s="43"/>
      <c r="D191" s="43"/>
      <c r="E191" s="43"/>
      <c r="F191" s="43"/>
      <c r="G191" s="43"/>
      <c r="H191" s="404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spans="1:25" ht="15.75" customHeight="1" x14ac:dyDescent="0.2">
      <c r="A192" s="43"/>
      <c r="B192" s="43"/>
      <c r="C192" s="43"/>
      <c r="D192" s="43"/>
      <c r="E192" s="43"/>
      <c r="F192" s="43"/>
      <c r="G192" s="43"/>
      <c r="H192" s="404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spans="1:25" ht="15.75" customHeight="1" x14ac:dyDescent="0.2">
      <c r="A193" s="43"/>
      <c r="B193" s="43"/>
      <c r="C193" s="43"/>
      <c r="D193" s="43"/>
      <c r="E193" s="43"/>
      <c r="F193" s="43"/>
      <c r="G193" s="43"/>
      <c r="H193" s="404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spans="1:25" ht="15.75" customHeight="1" x14ac:dyDescent="0.2">
      <c r="A194" s="43"/>
      <c r="B194" s="43"/>
      <c r="C194" s="43"/>
      <c r="D194" s="43"/>
      <c r="E194" s="43"/>
      <c r="F194" s="43"/>
      <c r="G194" s="43"/>
      <c r="H194" s="404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spans="1:25" ht="15.75" customHeight="1" x14ac:dyDescent="0.2">
      <c r="A195" s="43"/>
      <c r="B195" s="43"/>
      <c r="C195" s="43"/>
      <c r="D195" s="43"/>
      <c r="E195" s="43"/>
      <c r="F195" s="43"/>
      <c r="G195" s="43"/>
      <c r="H195" s="404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spans="1:25" ht="15.75" customHeight="1" x14ac:dyDescent="0.2">
      <c r="A196" s="43"/>
      <c r="B196" s="43"/>
      <c r="C196" s="43"/>
      <c r="D196" s="43"/>
      <c r="E196" s="43"/>
      <c r="F196" s="43"/>
      <c r="G196" s="43"/>
      <c r="H196" s="404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 spans="1:25" ht="15.75" customHeight="1" x14ac:dyDescent="0.2">
      <c r="A197" s="43"/>
      <c r="B197" s="43"/>
      <c r="C197" s="43"/>
      <c r="D197" s="43"/>
      <c r="E197" s="43"/>
      <c r="F197" s="43"/>
      <c r="G197" s="43"/>
      <c r="H197" s="404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 spans="1:25" ht="15.75" customHeight="1" x14ac:dyDescent="0.2">
      <c r="A198" s="43"/>
      <c r="B198" s="43"/>
      <c r="C198" s="43"/>
      <c r="D198" s="43"/>
      <c r="E198" s="43"/>
      <c r="F198" s="43"/>
      <c r="G198" s="43"/>
      <c r="H198" s="404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 spans="1:25" ht="15.75" customHeight="1" x14ac:dyDescent="0.2">
      <c r="A199" s="43"/>
      <c r="B199" s="43"/>
      <c r="C199" s="43"/>
      <c r="D199" s="43"/>
      <c r="E199" s="43"/>
      <c r="F199" s="43"/>
      <c r="G199" s="43"/>
      <c r="H199" s="404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 spans="1:25" ht="15.75" customHeight="1" x14ac:dyDescent="0.2">
      <c r="A200" s="43"/>
      <c r="B200" s="43"/>
      <c r="C200" s="43"/>
      <c r="D200" s="43"/>
      <c r="E200" s="43"/>
      <c r="F200" s="43"/>
      <c r="G200" s="43"/>
      <c r="H200" s="404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 spans="1:25" ht="15.75" customHeight="1" x14ac:dyDescent="0.2">
      <c r="A201" s="43"/>
      <c r="B201" s="43"/>
      <c r="C201" s="43"/>
      <c r="D201" s="43"/>
      <c r="E201" s="43"/>
      <c r="F201" s="43"/>
      <c r="G201" s="43"/>
      <c r="H201" s="404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</row>
    <row r="202" spans="1:25" ht="15.75" customHeight="1" x14ac:dyDescent="0.2">
      <c r="A202" s="43"/>
      <c r="B202" s="43"/>
      <c r="C202" s="43"/>
      <c r="D202" s="43"/>
      <c r="E202" s="43"/>
      <c r="F202" s="43"/>
      <c r="G202" s="43"/>
      <c r="H202" s="404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</row>
    <row r="203" spans="1:25" ht="15.75" customHeight="1" x14ac:dyDescent="0.2">
      <c r="A203" s="43"/>
      <c r="B203" s="43"/>
      <c r="C203" s="43"/>
      <c r="D203" s="43"/>
      <c r="E203" s="43"/>
      <c r="F203" s="43"/>
      <c r="G203" s="43"/>
      <c r="H203" s="404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</row>
    <row r="204" spans="1:25" ht="15.75" customHeight="1" x14ac:dyDescent="0.2">
      <c r="A204" s="43"/>
      <c r="B204" s="43"/>
      <c r="C204" s="43"/>
      <c r="D204" s="43"/>
      <c r="E204" s="43"/>
      <c r="F204" s="43"/>
      <c r="G204" s="43"/>
      <c r="H204" s="404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</row>
    <row r="205" spans="1:25" ht="15.75" customHeight="1" x14ac:dyDescent="0.2">
      <c r="A205" s="43"/>
      <c r="B205" s="43"/>
      <c r="C205" s="43"/>
      <c r="D205" s="43"/>
      <c r="E205" s="43"/>
      <c r="F205" s="43"/>
      <c r="G205" s="43"/>
      <c r="H205" s="404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</row>
    <row r="206" spans="1:25" ht="15.75" customHeight="1" x14ac:dyDescent="0.2">
      <c r="A206" s="43"/>
      <c r="B206" s="43"/>
      <c r="C206" s="43"/>
      <c r="D206" s="43"/>
      <c r="E206" s="43"/>
      <c r="F206" s="43"/>
      <c r="G206" s="43"/>
      <c r="H206" s="404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</row>
    <row r="207" spans="1:25" ht="15.75" customHeight="1" x14ac:dyDescent="0.2">
      <c r="A207" s="43"/>
      <c r="B207" s="43"/>
      <c r="C207" s="43"/>
      <c r="D207" s="43"/>
      <c r="E207" s="43"/>
      <c r="F207" s="43"/>
      <c r="G207" s="43"/>
      <c r="H207" s="404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</row>
    <row r="208" spans="1:25" ht="15.75" customHeight="1" x14ac:dyDescent="0.2">
      <c r="A208" s="43"/>
      <c r="B208" s="43"/>
      <c r="C208" s="43"/>
      <c r="D208" s="43"/>
      <c r="E208" s="43"/>
      <c r="F208" s="43"/>
      <c r="G208" s="43"/>
      <c r="H208" s="404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</row>
    <row r="209" spans="1:25" ht="15.75" customHeight="1" x14ac:dyDescent="0.2">
      <c r="A209" s="43"/>
      <c r="B209" s="43"/>
      <c r="C209" s="43"/>
      <c r="D209" s="43"/>
      <c r="E209" s="43"/>
      <c r="F209" s="43"/>
      <c r="G209" s="43"/>
      <c r="H209" s="404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</row>
    <row r="210" spans="1:25" ht="15.75" customHeight="1" x14ac:dyDescent="0.2">
      <c r="A210" s="43"/>
      <c r="B210" s="43"/>
      <c r="C210" s="43"/>
      <c r="D210" s="43"/>
      <c r="E210" s="43"/>
      <c r="F210" s="43"/>
      <c r="G210" s="43"/>
      <c r="H210" s="404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</row>
    <row r="211" spans="1:25" ht="15.75" customHeight="1" x14ac:dyDescent="0.2">
      <c r="A211" s="43"/>
      <c r="B211" s="43"/>
      <c r="C211" s="43"/>
      <c r="D211" s="43"/>
      <c r="E211" s="43"/>
      <c r="F211" s="43"/>
      <c r="G211" s="43"/>
      <c r="H211" s="404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</row>
    <row r="212" spans="1:25" ht="15.75" customHeight="1" x14ac:dyDescent="0.2">
      <c r="A212" s="43"/>
      <c r="B212" s="43"/>
      <c r="C212" s="43"/>
      <c r="D212" s="43"/>
      <c r="E212" s="43"/>
      <c r="F212" s="43"/>
      <c r="G212" s="43"/>
      <c r="H212" s="404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</row>
    <row r="213" spans="1:25" ht="15.75" customHeight="1" x14ac:dyDescent="0.2">
      <c r="A213" s="43"/>
      <c r="B213" s="43"/>
      <c r="C213" s="43"/>
      <c r="D213" s="43"/>
      <c r="E213" s="43"/>
      <c r="F213" s="43"/>
      <c r="G213" s="43"/>
      <c r="H213" s="404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</row>
    <row r="214" spans="1:25" ht="15.75" customHeight="1" x14ac:dyDescent="0.2">
      <c r="A214" s="43"/>
      <c r="B214" s="43"/>
      <c r="C214" s="43"/>
      <c r="D214" s="43"/>
      <c r="E214" s="43"/>
      <c r="F214" s="43"/>
      <c r="G214" s="43"/>
      <c r="H214" s="404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</row>
    <row r="215" spans="1:25" ht="15.75" customHeight="1" x14ac:dyDescent="0.2">
      <c r="A215" s="43"/>
      <c r="B215" s="43"/>
      <c r="C215" s="43"/>
      <c r="D215" s="43"/>
      <c r="E215" s="43"/>
      <c r="F215" s="43"/>
      <c r="G215" s="43"/>
      <c r="H215" s="404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</row>
    <row r="216" spans="1:25" ht="15.75" customHeight="1" x14ac:dyDescent="0.2">
      <c r="A216" s="43"/>
      <c r="B216" s="43"/>
      <c r="C216" s="43"/>
      <c r="D216" s="43"/>
      <c r="E216" s="43"/>
      <c r="F216" s="43"/>
      <c r="G216" s="43"/>
      <c r="H216" s="404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</row>
    <row r="217" spans="1:25" ht="15.75" customHeight="1" x14ac:dyDescent="0.2">
      <c r="A217" s="43"/>
      <c r="B217" s="43"/>
      <c r="C217" s="43"/>
      <c r="D217" s="43"/>
      <c r="E217" s="43"/>
      <c r="F217" s="43"/>
      <c r="G217" s="43"/>
      <c r="H217" s="404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</row>
    <row r="218" spans="1:25" ht="15.75" customHeight="1" x14ac:dyDescent="0.2">
      <c r="A218" s="43"/>
      <c r="B218" s="43"/>
      <c r="C218" s="43"/>
      <c r="D218" s="43"/>
      <c r="E218" s="43"/>
      <c r="F218" s="43"/>
      <c r="G218" s="43"/>
      <c r="H218" s="404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</row>
    <row r="219" spans="1:25" ht="15.75" customHeight="1" x14ac:dyDescent="0.2">
      <c r="A219" s="43"/>
      <c r="B219" s="43"/>
      <c r="C219" s="43"/>
      <c r="D219" s="43"/>
      <c r="E219" s="43"/>
      <c r="F219" s="43"/>
      <c r="G219" s="43"/>
      <c r="H219" s="404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</row>
    <row r="220" spans="1:25" ht="15.75" customHeight="1" x14ac:dyDescent="0.2">
      <c r="A220" s="43"/>
      <c r="B220" s="43"/>
      <c r="C220" s="43"/>
      <c r="D220" s="43"/>
      <c r="E220" s="43"/>
      <c r="F220" s="43"/>
      <c r="G220" s="43"/>
      <c r="H220" s="404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</row>
    <row r="221" spans="1:25" ht="15.75" customHeight="1" x14ac:dyDescent="0.2">
      <c r="A221" s="43"/>
      <c r="B221" s="43"/>
      <c r="C221" s="43"/>
      <c r="D221" s="43"/>
      <c r="E221" s="43"/>
      <c r="F221" s="43"/>
      <c r="G221" s="43"/>
      <c r="H221" s="404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</row>
    <row r="222" spans="1:25" ht="15.75" customHeight="1" x14ac:dyDescent="0.2">
      <c r="A222" s="43"/>
      <c r="B222" s="43"/>
      <c r="C222" s="43"/>
      <c r="D222" s="43"/>
      <c r="E222" s="43"/>
      <c r="F222" s="43"/>
      <c r="G222" s="43"/>
      <c r="H222" s="404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</row>
    <row r="223" spans="1:25" ht="15.75" customHeight="1" x14ac:dyDescent="0.2">
      <c r="A223" s="43"/>
      <c r="B223" s="43"/>
      <c r="C223" s="43"/>
      <c r="D223" s="43"/>
      <c r="E223" s="43"/>
      <c r="F223" s="43"/>
      <c r="G223" s="43"/>
      <c r="H223" s="404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</row>
    <row r="224" spans="1:25" ht="15.75" customHeight="1" x14ac:dyDescent="0.2">
      <c r="A224" s="43"/>
      <c r="B224" s="43"/>
      <c r="C224" s="43"/>
      <c r="D224" s="43"/>
      <c r="E224" s="43"/>
      <c r="F224" s="43"/>
      <c r="G224" s="43"/>
      <c r="H224" s="404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</row>
    <row r="225" spans="1:25" ht="15.75" customHeight="1" x14ac:dyDescent="0.2">
      <c r="A225" s="43"/>
      <c r="B225" s="43"/>
      <c r="C225" s="43"/>
      <c r="D225" s="43"/>
      <c r="E225" s="43"/>
      <c r="F225" s="43"/>
      <c r="G225" s="43"/>
      <c r="H225" s="404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</row>
    <row r="226" spans="1:25" ht="15.75" customHeight="1" x14ac:dyDescent="0.2">
      <c r="A226" s="43"/>
      <c r="B226" s="43"/>
      <c r="C226" s="43"/>
      <c r="D226" s="43"/>
      <c r="E226" s="43"/>
      <c r="F226" s="43"/>
      <c r="G226" s="43"/>
      <c r="H226" s="404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</row>
    <row r="227" spans="1:25" ht="15.75" customHeight="1" x14ac:dyDescent="0.2">
      <c r="A227" s="43"/>
      <c r="B227" s="43"/>
      <c r="C227" s="43"/>
      <c r="D227" s="43"/>
      <c r="E227" s="43"/>
      <c r="F227" s="43"/>
      <c r="G227" s="43"/>
      <c r="H227" s="404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</row>
    <row r="228" spans="1:25" ht="15.75" customHeight="1" x14ac:dyDescent="0.2">
      <c r="A228" s="43"/>
      <c r="B228" s="43"/>
      <c r="C228" s="43"/>
      <c r="D228" s="43"/>
      <c r="E228" s="43"/>
      <c r="F228" s="43"/>
      <c r="G228" s="43"/>
      <c r="H228" s="404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</row>
    <row r="229" spans="1:25" ht="15.75" customHeight="1" x14ac:dyDescent="0.2">
      <c r="A229" s="43"/>
      <c r="B229" s="43"/>
      <c r="C229" s="43"/>
      <c r="D229" s="43"/>
      <c r="E229" s="43"/>
      <c r="F229" s="43"/>
      <c r="G229" s="43"/>
      <c r="H229" s="404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</row>
    <row r="230" spans="1:25" ht="15.75" customHeight="1" x14ac:dyDescent="0.2">
      <c r="A230" s="43"/>
      <c r="B230" s="43"/>
      <c r="C230" s="43"/>
      <c r="D230" s="43"/>
      <c r="E230" s="43"/>
      <c r="F230" s="43"/>
      <c r="G230" s="43"/>
      <c r="H230" s="404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</row>
    <row r="231" spans="1:25" ht="15.75" customHeight="1" x14ac:dyDescent="0.2">
      <c r="A231" s="43"/>
      <c r="B231" s="43"/>
      <c r="C231" s="43"/>
      <c r="D231" s="43"/>
      <c r="E231" s="43"/>
      <c r="F231" s="43"/>
      <c r="G231" s="43"/>
      <c r="H231" s="404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</row>
    <row r="232" spans="1:25" ht="15.75" customHeight="1" x14ac:dyDescent="0.2">
      <c r="A232" s="43"/>
      <c r="B232" s="43"/>
      <c r="C232" s="43"/>
      <c r="D232" s="43"/>
      <c r="E232" s="43"/>
      <c r="F232" s="43"/>
      <c r="G232" s="43"/>
      <c r="H232" s="404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</row>
    <row r="233" spans="1:25" ht="15.75" customHeight="1" x14ac:dyDescent="0.2">
      <c r="A233" s="43"/>
      <c r="B233" s="43"/>
      <c r="C233" s="43"/>
      <c r="D233" s="43"/>
      <c r="E233" s="43"/>
      <c r="F233" s="43"/>
      <c r="G233" s="43"/>
      <c r="H233" s="404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</row>
    <row r="234" spans="1:25" ht="15.75" customHeight="1" x14ac:dyDescent="0.2">
      <c r="A234" s="43"/>
      <c r="B234" s="43"/>
      <c r="C234" s="43"/>
      <c r="D234" s="43"/>
      <c r="E234" s="43"/>
      <c r="F234" s="43"/>
      <c r="G234" s="43"/>
      <c r="H234" s="404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</row>
    <row r="235" spans="1:25" ht="15.75" customHeight="1" x14ac:dyDescent="0.2">
      <c r="A235" s="43"/>
      <c r="B235" s="43"/>
      <c r="C235" s="43"/>
      <c r="D235" s="43"/>
      <c r="E235" s="43"/>
      <c r="F235" s="43"/>
      <c r="G235" s="43"/>
      <c r="H235" s="404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</row>
    <row r="236" spans="1:25" ht="15.75" customHeight="1" x14ac:dyDescent="0.2">
      <c r="A236" s="43"/>
      <c r="B236" s="43"/>
      <c r="C236" s="43"/>
      <c r="D236" s="43"/>
      <c r="E236" s="43"/>
      <c r="F236" s="43"/>
      <c r="G236" s="43"/>
      <c r="H236" s="404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</row>
    <row r="237" spans="1:25" ht="15.75" customHeight="1" x14ac:dyDescent="0.2">
      <c r="A237" s="43"/>
      <c r="B237" s="43"/>
      <c r="C237" s="43"/>
      <c r="D237" s="43"/>
      <c r="E237" s="43"/>
      <c r="F237" s="43"/>
      <c r="G237" s="43"/>
      <c r="H237" s="404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</row>
    <row r="238" spans="1:25" ht="15.75" customHeight="1" x14ac:dyDescent="0.2">
      <c r="A238" s="43"/>
      <c r="B238" s="43"/>
      <c r="C238" s="43"/>
      <c r="D238" s="43"/>
      <c r="E238" s="43"/>
      <c r="F238" s="43"/>
      <c r="G238" s="43"/>
      <c r="H238" s="404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</row>
    <row r="239" spans="1:25" ht="15.75" customHeight="1" x14ac:dyDescent="0.2">
      <c r="A239" s="43"/>
      <c r="B239" s="43"/>
      <c r="C239" s="43"/>
      <c r="D239" s="43"/>
      <c r="E239" s="43"/>
      <c r="F239" s="43"/>
      <c r="G239" s="43"/>
      <c r="H239" s="404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</row>
    <row r="240" spans="1:25" ht="15.75" customHeight="1" x14ac:dyDescent="0.2">
      <c r="A240" s="43"/>
      <c r="B240" s="43"/>
      <c r="C240" s="43"/>
      <c r="D240" s="43"/>
      <c r="E240" s="43"/>
      <c r="F240" s="43"/>
      <c r="G240" s="43"/>
      <c r="H240" s="404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</row>
    <row r="241" spans="1:25" ht="15.75" customHeight="1" x14ac:dyDescent="0.2">
      <c r="A241" s="43"/>
      <c r="B241" s="43"/>
      <c r="C241" s="43"/>
      <c r="D241" s="43"/>
      <c r="E241" s="43"/>
      <c r="F241" s="43"/>
      <c r="G241" s="43"/>
      <c r="H241" s="404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</row>
    <row r="242" spans="1:25" ht="15.75" customHeight="1" x14ac:dyDescent="0.2">
      <c r="A242" s="43"/>
      <c r="B242" s="43"/>
      <c r="C242" s="43"/>
      <c r="D242" s="43"/>
      <c r="E242" s="43"/>
      <c r="F242" s="43"/>
      <c r="G242" s="43"/>
      <c r="H242" s="404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</row>
    <row r="243" spans="1:25" ht="15.75" customHeight="1" x14ac:dyDescent="0.2">
      <c r="A243" s="43"/>
      <c r="B243" s="43"/>
      <c r="C243" s="43"/>
      <c r="D243" s="43"/>
      <c r="E243" s="43"/>
      <c r="F243" s="43"/>
      <c r="G243" s="43"/>
      <c r="H243" s="404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</row>
    <row r="244" spans="1:25" ht="15.75" customHeight="1" x14ac:dyDescent="0.2">
      <c r="A244" s="43"/>
      <c r="B244" s="43"/>
      <c r="C244" s="43"/>
      <c r="D244" s="43"/>
      <c r="E244" s="43"/>
      <c r="F244" s="43"/>
      <c r="G244" s="43"/>
      <c r="H244" s="404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</row>
    <row r="245" spans="1:25" ht="15.75" customHeight="1" x14ac:dyDescent="0.2">
      <c r="A245" s="43"/>
      <c r="B245" s="43"/>
      <c r="C245" s="43"/>
      <c r="D245" s="43"/>
      <c r="E245" s="43"/>
      <c r="F245" s="43"/>
      <c r="G245" s="43"/>
      <c r="H245" s="404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</row>
    <row r="246" spans="1:25" ht="15.75" customHeight="1" x14ac:dyDescent="0.2">
      <c r="A246" s="43"/>
      <c r="B246" s="43"/>
      <c r="C246" s="43"/>
      <c r="D246" s="43"/>
      <c r="E246" s="43"/>
      <c r="F246" s="43"/>
      <c r="G246" s="43"/>
      <c r="H246" s="404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</row>
    <row r="247" spans="1:25" ht="15.75" customHeight="1" x14ac:dyDescent="0.2">
      <c r="A247" s="43"/>
      <c r="B247" s="43"/>
      <c r="C247" s="43"/>
      <c r="D247" s="43"/>
      <c r="E247" s="43"/>
      <c r="F247" s="43"/>
      <c r="G247" s="43"/>
      <c r="H247" s="404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</row>
    <row r="248" spans="1:25" ht="15.75" customHeight="1" x14ac:dyDescent="0.2">
      <c r="A248" s="43"/>
      <c r="B248" s="43"/>
      <c r="C248" s="43"/>
      <c r="D248" s="43"/>
      <c r="E248" s="43"/>
      <c r="F248" s="43"/>
      <c r="G248" s="43"/>
      <c r="H248" s="404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</row>
    <row r="249" spans="1:25" ht="15.75" customHeight="1" x14ac:dyDescent="0.2">
      <c r="A249" s="43"/>
      <c r="B249" s="43"/>
      <c r="C249" s="43"/>
      <c r="D249" s="43"/>
      <c r="E249" s="43"/>
      <c r="F249" s="43"/>
      <c r="G249" s="43"/>
      <c r="H249" s="404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</row>
    <row r="250" spans="1:25" ht="15.75" customHeight="1" x14ac:dyDescent="0.2">
      <c r="A250" s="43"/>
      <c r="B250" s="43"/>
      <c r="C250" s="43"/>
      <c r="D250" s="43"/>
      <c r="E250" s="43"/>
      <c r="F250" s="43"/>
      <c r="G250" s="43"/>
      <c r="H250" s="404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</row>
    <row r="251" spans="1:25" ht="15.75" customHeight="1" x14ac:dyDescent="0.2">
      <c r="A251" s="43"/>
      <c r="B251" s="43"/>
      <c r="C251" s="43"/>
      <c r="D251" s="43"/>
      <c r="E251" s="43"/>
      <c r="F251" s="43"/>
      <c r="G251" s="43"/>
      <c r="H251" s="404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</row>
    <row r="252" spans="1:25" ht="15.75" customHeight="1" x14ac:dyDescent="0.2">
      <c r="A252" s="43"/>
      <c r="B252" s="43"/>
      <c r="C252" s="43"/>
      <c r="D252" s="43"/>
      <c r="E252" s="43"/>
      <c r="F252" s="43"/>
      <c r="G252" s="43"/>
      <c r="H252" s="404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</row>
    <row r="253" spans="1:25" ht="15.75" customHeight="1" x14ac:dyDescent="0.2">
      <c r="A253" s="43"/>
      <c r="B253" s="43"/>
      <c r="C253" s="43"/>
      <c r="D253" s="43"/>
      <c r="E253" s="43"/>
      <c r="F253" s="43"/>
      <c r="G253" s="43"/>
      <c r="H253" s="404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</row>
    <row r="254" spans="1:25" ht="15.75" customHeight="1" x14ac:dyDescent="0.2">
      <c r="A254" s="43"/>
      <c r="B254" s="43"/>
      <c r="C254" s="43"/>
      <c r="D254" s="43"/>
      <c r="E254" s="43"/>
      <c r="F254" s="43"/>
      <c r="G254" s="43"/>
      <c r="H254" s="404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</row>
    <row r="255" spans="1:25" ht="15.75" customHeight="1" x14ac:dyDescent="0.2">
      <c r="A255" s="43"/>
      <c r="B255" s="43"/>
      <c r="C255" s="43"/>
      <c r="D255" s="43"/>
      <c r="E255" s="43"/>
      <c r="F255" s="43"/>
      <c r="G255" s="43"/>
      <c r="H255" s="404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</row>
    <row r="256" spans="1:25" ht="15.75" customHeight="1" x14ac:dyDescent="0.2">
      <c r="A256" s="43"/>
      <c r="B256" s="43"/>
      <c r="C256" s="43"/>
      <c r="D256" s="43"/>
      <c r="E256" s="43"/>
      <c r="F256" s="43"/>
      <c r="G256" s="43"/>
      <c r="H256" s="404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</row>
    <row r="257" spans="1:25" ht="15.75" customHeight="1" x14ac:dyDescent="0.2">
      <c r="A257" s="43"/>
      <c r="B257" s="43"/>
      <c r="C257" s="43"/>
      <c r="D257" s="43"/>
      <c r="E257" s="43"/>
      <c r="F257" s="43"/>
      <c r="G257" s="43"/>
      <c r="H257" s="404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</row>
    <row r="258" spans="1:25" ht="15.75" customHeight="1" x14ac:dyDescent="0.2">
      <c r="A258" s="43"/>
      <c r="B258" s="43"/>
      <c r="C258" s="43"/>
      <c r="D258" s="43"/>
      <c r="E258" s="43"/>
      <c r="F258" s="43"/>
      <c r="G258" s="43"/>
      <c r="H258" s="404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</row>
    <row r="259" spans="1:25" ht="15.75" customHeight="1" x14ac:dyDescent="0.2">
      <c r="A259" s="43"/>
      <c r="B259" s="43"/>
      <c r="C259" s="43"/>
      <c r="D259" s="43"/>
      <c r="E259" s="43"/>
      <c r="F259" s="43"/>
      <c r="G259" s="43"/>
      <c r="H259" s="404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</row>
    <row r="260" spans="1:25" ht="15.75" customHeight="1" x14ac:dyDescent="0.2">
      <c r="A260" s="43"/>
      <c r="B260" s="43"/>
      <c r="C260" s="43"/>
      <c r="D260" s="43"/>
      <c r="E260" s="43"/>
      <c r="F260" s="43"/>
      <c r="G260" s="43"/>
      <c r="H260" s="404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</row>
    <row r="261" spans="1:25" ht="15.75" customHeight="1" x14ac:dyDescent="0.2">
      <c r="A261" s="43"/>
      <c r="B261" s="43"/>
      <c r="C261" s="43"/>
      <c r="D261" s="43"/>
      <c r="E261" s="43"/>
      <c r="F261" s="43"/>
      <c r="G261" s="43"/>
      <c r="H261" s="404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</row>
    <row r="262" spans="1:25" ht="15.75" customHeight="1" x14ac:dyDescent="0.2">
      <c r="A262" s="43"/>
      <c r="B262" s="43"/>
      <c r="C262" s="43"/>
      <c r="D262" s="43"/>
      <c r="E262" s="43"/>
      <c r="F262" s="43"/>
      <c r="G262" s="43"/>
      <c r="H262" s="404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</row>
    <row r="263" spans="1:25" ht="15.75" customHeight="1" x14ac:dyDescent="0.2">
      <c r="A263" s="43"/>
      <c r="B263" s="43"/>
      <c r="C263" s="43"/>
      <c r="D263" s="43"/>
      <c r="E263" s="43"/>
      <c r="F263" s="43"/>
      <c r="G263" s="43"/>
      <c r="H263" s="404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</row>
    <row r="264" spans="1:25" ht="15.75" customHeight="1" x14ac:dyDescent="0.2">
      <c r="A264" s="43"/>
      <c r="B264" s="43"/>
      <c r="C264" s="43"/>
      <c r="D264" s="43"/>
      <c r="E264" s="43"/>
      <c r="F264" s="43"/>
      <c r="G264" s="43"/>
      <c r="H264" s="404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</row>
    <row r="265" spans="1:25" ht="15.75" customHeight="1" x14ac:dyDescent="0.2">
      <c r="A265" s="43"/>
      <c r="B265" s="43"/>
      <c r="C265" s="43"/>
      <c r="D265" s="43"/>
      <c r="E265" s="43"/>
      <c r="F265" s="43"/>
      <c r="G265" s="43"/>
      <c r="H265" s="404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</row>
    <row r="266" spans="1:25" ht="15.75" customHeight="1" x14ac:dyDescent="0.2">
      <c r="A266" s="43"/>
      <c r="B266" s="43"/>
      <c r="C266" s="43"/>
      <c r="D266" s="43"/>
      <c r="E266" s="43"/>
      <c r="F266" s="43"/>
      <c r="G266" s="43"/>
      <c r="H266" s="404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</row>
    <row r="267" spans="1:25" ht="15.75" customHeight="1" x14ac:dyDescent="0.2">
      <c r="A267" s="43"/>
      <c r="B267" s="43"/>
      <c r="C267" s="43"/>
      <c r="D267" s="43"/>
      <c r="E267" s="43"/>
      <c r="F267" s="43"/>
      <c r="G267" s="43"/>
      <c r="H267" s="404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</row>
    <row r="268" spans="1:25" ht="15.75" customHeight="1" x14ac:dyDescent="0.2">
      <c r="A268" s="43"/>
      <c r="B268" s="43"/>
      <c r="C268" s="43"/>
      <c r="D268" s="43"/>
      <c r="E268" s="43"/>
      <c r="F268" s="43"/>
      <c r="G268" s="43"/>
      <c r="H268" s="404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</row>
    <row r="269" spans="1:25" ht="15.75" customHeight="1" x14ac:dyDescent="0.2">
      <c r="A269" s="43"/>
      <c r="B269" s="43"/>
      <c r="C269" s="43"/>
      <c r="D269" s="43"/>
      <c r="E269" s="43"/>
      <c r="F269" s="43"/>
      <c r="G269" s="43"/>
      <c r="H269" s="404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</row>
    <row r="270" spans="1:25" ht="15.75" customHeight="1" x14ac:dyDescent="0.2">
      <c r="A270" s="43"/>
      <c r="B270" s="43"/>
      <c r="C270" s="43"/>
      <c r="D270" s="43"/>
      <c r="E270" s="43"/>
      <c r="F270" s="43"/>
      <c r="G270" s="43"/>
      <c r="H270" s="404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</row>
    <row r="271" spans="1:25" ht="15.75" customHeight="1" x14ac:dyDescent="0.2">
      <c r="A271" s="43"/>
      <c r="B271" s="43"/>
      <c r="C271" s="43"/>
      <c r="D271" s="43"/>
      <c r="E271" s="43"/>
      <c r="F271" s="43"/>
      <c r="G271" s="43"/>
      <c r="H271" s="404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</row>
    <row r="272" spans="1:25" ht="15.75" customHeight="1" x14ac:dyDescent="0.2">
      <c r="A272" s="43"/>
      <c r="B272" s="43"/>
      <c r="C272" s="43"/>
      <c r="D272" s="43"/>
      <c r="E272" s="43"/>
      <c r="F272" s="43"/>
      <c r="G272" s="43"/>
      <c r="H272" s="404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</row>
    <row r="273" spans="1:25" ht="15.75" customHeight="1" x14ac:dyDescent="0.2">
      <c r="A273" s="43"/>
      <c r="B273" s="43"/>
      <c r="C273" s="43"/>
      <c r="D273" s="43"/>
      <c r="E273" s="43"/>
      <c r="F273" s="43"/>
      <c r="G273" s="43"/>
      <c r="H273" s="404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</row>
    <row r="274" spans="1:25" ht="15.75" customHeight="1" x14ac:dyDescent="0.2">
      <c r="A274" s="43"/>
      <c r="B274" s="43"/>
      <c r="C274" s="43"/>
      <c r="D274" s="43"/>
      <c r="E274" s="43"/>
      <c r="F274" s="43"/>
      <c r="G274" s="43"/>
      <c r="H274" s="404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</row>
    <row r="275" spans="1:25" ht="15.75" customHeight="1" x14ac:dyDescent="0.2">
      <c r="A275" s="43"/>
      <c r="B275" s="43"/>
      <c r="C275" s="43"/>
      <c r="D275" s="43"/>
      <c r="E275" s="43"/>
      <c r="F275" s="43"/>
      <c r="G275" s="43"/>
      <c r="H275" s="404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</row>
    <row r="276" spans="1:25" ht="15.75" customHeight="1" x14ac:dyDescent="0.2">
      <c r="A276" s="43"/>
      <c r="B276" s="43"/>
      <c r="C276" s="43"/>
      <c r="D276" s="43"/>
      <c r="E276" s="43"/>
      <c r="F276" s="43"/>
      <c r="G276" s="43"/>
      <c r="H276" s="404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</row>
    <row r="277" spans="1:25" ht="15.75" customHeight="1" x14ac:dyDescent="0.2">
      <c r="A277" s="43"/>
      <c r="B277" s="43"/>
      <c r="C277" s="43"/>
      <c r="D277" s="43"/>
      <c r="E277" s="43"/>
      <c r="F277" s="43"/>
      <c r="G277" s="43"/>
      <c r="H277" s="404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</row>
    <row r="278" spans="1:25" ht="15.75" customHeight="1" x14ac:dyDescent="0.2">
      <c r="A278" s="43"/>
      <c r="B278" s="43"/>
      <c r="C278" s="43"/>
      <c r="D278" s="43"/>
      <c r="E278" s="43"/>
      <c r="F278" s="43"/>
      <c r="G278" s="43"/>
      <c r="H278" s="404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</row>
    <row r="279" spans="1:25" ht="15.75" customHeight="1" x14ac:dyDescent="0.2">
      <c r="A279" s="43"/>
      <c r="B279" s="43"/>
      <c r="C279" s="43"/>
      <c r="D279" s="43"/>
      <c r="E279" s="43"/>
      <c r="F279" s="43"/>
      <c r="G279" s="43"/>
      <c r="H279" s="404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</row>
    <row r="280" spans="1:25" ht="15.75" customHeight="1" x14ac:dyDescent="0.2">
      <c r="A280" s="43"/>
      <c r="B280" s="43"/>
      <c r="C280" s="43"/>
      <c r="D280" s="43"/>
      <c r="E280" s="43"/>
      <c r="F280" s="43"/>
      <c r="G280" s="43"/>
      <c r="H280" s="404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</row>
    <row r="281" spans="1:25" ht="15.75" customHeight="1" x14ac:dyDescent="0.2">
      <c r="A281" s="43"/>
      <c r="B281" s="43"/>
      <c r="C281" s="43"/>
      <c r="D281" s="43"/>
      <c r="E281" s="43"/>
      <c r="F281" s="43"/>
      <c r="G281" s="43"/>
      <c r="H281" s="404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</row>
    <row r="282" spans="1:25" ht="15.75" customHeight="1" x14ac:dyDescent="0.2">
      <c r="A282" s="43"/>
      <c r="B282" s="43"/>
      <c r="C282" s="43"/>
      <c r="D282" s="43"/>
      <c r="E282" s="43"/>
      <c r="F282" s="43"/>
      <c r="G282" s="43"/>
      <c r="H282" s="404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</row>
    <row r="283" spans="1:25" ht="15.75" customHeight="1" x14ac:dyDescent="0.2">
      <c r="A283" s="43"/>
      <c r="B283" s="43"/>
      <c r="C283" s="43"/>
      <c r="D283" s="43"/>
      <c r="E283" s="43"/>
      <c r="F283" s="43"/>
      <c r="G283" s="43"/>
      <c r="H283" s="404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</row>
    <row r="284" spans="1:25" ht="15.75" customHeight="1" x14ac:dyDescent="0.2">
      <c r="A284" s="43"/>
      <c r="B284" s="43"/>
      <c r="C284" s="43"/>
      <c r="D284" s="43"/>
      <c r="E284" s="43"/>
      <c r="F284" s="43"/>
      <c r="G284" s="43"/>
      <c r="H284" s="404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</row>
    <row r="285" spans="1:25" ht="15.75" customHeight="1" x14ac:dyDescent="0.2">
      <c r="A285" s="43"/>
      <c r="B285" s="43"/>
      <c r="C285" s="43"/>
      <c r="D285" s="43"/>
      <c r="E285" s="43"/>
      <c r="F285" s="43"/>
      <c r="G285" s="43"/>
      <c r="H285" s="404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</row>
    <row r="286" spans="1:25" ht="15.75" customHeight="1" x14ac:dyDescent="0.2">
      <c r="A286" s="43"/>
      <c r="B286" s="43"/>
      <c r="C286" s="43"/>
      <c r="D286" s="43"/>
      <c r="E286" s="43"/>
      <c r="F286" s="43"/>
      <c r="G286" s="43"/>
      <c r="H286" s="404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</row>
    <row r="287" spans="1:25" ht="15.75" customHeight="1" x14ac:dyDescent="0.2">
      <c r="A287" s="43"/>
      <c r="B287" s="43"/>
      <c r="C287" s="43"/>
      <c r="D287" s="43"/>
      <c r="E287" s="43"/>
      <c r="F287" s="43"/>
      <c r="G287" s="43"/>
      <c r="H287" s="404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</row>
    <row r="288" spans="1:25" ht="15.75" customHeight="1" x14ac:dyDescent="0.2">
      <c r="A288" s="43"/>
      <c r="B288" s="43"/>
      <c r="C288" s="43"/>
      <c r="D288" s="43"/>
      <c r="E288" s="43"/>
      <c r="F288" s="43"/>
      <c r="G288" s="43"/>
      <c r="H288" s="404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</row>
    <row r="289" spans="1:25" ht="15.75" customHeight="1" x14ac:dyDescent="0.2">
      <c r="A289" s="43"/>
      <c r="B289" s="43"/>
      <c r="C289" s="43"/>
      <c r="D289" s="43"/>
      <c r="E289" s="43"/>
      <c r="F289" s="43"/>
      <c r="G289" s="43"/>
      <c r="H289" s="404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</row>
    <row r="290" spans="1:25" ht="15.75" customHeight="1" x14ac:dyDescent="0.2">
      <c r="A290" s="43"/>
      <c r="B290" s="43"/>
      <c r="C290" s="43"/>
      <c r="D290" s="43"/>
      <c r="E290" s="43"/>
      <c r="F290" s="43"/>
      <c r="G290" s="43"/>
      <c r="H290" s="404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</row>
    <row r="291" spans="1:25" ht="15.75" customHeight="1" x14ac:dyDescent="0.2">
      <c r="A291" s="43"/>
      <c r="B291" s="43"/>
      <c r="C291" s="43"/>
      <c r="D291" s="43"/>
      <c r="E291" s="43"/>
      <c r="F291" s="43"/>
      <c r="G291" s="43"/>
      <c r="H291" s="404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</row>
    <row r="292" spans="1:25" ht="15.75" customHeight="1" x14ac:dyDescent="0.2">
      <c r="A292" s="43"/>
      <c r="B292" s="43"/>
      <c r="C292" s="43"/>
      <c r="D292" s="43"/>
      <c r="E292" s="43"/>
      <c r="F292" s="43"/>
      <c r="G292" s="43"/>
      <c r="H292" s="404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</row>
    <row r="293" spans="1:25" ht="15.75" customHeight="1" x14ac:dyDescent="0.2">
      <c r="A293" s="43"/>
      <c r="B293" s="43"/>
      <c r="C293" s="43"/>
      <c r="D293" s="43"/>
      <c r="E293" s="43"/>
      <c r="F293" s="43"/>
      <c r="G293" s="43"/>
      <c r="H293" s="404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</row>
    <row r="294" spans="1:25" ht="15.75" customHeight="1" x14ac:dyDescent="0.2">
      <c r="A294" s="43"/>
      <c r="B294" s="43"/>
      <c r="C294" s="43"/>
      <c r="D294" s="43"/>
      <c r="E294" s="43"/>
      <c r="F294" s="43"/>
      <c r="G294" s="43"/>
      <c r="H294" s="404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</row>
    <row r="295" spans="1:25" ht="15.75" customHeight="1" x14ac:dyDescent="0.2">
      <c r="A295" s="43"/>
      <c r="B295" s="43"/>
      <c r="C295" s="43"/>
      <c r="D295" s="43"/>
      <c r="E295" s="43"/>
      <c r="F295" s="43"/>
      <c r="G295" s="43"/>
      <c r="H295" s="404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</row>
    <row r="296" spans="1:25" ht="15.75" customHeight="1" x14ac:dyDescent="0.2">
      <c r="A296" s="43"/>
      <c r="B296" s="43"/>
      <c r="C296" s="43"/>
      <c r="D296" s="43"/>
      <c r="E296" s="43"/>
      <c r="F296" s="43"/>
      <c r="G296" s="43"/>
      <c r="H296" s="404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</row>
    <row r="297" spans="1:25" ht="15.75" customHeight="1" x14ac:dyDescent="0.2">
      <c r="A297" s="43"/>
      <c r="B297" s="43"/>
      <c r="C297" s="43"/>
      <c r="D297" s="43"/>
      <c r="E297" s="43"/>
      <c r="F297" s="43"/>
      <c r="G297" s="43"/>
      <c r="H297" s="404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</row>
    <row r="298" spans="1:25" ht="15.75" customHeight="1" x14ac:dyDescent="0.2">
      <c r="A298" s="43"/>
      <c r="B298" s="43"/>
      <c r="C298" s="43"/>
      <c r="D298" s="43"/>
      <c r="E298" s="43"/>
      <c r="F298" s="43"/>
      <c r="G298" s="43"/>
      <c r="H298" s="404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</row>
    <row r="299" spans="1:25" ht="15.75" customHeight="1" x14ac:dyDescent="0.2">
      <c r="A299" s="43"/>
      <c r="B299" s="43"/>
      <c r="C299" s="43"/>
      <c r="D299" s="43"/>
      <c r="E299" s="43"/>
      <c r="F299" s="43"/>
      <c r="G299" s="43"/>
      <c r="H299" s="404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</row>
    <row r="300" spans="1:25" ht="15.75" customHeight="1" x14ac:dyDescent="0.2">
      <c r="A300" s="43"/>
      <c r="B300" s="43"/>
      <c r="C300" s="43"/>
      <c r="D300" s="43"/>
      <c r="E300" s="43"/>
      <c r="F300" s="43"/>
      <c r="G300" s="43"/>
      <c r="H300" s="404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</row>
    <row r="301" spans="1:25" ht="15.75" customHeight="1" x14ac:dyDescent="0.2">
      <c r="A301" s="43"/>
      <c r="B301" s="43"/>
      <c r="C301" s="43"/>
      <c r="D301" s="43"/>
      <c r="E301" s="43"/>
      <c r="F301" s="43"/>
      <c r="G301" s="43"/>
      <c r="H301" s="404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</row>
    <row r="302" spans="1:25" ht="15.75" customHeight="1" x14ac:dyDescent="0.2">
      <c r="A302" s="43"/>
      <c r="B302" s="43"/>
      <c r="C302" s="43"/>
      <c r="D302" s="43"/>
      <c r="E302" s="43"/>
      <c r="F302" s="43"/>
      <c r="G302" s="43"/>
      <c r="H302" s="404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</row>
    <row r="303" spans="1:25" ht="15.75" customHeight="1" x14ac:dyDescent="0.2">
      <c r="A303" s="43"/>
      <c r="B303" s="43"/>
      <c r="C303" s="43"/>
      <c r="D303" s="43"/>
      <c r="E303" s="43"/>
      <c r="F303" s="43"/>
      <c r="G303" s="43"/>
      <c r="H303" s="404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</row>
    <row r="304" spans="1:25" ht="15.75" customHeight="1" x14ac:dyDescent="0.2">
      <c r="A304" s="43"/>
      <c r="B304" s="43"/>
      <c r="C304" s="43"/>
      <c r="D304" s="43"/>
      <c r="E304" s="43"/>
      <c r="F304" s="43"/>
      <c r="G304" s="43"/>
      <c r="H304" s="404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</row>
    <row r="305" spans="1:25" ht="15.75" customHeight="1" x14ac:dyDescent="0.2">
      <c r="A305" s="43"/>
      <c r="B305" s="43"/>
      <c r="C305" s="43"/>
      <c r="D305" s="43"/>
      <c r="E305" s="43"/>
      <c r="F305" s="43"/>
      <c r="G305" s="43"/>
      <c r="H305" s="404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</row>
    <row r="306" spans="1:25" ht="15.75" customHeight="1" x14ac:dyDescent="0.2">
      <c r="A306" s="43"/>
      <c r="B306" s="43"/>
      <c r="C306" s="43"/>
      <c r="D306" s="43"/>
      <c r="E306" s="43"/>
      <c r="F306" s="43"/>
      <c r="G306" s="43"/>
      <c r="H306" s="404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</row>
    <row r="307" spans="1:25" ht="15.75" customHeight="1" x14ac:dyDescent="0.2">
      <c r="A307" s="43"/>
      <c r="B307" s="43"/>
      <c r="C307" s="43"/>
      <c r="D307" s="43"/>
      <c r="E307" s="43"/>
      <c r="F307" s="43"/>
      <c r="G307" s="43"/>
      <c r="H307" s="404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</row>
    <row r="308" spans="1:25" ht="15.75" customHeight="1" x14ac:dyDescent="0.2">
      <c r="A308" s="43"/>
      <c r="B308" s="43"/>
      <c r="C308" s="43"/>
      <c r="D308" s="43"/>
      <c r="E308" s="43"/>
      <c r="F308" s="43"/>
      <c r="G308" s="43"/>
      <c r="H308" s="404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</row>
    <row r="309" spans="1:25" ht="15.75" customHeight="1" x14ac:dyDescent="0.2">
      <c r="A309" s="43"/>
      <c r="B309" s="43"/>
      <c r="C309" s="43"/>
      <c r="D309" s="43"/>
      <c r="E309" s="43"/>
      <c r="F309" s="43"/>
      <c r="G309" s="43"/>
      <c r="H309" s="404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</row>
    <row r="310" spans="1:25" ht="15.75" customHeight="1" x14ac:dyDescent="0.2">
      <c r="A310" s="43"/>
      <c r="B310" s="43"/>
      <c r="C310" s="43"/>
      <c r="D310" s="43"/>
      <c r="E310" s="43"/>
      <c r="F310" s="43"/>
      <c r="G310" s="43"/>
      <c r="H310" s="404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</row>
    <row r="311" spans="1:25" ht="15.75" customHeight="1" x14ac:dyDescent="0.2">
      <c r="A311" s="43"/>
      <c r="B311" s="43"/>
      <c r="C311" s="43"/>
      <c r="D311" s="43"/>
      <c r="E311" s="43"/>
      <c r="F311" s="43"/>
      <c r="G311" s="43"/>
      <c r="H311" s="404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</row>
    <row r="312" spans="1:25" ht="15.75" customHeight="1" x14ac:dyDescent="0.2">
      <c r="A312" s="43"/>
      <c r="B312" s="43"/>
      <c r="C312" s="43"/>
      <c r="D312" s="43"/>
      <c r="E312" s="43"/>
      <c r="F312" s="43"/>
      <c r="G312" s="43"/>
      <c r="H312" s="404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</row>
    <row r="313" spans="1:25" ht="15.75" customHeight="1" x14ac:dyDescent="0.2">
      <c r="A313" s="43"/>
      <c r="B313" s="43"/>
      <c r="C313" s="43"/>
      <c r="D313" s="43"/>
      <c r="E313" s="43"/>
      <c r="F313" s="43"/>
      <c r="G313" s="43"/>
      <c r="H313" s="404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</row>
    <row r="314" spans="1:25" ht="15.75" customHeight="1" x14ac:dyDescent="0.2">
      <c r="A314" s="43"/>
      <c r="B314" s="43"/>
      <c r="C314" s="43"/>
      <c r="D314" s="43"/>
      <c r="E314" s="43"/>
      <c r="F314" s="43"/>
      <c r="G314" s="43"/>
      <c r="H314" s="404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</row>
    <row r="315" spans="1:25" ht="15.75" customHeight="1" x14ac:dyDescent="0.2">
      <c r="A315" s="43"/>
      <c r="B315" s="43"/>
      <c r="C315" s="43"/>
      <c r="D315" s="43"/>
      <c r="E315" s="43"/>
      <c r="F315" s="43"/>
      <c r="G315" s="43"/>
      <c r="H315" s="404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</row>
    <row r="316" spans="1:25" ht="15.75" customHeight="1" x14ac:dyDescent="0.2">
      <c r="A316" s="43"/>
      <c r="B316" s="43"/>
      <c r="C316" s="43"/>
      <c r="D316" s="43"/>
      <c r="E316" s="43"/>
      <c r="F316" s="43"/>
      <c r="G316" s="43"/>
      <c r="H316" s="404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</row>
    <row r="317" spans="1:25" ht="15.75" customHeight="1" x14ac:dyDescent="0.2">
      <c r="A317" s="43"/>
      <c r="B317" s="43"/>
      <c r="C317" s="43"/>
      <c r="D317" s="43"/>
      <c r="E317" s="43"/>
      <c r="F317" s="43"/>
      <c r="G317" s="43"/>
      <c r="H317" s="404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</row>
    <row r="318" spans="1:25" ht="15.75" customHeight="1" x14ac:dyDescent="0.2">
      <c r="A318" s="43"/>
      <c r="B318" s="43"/>
      <c r="C318" s="43"/>
      <c r="D318" s="43"/>
      <c r="E318" s="43"/>
      <c r="F318" s="43"/>
      <c r="G318" s="43"/>
      <c r="H318" s="404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</row>
    <row r="319" spans="1:25" ht="15.75" customHeight="1" x14ac:dyDescent="0.2">
      <c r="A319" s="43"/>
      <c r="B319" s="43"/>
      <c r="C319" s="43"/>
      <c r="D319" s="43"/>
      <c r="E319" s="43"/>
      <c r="F319" s="43"/>
      <c r="G319" s="43"/>
      <c r="H319" s="404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</row>
    <row r="320" spans="1:25" ht="15.75" customHeight="1" x14ac:dyDescent="0.2">
      <c r="A320" s="43"/>
      <c r="B320" s="43"/>
      <c r="C320" s="43"/>
      <c r="D320" s="43"/>
      <c r="E320" s="43"/>
      <c r="F320" s="43"/>
      <c r="G320" s="43"/>
      <c r="H320" s="404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</row>
    <row r="321" spans="1:25" ht="15.75" customHeight="1" x14ac:dyDescent="0.2">
      <c r="A321" s="43"/>
      <c r="B321" s="43"/>
      <c r="C321" s="43"/>
      <c r="D321" s="43"/>
      <c r="E321" s="43"/>
      <c r="F321" s="43"/>
      <c r="G321" s="43"/>
      <c r="H321" s="404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</row>
    <row r="322" spans="1:25" ht="15.75" customHeight="1" x14ac:dyDescent="0.2">
      <c r="A322" s="43"/>
      <c r="B322" s="43"/>
      <c r="C322" s="43"/>
      <c r="D322" s="43"/>
      <c r="E322" s="43"/>
      <c r="F322" s="43"/>
      <c r="G322" s="43"/>
      <c r="H322" s="404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</row>
    <row r="323" spans="1:25" ht="15.75" customHeight="1" x14ac:dyDescent="0.2">
      <c r="A323" s="43"/>
      <c r="B323" s="43"/>
      <c r="C323" s="43"/>
      <c r="D323" s="43"/>
      <c r="E323" s="43"/>
      <c r="F323" s="43"/>
      <c r="G323" s="43"/>
      <c r="H323" s="404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</row>
    <row r="324" spans="1:25" ht="15.75" customHeight="1" x14ac:dyDescent="0.2">
      <c r="A324" s="43"/>
      <c r="B324" s="43"/>
      <c r="C324" s="43"/>
      <c r="D324" s="43"/>
      <c r="E324" s="43"/>
      <c r="F324" s="43"/>
      <c r="G324" s="43"/>
      <c r="H324" s="404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</row>
    <row r="325" spans="1:25" ht="15.75" customHeight="1" x14ac:dyDescent="0.2">
      <c r="A325" s="43"/>
      <c r="B325" s="43"/>
      <c r="C325" s="43"/>
      <c r="D325" s="43"/>
      <c r="E325" s="43"/>
      <c r="F325" s="43"/>
      <c r="G325" s="43"/>
      <c r="H325" s="404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</row>
    <row r="326" spans="1:25" ht="15.75" customHeight="1" x14ac:dyDescent="0.2">
      <c r="A326" s="43"/>
      <c r="B326" s="43"/>
      <c r="C326" s="43"/>
      <c r="D326" s="43"/>
      <c r="E326" s="43"/>
      <c r="F326" s="43"/>
      <c r="G326" s="43"/>
      <c r="H326" s="404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</row>
    <row r="327" spans="1:25" ht="15.75" customHeight="1" x14ac:dyDescent="0.2">
      <c r="A327" s="43"/>
      <c r="B327" s="43"/>
      <c r="C327" s="43"/>
      <c r="D327" s="43"/>
      <c r="E327" s="43"/>
      <c r="F327" s="43"/>
      <c r="G327" s="43"/>
      <c r="H327" s="404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</row>
    <row r="328" spans="1:25" ht="15.75" customHeight="1" x14ac:dyDescent="0.2">
      <c r="A328" s="43"/>
      <c r="B328" s="43"/>
      <c r="C328" s="43"/>
      <c r="D328" s="43"/>
      <c r="E328" s="43"/>
      <c r="F328" s="43"/>
      <c r="G328" s="43"/>
      <c r="H328" s="404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</row>
    <row r="329" spans="1:25" ht="15.75" customHeight="1" x14ac:dyDescent="0.2">
      <c r="A329" s="43"/>
      <c r="B329" s="43"/>
      <c r="C329" s="43"/>
      <c r="D329" s="43"/>
      <c r="E329" s="43"/>
      <c r="F329" s="43"/>
      <c r="G329" s="43"/>
      <c r="H329" s="404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</row>
    <row r="330" spans="1:25" ht="15.75" customHeight="1" x14ac:dyDescent="0.2">
      <c r="A330" s="43"/>
      <c r="B330" s="43"/>
      <c r="C330" s="43"/>
      <c r="D330" s="43"/>
      <c r="E330" s="43"/>
      <c r="F330" s="43"/>
      <c r="G330" s="43"/>
      <c r="H330" s="404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</row>
    <row r="331" spans="1:25" ht="15.75" customHeight="1" x14ac:dyDescent="0.2">
      <c r="A331" s="43"/>
      <c r="B331" s="43"/>
      <c r="C331" s="43"/>
      <c r="D331" s="43"/>
      <c r="E331" s="43"/>
      <c r="F331" s="43"/>
      <c r="G331" s="43"/>
      <c r="H331" s="404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</row>
    <row r="332" spans="1:25" ht="15.75" customHeight="1" x14ac:dyDescent="0.2">
      <c r="A332" s="43"/>
      <c r="B332" s="43"/>
      <c r="C332" s="43"/>
      <c r="D332" s="43"/>
      <c r="E332" s="43"/>
      <c r="F332" s="43"/>
      <c r="G332" s="43"/>
      <c r="H332" s="404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</row>
    <row r="333" spans="1:25" ht="15.75" customHeight="1" x14ac:dyDescent="0.2">
      <c r="A333" s="43"/>
      <c r="B333" s="43"/>
      <c r="C333" s="43"/>
      <c r="D333" s="43"/>
      <c r="E333" s="43"/>
      <c r="F333" s="43"/>
      <c r="G333" s="43"/>
      <c r="H333" s="404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</row>
    <row r="334" spans="1:25" ht="15.75" customHeight="1" x14ac:dyDescent="0.2">
      <c r="A334" s="43"/>
      <c r="B334" s="43"/>
      <c r="C334" s="43"/>
      <c r="D334" s="43"/>
      <c r="E334" s="43"/>
      <c r="F334" s="43"/>
      <c r="G334" s="43"/>
      <c r="H334" s="404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</row>
    <row r="335" spans="1:25" ht="15.75" customHeight="1" x14ac:dyDescent="0.2">
      <c r="A335" s="43"/>
      <c r="B335" s="43"/>
      <c r="C335" s="43"/>
      <c r="D335" s="43"/>
      <c r="E335" s="43"/>
      <c r="F335" s="43"/>
      <c r="G335" s="43"/>
      <c r="H335" s="404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</row>
    <row r="336" spans="1:25" ht="15.75" customHeight="1" x14ac:dyDescent="0.2">
      <c r="A336" s="43"/>
      <c r="B336" s="43"/>
      <c r="C336" s="43"/>
      <c r="D336" s="43"/>
      <c r="E336" s="43"/>
      <c r="F336" s="43"/>
      <c r="G336" s="43"/>
      <c r="H336" s="404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</row>
    <row r="337" spans="1:25" ht="15.75" customHeight="1" x14ac:dyDescent="0.2">
      <c r="A337" s="43"/>
      <c r="B337" s="43"/>
      <c r="C337" s="43"/>
      <c r="D337" s="43"/>
      <c r="E337" s="43"/>
      <c r="F337" s="43"/>
      <c r="G337" s="43"/>
      <c r="H337" s="404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</row>
    <row r="338" spans="1:25" ht="15.75" customHeight="1" x14ac:dyDescent="0.2">
      <c r="A338" s="43"/>
      <c r="B338" s="43"/>
      <c r="C338" s="43"/>
      <c r="D338" s="43"/>
      <c r="E338" s="43"/>
      <c r="F338" s="43"/>
      <c r="G338" s="43"/>
      <c r="H338" s="404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</row>
    <row r="339" spans="1:25" ht="15.75" customHeight="1" x14ac:dyDescent="0.2">
      <c r="A339" s="43"/>
      <c r="B339" s="43"/>
      <c r="C339" s="43"/>
      <c r="D339" s="43"/>
      <c r="E339" s="43"/>
      <c r="F339" s="43"/>
      <c r="G339" s="43"/>
      <c r="H339" s="404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</row>
    <row r="340" spans="1:25" ht="15.75" customHeight="1" x14ac:dyDescent="0.2">
      <c r="A340" s="43"/>
      <c r="B340" s="43"/>
      <c r="C340" s="43"/>
      <c r="D340" s="43"/>
      <c r="E340" s="43"/>
      <c r="F340" s="43"/>
      <c r="G340" s="43"/>
      <c r="H340" s="404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</row>
    <row r="341" spans="1:25" ht="15.75" customHeight="1" x14ac:dyDescent="0.2">
      <c r="A341" s="43"/>
      <c r="B341" s="43"/>
      <c r="C341" s="43"/>
      <c r="D341" s="43"/>
      <c r="E341" s="43"/>
      <c r="F341" s="43"/>
      <c r="G341" s="43"/>
      <c r="H341" s="404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</row>
    <row r="342" spans="1:25" ht="15.75" customHeight="1" x14ac:dyDescent="0.2">
      <c r="A342" s="43"/>
      <c r="B342" s="43"/>
      <c r="C342" s="43"/>
      <c r="D342" s="43"/>
      <c r="E342" s="43"/>
      <c r="F342" s="43"/>
      <c r="G342" s="43"/>
      <c r="H342" s="404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</row>
    <row r="343" spans="1:25" ht="15.75" customHeight="1" x14ac:dyDescent="0.2">
      <c r="A343" s="43"/>
      <c r="B343" s="43"/>
      <c r="C343" s="43"/>
      <c r="D343" s="43"/>
      <c r="E343" s="43"/>
      <c r="F343" s="43"/>
      <c r="G343" s="43"/>
      <c r="H343" s="404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</row>
    <row r="344" spans="1:25" ht="15.75" customHeight="1" x14ac:dyDescent="0.2">
      <c r="A344" s="43"/>
      <c r="B344" s="43"/>
      <c r="C344" s="43"/>
      <c r="D344" s="43"/>
      <c r="E344" s="43"/>
      <c r="F344" s="43"/>
      <c r="G344" s="43"/>
      <c r="H344" s="404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</row>
    <row r="345" spans="1:25" ht="15.75" customHeight="1" x14ac:dyDescent="0.2">
      <c r="A345" s="43"/>
      <c r="B345" s="43"/>
      <c r="C345" s="43"/>
      <c r="D345" s="43"/>
      <c r="E345" s="43"/>
      <c r="F345" s="43"/>
      <c r="G345" s="43"/>
      <c r="H345" s="404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</row>
    <row r="346" spans="1:25" ht="15.75" customHeight="1" x14ac:dyDescent="0.2">
      <c r="A346" s="43"/>
      <c r="B346" s="43"/>
      <c r="C346" s="43"/>
      <c r="D346" s="43"/>
      <c r="E346" s="43"/>
      <c r="F346" s="43"/>
      <c r="G346" s="43"/>
      <c r="H346" s="404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</row>
    <row r="347" spans="1:25" ht="15.75" customHeight="1" x14ac:dyDescent="0.2">
      <c r="A347" s="43"/>
      <c r="B347" s="43"/>
      <c r="C347" s="43"/>
      <c r="D347" s="43"/>
      <c r="E347" s="43"/>
      <c r="F347" s="43"/>
      <c r="G347" s="43"/>
      <c r="H347" s="404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</row>
    <row r="348" spans="1:25" ht="15.75" customHeight="1" x14ac:dyDescent="0.2">
      <c r="A348" s="43"/>
      <c r="B348" s="43"/>
      <c r="C348" s="43"/>
      <c r="D348" s="43"/>
      <c r="E348" s="43"/>
      <c r="F348" s="43"/>
      <c r="G348" s="43"/>
      <c r="H348" s="404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</row>
    <row r="349" spans="1:25" ht="15.75" customHeight="1" x14ac:dyDescent="0.2">
      <c r="A349" s="43"/>
      <c r="B349" s="43"/>
      <c r="C349" s="43"/>
      <c r="D349" s="43"/>
      <c r="E349" s="43"/>
      <c r="F349" s="43"/>
      <c r="G349" s="43"/>
      <c r="H349" s="404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</row>
    <row r="350" spans="1:25" ht="15.75" customHeight="1" x14ac:dyDescent="0.2">
      <c r="A350" s="43"/>
      <c r="B350" s="43"/>
      <c r="C350" s="43"/>
      <c r="D350" s="43"/>
      <c r="E350" s="43"/>
      <c r="F350" s="43"/>
      <c r="G350" s="43"/>
      <c r="H350" s="404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</row>
    <row r="351" spans="1:25" ht="15.75" customHeight="1" x14ac:dyDescent="0.2">
      <c r="A351" s="43"/>
      <c r="B351" s="43"/>
      <c r="C351" s="43"/>
      <c r="D351" s="43"/>
      <c r="E351" s="43"/>
      <c r="F351" s="43"/>
      <c r="G351" s="43"/>
      <c r="H351" s="404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</row>
    <row r="352" spans="1:25" ht="15.75" customHeight="1" x14ac:dyDescent="0.2">
      <c r="A352" s="43"/>
      <c r="B352" s="43"/>
      <c r="C352" s="43"/>
      <c r="D352" s="43"/>
      <c r="E352" s="43"/>
      <c r="F352" s="43"/>
      <c r="G352" s="43"/>
      <c r="H352" s="404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</row>
    <row r="353" spans="1:25" ht="15.75" customHeight="1" x14ac:dyDescent="0.2">
      <c r="A353" s="43"/>
      <c r="B353" s="43"/>
      <c r="C353" s="43"/>
      <c r="D353" s="43"/>
      <c r="E353" s="43"/>
      <c r="F353" s="43"/>
      <c r="G353" s="43"/>
      <c r="H353" s="404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</row>
    <row r="354" spans="1:25" ht="15.75" customHeight="1" x14ac:dyDescent="0.2">
      <c r="A354" s="43"/>
      <c r="B354" s="43"/>
      <c r="C354" s="43"/>
      <c r="D354" s="43"/>
      <c r="E354" s="43"/>
      <c r="F354" s="43"/>
      <c r="G354" s="43"/>
      <c r="H354" s="404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</row>
    <row r="355" spans="1:25" ht="15.75" customHeight="1" x14ac:dyDescent="0.2">
      <c r="A355" s="43"/>
      <c r="B355" s="43"/>
      <c r="C355" s="43"/>
      <c r="D355" s="43"/>
      <c r="E355" s="43"/>
      <c r="F355" s="43"/>
      <c r="G355" s="43"/>
      <c r="H355" s="404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</row>
    <row r="356" spans="1:25" ht="15.75" customHeight="1" x14ac:dyDescent="0.2">
      <c r="A356" s="43"/>
      <c r="B356" s="43"/>
      <c r="C356" s="43"/>
      <c r="D356" s="43"/>
      <c r="E356" s="43"/>
      <c r="F356" s="43"/>
      <c r="G356" s="43"/>
      <c r="H356" s="404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</row>
    <row r="357" spans="1:25" ht="15.75" customHeight="1" x14ac:dyDescent="0.2">
      <c r="A357" s="43"/>
      <c r="B357" s="43"/>
      <c r="C357" s="43"/>
      <c r="D357" s="43"/>
      <c r="E357" s="43"/>
      <c r="F357" s="43"/>
      <c r="G357" s="43"/>
      <c r="H357" s="404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</row>
    <row r="358" spans="1:25" ht="15.75" customHeight="1" x14ac:dyDescent="0.2">
      <c r="A358" s="43"/>
      <c r="B358" s="43"/>
      <c r="C358" s="43"/>
      <c r="D358" s="43"/>
      <c r="E358" s="43"/>
      <c r="F358" s="43"/>
      <c r="G358" s="43"/>
      <c r="H358" s="404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</row>
    <row r="359" spans="1:25" ht="15.75" customHeight="1" x14ac:dyDescent="0.2">
      <c r="A359" s="43"/>
      <c r="B359" s="43"/>
      <c r="C359" s="43"/>
      <c r="D359" s="43"/>
      <c r="E359" s="43"/>
      <c r="F359" s="43"/>
      <c r="G359" s="43"/>
      <c r="H359" s="404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</row>
    <row r="360" spans="1:25" ht="15.75" customHeight="1" x14ac:dyDescent="0.2">
      <c r="A360" s="43"/>
      <c r="B360" s="43"/>
      <c r="C360" s="43"/>
      <c r="D360" s="43"/>
      <c r="E360" s="43"/>
      <c r="F360" s="43"/>
      <c r="G360" s="43"/>
      <c r="H360" s="404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</row>
    <row r="361" spans="1:25" ht="15.75" customHeight="1" x14ac:dyDescent="0.2">
      <c r="A361" s="43"/>
      <c r="B361" s="43"/>
      <c r="C361" s="43"/>
      <c r="D361" s="43"/>
      <c r="E361" s="43"/>
      <c r="F361" s="43"/>
      <c r="G361" s="43"/>
      <c r="H361" s="404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</row>
    <row r="362" spans="1:25" ht="15.75" customHeight="1" x14ac:dyDescent="0.2">
      <c r="A362" s="43"/>
      <c r="B362" s="43"/>
      <c r="C362" s="43"/>
      <c r="D362" s="43"/>
      <c r="E362" s="43"/>
      <c r="F362" s="43"/>
      <c r="G362" s="43"/>
      <c r="H362" s="404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</row>
    <row r="363" spans="1:25" ht="15.75" customHeight="1" x14ac:dyDescent="0.2">
      <c r="A363" s="43"/>
      <c r="B363" s="43"/>
      <c r="C363" s="43"/>
      <c r="D363" s="43"/>
      <c r="E363" s="43"/>
      <c r="F363" s="43"/>
      <c r="G363" s="43"/>
      <c r="H363" s="404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</row>
    <row r="364" spans="1:25" ht="15.75" customHeight="1" x14ac:dyDescent="0.2">
      <c r="A364" s="43"/>
      <c r="B364" s="43"/>
      <c r="C364" s="43"/>
      <c r="D364" s="43"/>
      <c r="E364" s="43"/>
      <c r="F364" s="43"/>
      <c r="G364" s="43"/>
      <c r="H364" s="404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</row>
    <row r="365" spans="1:25" ht="15.75" customHeight="1" x14ac:dyDescent="0.2">
      <c r="A365" s="43"/>
      <c r="B365" s="43"/>
      <c r="C365" s="43"/>
      <c r="D365" s="43"/>
      <c r="E365" s="43"/>
      <c r="F365" s="43"/>
      <c r="G365" s="43"/>
      <c r="H365" s="404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</row>
    <row r="366" spans="1:25" ht="15.75" customHeight="1" x14ac:dyDescent="0.2">
      <c r="A366" s="43"/>
      <c r="B366" s="43"/>
      <c r="C366" s="43"/>
      <c r="D366" s="43"/>
      <c r="E366" s="43"/>
      <c r="F366" s="43"/>
      <c r="G366" s="43"/>
      <c r="H366" s="404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</row>
    <row r="367" spans="1:25" ht="15.75" customHeight="1" x14ac:dyDescent="0.2">
      <c r="A367" s="43"/>
      <c r="B367" s="43"/>
      <c r="C367" s="43"/>
      <c r="D367" s="43"/>
      <c r="E367" s="43"/>
      <c r="F367" s="43"/>
      <c r="G367" s="43"/>
      <c r="H367" s="404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</row>
    <row r="368" spans="1:25" ht="15.75" customHeight="1" x14ac:dyDescent="0.2">
      <c r="A368" s="43"/>
      <c r="B368" s="43"/>
      <c r="C368" s="43"/>
      <c r="D368" s="43"/>
      <c r="E368" s="43"/>
      <c r="F368" s="43"/>
      <c r="G368" s="43"/>
      <c r="H368" s="404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</row>
    <row r="369" spans="1:25" ht="15.75" customHeight="1" x14ac:dyDescent="0.2">
      <c r="A369" s="43"/>
      <c r="B369" s="43"/>
      <c r="C369" s="43"/>
      <c r="D369" s="43"/>
      <c r="E369" s="43"/>
      <c r="F369" s="43"/>
      <c r="G369" s="43"/>
      <c r="H369" s="404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</row>
    <row r="370" spans="1:25" ht="15.75" customHeight="1" x14ac:dyDescent="0.2">
      <c r="A370" s="43"/>
      <c r="B370" s="43"/>
      <c r="C370" s="43"/>
      <c r="D370" s="43"/>
      <c r="E370" s="43"/>
      <c r="F370" s="43"/>
      <c r="G370" s="43"/>
      <c r="H370" s="404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</row>
    <row r="371" spans="1:25" ht="15.75" customHeight="1" x14ac:dyDescent="0.2">
      <c r="A371" s="43"/>
      <c r="B371" s="43"/>
      <c r="C371" s="43"/>
      <c r="D371" s="43"/>
      <c r="E371" s="43"/>
      <c r="F371" s="43"/>
      <c r="G371" s="43"/>
      <c r="H371" s="404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</row>
    <row r="372" spans="1:25" ht="15.75" customHeight="1" x14ac:dyDescent="0.2">
      <c r="A372" s="43"/>
      <c r="B372" s="43"/>
      <c r="C372" s="43"/>
      <c r="D372" s="43"/>
      <c r="E372" s="43"/>
      <c r="F372" s="43"/>
      <c r="G372" s="43"/>
      <c r="H372" s="404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</row>
    <row r="373" spans="1:25" ht="15.75" customHeight="1" x14ac:dyDescent="0.2">
      <c r="A373" s="43"/>
      <c r="B373" s="43"/>
      <c r="C373" s="43"/>
      <c r="D373" s="43"/>
      <c r="E373" s="43"/>
      <c r="F373" s="43"/>
      <c r="G373" s="43"/>
      <c r="H373" s="404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</row>
    <row r="374" spans="1:25" ht="15.75" customHeight="1" x14ac:dyDescent="0.2">
      <c r="A374" s="43"/>
      <c r="B374" s="43"/>
      <c r="C374" s="43"/>
      <c r="D374" s="43"/>
      <c r="E374" s="43"/>
      <c r="F374" s="43"/>
      <c r="G374" s="43"/>
      <c r="H374" s="404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</row>
    <row r="375" spans="1:25" ht="15.75" customHeight="1" x14ac:dyDescent="0.2">
      <c r="A375" s="43"/>
      <c r="B375" s="43"/>
      <c r="C375" s="43"/>
      <c r="D375" s="43"/>
      <c r="E375" s="43"/>
      <c r="F375" s="43"/>
      <c r="G375" s="43"/>
      <c r="H375" s="404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</row>
    <row r="376" spans="1:25" ht="15.75" customHeight="1" x14ac:dyDescent="0.2">
      <c r="A376" s="43"/>
      <c r="B376" s="43"/>
      <c r="C376" s="43"/>
      <c r="D376" s="43"/>
      <c r="E376" s="43"/>
      <c r="F376" s="43"/>
      <c r="G376" s="43"/>
      <c r="H376" s="404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</row>
    <row r="377" spans="1:25" ht="15.75" customHeight="1" x14ac:dyDescent="0.2">
      <c r="A377" s="43"/>
      <c r="B377" s="43"/>
      <c r="C377" s="43"/>
      <c r="D377" s="43"/>
      <c r="E377" s="43"/>
      <c r="F377" s="43"/>
      <c r="G377" s="43"/>
      <c r="H377" s="404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</row>
    <row r="378" spans="1:25" ht="15.75" customHeight="1" x14ac:dyDescent="0.2">
      <c r="A378" s="43"/>
      <c r="B378" s="43"/>
      <c r="C378" s="43"/>
      <c r="D378" s="43"/>
      <c r="E378" s="43"/>
      <c r="F378" s="43"/>
      <c r="G378" s="43"/>
      <c r="H378" s="404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</row>
    <row r="379" spans="1:25" ht="15.75" customHeight="1" x14ac:dyDescent="0.2">
      <c r="A379" s="43"/>
      <c r="B379" s="43"/>
      <c r="C379" s="43"/>
      <c r="D379" s="43"/>
      <c r="E379" s="43"/>
      <c r="F379" s="43"/>
      <c r="G379" s="43"/>
      <c r="H379" s="404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</row>
    <row r="380" spans="1:25" ht="15.75" customHeight="1" x14ac:dyDescent="0.2">
      <c r="A380" s="43"/>
      <c r="B380" s="43"/>
      <c r="C380" s="43"/>
      <c r="D380" s="43"/>
      <c r="E380" s="43"/>
      <c r="F380" s="43"/>
      <c r="G380" s="43"/>
      <c r="H380" s="404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</row>
    <row r="381" spans="1:25" ht="15.75" customHeight="1" x14ac:dyDescent="0.2">
      <c r="A381" s="43"/>
      <c r="B381" s="43"/>
      <c r="C381" s="43"/>
      <c r="D381" s="43"/>
      <c r="E381" s="43"/>
      <c r="F381" s="43"/>
      <c r="G381" s="43"/>
      <c r="H381" s="404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</row>
    <row r="382" spans="1:25" ht="15.75" customHeight="1" x14ac:dyDescent="0.2">
      <c r="A382" s="43"/>
      <c r="B382" s="43"/>
      <c r="C382" s="43"/>
      <c r="D382" s="43"/>
      <c r="E382" s="43"/>
      <c r="F382" s="43"/>
      <c r="G382" s="43"/>
      <c r="H382" s="404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</row>
    <row r="383" spans="1:25" ht="15.75" customHeight="1" x14ac:dyDescent="0.2">
      <c r="A383" s="43"/>
      <c r="B383" s="43"/>
      <c r="C383" s="43"/>
      <c r="D383" s="43"/>
      <c r="E383" s="43"/>
      <c r="F383" s="43"/>
      <c r="G383" s="43"/>
      <c r="H383" s="404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</row>
    <row r="384" spans="1:25" ht="15.75" customHeight="1" x14ac:dyDescent="0.2">
      <c r="A384" s="43"/>
      <c r="B384" s="43"/>
      <c r="C384" s="43"/>
      <c r="D384" s="43"/>
      <c r="E384" s="43"/>
      <c r="F384" s="43"/>
      <c r="G384" s="43"/>
      <c r="H384" s="404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</row>
    <row r="385" spans="1:25" ht="15.75" customHeight="1" x14ac:dyDescent="0.2">
      <c r="A385" s="43"/>
      <c r="B385" s="43"/>
      <c r="C385" s="43"/>
      <c r="D385" s="43"/>
      <c r="E385" s="43"/>
      <c r="F385" s="43"/>
      <c r="G385" s="43"/>
      <c r="H385" s="404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</row>
    <row r="386" spans="1:25" ht="15.75" customHeight="1" x14ac:dyDescent="0.2">
      <c r="A386" s="43"/>
      <c r="B386" s="43"/>
      <c r="C386" s="43"/>
      <c r="D386" s="43"/>
      <c r="E386" s="43"/>
      <c r="F386" s="43"/>
      <c r="G386" s="43"/>
      <c r="H386" s="404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</row>
    <row r="387" spans="1:25" ht="15.75" customHeight="1" x14ac:dyDescent="0.2">
      <c r="A387" s="43"/>
      <c r="B387" s="43"/>
      <c r="C387" s="43"/>
      <c r="D387" s="43"/>
      <c r="E387" s="43"/>
      <c r="F387" s="43"/>
      <c r="G387" s="43"/>
      <c r="H387" s="404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</row>
    <row r="388" spans="1:25" ht="15.75" customHeight="1" x14ac:dyDescent="0.2">
      <c r="A388" s="43"/>
      <c r="B388" s="43"/>
      <c r="C388" s="43"/>
      <c r="D388" s="43"/>
      <c r="E388" s="43"/>
      <c r="F388" s="43"/>
      <c r="G388" s="43"/>
      <c r="H388" s="404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</row>
    <row r="389" spans="1:25" ht="15.75" customHeight="1" x14ac:dyDescent="0.2">
      <c r="A389" s="43"/>
      <c r="B389" s="43"/>
      <c r="C389" s="43"/>
      <c r="D389" s="43"/>
      <c r="E389" s="43"/>
      <c r="F389" s="43"/>
      <c r="G389" s="43"/>
      <c r="H389" s="404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</row>
    <row r="390" spans="1:25" ht="15.75" customHeight="1" x14ac:dyDescent="0.2">
      <c r="A390" s="43"/>
      <c r="B390" s="43"/>
      <c r="C390" s="43"/>
      <c r="D390" s="43"/>
      <c r="E390" s="43"/>
      <c r="F390" s="43"/>
      <c r="G390" s="43"/>
      <c r="H390" s="404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</row>
    <row r="391" spans="1:25" ht="15.75" customHeight="1" x14ac:dyDescent="0.2">
      <c r="A391" s="43"/>
      <c r="B391" s="43"/>
      <c r="C391" s="43"/>
      <c r="D391" s="43"/>
      <c r="E391" s="43"/>
      <c r="F391" s="43"/>
      <c r="G391" s="43"/>
      <c r="H391" s="404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</row>
    <row r="392" spans="1:25" ht="15.75" customHeight="1" x14ac:dyDescent="0.2">
      <c r="A392" s="43"/>
      <c r="B392" s="43"/>
      <c r="C392" s="43"/>
      <c r="D392" s="43"/>
      <c r="E392" s="43"/>
      <c r="F392" s="43"/>
      <c r="G392" s="43"/>
      <c r="H392" s="404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</row>
    <row r="393" spans="1:25" ht="15.75" customHeight="1" x14ac:dyDescent="0.2">
      <c r="A393" s="43"/>
      <c r="B393" s="43"/>
      <c r="C393" s="43"/>
      <c r="D393" s="43"/>
      <c r="E393" s="43"/>
      <c r="F393" s="43"/>
      <c r="G393" s="43"/>
      <c r="H393" s="404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</row>
    <row r="394" spans="1:25" ht="15.75" customHeight="1" x14ac:dyDescent="0.2">
      <c r="A394" s="43"/>
      <c r="B394" s="43"/>
      <c r="C394" s="43"/>
      <c r="D394" s="43"/>
      <c r="E394" s="43"/>
      <c r="F394" s="43"/>
      <c r="G394" s="43"/>
      <c r="H394" s="404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</row>
    <row r="395" spans="1:25" ht="15.75" customHeight="1" x14ac:dyDescent="0.2">
      <c r="A395" s="43"/>
      <c r="B395" s="43"/>
      <c r="C395" s="43"/>
      <c r="D395" s="43"/>
      <c r="E395" s="43"/>
      <c r="F395" s="43"/>
      <c r="G395" s="43"/>
      <c r="H395" s="404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</row>
    <row r="396" spans="1:25" ht="15.75" customHeight="1" x14ac:dyDescent="0.2">
      <c r="A396" s="43"/>
      <c r="B396" s="43"/>
      <c r="C396" s="43"/>
      <c r="D396" s="43"/>
      <c r="E396" s="43"/>
      <c r="F396" s="43"/>
      <c r="G396" s="43"/>
      <c r="H396" s="404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</row>
    <row r="397" spans="1:25" ht="15.75" customHeight="1" x14ac:dyDescent="0.2">
      <c r="A397" s="43"/>
      <c r="B397" s="43"/>
      <c r="C397" s="43"/>
      <c r="D397" s="43"/>
      <c r="E397" s="43"/>
      <c r="F397" s="43"/>
      <c r="G397" s="43"/>
      <c r="H397" s="404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</row>
    <row r="398" spans="1:25" ht="15.75" customHeight="1" x14ac:dyDescent="0.2">
      <c r="A398" s="43"/>
      <c r="B398" s="43"/>
      <c r="C398" s="43"/>
      <c r="D398" s="43"/>
      <c r="E398" s="43"/>
      <c r="F398" s="43"/>
      <c r="G398" s="43"/>
      <c r="H398" s="404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</row>
    <row r="399" spans="1:25" ht="15.75" customHeight="1" x14ac:dyDescent="0.2">
      <c r="A399" s="43"/>
      <c r="B399" s="43"/>
      <c r="C399" s="43"/>
      <c r="D399" s="43"/>
      <c r="E399" s="43"/>
      <c r="F399" s="43"/>
      <c r="G399" s="43"/>
      <c r="H399" s="404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</row>
    <row r="400" spans="1:25" ht="15.75" customHeight="1" x14ac:dyDescent="0.2">
      <c r="A400" s="43"/>
      <c r="B400" s="43"/>
      <c r="C400" s="43"/>
      <c r="D400" s="43"/>
      <c r="E400" s="43"/>
      <c r="F400" s="43"/>
      <c r="G400" s="43"/>
      <c r="H400" s="404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</row>
    <row r="401" spans="1:25" ht="15.75" customHeight="1" x14ac:dyDescent="0.2">
      <c r="A401" s="43"/>
      <c r="B401" s="43"/>
      <c r="C401" s="43"/>
      <c r="D401" s="43"/>
      <c r="E401" s="43"/>
      <c r="F401" s="43"/>
      <c r="G401" s="43"/>
      <c r="H401" s="404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</row>
    <row r="402" spans="1:25" ht="15.75" customHeight="1" x14ac:dyDescent="0.2">
      <c r="A402" s="43"/>
      <c r="B402" s="43"/>
      <c r="C402" s="43"/>
      <c r="D402" s="43"/>
      <c r="E402" s="43"/>
      <c r="F402" s="43"/>
      <c r="G402" s="43"/>
      <c r="H402" s="404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</row>
    <row r="403" spans="1:25" ht="15.75" customHeight="1" x14ac:dyDescent="0.2">
      <c r="A403" s="43"/>
      <c r="B403" s="43"/>
      <c r="C403" s="43"/>
      <c r="D403" s="43"/>
      <c r="E403" s="43"/>
      <c r="F403" s="43"/>
      <c r="G403" s="43"/>
      <c r="H403" s="404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</row>
    <row r="404" spans="1:25" ht="15.75" customHeight="1" x14ac:dyDescent="0.2">
      <c r="A404" s="43"/>
      <c r="B404" s="43"/>
      <c r="C404" s="43"/>
      <c r="D404" s="43"/>
      <c r="E404" s="43"/>
      <c r="F404" s="43"/>
      <c r="G404" s="43"/>
      <c r="H404" s="404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</row>
    <row r="405" spans="1:25" ht="15.75" customHeight="1" x14ac:dyDescent="0.2">
      <c r="A405" s="43"/>
      <c r="B405" s="43"/>
      <c r="C405" s="43"/>
      <c r="D405" s="43"/>
      <c r="E405" s="43"/>
      <c r="F405" s="43"/>
      <c r="G405" s="43"/>
      <c r="H405" s="404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</row>
    <row r="406" spans="1:25" ht="15.75" customHeight="1" x14ac:dyDescent="0.2">
      <c r="A406" s="43"/>
      <c r="B406" s="43"/>
      <c r="C406" s="43"/>
      <c r="D406" s="43"/>
      <c r="E406" s="43"/>
      <c r="F406" s="43"/>
      <c r="G406" s="43"/>
      <c r="H406" s="404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</row>
    <row r="407" spans="1:25" ht="15.75" customHeight="1" x14ac:dyDescent="0.2">
      <c r="A407" s="43"/>
      <c r="B407" s="43"/>
      <c r="C407" s="43"/>
      <c r="D407" s="43"/>
      <c r="E407" s="43"/>
      <c r="F407" s="43"/>
      <c r="G407" s="43"/>
      <c r="H407" s="404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</row>
    <row r="408" spans="1:25" ht="15.75" customHeight="1" x14ac:dyDescent="0.2">
      <c r="A408" s="43"/>
      <c r="B408" s="43"/>
      <c r="C408" s="43"/>
      <c r="D408" s="43"/>
      <c r="E408" s="43"/>
      <c r="F408" s="43"/>
      <c r="G408" s="43"/>
      <c r="H408" s="404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</row>
    <row r="409" spans="1:25" ht="15.75" customHeight="1" x14ac:dyDescent="0.2">
      <c r="A409" s="43"/>
      <c r="B409" s="43"/>
      <c r="C409" s="43"/>
      <c r="D409" s="43"/>
      <c r="E409" s="43"/>
      <c r="F409" s="43"/>
      <c r="G409" s="43"/>
      <c r="H409" s="404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</row>
    <row r="410" spans="1:25" ht="15.75" customHeight="1" x14ac:dyDescent="0.2">
      <c r="A410" s="43"/>
      <c r="B410" s="43"/>
      <c r="C410" s="43"/>
      <c r="D410" s="43"/>
      <c r="E410" s="43"/>
      <c r="F410" s="43"/>
      <c r="G410" s="43"/>
      <c r="H410" s="404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</row>
    <row r="411" spans="1:25" ht="15.75" customHeight="1" x14ac:dyDescent="0.2">
      <c r="A411" s="43"/>
      <c r="B411" s="43"/>
      <c r="C411" s="43"/>
      <c r="D411" s="43"/>
      <c r="E411" s="43"/>
      <c r="F411" s="43"/>
      <c r="G411" s="43"/>
      <c r="H411" s="404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</row>
    <row r="412" spans="1:25" ht="15.75" customHeight="1" x14ac:dyDescent="0.2">
      <c r="A412" s="43"/>
      <c r="B412" s="43"/>
      <c r="C412" s="43"/>
      <c r="D412" s="43"/>
      <c r="E412" s="43"/>
      <c r="F412" s="43"/>
      <c r="G412" s="43"/>
      <c r="H412" s="404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</row>
    <row r="413" spans="1:25" ht="15.75" customHeight="1" x14ac:dyDescent="0.2">
      <c r="A413" s="43"/>
      <c r="B413" s="43"/>
      <c r="C413" s="43"/>
      <c r="D413" s="43"/>
      <c r="E413" s="43"/>
      <c r="F413" s="43"/>
      <c r="G413" s="43"/>
      <c r="H413" s="404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</row>
    <row r="414" spans="1:25" ht="15.75" customHeight="1" x14ac:dyDescent="0.2">
      <c r="A414" s="43"/>
      <c r="B414" s="43"/>
      <c r="C414" s="43"/>
      <c r="D414" s="43"/>
      <c r="E414" s="43"/>
      <c r="F414" s="43"/>
      <c r="G414" s="43"/>
      <c r="H414" s="404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</row>
    <row r="415" spans="1:25" ht="15.75" customHeight="1" x14ac:dyDescent="0.2">
      <c r="A415" s="43"/>
      <c r="B415" s="43"/>
      <c r="C415" s="43"/>
      <c r="D415" s="43"/>
      <c r="E415" s="43"/>
      <c r="F415" s="43"/>
      <c r="G415" s="43"/>
      <c r="H415" s="404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</row>
    <row r="416" spans="1:25" ht="15.75" customHeight="1" x14ac:dyDescent="0.2">
      <c r="A416" s="43"/>
      <c r="B416" s="43"/>
      <c r="C416" s="43"/>
      <c r="D416" s="43"/>
      <c r="E416" s="43"/>
      <c r="F416" s="43"/>
      <c r="G416" s="43"/>
      <c r="H416" s="404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</row>
    <row r="417" spans="1:25" ht="15.75" customHeight="1" x14ac:dyDescent="0.2">
      <c r="A417" s="43"/>
      <c r="B417" s="43"/>
      <c r="C417" s="43"/>
      <c r="D417" s="43"/>
      <c r="E417" s="43"/>
      <c r="F417" s="43"/>
      <c r="G417" s="43"/>
      <c r="H417" s="404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</row>
    <row r="418" spans="1:25" ht="15.75" customHeight="1" x14ac:dyDescent="0.2">
      <c r="A418" s="43"/>
      <c r="B418" s="43"/>
      <c r="C418" s="43"/>
      <c r="D418" s="43"/>
      <c r="E418" s="43"/>
      <c r="F418" s="43"/>
      <c r="G418" s="43"/>
      <c r="H418" s="404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</row>
    <row r="419" spans="1:25" ht="15.75" customHeight="1" x14ac:dyDescent="0.2">
      <c r="A419" s="43"/>
      <c r="B419" s="43"/>
      <c r="C419" s="43"/>
      <c r="D419" s="43"/>
      <c r="E419" s="43"/>
      <c r="F419" s="43"/>
      <c r="G419" s="43"/>
      <c r="H419" s="404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</row>
    <row r="420" spans="1:25" ht="15.75" customHeight="1" x14ac:dyDescent="0.2">
      <c r="A420" s="43"/>
      <c r="B420" s="43"/>
      <c r="C420" s="43"/>
      <c r="D420" s="43"/>
      <c r="E420" s="43"/>
      <c r="F420" s="43"/>
      <c r="G420" s="43"/>
      <c r="H420" s="404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</row>
    <row r="421" spans="1:25" ht="15.75" customHeight="1" x14ac:dyDescent="0.2">
      <c r="A421" s="43"/>
      <c r="B421" s="43"/>
      <c r="C421" s="43"/>
      <c r="D421" s="43"/>
      <c r="E421" s="43"/>
      <c r="F421" s="43"/>
      <c r="G421" s="43"/>
      <c r="H421" s="404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</row>
    <row r="422" spans="1:25" ht="15.75" customHeight="1" x14ac:dyDescent="0.2">
      <c r="A422" s="43"/>
      <c r="B422" s="43"/>
      <c r="C422" s="43"/>
      <c r="D422" s="43"/>
      <c r="E422" s="43"/>
      <c r="F422" s="43"/>
      <c r="G422" s="43"/>
      <c r="H422" s="404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</row>
    <row r="423" spans="1:25" ht="15.75" customHeight="1" x14ac:dyDescent="0.2">
      <c r="A423" s="43"/>
      <c r="B423" s="43"/>
      <c r="C423" s="43"/>
      <c r="D423" s="43"/>
      <c r="E423" s="43"/>
      <c r="F423" s="43"/>
      <c r="G423" s="43"/>
      <c r="H423" s="404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</row>
    <row r="424" spans="1:25" ht="15.75" customHeight="1" x14ac:dyDescent="0.2">
      <c r="A424" s="43"/>
      <c r="B424" s="43"/>
      <c r="C424" s="43"/>
      <c r="D424" s="43"/>
      <c r="E424" s="43"/>
      <c r="F424" s="43"/>
      <c r="G424" s="43"/>
      <c r="H424" s="404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</row>
    <row r="425" spans="1:25" ht="15.75" customHeight="1" x14ac:dyDescent="0.2">
      <c r="A425" s="43"/>
      <c r="B425" s="43"/>
      <c r="C425" s="43"/>
      <c r="D425" s="43"/>
      <c r="E425" s="43"/>
      <c r="F425" s="43"/>
      <c r="G425" s="43"/>
      <c r="H425" s="404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</row>
    <row r="426" spans="1:25" ht="15.75" customHeight="1" x14ac:dyDescent="0.2">
      <c r="A426" s="43"/>
      <c r="B426" s="43"/>
      <c r="C426" s="43"/>
      <c r="D426" s="43"/>
      <c r="E426" s="43"/>
      <c r="F426" s="43"/>
      <c r="G426" s="43"/>
      <c r="H426" s="404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</row>
    <row r="427" spans="1:25" ht="15.75" customHeight="1" x14ac:dyDescent="0.2">
      <c r="A427" s="43"/>
      <c r="B427" s="43"/>
      <c r="C427" s="43"/>
      <c r="D427" s="43"/>
      <c r="E427" s="43"/>
      <c r="F427" s="43"/>
      <c r="G427" s="43"/>
      <c r="H427" s="404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</row>
    <row r="428" spans="1:25" ht="15.75" customHeight="1" x14ac:dyDescent="0.2">
      <c r="A428" s="43"/>
      <c r="B428" s="43"/>
      <c r="C428" s="43"/>
      <c r="D428" s="43"/>
      <c r="E428" s="43"/>
      <c r="F428" s="43"/>
      <c r="G428" s="43"/>
      <c r="H428" s="404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</row>
    <row r="429" spans="1:25" ht="15.75" customHeight="1" x14ac:dyDescent="0.2">
      <c r="A429" s="43"/>
      <c r="B429" s="43"/>
      <c r="C429" s="43"/>
      <c r="D429" s="43"/>
      <c r="E429" s="43"/>
      <c r="F429" s="43"/>
      <c r="G429" s="43"/>
      <c r="H429" s="404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</row>
    <row r="430" spans="1:25" ht="15.75" customHeight="1" x14ac:dyDescent="0.2">
      <c r="A430" s="43"/>
      <c r="B430" s="43"/>
      <c r="C430" s="43"/>
      <c r="D430" s="43"/>
      <c r="E430" s="43"/>
      <c r="F430" s="43"/>
      <c r="G430" s="43"/>
      <c r="H430" s="404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</row>
    <row r="431" spans="1:25" ht="15.75" customHeight="1" x14ac:dyDescent="0.2">
      <c r="A431" s="43"/>
      <c r="B431" s="43"/>
      <c r="C431" s="43"/>
      <c r="D431" s="43"/>
      <c r="E431" s="43"/>
      <c r="F431" s="43"/>
      <c r="G431" s="43"/>
      <c r="H431" s="404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</row>
    <row r="432" spans="1:25" ht="15.75" customHeight="1" x14ac:dyDescent="0.2">
      <c r="A432" s="43"/>
      <c r="B432" s="43"/>
      <c r="C432" s="43"/>
      <c r="D432" s="43"/>
      <c r="E432" s="43"/>
      <c r="F432" s="43"/>
      <c r="G432" s="43"/>
      <c r="H432" s="404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</row>
    <row r="433" spans="1:25" ht="15.75" customHeight="1" x14ac:dyDescent="0.2">
      <c r="A433" s="43"/>
      <c r="B433" s="43"/>
      <c r="C433" s="43"/>
      <c r="D433" s="43"/>
      <c r="E433" s="43"/>
      <c r="F433" s="43"/>
      <c r="G433" s="43"/>
      <c r="H433" s="404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</row>
    <row r="434" spans="1:25" ht="15.75" customHeight="1" x14ac:dyDescent="0.2">
      <c r="A434" s="43"/>
      <c r="B434" s="43"/>
      <c r="C434" s="43"/>
      <c r="D434" s="43"/>
      <c r="E434" s="43"/>
      <c r="F434" s="43"/>
      <c r="G434" s="43"/>
      <c r="H434" s="404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</row>
    <row r="435" spans="1:25" ht="15.75" customHeight="1" x14ac:dyDescent="0.2">
      <c r="A435" s="43"/>
      <c r="B435" s="43"/>
      <c r="C435" s="43"/>
      <c r="D435" s="43"/>
      <c r="E435" s="43"/>
      <c r="F435" s="43"/>
      <c r="G435" s="43"/>
      <c r="H435" s="404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</row>
    <row r="436" spans="1:25" ht="15.75" customHeight="1" x14ac:dyDescent="0.2">
      <c r="A436" s="43"/>
      <c r="B436" s="43"/>
      <c r="C436" s="43"/>
      <c r="D436" s="43"/>
      <c r="E436" s="43"/>
      <c r="F436" s="43"/>
      <c r="G436" s="43"/>
      <c r="H436" s="404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</row>
    <row r="437" spans="1:25" ht="15.75" customHeight="1" x14ac:dyDescent="0.2">
      <c r="A437" s="43"/>
      <c r="B437" s="43"/>
      <c r="C437" s="43"/>
      <c r="D437" s="43"/>
      <c r="E437" s="43"/>
      <c r="F437" s="43"/>
      <c r="G437" s="43"/>
      <c r="H437" s="404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</row>
    <row r="438" spans="1:25" ht="15.75" customHeight="1" x14ac:dyDescent="0.2">
      <c r="A438" s="43"/>
      <c r="B438" s="43"/>
      <c r="C438" s="43"/>
      <c r="D438" s="43"/>
      <c r="E438" s="43"/>
      <c r="F438" s="43"/>
      <c r="G438" s="43"/>
      <c r="H438" s="404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</row>
    <row r="439" spans="1:25" ht="15.75" customHeight="1" x14ac:dyDescent="0.2">
      <c r="A439" s="43"/>
      <c r="B439" s="43"/>
      <c r="C439" s="43"/>
      <c r="D439" s="43"/>
      <c r="E439" s="43"/>
      <c r="F439" s="43"/>
      <c r="G439" s="43"/>
      <c r="H439" s="404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</row>
    <row r="440" spans="1:25" ht="15.75" customHeight="1" x14ac:dyDescent="0.2">
      <c r="A440" s="43"/>
      <c r="B440" s="43"/>
      <c r="C440" s="43"/>
      <c r="D440" s="43"/>
      <c r="E440" s="43"/>
      <c r="F440" s="43"/>
      <c r="G440" s="43"/>
      <c r="H440" s="404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</row>
    <row r="441" spans="1:25" ht="15.75" customHeight="1" x14ac:dyDescent="0.2">
      <c r="A441" s="43"/>
      <c r="B441" s="43"/>
      <c r="C441" s="43"/>
      <c r="D441" s="43"/>
      <c r="E441" s="43"/>
      <c r="F441" s="43"/>
      <c r="G441" s="43"/>
      <c r="H441" s="404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</row>
    <row r="442" spans="1:25" ht="15.75" customHeight="1" x14ac:dyDescent="0.2">
      <c r="A442" s="43"/>
      <c r="B442" s="43"/>
      <c r="C442" s="43"/>
      <c r="D442" s="43"/>
      <c r="E442" s="43"/>
      <c r="F442" s="43"/>
      <c r="G442" s="43"/>
      <c r="H442" s="404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</row>
    <row r="443" spans="1:25" ht="15.75" customHeight="1" x14ac:dyDescent="0.2">
      <c r="A443" s="43"/>
      <c r="B443" s="43"/>
      <c r="C443" s="43"/>
      <c r="D443" s="43"/>
      <c r="E443" s="43"/>
      <c r="F443" s="43"/>
      <c r="G443" s="43"/>
      <c r="H443" s="404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</row>
    <row r="444" spans="1:25" ht="15.75" customHeight="1" x14ac:dyDescent="0.2">
      <c r="A444" s="43"/>
      <c r="B444" s="43"/>
      <c r="C444" s="43"/>
      <c r="D444" s="43"/>
      <c r="E444" s="43"/>
      <c r="F444" s="43"/>
      <c r="G444" s="43"/>
      <c r="H444" s="404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</row>
    <row r="445" spans="1:25" ht="15.75" customHeight="1" x14ac:dyDescent="0.2">
      <c r="A445" s="43"/>
      <c r="B445" s="43"/>
      <c r="C445" s="43"/>
      <c r="D445" s="43"/>
      <c r="E445" s="43"/>
      <c r="F445" s="43"/>
      <c r="G445" s="43"/>
      <c r="H445" s="404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</row>
    <row r="446" spans="1:25" ht="15.75" customHeight="1" x14ac:dyDescent="0.2">
      <c r="A446" s="43"/>
      <c r="B446" s="43"/>
      <c r="C446" s="43"/>
      <c r="D446" s="43"/>
      <c r="E446" s="43"/>
      <c r="F446" s="43"/>
      <c r="G446" s="43"/>
      <c r="H446" s="404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</row>
    <row r="447" spans="1:25" ht="15.75" customHeight="1" x14ac:dyDescent="0.2">
      <c r="A447" s="43"/>
      <c r="B447" s="43"/>
      <c r="C447" s="43"/>
      <c r="D447" s="43"/>
      <c r="E447" s="43"/>
      <c r="F447" s="43"/>
      <c r="G447" s="43"/>
      <c r="H447" s="404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</row>
    <row r="448" spans="1:25" ht="15.75" customHeight="1" x14ac:dyDescent="0.2">
      <c r="A448" s="43"/>
      <c r="B448" s="43"/>
      <c r="C448" s="43"/>
      <c r="D448" s="43"/>
      <c r="E448" s="43"/>
      <c r="F448" s="43"/>
      <c r="G448" s="43"/>
      <c r="H448" s="404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</row>
    <row r="449" spans="1:25" ht="15.75" customHeight="1" x14ac:dyDescent="0.2">
      <c r="A449" s="43"/>
      <c r="B449" s="43"/>
      <c r="C449" s="43"/>
      <c r="D449" s="43"/>
      <c r="E449" s="43"/>
      <c r="F449" s="43"/>
      <c r="G449" s="43"/>
      <c r="H449" s="404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</row>
    <row r="450" spans="1:25" ht="15.75" customHeight="1" x14ac:dyDescent="0.2">
      <c r="A450" s="43"/>
      <c r="B450" s="43"/>
      <c r="C450" s="43"/>
      <c r="D450" s="43"/>
      <c r="E450" s="43"/>
      <c r="F450" s="43"/>
      <c r="G450" s="43"/>
      <c r="H450" s="404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</row>
    <row r="451" spans="1:25" ht="15.75" customHeight="1" x14ac:dyDescent="0.2">
      <c r="A451" s="43"/>
      <c r="B451" s="43"/>
      <c r="C451" s="43"/>
      <c r="D451" s="43"/>
      <c r="E451" s="43"/>
      <c r="F451" s="43"/>
      <c r="G451" s="43"/>
      <c r="H451" s="404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</row>
    <row r="452" spans="1:25" ht="15.75" customHeight="1" x14ac:dyDescent="0.2">
      <c r="A452" s="43"/>
      <c r="B452" s="43"/>
      <c r="C452" s="43"/>
      <c r="D452" s="43"/>
      <c r="E452" s="43"/>
      <c r="F452" s="43"/>
      <c r="G452" s="43"/>
      <c r="H452" s="404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</row>
    <row r="453" spans="1:25" ht="15.75" customHeight="1" x14ac:dyDescent="0.2">
      <c r="A453" s="43"/>
      <c r="B453" s="43"/>
      <c r="C453" s="43"/>
      <c r="D453" s="43"/>
      <c r="E453" s="43"/>
      <c r="F453" s="43"/>
      <c r="G453" s="43"/>
      <c r="H453" s="404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</row>
    <row r="454" spans="1:25" ht="15.75" customHeight="1" x14ac:dyDescent="0.2">
      <c r="A454" s="43"/>
      <c r="B454" s="43"/>
      <c r="C454" s="43"/>
      <c r="D454" s="43"/>
      <c r="E454" s="43"/>
      <c r="F454" s="43"/>
      <c r="G454" s="43"/>
      <c r="H454" s="404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</row>
    <row r="455" spans="1:25" ht="15.75" customHeight="1" x14ac:dyDescent="0.2">
      <c r="A455" s="43"/>
      <c r="B455" s="43"/>
      <c r="C455" s="43"/>
      <c r="D455" s="43"/>
      <c r="E455" s="43"/>
      <c r="F455" s="43"/>
      <c r="G455" s="43"/>
      <c r="H455" s="404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</row>
    <row r="456" spans="1:25" ht="15.75" customHeight="1" x14ac:dyDescent="0.2">
      <c r="A456" s="43"/>
      <c r="B456" s="43"/>
      <c r="C456" s="43"/>
      <c r="D456" s="43"/>
      <c r="E456" s="43"/>
      <c r="F456" s="43"/>
      <c r="G456" s="43"/>
      <c r="H456" s="404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</row>
    <row r="457" spans="1:25" ht="15.75" customHeight="1" x14ac:dyDescent="0.2">
      <c r="A457" s="43"/>
      <c r="B457" s="43"/>
      <c r="C457" s="43"/>
      <c r="D457" s="43"/>
      <c r="E457" s="43"/>
      <c r="F457" s="43"/>
      <c r="G457" s="43"/>
      <c r="H457" s="404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</row>
    <row r="458" spans="1:25" ht="15.75" customHeight="1" x14ac:dyDescent="0.2">
      <c r="A458" s="43"/>
      <c r="B458" s="43"/>
      <c r="C458" s="43"/>
      <c r="D458" s="43"/>
      <c r="E458" s="43"/>
      <c r="F458" s="43"/>
      <c r="G458" s="43"/>
      <c r="H458" s="404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</row>
    <row r="459" spans="1:25" ht="15.75" customHeight="1" x14ac:dyDescent="0.2">
      <c r="A459" s="43"/>
      <c r="B459" s="43"/>
      <c r="C459" s="43"/>
      <c r="D459" s="43"/>
      <c r="E459" s="43"/>
      <c r="F459" s="43"/>
      <c r="G459" s="43"/>
      <c r="H459" s="404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</row>
    <row r="460" spans="1:25" ht="15.75" customHeight="1" x14ac:dyDescent="0.2">
      <c r="A460" s="43"/>
      <c r="B460" s="43"/>
      <c r="C460" s="43"/>
      <c r="D460" s="43"/>
      <c r="E460" s="43"/>
      <c r="F460" s="43"/>
      <c r="G460" s="43"/>
      <c r="H460" s="404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</row>
    <row r="461" spans="1:25" ht="15.75" customHeight="1" x14ac:dyDescent="0.2">
      <c r="A461" s="43"/>
      <c r="B461" s="43"/>
      <c r="C461" s="43"/>
      <c r="D461" s="43"/>
      <c r="E461" s="43"/>
      <c r="F461" s="43"/>
      <c r="G461" s="43"/>
      <c r="H461" s="404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</row>
    <row r="462" spans="1:25" ht="15.75" customHeight="1" x14ac:dyDescent="0.2">
      <c r="A462" s="43"/>
      <c r="B462" s="43"/>
      <c r="C462" s="43"/>
      <c r="D462" s="43"/>
      <c r="E462" s="43"/>
      <c r="F462" s="43"/>
      <c r="G462" s="43"/>
      <c r="H462" s="404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</row>
    <row r="463" spans="1:25" ht="15.75" customHeight="1" x14ac:dyDescent="0.2">
      <c r="A463" s="43"/>
      <c r="B463" s="43"/>
      <c r="C463" s="43"/>
      <c r="D463" s="43"/>
      <c r="E463" s="43"/>
      <c r="F463" s="43"/>
      <c r="G463" s="43"/>
      <c r="H463" s="404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</row>
    <row r="464" spans="1:25" ht="15.75" customHeight="1" x14ac:dyDescent="0.2">
      <c r="A464" s="43"/>
      <c r="B464" s="43"/>
      <c r="C464" s="43"/>
      <c r="D464" s="43"/>
      <c r="E464" s="43"/>
      <c r="F464" s="43"/>
      <c r="G464" s="43"/>
      <c r="H464" s="404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</row>
    <row r="465" spans="1:25" ht="15.75" customHeight="1" x14ac:dyDescent="0.2">
      <c r="A465" s="43"/>
      <c r="B465" s="43"/>
      <c r="C465" s="43"/>
      <c r="D465" s="43"/>
      <c r="E465" s="43"/>
      <c r="F465" s="43"/>
      <c r="G465" s="43"/>
      <c r="H465" s="404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</row>
    <row r="466" spans="1:25" ht="15.75" customHeight="1" x14ac:dyDescent="0.2">
      <c r="A466" s="43"/>
      <c r="B466" s="43"/>
      <c r="C466" s="43"/>
      <c r="D466" s="43"/>
      <c r="E466" s="43"/>
      <c r="F466" s="43"/>
      <c r="G466" s="43"/>
      <c r="H466" s="404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</row>
    <row r="467" spans="1:25" ht="15.75" customHeight="1" x14ac:dyDescent="0.2">
      <c r="A467" s="43"/>
      <c r="B467" s="43"/>
      <c r="C467" s="43"/>
      <c r="D467" s="43"/>
      <c r="E467" s="43"/>
      <c r="F467" s="43"/>
      <c r="G467" s="43"/>
      <c r="H467" s="404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</row>
    <row r="468" spans="1:25" ht="15.75" customHeight="1" x14ac:dyDescent="0.2">
      <c r="A468" s="43"/>
      <c r="B468" s="43"/>
      <c r="C468" s="43"/>
      <c r="D468" s="43"/>
      <c r="E468" s="43"/>
      <c r="F468" s="43"/>
      <c r="G468" s="43"/>
      <c r="H468" s="404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</row>
    <row r="469" spans="1:25" ht="15.75" customHeight="1" x14ac:dyDescent="0.2">
      <c r="A469" s="43"/>
      <c r="B469" s="43"/>
      <c r="C469" s="43"/>
      <c r="D469" s="43"/>
      <c r="E469" s="43"/>
      <c r="F469" s="43"/>
      <c r="G469" s="43"/>
      <c r="H469" s="404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</row>
    <row r="470" spans="1:25" ht="15.75" customHeight="1" x14ac:dyDescent="0.2">
      <c r="A470" s="43"/>
      <c r="B470" s="43"/>
      <c r="C470" s="43"/>
      <c r="D470" s="43"/>
      <c r="E470" s="43"/>
      <c r="F470" s="43"/>
      <c r="G470" s="43"/>
      <c r="H470" s="404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</row>
    <row r="471" spans="1:25" ht="15.75" customHeight="1" x14ac:dyDescent="0.2">
      <c r="A471" s="43"/>
      <c r="B471" s="43"/>
      <c r="C471" s="43"/>
      <c r="D471" s="43"/>
      <c r="E471" s="43"/>
      <c r="F471" s="43"/>
      <c r="G471" s="43"/>
      <c r="H471" s="404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</row>
    <row r="472" spans="1:25" ht="15.75" customHeight="1" x14ac:dyDescent="0.2">
      <c r="A472" s="43"/>
      <c r="B472" s="43"/>
      <c r="C472" s="43"/>
      <c r="D472" s="43"/>
      <c r="E472" s="43"/>
      <c r="F472" s="43"/>
      <c r="G472" s="43"/>
      <c r="H472" s="404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</row>
    <row r="473" spans="1:25" ht="15.75" customHeight="1" x14ac:dyDescent="0.2">
      <c r="A473" s="43"/>
      <c r="B473" s="43"/>
      <c r="C473" s="43"/>
      <c r="D473" s="43"/>
      <c r="E473" s="43"/>
      <c r="F473" s="43"/>
      <c r="G473" s="43"/>
      <c r="H473" s="404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</row>
    <row r="474" spans="1:25" ht="15.75" customHeight="1" x14ac:dyDescent="0.2">
      <c r="A474" s="43"/>
      <c r="B474" s="43"/>
      <c r="C474" s="43"/>
      <c r="D474" s="43"/>
      <c r="E474" s="43"/>
      <c r="F474" s="43"/>
      <c r="G474" s="43"/>
      <c r="H474" s="404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</row>
    <row r="475" spans="1:25" ht="15.75" customHeight="1" x14ac:dyDescent="0.2">
      <c r="A475" s="43"/>
      <c r="B475" s="43"/>
      <c r="C475" s="43"/>
      <c r="D475" s="43"/>
      <c r="E475" s="43"/>
      <c r="F475" s="43"/>
      <c r="G475" s="43"/>
      <c r="H475" s="404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</row>
    <row r="476" spans="1:25" ht="15.75" customHeight="1" x14ac:dyDescent="0.2">
      <c r="A476" s="43"/>
      <c r="B476" s="43"/>
      <c r="C476" s="43"/>
      <c r="D476" s="43"/>
      <c r="E476" s="43"/>
      <c r="F476" s="43"/>
      <c r="G476" s="43"/>
      <c r="H476" s="404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</row>
    <row r="477" spans="1:25" ht="15.75" customHeight="1" x14ac:dyDescent="0.2">
      <c r="A477" s="43"/>
      <c r="B477" s="43"/>
      <c r="C477" s="43"/>
      <c r="D477" s="43"/>
      <c r="E477" s="43"/>
      <c r="F477" s="43"/>
      <c r="G477" s="43"/>
      <c r="H477" s="404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</row>
    <row r="478" spans="1:25" ht="15.75" customHeight="1" x14ac:dyDescent="0.2">
      <c r="A478" s="43"/>
      <c r="B478" s="43"/>
      <c r="C478" s="43"/>
      <c r="D478" s="43"/>
      <c r="E478" s="43"/>
      <c r="F478" s="43"/>
      <c r="G478" s="43"/>
      <c r="H478" s="404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</row>
    <row r="479" spans="1:25" ht="15.75" customHeight="1" x14ac:dyDescent="0.2">
      <c r="A479" s="43"/>
      <c r="B479" s="43"/>
      <c r="C479" s="43"/>
      <c r="D479" s="43"/>
      <c r="E479" s="43"/>
      <c r="F479" s="43"/>
      <c r="G479" s="43"/>
      <c r="H479" s="404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</row>
    <row r="480" spans="1:25" ht="15.75" customHeight="1" x14ac:dyDescent="0.2">
      <c r="A480" s="43"/>
      <c r="B480" s="43"/>
      <c r="C480" s="43"/>
      <c r="D480" s="43"/>
      <c r="E480" s="43"/>
      <c r="F480" s="43"/>
      <c r="G480" s="43"/>
      <c r="H480" s="404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</row>
    <row r="481" spans="1:25" ht="15.75" customHeight="1" x14ac:dyDescent="0.2">
      <c r="A481" s="43"/>
      <c r="B481" s="43"/>
      <c r="C481" s="43"/>
      <c r="D481" s="43"/>
      <c r="E481" s="43"/>
      <c r="F481" s="43"/>
      <c r="G481" s="43"/>
      <c r="H481" s="404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</row>
    <row r="482" spans="1:25" ht="15.75" customHeight="1" x14ac:dyDescent="0.2">
      <c r="A482" s="43"/>
      <c r="B482" s="43"/>
      <c r="C482" s="43"/>
      <c r="D482" s="43"/>
      <c r="E482" s="43"/>
      <c r="F482" s="43"/>
      <c r="G482" s="43"/>
      <c r="H482" s="404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</row>
    <row r="483" spans="1:25" ht="15.75" customHeight="1" x14ac:dyDescent="0.2">
      <c r="A483" s="43"/>
      <c r="B483" s="43"/>
      <c r="C483" s="43"/>
      <c r="D483" s="43"/>
      <c r="E483" s="43"/>
      <c r="F483" s="43"/>
      <c r="G483" s="43"/>
      <c r="H483" s="404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</row>
    <row r="484" spans="1:25" ht="15.75" customHeight="1" x14ac:dyDescent="0.2">
      <c r="A484" s="43"/>
      <c r="B484" s="43"/>
      <c r="C484" s="43"/>
      <c r="D484" s="43"/>
      <c r="E484" s="43"/>
      <c r="F484" s="43"/>
      <c r="G484" s="43"/>
      <c r="H484" s="404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</row>
    <row r="485" spans="1:25" ht="15.75" customHeight="1" x14ac:dyDescent="0.2">
      <c r="A485" s="43"/>
      <c r="B485" s="43"/>
      <c r="C485" s="43"/>
      <c r="D485" s="43"/>
      <c r="E485" s="43"/>
      <c r="F485" s="43"/>
      <c r="G485" s="43"/>
      <c r="H485" s="404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</row>
    <row r="486" spans="1:25" ht="15.75" customHeight="1" x14ac:dyDescent="0.2">
      <c r="A486" s="43"/>
      <c r="B486" s="43"/>
      <c r="C486" s="43"/>
      <c r="D486" s="43"/>
      <c r="E486" s="43"/>
      <c r="F486" s="43"/>
      <c r="G486" s="43"/>
      <c r="H486" s="404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</row>
    <row r="487" spans="1:25" ht="15.75" customHeight="1" x14ac:dyDescent="0.2">
      <c r="A487" s="43"/>
      <c r="B487" s="43"/>
      <c r="C487" s="43"/>
      <c r="D487" s="43"/>
      <c r="E487" s="43"/>
      <c r="F487" s="43"/>
      <c r="G487" s="43"/>
      <c r="H487" s="404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</row>
    <row r="488" spans="1:25" ht="15.75" customHeight="1" x14ac:dyDescent="0.2">
      <c r="A488" s="43"/>
      <c r="B488" s="43"/>
      <c r="C488" s="43"/>
      <c r="D488" s="43"/>
      <c r="E488" s="43"/>
      <c r="F488" s="43"/>
      <c r="G488" s="43"/>
      <c r="H488" s="404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</row>
    <row r="489" spans="1:25" ht="15.75" customHeight="1" x14ac:dyDescent="0.2">
      <c r="A489" s="43"/>
      <c r="B489" s="43"/>
      <c r="C489" s="43"/>
      <c r="D489" s="43"/>
      <c r="E489" s="43"/>
      <c r="F489" s="43"/>
      <c r="G489" s="43"/>
      <c r="H489" s="404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</row>
    <row r="490" spans="1:25" ht="15.75" customHeight="1" x14ac:dyDescent="0.2">
      <c r="A490" s="43"/>
      <c r="B490" s="43"/>
      <c r="C490" s="43"/>
      <c r="D490" s="43"/>
      <c r="E490" s="43"/>
      <c r="F490" s="43"/>
      <c r="G490" s="43"/>
      <c r="H490" s="404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</row>
    <row r="491" spans="1:25" ht="15.75" customHeight="1" x14ac:dyDescent="0.2">
      <c r="A491" s="43"/>
      <c r="B491" s="43"/>
      <c r="C491" s="43"/>
      <c r="D491" s="43"/>
      <c r="E491" s="43"/>
      <c r="F491" s="43"/>
      <c r="G491" s="43"/>
      <c r="H491" s="404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</row>
    <row r="492" spans="1:25" ht="15.75" customHeight="1" x14ac:dyDescent="0.2">
      <c r="A492" s="43"/>
      <c r="B492" s="43"/>
      <c r="C492" s="43"/>
      <c r="D492" s="43"/>
      <c r="E492" s="43"/>
      <c r="F492" s="43"/>
      <c r="G492" s="43"/>
      <c r="H492" s="404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</row>
    <row r="493" spans="1:25" ht="15.75" customHeight="1" x14ac:dyDescent="0.2">
      <c r="A493" s="43"/>
      <c r="B493" s="43"/>
      <c r="C493" s="43"/>
      <c r="D493" s="43"/>
      <c r="E493" s="43"/>
      <c r="F493" s="43"/>
      <c r="G493" s="43"/>
      <c r="H493" s="404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</row>
    <row r="494" spans="1:25" ht="15.75" customHeight="1" x14ac:dyDescent="0.2">
      <c r="A494" s="43"/>
      <c r="B494" s="43"/>
      <c r="C494" s="43"/>
      <c r="D494" s="43"/>
      <c r="E494" s="43"/>
      <c r="F494" s="43"/>
      <c r="G494" s="43"/>
      <c r="H494" s="404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</row>
    <row r="495" spans="1:25" ht="15.75" customHeight="1" x14ac:dyDescent="0.2">
      <c r="A495" s="43"/>
      <c r="B495" s="43"/>
      <c r="C495" s="43"/>
      <c r="D495" s="43"/>
      <c r="E495" s="43"/>
      <c r="F495" s="43"/>
      <c r="G495" s="43"/>
      <c r="H495" s="404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</row>
    <row r="496" spans="1:25" ht="15.75" customHeight="1" x14ac:dyDescent="0.2">
      <c r="A496" s="43"/>
      <c r="B496" s="43"/>
      <c r="C496" s="43"/>
      <c r="D496" s="43"/>
      <c r="E496" s="43"/>
      <c r="F496" s="43"/>
      <c r="G496" s="43"/>
      <c r="H496" s="404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</row>
    <row r="497" spans="1:25" ht="15.75" customHeight="1" x14ac:dyDescent="0.2">
      <c r="A497" s="43"/>
      <c r="B497" s="43"/>
      <c r="C497" s="43"/>
      <c r="D497" s="43"/>
      <c r="E497" s="43"/>
      <c r="F497" s="43"/>
      <c r="G497" s="43"/>
      <c r="H497" s="404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</row>
    <row r="498" spans="1:25" ht="15.75" customHeight="1" x14ac:dyDescent="0.2">
      <c r="A498" s="43"/>
      <c r="B498" s="43"/>
      <c r="C498" s="43"/>
      <c r="D498" s="43"/>
      <c r="E498" s="43"/>
      <c r="F498" s="43"/>
      <c r="G498" s="43"/>
      <c r="H498" s="404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</row>
    <row r="499" spans="1:25" ht="15.75" customHeight="1" x14ac:dyDescent="0.2">
      <c r="A499" s="43"/>
      <c r="B499" s="43"/>
      <c r="C499" s="43"/>
      <c r="D499" s="43"/>
      <c r="E499" s="43"/>
      <c r="F499" s="43"/>
      <c r="G499" s="43"/>
      <c r="H499" s="404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</row>
    <row r="500" spans="1:25" ht="15.75" customHeight="1" x14ac:dyDescent="0.2">
      <c r="A500" s="43"/>
      <c r="B500" s="43"/>
      <c r="C500" s="43"/>
      <c r="D500" s="43"/>
      <c r="E500" s="43"/>
      <c r="F500" s="43"/>
      <c r="G500" s="43"/>
      <c r="H500" s="404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</row>
    <row r="501" spans="1:25" ht="15.75" customHeight="1" x14ac:dyDescent="0.2">
      <c r="A501" s="43"/>
      <c r="B501" s="43"/>
      <c r="C501" s="43"/>
      <c r="D501" s="43"/>
      <c r="E501" s="43"/>
      <c r="F501" s="43"/>
      <c r="G501" s="43"/>
      <c r="H501" s="404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</row>
    <row r="502" spans="1:25" ht="15.75" customHeight="1" x14ac:dyDescent="0.2">
      <c r="A502" s="43"/>
      <c r="B502" s="43"/>
      <c r="C502" s="43"/>
      <c r="D502" s="43"/>
      <c r="E502" s="43"/>
      <c r="F502" s="43"/>
      <c r="G502" s="43"/>
      <c r="H502" s="404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</row>
    <row r="503" spans="1:25" ht="15.75" customHeight="1" x14ac:dyDescent="0.2">
      <c r="A503" s="43"/>
      <c r="B503" s="43"/>
      <c r="C503" s="43"/>
      <c r="D503" s="43"/>
      <c r="E503" s="43"/>
      <c r="F503" s="43"/>
      <c r="G503" s="43"/>
      <c r="H503" s="404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</row>
    <row r="504" spans="1:25" ht="15.75" customHeight="1" x14ac:dyDescent="0.2">
      <c r="A504" s="43"/>
      <c r="B504" s="43"/>
      <c r="C504" s="43"/>
      <c r="D504" s="43"/>
      <c r="E504" s="43"/>
      <c r="F504" s="43"/>
      <c r="G504" s="43"/>
      <c r="H504" s="404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</row>
    <row r="505" spans="1:25" ht="15.75" customHeight="1" x14ac:dyDescent="0.2">
      <c r="A505" s="43"/>
      <c r="B505" s="43"/>
      <c r="C505" s="43"/>
      <c r="D505" s="43"/>
      <c r="E505" s="43"/>
      <c r="F505" s="43"/>
      <c r="G505" s="43"/>
      <c r="H505" s="404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</row>
    <row r="506" spans="1:25" ht="15.75" customHeight="1" x14ac:dyDescent="0.2">
      <c r="A506" s="43"/>
      <c r="B506" s="43"/>
      <c r="C506" s="43"/>
      <c r="D506" s="43"/>
      <c r="E506" s="43"/>
      <c r="F506" s="43"/>
      <c r="G506" s="43"/>
      <c r="H506" s="404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</row>
    <row r="507" spans="1:25" ht="15.75" customHeight="1" x14ac:dyDescent="0.2">
      <c r="A507" s="43"/>
      <c r="B507" s="43"/>
      <c r="C507" s="43"/>
      <c r="D507" s="43"/>
      <c r="E507" s="43"/>
      <c r="F507" s="43"/>
      <c r="G507" s="43"/>
      <c r="H507" s="404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</row>
    <row r="508" spans="1:25" ht="15.75" customHeight="1" x14ac:dyDescent="0.2">
      <c r="A508" s="43"/>
      <c r="B508" s="43"/>
      <c r="C508" s="43"/>
      <c r="D508" s="43"/>
      <c r="E508" s="43"/>
      <c r="F508" s="43"/>
      <c r="G508" s="43"/>
      <c r="H508" s="404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</row>
    <row r="509" spans="1:25" ht="15.75" customHeight="1" x14ac:dyDescent="0.2">
      <c r="A509" s="43"/>
      <c r="B509" s="43"/>
      <c r="C509" s="43"/>
      <c r="D509" s="43"/>
      <c r="E509" s="43"/>
      <c r="F509" s="43"/>
      <c r="G509" s="43"/>
      <c r="H509" s="404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</row>
    <row r="510" spans="1:25" ht="15.75" customHeight="1" x14ac:dyDescent="0.2">
      <c r="A510" s="43"/>
      <c r="B510" s="43"/>
      <c r="C510" s="43"/>
      <c r="D510" s="43"/>
      <c r="E510" s="43"/>
      <c r="F510" s="43"/>
      <c r="G510" s="43"/>
      <c r="H510" s="404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</row>
    <row r="511" spans="1:25" ht="15.75" customHeight="1" x14ac:dyDescent="0.2">
      <c r="A511" s="43"/>
      <c r="B511" s="43"/>
      <c r="C511" s="43"/>
      <c r="D511" s="43"/>
      <c r="E511" s="43"/>
      <c r="F511" s="43"/>
      <c r="G511" s="43"/>
      <c r="H511" s="404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</row>
    <row r="512" spans="1:25" ht="15.75" customHeight="1" x14ac:dyDescent="0.2">
      <c r="A512" s="43"/>
      <c r="B512" s="43"/>
      <c r="C512" s="43"/>
      <c r="D512" s="43"/>
      <c r="E512" s="43"/>
      <c r="F512" s="43"/>
      <c r="G512" s="43"/>
      <c r="H512" s="404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</row>
    <row r="513" spans="1:25" ht="15.75" customHeight="1" x14ac:dyDescent="0.2">
      <c r="A513" s="43"/>
      <c r="B513" s="43"/>
      <c r="C513" s="43"/>
      <c r="D513" s="43"/>
      <c r="E513" s="43"/>
      <c r="F513" s="43"/>
      <c r="G513" s="43"/>
      <c r="H513" s="404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</row>
    <row r="514" spans="1:25" ht="15.75" customHeight="1" x14ac:dyDescent="0.2">
      <c r="A514" s="43"/>
      <c r="B514" s="43"/>
      <c r="C514" s="43"/>
      <c r="D514" s="43"/>
      <c r="E514" s="43"/>
      <c r="F514" s="43"/>
      <c r="G514" s="43"/>
      <c r="H514" s="404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</row>
    <row r="515" spans="1:25" ht="15.75" customHeight="1" x14ac:dyDescent="0.2">
      <c r="A515" s="43"/>
      <c r="B515" s="43"/>
      <c r="C515" s="43"/>
      <c r="D515" s="43"/>
      <c r="E515" s="43"/>
      <c r="F515" s="43"/>
      <c r="G515" s="43"/>
      <c r="H515" s="404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</row>
    <row r="516" spans="1:25" ht="15.75" customHeight="1" x14ac:dyDescent="0.2">
      <c r="A516" s="43"/>
      <c r="B516" s="43"/>
      <c r="C516" s="43"/>
      <c r="D516" s="43"/>
      <c r="E516" s="43"/>
      <c r="F516" s="43"/>
      <c r="G516" s="43"/>
      <c r="H516" s="404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</row>
    <row r="517" spans="1:25" ht="15.75" customHeight="1" x14ac:dyDescent="0.2">
      <c r="A517" s="43"/>
      <c r="B517" s="43"/>
      <c r="C517" s="43"/>
      <c r="D517" s="43"/>
      <c r="E517" s="43"/>
      <c r="F517" s="43"/>
      <c r="G517" s="43"/>
      <c r="H517" s="404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</row>
    <row r="518" spans="1:25" ht="15.75" customHeight="1" x14ac:dyDescent="0.2">
      <c r="A518" s="43"/>
      <c r="B518" s="43"/>
      <c r="C518" s="43"/>
      <c r="D518" s="43"/>
      <c r="E518" s="43"/>
      <c r="F518" s="43"/>
      <c r="G518" s="43"/>
      <c r="H518" s="404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</row>
    <row r="519" spans="1:25" ht="15.75" customHeight="1" x14ac:dyDescent="0.2">
      <c r="A519" s="43"/>
      <c r="B519" s="43"/>
      <c r="C519" s="43"/>
      <c r="D519" s="43"/>
      <c r="E519" s="43"/>
      <c r="F519" s="43"/>
      <c r="G519" s="43"/>
      <c r="H519" s="404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</row>
    <row r="520" spans="1:25" ht="15.75" customHeight="1" x14ac:dyDescent="0.2">
      <c r="A520" s="43"/>
      <c r="B520" s="43"/>
      <c r="C520" s="43"/>
      <c r="D520" s="43"/>
      <c r="E520" s="43"/>
      <c r="F520" s="43"/>
      <c r="G520" s="43"/>
      <c r="H520" s="404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</row>
    <row r="521" spans="1:25" ht="15.75" customHeight="1" x14ac:dyDescent="0.2">
      <c r="A521" s="43"/>
      <c r="B521" s="43"/>
      <c r="C521" s="43"/>
      <c r="D521" s="43"/>
      <c r="E521" s="43"/>
      <c r="F521" s="43"/>
      <c r="G521" s="43"/>
      <c r="H521" s="404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</row>
    <row r="522" spans="1:25" ht="15.75" customHeight="1" x14ac:dyDescent="0.2">
      <c r="A522" s="43"/>
      <c r="B522" s="43"/>
      <c r="C522" s="43"/>
      <c r="D522" s="43"/>
      <c r="E522" s="43"/>
      <c r="F522" s="43"/>
      <c r="G522" s="43"/>
      <c r="H522" s="404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</row>
    <row r="523" spans="1:25" ht="15.75" customHeight="1" x14ac:dyDescent="0.2">
      <c r="A523" s="43"/>
      <c r="B523" s="43"/>
      <c r="C523" s="43"/>
      <c r="D523" s="43"/>
      <c r="E523" s="43"/>
      <c r="F523" s="43"/>
      <c r="G523" s="43"/>
      <c r="H523" s="404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</row>
    <row r="524" spans="1:25" ht="15.75" customHeight="1" x14ac:dyDescent="0.2">
      <c r="A524" s="43"/>
      <c r="B524" s="43"/>
      <c r="C524" s="43"/>
      <c r="D524" s="43"/>
      <c r="E524" s="43"/>
      <c r="F524" s="43"/>
      <c r="G524" s="43"/>
      <c r="H524" s="404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</row>
    <row r="525" spans="1:25" ht="15.75" customHeight="1" x14ac:dyDescent="0.2">
      <c r="A525" s="43"/>
      <c r="B525" s="43"/>
      <c r="C525" s="43"/>
      <c r="D525" s="43"/>
      <c r="E525" s="43"/>
      <c r="F525" s="43"/>
      <c r="G525" s="43"/>
      <c r="H525" s="404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</row>
    <row r="526" spans="1:25" ht="15.75" customHeight="1" x14ac:dyDescent="0.2">
      <c r="A526" s="43"/>
      <c r="B526" s="43"/>
      <c r="C526" s="43"/>
      <c r="D526" s="43"/>
      <c r="E526" s="43"/>
      <c r="F526" s="43"/>
      <c r="G526" s="43"/>
      <c r="H526" s="404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</row>
    <row r="527" spans="1:25" ht="15.75" customHeight="1" x14ac:dyDescent="0.2">
      <c r="A527" s="43"/>
      <c r="B527" s="43"/>
      <c r="C527" s="43"/>
      <c r="D527" s="43"/>
      <c r="E527" s="43"/>
      <c r="F527" s="43"/>
      <c r="G527" s="43"/>
      <c r="H527" s="404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</row>
    <row r="528" spans="1:25" ht="15.75" customHeight="1" x14ac:dyDescent="0.2">
      <c r="A528" s="43"/>
      <c r="B528" s="43"/>
      <c r="C528" s="43"/>
      <c r="D528" s="43"/>
      <c r="E528" s="43"/>
      <c r="F528" s="43"/>
      <c r="G528" s="43"/>
      <c r="H528" s="404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</row>
    <row r="529" spans="1:25" ht="15.75" customHeight="1" x14ac:dyDescent="0.2">
      <c r="A529" s="43"/>
      <c r="B529" s="43"/>
      <c r="C529" s="43"/>
      <c r="D529" s="43"/>
      <c r="E529" s="43"/>
      <c r="F529" s="43"/>
      <c r="G529" s="43"/>
      <c r="H529" s="404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</row>
    <row r="530" spans="1:25" ht="15.75" customHeight="1" x14ac:dyDescent="0.2">
      <c r="A530" s="43"/>
      <c r="B530" s="43"/>
      <c r="C530" s="43"/>
      <c r="D530" s="43"/>
      <c r="E530" s="43"/>
      <c r="F530" s="43"/>
      <c r="G530" s="43"/>
      <c r="H530" s="404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</row>
    <row r="531" spans="1:25" ht="15.75" customHeight="1" x14ac:dyDescent="0.2">
      <c r="A531" s="43"/>
      <c r="B531" s="43"/>
      <c r="C531" s="43"/>
      <c r="D531" s="43"/>
      <c r="E531" s="43"/>
      <c r="F531" s="43"/>
      <c r="G531" s="43"/>
      <c r="H531" s="404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</row>
    <row r="532" spans="1:25" ht="15.75" customHeight="1" x14ac:dyDescent="0.2">
      <c r="A532" s="43"/>
      <c r="B532" s="43"/>
      <c r="C532" s="43"/>
      <c r="D532" s="43"/>
      <c r="E532" s="43"/>
      <c r="F532" s="43"/>
      <c r="G532" s="43"/>
      <c r="H532" s="404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</row>
    <row r="533" spans="1:25" ht="15.75" customHeight="1" x14ac:dyDescent="0.2">
      <c r="A533" s="43"/>
      <c r="B533" s="43"/>
      <c r="C533" s="43"/>
      <c r="D533" s="43"/>
      <c r="E533" s="43"/>
      <c r="F533" s="43"/>
      <c r="G533" s="43"/>
      <c r="H533" s="404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</row>
    <row r="534" spans="1:25" ht="15.75" customHeight="1" x14ac:dyDescent="0.2">
      <c r="A534" s="43"/>
      <c r="B534" s="43"/>
      <c r="C534" s="43"/>
      <c r="D534" s="43"/>
      <c r="E534" s="43"/>
      <c r="F534" s="43"/>
      <c r="G534" s="43"/>
      <c r="H534" s="404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</row>
    <row r="535" spans="1:25" ht="15.75" customHeight="1" x14ac:dyDescent="0.2">
      <c r="A535" s="43"/>
      <c r="B535" s="43"/>
      <c r="C535" s="43"/>
      <c r="D535" s="43"/>
      <c r="E535" s="43"/>
      <c r="F535" s="43"/>
      <c r="G535" s="43"/>
      <c r="H535" s="404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</row>
    <row r="536" spans="1:25" ht="15.75" customHeight="1" x14ac:dyDescent="0.2">
      <c r="A536" s="43"/>
      <c r="B536" s="43"/>
      <c r="C536" s="43"/>
      <c r="D536" s="43"/>
      <c r="E536" s="43"/>
      <c r="F536" s="43"/>
      <c r="G536" s="43"/>
      <c r="H536" s="404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</row>
    <row r="537" spans="1:25" ht="15.75" customHeight="1" x14ac:dyDescent="0.2">
      <c r="A537" s="43"/>
      <c r="B537" s="43"/>
      <c r="C537" s="43"/>
      <c r="D537" s="43"/>
      <c r="E537" s="43"/>
      <c r="F537" s="43"/>
      <c r="G537" s="43"/>
      <c r="H537" s="404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</row>
    <row r="538" spans="1:25" ht="15.75" customHeight="1" x14ac:dyDescent="0.2">
      <c r="A538" s="43"/>
      <c r="B538" s="43"/>
      <c r="C538" s="43"/>
      <c r="D538" s="43"/>
      <c r="E538" s="43"/>
      <c r="F538" s="43"/>
      <c r="G538" s="43"/>
      <c r="H538" s="404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</row>
    <row r="539" spans="1:25" ht="15.75" customHeight="1" x14ac:dyDescent="0.2">
      <c r="A539" s="43"/>
      <c r="B539" s="43"/>
      <c r="C539" s="43"/>
      <c r="D539" s="43"/>
      <c r="E539" s="43"/>
      <c r="F539" s="43"/>
      <c r="G539" s="43"/>
      <c r="H539" s="404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</row>
    <row r="540" spans="1:25" ht="15.75" customHeight="1" x14ac:dyDescent="0.2">
      <c r="A540" s="43"/>
      <c r="B540" s="43"/>
      <c r="C540" s="43"/>
      <c r="D540" s="43"/>
      <c r="E540" s="43"/>
      <c r="F540" s="43"/>
      <c r="G540" s="43"/>
      <c r="H540" s="404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</row>
    <row r="541" spans="1:25" ht="15.75" customHeight="1" x14ac:dyDescent="0.2">
      <c r="A541" s="43"/>
      <c r="B541" s="43"/>
      <c r="C541" s="43"/>
      <c r="D541" s="43"/>
      <c r="E541" s="43"/>
      <c r="F541" s="43"/>
      <c r="G541" s="43"/>
      <c r="H541" s="404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</row>
    <row r="542" spans="1:25" ht="15.75" customHeight="1" x14ac:dyDescent="0.2">
      <c r="A542" s="43"/>
      <c r="B542" s="43"/>
      <c r="C542" s="43"/>
      <c r="D542" s="43"/>
      <c r="E542" s="43"/>
      <c r="F542" s="43"/>
      <c r="G542" s="43"/>
      <c r="H542" s="404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</row>
    <row r="543" spans="1:25" ht="15.75" customHeight="1" x14ac:dyDescent="0.2">
      <c r="A543" s="43"/>
      <c r="B543" s="43"/>
      <c r="C543" s="43"/>
      <c r="D543" s="43"/>
      <c r="E543" s="43"/>
      <c r="F543" s="43"/>
      <c r="G543" s="43"/>
      <c r="H543" s="404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</row>
    <row r="544" spans="1:25" ht="15.75" customHeight="1" x14ac:dyDescent="0.2">
      <c r="A544" s="43"/>
      <c r="B544" s="43"/>
      <c r="C544" s="43"/>
      <c r="D544" s="43"/>
      <c r="E544" s="43"/>
      <c r="F544" s="43"/>
      <c r="G544" s="43"/>
      <c r="H544" s="404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</row>
    <row r="545" spans="1:25" ht="15.75" customHeight="1" x14ac:dyDescent="0.2">
      <c r="A545" s="43"/>
      <c r="B545" s="43"/>
      <c r="C545" s="43"/>
      <c r="D545" s="43"/>
      <c r="E545" s="43"/>
      <c r="F545" s="43"/>
      <c r="G545" s="43"/>
      <c r="H545" s="404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</row>
    <row r="546" spans="1:25" ht="15.75" customHeight="1" x14ac:dyDescent="0.2">
      <c r="A546" s="43"/>
      <c r="B546" s="43"/>
      <c r="C546" s="43"/>
      <c r="D546" s="43"/>
      <c r="E546" s="43"/>
      <c r="F546" s="43"/>
      <c r="G546" s="43"/>
      <c r="H546" s="404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</row>
    <row r="547" spans="1:25" ht="15.75" customHeight="1" x14ac:dyDescent="0.2">
      <c r="A547" s="43"/>
      <c r="B547" s="43"/>
      <c r="C547" s="43"/>
      <c r="D547" s="43"/>
      <c r="E547" s="43"/>
      <c r="F547" s="43"/>
      <c r="G547" s="43"/>
      <c r="H547" s="404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</row>
    <row r="548" spans="1:25" ht="15.75" customHeight="1" x14ac:dyDescent="0.2">
      <c r="A548" s="43"/>
      <c r="B548" s="43"/>
      <c r="C548" s="43"/>
      <c r="D548" s="43"/>
      <c r="E548" s="43"/>
      <c r="F548" s="43"/>
      <c r="G548" s="43"/>
      <c r="H548" s="404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</row>
    <row r="549" spans="1:25" ht="15.75" customHeight="1" x14ac:dyDescent="0.2">
      <c r="A549" s="43"/>
      <c r="B549" s="43"/>
      <c r="C549" s="43"/>
      <c r="D549" s="43"/>
      <c r="E549" s="43"/>
      <c r="F549" s="43"/>
      <c r="G549" s="43"/>
      <c r="H549" s="404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</row>
    <row r="550" spans="1:25" ht="15.75" customHeight="1" x14ac:dyDescent="0.2">
      <c r="A550" s="43"/>
      <c r="B550" s="43"/>
      <c r="C550" s="43"/>
      <c r="D550" s="43"/>
      <c r="E550" s="43"/>
      <c r="F550" s="43"/>
      <c r="G550" s="43"/>
      <c r="H550" s="404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</row>
    <row r="551" spans="1:25" ht="15.75" customHeight="1" x14ac:dyDescent="0.2">
      <c r="A551" s="43"/>
      <c r="B551" s="43"/>
      <c r="C551" s="43"/>
      <c r="D551" s="43"/>
      <c r="E551" s="43"/>
      <c r="F551" s="43"/>
      <c r="G551" s="43"/>
      <c r="H551" s="404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</row>
    <row r="552" spans="1:25" ht="15.75" customHeight="1" x14ac:dyDescent="0.2">
      <c r="A552" s="43"/>
      <c r="B552" s="43"/>
      <c r="C552" s="43"/>
      <c r="D552" s="43"/>
      <c r="E552" s="43"/>
      <c r="F552" s="43"/>
      <c r="G552" s="43"/>
      <c r="H552" s="404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</row>
    <row r="553" spans="1:25" ht="15.75" customHeight="1" x14ac:dyDescent="0.2">
      <c r="A553" s="43"/>
      <c r="B553" s="43"/>
      <c r="C553" s="43"/>
      <c r="D553" s="43"/>
      <c r="E553" s="43"/>
      <c r="F553" s="43"/>
      <c r="G553" s="43"/>
      <c r="H553" s="404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</row>
    <row r="554" spans="1:25" ht="15.75" customHeight="1" x14ac:dyDescent="0.2">
      <c r="A554" s="43"/>
      <c r="B554" s="43"/>
      <c r="C554" s="43"/>
      <c r="D554" s="43"/>
      <c r="E554" s="43"/>
      <c r="F554" s="43"/>
      <c r="G554" s="43"/>
      <c r="H554" s="404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</row>
    <row r="555" spans="1:25" ht="15.75" customHeight="1" x14ac:dyDescent="0.2">
      <c r="A555" s="43"/>
      <c r="B555" s="43"/>
      <c r="C555" s="43"/>
      <c r="D555" s="43"/>
      <c r="E555" s="43"/>
      <c r="F555" s="43"/>
      <c r="G555" s="43"/>
      <c r="H555" s="404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</row>
    <row r="556" spans="1:25" ht="15.75" customHeight="1" x14ac:dyDescent="0.2">
      <c r="A556" s="43"/>
      <c r="B556" s="43"/>
      <c r="C556" s="43"/>
      <c r="D556" s="43"/>
      <c r="E556" s="43"/>
      <c r="F556" s="43"/>
      <c r="G556" s="43"/>
      <c r="H556" s="404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</row>
    <row r="557" spans="1:25" ht="15.75" customHeight="1" x14ac:dyDescent="0.2">
      <c r="A557" s="43"/>
      <c r="B557" s="43"/>
      <c r="C557" s="43"/>
      <c r="D557" s="43"/>
      <c r="E557" s="43"/>
      <c r="F557" s="43"/>
      <c r="G557" s="43"/>
      <c r="H557" s="404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</row>
    <row r="558" spans="1:25" ht="15.75" customHeight="1" x14ac:dyDescent="0.2">
      <c r="A558" s="43"/>
      <c r="B558" s="43"/>
      <c r="C558" s="43"/>
      <c r="D558" s="43"/>
      <c r="E558" s="43"/>
      <c r="F558" s="43"/>
      <c r="G558" s="43"/>
      <c r="H558" s="404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</row>
    <row r="559" spans="1:25" ht="15.75" customHeight="1" x14ac:dyDescent="0.2">
      <c r="A559" s="43"/>
      <c r="B559" s="43"/>
      <c r="C559" s="43"/>
      <c r="D559" s="43"/>
      <c r="E559" s="43"/>
      <c r="F559" s="43"/>
      <c r="G559" s="43"/>
      <c r="H559" s="404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</row>
    <row r="560" spans="1:25" ht="15.75" customHeight="1" x14ac:dyDescent="0.2">
      <c r="A560" s="43"/>
      <c r="B560" s="43"/>
      <c r="C560" s="43"/>
      <c r="D560" s="43"/>
      <c r="E560" s="43"/>
      <c r="F560" s="43"/>
      <c r="G560" s="43"/>
      <c r="H560" s="404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</row>
    <row r="561" spans="1:25" ht="15.75" customHeight="1" x14ac:dyDescent="0.2">
      <c r="A561" s="43"/>
      <c r="B561" s="43"/>
      <c r="C561" s="43"/>
      <c r="D561" s="43"/>
      <c r="E561" s="43"/>
      <c r="F561" s="43"/>
      <c r="G561" s="43"/>
      <c r="H561" s="404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</row>
    <row r="562" spans="1:25" ht="15.75" customHeight="1" x14ac:dyDescent="0.2">
      <c r="A562" s="43"/>
      <c r="B562" s="43"/>
      <c r="C562" s="43"/>
      <c r="D562" s="43"/>
      <c r="E562" s="43"/>
      <c r="F562" s="43"/>
      <c r="G562" s="43"/>
      <c r="H562" s="404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</row>
    <row r="563" spans="1:25" ht="15.75" customHeight="1" x14ac:dyDescent="0.2">
      <c r="A563" s="43"/>
      <c r="B563" s="43"/>
      <c r="C563" s="43"/>
      <c r="D563" s="43"/>
      <c r="E563" s="43"/>
      <c r="F563" s="43"/>
      <c r="G563" s="43"/>
      <c r="H563" s="404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</row>
    <row r="564" spans="1:25" ht="15.75" customHeight="1" x14ac:dyDescent="0.2">
      <c r="A564" s="43"/>
      <c r="B564" s="43"/>
      <c r="C564" s="43"/>
      <c r="D564" s="43"/>
      <c r="E564" s="43"/>
      <c r="F564" s="43"/>
      <c r="G564" s="43"/>
      <c r="H564" s="404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</row>
    <row r="565" spans="1:25" ht="15.75" customHeight="1" x14ac:dyDescent="0.2">
      <c r="A565" s="43"/>
      <c r="B565" s="43"/>
      <c r="C565" s="43"/>
      <c r="D565" s="43"/>
      <c r="E565" s="43"/>
      <c r="F565" s="43"/>
      <c r="G565" s="43"/>
      <c r="H565" s="404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</row>
    <row r="566" spans="1:25" ht="15.75" customHeight="1" x14ac:dyDescent="0.2">
      <c r="A566" s="43"/>
      <c r="B566" s="43"/>
      <c r="C566" s="43"/>
      <c r="D566" s="43"/>
      <c r="E566" s="43"/>
      <c r="F566" s="43"/>
      <c r="G566" s="43"/>
      <c r="H566" s="404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</row>
    <row r="567" spans="1:25" ht="15.75" customHeight="1" x14ac:dyDescent="0.2">
      <c r="A567" s="43"/>
      <c r="B567" s="43"/>
      <c r="C567" s="43"/>
      <c r="D567" s="43"/>
      <c r="E567" s="43"/>
      <c r="F567" s="43"/>
      <c r="G567" s="43"/>
      <c r="H567" s="404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</row>
    <row r="568" spans="1:25" ht="15.75" customHeight="1" x14ac:dyDescent="0.2">
      <c r="A568" s="43"/>
      <c r="B568" s="43"/>
      <c r="C568" s="43"/>
      <c r="D568" s="43"/>
      <c r="E568" s="43"/>
      <c r="F568" s="43"/>
      <c r="G568" s="43"/>
      <c r="H568" s="404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</row>
    <row r="569" spans="1:25" ht="15.75" customHeight="1" x14ac:dyDescent="0.2">
      <c r="A569" s="43"/>
      <c r="B569" s="43"/>
      <c r="C569" s="43"/>
      <c r="D569" s="43"/>
      <c r="E569" s="43"/>
      <c r="F569" s="43"/>
      <c r="G569" s="43"/>
      <c r="H569" s="404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</row>
    <row r="570" spans="1:25" ht="15.75" customHeight="1" x14ac:dyDescent="0.2">
      <c r="A570" s="43"/>
      <c r="B570" s="43"/>
      <c r="C570" s="43"/>
      <c r="D570" s="43"/>
      <c r="E570" s="43"/>
      <c r="F570" s="43"/>
      <c r="G570" s="43"/>
      <c r="H570" s="404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</row>
    <row r="571" spans="1:25" ht="15.75" customHeight="1" x14ac:dyDescent="0.2">
      <c r="A571" s="43"/>
      <c r="B571" s="43"/>
      <c r="C571" s="43"/>
      <c r="D571" s="43"/>
      <c r="E571" s="43"/>
      <c r="F571" s="43"/>
      <c r="G571" s="43"/>
      <c r="H571" s="404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</row>
    <row r="572" spans="1:25" ht="15.75" customHeight="1" x14ac:dyDescent="0.2">
      <c r="A572" s="43"/>
      <c r="B572" s="43"/>
      <c r="C572" s="43"/>
      <c r="D572" s="43"/>
      <c r="E572" s="43"/>
      <c r="F572" s="43"/>
      <c r="G572" s="43"/>
      <c r="H572" s="404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</row>
    <row r="573" spans="1:25" ht="15.75" customHeight="1" x14ac:dyDescent="0.2">
      <c r="A573" s="43"/>
      <c r="B573" s="43"/>
      <c r="C573" s="43"/>
      <c r="D573" s="43"/>
      <c r="E573" s="43"/>
      <c r="F573" s="43"/>
      <c r="G573" s="43"/>
      <c r="H573" s="404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</row>
    <row r="574" spans="1:25" ht="15.75" customHeight="1" x14ac:dyDescent="0.2">
      <c r="A574" s="43"/>
      <c r="B574" s="43"/>
      <c r="C574" s="43"/>
      <c r="D574" s="43"/>
      <c r="E574" s="43"/>
      <c r="F574" s="43"/>
      <c r="G574" s="43"/>
      <c r="H574" s="404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</row>
    <row r="575" spans="1:25" ht="15.75" customHeight="1" x14ac:dyDescent="0.2">
      <c r="A575" s="43"/>
      <c r="B575" s="43"/>
      <c r="C575" s="43"/>
      <c r="D575" s="43"/>
      <c r="E575" s="43"/>
      <c r="F575" s="43"/>
      <c r="G575" s="43"/>
      <c r="H575" s="404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</row>
    <row r="576" spans="1:25" ht="15.75" customHeight="1" x14ac:dyDescent="0.2">
      <c r="A576" s="43"/>
      <c r="B576" s="43"/>
      <c r="C576" s="43"/>
      <c r="D576" s="43"/>
      <c r="E576" s="43"/>
      <c r="F576" s="43"/>
      <c r="G576" s="43"/>
      <c r="H576" s="404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</row>
    <row r="577" spans="1:25" ht="15.75" customHeight="1" x14ac:dyDescent="0.2">
      <c r="A577" s="43"/>
      <c r="B577" s="43"/>
      <c r="C577" s="43"/>
      <c r="D577" s="43"/>
      <c r="E577" s="43"/>
      <c r="F577" s="43"/>
      <c r="G577" s="43"/>
      <c r="H577" s="404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</row>
    <row r="578" spans="1:25" ht="15.75" customHeight="1" x14ac:dyDescent="0.2">
      <c r="A578" s="43"/>
      <c r="B578" s="43"/>
      <c r="C578" s="43"/>
      <c r="D578" s="43"/>
      <c r="E578" s="43"/>
      <c r="F578" s="43"/>
      <c r="G578" s="43"/>
      <c r="H578" s="404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</row>
    <row r="579" spans="1:25" ht="15.75" customHeight="1" x14ac:dyDescent="0.2">
      <c r="A579" s="43"/>
      <c r="B579" s="43"/>
      <c r="C579" s="43"/>
      <c r="D579" s="43"/>
      <c r="E579" s="43"/>
      <c r="F579" s="43"/>
      <c r="G579" s="43"/>
      <c r="H579" s="404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</row>
    <row r="580" spans="1:25" ht="15.75" customHeight="1" x14ac:dyDescent="0.2">
      <c r="A580" s="43"/>
      <c r="B580" s="43"/>
      <c r="C580" s="43"/>
      <c r="D580" s="43"/>
      <c r="E580" s="43"/>
      <c r="F580" s="43"/>
      <c r="G580" s="43"/>
      <c r="H580" s="404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</row>
    <row r="581" spans="1:25" ht="15.75" customHeight="1" x14ac:dyDescent="0.2">
      <c r="A581" s="43"/>
      <c r="B581" s="43"/>
      <c r="C581" s="43"/>
      <c r="D581" s="43"/>
      <c r="E581" s="43"/>
      <c r="F581" s="43"/>
      <c r="G581" s="43"/>
      <c r="H581" s="404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</row>
    <row r="582" spans="1:25" ht="15.75" customHeight="1" x14ac:dyDescent="0.2">
      <c r="A582" s="43"/>
      <c r="B582" s="43"/>
      <c r="C582" s="43"/>
      <c r="D582" s="43"/>
      <c r="E582" s="43"/>
      <c r="F582" s="43"/>
      <c r="G582" s="43"/>
      <c r="H582" s="404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</row>
    <row r="583" spans="1:25" ht="15.75" customHeight="1" x14ac:dyDescent="0.2">
      <c r="A583" s="43"/>
      <c r="B583" s="43"/>
      <c r="C583" s="43"/>
      <c r="D583" s="43"/>
      <c r="E583" s="43"/>
      <c r="F583" s="43"/>
      <c r="G583" s="43"/>
      <c r="H583" s="404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</row>
    <row r="584" spans="1:25" ht="15.75" customHeight="1" x14ac:dyDescent="0.2">
      <c r="A584" s="43"/>
      <c r="B584" s="43"/>
      <c r="C584" s="43"/>
      <c r="D584" s="43"/>
      <c r="E584" s="43"/>
      <c r="F584" s="43"/>
      <c r="G584" s="43"/>
      <c r="H584" s="404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</row>
    <row r="585" spans="1:25" ht="15.75" customHeight="1" x14ac:dyDescent="0.2">
      <c r="A585" s="43"/>
      <c r="B585" s="43"/>
      <c r="C585" s="43"/>
      <c r="D585" s="43"/>
      <c r="E585" s="43"/>
      <c r="F585" s="43"/>
      <c r="G585" s="43"/>
      <c r="H585" s="404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</row>
    <row r="586" spans="1:25" ht="15.75" customHeight="1" x14ac:dyDescent="0.2">
      <c r="A586" s="43"/>
      <c r="B586" s="43"/>
      <c r="C586" s="43"/>
      <c r="D586" s="43"/>
      <c r="E586" s="43"/>
      <c r="F586" s="43"/>
      <c r="G586" s="43"/>
      <c r="H586" s="404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</row>
    <row r="587" spans="1:25" ht="15.75" customHeight="1" x14ac:dyDescent="0.2">
      <c r="A587" s="43"/>
      <c r="B587" s="43"/>
      <c r="C587" s="43"/>
      <c r="D587" s="43"/>
      <c r="E587" s="43"/>
      <c r="F587" s="43"/>
      <c r="G587" s="43"/>
      <c r="H587" s="404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</row>
    <row r="588" spans="1:25" ht="15.75" customHeight="1" x14ac:dyDescent="0.2">
      <c r="A588" s="43"/>
      <c r="B588" s="43"/>
      <c r="C588" s="43"/>
      <c r="D588" s="43"/>
      <c r="E588" s="43"/>
      <c r="F588" s="43"/>
      <c r="G588" s="43"/>
      <c r="H588" s="404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</row>
    <row r="589" spans="1:25" ht="15.75" customHeight="1" x14ac:dyDescent="0.2">
      <c r="A589" s="43"/>
      <c r="B589" s="43"/>
      <c r="C589" s="43"/>
      <c r="D589" s="43"/>
      <c r="E589" s="43"/>
      <c r="F589" s="43"/>
      <c r="G589" s="43"/>
      <c r="H589" s="404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</row>
    <row r="590" spans="1:25" ht="15.75" customHeight="1" x14ac:dyDescent="0.2">
      <c r="A590" s="43"/>
      <c r="B590" s="43"/>
      <c r="C590" s="43"/>
      <c r="D590" s="43"/>
      <c r="E590" s="43"/>
      <c r="F590" s="43"/>
      <c r="G590" s="43"/>
      <c r="H590" s="404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</row>
    <row r="591" spans="1:25" ht="15.75" customHeight="1" x14ac:dyDescent="0.2">
      <c r="A591" s="43"/>
      <c r="B591" s="43"/>
      <c r="C591" s="43"/>
      <c r="D591" s="43"/>
      <c r="E591" s="43"/>
      <c r="F591" s="43"/>
      <c r="G591" s="43"/>
      <c r="H591" s="404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</row>
    <row r="592" spans="1:25" ht="15.75" customHeight="1" x14ac:dyDescent="0.2">
      <c r="A592" s="43"/>
      <c r="B592" s="43"/>
      <c r="C592" s="43"/>
      <c r="D592" s="43"/>
      <c r="E592" s="43"/>
      <c r="F592" s="43"/>
      <c r="G592" s="43"/>
      <c r="H592" s="404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</row>
    <row r="593" spans="1:25" ht="15.75" customHeight="1" x14ac:dyDescent="0.2">
      <c r="A593" s="43"/>
      <c r="B593" s="43"/>
      <c r="C593" s="43"/>
      <c r="D593" s="43"/>
      <c r="E593" s="43"/>
      <c r="F593" s="43"/>
      <c r="G593" s="43"/>
      <c r="H593" s="404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</row>
    <row r="594" spans="1:25" ht="15.75" customHeight="1" x14ac:dyDescent="0.2">
      <c r="A594" s="43"/>
      <c r="B594" s="43"/>
      <c r="C594" s="43"/>
      <c r="D594" s="43"/>
      <c r="E594" s="43"/>
      <c r="F594" s="43"/>
      <c r="G594" s="43"/>
      <c r="H594" s="404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</row>
    <row r="595" spans="1:25" ht="15.75" customHeight="1" x14ac:dyDescent="0.2">
      <c r="A595" s="43"/>
      <c r="B595" s="43"/>
      <c r="C595" s="43"/>
      <c r="D595" s="43"/>
      <c r="E595" s="43"/>
      <c r="F595" s="43"/>
      <c r="G595" s="43"/>
      <c r="H595" s="404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</row>
    <row r="596" spans="1:25" ht="15.75" customHeight="1" x14ac:dyDescent="0.2">
      <c r="A596" s="43"/>
      <c r="B596" s="43"/>
      <c r="C596" s="43"/>
      <c r="D596" s="43"/>
      <c r="E596" s="43"/>
      <c r="F596" s="43"/>
      <c r="G596" s="43"/>
      <c r="H596" s="404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</row>
    <row r="597" spans="1:25" ht="15.75" customHeight="1" x14ac:dyDescent="0.2">
      <c r="A597" s="43"/>
      <c r="B597" s="43"/>
      <c r="C597" s="43"/>
      <c r="D597" s="43"/>
      <c r="E597" s="43"/>
      <c r="F597" s="43"/>
      <c r="G597" s="43"/>
      <c r="H597" s="404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</row>
    <row r="598" spans="1:25" ht="15.75" customHeight="1" x14ac:dyDescent="0.2">
      <c r="A598" s="43"/>
      <c r="B598" s="43"/>
      <c r="C598" s="43"/>
      <c r="D598" s="43"/>
      <c r="E598" s="43"/>
      <c r="F598" s="43"/>
      <c r="G598" s="43"/>
      <c r="H598" s="404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</row>
    <row r="599" spans="1:25" ht="15.75" customHeight="1" x14ac:dyDescent="0.2">
      <c r="A599" s="43"/>
      <c r="B599" s="43"/>
      <c r="C599" s="43"/>
      <c r="D599" s="43"/>
      <c r="E599" s="43"/>
      <c r="F599" s="43"/>
      <c r="G599" s="43"/>
      <c r="H599" s="404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</row>
    <row r="600" spans="1:25" ht="15.75" customHeight="1" x14ac:dyDescent="0.2">
      <c r="A600" s="43"/>
      <c r="B600" s="43"/>
      <c r="C600" s="43"/>
      <c r="D600" s="43"/>
      <c r="E600" s="43"/>
      <c r="F600" s="43"/>
      <c r="G600" s="43"/>
      <c r="H600" s="404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</row>
    <row r="601" spans="1:25" ht="15.75" customHeight="1" x14ac:dyDescent="0.2">
      <c r="A601" s="43"/>
      <c r="B601" s="43"/>
      <c r="C601" s="43"/>
      <c r="D601" s="43"/>
      <c r="E601" s="43"/>
      <c r="F601" s="43"/>
      <c r="G601" s="43"/>
      <c r="H601" s="404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</row>
    <row r="602" spans="1:25" ht="15.75" customHeight="1" x14ac:dyDescent="0.2">
      <c r="A602" s="43"/>
      <c r="B602" s="43"/>
      <c r="C602" s="43"/>
      <c r="D602" s="43"/>
      <c r="E602" s="43"/>
      <c r="F602" s="43"/>
      <c r="G602" s="43"/>
      <c r="H602" s="404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</row>
    <row r="603" spans="1:25" ht="15.75" customHeight="1" x14ac:dyDescent="0.2">
      <c r="A603" s="43"/>
      <c r="B603" s="43"/>
      <c r="C603" s="43"/>
      <c r="D603" s="43"/>
      <c r="E603" s="43"/>
      <c r="F603" s="43"/>
      <c r="G603" s="43"/>
      <c r="H603" s="404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</row>
    <row r="604" spans="1:25" ht="15.75" customHeight="1" x14ac:dyDescent="0.2">
      <c r="A604" s="43"/>
      <c r="B604" s="43"/>
      <c r="C604" s="43"/>
      <c r="D604" s="43"/>
      <c r="E604" s="43"/>
      <c r="F604" s="43"/>
      <c r="G604" s="43"/>
      <c r="H604" s="404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</row>
    <row r="605" spans="1:25" ht="15.75" customHeight="1" x14ac:dyDescent="0.2">
      <c r="A605" s="43"/>
      <c r="B605" s="43"/>
      <c r="C605" s="43"/>
      <c r="D605" s="43"/>
      <c r="E605" s="43"/>
      <c r="F605" s="43"/>
      <c r="G605" s="43"/>
      <c r="H605" s="404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</row>
    <row r="606" spans="1:25" ht="15.75" customHeight="1" x14ac:dyDescent="0.2">
      <c r="A606" s="43"/>
      <c r="B606" s="43"/>
      <c r="C606" s="43"/>
      <c r="D606" s="43"/>
      <c r="E606" s="43"/>
      <c r="F606" s="43"/>
      <c r="G606" s="43"/>
      <c r="H606" s="404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</row>
    <row r="607" spans="1:25" ht="15.75" customHeight="1" x14ac:dyDescent="0.2">
      <c r="A607" s="43"/>
      <c r="B607" s="43"/>
      <c r="C607" s="43"/>
      <c r="D607" s="43"/>
      <c r="E607" s="43"/>
      <c r="F607" s="43"/>
      <c r="G607" s="43"/>
      <c r="H607" s="404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</row>
    <row r="608" spans="1:25" ht="15.75" customHeight="1" x14ac:dyDescent="0.2">
      <c r="A608" s="43"/>
      <c r="B608" s="43"/>
      <c r="C608" s="43"/>
      <c r="D608" s="43"/>
      <c r="E608" s="43"/>
      <c r="F608" s="43"/>
      <c r="G608" s="43"/>
      <c r="H608" s="404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</row>
    <row r="609" spans="1:25" ht="15.75" customHeight="1" x14ac:dyDescent="0.2">
      <c r="A609" s="43"/>
      <c r="B609" s="43"/>
      <c r="C609" s="43"/>
      <c r="D609" s="43"/>
      <c r="E609" s="43"/>
      <c r="F609" s="43"/>
      <c r="G609" s="43"/>
      <c r="H609" s="404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</row>
    <row r="610" spans="1:25" ht="15.75" customHeight="1" x14ac:dyDescent="0.2">
      <c r="A610" s="43"/>
      <c r="B610" s="43"/>
      <c r="C610" s="43"/>
      <c r="D610" s="43"/>
      <c r="E610" s="43"/>
      <c r="F610" s="43"/>
      <c r="G610" s="43"/>
      <c r="H610" s="404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</row>
    <row r="611" spans="1:25" ht="15.75" customHeight="1" x14ac:dyDescent="0.2">
      <c r="A611" s="43"/>
      <c r="B611" s="43"/>
      <c r="C611" s="43"/>
      <c r="D611" s="43"/>
      <c r="E611" s="43"/>
      <c r="F611" s="43"/>
      <c r="G611" s="43"/>
      <c r="H611" s="404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</row>
    <row r="612" spans="1:25" ht="15.75" customHeight="1" x14ac:dyDescent="0.2">
      <c r="A612" s="43"/>
      <c r="B612" s="43"/>
      <c r="C612" s="43"/>
      <c r="D612" s="43"/>
      <c r="E612" s="43"/>
      <c r="F612" s="43"/>
      <c r="G612" s="43"/>
      <c r="H612" s="404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</row>
    <row r="613" spans="1:25" ht="15.75" customHeight="1" x14ac:dyDescent="0.2">
      <c r="A613" s="43"/>
      <c r="B613" s="43"/>
      <c r="C613" s="43"/>
      <c r="D613" s="43"/>
      <c r="E613" s="43"/>
      <c r="F613" s="43"/>
      <c r="G613" s="43"/>
      <c r="H613" s="404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</row>
    <row r="614" spans="1:25" ht="15.75" customHeight="1" x14ac:dyDescent="0.2">
      <c r="A614" s="43"/>
      <c r="B614" s="43"/>
      <c r="C614" s="43"/>
      <c r="D614" s="43"/>
      <c r="E614" s="43"/>
      <c r="F614" s="43"/>
      <c r="G614" s="43"/>
      <c r="H614" s="404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</row>
    <row r="615" spans="1:25" ht="15.75" customHeight="1" x14ac:dyDescent="0.2">
      <c r="A615" s="43"/>
      <c r="B615" s="43"/>
      <c r="C615" s="43"/>
      <c r="D615" s="43"/>
      <c r="E615" s="43"/>
      <c r="F615" s="43"/>
      <c r="G615" s="43"/>
      <c r="H615" s="404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</row>
    <row r="616" spans="1:25" ht="15.75" customHeight="1" x14ac:dyDescent="0.2">
      <c r="A616" s="43"/>
      <c r="B616" s="43"/>
      <c r="C616" s="43"/>
      <c r="D616" s="43"/>
      <c r="E616" s="43"/>
      <c r="F616" s="43"/>
      <c r="G616" s="43"/>
      <c r="H616" s="404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</row>
    <row r="617" spans="1:25" ht="15.75" customHeight="1" x14ac:dyDescent="0.2">
      <c r="A617" s="43"/>
      <c r="B617" s="43"/>
      <c r="C617" s="43"/>
      <c r="D617" s="43"/>
      <c r="E617" s="43"/>
      <c r="F617" s="43"/>
      <c r="G617" s="43"/>
      <c r="H617" s="404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</row>
    <row r="618" spans="1:25" ht="15.75" customHeight="1" x14ac:dyDescent="0.2">
      <c r="A618" s="43"/>
      <c r="B618" s="43"/>
      <c r="C618" s="43"/>
      <c r="D618" s="43"/>
      <c r="E618" s="43"/>
      <c r="F618" s="43"/>
      <c r="G618" s="43"/>
      <c r="H618" s="404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</row>
    <row r="619" spans="1:25" ht="15.75" customHeight="1" x14ac:dyDescent="0.2">
      <c r="A619" s="43"/>
      <c r="B619" s="43"/>
      <c r="C619" s="43"/>
      <c r="D619" s="43"/>
      <c r="E619" s="43"/>
      <c r="F619" s="43"/>
      <c r="G619" s="43"/>
      <c r="H619" s="404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</row>
    <row r="620" spans="1:25" ht="15.75" customHeight="1" x14ac:dyDescent="0.2">
      <c r="A620" s="43"/>
      <c r="B620" s="43"/>
      <c r="C620" s="43"/>
      <c r="D620" s="43"/>
      <c r="E620" s="43"/>
      <c r="F620" s="43"/>
      <c r="G620" s="43"/>
      <c r="H620" s="404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</row>
    <row r="621" spans="1:25" ht="15.75" customHeight="1" x14ac:dyDescent="0.2">
      <c r="A621" s="43"/>
      <c r="B621" s="43"/>
      <c r="C621" s="43"/>
      <c r="D621" s="43"/>
      <c r="E621" s="43"/>
      <c r="F621" s="43"/>
      <c r="G621" s="43"/>
      <c r="H621" s="404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</row>
    <row r="622" spans="1:25" ht="15.75" customHeight="1" x14ac:dyDescent="0.2">
      <c r="A622" s="43"/>
      <c r="B622" s="43"/>
      <c r="C622" s="43"/>
      <c r="D622" s="43"/>
      <c r="E622" s="43"/>
      <c r="F622" s="43"/>
      <c r="G622" s="43"/>
      <c r="H622" s="404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</row>
    <row r="623" spans="1:25" ht="15.75" customHeight="1" x14ac:dyDescent="0.2">
      <c r="A623" s="43"/>
      <c r="B623" s="43"/>
      <c r="C623" s="43"/>
      <c r="D623" s="43"/>
      <c r="E623" s="43"/>
      <c r="F623" s="43"/>
      <c r="G623" s="43"/>
      <c r="H623" s="404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</row>
    <row r="624" spans="1:25" ht="15.75" customHeight="1" x14ac:dyDescent="0.2">
      <c r="A624" s="43"/>
      <c r="B624" s="43"/>
      <c r="C624" s="43"/>
      <c r="D624" s="43"/>
      <c r="E624" s="43"/>
      <c r="F624" s="43"/>
      <c r="G624" s="43"/>
      <c r="H624" s="404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</row>
    <row r="625" spans="1:25" ht="15.75" customHeight="1" x14ac:dyDescent="0.2">
      <c r="A625" s="43"/>
      <c r="B625" s="43"/>
      <c r="C625" s="43"/>
      <c r="D625" s="43"/>
      <c r="E625" s="43"/>
      <c r="F625" s="43"/>
      <c r="G625" s="43"/>
      <c r="H625" s="404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</row>
    <row r="626" spans="1:25" ht="15.75" customHeight="1" x14ac:dyDescent="0.2">
      <c r="A626" s="43"/>
      <c r="B626" s="43"/>
      <c r="C626" s="43"/>
      <c r="D626" s="43"/>
      <c r="E626" s="43"/>
      <c r="F626" s="43"/>
      <c r="G626" s="43"/>
      <c r="H626" s="404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</row>
    <row r="627" spans="1:25" ht="15.75" customHeight="1" x14ac:dyDescent="0.2">
      <c r="A627" s="43"/>
      <c r="B627" s="43"/>
      <c r="C627" s="43"/>
      <c r="D627" s="43"/>
      <c r="E627" s="43"/>
      <c r="F627" s="43"/>
      <c r="G627" s="43"/>
      <c r="H627" s="404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</row>
    <row r="628" spans="1:25" ht="15.75" customHeight="1" x14ac:dyDescent="0.2">
      <c r="A628" s="43"/>
      <c r="B628" s="43"/>
      <c r="C628" s="43"/>
      <c r="D628" s="43"/>
      <c r="E628" s="43"/>
      <c r="F628" s="43"/>
      <c r="G628" s="43"/>
      <c r="H628" s="404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</row>
    <row r="629" spans="1:25" ht="15.75" customHeight="1" x14ac:dyDescent="0.2">
      <c r="A629" s="43"/>
      <c r="B629" s="43"/>
      <c r="C629" s="43"/>
      <c r="D629" s="43"/>
      <c r="E629" s="43"/>
      <c r="F629" s="43"/>
      <c r="G629" s="43"/>
      <c r="H629" s="404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</row>
    <row r="630" spans="1:25" ht="15.75" customHeight="1" x14ac:dyDescent="0.2">
      <c r="A630" s="43"/>
      <c r="B630" s="43"/>
      <c r="C630" s="43"/>
      <c r="D630" s="43"/>
      <c r="E630" s="43"/>
      <c r="F630" s="43"/>
      <c r="G630" s="43"/>
      <c r="H630" s="404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</row>
    <row r="631" spans="1:25" ht="15.75" customHeight="1" x14ac:dyDescent="0.2">
      <c r="A631" s="43"/>
      <c r="B631" s="43"/>
      <c r="C631" s="43"/>
      <c r="D631" s="43"/>
      <c r="E631" s="43"/>
      <c r="F631" s="43"/>
      <c r="G631" s="43"/>
      <c r="H631" s="404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</row>
    <row r="632" spans="1:25" ht="15.75" customHeight="1" x14ac:dyDescent="0.2">
      <c r="A632" s="43"/>
      <c r="B632" s="43"/>
      <c r="C632" s="43"/>
      <c r="D632" s="43"/>
      <c r="E632" s="43"/>
      <c r="F632" s="43"/>
      <c r="G632" s="43"/>
      <c r="H632" s="404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</row>
    <row r="633" spans="1:25" ht="15.75" customHeight="1" x14ac:dyDescent="0.2">
      <c r="A633" s="43"/>
      <c r="B633" s="43"/>
      <c r="C633" s="43"/>
      <c r="D633" s="43"/>
      <c r="E633" s="43"/>
      <c r="F633" s="43"/>
      <c r="G633" s="43"/>
      <c r="H633" s="404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</row>
    <row r="634" spans="1:25" ht="15.75" customHeight="1" x14ac:dyDescent="0.2">
      <c r="A634" s="43"/>
      <c r="B634" s="43"/>
      <c r="C634" s="43"/>
      <c r="D634" s="43"/>
      <c r="E634" s="43"/>
      <c r="F634" s="43"/>
      <c r="G634" s="43"/>
      <c r="H634" s="404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</row>
    <row r="635" spans="1:25" ht="15.75" customHeight="1" x14ac:dyDescent="0.2">
      <c r="A635" s="43"/>
      <c r="B635" s="43"/>
      <c r="C635" s="43"/>
      <c r="D635" s="43"/>
      <c r="E635" s="43"/>
      <c r="F635" s="43"/>
      <c r="G635" s="43"/>
      <c r="H635" s="404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</row>
    <row r="636" spans="1:25" ht="15.75" customHeight="1" x14ac:dyDescent="0.2">
      <c r="A636" s="43"/>
      <c r="B636" s="43"/>
      <c r="C636" s="43"/>
      <c r="D636" s="43"/>
      <c r="E636" s="43"/>
      <c r="F636" s="43"/>
      <c r="G636" s="43"/>
      <c r="H636" s="404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</row>
    <row r="637" spans="1:25" ht="15.75" customHeight="1" x14ac:dyDescent="0.2">
      <c r="A637" s="43"/>
      <c r="B637" s="43"/>
      <c r="C637" s="43"/>
      <c r="D637" s="43"/>
      <c r="E637" s="43"/>
      <c r="F637" s="43"/>
      <c r="G637" s="43"/>
      <c r="H637" s="404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</row>
    <row r="638" spans="1:25" ht="15.75" customHeight="1" x14ac:dyDescent="0.2">
      <c r="A638" s="43"/>
      <c r="B638" s="43"/>
      <c r="C638" s="43"/>
      <c r="D638" s="43"/>
      <c r="E638" s="43"/>
      <c r="F638" s="43"/>
      <c r="G638" s="43"/>
      <c r="H638" s="404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</row>
    <row r="639" spans="1:25" ht="15.75" customHeight="1" x14ac:dyDescent="0.2">
      <c r="A639" s="43"/>
      <c r="B639" s="43"/>
      <c r="C639" s="43"/>
      <c r="D639" s="43"/>
      <c r="E639" s="43"/>
      <c r="F639" s="43"/>
      <c r="G639" s="43"/>
      <c r="H639" s="404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</row>
    <row r="640" spans="1:25" ht="15.75" customHeight="1" x14ac:dyDescent="0.2">
      <c r="A640" s="43"/>
      <c r="B640" s="43"/>
      <c r="C640" s="43"/>
      <c r="D640" s="43"/>
      <c r="E640" s="43"/>
      <c r="F640" s="43"/>
      <c r="G640" s="43"/>
      <c r="H640" s="404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</row>
    <row r="641" spans="1:25" ht="15.75" customHeight="1" x14ac:dyDescent="0.2">
      <c r="A641" s="43"/>
      <c r="B641" s="43"/>
      <c r="C641" s="43"/>
      <c r="D641" s="43"/>
      <c r="E641" s="43"/>
      <c r="F641" s="43"/>
      <c r="G641" s="43"/>
      <c r="H641" s="404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</row>
    <row r="642" spans="1:25" ht="15.75" customHeight="1" x14ac:dyDescent="0.2">
      <c r="A642" s="43"/>
      <c r="B642" s="43"/>
      <c r="C642" s="43"/>
      <c r="D642" s="43"/>
      <c r="E642" s="43"/>
      <c r="F642" s="43"/>
      <c r="G642" s="43"/>
      <c r="H642" s="404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</row>
    <row r="643" spans="1:25" ht="15.75" customHeight="1" x14ac:dyDescent="0.2">
      <c r="A643" s="43"/>
      <c r="B643" s="43"/>
      <c r="C643" s="43"/>
      <c r="D643" s="43"/>
      <c r="E643" s="43"/>
      <c r="F643" s="43"/>
      <c r="G643" s="43"/>
      <c r="H643" s="404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</row>
    <row r="644" spans="1:25" ht="15.75" customHeight="1" x14ac:dyDescent="0.2">
      <c r="A644" s="43"/>
      <c r="B644" s="43"/>
      <c r="C644" s="43"/>
      <c r="D644" s="43"/>
      <c r="E644" s="43"/>
      <c r="F644" s="43"/>
      <c r="G644" s="43"/>
      <c r="H644" s="404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</row>
    <row r="645" spans="1:25" ht="15.75" customHeight="1" x14ac:dyDescent="0.2">
      <c r="A645" s="43"/>
      <c r="B645" s="43"/>
      <c r="C645" s="43"/>
      <c r="D645" s="43"/>
      <c r="E645" s="43"/>
      <c r="F645" s="43"/>
      <c r="G645" s="43"/>
      <c r="H645" s="404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</row>
    <row r="646" spans="1:25" ht="15.75" customHeight="1" x14ac:dyDescent="0.2">
      <c r="A646" s="43"/>
      <c r="B646" s="43"/>
      <c r="C646" s="43"/>
      <c r="D646" s="43"/>
      <c r="E646" s="43"/>
      <c r="F646" s="43"/>
      <c r="G646" s="43"/>
      <c r="H646" s="404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</row>
    <row r="647" spans="1:25" ht="15.75" customHeight="1" x14ac:dyDescent="0.2">
      <c r="A647" s="43"/>
      <c r="B647" s="43"/>
      <c r="C647" s="43"/>
      <c r="D647" s="43"/>
      <c r="E647" s="43"/>
      <c r="F647" s="43"/>
      <c r="G647" s="43"/>
      <c r="H647" s="404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</row>
    <row r="648" spans="1:25" ht="15.75" customHeight="1" x14ac:dyDescent="0.2">
      <c r="A648" s="43"/>
      <c r="B648" s="43"/>
      <c r="C648" s="43"/>
      <c r="D648" s="43"/>
      <c r="E648" s="43"/>
      <c r="F648" s="43"/>
      <c r="G648" s="43"/>
      <c r="H648" s="404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</row>
    <row r="649" spans="1:25" ht="15.75" customHeight="1" x14ac:dyDescent="0.2">
      <c r="A649" s="43"/>
      <c r="B649" s="43"/>
      <c r="C649" s="43"/>
      <c r="D649" s="43"/>
      <c r="E649" s="43"/>
      <c r="F649" s="43"/>
      <c r="G649" s="43"/>
      <c r="H649" s="404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</row>
    <row r="650" spans="1:25" ht="15.75" customHeight="1" x14ac:dyDescent="0.2">
      <c r="A650" s="43"/>
      <c r="B650" s="43"/>
      <c r="C650" s="43"/>
      <c r="D650" s="43"/>
      <c r="E650" s="43"/>
      <c r="F650" s="43"/>
      <c r="G650" s="43"/>
      <c r="H650" s="404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</row>
    <row r="651" spans="1:25" ht="15.75" customHeight="1" x14ac:dyDescent="0.2">
      <c r="A651" s="43"/>
      <c r="B651" s="43"/>
      <c r="C651" s="43"/>
      <c r="D651" s="43"/>
      <c r="E651" s="43"/>
      <c r="F651" s="43"/>
      <c r="G651" s="43"/>
      <c r="H651" s="404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</row>
    <row r="652" spans="1:25" ht="15.75" customHeight="1" x14ac:dyDescent="0.2">
      <c r="A652" s="43"/>
      <c r="B652" s="43"/>
      <c r="C652" s="43"/>
      <c r="D652" s="43"/>
      <c r="E652" s="43"/>
      <c r="F652" s="43"/>
      <c r="G652" s="43"/>
      <c r="H652" s="404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</row>
    <row r="653" spans="1:25" ht="15.75" customHeight="1" x14ac:dyDescent="0.2">
      <c r="A653" s="43"/>
      <c r="B653" s="43"/>
      <c r="C653" s="43"/>
      <c r="D653" s="43"/>
      <c r="E653" s="43"/>
      <c r="F653" s="43"/>
      <c r="G653" s="43"/>
      <c r="H653" s="404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</row>
    <row r="654" spans="1:25" ht="15.75" customHeight="1" x14ac:dyDescent="0.2">
      <c r="A654" s="43"/>
      <c r="B654" s="43"/>
      <c r="C654" s="43"/>
      <c r="D654" s="43"/>
      <c r="E654" s="43"/>
      <c r="F654" s="43"/>
      <c r="G654" s="43"/>
      <c r="H654" s="404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</row>
    <row r="655" spans="1:25" ht="15.75" customHeight="1" x14ac:dyDescent="0.2">
      <c r="A655" s="43"/>
      <c r="B655" s="43"/>
      <c r="C655" s="43"/>
      <c r="D655" s="43"/>
      <c r="E655" s="43"/>
      <c r="F655" s="43"/>
      <c r="G655" s="43"/>
      <c r="H655" s="404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</row>
    <row r="656" spans="1:25" ht="15.75" customHeight="1" x14ac:dyDescent="0.2">
      <c r="A656" s="43"/>
      <c r="B656" s="43"/>
      <c r="C656" s="43"/>
      <c r="D656" s="43"/>
      <c r="E656" s="43"/>
      <c r="F656" s="43"/>
      <c r="G656" s="43"/>
      <c r="H656" s="404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</row>
    <row r="657" spans="1:25" ht="15.75" customHeight="1" x14ac:dyDescent="0.2">
      <c r="A657" s="43"/>
      <c r="B657" s="43"/>
      <c r="C657" s="43"/>
      <c r="D657" s="43"/>
      <c r="E657" s="43"/>
      <c r="F657" s="43"/>
      <c r="G657" s="43"/>
      <c r="H657" s="404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</row>
    <row r="658" spans="1:25" ht="15.75" customHeight="1" x14ac:dyDescent="0.2">
      <c r="A658" s="43"/>
      <c r="B658" s="43"/>
      <c r="C658" s="43"/>
      <c r="D658" s="43"/>
      <c r="E658" s="43"/>
      <c r="F658" s="43"/>
      <c r="G658" s="43"/>
      <c r="H658" s="404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</row>
    <row r="659" spans="1:25" ht="15.75" customHeight="1" x14ac:dyDescent="0.2">
      <c r="A659" s="43"/>
      <c r="B659" s="43"/>
      <c r="C659" s="43"/>
      <c r="D659" s="43"/>
      <c r="E659" s="43"/>
      <c r="F659" s="43"/>
      <c r="G659" s="43"/>
      <c r="H659" s="404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</row>
    <row r="660" spans="1:25" ht="15.75" customHeight="1" x14ac:dyDescent="0.2">
      <c r="A660" s="43"/>
      <c r="B660" s="43"/>
      <c r="C660" s="43"/>
      <c r="D660" s="43"/>
      <c r="E660" s="43"/>
      <c r="F660" s="43"/>
      <c r="G660" s="43"/>
      <c r="H660" s="404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</row>
    <row r="661" spans="1:25" ht="15.75" customHeight="1" x14ac:dyDescent="0.2">
      <c r="A661" s="43"/>
      <c r="B661" s="43"/>
      <c r="C661" s="43"/>
      <c r="D661" s="43"/>
      <c r="E661" s="43"/>
      <c r="F661" s="43"/>
      <c r="G661" s="43"/>
      <c r="H661" s="404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</row>
    <row r="662" spans="1:25" ht="15.75" customHeight="1" x14ac:dyDescent="0.2">
      <c r="A662" s="43"/>
      <c r="B662" s="43"/>
      <c r="C662" s="43"/>
      <c r="D662" s="43"/>
      <c r="E662" s="43"/>
      <c r="F662" s="43"/>
      <c r="G662" s="43"/>
      <c r="H662" s="404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</row>
    <row r="663" spans="1:25" ht="15.75" customHeight="1" x14ac:dyDescent="0.2">
      <c r="A663" s="43"/>
      <c r="B663" s="43"/>
      <c r="C663" s="43"/>
      <c r="D663" s="43"/>
      <c r="E663" s="43"/>
      <c r="F663" s="43"/>
      <c r="G663" s="43"/>
      <c r="H663" s="404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</row>
    <row r="664" spans="1:25" ht="15.75" customHeight="1" x14ac:dyDescent="0.2">
      <c r="A664" s="43"/>
      <c r="B664" s="43"/>
      <c r="C664" s="43"/>
      <c r="D664" s="43"/>
      <c r="E664" s="43"/>
      <c r="F664" s="43"/>
      <c r="G664" s="43"/>
      <c r="H664" s="404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</row>
    <row r="665" spans="1:25" ht="15.75" customHeight="1" x14ac:dyDescent="0.2">
      <c r="A665" s="43"/>
      <c r="B665" s="43"/>
      <c r="C665" s="43"/>
      <c r="D665" s="43"/>
      <c r="E665" s="43"/>
      <c r="F665" s="43"/>
      <c r="G665" s="43"/>
      <c r="H665" s="404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</row>
    <row r="666" spans="1:25" ht="15.75" customHeight="1" x14ac:dyDescent="0.2">
      <c r="A666" s="43"/>
      <c r="B666" s="43"/>
      <c r="C666" s="43"/>
      <c r="D666" s="43"/>
      <c r="E666" s="43"/>
      <c r="F666" s="43"/>
      <c r="G666" s="43"/>
      <c r="H666" s="404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</row>
    <row r="667" spans="1:25" ht="15.75" customHeight="1" x14ac:dyDescent="0.2">
      <c r="A667" s="43"/>
      <c r="B667" s="43"/>
      <c r="C667" s="43"/>
      <c r="D667" s="43"/>
      <c r="E667" s="43"/>
      <c r="F667" s="43"/>
      <c r="G667" s="43"/>
      <c r="H667" s="404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</row>
    <row r="668" spans="1:25" ht="15.75" customHeight="1" x14ac:dyDescent="0.2">
      <c r="A668" s="43"/>
      <c r="B668" s="43"/>
      <c r="C668" s="43"/>
      <c r="D668" s="43"/>
      <c r="E668" s="43"/>
      <c r="F668" s="43"/>
      <c r="G668" s="43"/>
      <c r="H668" s="404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</row>
    <row r="669" spans="1:25" ht="15.75" customHeight="1" x14ac:dyDescent="0.2">
      <c r="A669" s="43"/>
      <c r="B669" s="43"/>
      <c r="C669" s="43"/>
      <c r="D669" s="43"/>
      <c r="E669" s="43"/>
      <c r="F669" s="43"/>
      <c r="G669" s="43"/>
      <c r="H669" s="404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</row>
    <row r="670" spans="1:25" ht="15.75" customHeight="1" x14ac:dyDescent="0.2">
      <c r="A670" s="43"/>
      <c r="B670" s="43"/>
      <c r="C670" s="43"/>
      <c r="D670" s="43"/>
      <c r="E670" s="43"/>
      <c r="F670" s="43"/>
      <c r="G670" s="43"/>
      <c r="H670" s="404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</row>
    <row r="671" spans="1:25" ht="15.75" customHeight="1" x14ac:dyDescent="0.2">
      <c r="A671" s="43"/>
      <c r="B671" s="43"/>
      <c r="C671" s="43"/>
      <c r="D671" s="43"/>
      <c r="E671" s="43"/>
      <c r="F671" s="43"/>
      <c r="G671" s="43"/>
      <c r="H671" s="404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</row>
    <row r="672" spans="1:25" ht="15.75" customHeight="1" x14ac:dyDescent="0.2">
      <c r="A672" s="43"/>
      <c r="B672" s="43"/>
      <c r="C672" s="43"/>
      <c r="D672" s="43"/>
      <c r="E672" s="43"/>
      <c r="F672" s="43"/>
      <c r="G672" s="43"/>
      <c r="H672" s="404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</row>
    <row r="673" spans="1:25" ht="15.75" customHeight="1" x14ac:dyDescent="0.2">
      <c r="A673" s="43"/>
      <c r="B673" s="43"/>
      <c r="C673" s="43"/>
      <c r="D673" s="43"/>
      <c r="E673" s="43"/>
      <c r="F673" s="43"/>
      <c r="G673" s="43"/>
      <c r="H673" s="404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</row>
    <row r="674" spans="1:25" ht="15.75" customHeight="1" x14ac:dyDescent="0.2">
      <c r="A674" s="43"/>
      <c r="B674" s="43"/>
      <c r="C674" s="43"/>
      <c r="D674" s="43"/>
      <c r="E674" s="43"/>
      <c r="F674" s="43"/>
      <c r="G674" s="43"/>
      <c r="H674" s="404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</row>
    <row r="675" spans="1:25" ht="15.75" customHeight="1" x14ac:dyDescent="0.2">
      <c r="A675" s="43"/>
      <c r="B675" s="43"/>
      <c r="C675" s="43"/>
      <c r="D675" s="43"/>
      <c r="E675" s="43"/>
      <c r="F675" s="43"/>
      <c r="G675" s="43"/>
      <c r="H675" s="404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</row>
    <row r="676" spans="1:25" ht="15.75" customHeight="1" x14ac:dyDescent="0.2">
      <c r="A676" s="43"/>
      <c r="B676" s="43"/>
      <c r="C676" s="43"/>
      <c r="D676" s="43"/>
      <c r="E676" s="43"/>
      <c r="F676" s="43"/>
      <c r="G676" s="43"/>
      <c r="H676" s="404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</row>
    <row r="677" spans="1:25" ht="15.75" customHeight="1" x14ac:dyDescent="0.2">
      <c r="A677" s="43"/>
      <c r="B677" s="43"/>
      <c r="C677" s="43"/>
      <c r="D677" s="43"/>
      <c r="E677" s="43"/>
      <c r="F677" s="43"/>
      <c r="G677" s="43"/>
      <c r="H677" s="404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</row>
    <row r="678" spans="1:25" ht="15.75" customHeight="1" x14ac:dyDescent="0.2">
      <c r="A678" s="43"/>
      <c r="B678" s="43"/>
      <c r="C678" s="43"/>
      <c r="D678" s="43"/>
      <c r="E678" s="43"/>
      <c r="F678" s="43"/>
      <c r="G678" s="43"/>
      <c r="H678" s="404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</row>
    <row r="679" spans="1:25" ht="15.75" customHeight="1" x14ac:dyDescent="0.2">
      <c r="A679" s="43"/>
      <c r="B679" s="43"/>
      <c r="C679" s="43"/>
      <c r="D679" s="43"/>
      <c r="E679" s="43"/>
      <c r="F679" s="43"/>
      <c r="G679" s="43"/>
      <c r="H679" s="404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</row>
    <row r="680" spans="1:25" ht="15.75" customHeight="1" x14ac:dyDescent="0.2">
      <c r="A680" s="43"/>
      <c r="B680" s="43"/>
      <c r="C680" s="43"/>
      <c r="D680" s="43"/>
      <c r="E680" s="43"/>
      <c r="F680" s="43"/>
      <c r="G680" s="43"/>
      <c r="H680" s="404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</row>
    <row r="681" spans="1:25" ht="15.75" customHeight="1" x14ac:dyDescent="0.2">
      <c r="A681" s="43"/>
      <c r="B681" s="43"/>
      <c r="C681" s="43"/>
      <c r="D681" s="43"/>
      <c r="E681" s="43"/>
      <c r="F681" s="43"/>
      <c r="G681" s="43"/>
      <c r="H681" s="404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</row>
    <row r="682" spans="1:25" ht="15.75" customHeight="1" x14ac:dyDescent="0.2">
      <c r="A682" s="43"/>
      <c r="B682" s="43"/>
      <c r="C682" s="43"/>
      <c r="D682" s="43"/>
      <c r="E682" s="43"/>
      <c r="F682" s="43"/>
      <c r="G682" s="43"/>
      <c r="H682" s="404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</row>
    <row r="683" spans="1:25" ht="15.75" customHeight="1" x14ac:dyDescent="0.2">
      <c r="A683" s="43"/>
      <c r="B683" s="43"/>
      <c r="C683" s="43"/>
      <c r="D683" s="43"/>
      <c r="E683" s="43"/>
      <c r="F683" s="43"/>
      <c r="G683" s="43"/>
      <c r="H683" s="404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</row>
    <row r="684" spans="1:25" ht="15.75" customHeight="1" x14ac:dyDescent="0.2">
      <c r="A684" s="43"/>
      <c r="B684" s="43"/>
      <c r="C684" s="43"/>
      <c r="D684" s="43"/>
      <c r="E684" s="43"/>
      <c r="F684" s="43"/>
      <c r="G684" s="43"/>
      <c r="H684" s="404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</row>
    <row r="685" spans="1:25" ht="15.75" customHeight="1" x14ac:dyDescent="0.2">
      <c r="A685" s="43"/>
      <c r="B685" s="43"/>
      <c r="C685" s="43"/>
      <c r="D685" s="43"/>
      <c r="E685" s="43"/>
      <c r="F685" s="43"/>
      <c r="G685" s="43"/>
      <c r="H685" s="404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</row>
    <row r="686" spans="1:25" ht="15.75" customHeight="1" x14ac:dyDescent="0.2">
      <c r="A686" s="43"/>
      <c r="B686" s="43"/>
      <c r="C686" s="43"/>
      <c r="D686" s="43"/>
      <c r="E686" s="43"/>
      <c r="F686" s="43"/>
      <c r="G686" s="43"/>
      <c r="H686" s="404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</row>
    <row r="687" spans="1:25" ht="15.75" customHeight="1" x14ac:dyDescent="0.2">
      <c r="A687" s="43"/>
      <c r="B687" s="43"/>
      <c r="C687" s="43"/>
      <c r="D687" s="43"/>
      <c r="E687" s="43"/>
      <c r="F687" s="43"/>
      <c r="G687" s="43"/>
      <c r="H687" s="404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</row>
    <row r="688" spans="1:25" ht="15.75" customHeight="1" x14ac:dyDescent="0.2">
      <c r="A688" s="43"/>
      <c r="B688" s="43"/>
      <c r="C688" s="43"/>
      <c r="D688" s="43"/>
      <c r="E688" s="43"/>
      <c r="F688" s="43"/>
      <c r="G688" s="43"/>
      <c r="H688" s="404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</row>
    <row r="689" spans="1:25" ht="15.75" customHeight="1" x14ac:dyDescent="0.2">
      <c r="A689" s="43"/>
      <c r="B689" s="43"/>
      <c r="C689" s="43"/>
      <c r="D689" s="43"/>
      <c r="E689" s="43"/>
      <c r="F689" s="43"/>
      <c r="G689" s="43"/>
      <c r="H689" s="404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</row>
    <row r="690" spans="1:25" ht="15.75" customHeight="1" x14ac:dyDescent="0.2">
      <c r="A690" s="43"/>
      <c r="B690" s="43"/>
      <c r="C690" s="43"/>
      <c r="D690" s="43"/>
      <c r="E690" s="43"/>
      <c r="F690" s="43"/>
      <c r="G690" s="43"/>
      <c r="H690" s="404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</row>
    <row r="691" spans="1:25" ht="15.75" customHeight="1" x14ac:dyDescent="0.2">
      <c r="A691" s="43"/>
      <c r="B691" s="43"/>
      <c r="C691" s="43"/>
      <c r="D691" s="43"/>
      <c r="E691" s="43"/>
      <c r="F691" s="43"/>
      <c r="G691" s="43"/>
      <c r="H691" s="404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</row>
    <row r="692" spans="1:25" ht="15.75" customHeight="1" x14ac:dyDescent="0.2">
      <c r="A692" s="43"/>
      <c r="B692" s="43"/>
      <c r="C692" s="43"/>
      <c r="D692" s="43"/>
      <c r="E692" s="43"/>
      <c r="F692" s="43"/>
      <c r="G692" s="43"/>
      <c r="H692" s="404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</row>
    <row r="693" spans="1:25" ht="15.75" customHeight="1" x14ac:dyDescent="0.2">
      <c r="A693" s="43"/>
      <c r="B693" s="43"/>
      <c r="C693" s="43"/>
      <c r="D693" s="43"/>
      <c r="E693" s="43"/>
      <c r="F693" s="43"/>
      <c r="G693" s="43"/>
      <c r="H693" s="404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</row>
    <row r="694" spans="1:25" ht="15.75" customHeight="1" x14ac:dyDescent="0.2">
      <c r="A694" s="43"/>
      <c r="B694" s="43"/>
      <c r="C694" s="43"/>
      <c r="D694" s="43"/>
      <c r="E694" s="43"/>
      <c r="F694" s="43"/>
      <c r="G694" s="43"/>
      <c r="H694" s="404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</row>
    <row r="695" spans="1:25" ht="15.75" customHeight="1" x14ac:dyDescent="0.2">
      <c r="A695" s="43"/>
      <c r="B695" s="43"/>
      <c r="C695" s="43"/>
      <c r="D695" s="43"/>
      <c r="E695" s="43"/>
      <c r="F695" s="43"/>
      <c r="G695" s="43"/>
      <c r="H695" s="404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</row>
    <row r="696" spans="1:25" ht="15.75" customHeight="1" x14ac:dyDescent="0.2">
      <c r="A696" s="43"/>
      <c r="B696" s="43"/>
      <c r="C696" s="43"/>
      <c r="D696" s="43"/>
      <c r="E696" s="43"/>
      <c r="F696" s="43"/>
      <c r="G696" s="43"/>
      <c r="H696" s="404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</row>
    <row r="697" spans="1:25" ht="15.75" customHeight="1" x14ac:dyDescent="0.2">
      <c r="A697" s="43"/>
      <c r="B697" s="43"/>
      <c r="C697" s="43"/>
      <c r="D697" s="43"/>
      <c r="E697" s="43"/>
      <c r="F697" s="43"/>
      <c r="G697" s="43"/>
      <c r="H697" s="404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</row>
    <row r="698" spans="1:25" ht="15.75" customHeight="1" x14ac:dyDescent="0.2">
      <c r="A698" s="43"/>
      <c r="B698" s="43"/>
      <c r="C698" s="43"/>
      <c r="D698" s="43"/>
      <c r="E698" s="43"/>
      <c r="F698" s="43"/>
      <c r="G698" s="43"/>
      <c r="H698" s="404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</row>
    <row r="699" spans="1:25" ht="15.75" customHeight="1" x14ac:dyDescent="0.2">
      <c r="A699" s="43"/>
      <c r="B699" s="43"/>
      <c r="C699" s="43"/>
      <c r="D699" s="43"/>
      <c r="E699" s="43"/>
      <c r="F699" s="43"/>
      <c r="G699" s="43"/>
      <c r="H699" s="404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</row>
    <row r="700" spans="1:25" ht="15.75" customHeight="1" x14ac:dyDescent="0.2">
      <c r="A700" s="43"/>
      <c r="B700" s="43"/>
      <c r="C700" s="43"/>
      <c r="D700" s="43"/>
      <c r="E700" s="43"/>
      <c r="F700" s="43"/>
      <c r="G700" s="43"/>
      <c r="H700" s="404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</row>
    <row r="701" spans="1:25" ht="15.75" customHeight="1" x14ac:dyDescent="0.2">
      <c r="A701" s="43"/>
      <c r="B701" s="43"/>
      <c r="C701" s="43"/>
      <c r="D701" s="43"/>
      <c r="E701" s="43"/>
      <c r="F701" s="43"/>
      <c r="G701" s="43"/>
      <c r="H701" s="404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</row>
    <row r="702" spans="1:25" ht="15.75" customHeight="1" x14ac:dyDescent="0.2">
      <c r="A702" s="43"/>
      <c r="B702" s="43"/>
      <c r="C702" s="43"/>
      <c r="D702" s="43"/>
      <c r="E702" s="43"/>
      <c r="F702" s="43"/>
      <c r="G702" s="43"/>
      <c r="H702" s="404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</row>
    <row r="703" spans="1:25" ht="15.75" customHeight="1" x14ac:dyDescent="0.2">
      <c r="A703" s="43"/>
      <c r="B703" s="43"/>
      <c r="C703" s="43"/>
      <c r="D703" s="43"/>
      <c r="E703" s="43"/>
      <c r="F703" s="43"/>
      <c r="G703" s="43"/>
      <c r="H703" s="404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</row>
    <row r="704" spans="1:25" ht="15.75" customHeight="1" x14ac:dyDescent="0.2">
      <c r="A704" s="43"/>
      <c r="B704" s="43"/>
      <c r="C704" s="43"/>
      <c r="D704" s="43"/>
      <c r="E704" s="43"/>
      <c r="F704" s="43"/>
      <c r="G704" s="43"/>
      <c r="H704" s="404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</row>
    <row r="705" spans="1:25" ht="15.75" customHeight="1" x14ac:dyDescent="0.2">
      <c r="A705" s="43"/>
      <c r="B705" s="43"/>
      <c r="C705" s="43"/>
      <c r="D705" s="43"/>
      <c r="E705" s="43"/>
      <c r="F705" s="43"/>
      <c r="G705" s="43"/>
      <c r="H705" s="404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</row>
    <row r="706" spans="1:25" ht="15.75" customHeight="1" x14ac:dyDescent="0.2">
      <c r="A706" s="43"/>
      <c r="B706" s="43"/>
      <c r="C706" s="43"/>
      <c r="D706" s="43"/>
      <c r="E706" s="43"/>
      <c r="F706" s="43"/>
      <c r="G706" s="43"/>
      <c r="H706" s="404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</row>
    <row r="707" spans="1:25" ht="15.75" customHeight="1" x14ac:dyDescent="0.2">
      <c r="A707" s="43"/>
      <c r="B707" s="43"/>
      <c r="C707" s="43"/>
      <c r="D707" s="43"/>
      <c r="E707" s="43"/>
      <c r="F707" s="43"/>
      <c r="G707" s="43"/>
      <c r="H707" s="404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</row>
    <row r="708" spans="1:25" ht="15.75" customHeight="1" x14ac:dyDescent="0.2">
      <c r="A708" s="43"/>
      <c r="B708" s="43"/>
      <c r="C708" s="43"/>
      <c r="D708" s="43"/>
      <c r="E708" s="43"/>
      <c r="F708" s="43"/>
      <c r="G708" s="43"/>
      <c r="H708" s="404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</row>
    <row r="709" spans="1:25" ht="15.75" customHeight="1" x14ac:dyDescent="0.2">
      <c r="A709" s="43"/>
      <c r="B709" s="43"/>
      <c r="C709" s="43"/>
      <c r="D709" s="43"/>
      <c r="E709" s="43"/>
      <c r="F709" s="43"/>
      <c r="G709" s="43"/>
      <c r="H709" s="404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</row>
    <row r="710" spans="1:25" ht="15.75" customHeight="1" x14ac:dyDescent="0.2">
      <c r="A710" s="43"/>
      <c r="B710" s="43"/>
      <c r="C710" s="43"/>
      <c r="D710" s="43"/>
      <c r="E710" s="43"/>
      <c r="F710" s="43"/>
      <c r="G710" s="43"/>
      <c r="H710" s="404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</row>
    <row r="711" spans="1:25" ht="15.75" customHeight="1" x14ac:dyDescent="0.2">
      <c r="A711" s="43"/>
      <c r="B711" s="43"/>
      <c r="C711" s="43"/>
      <c r="D711" s="43"/>
      <c r="E711" s="43"/>
      <c r="F711" s="43"/>
      <c r="G711" s="43"/>
      <c r="H711" s="404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</row>
    <row r="712" spans="1:25" ht="15.75" customHeight="1" x14ac:dyDescent="0.2">
      <c r="A712" s="43"/>
      <c r="B712" s="43"/>
      <c r="C712" s="43"/>
      <c r="D712" s="43"/>
      <c r="E712" s="43"/>
      <c r="F712" s="43"/>
      <c r="G712" s="43"/>
      <c r="H712" s="404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</row>
    <row r="713" spans="1:25" ht="15.75" customHeight="1" x14ac:dyDescent="0.2">
      <c r="A713" s="43"/>
      <c r="B713" s="43"/>
      <c r="C713" s="43"/>
      <c r="D713" s="43"/>
      <c r="E713" s="43"/>
      <c r="F713" s="43"/>
      <c r="G713" s="43"/>
      <c r="H713" s="404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</row>
    <row r="714" spans="1:25" ht="15.75" customHeight="1" x14ac:dyDescent="0.2">
      <c r="A714" s="43"/>
      <c r="B714" s="43"/>
      <c r="C714" s="43"/>
      <c r="D714" s="43"/>
      <c r="E714" s="43"/>
      <c r="F714" s="43"/>
      <c r="G714" s="43"/>
      <c r="H714" s="404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</row>
    <row r="715" spans="1:25" ht="15.75" customHeight="1" x14ac:dyDescent="0.2">
      <c r="A715" s="43"/>
      <c r="B715" s="43"/>
      <c r="C715" s="43"/>
      <c r="D715" s="43"/>
      <c r="E715" s="43"/>
      <c r="F715" s="43"/>
      <c r="G715" s="43"/>
      <c r="H715" s="404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</row>
    <row r="716" spans="1:25" ht="15.75" customHeight="1" x14ac:dyDescent="0.2">
      <c r="A716" s="43"/>
      <c r="B716" s="43"/>
      <c r="C716" s="43"/>
      <c r="D716" s="43"/>
      <c r="E716" s="43"/>
      <c r="F716" s="43"/>
      <c r="G716" s="43"/>
      <c r="H716" s="404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</row>
    <row r="717" spans="1:25" ht="15.75" customHeight="1" x14ac:dyDescent="0.2">
      <c r="A717" s="43"/>
      <c r="B717" s="43"/>
      <c r="C717" s="43"/>
      <c r="D717" s="43"/>
      <c r="E717" s="43"/>
      <c r="F717" s="43"/>
      <c r="G717" s="43"/>
      <c r="H717" s="404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</row>
    <row r="718" spans="1:25" ht="15.75" customHeight="1" x14ac:dyDescent="0.2">
      <c r="A718" s="43"/>
      <c r="B718" s="43"/>
      <c r="C718" s="43"/>
      <c r="D718" s="43"/>
      <c r="E718" s="43"/>
      <c r="F718" s="43"/>
      <c r="G718" s="43"/>
      <c r="H718" s="404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</row>
    <row r="719" spans="1:25" ht="15.75" customHeight="1" x14ac:dyDescent="0.2">
      <c r="A719" s="43"/>
      <c r="B719" s="43"/>
      <c r="C719" s="43"/>
      <c r="D719" s="43"/>
      <c r="E719" s="43"/>
      <c r="F719" s="43"/>
      <c r="G719" s="43"/>
      <c r="H719" s="404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</row>
    <row r="720" spans="1:25" ht="15.75" customHeight="1" x14ac:dyDescent="0.2">
      <c r="A720" s="43"/>
      <c r="B720" s="43"/>
      <c r="C720" s="43"/>
      <c r="D720" s="43"/>
      <c r="E720" s="43"/>
      <c r="F720" s="43"/>
      <c r="G720" s="43"/>
      <c r="H720" s="404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</row>
    <row r="721" spans="1:25" ht="15.75" customHeight="1" x14ac:dyDescent="0.2">
      <c r="A721" s="43"/>
      <c r="B721" s="43"/>
      <c r="C721" s="43"/>
      <c r="D721" s="43"/>
      <c r="E721" s="43"/>
      <c r="F721" s="43"/>
      <c r="G721" s="43"/>
      <c r="H721" s="404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</row>
    <row r="722" spans="1:25" ht="15.75" customHeight="1" x14ac:dyDescent="0.2">
      <c r="A722" s="43"/>
      <c r="B722" s="43"/>
      <c r="C722" s="43"/>
      <c r="D722" s="43"/>
      <c r="E722" s="43"/>
      <c r="F722" s="43"/>
      <c r="G722" s="43"/>
      <c r="H722" s="404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</row>
    <row r="723" spans="1:25" ht="15.75" customHeight="1" x14ac:dyDescent="0.2">
      <c r="A723" s="43"/>
      <c r="B723" s="43"/>
      <c r="C723" s="43"/>
      <c r="D723" s="43"/>
      <c r="E723" s="43"/>
      <c r="F723" s="43"/>
      <c r="G723" s="43"/>
      <c r="H723" s="404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</row>
    <row r="724" spans="1:25" ht="15.75" customHeight="1" x14ac:dyDescent="0.2">
      <c r="A724" s="43"/>
      <c r="B724" s="43"/>
      <c r="C724" s="43"/>
      <c r="D724" s="43"/>
      <c r="E724" s="43"/>
      <c r="F724" s="43"/>
      <c r="G724" s="43"/>
      <c r="H724" s="404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</row>
    <row r="725" spans="1:25" ht="15.75" customHeight="1" x14ac:dyDescent="0.2">
      <c r="A725" s="43"/>
      <c r="B725" s="43"/>
      <c r="C725" s="43"/>
      <c r="D725" s="43"/>
      <c r="E725" s="43"/>
      <c r="F725" s="43"/>
      <c r="G725" s="43"/>
      <c r="H725" s="404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</row>
    <row r="726" spans="1:25" ht="15.75" customHeight="1" x14ac:dyDescent="0.2">
      <c r="A726" s="43"/>
      <c r="B726" s="43"/>
      <c r="C726" s="43"/>
      <c r="D726" s="43"/>
      <c r="E726" s="43"/>
      <c r="F726" s="43"/>
      <c r="G726" s="43"/>
      <c r="H726" s="404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</row>
    <row r="727" spans="1:25" ht="15.75" customHeight="1" x14ac:dyDescent="0.2">
      <c r="A727" s="43"/>
      <c r="B727" s="43"/>
      <c r="C727" s="43"/>
      <c r="D727" s="43"/>
      <c r="E727" s="43"/>
      <c r="F727" s="43"/>
      <c r="G727" s="43"/>
      <c r="H727" s="404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</row>
    <row r="728" spans="1:25" ht="15.75" customHeight="1" x14ac:dyDescent="0.2">
      <c r="A728" s="43"/>
      <c r="B728" s="43"/>
      <c r="C728" s="43"/>
      <c r="D728" s="43"/>
      <c r="E728" s="43"/>
      <c r="F728" s="43"/>
      <c r="G728" s="43"/>
      <c r="H728" s="404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</row>
    <row r="729" spans="1:25" ht="15.75" customHeight="1" x14ac:dyDescent="0.2">
      <c r="A729" s="43"/>
      <c r="B729" s="43"/>
      <c r="C729" s="43"/>
      <c r="D729" s="43"/>
      <c r="E729" s="43"/>
      <c r="F729" s="43"/>
      <c r="G729" s="43"/>
      <c r="H729" s="404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</row>
    <row r="730" spans="1:25" ht="15.75" customHeight="1" x14ac:dyDescent="0.2">
      <c r="A730" s="43"/>
      <c r="B730" s="43"/>
      <c r="C730" s="43"/>
      <c r="D730" s="43"/>
      <c r="E730" s="43"/>
      <c r="F730" s="43"/>
      <c r="G730" s="43"/>
      <c r="H730" s="404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</row>
    <row r="731" spans="1:25" ht="15.75" customHeight="1" x14ac:dyDescent="0.2">
      <c r="A731" s="43"/>
      <c r="B731" s="43"/>
      <c r="C731" s="43"/>
      <c r="D731" s="43"/>
      <c r="E731" s="43"/>
      <c r="F731" s="43"/>
      <c r="G731" s="43"/>
      <c r="H731" s="404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</row>
    <row r="732" spans="1:25" ht="15.75" customHeight="1" x14ac:dyDescent="0.2">
      <c r="A732" s="43"/>
      <c r="B732" s="43"/>
      <c r="C732" s="43"/>
      <c r="D732" s="43"/>
      <c r="E732" s="43"/>
      <c r="F732" s="43"/>
      <c r="G732" s="43"/>
      <c r="H732" s="404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</row>
    <row r="733" spans="1:25" ht="15.75" customHeight="1" x14ac:dyDescent="0.2">
      <c r="A733" s="43"/>
      <c r="B733" s="43"/>
      <c r="C733" s="43"/>
      <c r="D733" s="43"/>
      <c r="E733" s="43"/>
      <c r="F733" s="43"/>
      <c r="G733" s="43"/>
      <c r="H733" s="404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</row>
    <row r="734" spans="1:25" ht="15.75" customHeight="1" x14ac:dyDescent="0.2">
      <c r="A734" s="43"/>
      <c r="B734" s="43"/>
      <c r="C734" s="43"/>
      <c r="D734" s="43"/>
      <c r="E734" s="43"/>
      <c r="F734" s="43"/>
      <c r="G734" s="43"/>
      <c r="H734" s="404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</row>
    <row r="735" spans="1:25" ht="15.75" customHeight="1" x14ac:dyDescent="0.2">
      <c r="A735" s="43"/>
      <c r="B735" s="43"/>
      <c r="C735" s="43"/>
      <c r="D735" s="43"/>
      <c r="E735" s="43"/>
      <c r="F735" s="43"/>
      <c r="G735" s="43"/>
      <c r="H735" s="404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</row>
    <row r="736" spans="1:25" ht="15.75" customHeight="1" x14ac:dyDescent="0.2">
      <c r="A736" s="43"/>
      <c r="B736" s="43"/>
      <c r="C736" s="43"/>
      <c r="D736" s="43"/>
      <c r="E736" s="43"/>
      <c r="F736" s="43"/>
      <c r="G736" s="43"/>
      <c r="H736" s="404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</row>
    <row r="737" spans="1:25" ht="15.75" customHeight="1" x14ac:dyDescent="0.2">
      <c r="A737" s="43"/>
      <c r="B737" s="43"/>
      <c r="C737" s="43"/>
      <c r="D737" s="43"/>
      <c r="E737" s="43"/>
      <c r="F737" s="43"/>
      <c r="G737" s="43"/>
      <c r="H737" s="404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</row>
    <row r="738" spans="1:25" ht="15.75" customHeight="1" x14ac:dyDescent="0.2">
      <c r="A738" s="43"/>
      <c r="B738" s="43"/>
      <c r="C738" s="43"/>
      <c r="D738" s="43"/>
      <c r="E738" s="43"/>
      <c r="F738" s="43"/>
      <c r="G738" s="43"/>
      <c r="H738" s="404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</row>
    <row r="739" spans="1:25" ht="15.75" customHeight="1" x14ac:dyDescent="0.2">
      <c r="A739" s="43"/>
      <c r="B739" s="43"/>
      <c r="C739" s="43"/>
      <c r="D739" s="43"/>
      <c r="E739" s="43"/>
      <c r="F739" s="43"/>
      <c r="G739" s="43"/>
      <c r="H739" s="404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</row>
    <row r="740" spans="1:25" ht="15.75" customHeight="1" x14ac:dyDescent="0.2">
      <c r="A740" s="43"/>
      <c r="B740" s="43"/>
      <c r="C740" s="43"/>
      <c r="D740" s="43"/>
      <c r="E740" s="43"/>
      <c r="F740" s="43"/>
      <c r="G740" s="43"/>
      <c r="H740" s="404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</row>
    <row r="741" spans="1:25" ht="15.75" customHeight="1" x14ac:dyDescent="0.2">
      <c r="A741" s="43"/>
      <c r="B741" s="43"/>
      <c r="C741" s="43"/>
      <c r="D741" s="43"/>
      <c r="E741" s="43"/>
      <c r="F741" s="43"/>
      <c r="G741" s="43"/>
      <c r="H741" s="404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</row>
    <row r="742" spans="1:25" ht="15.75" customHeight="1" x14ac:dyDescent="0.2">
      <c r="A742" s="43"/>
      <c r="B742" s="43"/>
      <c r="C742" s="43"/>
      <c r="D742" s="43"/>
      <c r="E742" s="43"/>
      <c r="F742" s="43"/>
      <c r="G742" s="43"/>
      <c r="H742" s="404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</row>
    <row r="743" spans="1:25" ht="15.75" customHeight="1" x14ac:dyDescent="0.2">
      <c r="A743" s="43"/>
      <c r="B743" s="43"/>
      <c r="C743" s="43"/>
      <c r="D743" s="43"/>
      <c r="E743" s="43"/>
      <c r="F743" s="43"/>
      <c r="G743" s="43"/>
      <c r="H743" s="404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</row>
    <row r="744" spans="1:25" ht="15.75" customHeight="1" x14ac:dyDescent="0.2">
      <c r="A744" s="43"/>
      <c r="B744" s="43"/>
      <c r="C744" s="43"/>
      <c r="D744" s="43"/>
      <c r="E744" s="43"/>
      <c r="F744" s="43"/>
      <c r="G744" s="43"/>
      <c r="H744" s="404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</row>
    <row r="745" spans="1:25" ht="15.75" customHeight="1" x14ac:dyDescent="0.2">
      <c r="A745" s="43"/>
      <c r="B745" s="43"/>
      <c r="C745" s="43"/>
      <c r="D745" s="43"/>
      <c r="E745" s="43"/>
      <c r="F745" s="43"/>
      <c r="G745" s="43"/>
      <c r="H745" s="404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</row>
    <row r="746" spans="1:25" ht="15.75" customHeight="1" x14ac:dyDescent="0.2">
      <c r="A746" s="43"/>
      <c r="B746" s="43"/>
      <c r="C746" s="43"/>
      <c r="D746" s="43"/>
      <c r="E746" s="43"/>
      <c r="F746" s="43"/>
      <c r="G746" s="43"/>
      <c r="H746" s="404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</row>
    <row r="747" spans="1:25" ht="15.75" customHeight="1" x14ac:dyDescent="0.2">
      <c r="A747" s="43"/>
      <c r="B747" s="43"/>
      <c r="C747" s="43"/>
      <c r="D747" s="43"/>
      <c r="E747" s="43"/>
      <c r="F747" s="43"/>
      <c r="G747" s="43"/>
      <c r="H747" s="404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</row>
    <row r="748" spans="1:25" ht="15.75" customHeight="1" x14ac:dyDescent="0.2">
      <c r="A748" s="43"/>
      <c r="B748" s="43"/>
      <c r="C748" s="43"/>
      <c r="D748" s="43"/>
      <c r="E748" s="43"/>
      <c r="F748" s="43"/>
      <c r="G748" s="43"/>
      <c r="H748" s="404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</row>
    <row r="749" spans="1:25" ht="15.75" customHeight="1" x14ac:dyDescent="0.2">
      <c r="A749" s="43"/>
      <c r="B749" s="43"/>
      <c r="C749" s="43"/>
      <c r="D749" s="43"/>
      <c r="E749" s="43"/>
      <c r="F749" s="43"/>
      <c r="G749" s="43"/>
      <c r="H749" s="404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</row>
    <row r="750" spans="1:25" ht="15.75" customHeight="1" x14ac:dyDescent="0.2">
      <c r="A750" s="43"/>
      <c r="B750" s="43"/>
      <c r="C750" s="43"/>
      <c r="D750" s="43"/>
      <c r="E750" s="43"/>
      <c r="F750" s="43"/>
      <c r="G750" s="43"/>
      <c r="H750" s="404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</row>
    <row r="751" spans="1:25" ht="15.75" customHeight="1" x14ac:dyDescent="0.2">
      <c r="A751" s="43"/>
      <c r="B751" s="43"/>
      <c r="C751" s="43"/>
      <c r="D751" s="43"/>
      <c r="E751" s="43"/>
      <c r="F751" s="43"/>
      <c r="G751" s="43"/>
      <c r="H751" s="404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</row>
    <row r="752" spans="1:25" ht="15.75" customHeight="1" x14ac:dyDescent="0.2">
      <c r="A752" s="43"/>
      <c r="B752" s="43"/>
      <c r="C752" s="43"/>
      <c r="D752" s="43"/>
      <c r="E752" s="43"/>
      <c r="F752" s="43"/>
      <c r="G752" s="43"/>
      <c r="H752" s="404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</row>
    <row r="753" spans="1:25" ht="15.75" customHeight="1" x14ac:dyDescent="0.2">
      <c r="A753" s="43"/>
      <c r="B753" s="43"/>
      <c r="C753" s="43"/>
      <c r="D753" s="43"/>
      <c r="E753" s="43"/>
      <c r="F753" s="43"/>
      <c r="G753" s="43"/>
      <c r="H753" s="404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</row>
    <row r="754" spans="1:25" ht="15.75" customHeight="1" x14ac:dyDescent="0.2">
      <c r="A754" s="43"/>
      <c r="B754" s="43"/>
      <c r="C754" s="43"/>
      <c r="D754" s="43"/>
      <c r="E754" s="43"/>
      <c r="F754" s="43"/>
      <c r="G754" s="43"/>
      <c r="H754" s="404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</row>
    <row r="755" spans="1:25" ht="15.75" customHeight="1" x14ac:dyDescent="0.2">
      <c r="A755" s="43"/>
      <c r="B755" s="43"/>
      <c r="C755" s="43"/>
      <c r="D755" s="43"/>
      <c r="E755" s="43"/>
      <c r="F755" s="43"/>
      <c r="G755" s="43"/>
      <c r="H755" s="404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</row>
    <row r="756" spans="1:25" ht="15.75" customHeight="1" x14ac:dyDescent="0.2">
      <c r="A756" s="43"/>
      <c r="B756" s="43"/>
      <c r="C756" s="43"/>
      <c r="D756" s="43"/>
      <c r="E756" s="43"/>
      <c r="F756" s="43"/>
      <c r="G756" s="43"/>
      <c r="H756" s="404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</row>
    <row r="757" spans="1:25" ht="15.75" customHeight="1" x14ac:dyDescent="0.2">
      <c r="A757" s="43"/>
      <c r="B757" s="43"/>
      <c r="C757" s="43"/>
      <c r="D757" s="43"/>
      <c r="E757" s="43"/>
      <c r="F757" s="43"/>
      <c r="G757" s="43"/>
      <c r="H757" s="404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</row>
    <row r="758" spans="1:25" ht="15.75" customHeight="1" x14ac:dyDescent="0.2">
      <c r="A758" s="43"/>
      <c r="B758" s="43"/>
      <c r="C758" s="43"/>
      <c r="D758" s="43"/>
      <c r="E758" s="43"/>
      <c r="F758" s="43"/>
      <c r="G758" s="43"/>
      <c r="H758" s="404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</row>
    <row r="759" spans="1:25" ht="15.75" customHeight="1" x14ac:dyDescent="0.2">
      <c r="A759" s="43"/>
      <c r="B759" s="43"/>
      <c r="C759" s="43"/>
      <c r="D759" s="43"/>
      <c r="E759" s="43"/>
      <c r="F759" s="43"/>
      <c r="G759" s="43"/>
      <c r="H759" s="404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</row>
    <row r="760" spans="1:25" ht="15.75" customHeight="1" x14ac:dyDescent="0.2">
      <c r="A760" s="43"/>
      <c r="B760" s="43"/>
      <c r="C760" s="43"/>
      <c r="D760" s="43"/>
      <c r="E760" s="43"/>
      <c r="F760" s="43"/>
      <c r="G760" s="43"/>
      <c r="H760" s="404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</row>
    <row r="761" spans="1:25" ht="15.75" customHeight="1" x14ac:dyDescent="0.2">
      <c r="A761" s="43"/>
      <c r="B761" s="43"/>
      <c r="C761" s="43"/>
      <c r="D761" s="43"/>
      <c r="E761" s="43"/>
      <c r="F761" s="43"/>
      <c r="G761" s="43"/>
      <c r="H761" s="404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</row>
    <row r="762" spans="1:25" ht="15.75" customHeight="1" x14ac:dyDescent="0.2">
      <c r="A762" s="43"/>
      <c r="B762" s="43"/>
      <c r="C762" s="43"/>
      <c r="D762" s="43"/>
      <c r="E762" s="43"/>
      <c r="F762" s="43"/>
      <c r="G762" s="43"/>
      <c r="H762" s="404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</row>
    <row r="763" spans="1:25" ht="15.75" customHeight="1" x14ac:dyDescent="0.2">
      <c r="A763" s="43"/>
      <c r="B763" s="43"/>
      <c r="C763" s="43"/>
      <c r="D763" s="43"/>
      <c r="E763" s="43"/>
      <c r="F763" s="43"/>
      <c r="G763" s="43"/>
      <c r="H763" s="404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</row>
    <row r="764" spans="1:25" ht="15.75" customHeight="1" x14ac:dyDescent="0.2">
      <c r="A764" s="43"/>
      <c r="B764" s="43"/>
      <c r="C764" s="43"/>
      <c r="D764" s="43"/>
      <c r="E764" s="43"/>
      <c r="F764" s="43"/>
      <c r="G764" s="43"/>
      <c r="H764" s="404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</row>
    <row r="765" spans="1:25" ht="15.75" customHeight="1" x14ac:dyDescent="0.2">
      <c r="A765" s="43"/>
      <c r="B765" s="43"/>
      <c r="C765" s="43"/>
      <c r="D765" s="43"/>
      <c r="E765" s="43"/>
      <c r="F765" s="43"/>
      <c r="G765" s="43"/>
      <c r="H765" s="404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</row>
    <row r="766" spans="1:25" ht="15.75" customHeight="1" x14ac:dyDescent="0.2">
      <c r="A766" s="43"/>
      <c r="B766" s="43"/>
      <c r="C766" s="43"/>
      <c r="D766" s="43"/>
      <c r="E766" s="43"/>
      <c r="F766" s="43"/>
      <c r="G766" s="43"/>
      <c r="H766" s="404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</row>
    <row r="767" spans="1:25" ht="15.75" customHeight="1" x14ac:dyDescent="0.2">
      <c r="A767" s="43"/>
      <c r="B767" s="43"/>
      <c r="C767" s="43"/>
      <c r="D767" s="43"/>
      <c r="E767" s="43"/>
      <c r="F767" s="43"/>
      <c r="G767" s="43"/>
      <c r="H767" s="404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</row>
    <row r="768" spans="1:25" ht="15.75" customHeight="1" x14ac:dyDescent="0.2">
      <c r="A768" s="43"/>
      <c r="B768" s="43"/>
      <c r="C768" s="43"/>
      <c r="D768" s="43"/>
      <c r="E768" s="43"/>
      <c r="F768" s="43"/>
      <c r="G768" s="43"/>
      <c r="H768" s="404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</row>
    <row r="769" spans="1:25" ht="15.75" customHeight="1" x14ac:dyDescent="0.2">
      <c r="A769" s="43"/>
      <c r="B769" s="43"/>
      <c r="C769" s="43"/>
      <c r="D769" s="43"/>
      <c r="E769" s="43"/>
      <c r="F769" s="43"/>
      <c r="G769" s="43"/>
      <c r="H769" s="404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</row>
    <row r="770" spans="1:25" ht="15.75" customHeight="1" x14ac:dyDescent="0.2">
      <c r="A770" s="43"/>
      <c r="B770" s="43"/>
      <c r="C770" s="43"/>
      <c r="D770" s="43"/>
      <c r="E770" s="43"/>
      <c r="F770" s="43"/>
      <c r="G770" s="43"/>
      <c r="H770" s="404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</row>
    <row r="771" spans="1:25" ht="15.75" customHeight="1" x14ac:dyDescent="0.2">
      <c r="A771" s="43"/>
      <c r="B771" s="43"/>
      <c r="C771" s="43"/>
      <c r="D771" s="43"/>
      <c r="E771" s="43"/>
      <c r="F771" s="43"/>
      <c r="G771" s="43"/>
      <c r="H771" s="404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</row>
    <row r="772" spans="1:25" ht="15.75" customHeight="1" x14ac:dyDescent="0.2">
      <c r="A772" s="43"/>
      <c r="B772" s="43"/>
      <c r="C772" s="43"/>
      <c r="D772" s="43"/>
      <c r="E772" s="43"/>
      <c r="F772" s="43"/>
      <c r="G772" s="43"/>
      <c r="H772" s="404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</row>
    <row r="773" spans="1:25" ht="15.75" customHeight="1" x14ac:dyDescent="0.2">
      <c r="A773" s="43"/>
      <c r="B773" s="43"/>
      <c r="C773" s="43"/>
      <c r="D773" s="43"/>
      <c r="E773" s="43"/>
      <c r="F773" s="43"/>
      <c r="G773" s="43"/>
      <c r="H773" s="404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</row>
    <row r="774" spans="1:25" ht="15.75" customHeight="1" x14ac:dyDescent="0.2">
      <c r="A774" s="43"/>
      <c r="B774" s="43"/>
      <c r="C774" s="43"/>
      <c r="D774" s="43"/>
      <c r="E774" s="43"/>
      <c r="F774" s="43"/>
      <c r="G774" s="43"/>
      <c r="H774" s="404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</row>
    <row r="775" spans="1:25" ht="15.75" customHeight="1" x14ac:dyDescent="0.2">
      <c r="A775" s="43"/>
      <c r="B775" s="43"/>
      <c r="C775" s="43"/>
      <c r="D775" s="43"/>
      <c r="E775" s="43"/>
      <c r="F775" s="43"/>
      <c r="G775" s="43"/>
      <c r="H775" s="404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</row>
    <row r="776" spans="1:25" ht="15.75" customHeight="1" x14ac:dyDescent="0.2">
      <c r="A776" s="43"/>
      <c r="B776" s="43"/>
      <c r="C776" s="43"/>
      <c r="D776" s="43"/>
      <c r="E776" s="43"/>
      <c r="F776" s="43"/>
      <c r="G776" s="43"/>
      <c r="H776" s="404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</row>
    <row r="777" spans="1:25" ht="15.75" customHeight="1" x14ac:dyDescent="0.2">
      <c r="A777" s="43"/>
      <c r="B777" s="43"/>
      <c r="C777" s="43"/>
      <c r="D777" s="43"/>
      <c r="E777" s="43"/>
      <c r="F777" s="43"/>
      <c r="G777" s="43"/>
      <c r="H777" s="404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</row>
    <row r="778" spans="1:25" ht="15.75" customHeight="1" x14ac:dyDescent="0.2">
      <c r="A778" s="43"/>
      <c r="B778" s="43"/>
      <c r="C778" s="43"/>
      <c r="D778" s="43"/>
      <c r="E778" s="43"/>
      <c r="F778" s="43"/>
      <c r="G778" s="43"/>
      <c r="H778" s="404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</row>
    <row r="779" spans="1:25" ht="15.75" customHeight="1" x14ac:dyDescent="0.2">
      <c r="A779" s="43"/>
      <c r="B779" s="43"/>
      <c r="C779" s="43"/>
      <c r="D779" s="43"/>
      <c r="E779" s="43"/>
      <c r="F779" s="43"/>
      <c r="G779" s="43"/>
      <c r="H779" s="404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</row>
    <row r="780" spans="1:25" ht="15.75" customHeight="1" x14ac:dyDescent="0.2">
      <c r="A780" s="43"/>
      <c r="B780" s="43"/>
      <c r="C780" s="43"/>
      <c r="D780" s="43"/>
      <c r="E780" s="43"/>
      <c r="F780" s="43"/>
      <c r="G780" s="43"/>
      <c r="H780" s="404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</row>
    <row r="781" spans="1:25" ht="15.75" customHeight="1" x14ac:dyDescent="0.2">
      <c r="A781" s="43"/>
      <c r="B781" s="43"/>
      <c r="C781" s="43"/>
      <c r="D781" s="43"/>
      <c r="E781" s="43"/>
      <c r="F781" s="43"/>
      <c r="G781" s="43"/>
      <c r="H781" s="404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</row>
    <row r="782" spans="1:25" ht="15.75" customHeight="1" x14ac:dyDescent="0.2">
      <c r="A782" s="43"/>
      <c r="B782" s="43"/>
      <c r="C782" s="43"/>
      <c r="D782" s="43"/>
      <c r="E782" s="43"/>
      <c r="F782" s="43"/>
      <c r="G782" s="43"/>
      <c r="H782" s="404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</row>
    <row r="783" spans="1:25" ht="15.75" customHeight="1" x14ac:dyDescent="0.2">
      <c r="A783" s="43"/>
      <c r="B783" s="43"/>
      <c r="C783" s="43"/>
      <c r="D783" s="43"/>
      <c r="E783" s="43"/>
      <c r="F783" s="43"/>
      <c r="G783" s="43"/>
      <c r="H783" s="404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</row>
    <row r="784" spans="1:25" ht="15.75" customHeight="1" x14ac:dyDescent="0.2">
      <c r="A784" s="43"/>
      <c r="B784" s="43"/>
      <c r="C784" s="43"/>
      <c r="D784" s="43"/>
      <c r="E784" s="43"/>
      <c r="F784" s="43"/>
      <c r="G784" s="43"/>
      <c r="H784" s="404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</row>
    <row r="785" spans="1:25" ht="15.75" customHeight="1" x14ac:dyDescent="0.2">
      <c r="A785" s="43"/>
      <c r="B785" s="43"/>
      <c r="C785" s="43"/>
      <c r="D785" s="43"/>
      <c r="E785" s="43"/>
      <c r="F785" s="43"/>
      <c r="G785" s="43"/>
      <c r="H785" s="404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</row>
    <row r="786" spans="1:25" ht="15.75" customHeight="1" x14ac:dyDescent="0.2">
      <c r="A786" s="43"/>
      <c r="B786" s="43"/>
      <c r="C786" s="43"/>
      <c r="D786" s="43"/>
      <c r="E786" s="43"/>
      <c r="F786" s="43"/>
      <c r="G786" s="43"/>
      <c r="H786" s="404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</row>
    <row r="787" spans="1:25" ht="15.75" customHeight="1" x14ac:dyDescent="0.2">
      <c r="A787" s="43"/>
      <c r="B787" s="43"/>
      <c r="C787" s="43"/>
      <c r="D787" s="43"/>
      <c r="E787" s="43"/>
      <c r="F787" s="43"/>
      <c r="G787" s="43"/>
      <c r="H787" s="404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</row>
    <row r="788" spans="1:25" ht="15.75" customHeight="1" x14ac:dyDescent="0.2">
      <c r="A788" s="43"/>
      <c r="B788" s="43"/>
      <c r="C788" s="43"/>
      <c r="D788" s="43"/>
      <c r="E788" s="43"/>
      <c r="F788" s="43"/>
      <c r="G788" s="43"/>
      <c r="H788" s="404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</row>
    <row r="789" spans="1:25" ht="15.75" customHeight="1" x14ac:dyDescent="0.2">
      <c r="A789" s="43"/>
      <c r="B789" s="43"/>
      <c r="C789" s="43"/>
      <c r="D789" s="43"/>
      <c r="E789" s="43"/>
      <c r="F789" s="43"/>
      <c r="G789" s="43"/>
      <c r="H789" s="404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</row>
    <row r="790" spans="1:25" ht="15.75" customHeight="1" x14ac:dyDescent="0.2">
      <c r="A790" s="43"/>
      <c r="B790" s="43"/>
      <c r="C790" s="43"/>
      <c r="D790" s="43"/>
      <c r="E790" s="43"/>
      <c r="F790" s="43"/>
      <c r="G790" s="43"/>
      <c r="H790" s="404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</row>
    <row r="791" spans="1:25" ht="15.75" customHeight="1" x14ac:dyDescent="0.2">
      <c r="A791" s="43"/>
      <c r="B791" s="43"/>
      <c r="C791" s="43"/>
      <c r="D791" s="43"/>
      <c r="E791" s="43"/>
      <c r="F791" s="43"/>
      <c r="G791" s="43"/>
      <c r="H791" s="404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</row>
    <row r="792" spans="1:25" ht="15.75" customHeight="1" x14ac:dyDescent="0.2">
      <c r="A792" s="43"/>
      <c r="B792" s="43"/>
      <c r="C792" s="43"/>
      <c r="D792" s="43"/>
      <c r="E792" s="43"/>
      <c r="F792" s="43"/>
      <c r="G792" s="43"/>
      <c r="H792" s="404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</row>
    <row r="793" spans="1:25" ht="15.75" customHeight="1" x14ac:dyDescent="0.2">
      <c r="A793" s="43"/>
      <c r="B793" s="43"/>
      <c r="C793" s="43"/>
      <c r="D793" s="43"/>
      <c r="E793" s="43"/>
      <c r="F793" s="43"/>
      <c r="G793" s="43"/>
      <c r="H793" s="404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</row>
    <row r="794" spans="1:25" ht="15.75" customHeight="1" x14ac:dyDescent="0.2">
      <c r="A794" s="43"/>
      <c r="B794" s="43"/>
      <c r="C794" s="43"/>
      <c r="D794" s="43"/>
      <c r="E794" s="43"/>
      <c r="F794" s="43"/>
      <c r="G794" s="43"/>
      <c r="H794" s="404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</row>
    <row r="795" spans="1:25" ht="15.75" customHeight="1" x14ac:dyDescent="0.2">
      <c r="A795" s="43"/>
      <c r="B795" s="43"/>
      <c r="C795" s="43"/>
      <c r="D795" s="43"/>
      <c r="E795" s="43"/>
      <c r="F795" s="43"/>
      <c r="G795" s="43"/>
      <c r="H795" s="404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</row>
    <row r="796" spans="1:25" ht="15.75" customHeight="1" x14ac:dyDescent="0.2">
      <c r="A796" s="43"/>
      <c r="B796" s="43"/>
      <c r="C796" s="43"/>
      <c r="D796" s="43"/>
      <c r="E796" s="43"/>
      <c r="F796" s="43"/>
      <c r="G796" s="43"/>
      <c r="H796" s="404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</row>
    <row r="797" spans="1:25" ht="15.75" customHeight="1" x14ac:dyDescent="0.2">
      <c r="A797" s="43"/>
      <c r="B797" s="43"/>
      <c r="C797" s="43"/>
      <c r="D797" s="43"/>
      <c r="E797" s="43"/>
      <c r="F797" s="43"/>
      <c r="G797" s="43"/>
      <c r="H797" s="404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</row>
    <row r="798" spans="1:25" ht="15.75" customHeight="1" x14ac:dyDescent="0.2">
      <c r="A798" s="43"/>
      <c r="B798" s="43"/>
      <c r="C798" s="43"/>
      <c r="D798" s="43"/>
      <c r="E798" s="43"/>
      <c r="F798" s="43"/>
      <c r="G798" s="43"/>
      <c r="H798" s="404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</row>
    <row r="799" spans="1:25" ht="15.75" customHeight="1" x14ac:dyDescent="0.2">
      <c r="A799" s="43"/>
      <c r="B799" s="43"/>
      <c r="C799" s="43"/>
      <c r="D799" s="43"/>
      <c r="E799" s="43"/>
      <c r="F799" s="43"/>
      <c r="G799" s="43"/>
      <c r="H799" s="404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</row>
    <row r="800" spans="1:25" ht="15.75" customHeight="1" x14ac:dyDescent="0.2">
      <c r="A800" s="43"/>
      <c r="B800" s="43"/>
      <c r="C800" s="43"/>
      <c r="D800" s="43"/>
      <c r="E800" s="43"/>
      <c r="F800" s="43"/>
      <c r="G800" s="43"/>
      <c r="H800" s="404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</row>
    <row r="801" spans="1:25" ht="15.75" customHeight="1" x14ac:dyDescent="0.2">
      <c r="A801" s="43"/>
      <c r="B801" s="43"/>
      <c r="C801" s="43"/>
      <c r="D801" s="43"/>
      <c r="E801" s="43"/>
      <c r="F801" s="43"/>
      <c r="G801" s="43"/>
      <c r="H801" s="404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</row>
    <row r="802" spans="1:25" ht="15.75" customHeight="1" x14ac:dyDescent="0.2">
      <c r="A802" s="43"/>
      <c r="B802" s="43"/>
      <c r="C802" s="43"/>
      <c r="D802" s="43"/>
      <c r="E802" s="43"/>
      <c r="F802" s="43"/>
      <c r="G802" s="43"/>
      <c r="H802" s="404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</row>
    <row r="803" spans="1:25" ht="15.75" customHeight="1" x14ac:dyDescent="0.2">
      <c r="A803" s="43"/>
      <c r="B803" s="43"/>
      <c r="C803" s="43"/>
      <c r="D803" s="43"/>
      <c r="E803" s="43"/>
      <c r="F803" s="43"/>
      <c r="G803" s="43"/>
      <c r="H803" s="404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</row>
    <row r="804" spans="1:25" ht="15.75" customHeight="1" x14ac:dyDescent="0.2">
      <c r="A804" s="43"/>
      <c r="B804" s="43"/>
      <c r="C804" s="43"/>
      <c r="D804" s="43"/>
      <c r="E804" s="43"/>
      <c r="F804" s="43"/>
      <c r="G804" s="43"/>
      <c r="H804" s="404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</row>
    <row r="805" spans="1:25" ht="15.75" customHeight="1" x14ac:dyDescent="0.2">
      <c r="A805" s="43"/>
      <c r="B805" s="43"/>
      <c r="C805" s="43"/>
      <c r="D805" s="43"/>
      <c r="E805" s="43"/>
      <c r="F805" s="43"/>
      <c r="G805" s="43"/>
      <c r="H805" s="404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</row>
    <row r="806" spans="1:25" ht="15.75" customHeight="1" x14ac:dyDescent="0.2">
      <c r="A806" s="43"/>
      <c r="B806" s="43"/>
      <c r="C806" s="43"/>
      <c r="D806" s="43"/>
      <c r="E806" s="43"/>
      <c r="F806" s="43"/>
      <c r="G806" s="43"/>
      <c r="H806" s="404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</row>
    <row r="807" spans="1:25" ht="15.75" customHeight="1" x14ac:dyDescent="0.2">
      <c r="A807" s="43"/>
      <c r="B807" s="43"/>
      <c r="C807" s="43"/>
      <c r="D807" s="43"/>
      <c r="E807" s="43"/>
      <c r="F807" s="43"/>
      <c r="G807" s="43"/>
      <c r="H807" s="404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</row>
    <row r="808" spans="1:25" ht="15.75" customHeight="1" x14ac:dyDescent="0.2">
      <c r="A808" s="43"/>
      <c r="B808" s="43"/>
      <c r="C808" s="43"/>
      <c r="D808" s="43"/>
      <c r="E808" s="43"/>
      <c r="F808" s="43"/>
      <c r="G808" s="43"/>
      <c r="H808" s="404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</row>
    <row r="809" spans="1:25" ht="15.75" customHeight="1" x14ac:dyDescent="0.2">
      <c r="A809" s="43"/>
      <c r="B809" s="43"/>
      <c r="C809" s="43"/>
      <c r="D809" s="43"/>
      <c r="E809" s="43"/>
      <c r="F809" s="43"/>
      <c r="G809" s="43"/>
      <c r="H809" s="404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</row>
    <row r="810" spans="1:25" ht="15.75" customHeight="1" x14ac:dyDescent="0.2">
      <c r="A810" s="43"/>
      <c r="B810" s="43"/>
      <c r="C810" s="43"/>
      <c r="D810" s="43"/>
      <c r="E810" s="43"/>
      <c r="F810" s="43"/>
      <c r="G810" s="43"/>
      <c r="H810" s="404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</row>
    <row r="811" spans="1:25" ht="15.75" customHeight="1" x14ac:dyDescent="0.2">
      <c r="A811" s="43"/>
      <c r="B811" s="43"/>
      <c r="C811" s="43"/>
      <c r="D811" s="43"/>
      <c r="E811" s="43"/>
      <c r="F811" s="43"/>
      <c r="G811" s="43"/>
      <c r="H811" s="404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</row>
    <row r="812" spans="1:25" ht="15.75" customHeight="1" x14ac:dyDescent="0.2">
      <c r="A812" s="43"/>
      <c r="B812" s="43"/>
      <c r="C812" s="43"/>
      <c r="D812" s="43"/>
      <c r="E812" s="43"/>
      <c r="F812" s="43"/>
      <c r="G812" s="43"/>
      <c r="H812" s="404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</row>
    <row r="813" spans="1:25" ht="15.75" customHeight="1" x14ac:dyDescent="0.2">
      <c r="A813" s="43"/>
      <c r="B813" s="43"/>
      <c r="C813" s="43"/>
      <c r="D813" s="43"/>
      <c r="E813" s="43"/>
      <c r="F813" s="43"/>
      <c r="G813" s="43"/>
      <c r="H813" s="404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</row>
    <row r="814" spans="1:25" ht="15.75" customHeight="1" x14ac:dyDescent="0.2">
      <c r="A814" s="43"/>
      <c r="B814" s="43"/>
      <c r="C814" s="43"/>
      <c r="D814" s="43"/>
      <c r="E814" s="43"/>
      <c r="F814" s="43"/>
      <c r="G814" s="43"/>
      <c r="H814" s="404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</row>
    <row r="815" spans="1:25" ht="15.75" customHeight="1" x14ac:dyDescent="0.2">
      <c r="A815" s="43"/>
      <c r="B815" s="43"/>
      <c r="C815" s="43"/>
      <c r="D815" s="43"/>
      <c r="E815" s="43"/>
      <c r="F815" s="43"/>
      <c r="G815" s="43"/>
      <c r="H815" s="404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</row>
    <row r="816" spans="1:25" ht="15.75" customHeight="1" x14ac:dyDescent="0.2">
      <c r="A816" s="43"/>
      <c r="B816" s="43"/>
      <c r="C816" s="43"/>
      <c r="D816" s="43"/>
      <c r="E816" s="43"/>
      <c r="F816" s="43"/>
      <c r="G816" s="43"/>
      <c r="H816" s="404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</row>
    <row r="817" spans="1:25" ht="15.75" customHeight="1" x14ac:dyDescent="0.2">
      <c r="A817" s="43"/>
      <c r="B817" s="43"/>
      <c r="C817" s="43"/>
      <c r="D817" s="43"/>
      <c r="E817" s="43"/>
      <c r="F817" s="43"/>
      <c r="G817" s="43"/>
      <c r="H817" s="404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</row>
    <row r="818" spans="1:25" ht="15.75" customHeight="1" x14ac:dyDescent="0.2">
      <c r="A818" s="43"/>
      <c r="B818" s="43"/>
      <c r="C818" s="43"/>
      <c r="D818" s="43"/>
      <c r="E818" s="43"/>
      <c r="F818" s="43"/>
      <c r="G818" s="43"/>
      <c r="H818" s="404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</row>
    <row r="819" spans="1:25" ht="15.75" customHeight="1" x14ac:dyDescent="0.2">
      <c r="A819" s="43"/>
      <c r="B819" s="43"/>
      <c r="C819" s="43"/>
      <c r="D819" s="43"/>
      <c r="E819" s="43"/>
      <c r="F819" s="43"/>
      <c r="G819" s="43"/>
      <c r="H819" s="404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</row>
    <row r="820" spans="1:25" ht="15.75" customHeight="1" x14ac:dyDescent="0.2">
      <c r="A820" s="43"/>
      <c r="B820" s="43"/>
      <c r="C820" s="43"/>
      <c r="D820" s="43"/>
      <c r="E820" s="43"/>
      <c r="F820" s="43"/>
      <c r="G820" s="43"/>
      <c r="H820" s="404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</row>
    <row r="821" spans="1:25" ht="15.75" customHeight="1" x14ac:dyDescent="0.2">
      <c r="A821" s="43"/>
      <c r="B821" s="43"/>
      <c r="C821" s="43"/>
      <c r="D821" s="43"/>
      <c r="E821" s="43"/>
      <c r="F821" s="43"/>
      <c r="G821" s="43"/>
      <c r="H821" s="404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</row>
    <row r="822" spans="1:25" ht="15.75" customHeight="1" x14ac:dyDescent="0.2">
      <c r="A822" s="43"/>
      <c r="B822" s="43"/>
      <c r="C822" s="43"/>
      <c r="D822" s="43"/>
      <c r="E822" s="43"/>
      <c r="F822" s="43"/>
      <c r="G822" s="43"/>
      <c r="H822" s="404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</row>
    <row r="823" spans="1:25" ht="15.75" customHeight="1" x14ac:dyDescent="0.2">
      <c r="A823" s="43"/>
      <c r="B823" s="43"/>
      <c r="C823" s="43"/>
      <c r="D823" s="43"/>
      <c r="E823" s="43"/>
      <c r="F823" s="43"/>
      <c r="G823" s="43"/>
      <c r="H823" s="404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</row>
    <row r="824" spans="1:25" ht="15.75" customHeight="1" x14ac:dyDescent="0.2">
      <c r="A824" s="43"/>
      <c r="B824" s="43"/>
      <c r="C824" s="43"/>
      <c r="D824" s="43"/>
      <c r="E824" s="43"/>
      <c r="F824" s="43"/>
      <c r="G824" s="43"/>
      <c r="H824" s="404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</row>
    <row r="825" spans="1:25" ht="15.75" customHeight="1" x14ac:dyDescent="0.2">
      <c r="A825" s="43"/>
      <c r="B825" s="43"/>
      <c r="C825" s="43"/>
      <c r="D825" s="43"/>
      <c r="E825" s="43"/>
      <c r="F825" s="43"/>
      <c r="G825" s="43"/>
      <c r="H825" s="404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</row>
    <row r="826" spans="1:25" ht="15.75" customHeight="1" x14ac:dyDescent="0.2">
      <c r="A826" s="43"/>
      <c r="B826" s="43"/>
      <c r="C826" s="43"/>
      <c r="D826" s="43"/>
      <c r="E826" s="43"/>
      <c r="F826" s="43"/>
      <c r="G826" s="43"/>
      <c r="H826" s="404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</row>
    <row r="827" spans="1:25" ht="15.75" customHeight="1" x14ac:dyDescent="0.2">
      <c r="A827" s="43"/>
      <c r="B827" s="43"/>
      <c r="C827" s="43"/>
      <c r="D827" s="43"/>
      <c r="E827" s="43"/>
      <c r="F827" s="43"/>
      <c r="G827" s="43"/>
      <c r="H827" s="404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</row>
    <row r="828" spans="1:25" ht="15.75" customHeight="1" x14ac:dyDescent="0.2">
      <c r="A828" s="43"/>
      <c r="B828" s="43"/>
      <c r="C828" s="43"/>
      <c r="D828" s="43"/>
      <c r="E828" s="43"/>
      <c r="F828" s="43"/>
      <c r="G828" s="43"/>
      <c r="H828" s="404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</row>
    <row r="829" spans="1:25" ht="15.75" customHeight="1" x14ac:dyDescent="0.2">
      <c r="A829" s="43"/>
      <c r="B829" s="43"/>
      <c r="C829" s="43"/>
      <c r="D829" s="43"/>
      <c r="E829" s="43"/>
      <c r="F829" s="43"/>
      <c r="G829" s="43"/>
      <c r="H829" s="404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</row>
    <row r="830" spans="1:25" ht="15.75" customHeight="1" x14ac:dyDescent="0.2">
      <c r="A830" s="43"/>
      <c r="B830" s="43"/>
      <c r="C830" s="43"/>
      <c r="D830" s="43"/>
      <c r="E830" s="43"/>
      <c r="F830" s="43"/>
      <c r="G830" s="43"/>
      <c r="H830" s="404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</row>
    <row r="831" spans="1:25" ht="15.75" customHeight="1" x14ac:dyDescent="0.2">
      <c r="A831" s="43"/>
      <c r="B831" s="43"/>
      <c r="C831" s="43"/>
      <c r="D831" s="43"/>
      <c r="E831" s="43"/>
      <c r="F831" s="43"/>
      <c r="G831" s="43"/>
      <c r="H831" s="404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</row>
    <row r="832" spans="1:25" ht="15.75" customHeight="1" x14ac:dyDescent="0.2">
      <c r="A832" s="43"/>
      <c r="B832" s="43"/>
      <c r="C832" s="43"/>
      <c r="D832" s="43"/>
      <c r="E832" s="43"/>
      <c r="F832" s="43"/>
      <c r="G832" s="43"/>
      <c r="H832" s="404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</row>
    <row r="833" spans="1:25" ht="15.75" customHeight="1" x14ac:dyDescent="0.2">
      <c r="A833" s="43"/>
      <c r="B833" s="43"/>
      <c r="C833" s="43"/>
      <c r="D833" s="43"/>
      <c r="E833" s="43"/>
      <c r="F833" s="43"/>
      <c r="G833" s="43"/>
      <c r="H833" s="404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</row>
    <row r="834" spans="1:25" ht="15.75" customHeight="1" x14ac:dyDescent="0.2">
      <c r="A834" s="43"/>
      <c r="B834" s="43"/>
      <c r="C834" s="43"/>
      <c r="D834" s="43"/>
      <c r="E834" s="43"/>
      <c r="F834" s="43"/>
      <c r="G834" s="43"/>
      <c r="H834" s="404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</row>
    <row r="835" spans="1:25" ht="15.75" customHeight="1" x14ac:dyDescent="0.2">
      <c r="A835" s="43"/>
      <c r="B835" s="43"/>
      <c r="C835" s="43"/>
      <c r="D835" s="43"/>
      <c r="E835" s="43"/>
      <c r="F835" s="43"/>
      <c r="G835" s="43"/>
      <c r="H835" s="404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</row>
    <row r="836" spans="1:25" ht="15.75" customHeight="1" x14ac:dyDescent="0.2">
      <c r="A836" s="43"/>
      <c r="B836" s="43"/>
      <c r="C836" s="43"/>
      <c r="D836" s="43"/>
      <c r="E836" s="43"/>
      <c r="F836" s="43"/>
      <c r="G836" s="43"/>
      <c r="H836" s="404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</row>
    <row r="837" spans="1:25" ht="15.75" customHeight="1" x14ac:dyDescent="0.2">
      <c r="A837" s="43"/>
      <c r="B837" s="43"/>
      <c r="C837" s="43"/>
      <c r="D837" s="43"/>
      <c r="E837" s="43"/>
      <c r="F837" s="43"/>
      <c r="G837" s="43"/>
      <c r="H837" s="404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</row>
    <row r="838" spans="1:25" ht="15.75" customHeight="1" x14ac:dyDescent="0.2">
      <c r="A838" s="43"/>
      <c r="B838" s="43"/>
      <c r="C838" s="43"/>
      <c r="D838" s="43"/>
      <c r="E838" s="43"/>
      <c r="F838" s="43"/>
      <c r="G838" s="43"/>
      <c r="H838" s="404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</row>
    <row r="839" spans="1:25" ht="15.75" customHeight="1" x14ac:dyDescent="0.2">
      <c r="A839" s="43"/>
      <c r="B839" s="43"/>
      <c r="C839" s="43"/>
      <c r="D839" s="43"/>
      <c r="E839" s="43"/>
      <c r="F839" s="43"/>
      <c r="G839" s="43"/>
      <c r="H839" s="404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</row>
    <row r="840" spans="1:25" ht="15.75" customHeight="1" x14ac:dyDescent="0.2">
      <c r="A840" s="43"/>
      <c r="B840" s="43"/>
      <c r="C840" s="43"/>
      <c r="D840" s="43"/>
      <c r="E840" s="43"/>
      <c r="F840" s="43"/>
      <c r="G840" s="43"/>
      <c r="H840" s="404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</row>
    <row r="841" spans="1:25" ht="15.75" customHeight="1" x14ac:dyDescent="0.2">
      <c r="A841" s="43"/>
      <c r="B841" s="43"/>
      <c r="C841" s="43"/>
      <c r="D841" s="43"/>
      <c r="E841" s="43"/>
      <c r="F841" s="43"/>
      <c r="G841" s="43"/>
      <c r="H841" s="404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</row>
    <row r="842" spans="1:25" ht="15.75" customHeight="1" x14ac:dyDescent="0.2">
      <c r="A842" s="43"/>
      <c r="B842" s="43"/>
      <c r="C842" s="43"/>
      <c r="D842" s="43"/>
      <c r="E842" s="43"/>
      <c r="F842" s="43"/>
      <c r="G842" s="43"/>
      <c r="H842" s="404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</row>
    <row r="843" spans="1:25" ht="15.75" customHeight="1" x14ac:dyDescent="0.2">
      <c r="A843" s="43"/>
      <c r="B843" s="43"/>
      <c r="C843" s="43"/>
      <c r="D843" s="43"/>
      <c r="E843" s="43"/>
      <c r="F843" s="43"/>
      <c r="G843" s="43"/>
      <c r="H843" s="404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</row>
    <row r="844" spans="1:25" ht="15.75" customHeight="1" x14ac:dyDescent="0.2">
      <c r="A844" s="43"/>
      <c r="B844" s="43"/>
      <c r="C844" s="43"/>
      <c r="D844" s="43"/>
      <c r="E844" s="43"/>
      <c r="F844" s="43"/>
      <c r="G844" s="43"/>
      <c r="H844" s="404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</row>
    <row r="845" spans="1:25" ht="15.75" customHeight="1" x14ac:dyDescent="0.2">
      <c r="A845" s="43"/>
      <c r="B845" s="43"/>
      <c r="C845" s="43"/>
      <c r="D845" s="43"/>
      <c r="E845" s="43"/>
      <c r="F845" s="43"/>
      <c r="G845" s="43"/>
      <c r="H845" s="404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</row>
    <row r="846" spans="1:25" ht="15.75" customHeight="1" x14ac:dyDescent="0.2">
      <c r="A846" s="43"/>
      <c r="B846" s="43"/>
      <c r="C846" s="43"/>
      <c r="D846" s="43"/>
      <c r="E846" s="43"/>
      <c r="F846" s="43"/>
      <c r="G846" s="43"/>
      <c r="H846" s="404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</row>
    <row r="847" spans="1:25" ht="15.75" customHeight="1" x14ac:dyDescent="0.2">
      <c r="A847" s="43"/>
      <c r="B847" s="43"/>
      <c r="C847" s="43"/>
      <c r="D847" s="43"/>
      <c r="E847" s="43"/>
      <c r="F847" s="43"/>
      <c r="G847" s="43"/>
      <c r="H847" s="404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</row>
    <row r="848" spans="1:25" ht="15.75" customHeight="1" x14ac:dyDescent="0.2">
      <c r="A848" s="43"/>
      <c r="B848" s="43"/>
      <c r="C848" s="43"/>
      <c r="D848" s="43"/>
      <c r="E848" s="43"/>
      <c r="F848" s="43"/>
      <c r="G848" s="43"/>
      <c r="H848" s="404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</row>
    <row r="849" spans="1:25" ht="15.75" customHeight="1" x14ac:dyDescent="0.2">
      <c r="A849" s="43"/>
      <c r="B849" s="43"/>
      <c r="C849" s="43"/>
      <c r="D849" s="43"/>
      <c r="E849" s="43"/>
      <c r="F849" s="43"/>
      <c r="G849" s="43"/>
      <c r="H849" s="404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</row>
    <row r="850" spans="1:25" ht="15.75" customHeight="1" x14ac:dyDescent="0.2">
      <c r="A850" s="43"/>
      <c r="B850" s="43"/>
      <c r="C850" s="43"/>
      <c r="D850" s="43"/>
      <c r="E850" s="43"/>
      <c r="F850" s="43"/>
      <c r="G850" s="43"/>
      <c r="H850" s="404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</row>
    <row r="851" spans="1:25" ht="15.75" customHeight="1" x14ac:dyDescent="0.2">
      <c r="A851" s="43"/>
      <c r="B851" s="43"/>
      <c r="C851" s="43"/>
      <c r="D851" s="43"/>
      <c r="E851" s="43"/>
      <c r="F851" s="43"/>
      <c r="G851" s="43"/>
      <c r="H851" s="404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</row>
    <row r="852" spans="1:25" ht="15.75" customHeight="1" x14ac:dyDescent="0.2">
      <c r="A852" s="43"/>
      <c r="B852" s="43"/>
      <c r="C852" s="43"/>
      <c r="D852" s="43"/>
      <c r="E852" s="43"/>
      <c r="F852" s="43"/>
      <c r="G852" s="43"/>
      <c r="H852" s="404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</row>
    <row r="853" spans="1:25" ht="15.75" customHeight="1" x14ac:dyDescent="0.2">
      <c r="A853" s="43"/>
      <c r="B853" s="43"/>
      <c r="C853" s="43"/>
      <c r="D853" s="43"/>
      <c r="E853" s="43"/>
      <c r="F853" s="43"/>
      <c r="G853" s="43"/>
      <c r="H853" s="404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</row>
    <row r="854" spans="1:25" ht="15.75" customHeight="1" x14ac:dyDescent="0.2">
      <c r="A854" s="43"/>
      <c r="B854" s="43"/>
      <c r="C854" s="43"/>
      <c r="D854" s="43"/>
      <c r="E854" s="43"/>
      <c r="F854" s="43"/>
      <c r="G854" s="43"/>
      <c r="H854" s="404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</row>
    <row r="855" spans="1:25" ht="15.75" customHeight="1" x14ac:dyDescent="0.2">
      <c r="A855" s="43"/>
      <c r="B855" s="43"/>
      <c r="C855" s="43"/>
      <c r="D855" s="43"/>
      <c r="E855" s="43"/>
      <c r="F855" s="43"/>
      <c r="G855" s="43"/>
      <c r="H855" s="404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</row>
    <row r="856" spans="1:25" ht="15.75" customHeight="1" x14ac:dyDescent="0.2">
      <c r="A856" s="43"/>
      <c r="B856" s="43"/>
      <c r="C856" s="43"/>
      <c r="D856" s="43"/>
      <c r="E856" s="43"/>
      <c r="F856" s="43"/>
      <c r="G856" s="43"/>
      <c r="H856" s="404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</row>
    <row r="857" spans="1:25" ht="15.75" customHeight="1" x14ac:dyDescent="0.2">
      <c r="A857" s="43"/>
      <c r="B857" s="43"/>
      <c r="C857" s="43"/>
      <c r="D857" s="43"/>
      <c r="E857" s="43"/>
      <c r="F857" s="43"/>
      <c r="G857" s="43"/>
      <c r="H857" s="404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</row>
    <row r="858" spans="1:25" ht="15.75" customHeight="1" x14ac:dyDescent="0.2">
      <c r="A858" s="43"/>
      <c r="B858" s="43"/>
      <c r="C858" s="43"/>
      <c r="D858" s="43"/>
      <c r="E858" s="43"/>
      <c r="F858" s="43"/>
      <c r="G858" s="43"/>
      <c r="H858" s="404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</row>
    <row r="859" spans="1:25" ht="15.75" customHeight="1" x14ac:dyDescent="0.2">
      <c r="A859" s="43"/>
      <c r="B859" s="43"/>
      <c r="C859" s="43"/>
      <c r="D859" s="43"/>
      <c r="E859" s="43"/>
      <c r="F859" s="43"/>
      <c r="G859" s="43"/>
      <c r="H859" s="404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</row>
    <row r="860" spans="1:25" ht="15.75" customHeight="1" x14ac:dyDescent="0.2">
      <c r="A860" s="43"/>
      <c r="B860" s="43"/>
      <c r="C860" s="43"/>
      <c r="D860" s="43"/>
      <c r="E860" s="43"/>
      <c r="F860" s="43"/>
      <c r="G860" s="43"/>
      <c r="H860" s="404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</row>
    <row r="861" spans="1:25" ht="15.75" customHeight="1" x14ac:dyDescent="0.2">
      <c r="A861" s="43"/>
      <c r="B861" s="43"/>
      <c r="C861" s="43"/>
      <c r="D861" s="43"/>
      <c r="E861" s="43"/>
      <c r="F861" s="43"/>
      <c r="G861" s="43"/>
      <c r="H861" s="404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</row>
    <row r="862" spans="1:25" ht="15.75" customHeight="1" x14ac:dyDescent="0.2">
      <c r="A862" s="43"/>
      <c r="B862" s="43"/>
      <c r="C862" s="43"/>
      <c r="D862" s="43"/>
      <c r="E862" s="43"/>
      <c r="F862" s="43"/>
      <c r="G862" s="43"/>
      <c r="H862" s="404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</row>
    <row r="863" spans="1:25" ht="15.75" customHeight="1" x14ac:dyDescent="0.2">
      <c r="A863" s="43"/>
      <c r="B863" s="43"/>
      <c r="C863" s="43"/>
      <c r="D863" s="43"/>
      <c r="E863" s="43"/>
      <c r="F863" s="43"/>
      <c r="G863" s="43"/>
      <c r="H863" s="404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</row>
    <row r="864" spans="1:25" ht="15.75" customHeight="1" x14ac:dyDescent="0.2">
      <c r="A864" s="43"/>
      <c r="B864" s="43"/>
      <c r="C864" s="43"/>
      <c r="D864" s="43"/>
      <c r="E864" s="43"/>
      <c r="F864" s="43"/>
      <c r="G864" s="43"/>
      <c r="H864" s="404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</row>
    <row r="865" spans="1:25" ht="15.75" customHeight="1" x14ac:dyDescent="0.2">
      <c r="A865" s="43"/>
      <c r="B865" s="43"/>
      <c r="C865" s="43"/>
      <c r="D865" s="43"/>
      <c r="E865" s="43"/>
      <c r="F865" s="43"/>
      <c r="G865" s="43"/>
      <c r="H865" s="404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</row>
    <row r="866" spans="1:25" ht="15.75" customHeight="1" x14ac:dyDescent="0.2">
      <c r="A866" s="43"/>
      <c r="B866" s="43"/>
      <c r="C866" s="43"/>
      <c r="D866" s="43"/>
      <c r="E866" s="43"/>
      <c r="F866" s="43"/>
      <c r="G866" s="43"/>
      <c r="H866" s="404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</row>
    <row r="867" spans="1:25" ht="15.75" customHeight="1" x14ac:dyDescent="0.2">
      <c r="A867" s="43"/>
      <c r="B867" s="43"/>
      <c r="C867" s="43"/>
      <c r="D867" s="43"/>
      <c r="E867" s="43"/>
      <c r="F867" s="43"/>
      <c r="G867" s="43"/>
      <c r="H867" s="404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</row>
    <row r="868" spans="1:25" ht="15.75" customHeight="1" x14ac:dyDescent="0.2">
      <c r="A868" s="43"/>
      <c r="B868" s="43"/>
      <c r="C868" s="43"/>
      <c r="D868" s="43"/>
      <c r="E868" s="43"/>
      <c r="F868" s="43"/>
      <c r="G868" s="43"/>
      <c r="H868" s="404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</row>
    <row r="869" spans="1:25" ht="15.75" customHeight="1" x14ac:dyDescent="0.2">
      <c r="A869" s="43"/>
      <c r="B869" s="43"/>
      <c r="C869" s="43"/>
      <c r="D869" s="43"/>
      <c r="E869" s="43"/>
      <c r="F869" s="43"/>
      <c r="G869" s="43"/>
      <c r="H869" s="404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</row>
    <row r="870" spans="1:25" ht="15.75" customHeight="1" x14ac:dyDescent="0.2">
      <c r="A870" s="43"/>
      <c r="B870" s="43"/>
      <c r="C870" s="43"/>
      <c r="D870" s="43"/>
      <c r="E870" s="43"/>
      <c r="F870" s="43"/>
      <c r="G870" s="43"/>
      <c r="H870" s="404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</row>
    <row r="871" spans="1:25" ht="15.75" customHeight="1" x14ac:dyDescent="0.2">
      <c r="A871" s="43"/>
      <c r="B871" s="43"/>
      <c r="C871" s="43"/>
      <c r="D871" s="43"/>
      <c r="E871" s="43"/>
      <c r="F871" s="43"/>
      <c r="G871" s="43"/>
      <c r="H871" s="404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</row>
    <row r="872" spans="1:25" ht="15.75" customHeight="1" x14ac:dyDescent="0.2">
      <c r="A872" s="43"/>
      <c r="B872" s="43"/>
      <c r="C872" s="43"/>
      <c r="D872" s="43"/>
      <c r="E872" s="43"/>
      <c r="F872" s="43"/>
      <c r="G872" s="43"/>
      <c r="H872" s="404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</row>
    <row r="873" spans="1:25" ht="15.75" customHeight="1" x14ac:dyDescent="0.2">
      <c r="A873" s="43"/>
      <c r="B873" s="43"/>
      <c r="C873" s="43"/>
      <c r="D873" s="43"/>
      <c r="E873" s="43"/>
      <c r="F873" s="43"/>
      <c r="G873" s="43"/>
      <c r="H873" s="404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</row>
    <row r="874" spans="1:25" ht="15.75" customHeight="1" x14ac:dyDescent="0.2">
      <c r="A874" s="43"/>
      <c r="B874" s="43"/>
      <c r="C874" s="43"/>
      <c r="D874" s="43"/>
      <c r="E874" s="43"/>
      <c r="F874" s="43"/>
      <c r="G874" s="43"/>
      <c r="H874" s="404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</row>
    <row r="875" spans="1:25" ht="15.75" customHeight="1" x14ac:dyDescent="0.2">
      <c r="A875" s="43"/>
      <c r="B875" s="43"/>
      <c r="C875" s="43"/>
      <c r="D875" s="43"/>
      <c r="E875" s="43"/>
      <c r="F875" s="43"/>
      <c r="G875" s="43"/>
      <c r="H875" s="404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</row>
    <row r="876" spans="1:25" ht="15.75" customHeight="1" x14ac:dyDescent="0.2">
      <c r="A876" s="43"/>
      <c r="B876" s="43"/>
      <c r="C876" s="43"/>
      <c r="D876" s="43"/>
      <c r="E876" s="43"/>
      <c r="F876" s="43"/>
      <c r="G876" s="43"/>
      <c r="H876" s="404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</row>
    <row r="877" spans="1:25" ht="15.75" customHeight="1" x14ac:dyDescent="0.2">
      <c r="A877" s="43"/>
      <c r="B877" s="43"/>
      <c r="C877" s="43"/>
      <c r="D877" s="43"/>
      <c r="E877" s="43"/>
      <c r="F877" s="43"/>
      <c r="G877" s="43"/>
      <c r="H877" s="404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</row>
    <row r="878" spans="1:25" ht="15.75" customHeight="1" x14ac:dyDescent="0.2">
      <c r="A878" s="43"/>
      <c r="B878" s="43"/>
      <c r="C878" s="43"/>
      <c r="D878" s="43"/>
      <c r="E878" s="43"/>
      <c r="F878" s="43"/>
      <c r="G878" s="43"/>
      <c r="H878" s="404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</row>
    <row r="879" spans="1:25" ht="15.75" customHeight="1" x14ac:dyDescent="0.2">
      <c r="A879" s="43"/>
      <c r="B879" s="43"/>
      <c r="C879" s="43"/>
      <c r="D879" s="43"/>
      <c r="E879" s="43"/>
      <c r="F879" s="43"/>
      <c r="G879" s="43"/>
      <c r="H879" s="404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</row>
    <row r="880" spans="1:25" ht="15.75" customHeight="1" x14ac:dyDescent="0.2">
      <c r="A880" s="43"/>
      <c r="B880" s="43"/>
      <c r="C880" s="43"/>
      <c r="D880" s="43"/>
      <c r="E880" s="43"/>
      <c r="F880" s="43"/>
      <c r="G880" s="43"/>
      <c r="H880" s="404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</row>
    <row r="881" spans="1:25" ht="15.75" customHeight="1" x14ac:dyDescent="0.2">
      <c r="A881" s="43"/>
      <c r="B881" s="43"/>
      <c r="C881" s="43"/>
      <c r="D881" s="43"/>
      <c r="E881" s="43"/>
      <c r="F881" s="43"/>
      <c r="G881" s="43"/>
      <c r="H881" s="404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</row>
    <row r="882" spans="1:25" ht="15.75" customHeight="1" x14ac:dyDescent="0.2">
      <c r="A882" s="43"/>
      <c r="B882" s="43"/>
      <c r="C882" s="43"/>
      <c r="D882" s="43"/>
      <c r="E882" s="43"/>
      <c r="F882" s="43"/>
      <c r="G882" s="43"/>
      <c r="H882" s="404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</row>
    <row r="883" spans="1:25" ht="15.75" customHeight="1" x14ac:dyDescent="0.2">
      <c r="A883" s="43"/>
      <c r="B883" s="43"/>
      <c r="C883" s="43"/>
      <c r="D883" s="43"/>
      <c r="E883" s="43"/>
      <c r="F883" s="43"/>
      <c r="G883" s="43"/>
      <c r="H883" s="404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</row>
    <row r="884" spans="1:25" ht="15.75" customHeight="1" x14ac:dyDescent="0.2">
      <c r="A884" s="43"/>
      <c r="B884" s="43"/>
      <c r="C884" s="43"/>
      <c r="D884" s="43"/>
      <c r="E884" s="43"/>
      <c r="F884" s="43"/>
      <c r="G884" s="43"/>
      <c r="H884" s="404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</row>
    <row r="885" spans="1:25" ht="15.75" customHeight="1" x14ac:dyDescent="0.2">
      <c r="A885" s="43"/>
      <c r="B885" s="43"/>
      <c r="C885" s="43"/>
      <c r="D885" s="43"/>
      <c r="E885" s="43"/>
      <c r="F885" s="43"/>
      <c r="G885" s="43"/>
      <c r="H885" s="404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</row>
    <row r="886" spans="1:25" ht="15.75" customHeight="1" x14ac:dyDescent="0.2">
      <c r="A886" s="43"/>
      <c r="B886" s="43"/>
      <c r="C886" s="43"/>
      <c r="D886" s="43"/>
      <c r="E886" s="43"/>
      <c r="F886" s="43"/>
      <c r="G886" s="43"/>
      <c r="H886" s="404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</row>
    <row r="887" spans="1:25" ht="15.75" customHeight="1" x14ac:dyDescent="0.2">
      <c r="A887" s="43"/>
      <c r="B887" s="43"/>
      <c r="C887" s="43"/>
      <c r="D887" s="43"/>
      <c r="E887" s="43"/>
      <c r="F887" s="43"/>
      <c r="G887" s="43"/>
      <c r="H887" s="404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</row>
    <row r="888" spans="1:25" ht="15.75" customHeight="1" x14ac:dyDescent="0.2">
      <c r="A888" s="43"/>
      <c r="B888" s="43"/>
      <c r="C888" s="43"/>
      <c r="D888" s="43"/>
      <c r="E888" s="43"/>
      <c r="F888" s="43"/>
      <c r="G888" s="43"/>
      <c r="H888" s="404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</row>
    <row r="889" spans="1:25" ht="15.75" customHeight="1" x14ac:dyDescent="0.2">
      <c r="A889" s="43"/>
      <c r="B889" s="43"/>
      <c r="C889" s="43"/>
      <c r="D889" s="43"/>
      <c r="E889" s="43"/>
      <c r="F889" s="43"/>
      <c r="G889" s="43"/>
      <c r="H889" s="404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</row>
    <row r="890" spans="1:25" ht="15.75" customHeight="1" x14ac:dyDescent="0.2">
      <c r="A890" s="43"/>
      <c r="B890" s="43"/>
      <c r="C890" s="43"/>
      <c r="D890" s="43"/>
      <c r="E890" s="43"/>
      <c r="F890" s="43"/>
      <c r="G890" s="43"/>
      <c r="H890" s="404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</row>
    <row r="891" spans="1:25" ht="15.75" customHeight="1" x14ac:dyDescent="0.2">
      <c r="A891" s="43"/>
      <c r="B891" s="43"/>
      <c r="C891" s="43"/>
      <c r="D891" s="43"/>
      <c r="E891" s="43"/>
      <c r="F891" s="43"/>
      <c r="G891" s="43"/>
      <c r="H891" s="404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</row>
    <row r="892" spans="1:25" ht="15.75" customHeight="1" x14ac:dyDescent="0.2">
      <c r="A892" s="43"/>
      <c r="B892" s="43"/>
      <c r="C892" s="43"/>
      <c r="D892" s="43"/>
      <c r="E892" s="43"/>
      <c r="F892" s="43"/>
      <c r="G892" s="43"/>
      <c r="H892" s="404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</row>
    <row r="893" spans="1:25" ht="15.75" customHeight="1" x14ac:dyDescent="0.2">
      <c r="A893" s="43"/>
      <c r="B893" s="43"/>
      <c r="C893" s="43"/>
      <c r="D893" s="43"/>
      <c r="E893" s="43"/>
      <c r="F893" s="43"/>
      <c r="G893" s="43"/>
      <c r="H893" s="404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</row>
    <row r="894" spans="1:25" ht="15.75" customHeight="1" x14ac:dyDescent="0.2">
      <c r="A894" s="43"/>
      <c r="B894" s="43"/>
      <c r="C894" s="43"/>
      <c r="D894" s="43"/>
      <c r="E894" s="43"/>
      <c r="F894" s="43"/>
      <c r="G894" s="43"/>
      <c r="H894" s="404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</row>
    <row r="895" spans="1:25" ht="15.75" customHeight="1" x14ac:dyDescent="0.2">
      <c r="A895" s="43"/>
      <c r="B895" s="43"/>
      <c r="C895" s="43"/>
      <c r="D895" s="43"/>
      <c r="E895" s="43"/>
      <c r="F895" s="43"/>
      <c r="G895" s="43"/>
      <c r="H895" s="404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</row>
    <row r="896" spans="1:25" ht="15.75" customHeight="1" x14ac:dyDescent="0.2">
      <c r="A896" s="43"/>
      <c r="B896" s="43"/>
      <c r="C896" s="43"/>
      <c r="D896" s="43"/>
      <c r="E896" s="43"/>
      <c r="F896" s="43"/>
      <c r="G896" s="43"/>
      <c r="H896" s="404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</row>
    <row r="897" spans="1:25" ht="15.75" customHeight="1" x14ac:dyDescent="0.2">
      <c r="A897" s="43"/>
      <c r="B897" s="43"/>
      <c r="C897" s="43"/>
      <c r="D897" s="43"/>
      <c r="E897" s="43"/>
      <c r="F897" s="43"/>
      <c r="G897" s="43"/>
      <c r="H897" s="404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</row>
    <row r="898" spans="1:25" ht="15.75" customHeight="1" x14ac:dyDescent="0.2">
      <c r="A898" s="43"/>
      <c r="B898" s="43"/>
      <c r="C898" s="43"/>
      <c r="D898" s="43"/>
      <c r="E898" s="43"/>
      <c r="F898" s="43"/>
      <c r="G898" s="43"/>
      <c r="H898" s="404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</row>
    <row r="899" spans="1:25" ht="15.75" customHeight="1" x14ac:dyDescent="0.2">
      <c r="A899" s="43"/>
      <c r="B899" s="43"/>
      <c r="C899" s="43"/>
      <c r="D899" s="43"/>
      <c r="E899" s="43"/>
      <c r="F899" s="43"/>
      <c r="G899" s="43"/>
      <c r="H899" s="404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</row>
    <row r="900" spans="1:25" ht="15.75" customHeight="1" x14ac:dyDescent="0.2">
      <c r="A900" s="43"/>
      <c r="B900" s="43"/>
      <c r="C900" s="43"/>
      <c r="D900" s="43"/>
      <c r="E900" s="43"/>
      <c r="F900" s="43"/>
      <c r="G900" s="43"/>
      <c r="H900" s="404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</row>
    <row r="901" spans="1:25" ht="15.75" customHeight="1" x14ac:dyDescent="0.2">
      <c r="A901" s="43"/>
      <c r="B901" s="43"/>
      <c r="C901" s="43"/>
      <c r="D901" s="43"/>
      <c r="E901" s="43"/>
      <c r="F901" s="43"/>
      <c r="G901" s="43"/>
      <c r="H901" s="404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</row>
    <row r="902" spans="1:25" ht="15.75" customHeight="1" x14ac:dyDescent="0.2">
      <c r="A902" s="43"/>
      <c r="B902" s="43"/>
      <c r="C902" s="43"/>
      <c r="D902" s="43"/>
      <c r="E902" s="43"/>
      <c r="F902" s="43"/>
      <c r="G902" s="43"/>
      <c r="H902" s="404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</row>
    <row r="903" spans="1:25" ht="15.75" customHeight="1" x14ac:dyDescent="0.2">
      <c r="A903" s="43"/>
      <c r="B903" s="43"/>
      <c r="C903" s="43"/>
      <c r="D903" s="43"/>
      <c r="E903" s="43"/>
      <c r="F903" s="43"/>
      <c r="G903" s="43"/>
      <c r="H903" s="404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</row>
    <row r="904" spans="1:25" ht="15.75" customHeight="1" x14ac:dyDescent="0.2">
      <c r="A904" s="43"/>
      <c r="B904" s="43"/>
      <c r="C904" s="43"/>
      <c r="D904" s="43"/>
      <c r="E904" s="43"/>
      <c r="F904" s="43"/>
      <c r="G904" s="43"/>
      <c r="H904" s="404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</row>
    <row r="905" spans="1:25" ht="15.75" customHeight="1" x14ac:dyDescent="0.2">
      <c r="A905" s="43"/>
      <c r="B905" s="43"/>
      <c r="C905" s="43"/>
      <c r="D905" s="43"/>
      <c r="E905" s="43"/>
      <c r="F905" s="43"/>
      <c r="G905" s="43"/>
      <c r="H905" s="404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</row>
    <row r="906" spans="1:25" ht="15.75" customHeight="1" x14ac:dyDescent="0.2">
      <c r="A906" s="43"/>
      <c r="B906" s="43"/>
      <c r="C906" s="43"/>
      <c r="D906" s="43"/>
      <c r="E906" s="43"/>
      <c r="F906" s="43"/>
      <c r="G906" s="43"/>
      <c r="H906" s="404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</row>
    <row r="907" spans="1:25" ht="15.75" customHeight="1" x14ac:dyDescent="0.2">
      <c r="A907" s="43"/>
      <c r="B907" s="43"/>
      <c r="C907" s="43"/>
      <c r="D907" s="43"/>
      <c r="E907" s="43"/>
      <c r="F907" s="43"/>
      <c r="G907" s="43"/>
      <c r="H907" s="404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</row>
    <row r="908" spans="1:25" ht="15.75" customHeight="1" x14ac:dyDescent="0.2">
      <c r="A908" s="43"/>
      <c r="B908" s="43"/>
      <c r="C908" s="43"/>
      <c r="D908" s="43"/>
      <c r="E908" s="43"/>
      <c r="F908" s="43"/>
      <c r="G908" s="43"/>
      <c r="H908" s="404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</row>
    <row r="909" spans="1:25" ht="15.75" customHeight="1" x14ac:dyDescent="0.2">
      <c r="A909" s="43"/>
      <c r="B909" s="43"/>
      <c r="C909" s="43"/>
      <c r="D909" s="43"/>
      <c r="E909" s="43"/>
      <c r="F909" s="43"/>
      <c r="G909" s="43"/>
      <c r="H909" s="404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</row>
    <row r="910" spans="1:25" ht="15.75" customHeight="1" x14ac:dyDescent="0.2">
      <c r="A910" s="43"/>
      <c r="B910" s="43"/>
      <c r="C910" s="43"/>
      <c r="D910" s="43"/>
      <c r="E910" s="43"/>
      <c r="F910" s="43"/>
      <c r="G910" s="43"/>
      <c r="H910" s="404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</row>
    <row r="911" spans="1:25" ht="15.75" customHeight="1" x14ac:dyDescent="0.2">
      <c r="A911" s="43"/>
      <c r="B911" s="43"/>
      <c r="C911" s="43"/>
      <c r="D911" s="43"/>
      <c r="E911" s="43"/>
      <c r="F911" s="43"/>
      <c r="G911" s="43"/>
      <c r="H911" s="404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</row>
    <row r="912" spans="1:25" ht="15.75" customHeight="1" x14ac:dyDescent="0.2">
      <c r="A912" s="43"/>
      <c r="B912" s="43"/>
      <c r="C912" s="43"/>
      <c r="D912" s="43"/>
      <c r="E912" s="43"/>
      <c r="F912" s="43"/>
      <c r="G912" s="43"/>
      <c r="H912" s="404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</row>
    <row r="913" spans="1:25" ht="15.75" customHeight="1" x14ac:dyDescent="0.2">
      <c r="A913" s="43"/>
      <c r="B913" s="43"/>
      <c r="C913" s="43"/>
      <c r="D913" s="43"/>
      <c r="E913" s="43"/>
      <c r="F913" s="43"/>
      <c r="G913" s="43"/>
      <c r="H913" s="404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</row>
    <row r="914" spans="1:25" ht="15.75" customHeight="1" x14ac:dyDescent="0.2">
      <c r="A914" s="43"/>
      <c r="B914" s="43"/>
      <c r="C914" s="43"/>
      <c r="D914" s="43"/>
      <c r="E914" s="43"/>
      <c r="F914" s="43"/>
      <c r="G914" s="43"/>
      <c r="H914" s="404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</row>
    <row r="915" spans="1:25" ht="15.75" customHeight="1" x14ac:dyDescent="0.2">
      <c r="A915" s="43"/>
      <c r="B915" s="43"/>
      <c r="C915" s="43"/>
      <c r="D915" s="43"/>
      <c r="E915" s="43"/>
      <c r="F915" s="43"/>
      <c r="G915" s="43"/>
      <c r="H915" s="404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</row>
    <row r="916" spans="1:25" ht="15.75" customHeight="1" x14ac:dyDescent="0.2">
      <c r="A916" s="43"/>
      <c r="B916" s="43"/>
      <c r="C916" s="43"/>
      <c r="D916" s="43"/>
      <c r="E916" s="43"/>
      <c r="F916" s="43"/>
      <c r="G916" s="43"/>
      <c r="H916" s="404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</row>
    <row r="917" spans="1:25" ht="15.75" customHeight="1" x14ac:dyDescent="0.2">
      <c r="A917" s="43"/>
      <c r="B917" s="43"/>
      <c r="C917" s="43"/>
      <c r="D917" s="43"/>
      <c r="E917" s="43"/>
      <c r="F917" s="43"/>
      <c r="G917" s="43"/>
      <c r="H917" s="404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</row>
    <row r="918" spans="1:25" ht="15.75" customHeight="1" x14ac:dyDescent="0.2">
      <c r="A918" s="43"/>
      <c r="B918" s="43"/>
      <c r="C918" s="43"/>
      <c r="D918" s="43"/>
      <c r="E918" s="43"/>
      <c r="F918" s="43"/>
      <c r="G918" s="43"/>
      <c r="H918" s="404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</row>
    <row r="919" spans="1:25" ht="15.75" customHeight="1" x14ac:dyDescent="0.2">
      <c r="A919" s="43"/>
      <c r="B919" s="43"/>
      <c r="C919" s="43"/>
      <c r="D919" s="43"/>
      <c r="E919" s="43"/>
      <c r="F919" s="43"/>
      <c r="G919" s="43"/>
      <c r="H919" s="404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</row>
    <row r="920" spans="1:25" ht="15.75" customHeight="1" x14ac:dyDescent="0.2">
      <c r="A920" s="43"/>
      <c r="B920" s="43"/>
      <c r="C920" s="43"/>
      <c r="D920" s="43"/>
      <c r="E920" s="43"/>
      <c r="F920" s="43"/>
      <c r="G920" s="43"/>
      <c r="H920" s="404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</row>
    <row r="921" spans="1:25" ht="15.75" customHeight="1" x14ac:dyDescent="0.2">
      <c r="A921" s="43"/>
      <c r="B921" s="43"/>
      <c r="C921" s="43"/>
      <c r="D921" s="43"/>
      <c r="E921" s="43"/>
      <c r="F921" s="43"/>
      <c r="G921" s="43"/>
      <c r="H921" s="404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</row>
    <row r="922" spans="1:25" ht="15.75" customHeight="1" x14ac:dyDescent="0.2">
      <c r="A922" s="43"/>
      <c r="B922" s="43"/>
      <c r="C922" s="43"/>
      <c r="D922" s="43"/>
      <c r="E922" s="43"/>
      <c r="F922" s="43"/>
      <c r="G922" s="43"/>
      <c r="H922" s="404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</row>
    <row r="923" spans="1:25" ht="15.75" customHeight="1" x14ac:dyDescent="0.2">
      <c r="A923" s="43"/>
      <c r="B923" s="43"/>
      <c r="C923" s="43"/>
      <c r="D923" s="43"/>
      <c r="E923" s="43"/>
      <c r="F923" s="43"/>
      <c r="G923" s="43"/>
      <c r="H923" s="404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</row>
    <row r="924" spans="1:25" ht="15.75" customHeight="1" x14ac:dyDescent="0.2">
      <c r="A924" s="43"/>
      <c r="B924" s="43"/>
      <c r="C924" s="43"/>
      <c r="D924" s="43"/>
      <c r="E924" s="43"/>
      <c r="F924" s="43"/>
      <c r="G924" s="43"/>
      <c r="H924" s="404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</row>
    <row r="925" spans="1:25" ht="15.75" customHeight="1" x14ac:dyDescent="0.2">
      <c r="A925" s="43"/>
      <c r="B925" s="43"/>
      <c r="C925" s="43"/>
      <c r="D925" s="43"/>
      <c r="E925" s="43"/>
      <c r="F925" s="43"/>
      <c r="G925" s="43"/>
      <c r="H925" s="404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</row>
    <row r="926" spans="1:25" ht="15.75" customHeight="1" x14ac:dyDescent="0.2">
      <c r="A926" s="43"/>
      <c r="B926" s="43"/>
      <c r="C926" s="43"/>
      <c r="D926" s="43"/>
      <c r="E926" s="43"/>
      <c r="F926" s="43"/>
      <c r="G926" s="43"/>
      <c r="H926" s="404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</row>
    <row r="927" spans="1:25" ht="15.75" customHeight="1" x14ac:dyDescent="0.2">
      <c r="A927" s="43"/>
      <c r="B927" s="43"/>
      <c r="C927" s="43"/>
      <c r="D927" s="43"/>
      <c r="E927" s="43"/>
      <c r="F927" s="43"/>
      <c r="G927" s="43"/>
      <c r="H927" s="404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</row>
    <row r="928" spans="1:25" ht="15.75" customHeight="1" x14ac:dyDescent="0.2">
      <c r="A928" s="43"/>
      <c r="B928" s="43"/>
      <c r="C928" s="43"/>
      <c r="D928" s="43"/>
      <c r="E928" s="43"/>
      <c r="F928" s="43"/>
      <c r="G928" s="43"/>
      <c r="H928" s="404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</row>
    <row r="929" spans="1:25" ht="15.75" customHeight="1" x14ac:dyDescent="0.2">
      <c r="A929" s="43"/>
      <c r="B929" s="43"/>
      <c r="C929" s="43"/>
      <c r="D929" s="43"/>
      <c r="E929" s="43"/>
      <c r="F929" s="43"/>
      <c r="G929" s="43"/>
      <c r="H929" s="404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</row>
    <row r="930" spans="1:25" ht="15.75" customHeight="1" x14ac:dyDescent="0.2">
      <c r="A930" s="43"/>
      <c r="B930" s="43"/>
      <c r="C930" s="43"/>
      <c r="D930" s="43"/>
      <c r="E930" s="43"/>
      <c r="F930" s="43"/>
      <c r="G930" s="43"/>
      <c r="H930" s="404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</row>
    <row r="931" spans="1:25" ht="15.75" customHeight="1" x14ac:dyDescent="0.2">
      <c r="A931" s="43"/>
      <c r="B931" s="43"/>
      <c r="C931" s="43"/>
      <c r="D931" s="43"/>
      <c r="E931" s="43"/>
      <c r="F931" s="43"/>
      <c r="G931" s="43"/>
      <c r="H931" s="404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</row>
    <row r="932" spans="1:25" ht="15.75" customHeight="1" x14ac:dyDescent="0.2">
      <c r="A932" s="43"/>
      <c r="B932" s="43"/>
      <c r="C932" s="43"/>
      <c r="D932" s="43"/>
      <c r="E932" s="43"/>
      <c r="F932" s="43"/>
      <c r="G932" s="43"/>
      <c r="H932" s="404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</row>
    <row r="933" spans="1:25" ht="15.75" customHeight="1" x14ac:dyDescent="0.2">
      <c r="A933" s="43"/>
      <c r="B933" s="43"/>
      <c r="C933" s="43"/>
      <c r="D933" s="43"/>
      <c r="E933" s="43"/>
      <c r="F933" s="43"/>
      <c r="G933" s="43"/>
      <c r="H933" s="404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</row>
    <row r="934" spans="1:25" ht="15.75" customHeight="1" x14ac:dyDescent="0.2">
      <c r="A934" s="43"/>
      <c r="B934" s="43"/>
      <c r="C934" s="43"/>
      <c r="D934" s="43"/>
      <c r="E934" s="43"/>
      <c r="F934" s="43"/>
      <c r="G934" s="43"/>
      <c r="H934" s="404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</row>
    <row r="935" spans="1:25" ht="15.75" customHeight="1" x14ac:dyDescent="0.2">
      <c r="A935" s="43"/>
      <c r="B935" s="43"/>
      <c r="C935" s="43"/>
      <c r="D935" s="43"/>
      <c r="E935" s="43"/>
      <c r="F935" s="43"/>
      <c r="G935" s="43"/>
      <c r="H935" s="404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</row>
    <row r="936" spans="1:25" ht="15.75" customHeight="1" x14ac:dyDescent="0.2">
      <c r="A936" s="43"/>
      <c r="B936" s="43"/>
      <c r="C936" s="43"/>
      <c r="D936" s="43"/>
      <c r="E936" s="43"/>
      <c r="F936" s="43"/>
      <c r="G936" s="43"/>
      <c r="H936" s="404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</row>
    <row r="937" spans="1:25" ht="15.75" customHeight="1" x14ac:dyDescent="0.2">
      <c r="A937" s="43"/>
      <c r="B937" s="43"/>
      <c r="C937" s="43"/>
      <c r="D937" s="43"/>
      <c r="E937" s="43"/>
      <c r="F937" s="43"/>
      <c r="G937" s="43"/>
      <c r="H937" s="404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</row>
    <row r="938" spans="1:25" ht="15.75" customHeight="1" x14ac:dyDescent="0.2">
      <c r="A938" s="43"/>
      <c r="B938" s="43"/>
      <c r="C938" s="43"/>
      <c r="D938" s="43"/>
      <c r="E938" s="43"/>
      <c r="F938" s="43"/>
      <c r="G938" s="43"/>
      <c r="H938" s="404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</row>
    <row r="939" spans="1:25" ht="15.75" customHeight="1" x14ac:dyDescent="0.2">
      <c r="A939" s="43"/>
      <c r="B939" s="43"/>
      <c r="C939" s="43"/>
      <c r="D939" s="43"/>
      <c r="E939" s="43"/>
      <c r="F939" s="43"/>
      <c r="G939" s="43"/>
      <c r="H939" s="404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</row>
    <row r="940" spans="1:25" ht="15.75" customHeight="1" x14ac:dyDescent="0.2">
      <c r="A940" s="43"/>
      <c r="B940" s="43"/>
      <c r="C940" s="43"/>
      <c r="D940" s="43"/>
      <c r="E940" s="43"/>
      <c r="F940" s="43"/>
      <c r="G940" s="43"/>
      <c r="H940" s="404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</row>
    <row r="941" spans="1:25" ht="15.75" customHeight="1" x14ac:dyDescent="0.2">
      <c r="A941" s="43"/>
      <c r="B941" s="43"/>
      <c r="C941" s="43"/>
      <c r="D941" s="43"/>
      <c r="E941" s="43"/>
      <c r="F941" s="43"/>
      <c r="G941" s="43"/>
      <c r="H941" s="404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</row>
    <row r="942" spans="1:25" ht="15.75" customHeight="1" x14ac:dyDescent="0.2">
      <c r="A942" s="43"/>
      <c r="B942" s="43"/>
      <c r="C942" s="43"/>
      <c r="D942" s="43"/>
      <c r="E942" s="43"/>
      <c r="F942" s="43"/>
      <c r="G942" s="43"/>
      <c r="H942" s="404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</row>
    <row r="943" spans="1:25" ht="15.75" customHeight="1" x14ac:dyDescent="0.2">
      <c r="A943" s="43"/>
      <c r="B943" s="43"/>
      <c r="C943" s="43"/>
      <c r="D943" s="43"/>
      <c r="E943" s="43"/>
      <c r="F943" s="43"/>
      <c r="G943" s="43"/>
      <c r="H943" s="404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</row>
    <row r="944" spans="1:25" ht="15.75" customHeight="1" x14ac:dyDescent="0.2">
      <c r="A944" s="43"/>
      <c r="B944" s="43"/>
      <c r="C944" s="43"/>
      <c r="D944" s="43"/>
      <c r="E944" s="43"/>
      <c r="F944" s="43"/>
      <c r="G944" s="43"/>
      <c r="H944" s="404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</row>
    <row r="945" spans="1:25" ht="15.75" customHeight="1" x14ac:dyDescent="0.2">
      <c r="A945" s="43"/>
      <c r="B945" s="43"/>
      <c r="C945" s="43"/>
      <c r="D945" s="43"/>
      <c r="E945" s="43"/>
      <c r="F945" s="43"/>
      <c r="G945" s="43"/>
      <c r="H945" s="404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</row>
    <row r="946" spans="1:25" ht="15.75" customHeight="1" x14ac:dyDescent="0.2">
      <c r="A946" s="43"/>
      <c r="B946" s="43"/>
      <c r="C946" s="43"/>
      <c r="D946" s="43"/>
      <c r="E946" s="43"/>
      <c r="F946" s="43"/>
      <c r="G946" s="43"/>
      <c r="H946" s="404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</row>
    <row r="947" spans="1:25" ht="15.75" customHeight="1" x14ac:dyDescent="0.2">
      <c r="A947" s="43"/>
      <c r="B947" s="43"/>
      <c r="C947" s="43"/>
      <c r="D947" s="43"/>
      <c r="E947" s="43"/>
      <c r="F947" s="43"/>
      <c r="G947" s="43"/>
      <c r="H947" s="404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</row>
    <row r="948" spans="1:25" ht="15.75" customHeight="1" x14ac:dyDescent="0.2">
      <c r="A948" s="43"/>
      <c r="B948" s="43"/>
      <c r="C948" s="43"/>
      <c r="D948" s="43"/>
      <c r="E948" s="43"/>
      <c r="F948" s="43"/>
      <c r="G948" s="43"/>
      <c r="H948" s="404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</row>
    <row r="949" spans="1:25" ht="15.75" customHeight="1" x14ac:dyDescent="0.2">
      <c r="A949" s="43"/>
      <c r="B949" s="43"/>
      <c r="C949" s="43"/>
      <c r="D949" s="43"/>
      <c r="E949" s="43"/>
      <c r="F949" s="43"/>
      <c r="G949" s="43"/>
      <c r="H949" s="404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</row>
    <row r="950" spans="1:25" ht="15.75" customHeight="1" x14ac:dyDescent="0.2">
      <c r="A950" s="43"/>
      <c r="B950" s="43"/>
      <c r="C950" s="43"/>
      <c r="D950" s="43"/>
      <c r="E950" s="43"/>
      <c r="F950" s="43"/>
      <c r="G950" s="43"/>
      <c r="H950" s="404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</row>
    <row r="951" spans="1:25" ht="15.75" customHeight="1" x14ac:dyDescent="0.2">
      <c r="A951" s="43"/>
      <c r="B951" s="43"/>
      <c r="C951" s="43"/>
      <c r="D951" s="43"/>
      <c r="E951" s="43"/>
      <c r="F951" s="43"/>
      <c r="G951" s="43"/>
      <c r="H951" s="404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</row>
    <row r="952" spans="1:25" ht="15.75" customHeight="1" x14ac:dyDescent="0.2">
      <c r="A952" s="43"/>
      <c r="B952" s="43"/>
      <c r="C952" s="43"/>
      <c r="D952" s="43"/>
      <c r="E952" s="43"/>
      <c r="F952" s="43"/>
      <c r="G952" s="43"/>
      <c r="H952" s="404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</row>
    <row r="953" spans="1:25" ht="15.75" customHeight="1" x14ac:dyDescent="0.2">
      <c r="A953" s="43"/>
      <c r="B953" s="43"/>
      <c r="C953" s="43"/>
      <c r="D953" s="43"/>
      <c r="E953" s="43"/>
      <c r="F953" s="43"/>
      <c r="G953" s="43"/>
      <c r="H953" s="404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</row>
    <row r="954" spans="1:25" ht="15.75" customHeight="1" x14ac:dyDescent="0.2">
      <c r="A954" s="43"/>
      <c r="B954" s="43"/>
      <c r="C954" s="43"/>
      <c r="D954" s="43"/>
      <c r="E954" s="43"/>
      <c r="F954" s="43"/>
      <c r="G954" s="43"/>
      <c r="H954" s="404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</row>
    <row r="955" spans="1:25" ht="15.75" customHeight="1" x14ac:dyDescent="0.2">
      <c r="A955" s="43"/>
      <c r="B955" s="43"/>
      <c r="C955" s="43"/>
      <c r="D955" s="43"/>
      <c r="E955" s="43"/>
      <c r="F955" s="43"/>
      <c r="G955" s="43"/>
      <c r="H955" s="404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</row>
    <row r="956" spans="1:25" ht="15.75" customHeight="1" x14ac:dyDescent="0.2">
      <c r="A956" s="43"/>
      <c r="B956" s="43"/>
      <c r="C956" s="43"/>
      <c r="D956" s="43"/>
      <c r="E956" s="43"/>
      <c r="F956" s="43"/>
      <c r="G956" s="43"/>
      <c r="H956" s="404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</row>
    <row r="957" spans="1:25" ht="15.75" customHeight="1" x14ac:dyDescent="0.2">
      <c r="A957" s="43"/>
      <c r="B957" s="43"/>
      <c r="C957" s="43"/>
      <c r="D957" s="43"/>
      <c r="E957" s="43"/>
      <c r="F957" s="43"/>
      <c r="G957" s="43"/>
      <c r="H957" s="404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</row>
    <row r="958" spans="1:25" ht="15.75" customHeight="1" x14ac:dyDescent="0.2">
      <c r="A958" s="43"/>
      <c r="B958" s="43"/>
      <c r="C958" s="43"/>
      <c r="D958" s="43"/>
      <c r="E958" s="43"/>
      <c r="F958" s="43"/>
      <c r="G958" s="43"/>
      <c r="H958" s="404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</row>
    <row r="959" spans="1:25" ht="15.75" customHeight="1" x14ac:dyDescent="0.2">
      <c r="A959" s="43"/>
      <c r="B959" s="43"/>
      <c r="C959" s="43"/>
      <c r="D959" s="43"/>
      <c r="E959" s="43"/>
      <c r="F959" s="43"/>
      <c r="G959" s="43"/>
      <c r="H959" s="404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</row>
    <row r="960" spans="1:25" ht="15.75" customHeight="1" x14ac:dyDescent="0.2">
      <c r="A960" s="43"/>
      <c r="B960" s="43"/>
      <c r="C960" s="43"/>
      <c r="D960" s="43"/>
      <c r="E960" s="43"/>
      <c r="F960" s="43"/>
      <c r="G960" s="43"/>
      <c r="H960" s="404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</row>
    <row r="961" spans="1:25" ht="15.75" customHeight="1" x14ac:dyDescent="0.2">
      <c r="A961" s="43"/>
      <c r="B961" s="43"/>
      <c r="C961" s="43"/>
      <c r="D961" s="43"/>
      <c r="E961" s="43"/>
      <c r="F961" s="43"/>
      <c r="G961" s="43"/>
      <c r="H961" s="404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</row>
    <row r="962" spans="1:25" ht="15.75" customHeight="1" x14ac:dyDescent="0.2">
      <c r="A962" s="43"/>
      <c r="B962" s="43"/>
      <c r="C962" s="43"/>
      <c r="D962" s="43"/>
      <c r="E962" s="43"/>
      <c r="F962" s="43"/>
      <c r="G962" s="43"/>
      <c r="H962" s="404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</row>
    <row r="963" spans="1:25" ht="15.75" customHeight="1" x14ac:dyDescent="0.2">
      <c r="A963" s="43"/>
      <c r="B963" s="43"/>
      <c r="C963" s="43"/>
      <c r="D963" s="43"/>
      <c r="E963" s="43"/>
      <c r="F963" s="43"/>
      <c r="G963" s="43"/>
      <c r="H963" s="404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</row>
    <row r="964" spans="1:25" ht="15.75" customHeight="1" x14ac:dyDescent="0.2">
      <c r="A964" s="43"/>
      <c r="B964" s="43"/>
      <c r="C964" s="43"/>
      <c r="D964" s="43"/>
      <c r="E964" s="43"/>
      <c r="F964" s="43"/>
      <c r="G964" s="43"/>
      <c r="H964" s="404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</row>
    <row r="965" spans="1:25" ht="15.75" customHeight="1" x14ac:dyDescent="0.2">
      <c r="A965" s="43"/>
      <c r="B965" s="43"/>
      <c r="C965" s="43"/>
      <c r="D965" s="43"/>
      <c r="E965" s="43"/>
      <c r="F965" s="43"/>
      <c r="G965" s="43"/>
      <c r="H965" s="404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</row>
    <row r="966" spans="1:25" ht="15.75" customHeight="1" x14ac:dyDescent="0.2">
      <c r="A966" s="43"/>
      <c r="B966" s="43"/>
      <c r="C966" s="43"/>
      <c r="D966" s="43"/>
      <c r="E966" s="43"/>
      <c r="F966" s="43"/>
      <c r="G966" s="43"/>
      <c r="H966" s="404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</row>
    <row r="967" spans="1:25" ht="15.75" customHeight="1" x14ac:dyDescent="0.2">
      <c r="A967" s="43"/>
      <c r="B967" s="43"/>
      <c r="C967" s="43"/>
      <c r="D967" s="43"/>
      <c r="E967" s="43"/>
      <c r="F967" s="43"/>
      <c r="G967" s="43"/>
      <c r="H967" s="404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</row>
    <row r="968" spans="1:25" ht="15.75" customHeight="1" x14ac:dyDescent="0.2">
      <c r="A968" s="43"/>
      <c r="B968" s="43"/>
      <c r="C968" s="43"/>
      <c r="D968" s="43"/>
      <c r="E968" s="43"/>
      <c r="F968" s="43"/>
      <c r="G968" s="43"/>
      <c r="H968" s="404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</row>
    <row r="969" spans="1:25" ht="15.75" customHeight="1" x14ac:dyDescent="0.2">
      <c r="A969" s="43"/>
      <c r="B969" s="43"/>
      <c r="C969" s="43"/>
      <c r="D969" s="43"/>
      <c r="E969" s="43"/>
      <c r="F969" s="43"/>
      <c r="G969" s="43"/>
      <c r="H969" s="404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</row>
    <row r="970" spans="1:25" ht="15.75" customHeight="1" x14ac:dyDescent="0.2">
      <c r="A970" s="43"/>
      <c r="B970" s="43"/>
      <c r="C970" s="43"/>
      <c r="D970" s="43"/>
      <c r="E970" s="43"/>
      <c r="F970" s="43"/>
      <c r="G970" s="43"/>
      <c r="H970" s="404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</row>
    <row r="971" spans="1:25" ht="15.75" customHeight="1" x14ac:dyDescent="0.2">
      <c r="A971" s="43"/>
      <c r="B971" s="43"/>
      <c r="C971" s="43"/>
      <c r="D971" s="43"/>
      <c r="E971" s="43"/>
      <c r="F971" s="43"/>
      <c r="G971" s="43"/>
      <c r="H971" s="404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</row>
    <row r="972" spans="1:25" ht="15.75" customHeight="1" x14ac:dyDescent="0.2">
      <c r="A972" s="43"/>
      <c r="B972" s="43"/>
      <c r="C972" s="43"/>
      <c r="D972" s="43"/>
      <c r="E972" s="43"/>
      <c r="F972" s="43"/>
      <c r="G972" s="43"/>
      <c r="H972" s="404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</row>
    <row r="973" spans="1:25" ht="15.75" customHeight="1" x14ac:dyDescent="0.2">
      <c r="A973" s="43"/>
      <c r="B973" s="43"/>
      <c r="C973" s="43"/>
      <c r="D973" s="43"/>
      <c r="E973" s="43"/>
      <c r="F973" s="43"/>
      <c r="G973" s="43"/>
      <c r="H973" s="404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</row>
    <row r="974" spans="1:25" ht="15.75" customHeight="1" x14ac:dyDescent="0.2">
      <c r="A974" s="43"/>
      <c r="B974" s="43"/>
      <c r="C974" s="43"/>
      <c r="D974" s="43"/>
      <c r="E974" s="43"/>
      <c r="F974" s="43"/>
      <c r="G974" s="43"/>
      <c r="H974" s="404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</row>
    <row r="975" spans="1:25" ht="15.75" customHeight="1" x14ac:dyDescent="0.2">
      <c r="A975" s="43"/>
      <c r="B975" s="43"/>
      <c r="C975" s="43"/>
      <c r="D975" s="43"/>
      <c r="E975" s="43"/>
      <c r="F975" s="43"/>
      <c r="G975" s="43"/>
      <c r="H975" s="404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</row>
    <row r="976" spans="1:25" ht="15.75" customHeight="1" x14ac:dyDescent="0.2">
      <c r="A976" s="43"/>
      <c r="B976" s="43"/>
      <c r="C976" s="43"/>
      <c r="D976" s="43"/>
      <c r="E976" s="43"/>
      <c r="F976" s="43"/>
      <c r="G976" s="43"/>
      <c r="H976" s="404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</row>
    <row r="977" spans="1:25" ht="15.75" customHeight="1" x14ac:dyDescent="0.2">
      <c r="A977" s="43"/>
      <c r="B977" s="43"/>
      <c r="C977" s="43"/>
      <c r="D977" s="43"/>
      <c r="E977" s="43"/>
      <c r="F977" s="43"/>
      <c r="G977" s="43"/>
      <c r="H977" s="404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</row>
    <row r="978" spans="1:25" ht="15.75" customHeight="1" x14ac:dyDescent="0.2">
      <c r="A978" s="43"/>
      <c r="B978" s="43"/>
      <c r="C978" s="43"/>
      <c r="D978" s="43"/>
      <c r="E978" s="43"/>
      <c r="F978" s="43"/>
      <c r="G978" s="43"/>
      <c r="H978" s="404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</row>
    <row r="979" spans="1:25" ht="15.75" customHeight="1" x14ac:dyDescent="0.2">
      <c r="A979" s="43"/>
      <c r="B979" s="43"/>
      <c r="C979" s="43"/>
      <c r="D979" s="43"/>
      <c r="E979" s="43"/>
      <c r="F979" s="43"/>
      <c r="G979" s="43"/>
      <c r="H979" s="404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</row>
    <row r="980" spans="1:25" ht="15.75" customHeight="1" x14ac:dyDescent="0.2">
      <c r="A980" s="43"/>
      <c r="B980" s="43"/>
      <c r="C980" s="43"/>
      <c r="D980" s="43"/>
      <c r="E980" s="43"/>
      <c r="F980" s="43"/>
      <c r="G980" s="43"/>
      <c r="H980" s="404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</row>
    <row r="981" spans="1:25" ht="15.75" customHeight="1" x14ac:dyDescent="0.2">
      <c r="A981" s="43"/>
      <c r="B981" s="43"/>
      <c r="C981" s="43"/>
      <c r="D981" s="43"/>
      <c r="E981" s="43"/>
      <c r="F981" s="43"/>
      <c r="G981" s="43"/>
      <c r="H981" s="404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</row>
    <row r="982" spans="1:25" ht="15.75" customHeight="1" x14ac:dyDescent="0.2">
      <c r="A982" s="43"/>
      <c r="B982" s="43"/>
      <c r="C982" s="43"/>
      <c r="D982" s="43"/>
      <c r="E982" s="43"/>
      <c r="F982" s="43"/>
      <c r="G982" s="43"/>
      <c r="H982" s="404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</row>
    <row r="983" spans="1:25" ht="15.75" customHeight="1" x14ac:dyDescent="0.2">
      <c r="A983" s="43"/>
      <c r="B983" s="43"/>
      <c r="C983" s="43"/>
      <c r="D983" s="43"/>
      <c r="E983" s="43"/>
      <c r="F983" s="43"/>
      <c r="G983" s="43"/>
      <c r="H983" s="404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</row>
    <row r="984" spans="1:25" ht="15.75" customHeight="1" x14ac:dyDescent="0.2">
      <c r="A984" s="43"/>
      <c r="B984" s="43"/>
      <c r="C984" s="43"/>
      <c r="D984" s="43"/>
      <c r="E984" s="43"/>
      <c r="F984" s="43"/>
      <c r="G984" s="43"/>
      <c r="H984" s="404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</row>
    <row r="985" spans="1:25" ht="15.75" customHeight="1" x14ac:dyDescent="0.2">
      <c r="A985" s="43"/>
      <c r="B985" s="43"/>
      <c r="C985" s="43"/>
      <c r="D985" s="43"/>
      <c r="E985" s="43"/>
      <c r="F985" s="43"/>
      <c r="G985" s="43"/>
      <c r="H985" s="404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</row>
    <row r="986" spans="1:25" ht="15.75" customHeight="1" x14ac:dyDescent="0.2">
      <c r="A986" s="43"/>
      <c r="B986" s="43"/>
      <c r="C986" s="43"/>
      <c r="D986" s="43"/>
      <c r="E986" s="43"/>
      <c r="F986" s="43"/>
      <c r="G986" s="43"/>
      <c r="H986" s="404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</row>
    <row r="987" spans="1:25" ht="15.75" customHeight="1" x14ac:dyDescent="0.2">
      <c r="A987" s="43"/>
      <c r="B987" s="43"/>
      <c r="C987" s="43"/>
      <c r="D987" s="43"/>
      <c r="E987" s="43"/>
      <c r="F987" s="43"/>
      <c r="G987" s="43"/>
      <c r="H987" s="404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</row>
    <row r="988" spans="1:25" ht="15.75" customHeight="1" x14ac:dyDescent="0.2">
      <c r="A988" s="43"/>
      <c r="B988" s="43"/>
      <c r="C988" s="43"/>
      <c r="D988" s="43"/>
      <c r="E988" s="43"/>
      <c r="F988" s="43"/>
      <c r="G988" s="43"/>
      <c r="H988" s="404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</row>
    <row r="989" spans="1:25" ht="15.75" customHeight="1" x14ac:dyDescent="0.2">
      <c r="A989" s="43"/>
      <c r="B989" s="43"/>
      <c r="C989" s="43"/>
      <c r="D989" s="43"/>
      <c r="E989" s="43"/>
      <c r="F989" s="43"/>
      <c r="G989" s="43"/>
      <c r="H989" s="404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</row>
    <row r="990" spans="1:25" ht="15.75" customHeight="1" x14ac:dyDescent="0.2">
      <c r="A990" s="43"/>
      <c r="B990" s="43"/>
      <c r="C990" s="43"/>
      <c r="D990" s="43"/>
      <c r="E990" s="43"/>
      <c r="F990" s="43"/>
      <c r="G990" s="43"/>
      <c r="H990" s="404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</row>
  </sheetData>
  <mergeCells count="6">
    <mergeCell ref="A40:L40"/>
    <mergeCell ref="A8:L8"/>
    <mergeCell ref="A21:L21"/>
    <mergeCell ref="A28:L28"/>
    <mergeCell ref="A32:L32"/>
    <mergeCell ref="A36:L3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RESUMEN</vt:lpstr>
      <vt:lpstr>PARÁMETROS</vt:lpstr>
      <vt:lpstr>CURVA S</vt:lpstr>
      <vt:lpstr>PCUESFUERZO</vt:lpstr>
      <vt:lpstr>Costos HH - Sueldos</vt:lpstr>
      <vt:lpstr>Costos HH por MES</vt:lpstr>
      <vt:lpstr>TARIFAS DE OPERACION</vt:lpstr>
      <vt:lpstr>FLUJO DE CAJA COMPLETO</vt:lpstr>
      <vt:lpstr>FLUJO DE CAJA NETO</vt:lpstr>
      <vt:lpstr>FINANCIAMIENTO</vt:lpstr>
      <vt:lpstr>COSTOS DE OPERACION</vt:lpstr>
      <vt:lpstr>ADQUISICIONES IMPLEMENTACIÓN</vt:lpstr>
      <vt:lpstr>ADQUISICIONES OPERACIÓN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Antonio Moya</cp:lastModifiedBy>
  <dcterms:created xsi:type="dcterms:W3CDTF">2026-10-22T11:08:38Z</dcterms:created>
  <dcterms:modified xsi:type="dcterms:W3CDTF">2026-10-22T11:30:50Z</dcterms:modified>
</cp:coreProperties>
</file>