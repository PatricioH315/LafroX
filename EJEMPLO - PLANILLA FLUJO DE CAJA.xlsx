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Universidad\ICI-5444 - TALLER DE FORMULACION PROYECTOS TI\ICI-5444-2026 - TALLER DE FORMULACION DE PROYECTOS\"/>
    </mc:Choice>
  </mc:AlternateContent>
  <xr:revisionPtr revIDLastSave="0" documentId="8_{4DE688A4-B2DB-4BDA-B93E-50199450088A}" xr6:coauthVersionLast="47" xr6:coauthVersionMax="47" xr10:uidLastSave="{00000000-0000-0000-0000-000000000000}"/>
  <bookViews>
    <workbookView xWindow="20370" yWindow="-2790" windowWidth="29040" windowHeight="15720" tabRatio="756" firstSheet="3" activeTab="10" xr2:uid="{00000000-000D-0000-FFFF-FFFF00000000}"/>
  </bookViews>
  <sheets>
    <sheet name="PARAMETROS" sheetId="12" r:id="rId1"/>
    <sheet name="RESUMEN (Obligatorio)" sheetId="14" r:id="rId2"/>
    <sheet name="CURVA S (Obligatorio)" sheetId="11" r:id="rId3"/>
    <sheet name="FLUJO CAJA NETO (Obligatorio)" sheetId="1" r:id="rId4"/>
    <sheet name="FLUJO DE CAJA COMPLETO" sheetId="13" r:id="rId5"/>
    <sheet name="FINANCIAMIENTO" sheetId="6" r:id="rId6"/>
    <sheet name="PCU-Esfuerzo" sheetId="8" r:id="rId7"/>
    <sheet name="Adquisiciones" sheetId="2" r:id="rId8"/>
    <sheet name="Costos HH - Sueldos" sheetId="3" r:id="rId9"/>
    <sheet name="Costos HH por Mes" sheetId="15" r:id="rId10"/>
    <sheet name="Costo Operacion" sheetId="9" r:id="rId11"/>
  </sheets>
  <externalReferences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3" i="9" l="1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15"/>
  <c r="E32" i="15"/>
  <c r="F32" i="15" s="1"/>
  <c r="C32" i="15"/>
  <c r="D32" i="15" s="1"/>
  <c r="E31" i="15"/>
  <c r="F31" i="15" s="1"/>
  <c r="C31" i="15"/>
  <c r="D31" i="15" s="1"/>
  <c r="E30" i="15"/>
  <c r="F30" i="15" s="1"/>
  <c r="C30" i="15"/>
  <c r="D30" i="15" s="1"/>
  <c r="E29" i="15"/>
  <c r="F29" i="15" s="1"/>
  <c r="C29" i="15"/>
  <c r="D29" i="15" s="1"/>
  <c r="E28" i="15"/>
  <c r="F28" i="15" s="1"/>
  <c r="C28" i="15"/>
  <c r="D28" i="15" s="1"/>
  <c r="E27" i="15"/>
  <c r="F27" i="15" s="1"/>
  <c r="C27" i="15"/>
  <c r="D27" i="15" s="1"/>
  <c r="E26" i="15"/>
  <c r="F26" i="15" s="1"/>
  <c r="C26" i="15"/>
  <c r="D26" i="15" s="1"/>
  <c r="E25" i="15"/>
  <c r="F25" i="15" s="1"/>
  <c r="C25" i="15"/>
  <c r="D25" i="15" s="1"/>
  <c r="E24" i="15"/>
  <c r="C24" i="15"/>
  <c r="D24" i="15" s="1"/>
  <c r="E20" i="14"/>
  <c r="E11" i="14"/>
  <c r="D20" i="14"/>
  <c r="C20" i="14"/>
  <c r="D11" i="14"/>
  <c r="C11" i="14"/>
  <c r="C33" i="15" l="1"/>
  <c r="D33" i="15"/>
  <c r="E33" i="15"/>
  <c r="F24" i="15"/>
  <c r="F33" i="15" s="1"/>
  <c r="C38" i="1"/>
  <c r="D4" i="6"/>
  <c r="D3" i="6"/>
  <c r="D2" i="6"/>
  <c r="AL38" i="1"/>
  <c r="AL8" i="1" s="1"/>
  <c r="AL27" i="11" s="1"/>
  <c r="AK38" i="1"/>
  <c r="AJ38" i="1"/>
  <c r="AJ8" i="1" s="1"/>
  <c r="AJ27" i="11" s="1"/>
  <c r="AI38" i="1"/>
  <c r="AI8" i="1" s="1"/>
  <c r="AI27" i="11" s="1"/>
  <c r="AH38" i="1"/>
  <c r="AH8" i="1" s="1"/>
  <c r="AH27" i="11" s="1"/>
  <c r="AG38" i="1"/>
  <c r="AF38" i="1"/>
  <c r="AF8" i="1" s="1"/>
  <c r="AF27" i="11" s="1"/>
  <c r="AE38" i="1"/>
  <c r="AE8" i="1" s="1"/>
  <c r="AE27" i="11" s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L16" i="1"/>
  <c r="AK16" i="1"/>
  <c r="AK8" i="1" s="1"/>
  <c r="AK27" i="11" s="1"/>
  <c r="AJ16" i="1"/>
  <c r="AI16" i="1"/>
  <c r="AH16" i="1"/>
  <c r="AG16" i="1"/>
  <c r="AG8" i="1" s="1"/>
  <c r="AG27" i="11" s="1"/>
  <c r="AF16" i="1"/>
  <c r="AE16" i="1"/>
  <c r="AD16" i="1"/>
  <c r="AC16" i="1"/>
  <c r="AC8" i="1" s="1"/>
  <c r="AC27" i="11" s="1"/>
  <c r="AB16" i="1"/>
  <c r="AA16" i="1"/>
  <c r="Z16" i="1"/>
  <c r="Y16" i="1"/>
  <c r="Y8" i="1" s="1"/>
  <c r="Y27" i="11" s="1"/>
  <c r="X16" i="1"/>
  <c r="W16" i="1"/>
  <c r="V16" i="1"/>
  <c r="U16" i="1"/>
  <c r="U8" i="1" s="1"/>
  <c r="U27" i="11" s="1"/>
  <c r="T16" i="1"/>
  <c r="S16" i="1"/>
  <c r="R16" i="1"/>
  <c r="Q16" i="1"/>
  <c r="Q8" i="1" s="1"/>
  <c r="Q27" i="11" s="1"/>
  <c r="P16" i="1"/>
  <c r="O16" i="1"/>
  <c r="N16" i="1"/>
  <c r="M16" i="1"/>
  <c r="M8" i="1" s="1"/>
  <c r="M27" i="11" s="1"/>
  <c r="L16" i="1"/>
  <c r="K16" i="1"/>
  <c r="J16" i="1"/>
  <c r="I16" i="1"/>
  <c r="H16" i="1"/>
  <c r="H8" i="1" s="1"/>
  <c r="H27" i="11" s="1"/>
  <c r="G16" i="1"/>
  <c r="F16" i="1"/>
  <c r="E16" i="1"/>
  <c r="D16" i="1"/>
  <c r="C16" i="1"/>
  <c r="C17" i="1" s="1"/>
  <c r="C24" i="11" s="1"/>
  <c r="C8" i="1" l="1"/>
  <c r="C27" i="11" s="1"/>
  <c r="AD8" i="1"/>
  <c r="AD27" i="11" s="1"/>
  <c r="AB8" i="1"/>
  <c r="AB27" i="11" s="1"/>
  <c r="AA8" i="1"/>
  <c r="AA27" i="11" s="1"/>
  <c r="Z8" i="1"/>
  <c r="Z27" i="11" s="1"/>
  <c r="X8" i="1"/>
  <c r="X27" i="11" s="1"/>
  <c r="W8" i="1"/>
  <c r="W27" i="11" s="1"/>
  <c r="K8" i="1"/>
  <c r="K27" i="11" s="1"/>
  <c r="J8" i="1"/>
  <c r="J27" i="11" s="1"/>
  <c r="F8" i="1"/>
  <c r="F27" i="11" s="1"/>
  <c r="D8" i="1"/>
  <c r="D27" i="11" s="1"/>
  <c r="V8" i="1"/>
  <c r="V27" i="11" s="1"/>
  <c r="T8" i="1"/>
  <c r="T27" i="11" s="1"/>
  <c r="S8" i="1"/>
  <c r="S27" i="11" s="1"/>
  <c r="R8" i="1"/>
  <c r="R27" i="11" s="1"/>
  <c r="P8" i="1"/>
  <c r="P27" i="11" s="1"/>
  <c r="O8" i="1"/>
  <c r="O27" i="11" s="1"/>
  <c r="N8" i="1"/>
  <c r="N27" i="11" s="1"/>
  <c r="L8" i="1"/>
  <c r="L27" i="11" s="1"/>
  <c r="I8" i="1"/>
  <c r="I27" i="11" s="1"/>
  <c r="G8" i="1"/>
  <c r="G27" i="11" s="1"/>
  <c r="E8" i="1"/>
  <c r="E27" i="11" s="1"/>
  <c r="C39" i="1"/>
  <c r="C25" i="11" s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D39" i="1"/>
  <c r="D17" i="1"/>
  <c r="E17" i="1" l="1"/>
  <c r="D24" i="11"/>
  <c r="F17" i="1"/>
  <c r="E24" i="11"/>
  <c r="E39" i="1"/>
  <c r="D25" i="11"/>
  <c r="G17" i="1" l="1"/>
  <c r="F24" i="11"/>
  <c r="F39" i="1"/>
  <c r="E25" i="11"/>
  <c r="H17" i="1" l="1"/>
  <c r="G24" i="11"/>
  <c r="G39" i="1"/>
  <c r="F25" i="11"/>
  <c r="I17" i="1" l="1"/>
  <c r="H24" i="11"/>
  <c r="H39" i="1"/>
  <c r="G25" i="11"/>
  <c r="J17" i="1" l="1"/>
  <c r="I24" i="11"/>
  <c r="H25" i="11"/>
  <c r="I39" i="1"/>
  <c r="K17" i="1" l="1"/>
  <c r="J24" i="11"/>
  <c r="I25" i="11"/>
  <c r="J39" i="1"/>
  <c r="L17" i="1" l="1"/>
  <c r="K24" i="11"/>
  <c r="K39" i="1"/>
  <c r="J25" i="11"/>
  <c r="M17" i="1" l="1"/>
  <c r="L24" i="11"/>
  <c r="L39" i="1"/>
  <c r="K25" i="11"/>
  <c r="N17" i="1" l="1"/>
  <c r="M24" i="11"/>
  <c r="M39" i="1"/>
  <c r="L25" i="11"/>
  <c r="O17" i="1" l="1"/>
  <c r="N24" i="11"/>
  <c r="N39" i="1"/>
  <c r="M25" i="11"/>
  <c r="P17" i="1" l="1"/>
  <c r="O24" i="11"/>
  <c r="O39" i="1"/>
  <c r="N25" i="11"/>
  <c r="Q17" i="1" l="1"/>
  <c r="P24" i="11"/>
  <c r="P39" i="1"/>
  <c r="O25" i="11"/>
  <c r="R17" i="1" l="1"/>
  <c r="Q24" i="11"/>
  <c r="Q39" i="1"/>
  <c r="P25" i="11"/>
  <c r="S17" i="1" l="1"/>
  <c r="R24" i="11"/>
  <c r="Q25" i="11"/>
  <c r="R39" i="1"/>
  <c r="T17" i="1" l="1"/>
  <c r="S24" i="11"/>
  <c r="S39" i="1"/>
  <c r="R25" i="11"/>
  <c r="U17" i="1" l="1"/>
  <c r="T24" i="11"/>
  <c r="T39" i="1"/>
  <c r="S25" i="11"/>
  <c r="V17" i="1" l="1"/>
  <c r="U24" i="11"/>
  <c r="U39" i="1"/>
  <c r="T25" i="11"/>
  <c r="W17" i="1" l="1"/>
  <c r="V24" i="11"/>
  <c r="V39" i="1"/>
  <c r="U25" i="11"/>
  <c r="X17" i="1" l="1"/>
  <c r="W24" i="11"/>
  <c r="V25" i="11"/>
  <c r="W39" i="1"/>
  <c r="Y17" i="1" l="1"/>
  <c r="X24" i="11"/>
  <c r="X39" i="1"/>
  <c r="W25" i="11"/>
  <c r="Z17" i="1" l="1"/>
  <c r="Y24" i="11"/>
  <c r="Y39" i="1"/>
  <c r="X25" i="11"/>
  <c r="C3" i="1"/>
  <c r="C2" i="1"/>
  <c r="D4" i="12"/>
  <c r="D3" i="12"/>
  <c r="E3" i="6" s="1"/>
  <c r="D5" i="12"/>
  <c r="E2" i="6" s="1"/>
  <c r="C14" i="12"/>
  <c r="C32" i="11"/>
  <c r="D3" i="1" l="1"/>
  <c r="AA17" i="1"/>
  <c r="Z24" i="11"/>
  <c r="D2" i="1"/>
  <c r="Z39" i="1"/>
  <c r="Y25" i="11"/>
  <c r="C28" i="11"/>
  <c r="L16" i="3"/>
  <c r="L15" i="3"/>
  <c r="L14" i="3"/>
  <c r="L13" i="3"/>
  <c r="L12" i="3"/>
  <c r="L11" i="3"/>
  <c r="L10" i="3"/>
  <c r="K17" i="3"/>
  <c r="M17" i="3" s="1"/>
  <c r="K16" i="3"/>
  <c r="M16" i="3" s="1"/>
  <c r="K15" i="3"/>
  <c r="M15" i="3" s="1"/>
  <c r="K14" i="3"/>
  <c r="M14" i="3" s="1"/>
  <c r="K13" i="3"/>
  <c r="M13" i="3" s="1"/>
  <c r="K12" i="3"/>
  <c r="M12" i="3" s="1"/>
  <c r="K11" i="3"/>
  <c r="M11" i="3" s="1"/>
  <c r="K10" i="3"/>
  <c r="M10" i="3" s="1"/>
  <c r="K9" i="3"/>
  <c r="M9" i="3" s="1"/>
  <c r="J17" i="3"/>
  <c r="L17" i="3" s="1"/>
  <c r="J16" i="3"/>
  <c r="J15" i="3"/>
  <c r="J14" i="3"/>
  <c r="J13" i="3"/>
  <c r="J12" i="3"/>
  <c r="J11" i="3"/>
  <c r="J10" i="3"/>
  <c r="J9" i="3"/>
  <c r="L9" i="3" s="1"/>
  <c r="F29" i="3"/>
  <c r="E32" i="3"/>
  <c r="F32" i="3" s="1"/>
  <c r="E31" i="3"/>
  <c r="F31" i="3" s="1"/>
  <c r="E30" i="3"/>
  <c r="F30" i="3" s="1"/>
  <c r="E29" i="3"/>
  <c r="E28" i="3"/>
  <c r="F28" i="3" s="1"/>
  <c r="E27" i="3"/>
  <c r="F27" i="3" s="1"/>
  <c r="E26" i="3"/>
  <c r="F26" i="3" s="1"/>
  <c r="E25" i="3"/>
  <c r="F25" i="3" s="1"/>
  <c r="E24" i="3"/>
  <c r="F24" i="3" s="1"/>
  <c r="C32" i="3"/>
  <c r="D32" i="3" s="1"/>
  <c r="C31" i="3"/>
  <c r="D31" i="3" s="1"/>
  <c r="C30" i="3"/>
  <c r="D30" i="3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J18" i="2"/>
  <c r="J14" i="2"/>
  <c r="J39" i="2"/>
  <c r="J38" i="2"/>
  <c r="H41" i="2"/>
  <c r="J41" i="2" s="1"/>
  <c r="H40" i="2"/>
  <c r="J40" i="2" s="1"/>
  <c r="H39" i="2"/>
  <c r="H38" i="2"/>
  <c r="H37" i="2"/>
  <c r="J37" i="2" s="1"/>
  <c r="H36" i="2"/>
  <c r="J36" i="2" s="1"/>
  <c r="H18" i="2"/>
  <c r="G18" i="2"/>
  <c r="H17" i="2"/>
  <c r="J17" i="2" s="1"/>
  <c r="G17" i="2"/>
  <c r="H16" i="2"/>
  <c r="J16" i="2" s="1"/>
  <c r="G16" i="2"/>
  <c r="H15" i="2"/>
  <c r="J15" i="2" s="1"/>
  <c r="G15" i="2"/>
  <c r="H14" i="2"/>
  <c r="G14" i="2"/>
  <c r="H13" i="2"/>
  <c r="J13" i="2" s="1"/>
  <c r="G13" i="2"/>
  <c r="H12" i="2"/>
  <c r="J12" i="2" s="1"/>
  <c r="G12" i="2"/>
  <c r="H11" i="2"/>
  <c r="J11" i="2" s="1"/>
  <c r="G11" i="2"/>
  <c r="H10" i="2"/>
  <c r="J10" i="2" s="1"/>
  <c r="G10" i="2"/>
  <c r="H34" i="2"/>
  <c r="J34" i="2" s="1"/>
  <c r="H32" i="2"/>
  <c r="J32" i="2" s="1"/>
  <c r="G34" i="2"/>
  <c r="G33" i="2"/>
  <c r="H33" i="2"/>
  <c r="J33" i="2" s="1"/>
  <c r="G32" i="2"/>
  <c r="AB17" i="1" l="1"/>
  <c r="AA24" i="11"/>
  <c r="AA39" i="1"/>
  <c r="Z25" i="11"/>
  <c r="D28" i="11"/>
  <c r="E28" i="11" s="1"/>
  <c r="F28" i="11" s="1"/>
  <c r="G28" i="11" s="1"/>
  <c r="G41" i="2"/>
  <c r="AC17" i="1" l="1"/>
  <c r="AB24" i="11"/>
  <c r="AB39" i="1"/>
  <c r="AA25" i="11"/>
  <c r="H28" i="11"/>
  <c r="I28" i="11" s="1"/>
  <c r="J28" i="11" s="1"/>
  <c r="K28" i="11" s="1"/>
  <c r="L28" i="11" s="1"/>
  <c r="M28" i="11" s="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X28" i="11" s="1"/>
  <c r="Y28" i="11" s="1"/>
  <c r="Z28" i="11" s="1"/>
  <c r="AA28" i="11" s="1"/>
  <c r="AB28" i="11" s="1"/>
  <c r="AC28" i="11" s="1"/>
  <c r="AD28" i="11" s="1"/>
  <c r="AE28" i="11" s="1"/>
  <c r="AF28" i="11" s="1"/>
  <c r="AG28" i="11" s="1"/>
  <c r="AH28" i="11" s="1"/>
  <c r="AI28" i="11" s="1"/>
  <c r="AJ28" i="11" s="1"/>
  <c r="AK28" i="11" s="1"/>
  <c r="AL28" i="11" s="1"/>
  <c r="B33" i="3"/>
  <c r="I10" i="3"/>
  <c r="I11" i="3"/>
  <c r="I12" i="3"/>
  <c r="I13" i="3"/>
  <c r="I14" i="3"/>
  <c r="I15" i="3"/>
  <c r="I16" i="3"/>
  <c r="I17" i="3"/>
  <c r="I9" i="3"/>
  <c r="H18" i="3"/>
  <c r="G10" i="3"/>
  <c r="G11" i="3"/>
  <c r="G12" i="3"/>
  <c r="G13" i="3"/>
  <c r="G14" i="3"/>
  <c r="G15" i="3"/>
  <c r="G16" i="3"/>
  <c r="G17" i="3"/>
  <c r="G9" i="3"/>
  <c r="F10" i="3"/>
  <c r="F11" i="3"/>
  <c r="F12" i="3"/>
  <c r="F13" i="3"/>
  <c r="F14" i="3"/>
  <c r="F15" i="3"/>
  <c r="F16" i="3"/>
  <c r="F17" i="3"/>
  <c r="F9" i="3"/>
  <c r="G37" i="2"/>
  <c r="G38" i="2"/>
  <c r="G39" i="2"/>
  <c r="G40" i="2"/>
  <c r="G36" i="2"/>
  <c r="G31" i="2"/>
  <c r="G35" i="2" s="1"/>
  <c r="H31" i="2"/>
  <c r="G21" i="2"/>
  <c r="G22" i="2"/>
  <c r="G23" i="2"/>
  <c r="G24" i="2"/>
  <c r="G25" i="2"/>
  <c r="G26" i="2"/>
  <c r="G27" i="2"/>
  <c r="G28" i="2"/>
  <c r="G29" i="2"/>
  <c r="G20" i="2"/>
  <c r="H21" i="2"/>
  <c r="J21" i="2" s="1"/>
  <c r="H22" i="2"/>
  <c r="J22" i="2" s="1"/>
  <c r="H23" i="2"/>
  <c r="J23" i="2" s="1"/>
  <c r="H24" i="2"/>
  <c r="J24" i="2" s="1"/>
  <c r="H25" i="2"/>
  <c r="J25" i="2" s="1"/>
  <c r="H26" i="2"/>
  <c r="J26" i="2" s="1"/>
  <c r="H27" i="2"/>
  <c r="J27" i="2" s="1"/>
  <c r="H28" i="2"/>
  <c r="J28" i="2" s="1"/>
  <c r="H29" i="2"/>
  <c r="J29" i="2" s="1"/>
  <c r="H20" i="2"/>
  <c r="J20" i="2" s="1"/>
  <c r="C30" i="11" l="1"/>
  <c r="D31" i="11"/>
  <c r="AD17" i="1"/>
  <c r="AC24" i="11"/>
  <c r="AC39" i="1"/>
  <c r="AB25" i="11"/>
  <c r="D30" i="11"/>
  <c r="C31" i="11"/>
  <c r="J18" i="3"/>
  <c r="G42" i="2"/>
  <c r="L18" i="3"/>
  <c r="H42" i="2"/>
  <c r="M18" i="3"/>
  <c r="F33" i="3"/>
  <c r="D33" i="3"/>
  <c r="E33" i="3"/>
  <c r="K18" i="3"/>
  <c r="C33" i="3"/>
  <c r="H30" i="2"/>
  <c r="H35" i="2"/>
  <c r="J31" i="2"/>
  <c r="G30" i="2"/>
  <c r="H19" i="2"/>
  <c r="G19" i="2"/>
  <c r="AE17" i="1" l="1"/>
  <c r="AD24" i="11"/>
  <c r="AC25" i="11"/>
  <c r="AD39" i="1"/>
  <c r="K10" i="2"/>
  <c r="AF17" i="1" l="1"/>
  <c r="AE24" i="11"/>
  <c r="AD25" i="11"/>
  <c r="AE39" i="1"/>
  <c r="AG17" i="1" l="1"/>
  <c r="AF24" i="11"/>
  <c r="AE25" i="11"/>
  <c r="AF39" i="1"/>
  <c r="AH17" i="1" l="1"/>
  <c r="AG24" i="11"/>
  <c r="AG39" i="1"/>
  <c r="AF25" i="11"/>
  <c r="AI17" i="1" l="1"/>
  <c r="AH24" i="11"/>
  <c r="AH39" i="1"/>
  <c r="AG25" i="11"/>
  <c r="AJ17" i="1" l="1"/>
  <c r="AI24" i="11"/>
  <c r="AI39" i="1"/>
  <c r="AH25" i="11"/>
  <c r="AK17" i="1" l="1"/>
  <c r="AJ24" i="11"/>
  <c r="AI25" i="11"/>
  <c r="AJ39" i="1"/>
  <c r="AL17" i="1" l="1"/>
  <c r="AL24" i="11" s="1"/>
  <c r="AK24" i="11"/>
  <c r="AK39" i="1"/>
  <c r="AJ25" i="11"/>
  <c r="AL39" i="1" l="1"/>
  <c r="AL25" i="11" s="1"/>
  <c r="AK25" i="11"/>
</calcChain>
</file>

<file path=xl/sharedStrings.xml><?xml version="1.0" encoding="utf-8"?>
<sst xmlns="http://schemas.openxmlformats.org/spreadsheetml/2006/main" count="304" uniqueCount="171">
  <si>
    <t>Datos</t>
  </si>
  <si>
    <t>Linea de Credito</t>
  </si>
  <si>
    <t>Mes</t>
  </si>
  <si>
    <t>Total Arquitectura Fisica</t>
  </si>
  <si>
    <t>Total equipo desarrollo</t>
  </si>
  <si>
    <t>Total Arquitectura Logica</t>
  </si>
  <si>
    <t>UF</t>
  </si>
  <si>
    <t>CLP</t>
  </si>
  <si>
    <t>Componente</t>
  </si>
  <si>
    <t>Descripcion</t>
  </si>
  <si>
    <t>Precio unitario Dolar</t>
  </si>
  <si>
    <t>Precio unitario CLP</t>
  </si>
  <si>
    <t>Precio Unitario UF</t>
  </si>
  <si>
    <t>Cantidad</t>
  </si>
  <si>
    <t>Total CLP</t>
  </si>
  <si>
    <t>Total UF</t>
  </si>
  <si>
    <t>-</t>
  </si>
  <si>
    <t>Dias según Gantt</t>
  </si>
  <si>
    <t>Horas (8 hrs x dia)</t>
  </si>
  <si>
    <t>Costo $ UF/HH</t>
  </si>
  <si>
    <t>Tarifa$ UF/HH</t>
  </si>
  <si>
    <t>Total Costo</t>
  </si>
  <si>
    <t>Total Tarifa</t>
  </si>
  <si>
    <t>Cant de personas</t>
  </si>
  <si>
    <t>Sueldo costo CLP</t>
  </si>
  <si>
    <t>Sueldo Costo UF</t>
  </si>
  <si>
    <t>Sueldo Tarifa UF</t>
  </si>
  <si>
    <t>Analista/Diseñador senior</t>
  </si>
  <si>
    <t>Arquitecto senior</t>
  </si>
  <si>
    <t>Documentador</t>
  </si>
  <si>
    <t>Ingeniero senior</t>
  </si>
  <si>
    <t>Encargado de la Seguridad TI</t>
  </si>
  <si>
    <t>QA senior</t>
  </si>
  <si>
    <t>Jefe de analisis y diseño</t>
  </si>
  <si>
    <t>Jefe de desarrollo</t>
  </si>
  <si>
    <t>Jefe de proyecto</t>
  </si>
  <si>
    <t>Costo</t>
  </si>
  <si>
    <t>Tarifa</t>
  </si>
  <si>
    <t>Cantidad Personas</t>
  </si>
  <si>
    <t>UF Mensuales (160 Hrs) /Persona</t>
  </si>
  <si>
    <t>CLP Mensuales/persona</t>
  </si>
  <si>
    <t>CLP Mensual/persona</t>
  </si>
  <si>
    <t>Totales</t>
  </si>
  <si>
    <t>Total</t>
  </si>
  <si>
    <t>Horas x Persona</t>
  </si>
  <si>
    <t>Sueldo tarifa CLP</t>
  </si>
  <si>
    <t>Total Capacitaciones</t>
  </si>
  <si>
    <t>Total Sueldos</t>
  </si>
  <si>
    <t>Total General</t>
  </si>
  <si>
    <t>Depreciación Anual</t>
  </si>
  <si>
    <t>Vida Util (Años)</t>
  </si>
  <si>
    <t>Tabla Amortización del Crédito</t>
  </si>
  <si>
    <t xml:space="preserve">Saldo </t>
  </si>
  <si>
    <t>Cuota</t>
  </si>
  <si>
    <t>Amortización</t>
  </si>
  <si>
    <t>Interés Mensual</t>
  </si>
  <si>
    <t>Tasa Inversionista (Anual)</t>
  </si>
  <si>
    <t>Depreciación Total</t>
  </si>
  <si>
    <t>Impuestos</t>
  </si>
  <si>
    <t>VAN</t>
  </si>
  <si>
    <t>Tasa Inversionista (Mensual)</t>
  </si>
  <si>
    <t>Componente 1</t>
  </si>
  <si>
    <t>Descripcion Componente 1</t>
  </si>
  <si>
    <t>Total Componentes</t>
  </si>
  <si>
    <t>Equipo 1</t>
  </si>
  <si>
    <t>Descripción Equipo 1</t>
  </si>
  <si>
    <t>Software 1</t>
  </si>
  <si>
    <t>Descripción Software 1</t>
  </si>
  <si>
    <t>Total Equipo desarrollo</t>
  </si>
  <si>
    <t>Conversiones</t>
  </si>
  <si>
    <t>Dólar</t>
  </si>
  <si>
    <t>Euro</t>
  </si>
  <si>
    <t>Tasa Interes de LC (Mensual)</t>
  </si>
  <si>
    <t>Tasa Interes de Prestamo (Mensual)</t>
  </si>
  <si>
    <t>Total en Operación</t>
  </si>
  <si>
    <t>Punto de Caso de Uso</t>
  </si>
  <si>
    <t>Cantidad Punto Caso de Uso Ajustados</t>
  </si>
  <si>
    <t>Factor de Conversión a HH</t>
  </si>
  <si>
    <t>Cantidad HH Desarrollo</t>
  </si>
  <si>
    <t>Cantidad HH Proyecto</t>
  </si>
  <si>
    <t>Valor</t>
  </si>
  <si>
    <t>Costo Total (Según Tablas) en UF del Proyecto</t>
  </si>
  <si>
    <t>Venta Total (Según Tablas) en UF del Proyecto</t>
  </si>
  <si>
    <t>Total en Proyecto</t>
  </si>
  <si>
    <t>Cobro / A Pagar</t>
  </si>
  <si>
    <t>TIR</t>
  </si>
  <si>
    <t>HH Mes</t>
  </si>
  <si>
    <t>FLUJO DE CAJA</t>
  </si>
  <si>
    <t>RESULTADO DEL MES</t>
  </si>
  <si>
    <t>RESULTADO ACUMULADO</t>
  </si>
  <si>
    <t>PUNTO EQUILIBRIO</t>
  </si>
  <si>
    <t>MES MAS BAJO</t>
  </si>
  <si>
    <t>RESUMENES</t>
  </si>
  <si>
    <t>Costos por Etapa</t>
  </si>
  <si>
    <t>Valor de UF</t>
  </si>
  <si>
    <t>Valor del Dólar</t>
  </si>
  <si>
    <t>DETALLE FLUJO DE CAJA</t>
  </si>
  <si>
    <t>FLUJO MES</t>
  </si>
  <si>
    <t>FLUJO ACUMULADO</t>
  </si>
  <si>
    <t>A.- INGRESOS</t>
  </si>
  <si>
    <t>A.1  - INGRESOS MES</t>
  </si>
  <si>
    <t>A.2 - INGRESO ACUMULADO</t>
  </si>
  <si>
    <t>EJEMPLO</t>
  </si>
  <si>
    <t>EJEMPLO1</t>
  </si>
  <si>
    <t>B.- EGRESOS</t>
  </si>
  <si>
    <t>INVERSION</t>
  </si>
  <si>
    <t>B.1.- EGRESO TOTAL MES</t>
  </si>
  <si>
    <t>B.2.- EGRESO TOTAL</t>
  </si>
  <si>
    <t>HH Mensuales</t>
  </si>
  <si>
    <t>USD</t>
  </si>
  <si>
    <t>Costos por Concepto</t>
  </si>
  <si>
    <t>Total en Implementación / Implantación</t>
  </si>
  <si>
    <t>UTILICE LOS VALORES DE LA HOJA PARAMETROS</t>
  </si>
  <si>
    <t>Director de Proyecto</t>
  </si>
  <si>
    <t>Gerente de Proyecto</t>
  </si>
  <si>
    <t>Jefe de Proyecto</t>
  </si>
  <si>
    <t>Jefe de Análisis de Diseño</t>
  </si>
  <si>
    <t>Jefe de Desarrollo</t>
  </si>
  <si>
    <t>Jefe de TIC</t>
  </si>
  <si>
    <t>Analista/Diseñador Experto A</t>
  </si>
  <si>
    <t>Analista/Diseñador Senior A</t>
  </si>
  <si>
    <t>Analista/Diseñador Junior A</t>
  </si>
  <si>
    <t>Ingeniero Experto A</t>
  </si>
  <si>
    <t>Ingeniero Senior A</t>
  </si>
  <si>
    <t>Ingeniero Senior B</t>
  </si>
  <si>
    <t>Ingeniero Senior C</t>
  </si>
  <si>
    <t>Ingeniero Junior A</t>
  </si>
  <si>
    <t>Ingeniero Junior B</t>
  </si>
  <si>
    <t>Ingeniero Junior C</t>
  </si>
  <si>
    <t>Ingeniero Junior D</t>
  </si>
  <si>
    <t>Ingeniero Junior E</t>
  </si>
  <si>
    <t>Ingeniero Junior F</t>
  </si>
  <si>
    <t>Ingeniero Junior G</t>
  </si>
  <si>
    <t>Arquitecto Experto A</t>
  </si>
  <si>
    <t>Arquitecto Senior A</t>
  </si>
  <si>
    <t>Arquitecto Junior</t>
  </si>
  <si>
    <t>Encargado de Seguridad TI</t>
  </si>
  <si>
    <t>TIC</t>
  </si>
  <si>
    <t>Documentador A</t>
  </si>
  <si>
    <t>Documentador B</t>
  </si>
  <si>
    <t>Analista QA Experto A</t>
  </si>
  <si>
    <t>Analista QA Senior A</t>
  </si>
  <si>
    <t>Analista QA Junior A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</si>
  <si>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</si>
  <si>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</si>
  <si>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</si>
  <si>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</si>
  <si>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</si>
  <si>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</si>
  <si>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</si>
  <si>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</si>
  <si>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</si>
  <si>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</si>
  <si>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</si>
  <si>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</si>
  <si>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</si>
  <si>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</si>
  <si>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</si>
  <si>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</si>
  <si>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</si>
  <si>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</si>
  <si>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</si>
  <si>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</si>
  <si>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</si>
  <si>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</si>
  <si>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</si>
  <si>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</si>
  <si>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</si>
  <si>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|</t>
  </si>
  <si>
    <t>Adquisiciones</t>
  </si>
  <si>
    <t>Servicios Recurrentes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</si>
</sst>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41" formatCode="_ * #,##0_ ;_ * \-#,##0_ ;_ * &quot;-&quot;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#,##0.00_ ;[Red]\-#,##0.00\ "/>
    <numFmt numFmtId="167" formatCode="#,##0.0_ ;[Red]\-#,##0.0\ "/>
    <numFmt numFmtId="168" formatCode="#,##0_ ;[Red]\-#,##0\ "/>
    <numFmt numFmtId="169" formatCode="#,##0.000_ ;[Red]\-#,##0.000\ "/>
    <numFmt numFmtId="170" formatCode="0.0%"/>
    <numFmt numFmtId="171" formatCode="0.0000%"/>
    <numFmt numFmtId="172" formatCode="_ * #,##0.00_ ;_ * \-#,##0.00_ ;_ * &quot;-&quot;_ ;_ @_ "/>
    <numFmt numFmtId="173" formatCode="_ \U\F* #,##0_ ;_ \U\F* \-#,##0_ ;_ \U\F* &quot;-&quot;_ ;_ @_ "/>
    <numFmt numFmtId="174" formatCode="_ [$USD]\ * #,##0.00_ ;_ [$USD]\ * \-#,##0.00_ ;_ [$USD]\ * &quot;-&quot;_ ;_ @_ "/>
    <numFmt numFmtId="175" formatCode="_ \U\F* #,##0.000_ ;_ \U\F* \-#,##0.000_ ;_ \U\F* &quot;-&quot;_ ;_ @_ "/>
    <numFmt numFmtId="176" formatCode="_-* #,##0_-;\-* #,##0_-;_-* &quot;-&quot;_-;_-@_-"/>
    <numFmt numFmtId="177" formatCode="_ [$€-2]\ * #,##0.00_ ;_ [$€-2]\ * \-#,##0.00_ ;_ [$€-2]\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Leelawadee UI"/>
      <family val="2"/>
    </font>
    <font>
      <sz val="11"/>
      <color theme="1"/>
      <name val="Leelawadee UI"/>
      <family val="2"/>
    </font>
    <font>
      <sz val="14"/>
      <color theme="1"/>
      <name val="Leelawadee UI"/>
      <family val="2"/>
    </font>
    <font>
      <sz val="12"/>
      <color theme="1"/>
      <name val="Leelawadee UI"/>
      <family val="2"/>
    </font>
    <font>
      <b/>
      <sz val="14"/>
      <color theme="1"/>
      <name val="Leelawadee UI"/>
      <family val="2"/>
    </font>
    <font>
      <b/>
      <sz val="18"/>
      <color theme="1"/>
      <name val="Leelawadee U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538DD5"/>
        <bgColor rgb="FF538DD5"/>
      </patternFill>
    </fill>
    <fill>
      <patternFill patternType="solid">
        <fgColor rgb="FFC5D9F1"/>
        <bgColor rgb="FFC5D9F1"/>
      </patternFill>
    </fill>
    <fill>
      <patternFill patternType="solid">
        <fgColor rgb="FF8DB4E2"/>
        <bgColor rgb="FF8DB4E2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3">
    <xf numFmtId="0" fontId="0" fillId="0" borderId="0" xfId="0"/>
    <xf numFmtId="166" fontId="0" fillId="0" borderId="0" xfId="0" applyNumberFormat="1"/>
    <xf numFmtId="167" fontId="0" fillId="0" borderId="0" xfId="0" applyNumberFormat="1"/>
    <xf numFmtId="166" fontId="0" fillId="3" borderId="1" xfId="0" applyNumberFormat="1" applyFill="1" applyBorder="1" applyAlignment="1">
      <alignment horizontal="center"/>
    </xf>
    <xf numFmtId="166" fontId="0" fillId="0" borderId="1" xfId="0" applyNumberFormat="1" applyBorder="1"/>
    <xf numFmtId="167" fontId="0" fillId="4" borderId="1" xfId="0" applyNumberFormat="1" applyFill="1" applyBorder="1"/>
    <xf numFmtId="168" fontId="0" fillId="4" borderId="1" xfId="0" applyNumberFormat="1" applyFill="1" applyBorder="1"/>
    <xf numFmtId="167" fontId="0" fillId="4" borderId="2" xfId="0" applyNumberFormat="1" applyFill="1" applyBorder="1"/>
    <xf numFmtId="166" fontId="0" fillId="3" borderId="2" xfId="0" applyNumberFormat="1" applyFill="1" applyBorder="1" applyAlignment="1">
      <alignment horizontal="center"/>
    </xf>
    <xf numFmtId="166" fontId="0" fillId="3" borderId="5" xfId="0" applyNumberFormat="1" applyFill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166" fontId="0" fillId="2" borderId="9" xfId="0" applyNumberFormat="1" applyFill="1" applyBorder="1" applyAlignment="1">
      <alignment horizontal="center"/>
    </xf>
    <xf numFmtId="166" fontId="0" fillId="3" borderId="5" xfId="0" applyNumberFormat="1" applyFill="1" applyBorder="1"/>
    <xf numFmtId="166" fontId="0" fillId="2" borderId="3" xfId="0" applyNumberFormat="1" applyFill="1" applyBorder="1"/>
    <xf numFmtId="166" fontId="0" fillId="2" borderId="4" xfId="0" applyNumberFormat="1" applyFill="1" applyBorder="1"/>
    <xf numFmtId="166" fontId="0" fillId="3" borderId="1" xfId="0" applyNumberFormat="1" applyFill="1" applyBorder="1"/>
    <xf numFmtId="166" fontId="0" fillId="2" borderId="4" xfId="0" applyNumberFormat="1" applyFill="1" applyBorder="1" applyAlignment="1">
      <alignment horizontal="center"/>
    </xf>
    <xf numFmtId="166" fontId="0" fillId="6" borderId="2" xfId="0" applyNumberFormat="1" applyFill="1" applyBorder="1" applyAlignment="1">
      <alignment horizontal="left"/>
    </xf>
    <xf numFmtId="166" fontId="0" fillId="6" borderId="2" xfId="0" applyNumberFormat="1" applyFill="1" applyBorder="1" applyAlignment="1">
      <alignment horizontal="center"/>
    </xf>
    <xf numFmtId="166" fontId="0" fillId="6" borderId="2" xfId="1" applyNumberFormat="1" applyFont="1" applyFill="1" applyBorder="1" applyAlignment="1">
      <alignment horizontal="center"/>
    </xf>
    <xf numFmtId="166" fontId="0" fillId="6" borderId="1" xfId="0" applyNumberFormat="1" applyFill="1" applyBorder="1" applyAlignment="1">
      <alignment horizontal="left"/>
    </xf>
    <xf numFmtId="166" fontId="0" fillId="6" borderId="1" xfId="0" applyNumberFormat="1" applyFill="1" applyBorder="1" applyAlignment="1">
      <alignment horizontal="center"/>
    </xf>
    <xf numFmtId="166" fontId="0" fillId="6" borderId="5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left"/>
    </xf>
    <xf numFmtId="169" fontId="0" fillId="6" borderId="2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left"/>
    </xf>
    <xf numFmtId="166" fontId="0" fillId="6" borderId="7" xfId="0" applyNumberFormat="1" applyFill="1" applyBorder="1" applyAlignment="1">
      <alignment horizontal="center"/>
    </xf>
    <xf numFmtId="166" fontId="0" fillId="3" borderId="2" xfId="0" applyNumberFormat="1" applyFill="1" applyBorder="1" applyAlignment="1">
      <alignment horizontal="left"/>
    </xf>
    <xf numFmtId="166" fontId="0" fillId="3" borderId="5" xfId="0" applyNumberFormat="1" applyFill="1" applyBorder="1" applyAlignment="1">
      <alignment horizontal="left"/>
    </xf>
    <xf numFmtId="168" fontId="0" fillId="3" borderId="1" xfId="0" applyNumberFormat="1" applyFill="1" applyBorder="1" applyAlignment="1">
      <alignment horizontal="center"/>
    </xf>
    <xf numFmtId="168" fontId="0" fillId="3" borderId="2" xfId="0" applyNumberFormat="1" applyFill="1" applyBorder="1" applyAlignment="1">
      <alignment horizontal="center"/>
    </xf>
    <xf numFmtId="168" fontId="0" fillId="2" borderId="6" xfId="0" applyNumberFormat="1" applyFill="1" applyBorder="1" applyAlignment="1">
      <alignment horizontal="center"/>
    </xf>
    <xf numFmtId="168" fontId="0" fillId="3" borderId="5" xfId="0" applyNumberFormat="1" applyFill="1" applyBorder="1" applyAlignment="1">
      <alignment horizontal="center"/>
    </xf>
    <xf numFmtId="168" fontId="0" fillId="6" borderId="2" xfId="0" applyNumberFormat="1" applyFill="1" applyBorder="1" applyAlignment="1">
      <alignment horizontal="center"/>
    </xf>
    <xf numFmtId="168" fontId="0" fillId="6" borderId="1" xfId="0" applyNumberFormat="1" applyFill="1" applyBorder="1" applyAlignment="1">
      <alignment horizontal="center"/>
    </xf>
    <xf numFmtId="168" fontId="0" fillId="6" borderId="5" xfId="0" applyNumberForma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2" borderId="13" xfId="0" applyNumberFormat="1" applyFill="1" applyBorder="1" applyAlignment="1">
      <alignment horizontal="center"/>
    </xf>
    <xf numFmtId="166" fontId="0" fillId="6" borderId="14" xfId="0" applyNumberFormat="1" applyFill="1" applyBorder="1" applyAlignment="1">
      <alignment horizontal="center"/>
    </xf>
    <xf numFmtId="166" fontId="0" fillId="6" borderId="15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166" fontId="0" fillId="7" borderId="3" xfId="0" applyNumberFormat="1" applyFill="1" applyBorder="1" applyAlignment="1">
      <alignment horizontal="center"/>
    </xf>
    <xf numFmtId="166" fontId="0" fillId="7" borderId="6" xfId="0" applyNumberFormat="1" applyFill="1" applyBorder="1" applyAlignment="1">
      <alignment horizontal="center"/>
    </xf>
    <xf numFmtId="166" fontId="0" fillId="7" borderId="4" xfId="0" applyNumberFormat="1" applyFill="1" applyBorder="1" applyAlignment="1">
      <alignment horizontal="center"/>
    </xf>
    <xf numFmtId="168" fontId="0" fillId="2" borderId="18" xfId="0" applyNumberFormat="1" applyFill="1" applyBorder="1" applyAlignment="1">
      <alignment horizontal="center"/>
    </xf>
    <xf numFmtId="166" fontId="0" fillId="2" borderId="18" xfId="0" applyNumberFormat="1" applyFill="1" applyBorder="1" applyAlignment="1">
      <alignment horizontal="center"/>
    </xf>
    <xf numFmtId="166" fontId="0" fillId="2" borderId="19" xfId="0" applyNumberFormat="1" applyFill="1" applyBorder="1" applyAlignment="1">
      <alignment horizontal="center"/>
    </xf>
    <xf numFmtId="166" fontId="0" fillId="9" borderId="16" xfId="0" applyNumberFormat="1" applyFill="1" applyBorder="1" applyAlignment="1">
      <alignment horizontal="center"/>
    </xf>
    <xf numFmtId="166" fontId="0" fillId="8" borderId="2" xfId="0" applyNumberFormat="1" applyFill="1" applyBorder="1" applyAlignment="1">
      <alignment horizontal="center"/>
    </xf>
    <xf numFmtId="166" fontId="0" fillId="2" borderId="17" xfId="0" applyNumberFormat="1" applyFill="1" applyBorder="1" applyAlignment="1">
      <alignment horizontal="left"/>
    </xf>
    <xf numFmtId="166" fontId="0" fillId="2" borderId="21" xfId="0" applyNumberFormat="1" applyFill="1" applyBorder="1" applyAlignment="1">
      <alignment horizontal="center"/>
    </xf>
    <xf numFmtId="166" fontId="0" fillId="2" borderId="8" xfId="0" applyNumberFormat="1" applyFill="1" applyBorder="1" applyAlignment="1">
      <alignment horizontal="left"/>
    </xf>
    <xf numFmtId="166" fontId="0" fillId="2" borderId="9" xfId="0" applyNumberFormat="1" applyFill="1" applyBorder="1" applyAlignment="1">
      <alignment horizontal="left"/>
    </xf>
    <xf numFmtId="168" fontId="0" fillId="2" borderId="9" xfId="0" applyNumberFormat="1" applyFill="1" applyBorder="1" applyAlignment="1">
      <alignment horizontal="center"/>
    </xf>
    <xf numFmtId="166" fontId="0" fillId="2" borderId="22" xfId="0" applyNumberFormat="1" applyFill="1" applyBorder="1" applyAlignment="1">
      <alignment horizontal="center"/>
    </xf>
    <xf numFmtId="166" fontId="0" fillId="2" borderId="23" xfId="0" applyNumberFormat="1" applyFill="1" applyBorder="1"/>
    <xf numFmtId="41" fontId="0" fillId="4" borderId="1" xfId="4" applyFont="1" applyFill="1" applyBorder="1"/>
    <xf numFmtId="41" fontId="0" fillId="4" borderId="2" xfId="4" applyFont="1" applyFill="1" applyBorder="1"/>
    <xf numFmtId="166" fontId="0" fillId="2" borderId="1" xfId="0" applyNumberFormat="1" applyFill="1" applyBorder="1" applyAlignment="1">
      <alignment horizontal="center" wrapText="1"/>
    </xf>
    <xf numFmtId="0" fontId="2" fillId="0" borderId="24" xfId="0" applyFont="1" applyBorder="1"/>
    <xf numFmtId="0" fontId="3" fillId="0" borderId="24" xfId="0" applyFont="1" applyBorder="1"/>
    <xf numFmtId="0" fontId="3" fillId="0" borderId="0" xfId="0" applyFont="1"/>
    <xf numFmtId="0" fontId="2" fillId="0" borderId="0" xfId="0" applyFont="1"/>
    <xf numFmtId="0" fontId="4" fillId="0" borderId="0" xfId="0" applyFont="1"/>
    <xf numFmtId="0" fontId="4" fillId="0" borderId="25" xfId="0" applyFont="1" applyBorder="1"/>
    <xf numFmtId="17" fontId="4" fillId="0" borderId="14" xfId="0" quotePrefix="1" applyNumberFormat="1" applyFont="1" applyBorder="1"/>
    <xf numFmtId="172" fontId="4" fillId="0" borderId="14" xfId="4" applyNumberFormat="1" applyFont="1" applyFill="1" applyBorder="1"/>
    <xf numFmtId="0" fontId="4" fillId="0" borderId="12" xfId="0" applyFont="1" applyBorder="1"/>
    <xf numFmtId="172" fontId="4" fillId="0" borderId="11" xfId="4" applyNumberFormat="1" applyFont="1" applyFill="1" applyBorder="1"/>
    <xf numFmtId="0" fontId="4" fillId="0" borderId="25" xfId="0" applyFont="1" applyBorder="1" applyAlignment="1">
      <alignment horizontal="right"/>
    </xf>
    <xf numFmtId="0" fontId="4" fillId="0" borderId="12" xfId="0" applyFont="1" applyBorder="1" applyAlignment="1">
      <alignment horizontal="right" wrapText="1"/>
    </xf>
    <xf numFmtId="0" fontId="4" fillId="0" borderId="12" xfId="0" applyFont="1" applyBorder="1" applyAlignment="1">
      <alignment horizontal="right"/>
    </xf>
    <xf numFmtId="10" fontId="4" fillId="0" borderId="11" xfId="3" applyNumberFormat="1" applyFont="1" applyFill="1" applyBorder="1"/>
    <xf numFmtId="0" fontId="5" fillId="0" borderId="0" xfId="0" applyFont="1"/>
    <xf numFmtId="167" fontId="5" fillId="0" borderId="0" xfId="0" applyNumberFormat="1" applyFont="1"/>
    <xf numFmtId="0" fontId="6" fillId="0" borderId="24" xfId="0" applyFont="1" applyBorder="1"/>
    <xf numFmtId="0" fontId="4" fillId="0" borderId="24" xfId="0" applyFont="1" applyBorder="1"/>
    <xf numFmtId="0" fontId="6" fillId="0" borderId="0" xfId="0" applyFont="1"/>
    <xf numFmtId="167" fontId="4" fillId="0" borderId="0" xfId="0" applyNumberFormat="1" applyFont="1"/>
    <xf numFmtId="166" fontId="4" fillId="0" borderId="0" xfId="0" applyNumberFormat="1" applyFont="1"/>
    <xf numFmtId="166" fontId="4" fillId="0" borderId="1" xfId="0" applyNumberFormat="1" applyFont="1" applyBorder="1" applyAlignment="1">
      <alignment horizontal="center"/>
    </xf>
    <xf numFmtId="166" fontId="4" fillId="0" borderId="11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166" fontId="4" fillId="0" borderId="24" xfId="0" applyNumberFormat="1" applyFont="1" applyBorder="1"/>
    <xf numFmtId="166" fontId="4" fillId="0" borderId="26" xfId="0" applyNumberFormat="1" applyFont="1" applyBorder="1"/>
    <xf numFmtId="166" fontId="4" fillId="0" borderId="25" xfId="0" applyNumberFormat="1" applyFont="1" applyBorder="1"/>
    <xf numFmtId="166" fontId="4" fillId="0" borderId="12" xfId="0" applyNumberFormat="1" applyFont="1" applyBorder="1"/>
    <xf numFmtId="166" fontId="4" fillId="0" borderId="24" xfId="0" applyNumberFormat="1" applyFont="1" applyBorder="1" applyAlignment="1">
      <alignment horizontal="center"/>
    </xf>
    <xf numFmtId="166" fontId="4" fillId="0" borderId="24" xfId="0" applyNumberFormat="1" applyFont="1" applyBorder="1" applyAlignment="1">
      <alignment horizontal="left"/>
    </xf>
    <xf numFmtId="166" fontId="4" fillId="0" borderId="0" xfId="0" applyNumberFormat="1" applyFont="1" applyAlignment="1">
      <alignment horizontal="left"/>
    </xf>
    <xf numFmtId="167" fontId="4" fillId="0" borderId="0" xfId="0" applyNumberFormat="1" applyFont="1" applyAlignment="1">
      <alignment horizontal="left"/>
    </xf>
    <xf numFmtId="167" fontId="4" fillId="0" borderId="24" xfId="0" applyNumberFormat="1" applyFont="1" applyBorder="1"/>
    <xf numFmtId="167" fontId="5" fillId="0" borderId="3" xfId="0" applyNumberFormat="1" applyFont="1" applyBorder="1"/>
    <xf numFmtId="167" fontId="5" fillId="0" borderId="4" xfId="0" applyNumberFormat="1" applyFont="1" applyBorder="1"/>
    <xf numFmtId="0" fontId="0" fillId="0" borderId="25" xfId="0" applyBorder="1"/>
    <xf numFmtId="176" fontId="0" fillId="0" borderId="25" xfId="0" applyNumberFormat="1" applyBorder="1"/>
    <xf numFmtId="0" fontId="0" fillId="0" borderId="12" xfId="0" applyBorder="1"/>
    <xf numFmtId="173" fontId="0" fillId="0" borderId="12" xfId="0" applyNumberFormat="1" applyBorder="1"/>
    <xf numFmtId="0" fontId="0" fillId="0" borderId="0" xfId="0" applyAlignment="1">
      <alignment horizontal="right"/>
    </xf>
    <xf numFmtId="173" fontId="0" fillId="0" borderId="0" xfId="0" applyNumberFormat="1"/>
    <xf numFmtId="174" fontId="0" fillId="0" borderId="0" xfId="0" applyNumberFormat="1" applyAlignment="1">
      <alignment horizontal="center"/>
    </xf>
    <xf numFmtId="175" fontId="0" fillId="0" borderId="0" xfId="0" applyNumberFormat="1"/>
    <xf numFmtId="173" fontId="0" fillId="0" borderId="1" xfId="0" applyNumberFormat="1" applyBorder="1"/>
    <xf numFmtId="177" fontId="0" fillId="0" borderId="1" xfId="0" applyNumberFormat="1" applyBorder="1" applyAlignment="1">
      <alignment horizontal="center"/>
    </xf>
    <xf numFmtId="174" fontId="0" fillId="0" borderId="2" xfId="0" applyNumberFormat="1" applyBorder="1" applyAlignment="1">
      <alignment horizontal="center"/>
    </xf>
    <xf numFmtId="167" fontId="5" fillId="0" borderId="6" xfId="0" applyNumberFormat="1" applyFont="1" applyBorder="1"/>
    <xf numFmtId="0" fontId="3" fillId="0" borderId="25" xfId="0" applyFont="1" applyBorder="1"/>
    <xf numFmtId="172" fontId="3" fillId="0" borderId="25" xfId="4" applyNumberFormat="1" applyFont="1" applyFill="1" applyBorder="1"/>
    <xf numFmtId="17" fontId="3" fillId="0" borderId="25" xfId="0" quotePrefix="1" applyNumberFormat="1" applyFont="1" applyBorder="1"/>
    <xf numFmtId="0" fontId="3" fillId="0" borderId="12" xfId="0" applyFont="1" applyBorder="1"/>
    <xf numFmtId="172" fontId="3" fillId="0" borderId="12" xfId="4" applyNumberFormat="1" applyFont="1" applyBorder="1"/>
    <xf numFmtId="172" fontId="3" fillId="0" borderId="12" xfId="4" quotePrefix="1" applyNumberFormat="1" applyFont="1" applyBorder="1"/>
    <xf numFmtId="172" fontId="3" fillId="0" borderId="25" xfId="4" quotePrefix="1" applyNumberFormat="1" applyFont="1" applyBorder="1"/>
    <xf numFmtId="172" fontId="3" fillId="0" borderId="0" xfId="4" applyNumberFormat="1" applyFont="1" applyBorder="1"/>
    <xf numFmtId="172" fontId="3" fillId="0" borderId="12" xfId="4" applyNumberFormat="1" applyFont="1" applyFill="1" applyBorder="1"/>
    <xf numFmtId="172" fontId="3" fillId="0" borderId="0" xfId="4" applyNumberFormat="1" applyFont="1" applyFill="1" applyBorder="1"/>
    <xf numFmtId="172" fontId="3" fillId="0" borderId="24" xfId="4" applyNumberFormat="1" applyFont="1" applyFill="1" applyBorder="1"/>
    <xf numFmtId="0" fontId="4" fillId="0" borderId="0" xfId="0" applyFont="1" applyAlignment="1">
      <alignment horizontal="right"/>
    </xf>
    <xf numFmtId="10" fontId="4" fillId="0" borderId="0" xfId="3" applyNumberFormat="1" applyFont="1" applyFill="1" applyBorder="1"/>
    <xf numFmtId="172" fontId="4" fillId="0" borderId="0" xfId="4" applyNumberFormat="1" applyFont="1" applyFill="1" applyBorder="1"/>
    <xf numFmtId="173" fontId="4" fillId="0" borderId="0" xfId="0" applyNumberFormat="1" applyFont="1"/>
    <xf numFmtId="174" fontId="4" fillId="0" borderId="0" xfId="0" applyNumberFormat="1" applyFont="1" applyAlignment="1">
      <alignment horizontal="center"/>
    </xf>
    <xf numFmtId="175" fontId="4" fillId="0" borderId="0" xfId="0" applyNumberFormat="1" applyFont="1"/>
    <xf numFmtId="0" fontId="4" fillId="0" borderId="27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165" fontId="4" fillId="0" borderId="26" xfId="2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165" fontId="4" fillId="0" borderId="12" xfId="2" applyFont="1" applyFill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8" fillId="0" borderId="0" xfId="0" applyFont="1"/>
    <xf numFmtId="10" fontId="8" fillId="0" borderId="0" xfId="0" applyNumberFormat="1" applyFont="1" applyAlignment="1">
      <alignment horizontal="right"/>
    </xf>
    <xf numFmtId="0" fontId="4" fillId="0" borderId="11" xfId="0" applyFont="1" applyBorder="1"/>
    <xf numFmtId="0" fontId="8" fillId="0" borderId="12" xfId="0" applyFont="1" applyBorder="1"/>
    <xf numFmtId="10" fontId="8" fillId="0" borderId="12" xfId="0" applyNumberFormat="1" applyFont="1" applyBorder="1" applyAlignment="1">
      <alignment horizontal="right"/>
    </xf>
    <xf numFmtId="167" fontId="5" fillId="0" borderId="30" xfId="0" applyNumberFormat="1" applyFont="1" applyBorder="1"/>
    <xf numFmtId="175" fontId="0" fillId="0" borderId="31" xfId="0" applyNumberFormat="1" applyBorder="1"/>
    <xf numFmtId="167" fontId="5" fillId="0" borderId="32" xfId="0" applyNumberFormat="1" applyFont="1" applyBorder="1"/>
    <xf numFmtId="175" fontId="0" fillId="0" borderId="33" xfId="0" applyNumberFormat="1" applyBorder="1"/>
    <xf numFmtId="174" fontId="0" fillId="0" borderId="33" xfId="0" applyNumberFormat="1" applyBorder="1" applyAlignment="1">
      <alignment horizontal="center"/>
    </xf>
    <xf numFmtId="167" fontId="5" fillId="0" borderId="34" xfId="0" applyNumberFormat="1" applyFont="1" applyBorder="1"/>
    <xf numFmtId="41" fontId="0" fillId="0" borderId="35" xfId="4" applyFont="1" applyBorder="1" applyAlignment="1">
      <alignment horizontal="center"/>
    </xf>
    <xf numFmtId="167" fontId="5" fillId="0" borderId="36" xfId="0" applyNumberFormat="1" applyFont="1" applyBorder="1"/>
    <xf numFmtId="170" fontId="5" fillId="0" borderId="31" xfId="3" applyNumberFormat="1" applyFont="1" applyFill="1" applyBorder="1"/>
    <xf numFmtId="168" fontId="5" fillId="0" borderId="33" xfId="0" applyNumberFormat="1" applyFont="1" applyBorder="1"/>
    <xf numFmtId="9" fontId="5" fillId="0" borderId="33" xfId="3" applyFont="1" applyFill="1" applyBorder="1"/>
    <xf numFmtId="171" fontId="5" fillId="0" borderId="33" xfId="3" applyNumberFormat="1" applyFont="1" applyFill="1" applyBorder="1"/>
    <xf numFmtId="171" fontId="5" fillId="0" borderId="36" xfId="3" applyNumberFormat="1" applyFont="1" applyFill="1" applyBorder="1"/>
    <xf numFmtId="0" fontId="9" fillId="10" borderId="20" xfId="0" applyFont="1" applyFill="1" applyBorder="1" applyAlignment="1">
      <alignment horizontal="center" vertical="center"/>
    </xf>
    <xf numFmtId="0" fontId="8" fillId="10" borderId="28" xfId="0" applyFont="1" applyFill="1" applyBorder="1" applyAlignment="1">
      <alignment horizontal="center" vertical="center"/>
    </xf>
    <xf numFmtId="0" fontId="9" fillId="11" borderId="20" xfId="0" applyFont="1" applyFill="1" applyBorder="1" applyAlignment="1">
      <alignment vertical="center"/>
    </xf>
    <xf numFmtId="4" fontId="8" fillId="11" borderId="29" xfId="0" applyNumberFormat="1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left" vertical="center"/>
    </xf>
    <xf numFmtId="4" fontId="8" fillId="12" borderId="28" xfId="0" applyNumberFormat="1" applyFont="1" applyFill="1" applyBorder="1" applyAlignment="1">
      <alignment horizontal="center" vertical="center"/>
    </xf>
    <xf numFmtId="0" fontId="9" fillId="11" borderId="0" xfId="0" applyFont="1" applyFill="1" applyAlignment="1">
      <alignment vertical="center"/>
    </xf>
    <xf numFmtId="10" fontId="5" fillId="0" borderId="33" xfId="3" applyNumberFormat="1" applyFont="1" applyFill="1" applyBorder="1"/>
    <xf numFmtId="0" fontId="7" fillId="0" borderId="0" xfId="0" applyFont="1" applyAlignment="1">
      <alignment horizontal="center"/>
    </xf>
    <xf numFmtId="167" fontId="0" fillId="5" borderId="3" xfId="0" applyNumberFormat="1" applyFill="1" applyBorder="1" applyAlignment="1">
      <alignment horizontal="center"/>
    </xf>
    <xf numFmtId="167" fontId="0" fillId="5" borderId="4" xfId="0" applyNumberFormat="1" applyFill="1" applyBorder="1" applyAlignment="1">
      <alignment horizontal="center"/>
    </xf>
    <xf numFmtId="166" fontId="0" fillId="7" borderId="11" xfId="0" applyNumberFormat="1" applyFill="1" applyBorder="1" applyAlignment="1">
      <alignment horizontal="center"/>
    </xf>
    <xf numFmtId="166" fontId="0" fillId="7" borderId="10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</cellXfs>
  <cellStyles count="5">
    <cellStyle name="Millares" xfId="2" builtinId="3"/>
    <cellStyle name="Millares [0]" xfId="4" builtinId="6"/>
    <cellStyle name="Moneda" xfId="1" builtinId="4"/>
    <cellStyle name="Normal" xfId="0" builtinId="0"/>
    <cellStyle name="Porcentaje" xfId="3" builtinId="5"/>
  </cellStyles>
  <dxfs count="35"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9E1F2"/>
          <bgColor rgb="FFD9E1F2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9E1F2"/>
          <bgColor rgb="FFD9E1F2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9E1F2"/>
          <bgColor rgb="FFD9E1F2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9E1F2"/>
          <bgColor rgb="FFD9E1F2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b/>
        <color rgb="FFFFFFFF"/>
      </font>
      <fill>
        <patternFill patternType="solid">
          <fgColor rgb="FF4472C4"/>
          <bgColor rgb="FF4472C4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9E1F2"/>
          <bgColor rgb="FFD9E1F2"/>
        </patternFill>
      </fill>
      <border>
        <vertical style="thin">
          <color rgb="FFFFFFFF"/>
        </vertical>
        <horizontal style="thin">
          <color rgb="FFFFFFFF"/>
        </horizontal>
      </border>
    </dxf>
  </dxfs>
  <tableStyles count="6" defaultTableStyle="TableStyleMedium2" defaultPivotStyle="PivotStyleLight16">
    <tableStyle name="Invisible" pivot="0" table="0" count="0" xr9:uid="{C767D7AC-F5EC-4B71-BFCD-7D46A4D4B14B}"/>
    <tableStyle name="TableStyleMedium13 2" pivot="0" count="7" xr9:uid="{00000000-0011-0000-FFFF-FFFF00000000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TableStyleMedium13 3" pivot="0" count="7" xr9:uid="{00000000-0011-0000-FFFF-FFFF01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  <tableStyleElement type="firstColumnStripe" dxfId="21"/>
    </tableStyle>
    <tableStyle name="TableStyleMedium13 4" pivot="0" count="7" xr9:uid="{00000000-0011-0000-FFFF-FFFF02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TableStyleMedium13 5" pivot="0" count="7" xr9:uid="{00000000-0011-0000-FFFF-FFFF03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TableStyleMedium13 6" pivot="0" count="7" xr9:uid="{00000000-0011-0000-FFFF-FFFF04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2400"/>
              <a:t>INGRESO</a:t>
            </a:r>
            <a:r>
              <a:rPr lang="es-CL" sz="2400" baseline="0"/>
              <a:t> VS EGRESO</a:t>
            </a:r>
            <a:endParaRPr lang="es-CL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4.862262143370779E-2"/>
          <c:y val="0.10412215009354174"/>
          <c:w val="0.93872014625364775"/>
          <c:h val="0.74551866719198157"/>
        </c:manualLayout>
      </c:layout>
      <c:lineChart>
        <c:grouping val="standard"/>
        <c:varyColors val="0"/>
        <c:ser>
          <c:idx val="0"/>
          <c:order val="0"/>
          <c:tx>
            <c:strRef>
              <c:f>'CURVA S (Obligatorio)'!$B$24</c:f>
              <c:strCache>
                <c:ptCount val="1"/>
                <c:pt idx="0">
                  <c:v>A.2 - INGRESO 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'CURVA S (Obligatorio)'!$C$23:$AL$23</c:f>
              <c:numCache>
                <c:formatCode>mmm\-yy</c:formatCode>
                <c:ptCount val="3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</c:numCache>
            </c:numRef>
          </c:cat>
          <c:val>
            <c:numRef>
              <c:f>'CURVA S (Obligatorio)'!$C$24:$AL$24</c:f>
              <c:numCache>
                <c:formatCode>_ * #,##0.00_ ;_ * \-#,##0.00_ ;_ * "-"_ ;_ @_ </c:formatCode>
                <c:ptCount val="36"/>
                <c:pt idx="0">
                  <c:v>0</c:v>
                </c:pt>
                <c:pt idx="1">
                  <c:v>1000</c:v>
                </c:pt>
                <c:pt idx="2">
                  <c:v>1200</c:v>
                </c:pt>
                <c:pt idx="3">
                  <c:v>2200</c:v>
                </c:pt>
                <c:pt idx="4">
                  <c:v>3200</c:v>
                </c:pt>
                <c:pt idx="5">
                  <c:v>4200</c:v>
                </c:pt>
                <c:pt idx="6">
                  <c:v>5200</c:v>
                </c:pt>
                <c:pt idx="7">
                  <c:v>6200</c:v>
                </c:pt>
                <c:pt idx="8">
                  <c:v>7200</c:v>
                </c:pt>
                <c:pt idx="9">
                  <c:v>8200</c:v>
                </c:pt>
                <c:pt idx="10">
                  <c:v>9200</c:v>
                </c:pt>
                <c:pt idx="11">
                  <c:v>10200</c:v>
                </c:pt>
                <c:pt idx="12">
                  <c:v>11200</c:v>
                </c:pt>
                <c:pt idx="13">
                  <c:v>12200</c:v>
                </c:pt>
                <c:pt idx="14">
                  <c:v>13200</c:v>
                </c:pt>
                <c:pt idx="15">
                  <c:v>14200</c:v>
                </c:pt>
                <c:pt idx="16">
                  <c:v>15200</c:v>
                </c:pt>
                <c:pt idx="17">
                  <c:v>16200</c:v>
                </c:pt>
                <c:pt idx="18">
                  <c:v>17200</c:v>
                </c:pt>
                <c:pt idx="19">
                  <c:v>18200</c:v>
                </c:pt>
                <c:pt idx="20">
                  <c:v>19200</c:v>
                </c:pt>
                <c:pt idx="21">
                  <c:v>20200</c:v>
                </c:pt>
                <c:pt idx="22">
                  <c:v>21200</c:v>
                </c:pt>
                <c:pt idx="23">
                  <c:v>22200</c:v>
                </c:pt>
                <c:pt idx="24">
                  <c:v>23200</c:v>
                </c:pt>
                <c:pt idx="25">
                  <c:v>24200</c:v>
                </c:pt>
                <c:pt idx="26">
                  <c:v>25200</c:v>
                </c:pt>
                <c:pt idx="27">
                  <c:v>26200</c:v>
                </c:pt>
                <c:pt idx="28">
                  <c:v>27200</c:v>
                </c:pt>
                <c:pt idx="29">
                  <c:v>28200</c:v>
                </c:pt>
                <c:pt idx="30">
                  <c:v>29200</c:v>
                </c:pt>
                <c:pt idx="31">
                  <c:v>30200</c:v>
                </c:pt>
                <c:pt idx="32">
                  <c:v>31200</c:v>
                </c:pt>
                <c:pt idx="33">
                  <c:v>32200</c:v>
                </c:pt>
                <c:pt idx="34">
                  <c:v>33200</c:v>
                </c:pt>
                <c:pt idx="35">
                  <c:v>34200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59-407E-8043-CA4658FAB486}"/>
            </c:ext>
          </c:extLst>
        </c:ser>
        <c:ser>
          <c:idx val="1"/>
          <c:order val="1"/>
          <c:tx>
            <c:strRef>
              <c:f>'CURVA S (Obligatorio)'!$B$25</c:f>
              <c:strCache>
                <c:ptCount val="1"/>
                <c:pt idx="0">
                  <c:v>B.2.- EGRESO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 (Obligatorio)'!$C$23:$AL$23</c:f>
              <c:numCache>
                <c:formatCode>mmm\-yy</c:formatCode>
                <c:ptCount val="36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</c:numCache>
            </c:numRef>
          </c:cat>
          <c:val>
            <c:numRef>
              <c:f>'CURVA S (Obligatorio)'!$C$25:$AL$25</c:f>
              <c:numCache>
                <c:formatCode>_ * #,##0.00_ ;_ * \-#,##0.00_ ;_ * "-"_ ;_ @_ </c:formatCode>
                <c:ptCount val="36"/>
                <c:pt idx="0">
                  <c:v>10000</c:v>
                </c:pt>
                <c:pt idx="1">
                  <c:v>10500</c:v>
                </c:pt>
                <c:pt idx="2">
                  <c:v>11000</c:v>
                </c:pt>
                <c:pt idx="3">
                  <c:v>11500</c:v>
                </c:pt>
                <c:pt idx="4">
                  <c:v>17000</c:v>
                </c:pt>
                <c:pt idx="5">
                  <c:v>17500</c:v>
                </c:pt>
                <c:pt idx="6">
                  <c:v>17500</c:v>
                </c:pt>
                <c:pt idx="7">
                  <c:v>18000</c:v>
                </c:pt>
                <c:pt idx="8">
                  <c:v>18500</c:v>
                </c:pt>
                <c:pt idx="9">
                  <c:v>19000</c:v>
                </c:pt>
                <c:pt idx="10">
                  <c:v>19500</c:v>
                </c:pt>
                <c:pt idx="11">
                  <c:v>20000</c:v>
                </c:pt>
                <c:pt idx="12">
                  <c:v>20500</c:v>
                </c:pt>
                <c:pt idx="13">
                  <c:v>21000</c:v>
                </c:pt>
                <c:pt idx="14">
                  <c:v>21500</c:v>
                </c:pt>
                <c:pt idx="15">
                  <c:v>22000</c:v>
                </c:pt>
                <c:pt idx="16">
                  <c:v>22500</c:v>
                </c:pt>
                <c:pt idx="17">
                  <c:v>23000</c:v>
                </c:pt>
                <c:pt idx="18">
                  <c:v>23500</c:v>
                </c:pt>
                <c:pt idx="19">
                  <c:v>24000</c:v>
                </c:pt>
                <c:pt idx="20">
                  <c:v>24500</c:v>
                </c:pt>
                <c:pt idx="21">
                  <c:v>25000</c:v>
                </c:pt>
                <c:pt idx="22">
                  <c:v>25500</c:v>
                </c:pt>
                <c:pt idx="23">
                  <c:v>26000</c:v>
                </c:pt>
                <c:pt idx="24">
                  <c:v>26500</c:v>
                </c:pt>
                <c:pt idx="25">
                  <c:v>27000</c:v>
                </c:pt>
                <c:pt idx="26">
                  <c:v>27500</c:v>
                </c:pt>
                <c:pt idx="27">
                  <c:v>28000</c:v>
                </c:pt>
                <c:pt idx="28">
                  <c:v>28500</c:v>
                </c:pt>
                <c:pt idx="29">
                  <c:v>29000</c:v>
                </c:pt>
                <c:pt idx="30">
                  <c:v>29500</c:v>
                </c:pt>
                <c:pt idx="31">
                  <c:v>30000</c:v>
                </c:pt>
                <c:pt idx="32">
                  <c:v>30500</c:v>
                </c:pt>
                <c:pt idx="33">
                  <c:v>31000</c:v>
                </c:pt>
                <c:pt idx="34">
                  <c:v>31500</c:v>
                </c:pt>
                <c:pt idx="35">
                  <c:v>32000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59-407E-8043-CA4658FAB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241656"/>
        <c:axId val="466246904"/>
      </c:lineChart>
      <c:dateAx>
        <c:axId val="46624165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6246904"/>
        <c:crosses val="autoZero"/>
        <c:auto val="1"/>
        <c:lblOffset val="100"/>
        <c:baseTimeUnit val="months"/>
      </c:dateAx>
      <c:valAx>
        <c:axId val="46624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0_ ;_ * \-#,##0.00_ ;_ 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6241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863261375747123"/>
          <c:y val="0.93199223535598208"/>
          <c:w val="0.18057208025013813"/>
          <c:h val="4.16194828951669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244927</xdr:colOff>
      <xdr:row>1</xdr:row>
      <xdr:rowOff>234041</xdr:rowOff>
    </xdr:from>
    <xdr:to>
      <xdr:col>22</xdr:col>
      <xdr:colOff>176892</xdr:colOff>
      <xdr:row>18</xdr:row>
      <xdr:rowOff>163285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ntonio/Universidad/ICI-5542-2019%20-%20Formulacion%20y%20Evaluacion%20de%20Proyectos/CASOS/CASO%203%20-%20EMPRESA%20AGUA%20POTABLE%20-%20DEVME/INFORME%20FINAL/Libro%20propuesta%20economica.xlsx" TargetMode="External"/><Relationship Id="rId1" Type="http://schemas.openxmlformats.org/officeDocument/2006/relationships/externalLinkPath" Target="/Personal/Antonio/Universidad/ICI-5542-2019%20-%20Formulacion%20y%20Evaluacion%20de%20Proyectos/CASOS/CASO%203%20-%20EMPRESA%20AGUA%20POTABLE%20-%20DEVME/INFORME%20FINAL/Libro%20propuesta%20econom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en"/>
      <sheetName val="Flujo de Caja"/>
      <sheetName val="Curva S"/>
      <sheetName val="Financiamiento"/>
      <sheetName val="PCU-Esfuerzo"/>
      <sheetName val="Adquisiciones"/>
      <sheetName val="Costo en HH"/>
      <sheetName val="Costo Implementación"/>
      <sheetName val="Costo Operación"/>
    </sheetNames>
    <sheetDataSet>
      <sheetData sheetId="0"/>
      <sheetData sheetId="1"/>
      <sheetData sheetId="2"/>
      <sheetData sheetId="3"/>
      <sheetData sheetId="4"/>
      <sheetData sheetId="5"/>
      <sheetData sheetId="6">
        <row r="214"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5"/>
  <sheetViews>
    <sheetView workbookViewId="0">
      <selection activeCell="C11" sqref="C11"/>
    </sheetView>
  </sheetViews>
  <sheetFormatPr baseColWidth="10" defaultColWidth="11.42578125" defaultRowHeight="17.25" x14ac:dyDescent="0.3"/>
  <cols>
    <col min="1" max="1" width="11.42578125" style="74"/>
    <col min="2" max="2" width="44.42578125" style="74" customWidth="1"/>
    <col min="3" max="3" width="21.140625" style="74" customWidth="1"/>
    <col min="4" max="4" width="24.42578125" style="74" bestFit="1" customWidth="1"/>
    <col min="5" max="16384" width="11.42578125" style="74"/>
  </cols>
  <sheetData>
    <row r="1" spans="2:4" ht="18" thickBot="1" x14ac:dyDescent="0.35"/>
    <row r="2" spans="2:4" s="75" customFormat="1" ht="18" thickBot="1" x14ac:dyDescent="0.35">
      <c r="B2" s="94" t="s">
        <v>69</v>
      </c>
      <c r="C2" s="107"/>
      <c r="D2" s="95"/>
    </row>
    <row r="3" spans="2:4" s="75" customFormat="1" x14ac:dyDescent="0.3">
      <c r="B3" s="136" t="s">
        <v>70</v>
      </c>
      <c r="C3" s="106">
        <v>800</v>
      </c>
      <c r="D3" s="137">
        <f>+C3/C5</f>
        <v>2.5000000000000001E-2</v>
      </c>
    </row>
    <row r="4" spans="2:4" s="75" customFormat="1" x14ac:dyDescent="0.3">
      <c r="B4" s="138" t="s">
        <v>71</v>
      </c>
      <c r="C4" s="105">
        <v>900</v>
      </c>
      <c r="D4" s="139">
        <f>+C4/C5</f>
        <v>2.8125000000000001E-2</v>
      </c>
    </row>
    <row r="5" spans="2:4" s="75" customFormat="1" x14ac:dyDescent="0.3">
      <c r="B5" s="138" t="s">
        <v>6</v>
      </c>
      <c r="C5" s="104">
        <v>32000</v>
      </c>
      <c r="D5" s="140">
        <f>+C5/C3</f>
        <v>40</v>
      </c>
    </row>
    <row r="6" spans="2:4" s="75" customFormat="1" ht="18" thickBot="1" x14ac:dyDescent="0.35">
      <c r="B6" s="141" t="s">
        <v>86</v>
      </c>
      <c r="C6" s="142">
        <v>160</v>
      </c>
      <c r="D6" s="143"/>
    </row>
    <row r="7" spans="2:4" s="75" customFormat="1" ht="18" thickBot="1" x14ac:dyDescent="0.35"/>
    <row r="8" spans="2:4" s="75" customFormat="1" ht="18" thickBot="1" x14ac:dyDescent="0.35">
      <c r="B8" s="94" t="s">
        <v>0</v>
      </c>
      <c r="C8" s="95"/>
    </row>
    <row r="9" spans="2:4" s="75" customFormat="1" x14ac:dyDescent="0.3">
      <c r="B9" s="136" t="s">
        <v>73</v>
      </c>
      <c r="C9" s="144">
        <v>1.4999999999999999E-2</v>
      </c>
    </row>
    <row r="10" spans="2:4" s="75" customFormat="1" x14ac:dyDescent="0.3">
      <c r="B10" s="138" t="s">
        <v>1</v>
      </c>
      <c r="C10" s="145">
        <v>20000000</v>
      </c>
    </row>
    <row r="11" spans="2:4" s="75" customFormat="1" x14ac:dyDescent="0.3">
      <c r="B11" s="138" t="s">
        <v>72</v>
      </c>
      <c r="C11" s="156">
        <v>3.5000000000000003E-2</v>
      </c>
    </row>
    <row r="12" spans="2:4" s="75" customFormat="1" x14ac:dyDescent="0.3">
      <c r="B12" s="138" t="s">
        <v>58</v>
      </c>
      <c r="C12" s="146">
        <v>0.27</v>
      </c>
    </row>
    <row r="13" spans="2:4" s="75" customFormat="1" x14ac:dyDescent="0.3">
      <c r="B13" s="138" t="s">
        <v>56</v>
      </c>
      <c r="C13" s="146">
        <v>0.18</v>
      </c>
    </row>
    <row r="14" spans="2:4" s="75" customFormat="1" x14ac:dyDescent="0.3">
      <c r="B14" s="138" t="s">
        <v>60</v>
      </c>
      <c r="C14" s="147">
        <f>((1+C13)^(1/12))-1</f>
        <v>1.3888430348409919E-2</v>
      </c>
    </row>
    <row r="15" spans="2:4" s="75" customFormat="1" ht="18" thickBot="1" x14ac:dyDescent="0.35">
      <c r="B15" s="141"/>
      <c r="C15" s="1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L40"/>
  <sheetViews>
    <sheetView showGridLines="0" zoomScale="70" zoomScaleNormal="70" workbookViewId="0">
      <selection activeCell="I28" sqref="I28"/>
    </sheetView>
  </sheetViews>
  <sheetFormatPr baseColWidth="10" defaultColWidth="11.42578125" defaultRowHeight="20.25" x14ac:dyDescent="0.35"/>
  <cols>
    <col min="1" max="1" width="11.42578125" style="64"/>
    <col min="2" max="2" width="58" style="64" bestFit="1" customWidth="1"/>
    <col min="3" max="13" width="15" style="64" bestFit="1" customWidth="1"/>
    <col min="14" max="23" width="15.28515625" style="64" bestFit="1" customWidth="1"/>
    <col min="24" max="31" width="13.5703125" style="64" bestFit="1" customWidth="1"/>
    <col min="32" max="32" width="11.5703125" style="64" bestFit="1" customWidth="1"/>
    <col min="33" max="34" width="12" style="64" bestFit="1" customWidth="1"/>
    <col min="35" max="38" width="12.42578125" style="64" bestFit="1" customWidth="1"/>
    <col min="39" max="16384" width="11.42578125" style="64"/>
  </cols>
  <sheetData>
    <row r="2" spans="1:38" customFormat="1" ht="15.75" customHeight="1" x14ac:dyDescent="0.25">
      <c r="C2" s="131"/>
    </row>
    <row r="3" spans="1:38" s="68" customFormat="1" x14ac:dyDescent="0.35">
      <c r="A3" s="133"/>
      <c r="B3" s="134" t="s">
        <v>112</v>
      </c>
      <c r="C3" s="135"/>
    </row>
    <row r="4" spans="1:38" x14ac:dyDescent="0.35">
      <c r="B4" s="131"/>
      <c r="C4" s="132"/>
    </row>
    <row r="5" spans="1:38" ht="21" thickBot="1" x14ac:dyDescent="0.4">
      <c r="A5" s="76" t="s">
        <v>92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</row>
    <row r="6" spans="1:38" ht="21" thickTop="1" x14ac:dyDescent="0.35">
      <c r="A6" s="78"/>
    </row>
    <row r="7" spans="1:38" s="79" customFormat="1" ht="21" thickBot="1" x14ac:dyDescent="0.4">
      <c r="B7" s="85" t="s">
        <v>84</v>
      </c>
      <c r="C7" s="85"/>
      <c r="D7" s="85"/>
      <c r="E7" s="85"/>
      <c r="F7" s="85"/>
      <c r="G7" s="80"/>
    </row>
    <row r="8" spans="1:38" s="79" customFormat="1" ht="21" thickTop="1" x14ac:dyDescent="0.35">
      <c r="B8" s="80"/>
      <c r="C8" s="86" t="s">
        <v>6</v>
      </c>
      <c r="D8" s="86" t="s">
        <v>7</v>
      </c>
      <c r="E8" s="86" t="s">
        <v>109</v>
      </c>
    </row>
    <row r="9" spans="1:38" s="79" customFormat="1" x14ac:dyDescent="0.35">
      <c r="B9" s="87" t="s">
        <v>111</v>
      </c>
      <c r="C9" s="82"/>
      <c r="D9" s="81"/>
      <c r="E9" s="81"/>
    </row>
    <row r="10" spans="1:38" s="79" customFormat="1" x14ac:dyDescent="0.35">
      <c r="B10" s="88" t="s">
        <v>74</v>
      </c>
      <c r="C10" s="82"/>
      <c r="D10" s="81"/>
      <c r="E10" s="81"/>
    </row>
    <row r="11" spans="1:38" s="79" customFormat="1" x14ac:dyDescent="0.35">
      <c r="B11" s="88" t="s">
        <v>83</v>
      </c>
      <c r="C11" s="82">
        <f>SUM(C9:C10)</f>
        <v>0</v>
      </c>
      <c r="D11" s="81">
        <f>SUM(D9:D10)</f>
        <v>0</v>
      </c>
      <c r="E11" s="81">
        <f>SUM(E9:E10)</f>
        <v>0</v>
      </c>
    </row>
    <row r="12" spans="1:38" s="79" customFormat="1" x14ac:dyDescent="0.35">
      <c r="B12" s="88" t="s">
        <v>59</v>
      </c>
      <c r="C12" s="82"/>
      <c r="D12" s="81"/>
      <c r="E12" s="81"/>
    </row>
    <row r="13" spans="1:38" s="79" customFormat="1" x14ac:dyDescent="0.35">
      <c r="B13" s="88" t="s">
        <v>85</v>
      </c>
      <c r="C13" s="82"/>
      <c r="D13" s="81"/>
      <c r="E13" s="81"/>
    </row>
    <row r="14" spans="1:38" s="79" customFormat="1" x14ac:dyDescent="0.35">
      <c r="B14" s="80"/>
      <c r="C14" s="83"/>
      <c r="D14" s="83"/>
    </row>
    <row r="15" spans="1:38" s="79" customFormat="1" x14ac:dyDescent="0.35"/>
    <row r="16" spans="1:38" s="79" customFormat="1" ht="21" thickBot="1" x14ac:dyDescent="0.4">
      <c r="B16" s="90" t="s">
        <v>93</v>
      </c>
      <c r="C16" s="89"/>
      <c r="D16" s="89"/>
      <c r="E16" s="85"/>
      <c r="F16" s="85"/>
      <c r="G16" s="80"/>
    </row>
    <row r="17" spans="2:7" s="79" customFormat="1" ht="21" thickTop="1" x14ac:dyDescent="0.35">
      <c r="B17" s="80"/>
      <c r="C17" s="86" t="s">
        <v>6</v>
      </c>
      <c r="D17" s="86" t="s">
        <v>7</v>
      </c>
      <c r="E17" s="86" t="s">
        <v>109</v>
      </c>
    </row>
    <row r="18" spans="2:7" s="79" customFormat="1" x14ac:dyDescent="0.35">
      <c r="B18" s="87" t="s">
        <v>111</v>
      </c>
      <c r="C18" s="82"/>
      <c r="D18" s="81"/>
      <c r="E18" s="81"/>
    </row>
    <row r="19" spans="2:7" s="79" customFormat="1" x14ac:dyDescent="0.35">
      <c r="B19" s="88" t="s">
        <v>74</v>
      </c>
      <c r="C19" s="82"/>
      <c r="D19" s="81"/>
      <c r="E19" s="81"/>
    </row>
    <row r="20" spans="2:7" s="79" customFormat="1" x14ac:dyDescent="0.35">
      <c r="B20" s="88" t="s">
        <v>83</v>
      </c>
      <c r="C20" s="82">
        <f>SUM(C18:C19)</f>
        <v>0</v>
      </c>
      <c r="D20" s="81">
        <f>SUM(D18:D19)</f>
        <v>0</v>
      </c>
      <c r="E20" s="81">
        <f>SUM(E18:E19)</f>
        <v>0</v>
      </c>
    </row>
    <row r="21" spans="2:7" s="79" customFormat="1" x14ac:dyDescent="0.35">
      <c r="B21" s="80"/>
      <c r="C21" s="83"/>
      <c r="D21" s="83"/>
    </row>
    <row r="22" spans="2:7" s="79" customFormat="1" x14ac:dyDescent="0.35"/>
    <row r="23" spans="2:7" s="79" customFormat="1" ht="21" thickBot="1" x14ac:dyDescent="0.4">
      <c r="B23" s="90" t="s">
        <v>110</v>
      </c>
      <c r="C23" s="89"/>
      <c r="D23" s="89"/>
      <c r="E23" s="85"/>
      <c r="F23" s="85"/>
      <c r="G23" s="80"/>
    </row>
    <row r="24" spans="2:7" s="79" customFormat="1" ht="21" thickTop="1" x14ac:dyDescent="0.35">
      <c r="B24" s="91"/>
      <c r="C24" s="86" t="s">
        <v>6</v>
      </c>
      <c r="D24" s="86" t="s">
        <v>7</v>
      </c>
      <c r="E24" s="86" t="s">
        <v>109</v>
      </c>
    </row>
    <row r="25" spans="2:7" s="79" customFormat="1" x14ac:dyDescent="0.35">
      <c r="B25" s="88" t="s">
        <v>63</v>
      </c>
      <c r="C25" s="82"/>
      <c r="D25" s="81"/>
      <c r="E25" s="81"/>
    </row>
    <row r="26" spans="2:7" s="79" customFormat="1" x14ac:dyDescent="0.35">
      <c r="B26" s="88" t="s">
        <v>3</v>
      </c>
      <c r="C26" s="82"/>
      <c r="D26" s="81"/>
      <c r="E26" s="81"/>
    </row>
    <row r="27" spans="2:7" s="79" customFormat="1" x14ac:dyDescent="0.35">
      <c r="B27" s="88" t="s">
        <v>68</v>
      </c>
      <c r="C27" s="82"/>
      <c r="D27" s="81"/>
      <c r="E27" s="81"/>
    </row>
    <row r="28" spans="2:7" s="79" customFormat="1" x14ac:dyDescent="0.35">
      <c r="B28" s="88" t="s">
        <v>46</v>
      </c>
      <c r="C28" s="82"/>
      <c r="D28" s="81"/>
      <c r="E28" s="81"/>
      <c r="F28" s="80"/>
      <c r="G28" s="80"/>
    </row>
    <row r="29" spans="2:7" s="79" customFormat="1" x14ac:dyDescent="0.35">
      <c r="B29" s="88" t="s">
        <v>5</v>
      </c>
      <c r="C29" s="82"/>
      <c r="D29" s="81"/>
      <c r="E29" s="81"/>
      <c r="F29" s="80"/>
      <c r="G29" s="80"/>
    </row>
    <row r="30" spans="2:7" s="79" customFormat="1" x14ac:dyDescent="0.35">
      <c r="B30" s="88" t="s">
        <v>47</v>
      </c>
      <c r="C30" s="82"/>
      <c r="D30" s="81"/>
      <c r="E30" s="81"/>
      <c r="F30" s="80"/>
      <c r="G30" s="80"/>
    </row>
    <row r="31" spans="2:7" s="79" customFormat="1" x14ac:dyDescent="0.35">
      <c r="B31" s="88" t="s">
        <v>48</v>
      </c>
      <c r="C31" s="82"/>
      <c r="D31" s="81"/>
      <c r="E31" s="81"/>
      <c r="F31" s="80"/>
      <c r="G31" s="80"/>
    </row>
    <row r="32" spans="2:7" s="79" customFormat="1" x14ac:dyDescent="0.35">
      <c r="B32" s="92"/>
    </row>
    <row r="33" spans="2:6" s="79" customFormat="1" ht="21" thickBot="1" x14ac:dyDescent="0.4">
      <c r="B33" s="90" t="s">
        <v>75</v>
      </c>
      <c r="C33" s="89"/>
      <c r="D33" s="89"/>
      <c r="E33" s="93"/>
      <c r="F33" s="93"/>
    </row>
    <row r="34" spans="2:6" s="79" customFormat="1" ht="21" thickTop="1" x14ac:dyDescent="0.35">
      <c r="B34" s="91"/>
      <c r="C34" s="80" t="s">
        <v>80</v>
      </c>
      <c r="D34" s="80"/>
    </row>
    <row r="35" spans="2:6" s="79" customFormat="1" x14ac:dyDescent="0.35">
      <c r="B35" s="88" t="s">
        <v>76</v>
      </c>
      <c r="C35" s="81"/>
      <c r="D35" s="84"/>
    </row>
    <row r="36" spans="2:6" s="79" customFormat="1" x14ac:dyDescent="0.35">
      <c r="B36" s="88" t="s">
        <v>77</v>
      </c>
      <c r="C36" s="81"/>
      <c r="D36" s="84"/>
    </row>
    <row r="37" spans="2:6" s="79" customFormat="1" x14ac:dyDescent="0.35">
      <c r="B37" s="88" t="s">
        <v>78</v>
      </c>
      <c r="C37" s="81"/>
      <c r="D37" s="84"/>
    </row>
    <row r="38" spans="2:6" s="79" customFormat="1" x14ac:dyDescent="0.35">
      <c r="B38" s="88" t="s">
        <v>79</v>
      </c>
      <c r="C38" s="81"/>
      <c r="D38" s="84"/>
    </row>
    <row r="39" spans="2:6" s="79" customFormat="1" x14ac:dyDescent="0.35">
      <c r="B39" s="88" t="s">
        <v>81</v>
      </c>
      <c r="C39" s="81"/>
      <c r="D39" s="84"/>
    </row>
    <row r="40" spans="2:6" s="79" customFormat="1" x14ac:dyDescent="0.35">
      <c r="B40" s="88" t="s">
        <v>82</v>
      </c>
      <c r="C40" s="81"/>
      <c r="D40" s="84"/>
    </row>
  </sheetData>
  <pageMargins left="0.7" right="0.7" top="0.75" bottom="0.75" header="0.3" footer="0.3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L35"/>
  <sheetViews>
    <sheetView showGridLines="0" topLeftCell="A10" zoomScale="70" zoomScaleNormal="70" workbookViewId="0">
      <selection activeCell="A35" sqref="A35:XFD35"/>
    </sheetView>
  </sheetViews>
  <sheetFormatPr baseColWidth="10" defaultColWidth="11.42578125" defaultRowHeight="20.25" x14ac:dyDescent="0.35"/>
  <cols>
    <col min="1" max="1" width="11.42578125" style="64"/>
    <col min="2" max="2" width="58" style="64" bestFit="1" customWidth="1"/>
    <col min="3" max="13" width="15" style="64" bestFit="1" customWidth="1"/>
    <col min="14" max="23" width="15.28515625" style="64" bestFit="1" customWidth="1"/>
    <col min="24" max="31" width="13.5703125" style="64" bestFit="1" customWidth="1"/>
    <col min="32" max="32" width="11.5703125" style="64" bestFit="1" customWidth="1"/>
    <col min="33" max="34" width="12" style="64" bestFit="1" customWidth="1"/>
    <col min="35" max="38" width="12.42578125" style="64" bestFit="1" customWidth="1"/>
    <col min="39" max="16384" width="11.42578125" style="64"/>
  </cols>
  <sheetData>
    <row r="2" ht="30" customHeight="1" x14ac:dyDescent="0.35"/>
    <row r="3" ht="30" customHeight="1" x14ac:dyDescent="0.35"/>
    <row r="4" ht="30" customHeight="1" x14ac:dyDescent="0.35"/>
    <row r="5" ht="30" customHeight="1" x14ac:dyDescent="0.35"/>
    <row r="6" ht="30" customHeight="1" x14ac:dyDescent="0.35"/>
    <row r="7" ht="30" customHeight="1" x14ac:dyDescent="0.35"/>
    <row r="8" ht="30" customHeight="1" x14ac:dyDescent="0.35"/>
    <row r="9" ht="30" customHeight="1" x14ac:dyDescent="0.35"/>
    <row r="10" ht="30" customHeight="1" x14ac:dyDescent="0.35"/>
    <row r="11" ht="30" customHeight="1" x14ac:dyDescent="0.35"/>
    <row r="12" ht="30" customHeight="1" x14ac:dyDescent="0.35"/>
    <row r="13" ht="30" customHeight="1" x14ac:dyDescent="0.35"/>
    <row r="14" ht="30" customHeight="1" x14ac:dyDescent="0.35"/>
    <row r="15" ht="30" customHeight="1" x14ac:dyDescent="0.35"/>
    <row r="16" ht="30" customHeight="1" x14ac:dyDescent="0.35"/>
    <row r="17" spans="1:38" ht="30" customHeight="1" x14ac:dyDescent="0.35"/>
    <row r="18" spans="1:38" ht="18" customHeight="1" x14ac:dyDescent="0.35"/>
    <row r="19" spans="1:38" ht="18" customHeight="1" x14ac:dyDescent="0.35"/>
    <row r="20" spans="1:38" ht="18" customHeight="1" x14ac:dyDescent="0.35"/>
    <row r="21" spans="1:38" ht="21" thickBot="1" x14ac:dyDescent="0.4">
      <c r="A21" s="76" t="s">
        <v>87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</row>
    <row r="22" spans="1:38" ht="21" thickTop="1" x14ac:dyDescent="0.35">
      <c r="A22" s="78"/>
    </row>
    <row r="23" spans="1:38" x14ac:dyDescent="0.35">
      <c r="B23" s="65"/>
      <c r="C23" s="66">
        <v>43466</v>
      </c>
      <c r="D23" s="66">
        <v>43497</v>
      </c>
      <c r="E23" s="66">
        <v>43525</v>
      </c>
      <c r="F23" s="66">
        <v>43556</v>
      </c>
      <c r="G23" s="66">
        <v>43586</v>
      </c>
      <c r="H23" s="66">
        <v>43617</v>
      </c>
      <c r="I23" s="66">
        <v>43647</v>
      </c>
      <c r="J23" s="66">
        <v>43678</v>
      </c>
      <c r="K23" s="66">
        <v>43709</v>
      </c>
      <c r="L23" s="66">
        <v>43739</v>
      </c>
      <c r="M23" s="66">
        <v>43770</v>
      </c>
      <c r="N23" s="66">
        <v>43800</v>
      </c>
      <c r="O23" s="66">
        <v>43831</v>
      </c>
      <c r="P23" s="66">
        <v>43862</v>
      </c>
      <c r="Q23" s="66">
        <v>43891</v>
      </c>
      <c r="R23" s="66">
        <v>43922</v>
      </c>
      <c r="S23" s="66">
        <v>43952</v>
      </c>
      <c r="T23" s="66">
        <v>43983</v>
      </c>
      <c r="U23" s="66">
        <v>44013</v>
      </c>
      <c r="V23" s="66">
        <v>44044</v>
      </c>
      <c r="W23" s="66">
        <v>44075</v>
      </c>
      <c r="X23" s="66">
        <v>44105</v>
      </c>
      <c r="Y23" s="66">
        <v>44136</v>
      </c>
      <c r="Z23" s="66">
        <v>44166</v>
      </c>
      <c r="AA23" s="66">
        <v>44197</v>
      </c>
      <c r="AB23" s="66">
        <v>44228</v>
      </c>
      <c r="AC23" s="66">
        <v>44256</v>
      </c>
      <c r="AD23" s="66">
        <v>44287</v>
      </c>
      <c r="AE23" s="66">
        <v>44317</v>
      </c>
      <c r="AF23" s="66">
        <v>44348</v>
      </c>
      <c r="AG23" s="66">
        <v>44378</v>
      </c>
      <c r="AH23" s="66">
        <v>44409</v>
      </c>
      <c r="AI23" s="66">
        <v>44440</v>
      </c>
      <c r="AJ23" s="66">
        <v>44470</v>
      </c>
      <c r="AK23" s="66">
        <v>44501</v>
      </c>
      <c r="AL23" s="66">
        <v>44531</v>
      </c>
    </row>
    <row r="24" spans="1:38" s="62" customFormat="1" ht="16.5" x14ac:dyDescent="0.3">
      <c r="B24" s="111" t="s">
        <v>101</v>
      </c>
      <c r="C24" s="116">
        <f>+'FLUJO CAJA NETO (Obligatorio)'!C17</f>
        <v>0</v>
      </c>
      <c r="D24" s="116">
        <f>+'FLUJO CAJA NETO (Obligatorio)'!D17</f>
        <v>1000</v>
      </c>
      <c r="E24" s="116">
        <f>+'FLUJO CAJA NETO (Obligatorio)'!E17</f>
        <v>1200</v>
      </c>
      <c r="F24" s="116">
        <f>+'FLUJO CAJA NETO (Obligatorio)'!F17</f>
        <v>2200</v>
      </c>
      <c r="G24" s="116">
        <f>+'FLUJO CAJA NETO (Obligatorio)'!G17</f>
        <v>3200</v>
      </c>
      <c r="H24" s="116">
        <f>+'FLUJO CAJA NETO (Obligatorio)'!H17</f>
        <v>4200</v>
      </c>
      <c r="I24" s="116">
        <f>+'FLUJO CAJA NETO (Obligatorio)'!I17</f>
        <v>5200</v>
      </c>
      <c r="J24" s="116">
        <f>+'FLUJO CAJA NETO (Obligatorio)'!J17</f>
        <v>6200</v>
      </c>
      <c r="K24" s="116">
        <f>+'FLUJO CAJA NETO (Obligatorio)'!K17</f>
        <v>7200</v>
      </c>
      <c r="L24" s="116">
        <f>+'FLUJO CAJA NETO (Obligatorio)'!L17</f>
        <v>8200</v>
      </c>
      <c r="M24" s="116">
        <f>+'FLUJO CAJA NETO (Obligatorio)'!M17</f>
        <v>9200</v>
      </c>
      <c r="N24" s="116">
        <f>+'FLUJO CAJA NETO (Obligatorio)'!N17</f>
        <v>10200</v>
      </c>
      <c r="O24" s="116">
        <f>+'FLUJO CAJA NETO (Obligatorio)'!O17</f>
        <v>11200</v>
      </c>
      <c r="P24" s="116">
        <f>+'FLUJO CAJA NETO (Obligatorio)'!P17</f>
        <v>12200</v>
      </c>
      <c r="Q24" s="116">
        <f>+'FLUJO CAJA NETO (Obligatorio)'!Q17</f>
        <v>13200</v>
      </c>
      <c r="R24" s="116">
        <f>+'FLUJO CAJA NETO (Obligatorio)'!R17</f>
        <v>14200</v>
      </c>
      <c r="S24" s="116">
        <f>+'FLUJO CAJA NETO (Obligatorio)'!S17</f>
        <v>15200</v>
      </c>
      <c r="T24" s="116">
        <f>+'FLUJO CAJA NETO (Obligatorio)'!T17</f>
        <v>16200</v>
      </c>
      <c r="U24" s="116">
        <f>+'FLUJO CAJA NETO (Obligatorio)'!U17</f>
        <v>17200</v>
      </c>
      <c r="V24" s="116">
        <f>+'FLUJO CAJA NETO (Obligatorio)'!V17</f>
        <v>18200</v>
      </c>
      <c r="W24" s="116">
        <f>+'FLUJO CAJA NETO (Obligatorio)'!W17</f>
        <v>19200</v>
      </c>
      <c r="X24" s="116">
        <f>+'FLUJO CAJA NETO (Obligatorio)'!X17</f>
        <v>20200</v>
      </c>
      <c r="Y24" s="116">
        <f>+'FLUJO CAJA NETO (Obligatorio)'!Y17</f>
        <v>21200</v>
      </c>
      <c r="Z24" s="116">
        <f>+'FLUJO CAJA NETO (Obligatorio)'!Z17</f>
        <v>22200</v>
      </c>
      <c r="AA24" s="116">
        <f>+'FLUJO CAJA NETO (Obligatorio)'!AA17</f>
        <v>23200</v>
      </c>
      <c r="AB24" s="116">
        <f>+'FLUJO CAJA NETO (Obligatorio)'!AB17</f>
        <v>24200</v>
      </c>
      <c r="AC24" s="116">
        <f>+'FLUJO CAJA NETO (Obligatorio)'!AC17</f>
        <v>25200</v>
      </c>
      <c r="AD24" s="116">
        <f>+'FLUJO CAJA NETO (Obligatorio)'!AD17</f>
        <v>26200</v>
      </c>
      <c r="AE24" s="116">
        <f>+'FLUJO CAJA NETO (Obligatorio)'!AE17</f>
        <v>27200</v>
      </c>
      <c r="AF24" s="116">
        <f>+'FLUJO CAJA NETO (Obligatorio)'!AF17</f>
        <v>28200</v>
      </c>
      <c r="AG24" s="116">
        <f>+'FLUJO CAJA NETO (Obligatorio)'!AG17</f>
        <v>29200</v>
      </c>
      <c r="AH24" s="116">
        <f>+'FLUJO CAJA NETO (Obligatorio)'!AH17</f>
        <v>30200</v>
      </c>
      <c r="AI24" s="116">
        <f>+'FLUJO CAJA NETO (Obligatorio)'!AI17</f>
        <v>31200</v>
      </c>
      <c r="AJ24" s="116">
        <f>+'FLUJO CAJA NETO (Obligatorio)'!AJ17</f>
        <v>32200</v>
      </c>
      <c r="AK24" s="116">
        <f>+'FLUJO CAJA NETO (Obligatorio)'!AK17</f>
        <v>33200</v>
      </c>
      <c r="AL24" s="116">
        <f>+'FLUJO CAJA NETO (Obligatorio)'!AL17</f>
        <v>34200</v>
      </c>
    </row>
    <row r="25" spans="1:38" s="62" customFormat="1" ht="16.5" x14ac:dyDescent="0.3">
      <c r="B25" s="108" t="s">
        <v>107</v>
      </c>
      <c r="C25" s="116">
        <f>+'FLUJO CAJA NETO (Obligatorio)'!C39</f>
        <v>10000</v>
      </c>
      <c r="D25" s="116">
        <f>+'FLUJO CAJA NETO (Obligatorio)'!D39</f>
        <v>10500</v>
      </c>
      <c r="E25" s="116">
        <f>+'FLUJO CAJA NETO (Obligatorio)'!E39</f>
        <v>11000</v>
      </c>
      <c r="F25" s="116">
        <f>+'FLUJO CAJA NETO (Obligatorio)'!F39</f>
        <v>11500</v>
      </c>
      <c r="G25" s="116">
        <f>+'FLUJO CAJA NETO (Obligatorio)'!G39</f>
        <v>17000</v>
      </c>
      <c r="H25" s="116">
        <f>+'FLUJO CAJA NETO (Obligatorio)'!H39</f>
        <v>17500</v>
      </c>
      <c r="I25" s="116">
        <f>+'FLUJO CAJA NETO (Obligatorio)'!I39</f>
        <v>17500</v>
      </c>
      <c r="J25" s="116">
        <f>+'FLUJO CAJA NETO (Obligatorio)'!J39</f>
        <v>18000</v>
      </c>
      <c r="K25" s="116">
        <f>+'FLUJO CAJA NETO (Obligatorio)'!K39</f>
        <v>18500</v>
      </c>
      <c r="L25" s="116">
        <f>+'FLUJO CAJA NETO (Obligatorio)'!L39</f>
        <v>19000</v>
      </c>
      <c r="M25" s="116">
        <f>+'FLUJO CAJA NETO (Obligatorio)'!M39</f>
        <v>19500</v>
      </c>
      <c r="N25" s="116">
        <f>+'FLUJO CAJA NETO (Obligatorio)'!N39</f>
        <v>20000</v>
      </c>
      <c r="O25" s="116">
        <f>+'FLUJO CAJA NETO (Obligatorio)'!O39</f>
        <v>20500</v>
      </c>
      <c r="P25" s="116">
        <f>+'FLUJO CAJA NETO (Obligatorio)'!P39</f>
        <v>21000</v>
      </c>
      <c r="Q25" s="116">
        <f>+'FLUJO CAJA NETO (Obligatorio)'!Q39</f>
        <v>21500</v>
      </c>
      <c r="R25" s="116">
        <f>+'FLUJO CAJA NETO (Obligatorio)'!R39</f>
        <v>22000</v>
      </c>
      <c r="S25" s="116">
        <f>+'FLUJO CAJA NETO (Obligatorio)'!S39</f>
        <v>22500</v>
      </c>
      <c r="T25" s="116">
        <f>+'FLUJO CAJA NETO (Obligatorio)'!T39</f>
        <v>23000</v>
      </c>
      <c r="U25" s="116">
        <f>+'FLUJO CAJA NETO (Obligatorio)'!U39</f>
        <v>23500</v>
      </c>
      <c r="V25" s="116">
        <f>+'FLUJO CAJA NETO (Obligatorio)'!V39</f>
        <v>24000</v>
      </c>
      <c r="W25" s="116">
        <f>+'FLUJO CAJA NETO (Obligatorio)'!W39</f>
        <v>24500</v>
      </c>
      <c r="X25" s="116">
        <f>+'FLUJO CAJA NETO (Obligatorio)'!X39</f>
        <v>25000</v>
      </c>
      <c r="Y25" s="116">
        <f>+'FLUJO CAJA NETO (Obligatorio)'!Y39</f>
        <v>25500</v>
      </c>
      <c r="Z25" s="116">
        <f>+'FLUJO CAJA NETO (Obligatorio)'!Z39</f>
        <v>26000</v>
      </c>
      <c r="AA25" s="116">
        <f>+'FLUJO CAJA NETO (Obligatorio)'!AA39</f>
        <v>26500</v>
      </c>
      <c r="AB25" s="116">
        <f>+'FLUJO CAJA NETO (Obligatorio)'!AB39</f>
        <v>27000</v>
      </c>
      <c r="AC25" s="116">
        <f>+'FLUJO CAJA NETO (Obligatorio)'!AC39</f>
        <v>27500</v>
      </c>
      <c r="AD25" s="116">
        <f>+'FLUJO CAJA NETO (Obligatorio)'!AD39</f>
        <v>28000</v>
      </c>
      <c r="AE25" s="116">
        <f>+'FLUJO CAJA NETO (Obligatorio)'!AE39</f>
        <v>28500</v>
      </c>
      <c r="AF25" s="116">
        <f>+'FLUJO CAJA NETO (Obligatorio)'!AF39</f>
        <v>29000</v>
      </c>
      <c r="AG25" s="116">
        <f>+'FLUJO CAJA NETO (Obligatorio)'!AG39</f>
        <v>29500</v>
      </c>
      <c r="AH25" s="116">
        <f>+'FLUJO CAJA NETO (Obligatorio)'!AH39</f>
        <v>30000</v>
      </c>
      <c r="AI25" s="116">
        <f>+'FLUJO CAJA NETO (Obligatorio)'!AI39</f>
        <v>30500</v>
      </c>
      <c r="AJ25" s="116">
        <f>+'FLUJO CAJA NETO (Obligatorio)'!AJ39</f>
        <v>31000</v>
      </c>
      <c r="AK25" s="116">
        <f>+'FLUJO CAJA NETO (Obligatorio)'!AK39</f>
        <v>31500</v>
      </c>
      <c r="AL25" s="116">
        <f>+'FLUJO CAJA NETO (Obligatorio)'!AL39</f>
        <v>32000</v>
      </c>
    </row>
    <row r="26" spans="1:38" s="62" customFormat="1" ht="16.5" x14ac:dyDescent="0.3"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</row>
    <row r="27" spans="1:38" x14ac:dyDescent="0.35">
      <c r="B27" s="65" t="s">
        <v>88</v>
      </c>
      <c r="C27" s="67">
        <f>+'FLUJO CAJA NETO (Obligatorio)'!C8</f>
        <v>-10000</v>
      </c>
      <c r="D27" s="67">
        <f>+'FLUJO CAJA NETO (Obligatorio)'!D8</f>
        <v>500</v>
      </c>
      <c r="E27" s="67">
        <f>+'FLUJO CAJA NETO (Obligatorio)'!E8</f>
        <v>-300</v>
      </c>
      <c r="F27" s="67">
        <f>+'FLUJO CAJA NETO (Obligatorio)'!F8</f>
        <v>500</v>
      </c>
      <c r="G27" s="67">
        <f>+'FLUJO CAJA NETO (Obligatorio)'!G8</f>
        <v>-4500</v>
      </c>
      <c r="H27" s="67">
        <f>+'FLUJO CAJA NETO (Obligatorio)'!H8</f>
        <v>500</v>
      </c>
      <c r="I27" s="67">
        <f>+'FLUJO CAJA NETO (Obligatorio)'!I8</f>
        <v>1000</v>
      </c>
      <c r="J27" s="67">
        <f>+'FLUJO CAJA NETO (Obligatorio)'!J8</f>
        <v>500</v>
      </c>
      <c r="K27" s="67">
        <f>+'FLUJO CAJA NETO (Obligatorio)'!K8</f>
        <v>500</v>
      </c>
      <c r="L27" s="67">
        <f>+'FLUJO CAJA NETO (Obligatorio)'!L8</f>
        <v>500</v>
      </c>
      <c r="M27" s="67">
        <f>+'FLUJO CAJA NETO (Obligatorio)'!M8</f>
        <v>500</v>
      </c>
      <c r="N27" s="67">
        <f>+'FLUJO CAJA NETO (Obligatorio)'!N8</f>
        <v>500</v>
      </c>
      <c r="O27" s="67">
        <f>+'FLUJO CAJA NETO (Obligatorio)'!O8</f>
        <v>500</v>
      </c>
      <c r="P27" s="67">
        <f>+'FLUJO CAJA NETO (Obligatorio)'!P8</f>
        <v>500</v>
      </c>
      <c r="Q27" s="67">
        <f>+'FLUJO CAJA NETO (Obligatorio)'!Q8</f>
        <v>500</v>
      </c>
      <c r="R27" s="67">
        <f>+'FLUJO CAJA NETO (Obligatorio)'!R8</f>
        <v>500</v>
      </c>
      <c r="S27" s="67">
        <f>+'FLUJO CAJA NETO (Obligatorio)'!S8</f>
        <v>500</v>
      </c>
      <c r="T27" s="67">
        <f>+'FLUJO CAJA NETO (Obligatorio)'!T8</f>
        <v>500</v>
      </c>
      <c r="U27" s="67">
        <f>+'FLUJO CAJA NETO (Obligatorio)'!U8</f>
        <v>500</v>
      </c>
      <c r="V27" s="67">
        <f>+'FLUJO CAJA NETO (Obligatorio)'!V8</f>
        <v>500</v>
      </c>
      <c r="W27" s="67">
        <f>+'FLUJO CAJA NETO (Obligatorio)'!W8</f>
        <v>500</v>
      </c>
      <c r="X27" s="67">
        <f>+'FLUJO CAJA NETO (Obligatorio)'!X8</f>
        <v>500</v>
      </c>
      <c r="Y27" s="67">
        <f>+'FLUJO CAJA NETO (Obligatorio)'!Y8</f>
        <v>500</v>
      </c>
      <c r="Z27" s="67">
        <f>+'FLUJO CAJA NETO (Obligatorio)'!Z8</f>
        <v>500</v>
      </c>
      <c r="AA27" s="67">
        <f>+'FLUJO CAJA NETO (Obligatorio)'!AA8</f>
        <v>500</v>
      </c>
      <c r="AB27" s="67">
        <f>+'FLUJO CAJA NETO (Obligatorio)'!AB8</f>
        <v>500</v>
      </c>
      <c r="AC27" s="67">
        <f>+'FLUJO CAJA NETO (Obligatorio)'!AC8</f>
        <v>500</v>
      </c>
      <c r="AD27" s="67">
        <f>+'FLUJO CAJA NETO (Obligatorio)'!AD8</f>
        <v>500</v>
      </c>
      <c r="AE27" s="67">
        <f>+'FLUJO CAJA NETO (Obligatorio)'!AE8</f>
        <v>500</v>
      </c>
      <c r="AF27" s="67">
        <f>+'FLUJO CAJA NETO (Obligatorio)'!AF8</f>
        <v>500</v>
      </c>
      <c r="AG27" s="67">
        <f>+'FLUJO CAJA NETO (Obligatorio)'!AG8</f>
        <v>500</v>
      </c>
      <c r="AH27" s="67">
        <f>+'FLUJO CAJA NETO (Obligatorio)'!AH8</f>
        <v>500</v>
      </c>
      <c r="AI27" s="67">
        <f>+'FLUJO CAJA NETO (Obligatorio)'!AI8</f>
        <v>500</v>
      </c>
      <c r="AJ27" s="67">
        <f>+'FLUJO CAJA NETO (Obligatorio)'!AJ8</f>
        <v>500</v>
      </c>
      <c r="AK27" s="67">
        <f>+'FLUJO CAJA NETO (Obligatorio)'!AK8</f>
        <v>500</v>
      </c>
      <c r="AL27" s="67">
        <f>+'FLUJO CAJA NETO (Obligatorio)'!AL8</f>
        <v>500</v>
      </c>
    </row>
    <row r="28" spans="1:38" x14ac:dyDescent="0.35">
      <c r="B28" s="68" t="s">
        <v>89</v>
      </c>
      <c r="C28" s="69">
        <f>+C27</f>
        <v>-10000</v>
      </c>
      <c r="D28" s="69">
        <f t="shared" ref="D28:AL28" si="0">+D27+C28</f>
        <v>-9500</v>
      </c>
      <c r="E28" s="69">
        <f t="shared" si="0"/>
        <v>-9800</v>
      </c>
      <c r="F28" s="69">
        <f t="shared" si="0"/>
        <v>-9300</v>
      </c>
      <c r="G28" s="69">
        <f t="shared" si="0"/>
        <v>-13800</v>
      </c>
      <c r="H28" s="69">
        <f t="shared" si="0"/>
        <v>-13300</v>
      </c>
      <c r="I28" s="69">
        <f t="shared" si="0"/>
        <v>-12300</v>
      </c>
      <c r="J28" s="69">
        <f t="shared" si="0"/>
        <v>-11800</v>
      </c>
      <c r="K28" s="69">
        <f t="shared" si="0"/>
        <v>-11300</v>
      </c>
      <c r="L28" s="69">
        <f t="shared" si="0"/>
        <v>-10800</v>
      </c>
      <c r="M28" s="69">
        <f t="shared" si="0"/>
        <v>-10300</v>
      </c>
      <c r="N28" s="69">
        <f t="shared" si="0"/>
        <v>-9800</v>
      </c>
      <c r="O28" s="69">
        <f t="shared" si="0"/>
        <v>-9300</v>
      </c>
      <c r="P28" s="69">
        <f t="shared" si="0"/>
        <v>-8800</v>
      </c>
      <c r="Q28" s="69">
        <f t="shared" si="0"/>
        <v>-8300</v>
      </c>
      <c r="R28" s="69">
        <f t="shared" si="0"/>
        <v>-7800</v>
      </c>
      <c r="S28" s="69">
        <f t="shared" si="0"/>
        <v>-7300</v>
      </c>
      <c r="T28" s="69">
        <f t="shared" si="0"/>
        <v>-6800</v>
      </c>
      <c r="U28" s="69">
        <f t="shared" si="0"/>
        <v>-6300</v>
      </c>
      <c r="V28" s="69">
        <f t="shared" si="0"/>
        <v>-5800</v>
      </c>
      <c r="W28" s="69">
        <f t="shared" si="0"/>
        <v>-5300</v>
      </c>
      <c r="X28" s="69">
        <f t="shared" si="0"/>
        <v>-4800</v>
      </c>
      <c r="Y28" s="69">
        <f t="shared" si="0"/>
        <v>-4300</v>
      </c>
      <c r="Z28" s="69">
        <f t="shared" si="0"/>
        <v>-3800</v>
      </c>
      <c r="AA28" s="69">
        <f t="shared" si="0"/>
        <v>-3300</v>
      </c>
      <c r="AB28" s="69">
        <f t="shared" si="0"/>
        <v>-2800</v>
      </c>
      <c r="AC28" s="69">
        <f t="shared" si="0"/>
        <v>-2300</v>
      </c>
      <c r="AD28" s="69">
        <f t="shared" si="0"/>
        <v>-1800</v>
      </c>
      <c r="AE28" s="69">
        <f t="shared" si="0"/>
        <v>-1300</v>
      </c>
      <c r="AF28" s="69">
        <f t="shared" si="0"/>
        <v>-800</v>
      </c>
      <c r="AG28" s="69">
        <f t="shared" si="0"/>
        <v>-300</v>
      </c>
      <c r="AH28" s="69">
        <f t="shared" si="0"/>
        <v>200</v>
      </c>
      <c r="AI28" s="69">
        <f t="shared" si="0"/>
        <v>700</v>
      </c>
      <c r="AJ28" s="69">
        <f t="shared" si="0"/>
        <v>1200</v>
      </c>
      <c r="AK28" s="69">
        <f t="shared" si="0"/>
        <v>1700</v>
      </c>
      <c r="AL28" s="69">
        <f t="shared" si="0"/>
        <v>2200</v>
      </c>
    </row>
    <row r="30" spans="1:38" x14ac:dyDescent="0.35">
      <c r="B30" s="70" t="s">
        <v>90</v>
      </c>
      <c r="C30" s="67">
        <f>INDEX($C$28:$AL$28,0,MATCH(TRUE,INDEX($C$28:$AL$28&gt;0,1,0),0))</f>
        <v>200</v>
      </c>
      <c r="D30" s="66">
        <f>INDEX($C$23:$AL$23,0,MATCH(TRUE,INDEX($C$28:$AL$28&gt;0,1,0),0))</f>
        <v>44409</v>
      </c>
    </row>
    <row r="31" spans="1:38" x14ac:dyDescent="0.35">
      <c r="B31" s="71" t="s">
        <v>91</v>
      </c>
      <c r="C31" s="67">
        <f>INDEX($C$28:$AL$28,0,MATCH(TRUE,INDEX($C$28:$AL$28=MIN($C$28:$AL$28),1,0),0))</f>
        <v>-13800</v>
      </c>
      <c r="D31" s="66">
        <f>INDEX($C$23:$AL$23,0,MATCH(TRUE,INDEX($C$28:$AL$28=MIN($C$28:$AL$28),1,0),0))</f>
        <v>43586</v>
      </c>
    </row>
    <row r="32" spans="1:38" x14ac:dyDescent="0.35">
      <c r="B32" s="72" t="s">
        <v>85</v>
      </c>
      <c r="C32" s="73">
        <f>IRR(C27:AL27,1)</f>
        <v>8.2368811539437203E-3</v>
      </c>
      <c r="D32" s="69"/>
    </row>
    <row r="33" spans="1:4" x14ac:dyDescent="0.35">
      <c r="B33" s="119"/>
      <c r="C33" s="120"/>
      <c r="D33" s="121"/>
    </row>
    <row r="34" spans="1:4" s="68" customFormat="1" x14ac:dyDescent="0.35">
      <c r="A34" s="133"/>
      <c r="B34" s="134" t="s">
        <v>112</v>
      </c>
      <c r="C34" s="135"/>
    </row>
    <row r="35" spans="1:4" x14ac:dyDescent="0.35">
      <c r="A35" s="78"/>
    </row>
  </sheetData>
  <pageMargins left="0.7" right="0.7" top="0.75" bottom="0.75" header="0.3" footer="0.3"/>
  <pageSetup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54"/>
  <sheetViews>
    <sheetView showGridLines="0" zoomScale="80" zoomScaleNormal="80" workbookViewId="0">
      <selection activeCell="F32" sqref="F32"/>
    </sheetView>
  </sheetViews>
  <sheetFormatPr baseColWidth="10" defaultColWidth="11.42578125" defaultRowHeight="20.25" x14ac:dyDescent="0.35"/>
  <cols>
    <col min="1" max="1" width="40.42578125" style="79" customWidth="1"/>
    <col min="2" max="2" width="44.7109375" style="79" customWidth="1"/>
    <col min="3" max="3" width="12.7109375" style="79" bestFit="1" customWidth="1"/>
    <col min="4" max="4" width="11.5703125" style="79" bestFit="1" customWidth="1"/>
    <col min="5" max="33" width="11.85546875" style="79" bestFit="1" customWidth="1"/>
    <col min="34" max="38" width="11" style="79" bestFit="1" customWidth="1"/>
    <col min="39" max="16384" width="11.42578125" style="79"/>
  </cols>
  <sheetData>
    <row r="1" spans="1:38" x14ac:dyDescent="0.35">
      <c r="A1" s="80"/>
      <c r="B1" s="80"/>
      <c r="C1" s="80"/>
      <c r="D1" s="80"/>
      <c r="E1" s="80"/>
      <c r="F1" s="80"/>
      <c r="G1" s="80"/>
      <c r="H1" s="80"/>
      <c r="I1" s="80"/>
      <c r="J1" s="80"/>
    </row>
    <row r="2" spans="1:38" customFormat="1" ht="15" x14ac:dyDescent="0.25">
      <c r="B2" s="100" t="s">
        <v>94</v>
      </c>
      <c r="C2" s="101">
        <f>+PARAMETROS!C5</f>
        <v>32000</v>
      </c>
      <c r="D2" s="102">
        <f>+PARAMETROS!D5</f>
        <v>40</v>
      </c>
    </row>
    <row r="3" spans="1:38" customFormat="1" ht="15" x14ac:dyDescent="0.25">
      <c r="B3" s="100" t="s">
        <v>95</v>
      </c>
      <c r="C3" s="102">
        <f>+PARAMETROS!C3</f>
        <v>800</v>
      </c>
      <c r="D3" s="103">
        <f>+PARAMETROS!D3</f>
        <v>2.5000000000000001E-2</v>
      </c>
    </row>
    <row r="4" spans="1:38" customFormat="1" ht="15" x14ac:dyDescent="0.25"/>
    <row r="5" spans="1:38" customFormat="1" ht="15" x14ac:dyDescent="0.25"/>
    <row r="6" spans="1:38" s="62" customFormat="1" ht="26.25" thickBot="1" x14ac:dyDescent="0.55000000000000004">
      <c r="A6" s="60" t="s">
        <v>87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</row>
    <row r="7" spans="1:38" customFormat="1" ht="15.75" thickTop="1" x14ac:dyDescent="0.25"/>
    <row r="8" spans="1:38" customFormat="1" ht="15" x14ac:dyDescent="0.25">
      <c r="B8" s="96" t="s">
        <v>97</v>
      </c>
      <c r="C8" s="97">
        <f>+C16-C38</f>
        <v>-10000</v>
      </c>
      <c r="D8" s="97">
        <f t="shared" ref="D8:AL8" si="0">+D16-D38</f>
        <v>500</v>
      </c>
      <c r="E8" s="97">
        <f t="shared" si="0"/>
        <v>-300</v>
      </c>
      <c r="F8" s="97">
        <f t="shared" si="0"/>
        <v>500</v>
      </c>
      <c r="G8" s="97">
        <f t="shared" si="0"/>
        <v>-4500</v>
      </c>
      <c r="H8" s="97">
        <f t="shared" si="0"/>
        <v>500</v>
      </c>
      <c r="I8" s="97">
        <f t="shared" si="0"/>
        <v>1000</v>
      </c>
      <c r="J8" s="97">
        <f t="shared" si="0"/>
        <v>500</v>
      </c>
      <c r="K8" s="97">
        <f t="shared" si="0"/>
        <v>500</v>
      </c>
      <c r="L8" s="97">
        <f t="shared" si="0"/>
        <v>500</v>
      </c>
      <c r="M8" s="97">
        <f t="shared" si="0"/>
        <v>500</v>
      </c>
      <c r="N8" s="97">
        <f t="shared" si="0"/>
        <v>500</v>
      </c>
      <c r="O8" s="97">
        <f t="shared" si="0"/>
        <v>500</v>
      </c>
      <c r="P8" s="97">
        <f t="shared" si="0"/>
        <v>500</v>
      </c>
      <c r="Q8" s="97">
        <f t="shared" si="0"/>
        <v>500</v>
      </c>
      <c r="R8" s="97">
        <f t="shared" si="0"/>
        <v>500</v>
      </c>
      <c r="S8" s="97">
        <f t="shared" si="0"/>
        <v>500</v>
      </c>
      <c r="T8" s="97">
        <f t="shared" si="0"/>
        <v>500</v>
      </c>
      <c r="U8" s="97">
        <f t="shared" si="0"/>
        <v>500</v>
      </c>
      <c r="V8" s="97">
        <f t="shared" si="0"/>
        <v>500</v>
      </c>
      <c r="W8" s="97">
        <f t="shared" si="0"/>
        <v>500</v>
      </c>
      <c r="X8" s="97">
        <f t="shared" si="0"/>
        <v>500</v>
      </c>
      <c r="Y8" s="97">
        <f t="shared" si="0"/>
        <v>500</v>
      </c>
      <c r="Z8" s="97">
        <f t="shared" si="0"/>
        <v>500</v>
      </c>
      <c r="AA8" s="97">
        <f t="shared" si="0"/>
        <v>500</v>
      </c>
      <c r="AB8" s="97">
        <f t="shared" si="0"/>
        <v>500</v>
      </c>
      <c r="AC8" s="97">
        <f t="shared" si="0"/>
        <v>500</v>
      </c>
      <c r="AD8" s="97">
        <f t="shared" si="0"/>
        <v>500</v>
      </c>
      <c r="AE8" s="97">
        <f t="shared" si="0"/>
        <v>500</v>
      </c>
      <c r="AF8" s="97">
        <f t="shared" si="0"/>
        <v>500</v>
      </c>
      <c r="AG8" s="97">
        <f t="shared" si="0"/>
        <v>500</v>
      </c>
      <c r="AH8" s="97">
        <f t="shared" si="0"/>
        <v>500</v>
      </c>
      <c r="AI8" s="97">
        <f t="shared" si="0"/>
        <v>500</v>
      </c>
      <c r="AJ8" s="97">
        <f t="shared" si="0"/>
        <v>500</v>
      </c>
      <c r="AK8" s="97">
        <f t="shared" si="0"/>
        <v>500</v>
      </c>
      <c r="AL8" s="97">
        <f t="shared" si="0"/>
        <v>500</v>
      </c>
    </row>
    <row r="9" spans="1:38" customFormat="1" ht="15" x14ac:dyDescent="0.25">
      <c r="B9" s="98" t="s">
        <v>98</v>
      </c>
      <c r="C9" s="99">
        <f>+C8</f>
        <v>-10000</v>
      </c>
      <c r="D9" s="99">
        <f>+D8+C9</f>
        <v>-9500</v>
      </c>
      <c r="E9" s="99">
        <f t="shared" ref="E9:AL9" si="1">+E8+D9</f>
        <v>-9800</v>
      </c>
      <c r="F9" s="99">
        <f t="shared" si="1"/>
        <v>-9300</v>
      </c>
      <c r="G9" s="99">
        <f t="shared" si="1"/>
        <v>-13800</v>
      </c>
      <c r="H9" s="99">
        <f t="shared" si="1"/>
        <v>-13300</v>
      </c>
      <c r="I9" s="99">
        <f t="shared" si="1"/>
        <v>-12300</v>
      </c>
      <c r="J9" s="99">
        <f t="shared" si="1"/>
        <v>-11800</v>
      </c>
      <c r="K9" s="99">
        <f t="shared" si="1"/>
        <v>-11300</v>
      </c>
      <c r="L9" s="99">
        <f t="shared" si="1"/>
        <v>-10800</v>
      </c>
      <c r="M9" s="99">
        <f t="shared" si="1"/>
        <v>-10300</v>
      </c>
      <c r="N9" s="99">
        <f t="shared" si="1"/>
        <v>-9800</v>
      </c>
      <c r="O9" s="99">
        <f t="shared" si="1"/>
        <v>-9300</v>
      </c>
      <c r="P9" s="99">
        <f t="shared" si="1"/>
        <v>-8800</v>
      </c>
      <c r="Q9" s="99">
        <f t="shared" si="1"/>
        <v>-8300</v>
      </c>
      <c r="R9" s="99">
        <f t="shared" si="1"/>
        <v>-7800</v>
      </c>
      <c r="S9" s="99">
        <f t="shared" si="1"/>
        <v>-7300</v>
      </c>
      <c r="T9" s="99">
        <f t="shared" si="1"/>
        <v>-6800</v>
      </c>
      <c r="U9" s="99">
        <f t="shared" si="1"/>
        <v>-6300</v>
      </c>
      <c r="V9" s="99">
        <f t="shared" si="1"/>
        <v>-5800</v>
      </c>
      <c r="W9" s="99">
        <f t="shared" si="1"/>
        <v>-5300</v>
      </c>
      <c r="X9" s="99">
        <f t="shared" si="1"/>
        <v>-4800</v>
      </c>
      <c r="Y9" s="99">
        <f t="shared" si="1"/>
        <v>-4300</v>
      </c>
      <c r="Z9" s="99">
        <f t="shared" si="1"/>
        <v>-3800</v>
      </c>
      <c r="AA9" s="99">
        <f t="shared" si="1"/>
        <v>-3300</v>
      </c>
      <c r="AB9" s="99">
        <f t="shared" si="1"/>
        <v>-2800</v>
      </c>
      <c r="AC9" s="99">
        <f t="shared" si="1"/>
        <v>-2300</v>
      </c>
      <c r="AD9" s="99">
        <f t="shared" si="1"/>
        <v>-1800</v>
      </c>
      <c r="AE9" s="99">
        <f t="shared" si="1"/>
        <v>-1300</v>
      </c>
      <c r="AF9" s="99">
        <f t="shared" si="1"/>
        <v>-800</v>
      </c>
      <c r="AG9" s="99">
        <f t="shared" si="1"/>
        <v>-300</v>
      </c>
      <c r="AH9" s="99">
        <f t="shared" si="1"/>
        <v>200</v>
      </c>
      <c r="AI9" s="99">
        <f t="shared" si="1"/>
        <v>700</v>
      </c>
      <c r="AJ9" s="99">
        <f t="shared" si="1"/>
        <v>1200</v>
      </c>
      <c r="AK9" s="99">
        <f t="shared" si="1"/>
        <v>1700</v>
      </c>
      <c r="AL9" s="99">
        <f t="shared" si="1"/>
        <v>2200</v>
      </c>
    </row>
    <row r="10" spans="1:38" customFormat="1" ht="15" x14ac:dyDescent="0.25"/>
    <row r="11" spans="1:38" customFormat="1" ht="15" x14ac:dyDescent="0.25"/>
    <row r="12" spans="1:38" s="62" customFormat="1" ht="26.25" thickBot="1" x14ac:dyDescent="0.55000000000000004">
      <c r="A12" s="60" t="s">
        <v>96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</row>
    <row r="13" spans="1:38" s="62" customFormat="1" ht="16.5" customHeight="1" thickTop="1" x14ac:dyDescent="0.5">
      <c r="A13" s="63"/>
    </row>
    <row r="14" spans="1:38" s="62" customFormat="1" ht="26.25" thickBot="1" x14ac:dyDescent="0.55000000000000004">
      <c r="A14" s="60" t="s">
        <v>99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</row>
    <row r="15" spans="1:38" s="62" customFormat="1" ht="26.25" thickTop="1" x14ac:dyDescent="0.5">
      <c r="A15" s="63"/>
    </row>
    <row r="16" spans="1:38" s="62" customFormat="1" ht="16.5" x14ac:dyDescent="0.3">
      <c r="B16" s="108" t="s">
        <v>100</v>
      </c>
      <c r="C16" s="109">
        <f>+SUM(C21:C31)</f>
        <v>0</v>
      </c>
      <c r="D16" s="109">
        <f t="shared" ref="D16:AL16" si="2">+SUM(D21:D31)</f>
        <v>1000</v>
      </c>
      <c r="E16" s="109">
        <f t="shared" si="2"/>
        <v>200</v>
      </c>
      <c r="F16" s="109">
        <f t="shared" si="2"/>
        <v>1000</v>
      </c>
      <c r="G16" s="109">
        <f t="shared" si="2"/>
        <v>1000</v>
      </c>
      <c r="H16" s="109">
        <f t="shared" si="2"/>
        <v>1000</v>
      </c>
      <c r="I16" s="109">
        <f t="shared" si="2"/>
        <v>1000</v>
      </c>
      <c r="J16" s="109">
        <f t="shared" si="2"/>
        <v>1000</v>
      </c>
      <c r="K16" s="109">
        <f t="shared" si="2"/>
        <v>1000</v>
      </c>
      <c r="L16" s="109">
        <f t="shared" si="2"/>
        <v>1000</v>
      </c>
      <c r="M16" s="109">
        <f t="shared" si="2"/>
        <v>1000</v>
      </c>
      <c r="N16" s="109">
        <f t="shared" si="2"/>
        <v>1000</v>
      </c>
      <c r="O16" s="109">
        <f t="shared" si="2"/>
        <v>1000</v>
      </c>
      <c r="P16" s="109">
        <f t="shared" si="2"/>
        <v>1000</v>
      </c>
      <c r="Q16" s="109">
        <f t="shared" si="2"/>
        <v>1000</v>
      </c>
      <c r="R16" s="109">
        <f t="shared" si="2"/>
        <v>1000</v>
      </c>
      <c r="S16" s="109">
        <f t="shared" si="2"/>
        <v>1000</v>
      </c>
      <c r="T16" s="109">
        <f t="shared" si="2"/>
        <v>1000</v>
      </c>
      <c r="U16" s="109">
        <f t="shared" si="2"/>
        <v>1000</v>
      </c>
      <c r="V16" s="109">
        <f t="shared" si="2"/>
        <v>1000</v>
      </c>
      <c r="W16" s="109">
        <f t="shared" si="2"/>
        <v>1000</v>
      </c>
      <c r="X16" s="109">
        <f t="shared" si="2"/>
        <v>1000</v>
      </c>
      <c r="Y16" s="109">
        <f t="shared" si="2"/>
        <v>1000</v>
      </c>
      <c r="Z16" s="109">
        <f t="shared" si="2"/>
        <v>1000</v>
      </c>
      <c r="AA16" s="109">
        <f t="shared" si="2"/>
        <v>1000</v>
      </c>
      <c r="AB16" s="109">
        <f t="shared" si="2"/>
        <v>1000</v>
      </c>
      <c r="AC16" s="109">
        <f t="shared" si="2"/>
        <v>1000</v>
      </c>
      <c r="AD16" s="109">
        <f t="shared" si="2"/>
        <v>1000</v>
      </c>
      <c r="AE16" s="109">
        <f t="shared" si="2"/>
        <v>1000</v>
      </c>
      <c r="AF16" s="109">
        <f t="shared" si="2"/>
        <v>1000</v>
      </c>
      <c r="AG16" s="109">
        <f t="shared" si="2"/>
        <v>1000</v>
      </c>
      <c r="AH16" s="109">
        <f t="shared" si="2"/>
        <v>1000</v>
      </c>
      <c r="AI16" s="109">
        <f t="shared" si="2"/>
        <v>1000</v>
      </c>
      <c r="AJ16" s="109">
        <f t="shared" si="2"/>
        <v>1000</v>
      </c>
      <c r="AK16" s="109">
        <f t="shared" si="2"/>
        <v>1000</v>
      </c>
      <c r="AL16" s="109">
        <f t="shared" si="2"/>
        <v>1000</v>
      </c>
    </row>
    <row r="17" spans="2:38" s="62" customFormat="1" ht="16.5" x14ac:dyDescent="0.3">
      <c r="B17" s="111" t="s">
        <v>101</v>
      </c>
      <c r="C17" s="116">
        <f>+C16</f>
        <v>0</v>
      </c>
      <c r="D17" s="116">
        <f>+D16+C17</f>
        <v>1000</v>
      </c>
      <c r="E17" s="116">
        <f t="shared" ref="E17:AL17" si="3">+E16+D17</f>
        <v>1200</v>
      </c>
      <c r="F17" s="116">
        <f t="shared" si="3"/>
        <v>2200</v>
      </c>
      <c r="G17" s="116">
        <f t="shared" si="3"/>
        <v>3200</v>
      </c>
      <c r="H17" s="116">
        <f t="shared" si="3"/>
        <v>4200</v>
      </c>
      <c r="I17" s="116">
        <f t="shared" si="3"/>
        <v>5200</v>
      </c>
      <c r="J17" s="116">
        <f t="shared" si="3"/>
        <v>6200</v>
      </c>
      <c r="K17" s="116">
        <f t="shared" si="3"/>
        <v>7200</v>
      </c>
      <c r="L17" s="116">
        <f t="shared" si="3"/>
        <v>8200</v>
      </c>
      <c r="M17" s="116">
        <f t="shared" si="3"/>
        <v>9200</v>
      </c>
      <c r="N17" s="116">
        <f t="shared" si="3"/>
        <v>10200</v>
      </c>
      <c r="O17" s="116">
        <f t="shared" si="3"/>
        <v>11200</v>
      </c>
      <c r="P17" s="116">
        <f t="shared" si="3"/>
        <v>12200</v>
      </c>
      <c r="Q17" s="116">
        <f t="shared" si="3"/>
        <v>13200</v>
      </c>
      <c r="R17" s="116">
        <f t="shared" si="3"/>
        <v>14200</v>
      </c>
      <c r="S17" s="116">
        <f t="shared" si="3"/>
        <v>15200</v>
      </c>
      <c r="T17" s="116">
        <f t="shared" si="3"/>
        <v>16200</v>
      </c>
      <c r="U17" s="116">
        <f t="shared" si="3"/>
        <v>17200</v>
      </c>
      <c r="V17" s="116">
        <f t="shared" si="3"/>
        <v>18200</v>
      </c>
      <c r="W17" s="116">
        <f t="shared" si="3"/>
        <v>19200</v>
      </c>
      <c r="X17" s="116">
        <f t="shared" si="3"/>
        <v>20200</v>
      </c>
      <c r="Y17" s="116">
        <f t="shared" si="3"/>
        <v>21200</v>
      </c>
      <c r="Z17" s="116">
        <f t="shared" si="3"/>
        <v>22200</v>
      </c>
      <c r="AA17" s="116">
        <f t="shared" si="3"/>
        <v>23200</v>
      </c>
      <c r="AB17" s="116">
        <f t="shared" si="3"/>
        <v>24200</v>
      </c>
      <c r="AC17" s="116">
        <f t="shared" si="3"/>
        <v>25200</v>
      </c>
      <c r="AD17" s="116">
        <f t="shared" si="3"/>
        <v>26200</v>
      </c>
      <c r="AE17" s="116">
        <f t="shared" si="3"/>
        <v>27200</v>
      </c>
      <c r="AF17" s="116">
        <f t="shared" si="3"/>
        <v>28200</v>
      </c>
      <c r="AG17" s="116">
        <f t="shared" si="3"/>
        <v>29200</v>
      </c>
      <c r="AH17" s="116">
        <f t="shared" si="3"/>
        <v>30200</v>
      </c>
      <c r="AI17" s="116">
        <f t="shared" si="3"/>
        <v>31200</v>
      </c>
      <c r="AJ17" s="116">
        <f t="shared" si="3"/>
        <v>32200</v>
      </c>
      <c r="AK17" s="116">
        <f t="shared" si="3"/>
        <v>33200</v>
      </c>
      <c r="AL17" s="116">
        <f t="shared" si="3"/>
        <v>34200</v>
      </c>
    </row>
    <row r="18" spans="2:38" s="62" customFormat="1" ht="16.5" x14ac:dyDescent="0.3"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</row>
    <row r="19" spans="2:38" s="62" customFormat="1" ht="17.25" thickBot="1" x14ac:dyDescent="0.35">
      <c r="B19" s="61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18"/>
      <c r="AE19" s="118"/>
      <c r="AF19" s="118"/>
      <c r="AG19" s="118"/>
      <c r="AH19" s="118"/>
      <c r="AI19" s="118"/>
      <c r="AJ19" s="118"/>
      <c r="AK19" s="118"/>
      <c r="AL19" s="118"/>
    </row>
    <row r="20" spans="2:38" s="62" customFormat="1" ht="17.25" thickTop="1" x14ac:dyDescent="0.3">
      <c r="C20" s="110">
        <v>43466</v>
      </c>
      <c r="D20" s="110">
        <v>43497</v>
      </c>
      <c r="E20" s="110">
        <v>43525</v>
      </c>
      <c r="F20" s="110">
        <v>43556</v>
      </c>
      <c r="G20" s="110">
        <v>43586</v>
      </c>
      <c r="H20" s="110">
        <v>43617</v>
      </c>
      <c r="I20" s="110">
        <v>43647</v>
      </c>
      <c r="J20" s="110">
        <v>43678</v>
      </c>
      <c r="K20" s="110">
        <v>43709</v>
      </c>
      <c r="L20" s="110">
        <v>43739</v>
      </c>
      <c r="M20" s="110">
        <v>43770</v>
      </c>
      <c r="N20" s="110">
        <v>43800</v>
      </c>
      <c r="O20" s="110">
        <v>43831</v>
      </c>
      <c r="P20" s="110">
        <v>43862</v>
      </c>
      <c r="Q20" s="110">
        <v>43891</v>
      </c>
      <c r="R20" s="110">
        <v>43922</v>
      </c>
      <c r="S20" s="110">
        <v>43952</v>
      </c>
      <c r="T20" s="110">
        <v>43983</v>
      </c>
      <c r="U20" s="110">
        <v>44013</v>
      </c>
      <c r="V20" s="110">
        <v>44044</v>
      </c>
      <c r="W20" s="110">
        <v>44075</v>
      </c>
      <c r="X20" s="110">
        <v>44105</v>
      </c>
      <c r="Y20" s="110">
        <v>44136</v>
      </c>
      <c r="Z20" s="110">
        <v>44166</v>
      </c>
      <c r="AA20" s="110">
        <v>44197</v>
      </c>
      <c r="AB20" s="110">
        <v>44228</v>
      </c>
      <c r="AC20" s="110">
        <v>44256</v>
      </c>
      <c r="AD20" s="110">
        <v>44287</v>
      </c>
      <c r="AE20" s="110">
        <v>44317</v>
      </c>
      <c r="AF20" s="110">
        <v>44348</v>
      </c>
      <c r="AG20" s="110">
        <v>44378</v>
      </c>
      <c r="AH20" s="110">
        <v>44409</v>
      </c>
      <c r="AI20" s="110">
        <v>44440</v>
      </c>
      <c r="AJ20" s="110">
        <v>44470</v>
      </c>
      <c r="AK20" s="110">
        <v>44501</v>
      </c>
      <c r="AL20" s="110">
        <v>44531</v>
      </c>
    </row>
    <row r="21" spans="2:38" s="62" customFormat="1" ht="16.5" x14ac:dyDescent="0.3">
      <c r="B21" s="108" t="s">
        <v>102</v>
      </c>
      <c r="C21" s="109">
        <v>0</v>
      </c>
      <c r="D21" s="109">
        <v>1000</v>
      </c>
      <c r="E21" s="109">
        <v>200</v>
      </c>
      <c r="F21" s="109">
        <v>1000</v>
      </c>
      <c r="G21" s="109">
        <v>1000</v>
      </c>
      <c r="H21" s="109">
        <v>1000</v>
      </c>
      <c r="I21" s="109">
        <v>1000</v>
      </c>
      <c r="J21" s="109">
        <v>1000</v>
      </c>
      <c r="K21" s="109">
        <v>1000</v>
      </c>
      <c r="L21" s="109">
        <v>1000</v>
      </c>
      <c r="M21" s="109">
        <v>1000</v>
      </c>
      <c r="N21" s="109">
        <v>1000</v>
      </c>
      <c r="O21" s="109">
        <v>1000</v>
      </c>
      <c r="P21" s="109">
        <v>1000</v>
      </c>
      <c r="Q21" s="109">
        <v>1000</v>
      </c>
      <c r="R21" s="109">
        <v>1000</v>
      </c>
      <c r="S21" s="109">
        <v>1000</v>
      </c>
      <c r="T21" s="109">
        <v>1000</v>
      </c>
      <c r="U21" s="109">
        <v>1000</v>
      </c>
      <c r="V21" s="109">
        <v>1000</v>
      </c>
      <c r="W21" s="109">
        <v>1000</v>
      </c>
      <c r="X21" s="109">
        <v>1000</v>
      </c>
      <c r="Y21" s="109">
        <v>1000</v>
      </c>
      <c r="Z21" s="109">
        <v>1000</v>
      </c>
      <c r="AA21" s="109">
        <v>1000</v>
      </c>
      <c r="AB21" s="109">
        <v>1000</v>
      </c>
      <c r="AC21" s="109">
        <v>1000</v>
      </c>
      <c r="AD21" s="109">
        <v>1000</v>
      </c>
      <c r="AE21" s="109">
        <v>1000</v>
      </c>
      <c r="AF21" s="109">
        <v>1000</v>
      </c>
      <c r="AG21" s="109">
        <v>1000</v>
      </c>
      <c r="AH21" s="109">
        <v>1000</v>
      </c>
      <c r="AI21" s="109">
        <v>1000</v>
      </c>
      <c r="AJ21" s="109">
        <v>1000</v>
      </c>
      <c r="AK21" s="109">
        <v>1000</v>
      </c>
      <c r="AL21" s="109">
        <v>1000</v>
      </c>
    </row>
    <row r="22" spans="2:38" s="62" customFormat="1" ht="16.5" x14ac:dyDescent="0.3">
      <c r="B22" s="111"/>
      <c r="C22" s="112">
        <v>0</v>
      </c>
      <c r="D22" s="112">
        <v>0</v>
      </c>
      <c r="E22" s="112">
        <v>0</v>
      </c>
      <c r="F22" s="112">
        <v>0</v>
      </c>
      <c r="G22" s="112">
        <v>0</v>
      </c>
      <c r="H22" s="112">
        <v>0</v>
      </c>
      <c r="I22" s="112">
        <v>0</v>
      </c>
      <c r="J22" s="112">
        <v>0</v>
      </c>
      <c r="K22" s="112">
        <v>0</v>
      </c>
      <c r="L22" s="112">
        <v>0</v>
      </c>
      <c r="M22" s="112">
        <v>0</v>
      </c>
      <c r="N22" s="112">
        <v>0</v>
      </c>
      <c r="O22" s="112">
        <v>0</v>
      </c>
      <c r="P22" s="112">
        <v>0</v>
      </c>
      <c r="Q22" s="112">
        <v>0</v>
      </c>
      <c r="R22" s="112">
        <v>0</v>
      </c>
      <c r="S22" s="112">
        <v>0</v>
      </c>
      <c r="T22" s="112">
        <v>0</v>
      </c>
      <c r="U22" s="112">
        <v>0</v>
      </c>
      <c r="V22" s="112">
        <v>0</v>
      </c>
      <c r="W22" s="112">
        <v>0</v>
      </c>
      <c r="X22" s="112">
        <v>0</v>
      </c>
      <c r="Y22" s="112">
        <v>0</v>
      </c>
      <c r="Z22" s="112">
        <v>0</v>
      </c>
      <c r="AA22" s="112">
        <v>0</v>
      </c>
      <c r="AB22" s="112">
        <v>0</v>
      </c>
      <c r="AC22" s="112">
        <v>0</v>
      </c>
      <c r="AD22" s="112">
        <v>0</v>
      </c>
      <c r="AE22" s="112">
        <v>0</v>
      </c>
      <c r="AF22" s="112">
        <v>0</v>
      </c>
      <c r="AG22" s="112">
        <v>0</v>
      </c>
      <c r="AH22" s="112">
        <v>0</v>
      </c>
      <c r="AI22" s="112">
        <v>0</v>
      </c>
      <c r="AJ22" s="112">
        <v>0</v>
      </c>
      <c r="AK22" s="112">
        <v>0</v>
      </c>
      <c r="AL22" s="112">
        <v>0</v>
      </c>
    </row>
    <row r="23" spans="2:38" s="62" customFormat="1" ht="16.5" x14ac:dyDescent="0.3">
      <c r="B23" s="111"/>
      <c r="C23" s="113">
        <v>0</v>
      </c>
      <c r="D23" s="113">
        <v>0</v>
      </c>
      <c r="E23" s="113">
        <v>0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0</v>
      </c>
      <c r="O23" s="113">
        <v>0</v>
      </c>
      <c r="P23" s="113">
        <v>0</v>
      </c>
      <c r="Q23" s="113">
        <v>0</v>
      </c>
      <c r="R23" s="113">
        <v>0</v>
      </c>
      <c r="S23" s="113">
        <v>0</v>
      </c>
      <c r="T23" s="113">
        <v>0</v>
      </c>
      <c r="U23" s="113">
        <v>0</v>
      </c>
      <c r="V23" s="113">
        <v>0</v>
      </c>
      <c r="W23" s="113">
        <v>0</v>
      </c>
      <c r="X23" s="113">
        <v>0</v>
      </c>
      <c r="Y23" s="113">
        <v>0</v>
      </c>
      <c r="Z23" s="113">
        <v>0</v>
      </c>
      <c r="AA23" s="113">
        <v>0</v>
      </c>
      <c r="AB23" s="113">
        <v>0</v>
      </c>
      <c r="AC23" s="113">
        <v>0</v>
      </c>
      <c r="AD23" s="113">
        <v>0</v>
      </c>
      <c r="AE23" s="113">
        <v>0</v>
      </c>
      <c r="AF23" s="113">
        <v>0</v>
      </c>
      <c r="AG23" s="113">
        <v>0</v>
      </c>
      <c r="AH23" s="113">
        <v>0</v>
      </c>
      <c r="AI23" s="113">
        <v>0</v>
      </c>
      <c r="AJ23" s="113">
        <v>0</v>
      </c>
      <c r="AK23" s="113">
        <v>0</v>
      </c>
      <c r="AL23" s="113">
        <v>0</v>
      </c>
    </row>
    <row r="24" spans="2:38" s="62" customFormat="1" ht="16.5" x14ac:dyDescent="0.3">
      <c r="B24" s="111"/>
      <c r="C24" s="113">
        <v>0</v>
      </c>
      <c r="D24" s="113">
        <v>0</v>
      </c>
      <c r="E24" s="113">
        <v>0</v>
      </c>
      <c r="F24" s="113">
        <v>0</v>
      </c>
      <c r="G24" s="113">
        <v>0</v>
      </c>
      <c r="H24" s="113">
        <v>0</v>
      </c>
      <c r="I24" s="113">
        <v>0</v>
      </c>
      <c r="J24" s="113">
        <v>0</v>
      </c>
      <c r="K24" s="113">
        <v>0</v>
      </c>
      <c r="L24" s="113">
        <v>0</v>
      </c>
      <c r="M24" s="113">
        <v>0</v>
      </c>
      <c r="N24" s="113">
        <v>0</v>
      </c>
      <c r="O24" s="113">
        <v>0</v>
      </c>
      <c r="P24" s="113">
        <v>0</v>
      </c>
      <c r="Q24" s="113">
        <v>0</v>
      </c>
      <c r="R24" s="113">
        <v>0</v>
      </c>
      <c r="S24" s="113">
        <v>0</v>
      </c>
      <c r="T24" s="113">
        <v>0</v>
      </c>
      <c r="U24" s="113">
        <v>0</v>
      </c>
      <c r="V24" s="113">
        <v>0</v>
      </c>
      <c r="W24" s="113">
        <v>0</v>
      </c>
      <c r="X24" s="113">
        <v>0</v>
      </c>
      <c r="Y24" s="113">
        <v>0</v>
      </c>
      <c r="Z24" s="113">
        <v>0</v>
      </c>
      <c r="AA24" s="113">
        <v>0</v>
      </c>
      <c r="AB24" s="113">
        <v>0</v>
      </c>
      <c r="AC24" s="113">
        <v>0</v>
      </c>
      <c r="AD24" s="113">
        <v>0</v>
      </c>
      <c r="AE24" s="113">
        <v>0</v>
      </c>
      <c r="AF24" s="113">
        <v>0</v>
      </c>
      <c r="AG24" s="113">
        <v>0</v>
      </c>
      <c r="AH24" s="113">
        <v>0</v>
      </c>
      <c r="AI24" s="113">
        <v>0</v>
      </c>
      <c r="AJ24" s="113">
        <v>0</v>
      </c>
      <c r="AK24" s="113">
        <v>0</v>
      </c>
      <c r="AL24" s="113">
        <v>0</v>
      </c>
    </row>
    <row r="25" spans="2:38" s="62" customFormat="1" ht="16.5" x14ac:dyDescent="0.3">
      <c r="B25" s="111"/>
      <c r="C25" s="113">
        <v>0</v>
      </c>
      <c r="D25" s="113">
        <v>0</v>
      </c>
      <c r="E25" s="113">
        <v>0</v>
      </c>
      <c r="F25" s="113">
        <v>0</v>
      </c>
      <c r="G25" s="113">
        <v>0</v>
      </c>
      <c r="H25" s="113">
        <v>0</v>
      </c>
      <c r="I25" s="113">
        <v>0</v>
      </c>
      <c r="J25" s="113">
        <v>0</v>
      </c>
      <c r="K25" s="113">
        <v>0</v>
      </c>
      <c r="L25" s="113">
        <v>0</v>
      </c>
      <c r="M25" s="113">
        <v>0</v>
      </c>
      <c r="N25" s="113">
        <v>0</v>
      </c>
      <c r="O25" s="113">
        <v>0</v>
      </c>
      <c r="P25" s="113">
        <v>0</v>
      </c>
      <c r="Q25" s="113">
        <v>0</v>
      </c>
      <c r="R25" s="113">
        <v>0</v>
      </c>
      <c r="S25" s="113">
        <v>0</v>
      </c>
      <c r="T25" s="113">
        <v>0</v>
      </c>
      <c r="U25" s="113">
        <v>0</v>
      </c>
      <c r="V25" s="113">
        <v>0</v>
      </c>
      <c r="W25" s="113">
        <v>0</v>
      </c>
      <c r="X25" s="113">
        <v>0</v>
      </c>
      <c r="Y25" s="113">
        <v>0</v>
      </c>
      <c r="Z25" s="113">
        <v>0</v>
      </c>
      <c r="AA25" s="113">
        <v>0</v>
      </c>
      <c r="AB25" s="113">
        <v>0</v>
      </c>
      <c r="AC25" s="113">
        <v>0</v>
      </c>
      <c r="AD25" s="113">
        <v>0</v>
      </c>
      <c r="AE25" s="113">
        <v>0</v>
      </c>
      <c r="AF25" s="113">
        <v>0</v>
      </c>
      <c r="AG25" s="113">
        <v>0</v>
      </c>
      <c r="AH25" s="113">
        <v>0</v>
      </c>
      <c r="AI25" s="113">
        <v>0</v>
      </c>
      <c r="AJ25" s="113">
        <v>0</v>
      </c>
      <c r="AK25" s="113">
        <v>0</v>
      </c>
      <c r="AL25" s="113">
        <v>0</v>
      </c>
    </row>
    <row r="26" spans="2:38" s="62" customFormat="1" ht="16.5" x14ac:dyDescent="0.3">
      <c r="B26" s="111"/>
      <c r="C26" s="113">
        <v>0</v>
      </c>
      <c r="D26" s="113">
        <v>0</v>
      </c>
      <c r="E26" s="113">
        <v>0</v>
      </c>
      <c r="F26" s="113">
        <v>0</v>
      </c>
      <c r="G26" s="113">
        <v>0</v>
      </c>
      <c r="H26" s="113">
        <v>0</v>
      </c>
      <c r="I26" s="113">
        <v>0</v>
      </c>
      <c r="J26" s="113">
        <v>0</v>
      </c>
      <c r="K26" s="113">
        <v>0</v>
      </c>
      <c r="L26" s="113">
        <v>0</v>
      </c>
      <c r="M26" s="113">
        <v>0</v>
      </c>
      <c r="N26" s="113">
        <v>0</v>
      </c>
      <c r="O26" s="113">
        <v>0</v>
      </c>
      <c r="P26" s="113">
        <v>0</v>
      </c>
      <c r="Q26" s="113">
        <v>0</v>
      </c>
      <c r="R26" s="113">
        <v>0</v>
      </c>
      <c r="S26" s="113">
        <v>0</v>
      </c>
      <c r="T26" s="113">
        <v>0</v>
      </c>
      <c r="U26" s="113">
        <v>0</v>
      </c>
      <c r="V26" s="113">
        <v>0</v>
      </c>
      <c r="W26" s="113">
        <v>0</v>
      </c>
      <c r="X26" s="113">
        <v>0</v>
      </c>
      <c r="Y26" s="113">
        <v>0</v>
      </c>
      <c r="Z26" s="113">
        <v>0</v>
      </c>
      <c r="AA26" s="113">
        <v>0</v>
      </c>
      <c r="AB26" s="113">
        <v>0</v>
      </c>
      <c r="AC26" s="113">
        <v>0</v>
      </c>
      <c r="AD26" s="113">
        <v>0</v>
      </c>
      <c r="AE26" s="113">
        <v>0</v>
      </c>
      <c r="AF26" s="113">
        <v>0</v>
      </c>
      <c r="AG26" s="113">
        <v>0</v>
      </c>
      <c r="AH26" s="113">
        <v>0</v>
      </c>
      <c r="AI26" s="113">
        <v>0</v>
      </c>
      <c r="AJ26" s="113">
        <v>0</v>
      </c>
      <c r="AK26" s="113">
        <v>0</v>
      </c>
      <c r="AL26" s="113">
        <v>0</v>
      </c>
    </row>
    <row r="27" spans="2:38" s="62" customFormat="1" ht="16.5" x14ac:dyDescent="0.3">
      <c r="B27" s="111"/>
      <c r="C27" s="113">
        <v>0</v>
      </c>
      <c r="D27" s="113">
        <v>0</v>
      </c>
      <c r="E27" s="113">
        <v>0</v>
      </c>
      <c r="F27" s="113">
        <v>0</v>
      </c>
      <c r="G27" s="113">
        <v>0</v>
      </c>
      <c r="H27" s="113">
        <v>0</v>
      </c>
      <c r="I27" s="113">
        <v>0</v>
      </c>
      <c r="J27" s="113">
        <v>0</v>
      </c>
      <c r="K27" s="113">
        <v>0</v>
      </c>
      <c r="L27" s="113">
        <v>0</v>
      </c>
      <c r="M27" s="113">
        <v>0</v>
      </c>
      <c r="N27" s="113">
        <v>0</v>
      </c>
      <c r="O27" s="113">
        <v>0</v>
      </c>
      <c r="P27" s="113">
        <v>0</v>
      </c>
      <c r="Q27" s="113">
        <v>0</v>
      </c>
      <c r="R27" s="113">
        <v>0</v>
      </c>
      <c r="S27" s="113">
        <v>0</v>
      </c>
      <c r="T27" s="113">
        <v>0</v>
      </c>
      <c r="U27" s="113">
        <v>0</v>
      </c>
      <c r="V27" s="113">
        <v>0</v>
      </c>
      <c r="W27" s="113">
        <v>0</v>
      </c>
      <c r="X27" s="113">
        <v>0</v>
      </c>
      <c r="Y27" s="113">
        <v>0</v>
      </c>
      <c r="Z27" s="113">
        <v>0</v>
      </c>
      <c r="AA27" s="113">
        <v>0</v>
      </c>
      <c r="AB27" s="113">
        <v>0</v>
      </c>
      <c r="AC27" s="113">
        <v>0</v>
      </c>
      <c r="AD27" s="113">
        <v>0</v>
      </c>
      <c r="AE27" s="113">
        <v>0</v>
      </c>
      <c r="AF27" s="113">
        <v>0</v>
      </c>
      <c r="AG27" s="113">
        <v>0</v>
      </c>
      <c r="AH27" s="113">
        <v>0</v>
      </c>
      <c r="AI27" s="113">
        <v>0</v>
      </c>
      <c r="AJ27" s="113">
        <v>0</v>
      </c>
      <c r="AK27" s="113">
        <v>0</v>
      </c>
      <c r="AL27" s="113">
        <v>0</v>
      </c>
    </row>
    <row r="28" spans="2:38" s="62" customFormat="1" ht="16.5" x14ac:dyDescent="0.3">
      <c r="B28" s="111"/>
      <c r="C28" s="113">
        <v>0</v>
      </c>
      <c r="D28" s="113">
        <v>0</v>
      </c>
      <c r="E28" s="113">
        <v>0</v>
      </c>
      <c r="F28" s="113">
        <v>0</v>
      </c>
      <c r="G28" s="113">
        <v>0</v>
      </c>
      <c r="H28" s="113">
        <v>0</v>
      </c>
      <c r="I28" s="113">
        <v>0</v>
      </c>
      <c r="J28" s="113">
        <v>0</v>
      </c>
      <c r="K28" s="113">
        <v>0</v>
      </c>
      <c r="L28" s="113">
        <v>0</v>
      </c>
      <c r="M28" s="113">
        <v>0</v>
      </c>
      <c r="N28" s="113">
        <v>0</v>
      </c>
      <c r="O28" s="113">
        <v>0</v>
      </c>
      <c r="P28" s="113">
        <v>0</v>
      </c>
      <c r="Q28" s="113">
        <v>0</v>
      </c>
      <c r="R28" s="113">
        <v>0</v>
      </c>
      <c r="S28" s="113">
        <v>0</v>
      </c>
      <c r="T28" s="113">
        <v>0</v>
      </c>
      <c r="U28" s="113">
        <v>0</v>
      </c>
      <c r="V28" s="113">
        <v>0</v>
      </c>
      <c r="W28" s="113">
        <v>0</v>
      </c>
      <c r="X28" s="113">
        <v>0</v>
      </c>
      <c r="Y28" s="113">
        <v>0</v>
      </c>
      <c r="Z28" s="113">
        <v>0</v>
      </c>
      <c r="AA28" s="113">
        <v>0</v>
      </c>
      <c r="AB28" s="113">
        <v>0</v>
      </c>
      <c r="AC28" s="113">
        <v>0</v>
      </c>
      <c r="AD28" s="113">
        <v>0</v>
      </c>
      <c r="AE28" s="113">
        <v>0</v>
      </c>
      <c r="AF28" s="113">
        <v>0</v>
      </c>
      <c r="AG28" s="113">
        <v>0</v>
      </c>
      <c r="AH28" s="113">
        <v>0</v>
      </c>
      <c r="AI28" s="113">
        <v>0</v>
      </c>
      <c r="AJ28" s="113">
        <v>0</v>
      </c>
      <c r="AK28" s="113">
        <v>0</v>
      </c>
      <c r="AL28" s="113">
        <v>0</v>
      </c>
    </row>
    <row r="29" spans="2:38" s="62" customFormat="1" ht="16.5" x14ac:dyDescent="0.3">
      <c r="B29" s="108"/>
      <c r="C29" s="114">
        <v>0</v>
      </c>
      <c r="D29" s="114">
        <v>0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14">
        <v>0</v>
      </c>
      <c r="O29" s="114">
        <v>0</v>
      </c>
      <c r="P29" s="114">
        <v>0</v>
      </c>
      <c r="Q29" s="114">
        <v>0</v>
      </c>
      <c r="R29" s="114">
        <v>0</v>
      </c>
      <c r="S29" s="114">
        <v>0</v>
      </c>
      <c r="T29" s="114">
        <v>0</v>
      </c>
      <c r="U29" s="114">
        <v>0</v>
      </c>
      <c r="V29" s="114">
        <v>0</v>
      </c>
      <c r="W29" s="114">
        <v>0</v>
      </c>
      <c r="X29" s="114">
        <v>0</v>
      </c>
      <c r="Y29" s="114">
        <v>0</v>
      </c>
      <c r="Z29" s="114">
        <v>0</v>
      </c>
      <c r="AA29" s="114">
        <v>0</v>
      </c>
      <c r="AB29" s="114">
        <v>0</v>
      </c>
      <c r="AC29" s="114">
        <v>0</v>
      </c>
      <c r="AD29" s="114">
        <v>0</v>
      </c>
      <c r="AE29" s="114">
        <v>0</v>
      </c>
      <c r="AF29" s="114">
        <v>0</v>
      </c>
      <c r="AG29" s="114">
        <v>0</v>
      </c>
      <c r="AH29" s="114">
        <v>0</v>
      </c>
      <c r="AI29" s="114">
        <v>0</v>
      </c>
      <c r="AJ29" s="114">
        <v>0</v>
      </c>
      <c r="AK29" s="114">
        <v>0</v>
      </c>
      <c r="AL29" s="114">
        <v>0</v>
      </c>
    </row>
    <row r="30" spans="2:38" s="62" customFormat="1" ht="16.5" x14ac:dyDescent="0.3">
      <c r="B30" s="111"/>
      <c r="C30" s="113">
        <v>0</v>
      </c>
      <c r="D30" s="113">
        <v>0</v>
      </c>
      <c r="E30" s="113">
        <v>0</v>
      </c>
      <c r="F30" s="113">
        <v>0</v>
      </c>
      <c r="G30" s="113">
        <v>0</v>
      </c>
      <c r="H30" s="113">
        <v>0</v>
      </c>
      <c r="I30" s="113">
        <v>0</v>
      </c>
      <c r="J30" s="113">
        <v>0</v>
      </c>
      <c r="K30" s="113">
        <v>0</v>
      </c>
      <c r="L30" s="113">
        <v>0</v>
      </c>
      <c r="M30" s="113">
        <v>0</v>
      </c>
      <c r="N30" s="113">
        <v>0</v>
      </c>
      <c r="O30" s="113">
        <v>0</v>
      </c>
      <c r="P30" s="113">
        <v>0</v>
      </c>
      <c r="Q30" s="113">
        <v>0</v>
      </c>
      <c r="R30" s="113">
        <v>0</v>
      </c>
      <c r="S30" s="113">
        <v>0</v>
      </c>
      <c r="T30" s="113">
        <v>0</v>
      </c>
      <c r="U30" s="113">
        <v>0</v>
      </c>
      <c r="V30" s="113">
        <v>0</v>
      </c>
      <c r="W30" s="113">
        <v>0</v>
      </c>
      <c r="X30" s="113">
        <v>0</v>
      </c>
      <c r="Y30" s="113">
        <v>0</v>
      </c>
      <c r="Z30" s="113">
        <v>0</v>
      </c>
      <c r="AA30" s="113">
        <v>0</v>
      </c>
      <c r="AB30" s="113">
        <v>0</v>
      </c>
      <c r="AC30" s="113">
        <v>0</v>
      </c>
      <c r="AD30" s="113">
        <v>0</v>
      </c>
      <c r="AE30" s="113">
        <v>0</v>
      </c>
      <c r="AF30" s="113">
        <v>0</v>
      </c>
      <c r="AG30" s="113">
        <v>0</v>
      </c>
      <c r="AH30" s="113">
        <v>0</v>
      </c>
      <c r="AI30" s="113">
        <v>0</v>
      </c>
      <c r="AJ30" s="113">
        <v>0</v>
      </c>
      <c r="AK30" s="113">
        <v>0</v>
      </c>
      <c r="AL30" s="113">
        <v>0</v>
      </c>
    </row>
    <row r="31" spans="2:38" s="62" customFormat="1" ht="16.5" x14ac:dyDescent="0.3">
      <c r="B31" s="111"/>
      <c r="C31" s="112">
        <v>0</v>
      </c>
      <c r="D31" s="112">
        <v>0</v>
      </c>
      <c r="E31" s="112">
        <v>0</v>
      </c>
      <c r="F31" s="112">
        <v>0</v>
      </c>
      <c r="G31" s="112">
        <v>0</v>
      </c>
      <c r="H31" s="112">
        <v>0</v>
      </c>
      <c r="I31" s="112">
        <v>0</v>
      </c>
      <c r="J31" s="112">
        <v>0</v>
      </c>
      <c r="K31" s="112">
        <v>0</v>
      </c>
      <c r="L31" s="112">
        <v>0</v>
      </c>
      <c r="M31" s="112">
        <v>0</v>
      </c>
      <c r="N31" s="112">
        <v>0</v>
      </c>
      <c r="O31" s="112">
        <v>0</v>
      </c>
      <c r="P31" s="112">
        <v>0</v>
      </c>
      <c r="Q31" s="112">
        <v>0</v>
      </c>
      <c r="R31" s="112">
        <v>0</v>
      </c>
      <c r="S31" s="112">
        <v>0</v>
      </c>
      <c r="T31" s="112">
        <v>0</v>
      </c>
      <c r="U31" s="112">
        <v>0</v>
      </c>
      <c r="V31" s="112">
        <v>0</v>
      </c>
      <c r="W31" s="112">
        <v>0</v>
      </c>
      <c r="X31" s="112">
        <v>0</v>
      </c>
      <c r="Y31" s="112">
        <v>0</v>
      </c>
      <c r="Z31" s="112">
        <v>0</v>
      </c>
      <c r="AA31" s="112">
        <v>0</v>
      </c>
      <c r="AB31" s="112">
        <v>0</v>
      </c>
      <c r="AC31" s="112">
        <v>0</v>
      </c>
      <c r="AD31" s="112">
        <v>0</v>
      </c>
      <c r="AE31" s="112">
        <v>0</v>
      </c>
      <c r="AF31" s="112">
        <v>0</v>
      </c>
      <c r="AG31" s="112">
        <v>0</v>
      </c>
      <c r="AH31" s="112">
        <v>0</v>
      </c>
      <c r="AI31" s="112">
        <v>0</v>
      </c>
      <c r="AJ31" s="112">
        <v>0</v>
      </c>
      <c r="AK31" s="112">
        <v>0</v>
      </c>
      <c r="AL31" s="112">
        <v>0</v>
      </c>
    </row>
    <row r="32" spans="2:38" s="62" customFormat="1" ht="16.5" x14ac:dyDescent="0.3"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</row>
    <row r="33" spans="1:38" s="62" customFormat="1" ht="16.5" x14ac:dyDescent="0.3"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</row>
    <row r="34" spans="1:38" s="62" customFormat="1" ht="16.5" x14ac:dyDescent="0.3"/>
    <row r="35" spans="1:38" s="62" customFormat="1" ht="26.25" thickBot="1" x14ac:dyDescent="0.55000000000000004">
      <c r="A35" s="60" t="s">
        <v>104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</row>
    <row r="36" spans="1:38" s="62" customFormat="1" ht="17.25" thickTop="1" x14ac:dyDescent="0.3"/>
    <row r="37" spans="1:38" s="62" customFormat="1" ht="25.5" x14ac:dyDescent="0.5">
      <c r="B37" s="63"/>
    </row>
    <row r="38" spans="1:38" s="62" customFormat="1" ht="16.5" x14ac:dyDescent="0.3">
      <c r="B38" s="108" t="s">
        <v>106</v>
      </c>
      <c r="C38" s="109">
        <f>+SUM(C42:C50)</f>
        <v>10000</v>
      </c>
      <c r="D38" s="109">
        <f t="shared" ref="D38:AL38" si="4">+SUM(D42:D50)</f>
        <v>500</v>
      </c>
      <c r="E38" s="109">
        <f t="shared" si="4"/>
        <v>500</v>
      </c>
      <c r="F38" s="109">
        <f t="shared" si="4"/>
        <v>500</v>
      </c>
      <c r="G38" s="109">
        <f t="shared" si="4"/>
        <v>5500</v>
      </c>
      <c r="H38" s="109">
        <f t="shared" si="4"/>
        <v>500</v>
      </c>
      <c r="I38" s="109">
        <f t="shared" si="4"/>
        <v>0</v>
      </c>
      <c r="J38" s="109">
        <f t="shared" si="4"/>
        <v>500</v>
      </c>
      <c r="K38" s="109">
        <f t="shared" si="4"/>
        <v>500</v>
      </c>
      <c r="L38" s="109">
        <f t="shared" si="4"/>
        <v>500</v>
      </c>
      <c r="M38" s="109">
        <f t="shared" si="4"/>
        <v>500</v>
      </c>
      <c r="N38" s="109">
        <f t="shared" si="4"/>
        <v>500</v>
      </c>
      <c r="O38" s="109">
        <f t="shared" si="4"/>
        <v>500</v>
      </c>
      <c r="P38" s="109">
        <f t="shared" si="4"/>
        <v>500</v>
      </c>
      <c r="Q38" s="109">
        <f t="shared" si="4"/>
        <v>500</v>
      </c>
      <c r="R38" s="109">
        <f t="shared" si="4"/>
        <v>500</v>
      </c>
      <c r="S38" s="109">
        <f t="shared" si="4"/>
        <v>500</v>
      </c>
      <c r="T38" s="109">
        <f t="shared" si="4"/>
        <v>500</v>
      </c>
      <c r="U38" s="109">
        <f t="shared" si="4"/>
        <v>500</v>
      </c>
      <c r="V38" s="109">
        <f t="shared" si="4"/>
        <v>500</v>
      </c>
      <c r="W38" s="109">
        <f t="shared" si="4"/>
        <v>500</v>
      </c>
      <c r="X38" s="109">
        <f t="shared" si="4"/>
        <v>500</v>
      </c>
      <c r="Y38" s="109">
        <f t="shared" si="4"/>
        <v>500</v>
      </c>
      <c r="Z38" s="109">
        <f t="shared" si="4"/>
        <v>500</v>
      </c>
      <c r="AA38" s="109">
        <f t="shared" si="4"/>
        <v>500</v>
      </c>
      <c r="AB38" s="109">
        <f t="shared" si="4"/>
        <v>500</v>
      </c>
      <c r="AC38" s="109">
        <f t="shared" si="4"/>
        <v>500</v>
      </c>
      <c r="AD38" s="109">
        <f t="shared" si="4"/>
        <v>500</v>
      </c>
      <c r="AE38" s="109">
        <f t="shared" si="4"/>
        <v>500</v>
      </c>
      <c r="AF38" s="109">
        <f t="shared" si="4"/>
        <v>500</v>
      </c>
      <c r="AG38" s="109">
        <f t="shared" si="4"/>
        <v>500</v>
      </c>
      <c r="AH38" s="109">
        <f t="shared" si="4"/>
        <v>500</v>
      </c>
      <c r="AI38" s="109">
        <f t="shared" si="4"/>
        <v>500</v>
      </c>
      <c r="AJ38" s="109">
        <f t="shared" si="4"/>
        <v>500</v>
      </c>
      <c r="AK38" s="109">
        <f t="shared" si="4"/>
        <v>500</v>
      </c>
      <c r="AL38" s="109">
        <f t="shared" si="4"/>
        <v>500</v>
      </c>
    </row>
    <row r="39" spans="1:38" s="62" customFormat="1" ht="16.5" x14ac:dyDescent="0.3">
      <c r="B39" s="108" t="s">
        <v>107</v>
      </c>
      <c r="C39" s="116">
        <f>+C38</f>
        <v>10000</v>
      </c>
      <c r="D39" s="116">
        <f>+D38+C39</f>
        <v>10500</v>
      </c>
      <c r="E39" s="116">
        <f t="shared" ref="E39" si="5">+E38+D39</f>
        <v>11000</v>
      </c>
      <c r="F39" s="116">
        <f t="shared" ref="F39" si="6">+F38+E39</f>
        <v>11500</v>
      </c>
      <c r="G39" s="116">
        <f t="shared" ref="G39" si="7">+G38+F39</f>
        <v>17000</v>
      </c>
      <c r="H39" s="116">
        <f t="shared" ref="H39" si="8">+H38+G39</f>
        <v>17500</v>
      </c>
      <c r="I39" s="116">
        <f t="shared" ref="I39" si="9">+I38+H39</f>
        <v>17500</v>
      </c>
      <c r="J39" s="116">
        <f t="shared" ref="J39" si="10">+J38+I39</f>
        <v>18000</v>
      </c>
      <c r="K39" s="116">
        <f t="shared" ref="K39" si="11">+K38+J39</f>
        <v>18500</v>
      </c>
      <c r="L39" s="116">
        <f t="shared" ref="L39" si="12">+L38+K39</f>
        <v>19000</v>
      </c>
      <c r="M39" s="116">
        <f t="shared" ref="M39" si="13">+M38+L39</f>
        <v>19500</v>
      </c>
      <c r="N39" s="116">
        <f t="shared" ref="N39" si="14">+N38+M39</f>
        <v>20000</v>
      </c>
      <c r="O39" s="116">
        <f t="shared" ref="O39" si="15">+O38+N39</f>
        <v>20500</v>
      </c>
      <c r="P39" s="116">
        <f t="shared" ref="P39" si="16">+P38+O39</f>
        <v>21000</v>
      </c>
      <c r="Q39" s="116">
        <f t="shared" ref="Q39" si="17">+Q38+P39</f>
        <v>21500</v>
      </c>
      <c r="R39" s="116">
        <f t="shared" ref="R39" si="18">+R38+Q39</f>
        <v>22000</v>
      </c>
      <c r="S39" s="116">
        <f t="shared" ref="S39" si="19">+S38+R39</f>
        <v>22500</v>
      </c>
      <c r="T39" s="116">
        <f t="shared" ref="T39" si="20">+T38+S39</f>
        <v>23000</v>
      </c>
      <c r="U39" s="116">
        <f t="shared" ref="U39" si="21">+U38+T39</f>
        <v>23500</v>
      </c>
      <c r="V39" s="116">
        <f t="shared" ref="V39" si="22">+V38+U39</f>
        <v>24000</v>
      </c>
      <c r="W39" s="116">
        <f t="shared" ref="W39" si="23">+W38+V39</f>
        <v>24500</v>
      </c>
      <c r="X39" s="116">
        <f t="shared" ref="X39" si="24">+X38+W39</f>
        <v>25000</v>
      </c>
      <c r="Y39" s="116">
        <f t="shared" ref="Y39" si="25">+Y38+X39</f>
        <v>25500</v>
      </c>
      <c r="Z39" s="116">
        <f t="shared" ref="Z39" si="26">+Z38+Y39</f>
        <v>26000</v>
      </c>
      <c r="AA39" s="116">
        <f t="shared" ref="AA39" si="27">+AA38+Z39</f>
        <v>26500</v>
      </c>
      <c r="AB39" s="116">
        <f t="shared" ref="AB39" si="28">+AB38+AA39</f>
        <v>27000</v>
      </c>
      <c r="AC39" s="116">
        <f t="shared" ref="AC39" si="29">+AC38+AB39</f>
        <v>27500</v>
      </c>
      <c r="AD39" s="116">
        <f t="shared" ref="AD39" si="30">+AD38+AC39</f>
        <v>28000</v>
      </c>
      <c r="AE39" s="116">
        <f t="shared" ref="AE39" si="31">+AE38+AD39</f>
        <v>28500</v>
      </c>
      <c r="AF39" s="116">
        <f t="shared" ref="AF39" si="32">+AF38+AE39</f>
        <v>29000</v>
      </c>
      <c r="AG39" s="116">
        <f t="shared" ref="AG39" si="33">+AG38+AF39</f>
        <v>29500</v>
      </c>
      <c r="AH39" s="116">
        <f t="shared" ref="AH39" si="34">+AH38+AG39</f>
        <v>30000</v>
      </c>
      <c r="AI39" s="116">
        <f t="shared" ref="AI39" si="35">+AI38+AH39</f>
        <v>30500</v>
      </c>
      <c r="AJ39" s="116">
        <f t="shared" ref="AJ39" si="36">+AJ38+AI39</f>
        <v>31000</v>
      </c>
      <c r="AK39" s="116">
        <f t="shared" ref="AK39" si="37">+AK38+AJ39</f>
        <v>31500</v>
      </c>
      <c r="AL39" s="116">
        <f t="shared" ref="AL39" si="38">+AL38+AK39</f>
        <v>32000</v>
      </c>
    </row>
    <row r="40" spans="1:38" s="62" customFormat="1" ht="16.5" x14ac:dyDescent="0.3"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</row>
    <row r="41" spans="1:38" s="62" customFormat="1" ht="16.5" x14ac:dyDescent="0.3">
      <c r="B41" s="108"/>
      <c r="C41" s="110">
        <v>43466</v>
      </c>
      <c r="D41" s="110">
        <v>43497</v>
      </c>
      <c r="E41" s="110">
        <v>43525</v>
      </c>
      <c r="F41" s="110">
        <v>43556</v>
      </c>
      <c r="G41" s="110">
        <v>43586</v>
      </c>
      <c r="H41" s="110">
        <v>43617</v>
      </c>
      <c r="I41" s="110">
        <v>43647</v>
      </c>
      <c r="J41" s="110">
        <v>43678</v>
      </c>
      <c r="K41" s="110">
        <v>43709</v>
      </c>
      <c r="L41" s="110">
        <v>43739</v>
      </c>
      <c r="M41" s="110">
        <v>43770</v>
      </c>
      <c r="N41" s="110">
        <v>43800</v>
      </c>
      <c r="O41" s="110">
        <v>43831</v>
      </c>
      <c r="P41" s="110">
        <v>43862</v>
      </c>
      <c r="Q41" s="110">
        <v>43891</v>
      </c>
      <c r="R41" s="110">
        <v>43922</v>
      </c>
      <c r="S41" s="110">
        <v>43952</v>
      </c>
      <c r="T41" s="110">
        <v>43983</v>
      </c>
      <c r="U41" s="110">
        <v>44013</v>
      </c>
      <c r="V41" s="110">
        <v>44044</v>
      </c>
      <c r="W41" s="110">
        <v>44075</v>
      </c>
      <c r="X41" s="110">
        <v>44105</v>
      </c>
      <c r="Y41" s="110">
        <v>44136</v>
      </c>
      <c r="Z41" s="110">
        <v>44166</v>
      </c>
      <c r="AA41" s="110">
        <v>44197</v>
      </c>
      <c r="AB41" s="110">
        <v>44228</v>
      </c>
      <c r="AC41" s="110">
        <v>44256</v>
      </c>
      <c r="AD41" s="110">
        <v>44287</v>
      </c>
      <c r="AE41" s="110">
        <v>44317</v>
      </c>
      <c r="AF41" s="110">
        <v>44348</v>
      </c>
      <c r="AG41" s="110">
        <v>44378</v>
      </c>
      <c r="AH41" s="110">
        <v>44409</v>
      </c>
      <c r="AI41" s="110">
        <v>44440</v>
      </c>
      <c r="AJ41" s="110">
        <v>44470</v>
      </c>
      <c r="AK41" s="110">
        <v>44501</v>
      </c>
      <c r="AL41" s="110">
        <v>44531</v>
      </c>
    </row>
    <row r="42" spans="1:38" s="62" customFormat="1" ht="16.5" x14ac:dyDescent="0.3">
      <c r="B42" s="111" t="s">
        <v>105</v>
      </c>
      <c r="C42" s="112">
        <v>10000</v>
      </c>
      <c r="D42" s="112">
        <v>0</v>
      </c>
      <c r="E42" s="112">
        <v>0</v>
      </c>
      <c r="F42" s="112">
        <v>0</v>
      </c>
      <c r="G42" s="112">
        <v>5000</v>
      </c>
      <c r="H42" s="112">
        <v>0</v>
      </c>
      <c r="I42" s="112">
        <v>0</v>
      </c>
      <c r="J42" s="112">
        <v>0</v>
      </c>
      <c r="K42" s="112">
        <v>0</v>
      </c>
      <c r="L42" s="112">
        <v>0</v>
      </c>
      <c r="M42" s="112">
        <v>0</v>
      </c>
      <c r="N42" s="112">
        <v>0</v>
      </c>
      <c r="O42" s="112">
        <v>0</v>
      </c>
      <c r="P42" s="112">
        <v>0</v>
      </c>
      <c r="Q42" s="112">
        <v>0</v>
      </c>
      <c r="R42" s="112">
        <v>0</v>
      </c>
      <c r="S42" s="112">
        <v>0</v>
      </c>
      <c r="T42" s="112">
        <v>0</v>
      </c>
      <c r="U42" s="112">
        <v>0</v>
      </c>
      <c r="V42" s="112">
        <v>0</v>
      </c>
      <c r="W42" s="112">
        <v>0</v>
      </c>
      <c r="X42" s="112">
        <v>0</v>
      </c>
      <c r="Y42" s="112">
        <v>0</v>
      </c>
      <c r="Z42" s="112">
        <v>0</v>
      </c>
      <c r="AA42" s="112">
        <v>0</v>
      </c>
      <c r="AB42" s="112">
        <v>0</v>
      </c>
      <c r="AC42" s="112">
        <v>0</v>
      </c>
      <c r="AD42" s="112">
        <v>0</v>
      </c>
      <c r="AE42" s="112">
        <v>0</v>
      </c>
      <c r="AF42" s="112">
        <v>0</v>
      </c>
      <c r="AG42" s="112">
        <v>0</v>
      </c>
      <c r="AH42" s="112">
        <v>0</v>
      </c>
      <c r="AI42" s="112">
        <v>0</v>
      </c>
      <c r="AJ42" s="112">
        <v>0</v>
      </c>
      <c r="AK42" s="112">
        <v>0</v>
      </c>
      <c r="AL42" s="112">
        <v>0</v>
      </c>
    </row>
    <row r="43" spans="1:38" s="62" customFormat="1" ht="16.5" x14ac:dyDescent="0.3">
      <c r="B43" s="111" t="s">
        <v>103</v>
      </c>
      <c r="C43" s="112">
        <v>0</v>
      </c>
      <c r="D43" s="112">
        <v>500</v>
      </c>
      <c r="E43" s="112">
        <v>500</v>
      </c>
      <c r="F43" s="112">
        <v>500</v>
      </c>
      <c r="G43" s="112">
        <v>500</v>
      </c>
      <c r="H43" s="112">
        <v>500</v>
      </c>
      <c r="I43" s="112">
        <v>0</v>
      </c>
      <c r="J43" s="112">
        <v>500</v>
      </c>
      <c r="K43" s="112">
        <v>500</v>
      </c>
      <c r="L43" s="112">
        <v>500</v>
      </c>
      <c r="M43" s="112">
        <v>500</v>
      </c>
      <c r="N43" s="112">
        <v>500</v>
      </c>
      <c r="O43" s="112">
        <v>500</v>
      </c>
      <c r="P43" s="112">
        <v>500</v>
      </c>
      <c r="Q43" s="112">
        <v>500</v>
      </c>
      <c r="R43" s="112">
        <v>500</v>
      </c>
      <c r="S43" s="112">
        <v>500</v>
      </c>
      <c r="T43" s="112">
        <v>500</v>
      </c>
      <c r="U43" s="112">
        <v>500</v>
      </c>
      <c r="V43" s="112">
        <v>500</v>
      </c>
      <c r="W43" s="112">
        <v>500</v>
      </c>
      <c r="X43" s="112">
        <v>500</v>
      </c>
      <c r="Y43" s="112">
        <v>500</v>
      </c>
      <c r="Z43" s="112">
        <v>500</v>
      </c>
      <c r="AA43" s="112">
        <v>500</v>
      </c>
      <c r="AB43" s="112">
        <v>500</v>
      </c>
      <c r="AC43" s="112">
        <v>500</v>
      </c>
      <c r="AD43" s="112">
        <v>500</v>
      </c>
      <c r="AE43" s="112">
        <v>500</v>
      </c>
      <c r="AF43" s="112">
        <v>500</v>
      </c>
      <c r="AG43" s="112">
        <v>500</v>
      </c>
      <c r="AH43" s="112">
        <v>500</v>
      </c>
      <c r="AI43" s="112">
        <v>500</v>
      </c>
      <c r="AJ43" s="112">
        <v>500</v>
      </c>
      <c r="AK43" s="112">
        <v>500</v>
      </c>
      <c r="AL43" s="112">
        <v>500</v>
      </c>
    </row>
    <row r="44" spans="1:38" s="62" customFormat="1" ht="16.5" x14ac:dyDescent="0.3">
      <c r="B44" s="111"/>
      <c r="C44" s="112">
        <v>0</v>
      </c>
      <c r="D44" s="112">
        <v>0</v>
      </c>
      <c r="E44" s="112">
        <v>0</v>
      </c>
      <c r="F44" s="112">
        <v>0</v>
      </c>
      <c r="G44" s="112">
        <v>0</v>
      </c>
      <c r="H44" s="112">
        <v>0</v>
      </c>
      <c r="I44" s="112">
        <v>0</v>
      </c>
      <c r="J44" s="112">
        <v>0</v>
      </c>
      <c r="K44" s="112">
        <v>0</v>
      </c>
      <c r="L44" s="112">
        <v>0</v>
      </c>
      <c r="M44" s="112">
        <v>0</v>
      </c>
      <c r="N44" s="112">
        <v>0</v>
      </c>
      <c r="O44" s="112">
        <v>0</v>
      </c>
      <c r="P44" s="112">
        <v>0</v>
      </c>
      <c r="Q44" s="112">
        <v>0</v>
      </c>
      <c r="R44" s="112">
        <v>0</v>
      </c>
      <c r="S44" s="112">
        <v>0</v>
      </c>
      <c r="T44" s="112">
        <v>0</v>
      </c>
      <c r="U44" s="112">
        <v>0</v>
      </c>
      <c r="V44" s="112">
        <v>0</v>
      </c>
      <c r="W44" s="112">
        <v>0</v>
      </c>
      <c r="X44" s="112">
        <v>0</v>
      </c>
      <c r="Y44" s="112">
        <v>0</v>
      </c>
      <c r="Z44" s="112">
        <v>0</v>
      </c>
      <c r="AA44" s="112">
        <v>0</v>
      </c>
      <c r="AB44" s="112">
        <v>0</v>
      </c>
      <c r="AC44" s="112">
        <v>0</v>
      </c>
      <c r="AD44" s="112">
        <v>0</v>
      </c>
      <c r="AE44" s="112">
        <v>0</v>
      </c>
      <c r="AF44" s="112">
        <v>0</v>
      </c>
      <c r="AG44" s="112">
        <v>0</v>
      </c>
      <c r="AH44" s="112">
        <v>0</v>
      </c>
      <c r="AI44" s="112">
        <v>0</v>
      </c>
      <c r="AJ44" s="112">
        <v>0</v>
      </c>
      <c r="AK44" s="112">
        <v>0</v>
      </c>
      <c r="AL44" s="112">
        <v>0</v>
      </c>
    </row>
    <row r="45" spans="1:38" s="62" customFormat="1" ht="16.5" x14ac:dyDescent="0.3">
      <c r="B45" s="111"/>
      <c r="C45" s="112">
        <v>0</v>
      </c>
      <c r="D45" s="112">
        <v>0</v>
      </c>
      <c r="E45" s="112">
        <v>0</v>
      </c>
      <c r="F45" s="112">
        <v>0</v>
      </c>
      <c r="G45" s="112">
        <v>0</v>
      </c>
      <c r="H45" s="112">
        <v>0</v>
      </c>
      <c r="I45" s="112">
        <v>0</v>
      </c>
      <c r="J45" s="112">
        <v>0</v>
      </c>
      <c r="K45" s="112">
        <v>0</v>
      </c>
      <c r="L45" s="112">
        <v>0</v>
      </c>
      <c r="M45" s="112">
        <v>0</v>
      </c>
      <c r="N45" s="112">
        <v>0</v>
      </c>
      <c r="O45" s="112">
        <v>0</v>
      </c>
      <c r="P45" s="112">
        <v>0</v>
      </c>
      <c r="Q45" s="112">
        <v>0</v>
      </c>
      <c r="R45" s="112">
        <v>0</v>
      </c>
      <c r="S45" s="112">
        <v>0</v>
      </c>
      <c r="T45" s="112">
        <v>0</v>
      </c>
      <c r="U45" s="112">
        <v>0</v>
      </c>
      <c r="V45" s="112">
        <v>0</v>
      </c>
      <c r="W45" s="112">
        <v>0</v>
      </c>
      <c r="X45" s="112">
        <v>0</v>
      </c>
      <c r="Y45" s="112">
        <v>0</v>
      </c>
      <c r="Z45" s="112">
        <v>0</v>
      </c>
      <c r="AA45" s="112">
        <v>0</v>
      </c>
      <c r="AB45" s="112">
        <v>0</v>
      </c>
      <c r="AC45" s="112">
        <v>0</v>
      </c>
      <c r="AD45" s="112">
        <v>0</v>
      </c>
      <c r="AE45" s="112">
        <v>0</v>
      </c>
      <c r="AF45" s="112">
        <v>0</v>
      </c>
      <c r="AG45" s="112">
        <v>0</v>
      </c>
      <c r="AH45" s="112">
        <v>0</v>
      </c>
      <c r="AI45" s="112">
        <v>0</v>
      </c>
      <c r="AJ45" s="112">
        <v>0</v>
      </c>
      <c r="AK45" s="112">
        <v>0</v>
      </c>
      <c r="AL45" s="112">
        <v>0</v>
      </c>
    </row>
    <row r="46" spans="1:38" s="62" customFormat="1" ht="16.5" x14ac:dyDescent="0.3">
      <c r="B46" s="111"/>
      <c r="C46" s="112">
        <v>0</v>
      </c>
      <c r="D46" s="112">
        <v>0</v>
      </c>
      <c r="E46" s="112">
        <v>0</v>
      </c>
      <c r="F46" s="112">
        <v>0</v>
      </c>
      <c r="G46" s="112">
        <v>0</v>
      </c>
      <c r="H46" s="112">
        <v>0</v>
      </c>
      <c r="I46" s="112">
        <v>0</v>
      </c>
      <c r="J46" s="112">
        <v>0</v>
      </c>
      <c r="K46" s="112">
        <v>0</v>
      </c>
      <c r="L46" s="112">
        <v>0</v>
      </c>
      <c r="M46" s="112">
        <v>0</v>
      </c>
      <c r="N46" s="112">
        <v>0</v>
      </c>
      <c r="O46" s="112">
        <v>0</v>
      </c>
      <c r="P46" s="112">
        <v>0</v>
      </c>
      <c r="Q46" s="112">
        <v>0</v>
      </c>
      <c r="R46" s="112">
        <v>0</v>
      </c>
      <c r="S46" s="112">
        <v>0</v>
      </c>
      <c r="T46" s="112">
        <v>0</v>
      </c>
      <c r="U46" s="112">
        <v>0</v>
      </c>
      <c r="V46" s="112">
        <v>0</v>
      </c>
      <c r="W46" s="112">
        <v>0</v>
      </c>
      <c r="X46" s="112">
        <v>0</v>
      </c>
      <c r="Y46" s="112">
        <v>0</v>
      </c>
      <c r="Z46" s="112">
        <v>0</v>
      </c>
      <c r="AA46" s="112">
        <v>0</v>
      </c>
      <c r="AB46" s="112">
        <v>0</v>
      </c>
      <c r="AC46" s="112">
        <v>0</v>
      </c>
      <c r="AD46" s="112">
        <v>0</v>
      </c>
      <c r="AE46" s="112">
        <v>0</v>
      </c>
      <c r="AF46" s="112">
        <v>0</v>
      </c>
      <c r="AG46" s="112">
        <v>0</v>
      </c>
      <c r="AH46" s="112">
        <v>0</v>
      </c>
      <c r="AI46" s="112">
        <v>0</v>
      </c>
      <c r="AJ46" s="112">
        <v>0</v>
      </c>
      <c r="AK46" s="112">
        <v>0</v>
      </c>
      <c r="AL46" s="112">
        <v>0</v>
      </c>
    </row>
    <row r="47" spans="1:38" s="62" customFormat="1" ht="16.5" x14ac:dyDescent="0.3">
      <c r="B47" s="111"/>
      <c r="C47" s="112">
        <v>0</v>
      </c>
      <c r="D47" s="112">
        <v>0</v>
      </c>
      <c r="E47" s="112">
        <v>0</v>
      </c>
      <c r="F47" s="112">
        <v>0</v>
      </c>
      <c r="G47" s="112">
        <v>0</v>
      </c>
      <c r="H47" s="112">
        <v>0</v>
      </c>
      <c r="I47" s="112">
        <v>0</v>
      </c>
      <c r="J47" s="112">
        <v>0</v>
      </c>
      <c r="K47" s="112">
        <v>0</v>
      </c>
      <c r="L47" s="112">
        <v>0</v>
      </c>
      <c r="M47" s="112">
        <v>0</v>
      </c>
      <c r="N47" s="112">
        <v>0</v>
      </c>
      <c r="O47" s="112">
        <v>0</v>
      </c>
      <c r="P47" s="112">
        <v>0</v>
      </c>
      <c r="Q47" s="112">
        <v>0</v>
      </c>
      <c r="R47" s="112">
        <v>0</v>
      </c>
      <c r="S47" s="112">
        <v>0</v>
      </c>
      <c r="T47" s="112">
        <v>0</v>
      </c>
      <c r="U47" s="112">
        <v>0</v>
      </c>
      <c r="V47" s="112">
        <v>0</v>
      </c>
      <c r="W47" s="112">
        <v>0</v>
      </c>
      <c r="X47" s="112">
        <v>0</v>
      </c>
      <c r="Y47" s="112">
        <v>0</v>
      </c>
      <c r="Z47" s="112">
        <v>0</v>
      </c>
      <c r="AA47" s="112">
        <v>0</v>
      </c>
      <c r="AB47" s="112">
        <v>0</v>
      </c>
      <c r="AC47" s="112">
        <v>0</v>
      </c>
      <c r="AD47" s="112">
        <v>0</v>
      </c>
      <c r="AE47" s="112">
        <v>0</v>
      </c>
      <c r="AF47" s="112">
        <v>0</v>
      </c>
      <c r="AG47" s="112">
        <v>0</v>
      </c>
      <c r="AH47" s="112">
        <v>0</v>
      </c>
      <c r="AI47" s="112">
        <v>0</v>
      </c>
      <c r="AJ47" s="112">
        <v>0</v>
      </c>
      <c r="AK47" s="112">
        <v>0</v>
      </c>
      <c r="AL47" s="112">
        <v>0</v>
      </c>
    </row>
    <row r="48" spans="1:38" s="62" customFormat="1" ht="16.5" x14ac:dyDescent="0.3">
      <c r="B48" s="111"/>
      <c r="C48" s="112">
        <v>0</v>
      </c>
      <c r="D48" s="112">
        <v>0</v>
      </c>
      <c r="E48" s="112">
        <v>0</v>
      </c>
      <c r="F48" s="112">
        <v>0</v>
      </c>
      <c r="G48" s="112">
        <v>0</v>
      </c>
      <c r="H48" s="112">
        <v>0</v>
      </c>
      <c r="I48" s="112">
        <v>0</v>
      </c>
      <c r="J48" s="112">
        <v>0</v>
      </c>
      <c r="K48" s="112">
        <v>0</v>
      </c>
      <c r="L48" s="112">
        <v>0</v>
      </c>
      <c r="M48" s="112">
        <v>0</v>
      </c>
      <c r="N48" s="112">
        <v>0</v>
      </c>
      <c r="O48" s="112">
        <v>0</v>
      </c>
      <c r="P48" s="112">
        <v>0</v>
      </c>
      <c r="Q48" s="112">
        <v>0</v>
      </c>
      <c r="R48" s="112">
        <v>0</v>
      </c>
      <c r="S48" s="112">
        <v>0</v>
      </c>
      <c r="T48" s="112">
        <v>0</v>
      </c>
      <c r="U48" s="112">
        <v>0</v>
      </c>
      <c r="V48" s="112">
        <v>0</v>
      </c>
      <c r="W48" s="112">
        <v>0</v>
      </c>
      <c r="X48" s="112">
        <v>0</v>
      </c>
      <c r="Y48" s="112">
        <v>0</v>
      </c>
      <c r="Z48" s="112">
        <v>0</v>
      </c>
      <c r="AA48" s="112">
        <v>0</v>
      </c>
      <c r="AB48" s="112">
        <v>0</v>
      </c>
      <c r="AC48" s="112">
        <v>0</v>
      </c>
      <c r="AD48" s="112">
        <v>0</v>
      </c>
      <c r="AE48" s="112">
        <v>0</v>
      </c>
      <c r="AF48" s="112">
        <v>0</v>
      </c>
      <c r="AG48" s="112">
        <v>0</v>
      </c>
      <c r="AH48" s="112">
        <v>0</v>
      </c>
      <c r="AI48" s="112">
        <v>0</v>
      </c>
      <c r="AJ48" s="112">
        <v>0</v>
      </c>
      <c r="AK48" s="112">
        <v>0</v>
      </c>
      <c r="AL48" s="112">
        <v>0</v>
      </c>
    </row>
    <row r="49" spans="2:38" s="62" customFormat="1" ht="16.5" x14ac:dyDescent="0.3">
      <c r="B49" s="111"/>
      <c r="C49" s="112">
        <v>0</v>
      </c>
      <c r="D49" s="112">
        <v>0</v>
      </c>
      <c r="E49" s="112">
        <v>0</v>
      </c>
      <c r="F49" s="112">
        <v>0</v>
      </c>
      <c r="G49" s="112">
        <v>0</v>
      </c>
      <c r="H49" s="112">
        <v>0</v>
      </c>
      <c r="I49" s="112">
        <v>0</v>
      </c>
      <c r="J49" s="112">
        <v>0</v>
      </c>
      <c r="K49" s="112">
        <v>0</v>
      </c>
      <c r="L49" s="112">
        <v>0</v>
      </c>
      <c r="M49" s="112">
        <v>0</v>
      </c>
      <c r="N49" s="112">
        <v>0</v>
      </c>
      <c r="O49" s="112">
        <v>0</v>
      </c>
      <c r="P49" s="112">
        <v>0</v>
      </c>
      <c r="Q49" s="112">
        <v>0</v>
      </c>
      <c r="R49" s="112">
        <v>0</v>
      </c>
      <c r="S49" s="112">
        <v>0</v>
      </c>
      <c r="T49" s="112">
        <v>0</v>
      </c>
      <c r="U49" s="112">
        <v>0</v>
      </c>
      <c r="V49" s="112">
        <v>0</v>
      </c>
      <c r="W49" s="112">
        <v>0</v>
      </c>
      <c r="X49" s="112">
        <v>0</v>
      </c>
      <c r="Y49" s="112">
        <v>0</v>
      </c>
      <c r="Z49" s="112">
        <v>0</v>
      </c>
      <c r="AA49" s="112">
        <v>0</v>
      </c>
      <c r="AB49" s="112">
        <v>0</v>
      </c>
      <c r="AC49" s="112">
        <v>0</v>
      </c>
      <c r="AD49" s="112">
        <v>0</v>
      </c>
      <c r="AE49" s="112">
        <v>0</v>
      </c>
      <c r="AF49" s="112">
        <v>0</v>
      </c>
      <c r="AG49" s="112">
        <v>0</v>
      </c>
      <c r="AH49" s="112">
        <v>0</v>
      </c>
      <c r="AI49" s="112">
        <v>0</v>
      </c>
      <c r="AJ49" s="112">
        <v>0</v>
      </c>
      <c r="AK49" s="112">
        <v>0</v>
      </c>
      <c r="AL49" s="112">
        <v>0</v>
      </c>
    </row>
    <row r="50" spans="2:38" s="62" customFormat="1" ht="16.5" x14ac:dyDescent="0.3">
      <c r="B50" s="111"/>
      <c r="C50" s="112">
        <v>0</v>
      </c>
      <c r="D50" s="112">
        <v>0</v>
      </c>
      <c r="E50" s="112">
        <v>0</v>
      </c>
      <c r="F50" s="112">
        <v>0</v>
      </c>
      <c r="G50" s="112">
        <v>0</v>
      </c>
      <c r="H50" s="112">
        <v>0</v>
      </c>
      <c r="I50" s="112">
        <v>0</v>
      </c>
      <c r="J50" s="112">
        <v>0</v>
      </c>
      <c r="K50" s="112">
        <v>0</v>
      </c>
      <c r="L50" s="112">
        <v>0</v>
      </c>
      <c r="M50" s="112">
        <v>0</v>
      </c>
      <c r="N50" s="112">
        <v>0</v>
      </c>
      <c r="O50" s="112">
        <v>0</v>
      </c>
      <c r="P50" s="112">
        <v>0</v>
      </c>
      <c r="Q50" s="112">
        <v>0</v>
      </c>
      <c r="R50" s="112">
        <v>0</v>
      </c>
      <c r="S50" s="112">
        <v>0</v>
      </c>
      <c r="T50" s="112">
        <v>0</v>
      </c>
      <c r="U50" s="112">
        <v>0</v>
      </c>
      <c r="V50" s="112">
        <v>0</v>
      </c>
      <c r="W50" s="112">
        <v>0</v>
      </c>
      <c r="X50" s="112">
        <v>0</v>
      </c>
      <c r="Y50" s="112">
        <v>0</v>
      </c>
      <c r="Z50" s="112">
        <v>0</v>
      </c>
      <c r="AA50" s="112">
        <v>0</v>
      </c>
      <c r="AB50" s="112">
        <v>0</v>
      </c>
      <c r="AC50" s="112">
        <v>0</v>
      </c>
      <c r="AD50" s="112">
        <v>0</v>
      </c>
      <c r="AE50" s="112">
        <v>0</v>
      </c>
      <c r="AF50" s="112">
        <v>0</v>
      </c>
      <c r="AG50" s="112">
        <v>0</v>
      </c>
      <c r="AH50" s="112">
        <v>0</v>
      </c>
      <c r="AI50" s="112">
        <v>0</v>
      </c>
      <c r="AJ50" s="112">
        <v>0</v>
      </c>
      <c r="AK50" s="112">
        <v>0</v>
      </c>
      <c r="AL50" s="112">
        <v>0</v>
      </c>
    </row>
    <row r="51" spans="2:38" s="62" customFormat="1" ht="16.5" x14ac:dyDescent="0.3"/>
    <row r="52" spans="2:38" s="62" customFormat="1" ht="16.5" x14ac:dyDescent="0.3"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</row>
    <row r="53" spans="2:38" s="62" customFormat="1" ht="16.5" x14ac:dyDescent="0.3"/>
    <row r="54" spans="2:38" s="62" customFormat="1" ht="16.5" x14ac:dyDescent="0.3"/>
  </sheetData>
  <pageMargins left="0.7" right="0.7" top="0.75" bottom="0.75" header="0.3" footer="0.3"/>
  <ignoredErrors>
    <ignoredError sqref="C16:AL16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2"/>
  <sheetViews>
    <sheetView topLeftCell="A4" workbookViewId="0">
      <selection activeCell="A2" sqref="A2:XFD2"/>
    </sheetView>
  </sheetViews>
  <sheetFormatPr baseColWidth="10" defaultRowHeight="15" x14ac:dyDescent="0.25"/>
  <sheetData>
    <row r="2" spans="1:3" s="68" customFormat="1" ht="20.25" x14ac:dyDescent="0.35">
      <c r="A2" s="133"/>
      <c r="B2" s="134" t="s">
        <v>112</v>
      </c>
      <c r="C2" s="13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33"/>
  <sheetViews>
    <sheetView showGridLines="0" topLeftCell="A4" zoomScale="80" zoomScaleNormal="80" workbookViewId="0">
      <selection activeCell="I20" sqref="I20"/>
    </sheetView>
  </sheetViews>
  <sheetFormatPr baseColWidth="10" defaultColWidth="11.42578125" defaultRowHeight="20.25" x14ac:dyDescent="0.35"/>
  <cols>
    <col min="1" max="1" width="11.42578125" style="64"/>
    <col min="2" max="2" width="9.85546875" style="64" customWidth="1"/>
    <col min="3" max="3" width="19.5703125" style="64" bestFit="1" customWidth="1"/>
    <col min="4" max="4" width="24" style="64" customWidth="1"/>
    <col min="5" max="5" width="29" style="64" customWidth="1"/>
    <col min="6" max="6" width="28" style="64" customWidth="1"/>
    <col min="7" max="7" width="11.42578125" style="64"/>
    <col min="8" max="8" width="21.28515625" style="64" bestFit="1" customWidth="1"/>
    <col min="9" max="9" width="12" style="64" customWidth="1"/>
    <col min="10" max="16384" width="11.42578125" style="64"/>
  </cols>
  <sheetData>
    <row r="1" spans="2:6" s="79" customFormat="1" x14ac:dyDescent="0.35"/>
    <row r="2" spans="2:6" x14ac:dyDescent="0.35">
      <c r="C2" s="119" t="s">
        <v>94</v>
      </c>
      <c r="D2" s="122">
        <f>+PARAMETROS!C5</f>
        <v>32000</v>
      </c>
      <c r="E2" s="123">
        <f>+PARAMETROS!D5</f>
        <v>40</v>
      </c>
    </row>
    <row r="3" spans="2:6" x14ac:dyDescent="0.35">
      <c r="C3" s="119" t="s">
        <v>95</v>
      </c>
      <c r="D3" s="123">
        <f>+PARAMETROS!C3</f>
        <v>800</v>
      </c>
      <c r="E3" s="124">
        <f>+PARAMETROS!D3</f>
        <v>2.5000000000000001E-2</v>
      </c>
    </row>
    <row r="4" spans="2:6" x14ac:dyDescent="0.35">
      <c r="C4" s="119" t="s">
        <v>108</v>
      </c>
      <c r="D4" s="123">
        <f>+PARAMETROS!C6</f>
        <v>160</v>
      </c>
      <c r="E4" s="124"/>
    </row>
    <row r="5" spans="2:6" x14ac:dyDescent="0.35">
      <c r="C5" s="119"/>
      <c r="D5" s="123"/>
      <c r="E5" s="124"/>
    </row>
    <row r="6" spans="2:6" x14ac:dyDescent="0.35">
      <c r="C6" s="119"/>
      <c r="D6" s="123"/>
      <c r="E6" s="124"/>
    </row>
    <row r="7" spans="2:6" x14ac:dyDescent="0.35">
      <c r="C7" s="119"/>
      <c r="D7" s="123"/>
      <c r="E7" s="124"/>
    </row>
    <row r="9" spans="2:6" ht="26.25" x14ac:dyDescent="0.45">
      <c r="B9" s="157" t="s">
        <v>51</v>
      </c>
      <c r="C9" s="157"/>
      <c r="D9" s="157"/>
      <c r="E9" s="157"/>
      <c r="F9" s="157"/>
    </row>
    <row r="10" spans="2:6" ht="27" thickBot="1" x14ac:dyDescent="0.5">
      <c r="B10" s="130"/>
      <c r="C10" s="130"/>
      <c r="D10" s="130"/>
      <c r="E10" s="130"/>
      <c r="F10" s="130"/>
    </row>
    <row r="11" spans="2:6" ht="21.75" thickTop="1" thickBot="1" x14ac:dyDescent="0.4">
      <c r="B11" s="125" t="s">
        <v>2</v>
      </c>
      <c r="C11" s="125" t="s">
        <v>52</v>
      </c>
      <c r="D11" s="125" t="s">
        <v>53</v>
      </c>
      <c r="E11" s="125" t="s">
        <v>55</v>
      </c>
      <c r="F11" s="125" t="s">
        <v>54</v>
      </c>
    </row>
    <row r="12" spans="2:6" ht="21" thickTop="1" x14ac:dyDescent="0.35">
      <c r="B12" s="126">
        <v>1</v>
      </c>
      <c r="C12" s="127"/>
      <c r="D12" s="127"/>
      <c r="E12" s="127"/>
      <c r="F12" s="127"/>
    </row>
    <row r="13" spans="2:6" x14ac:dyDescent="0.35">
      <c r="B13" s="128">
        <v>2</v>
      </c>
      <c r="C13" s="129"/>
      <c r="D13" s="129"/>
      <c r="E13" s="129"/>
      <c r="F13" s="129"/>
    </row>
    <row r="14" spans="2:6" x14ac:dyDescent="0.35">
      <c r="B14" s="128">
        <v>3</v>
      </c>
      <c r="C14" s="129"/>
      <c r="D14" s="129"/>
      <c r="E14" s="129"/>
      <c r="F14" s="129"/>
    </row>
    <row r="15" spans="2:6" x14ac:dyDescent="0.35">
      <c r="B15" s="128">
        <v>4</v>
      </c>
      <c r="C15" s="129"/>
      <c r="D15" s="129"/>
      <c r="E15" s="129"/>
      <c r="F15" s="129"/>
    </row>
    <row r="16" spans="2:6" x14ac:dyDescent="0.35">
      <c r="B16" s="128">
        <v>5</v>
      </c>
      <c r="C16" s="129"/>
      <c r="D16" s="129"/>
      <c r="E16" s="129"/>
      <c r="F16" s="129"/>
    </row>
    <row r="17" spans="2:6" x14ac:dyDescent="0.35">
      <c r="B17" s="128">
        <v>6</v>
      </c>
      <c r="C17" s="129"/>
      <c r="D17" s="129"/>
      <c r="E17" s="129"/>
      <c r="F17" s="129"/>
    </row>
    <row r="18" spans="2:6" x14ac:dyDescent="0.35">
      <c r="B18" s="128">
        <v>7</v>
      </c>
      <c r="C18" s="129"/>
      <c r="D18" s="129"/>
      <c r="E18" s="129"/>
      <c r="F18" s="129"/>
    </row>
    <row r="19" spans="2:6" x14ac:dyDescent="0.35">
      <c r="B19" s="128">
        <v>8</v>
      </c>
      <c r="C19" s="129"/>
      <c r="D19" s="129"/>
      <c r="E19" s="129"/>
      <c r="F19" s="129"/>
    </row>
    <row r="20" spans="2:6" x14ac:dyDescent="0.35">
      <c r="B20" s="128">
        <v>9</v>
      </c>
      <c r="C20" s="129"/>
      <c r="D20" s="129"/>
      <c r="E20" s="129"/>
      <c r="F20" s="129"/>
    </row>
    <row r="21" spans="2:6" x14ac:dyDescent="0.35">
      <c r="B21" s="128">
        <v>10</v>
      </c>
      <c r="C21" s="129"/>
      <c r="D21" s="129"/>
      <c r="E21" s="129"/>
      <c r="F21" s="129"/>
    </row>
    <row r="22" spans="2:6" x14ac:dyDescent="0.35">
      <c r="B22" s="128">
        <v>11</v>
      </c>
      <c r="C22" s="129"/>
      <c r="D22" s="129"/>
      <c r="E22" s="129"/>
      <c r="F22" s="129"/>
    </row>
    <row r="23" spans="2:6" x14ac:dyDescent="0.35">
      <c r="B23" s="128">
        <v>12</v>
      </c>
      <c r="C23" s="129"/>
      <c r="D23" s="129"/>
      <c r="E23" s="129"/>
      <c r="F23" s="129"/>
    </row>
    <row r="24" spans="2:6" x14ac:dyDescent="0.35">
      <c r="B24" s="128">
        <v>13</v>
      </c>
      <c r="C24" s="129"/>
      <c r="D24" s="129"/>
      <c r="E24" s="129"/>
      <c r="F24" s="129"/>
    </row>
    <row r="25" spans="2:6" ht="21" thickBot="1" x14ac:dyDescent="0.4">
      <c r="B25" s="128">
        <v>14</v>
      </c>
      <c r="C25" s="129"/>
      <c r="D25" s="129"/>
      <c r="E25" s="129"/>
      <c r="F25" s="129"/>
    </row>
    <row r="26" spans="2:6" ht="21" thickTop="1" x14ac:dyDescent="0.35">
      <c r="B26" s="126">
        <v>15</v>
      </c>
      <c r="C26" s="129"/>
      <c r="D26" s="129"/>
      <c r="E26" s="129"/>
      <c r="F26" s="129"/>
    </row>
    <row r="27" spans="2:6" x14ac:dyDescent="0.35">
      <c r="B27" s="128">
        <v>16</v>
      </c>
      <c r="C27" s="129"/>
      <c r="D27" s="129"/>
      <c r="E27" s="129"/>
      <c r="F27" s="129"/>
    </row>
    <row r="28" spans="2:6" x14ac:dyDescent="0.35">
      <c r="B28" s="128">
        <v>17</v>
      </c>
      <c r="C28" s="129"/>
      <c r="D28" s="129"/>
      <c r="E28" s="129"/>
      <c r="F28" s="129"/>
    </row>
    <row r="29" spans="2:6" x14ac:dyDescent="0.35">
      <c r="B29" s="128">
        <v>18</v>
      </c>
      <c r="C29" s="129"/>
      <c r="D29" s="129"/>
      <c r="E29" s="129"/>
      <c r="F29" s="129"/>
    </row>
    <row r="30" spans="2:6" x14ac:dyDescent="0.35">
      <c r="B30" s="128">
        <v>19</v>
      </c>
      <c r="C30" s="129"/>
      <c r="D30" s="129"/>
      <c r="E30" s="129"/>
      <c r="F30" s="129"/>
    </row>
    <row r="31" spans="2:6" x14ac:dyDescent="0.35">
      <c r="B31" s="128">
        <v>20</v>
      </c>
      <c r="C31" s="129"/>
      <c r="D31" s="129"/>
      <c r="E31" s="129"/>
      <c r="F31" s="129"/>
    </row>
    <row r="32" spans="2:6" x14ac:dyDescent="0.35">
      <c r="B32" s="128">
        <v>21</v>
      </c>
      <c r="C32" s="129"/>
      <c r="D32" s="129"/>
      <c r="E32" s="129"/>
      <c r="F32" s="129"/>
    </row>
    <row r="33" spans="2:6" x14ac:dyDescent="0.35">
      <c r="B33" s="128">
        <v>22</v>
      </c>
      <c r="C33" s="129"/>
      <c r="D33" s="129"/>
      <c r="E33" s="129"/>
      <c r="F33" s="129"/>
    </row>
  </sheetData>
  <mergeCells count="1">
    <mergeCell ref="B9:F9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B32" sqref="B32:B33"/>
    </sheetView>
  </sheetViews>
  <sheetFormatPr baseColWidth="10" defaultColWidth="10.85546875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2"/>
  <sheetViews>
    <sheetView zoomScale="80" zoomScaleNormal="80" workbookViewId="0">
      <selection activeCell="A6" sqref="A6:XFD6"/>
    </sheetView>
  </sheetViews>
  <sheetFormatPr baseColWidth="10" defaultColWidth="11.42578125" defaultRowHeight="15" x14ac:dyDescent="0.25"/>
  <cols>
    <col min="1" max="1" width="21.5703125" style="1" bestFit="1" customWidth="1"/>
    <col min="2" max="2" width="23.42578125" style="1" bestFit="1" customWidth="1"/>
    <col min="3" max="3" width="18.42578125" style="1" customWidth="1"/>
    <col min="4" max="4" width="18" style="1" customWidth="1"/>
    <col min="5" max="5" width="19.140625" style="1" customWidth="1"/>
    <col min="6" max="6" width="11.140625" style="1" customWidth="1"/>
    <col min="7" max="7" width="14.42578125" style="1" customWidth="1"/>
    <col min="8" max="8" width="11.42578125" style="1"/>
    <col min="9" max="9" width="15.7109375" style="1" customWidth="1"/>
    <col min="10" max="10" width="20" style="1" customWidth="1"/>
    <col min="11" max="11" width="21" style="1" customWidth="1"/>
    <col min="12" max="12" width="20" style="1" customWidth="1"/>
    <col min="13" max="16384" width="11.42578125" style="1"/>
  </cols>
  <sheetData>
    <row r="1" spans="1:11" s="2" customFormat="1" ht="15.75" thickBot="1" x14ac:dyDescent="0.3"/>
    <row r="2" spans="1:11" s="2" customFormat="1" ht="15.75" thickBot="1" x14ac:dyDescent="0.3">
      <c r="A2" s="158" t="s">
        <v>69</v>
      </c>
      <c r="B2" s="159"/>
    </row>
    <row r="3" spans="1:11" s="2" customFormat="1" x14ac:dyDescent="0.25">
      <c r="A3" s="7" t="s">
        <v>70</v>
      </c>
      <c r="B3" s="58">
        <v>600</v>
      </c>
    </row>
    <row r="4" spans="1:11" s="2" customFormat="1" x14ac:dyDescent="0.25">
      <c r="A4" s="5" t="s">
        <v>71</v>
      </c>
      <c r="B4" s="6">
        <v>700</v>
      </c>
    </row>
    <row r="5" spans="1:11" s="2" customFormat="1" x14ac:dyDescent="0.25">
      <c r="A5" s="5" t="s">
        <v>6</v>
      </c>
      <c r="B5" s="57">
        <v>27000</v>
      </c>
    </row>
    <row r="6" spans="1:11" s="2" customFormat="1" x14ac:dyDescent="0.25">
      <c r="A6" s="5" t="s">
        <v>86</v>
      </c>
      <c r="B6" s="57">
        <v>160</v>
      </c>
    </row>
    <row r="8" spans="1:11" ht="15.75" thickBot="1" x14ac:dyDescent="0.3"/>
    <row r="9" spans="1:11" ht="15.75" thickBot="1" x14ac:dyDescent="0.3">
      <c r="A9" s="37" t="s">
        <v>8</v>
      </c>
      <c r="B9" s="41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14</v>
      </c>
      <c r="H9" s="10" t="s">
        <v>15</v>
      </c>
      <c r="I9" s="10" t="s">
        <v>50</v>
      </c>
      <c r="J9" s="37" t="s">
        <v>49</v>
      </c>
      <c r="K9" s="48" t="s">
        <v>57</v>
      </c>
    </row>
    <row r="10" spans="1:11" x14ac:dyDescent="0.25">
      <c r="A10" s="17" t="s">
        <v>61</v>
      </c>
      <c r="B10" s="17" t="s">
        <v>62</v>
      </c>
      <c r="C10" s="18" t="s">
        <v>16</v>
      </c>
      <c r="D10" s="19">
        <v>1000</v>
      </c>
      <c r="E10" s="24">
        <v>0.1</v>
      </c>
      <c r="F10" s="33">
        <v>1</v>
      </c>
      <c r="G10" s="18">
        <f>F10*D10</f>
        <v>1000</v>
      </c>
      <c r="H10" s="38">
        <f>E10*F10</f>
        <v>0.1</v>
      </c>
      <c r="I10" s="33">
        <v>1</v>
      </c>
      <c r="J10" s="38">
        <f>H10/I10</f>
        <v>0.1</v>
      </c>
      <c r="K10" s="49">
        <f>SUM(J10:J17)+SUM(J20:J29)+J31</f>
        <v>1.9</v>
      </c>
    </row>
    <row r="11" spans="1:11" x14ac:dyDescent="0.25">
      <c r="A11" s="17" t="s">
        <v>61</v>
      </c>
      <c r="B11" s="17" t="s">
        <v>62</v>
      </c>
      <c r="C11" s="21" t="s">
        <v>16</v>
      </c>
      <c r="D11" s="19">
        <v>1000</v>
      </c>
      <c r="E11" s="24">
        <v>0.1</v>
      </c>
      <c r="F11" s="34">
        <v>1</v>
      </c>
      <c r="G11" s="18">
        <f t="shared" ref="G11:G18" si="0">F11*D11</f>
        <v>1000</v>
      </c>
      <c r="H11" s="38">
        <f t="shared" ref="H11:H18" si="1">E11*F11</f>
        <v>0.1</v>
      </c>
      <c r="I11" s="33">
        <v>1</v>
      </c>
      <c r="J11" s="38">
        <f t="shared" ref="J11:J18" si="2">H11/I11</f>
        <v>0.1</v>
      </c>
    </row>
    <row r="12" spans="1:11" x14ac:dyDescent="0.25">
      <c r="A12" s="17" t="s">
        <v>61</v>
      </c>
      <c r="B12" s="17" t="s">
        <v>62</v>
      </c>
      <c r="C12" s="21" t="s">
        <v>16</v>
      </c>
      <c r="D12" s="19">
        <v>1000</v>
      </c>
      <c r="E12" s="24">
        <v>0.1</v>
      </c>
      <c r="F12" s="34">
        <v>1</v>
      </c>
      <c r="G12" s="18">
        <f t="shared" si="0"/>
        <v>1000</v>
      </c>
      <c r="H12" s="38">
        <f t="shared" si="1"/>
        <v>0.1</v>
      </c>
      <c r="I12" s="33">
        <v>1</v>
      </c>
      <c r="J12" s="38">
        <f t="shared" si="2"/>
        <v>0.1</v>
      </c>
    </row>
    <row r="13" spans="1:11" x14ac:dyDescent="0.25">
      <c r="A13" s="17" t="s">
        <v>61</v>
      </c>
      <c r="B13" s="17" t="s">
        <v>62</v>
      </c>
      <c r="C13" s="21" t="s">
        <v>16</v>
      </c>
      <c r="D13" s="19">
        <v>1000</v>
      </c>
      <c r="E13" s="24">
        <v>0.1</v>
      </c>
      <c r="F13" s="34">
        <v>1</v>
      </c>
      <c r="G13" s="18">
        <f t="shared" si="0"/>
        <v>1000</v>
      </c>
      <c r="H13" s="38">
        <f t="shared" si="1"/>
        <v>0.1</v>
      </c>
      <c r="I13" s="33">
        <v>1</v>
      </c>
      <c r="J13" s="38">
        <f t="shared" si="2"/>
        <v>0.1</v>
      </c>
    </row>
    <row r="14" spans="1:11" x14ac:dyDescent="0.25">
      <c r="A14" s="17" t="s">
        <v>61</v>
      </c>
      <c r="B14" s="17" t="s">
        <v>62</v>
      </c>
      <c r="C14" s="21" t="s">
        <v>16</v>
      </c>
      <c r="D14" s="19">
        <v>1000</v>
      </c>
      <c r="E14" s="24">
        <v>0.1</v>
      </c>
      <c r="F14" s="34">
        <v>1</v>
      </c>
      <c r="G14" s="18">
        <f t="shared" si="0"/>
        <v>1000</v>
      </c>
      <c r="H14" s="38">
        <f t="shared" si="1"/>
        <v>0.1</v>
      </c>
      <c r="I14" s="33">
        <v>1</v>
      </c>
      <c r="J14" s="38">
        <f t="shared" si="2"/>
        <v>0.1</v>
      </c>
    </row>
    <row r="15" spans="1:11" x14ac:dyDescent="0.25">
      <c r="A15" s="17" t="s">
        <v>61</v>
      </c>
      <c r="B15" s="17" t="s">
        <v>62</v>
      </c>
      <c r="C15" s="21">
        <v>10</v>
      </c>
      <c r="D15" s="19">
        <v>1000</v>
      </c>
      <c r="E15" s="24">
        <v>0.1</v>
      </c>
      <c r="F15" s="34">
        <v>1</v>
      </c>
      <c r="G15" s="18">
        <f t="shared" si="0"/>
        <v>1000</v>
      </c>
      <c r="H15" s="38">
        <f t="shared" si="1"/>
        <v>0.1</v>
      </c>
      <c r="I15" s="34">
        <v>1</v>
      </c>
      <c r="J15" s="38">
        <f t="shared" si="2"/>
        <v>0.1</v>
      </c>
    </row>
    <row r="16" spans="1:11" x14ac:dyDescent="0.25">
      <c r="A16" s="17" t="s">
        <v>61</v>
      </c>
      <c r="B16" s="17" t="s">
        <v>62</v>
      </c>
      <c r="C16" s="21">
        <v>10</v>
      </c>
      <c r="D16" s="19">
        <v>1000</v>
      </c>
      <c r="E16" s="24">
        <v>0.1</v>
      </c>
      <c r="F16" s="34">
        <v>1</v>
      </c>
      <c r="G16" s="18">
        <f t="shared" si="0"/>
        <v>1000</v>
      </c>
      <c r="H16" s="38">
        <f t="shared" si="1"/>
        <v>0.1</v>
      </c>
      <c r="I16" s="34">
        <v>1</v>
      </c>
      <c r="J16" s="38">
        <f t="shared" si="2"/>
        <v>0.1</v>
      </c>
    </row>
    <row r="17" spans="1:10" x14ac:dyDescent="0.25">
      <c r="A17" s="17" t="s">
        <v>61</v>
      </c>
      <c r="B17" s="17" t="s">
        <v>62</v>
      </c>
      <c r="C17" s="21">
        <v>10</v>
      </c>
      <c r="D17" s="19">
        <v>1000</v>
      </c>
      <c r="E17" s="24">
        <v>0.1</v>
      </c>
      <c r="F17" s="34">
        <v>1</v>
      </c>
      <c r="G17" s="18">
        <f t="shared" si="0"/>
        <v>1000</v>
      </c>
      <c r="H17" s="38">
        <f t="shared" si="1"/>
        <v>0.1</v>
      </c>
      <c r="I17" s="34">
        <v>1</v>
      </c>
      <c r="J17" s="38">
        <f t="shared" si="2"/>
        <v>0.1</v>
      </c>
    </row>
    <row r="18" spans="1:10" ht="15.75" thickBot="1" x14ac:dyDescent="0.3">
      <c r="A18" s="17" t="s">
        <v>61</v>
      </c>
      <c r="B18" s="17" t="s">
        <v>62</v>
      </c>
      <c r="C18" s="22" t="s">
        <v>16</v>
      </c>
      <c r="D18" s="19">
        <v>1000</v>
      </c>
      <c r="E18" s="24">
        <v>0.1</v>
      </c>
      <c r="F18" s="35">
        <v>1</v>
      </c>
      <c r="G18" s="18">
        <f t="shared" si="0"/>
        <v>1000</v>
      </c>
      <c r="H18" s="38">
        <f t="shared" si="1"/>
        <v>0.1</v>
      </c>
      <c r="I18" s="34">
        <v>1</v>
      </c>
      <c r="J18" s="38">
        <f t="shared" si="2"/>
        <v>0.1</v>
      </c>
    </row>
    <row r="19" spans="1:10" ht="15.75" thickBot="1" x14ac:dyDescent="0.3">
      <c r="A19" s="23" t="s">
        <v>63</v>
      </c>
      <c r="B19" s="10"/>
      <c r="C19" s="10"/>
      <c r="D19" s="10"/>
      <c r="E19" s="10"/>
      <c r="F19" s="31"/>
      <c r="G19" s="10">
        <f>SUM(G10:G18)</f>
        <v>9000</v>
      </c>
      <c r="H19" s="37">
        <f>SUM(H10:H18)</f>
        <v>0.89999999999999991</v>
      </c>
      <c r="I19" s="10"/>
      <c r="J19" s="16"/>
    </row>
    <row r="20" spans="1:10" x14ac:dyDescent="0.25">
      <c r="A20" s="17" t="s">
        <v>64</v>
      </c>
      <c r="B20" s="17" t="s">
        <v>65</v>
      </c>
      <c r="C20" s="18" t="s">
        <v>16</v>
      </c>
      <c r="D20" s="18">
        <v>1000</v>
      </c>
      <c r="E20" s="24">
        <v>0.1</v>
      </c>
      <c r="F20" s="33">
        <v>1</v>
      </c>
      <c r="G20" s="18">
        <f>D20*F20</f>
        <v>1000</v>
      </c>
      <c r="H20" s="38">
        <f>E20*F20</f>
        <v>0.1</v>
      </c>
      <c r="I20" s="33">
        <v>1</v>
      </c>
      <c r="J20" s="18">
        <f>H20/I20</f>
        <v>0.1</v>
      </c>
    </row>
    <row r="21" spans="1:10" x14ac:dyDescent="0.25">
      <c r="A21" s="17" t="s">
        <v>64</v>
      </c>
      <c r="B21" s="17" t="s">
        <v>65</v>
      </c>
      <c r="C21" s="21">
        <v>10</v>
      </c>
      <c r="D21" s="18">
        <v>1000</v>
      </c>
      <c r="E21" s="24">
        <v>0.1</v>
      </c>
      <c r="F21" s="34">
        <v>1</v>
      </c>
      <c r="G21" s="18">
        <f t="shared" ref="G21:G29" si="3">D21*F21</f>
        <v>1000</v>
      </c>
      <c r="H21" s="38">
        <f t="shared" ref="H21:H29" si="4">E21*F21</f>
        <v>0.1</v>
      </c>
      <c r="I21" s="34">
        <v>1</v>
      </c>
      <c r="J21" s="18">
        <f t="shared" ref="J21:J29" si="5">H21/I21</f>
        <v>0.1</v>
      </c>
    </row>
    <row r="22" spans="1:10" x14ac:dyDescent="0.25">
      <c r="A22" s="17" t="s">
        <v>64</v>
      </c>
      <c r="B22" s="17" t="s">
        <v>65</v>
      </c>
      <c r="C22" s="21">
        <v>10</v>
      </c>
      <c r="D22" s="18">
        <v>1000</v>
      </c>
      <c r="E22" s="24">
        <v>0.1</v>
      </c>
      <c r="F22" s="34">
        <v>1</v>
      </c>
      <c r="G22" s="18">
        <f t="shared" si="3"/>
        <v>1000</v>
      </c>
      <c r="H22" s="38">
        <f t="shared" si="4"/>
        <v>0.1</v>
      </c>
      <c r="I22" s="34">
        <v>1</v>
      </c>
      <c r="J22" s="18">
        <f t="shared" si="5"/>
        <v>0.1</v>
      </c>
    </row>
    <row r="23" spans="1:10" x14ac:dyDescent="0.25">
      <c r="A23" s="17" t="s">
        <v>64</v>
      </c>
      <c r="B23" s="17" t="s">
        <v>65</v>
      </c>
      <c r="C23" s="21">
        <v>10</v>
      </c>
      <c r="D23" s="18">
        <v>1000</v>
      </c>
      <c r="E23" s="24">
        <v>0.1</v>
      </c>
      <c r="F23" s="34">
        <v>1</v>
      </c>
      <c r="G23" s="18">
        <f t="shared" si="3"/>
        <v>1000</v>
      </c>
      <c r="H23" s="38">
        <f t="shared" si="4"/>
        <v>0.1</v>
      </c>
      <c r="I23" s="34">
        <v>1</v>
      </c>
      <c r="J23" s="18">
        <f t="shared" si="5"/>
        <v>0.1</v>
      </c>
    </row>
    <row r="24" spans="1:10" x14ac:dyDescent="0.25">
      <c r="A24" s="17" t="s">
        <v>64</v>
      </c>
      <c r="B24" s="17" t="s">
        <v>65</v>
      </c>
      <c r="C24" s="21">
        <v>10</v>
      </c>
      <c r="D24" s="18">
        <v>1000</v>
      </c>
      <c r="E24" s="24">
        <v>0.1</v>
      </c>
      <c r="F24" s="34">
        <v>1</v>
      </c>
      <c r="G24" s="18">
        <f t="shared" si="3"/>
        <v>1000</v>
      </c>
      <c r="H24" s="38">
        <f t="shared" si="4"/>
        <v>0.1</v>
      </c>
      <c r="I24" s="34">
        <v>1</v>
      </c>
      <c r="J24" s="18">
        <f t="shared" si="5"/>
        <v>0.1</v>
      </c>
    </row>
    <row r="25" spans="1:10" x14ac:dyDescent="0.25">
      <c r="A25" s="17" t="s">
        <v>64</v>
      </c>
      <c r="B25" s="17" t="s">
        <v>65</v>
      </c>
      <c r="C25" s="21">
        <v>10</v>
      </c>
      <c r="D25" s="18">
        <v>1000</v>
      </c>
      <c r="E25" s="24">
        <v>0.1</v>
      </c>
      <c r="F25" s="34">
        <v>1</v>
      </c>
      <c r="G25" s="18">
        <f t="shared" si="3"/>
        <v>1000</v>
      </c>
      <c r="H25" s="38">
        <f t="shared" si="4"/>
        <v>0.1</v>
      </c>
      <c r="I25" s="34">
        <v>1</v>
      </c>
      <c r="J25" s="18">
        <f t="shared" si="5"/>
        <v>0.1</v>
      </c>
    </row>
    <row r="26" spans="1:10" x14ac:dyDescent="0.25">
      <c r="A26" s="17" t="s">
        <v>64</v>
      </c>
      <c r="B26" s="17" t="s">
        <v>65</v>
      </c>
      <c r="C26" s="21">
        <v>10</v>
      </c>
      <c r="D26" s="18">
        <v>1000</v>
      </c>
      <c r="E26" s="24">
        <v>0.1</v>
      </c>
      <c r="F26" s="34">
        <v>1</v>
      </c>
      <c r="G26" s="18">
        <f t="shared" si="3"/>
        <v>1000</v>
      </c>
      <c r="H26" s="38">
        <f t="shared" si="4"/>
        <v>0.1</v>
      </c>
      <c r="I26" s="34">
        <v>1</v>
      </c>
      <c r="J26" s="18">
        <f t="shared" si="5"/>
        <v>0.1</v>
      </c>
    </row>
    <row r="27" spans="1:10" x14ac:dyDescent="0.25">
      <c r="A27" s="17" t="s">
        <v>64</v>
      </c>
      <c r="B27" s="17" t="s">
        <v>65</v>
      </c>
      <c r="C27" s="21">
        <v>10</v>
      </c>
      <c r="D27" s="18">
        <v>1000</v>
      </c>
      <c r="E27" s="24">
        <v>0.1</v>
      </c>
      <c r="F27" s="34">
        <v>1</v>
      </c>
      <c r="G27" s="18">
        <f t="shared" si="3"/>
        <v>1000</v>
      </c>
      <c r="H27" s="38">
        <f t="shared" si="4"/>
        <v>0.1</v>
      </c>
      <c r="I27" s="34">
        <v>1</v>
      </c>
      <c r="J27" s="18">
        <f t="shared" si="5"/>
        <v>0.1</v>
      </c>
    </row>
    <row r="28" spans="1:10" x14ac:dyDescent="0.25">
      <c r="A28" s="17" t="s">
        <v>64</v>
      </c>
      <c r="B28" s="17" t="s">
        <v>65</v>
      </c>
      <c r="C28" s="21">
        <v>10</v>
      </c>
      <c r="D28" s="18">
        <v>1000</v>
      </c>
      <c r="E28" s="24">
        <v>0.1</v>
      </c>
      <c r="F28" s="34">
        <v>1</v>
      </c>
      <c r="G28" s="18">
        <f t="shared" si="3"/>
        <v>1000</v>
      </c>
      <c r="H28" s="38">
        <f t="shared" si="4"/>
        <v>0.1</v>
      </c>
      <c r="I28" s="34">
        <v>1</v>
      </c>
      <c r="J28" s="18">
        <f t="shared" si="5"/>
        <v>0.1</v>
      </c>
    </row>
    <row r="29" spans="1:10" ht="15.75" thickBot="1" x14ac:dyDescent="0.3">
      <c r="A29" s="17" t="s">
        <v>64</v>
      </c>
      <c r="B29" s="17" t="s">
        <v>65</v>
      </c>
      <c r="C29" s="21">
        <v>10</v>
      </c>
      <c r="D29" s="18">
        <v>1000</v>
      </c>
      <c r="E29" s="24">
        <v>0.1</v>
      </c>
      <c r="F29" s="35">
        <v>1</v>
      </c>
      <c r="G29" s="26">
        <f t="shared" si="3"/>
        <v>1000</v>
      </c>
      <c r="H29" s="39">
        <f t="shared" si="4"/>
        <v>0.1</v>
      </c>
      <c r="I29" s="35">
        <v>1</v>
      </c>
      <c r="J29" s="18">
        <f t="shared" si="5"/>
        <v>0.1</v>
      </c>
    </row>
    <row r="30" spans="1:10" x14ac:dyDescent="0.25">
      <c r="A30" s="50" t="s">
        <v>3</v>
      </c>
      <c r="B30" s="46"/>
      <c r="C30" s="46"/>
      <c r="D30" s="46"/>
      <c r="E30" s="46"/>
      <c r="F30" s="45"/>
      <c r="G30" s="46">
        <f>SUM(G20:G29)</f>
        <v>10000</v>
      </c>
      <c r="H30" s="51">
        <f>SUM(H20:H29)</f>
        <v>0.99999999999999989</v>
      </c>
      <c r="I30" s="46"/>
      <c r="J30" s="47"/>
    </row>
    <row r="31" spans="1:10" x14ac:dyDescent="0.25">
      <c r="A31" s="20" t="s">
        <v>64</v>
      </c>
      <c r="B31" s="17" t="s">
        <v>65</v>
      </c>
      <c r="C31" s="21">
        <v>10</v>
      </c>
      <c r="D31" s="21">
        <v>1000</v>
      </c>
      <c r="E31" s="24">
        <v>0.1</v>
      </c>
      <c r="F31" s="34">
        <v>1</v>
      </c>
      <c r="G31" s="21">
        <f>D31*F31</f>
        <v>1000</v>
      </c>
      <c r="H31" s="21">
        <f>E31*F31</f>
        <v>0.1</v>
      </c>
      <c r="I31" s="35">
        <v>1</v>
      </c>
      <c r="J31" s="21">
        <f>H31/I31</f>
        <v>0.1</v>
      </c>
    </row>
    <row r="32" spans="1:10" x14ac:dyDescent="0.25">
      <c r="A32" s="20" t="s">
        <v>64</v>
      </c>
      <c r="B32" s="17" t="s">
        <v>65</v>
      </c>
      <c r="C32" s="21">
        <v>10</v>
      </c>
      <c r="D32" s="21">
        <v>1000</v>
      </c>
      <c r="E32" s="24">
        <v>0.1</v>
      </c>
      <c r="F32" s="34">
        <v>1</v>
      </c>
      <c r="G32" s="21">
        <f>D32*F32</f>
        <v>1000</v>
      </c>
      <c r="H32" s="21">
        <f>E32*F32</f>
        <v>0.1</v>
      </c>
      <c r="I32" s="35">
        <v>1</v>
      </c>
      <c r="J32" s="21">
        <f>H32/I32</f>
        <v>0.1</v>
      </c>
    </row>
    <row r="33" spans="1:10" x14ac:dyDescent="0.25">
      <c r="A33" s="20" t="s">
        <v>64</v>
      </c>
      <c r="B33" s="17" t="s">
        <v>65</v>
      </c>
      <c r="C33" s="21">
        <v>10</v>
      </c>
      <c r="D33" s="21">
        <v>1000</v>
      </c>
      <c r="E33" s="24">
        <v>0.1</v>
      </c>
      <c r="F33" s="34">
        <v>1</v>
      </c>
      <c r="G33" s="21">
        <f>D33*F33</f>
        <v>1000</v>
      </c>
      <c r="H33" s="21">
        <f>E33*F33</f>
        <v>0.1</v>
      </c>
      <c r="I33" s="35">
        <v>1</v>
      </c>
      <c r="J33" s="21">
        <f>H33/I33</f>
        <v>0.1</v>
      </c>
    </row>
    <row r="34" spans="1:10" x14ac:dyDescent="0.25">
      <c r="A34" s="20" t="s">
        <v>64</v>
      </c>
      <c r="B34" s="17" t="s">
        <v>65</v>
      </c>
      <c r="C34" s="21">
        <v>10</v>
      </c>
      <c r="D34" s="21">
        <v>1000</v>
      </c>
      <c r="E34" s="24">
        <v>0.1</v>
      </c>
      <c r="F34" s="34">
        <v>1</v>
      </c>
      <c r="G34" s="21">
        <f>D34*F34</f>
        <v>1000</v>
      </c>
      <c r="H34" s="21">
        <f>E34*F34</f>
        <v>0.1</v>
      </c>
      <c r="I34" s="35">
        <v>1</v>
      </c>
      <c r="J34" s="21">
        <f>H34/I34</f>
        <v>0.1</v>
      </c>
    </row>
    <row r="35" spans="1:10" ht="15.75" thickBot="1" x14ac:dyDescent="0.3">
      <c r="A35" s="52" t="s">
        <v>4</v>
      </c>
      <c r="B35" s="53"/>
      <c r="C35" s="11"/>
      <c r="D35" s="11"/>
      <c r="E35" s="11"/>
      <c r="F35" s="54"/>
      <c r="G35" s="11">
        <f>G31</f>
        <v>1000</v>
      </c>
      <c r="H35" s="55">
        <f>H31</f>
        <v>0.1</v>
      </c>
      <c r="I35" s="11"/>
      <c r="J35" s="56"/>
    </row>
    <row r="36" spans="1:10" x14ac:dyDescent="0.25">
      <c r="A36" s="17" t="s">
        <v>66</v>
      </c>
      <c r="B36" s="17" t="s">
        <v>67</v>
      </c>
      <c r="C36" s="18">
        <v>10</v>
      </c>
      <c r="D36" s="18">
        <v>1000</v>
      </c>
      <c r="E36" s="24">
        <v>0.1</v>
      </c>
      <c r="F36" s="33">
        <v>1</v>
      </c>
      <c r="G36" s="18">
        <f>D36*F36</f>
        <v>1000</v>
      </c>
      <c r="H36" s="21">
        <f t="shared" ref="H36:H41" si="6">E36*F36</f>
        <v>0.1</v>
      </c>
      <c r="I36" s="35">
        <v>1</v>
      </c>
      <c r="J36" s="21">
        <f t="shared" ref="J36:J41" si="7">H36/I36</f>
        <v>0.1</v>
      </c>
    </row>
    <row r="37" spans="1:10" x14ac:dyDescent="0.25">
      <c r="A37" s="17" t="s">
        <v>66</v>
      </c>
      <c r="B37" s="17" t="s">
        <v>67</v>
      </c>
      <c r="C37" s="18">
        <v>10</v>
      </c>
      <c r="D37" s="18">
        <v>1000</v>
      </c>
      <c r="E37" s="24">
        <v>0.1</v>
      </c>
      <c r="F37" s="34">
        <v>1</v>
      </c>
      <c r="G37" s="18">
        <f t="shared" ref="G37:G40" si="8">D37*F37</f>
        <v>1000</v>
      </c>
      <c r="H37" s="21">
        <f t="shared" si="6"/>
        <v>0.1</v>
      </c>
      <c r="I37" s="35">
        <v>1</v>
      </c>
      <c r="J37" s="21">
        <f t="shared" si="7"/>
        <v>0.1</v>
      </c>
    </row>
    <row r="38" spans="1:10" x14ac:dyDescent="0.25">
      <c r="A38" s="17" t="s">
        <v>66</v>
      </c>
      <c r="B38" s="17" t="s">
        <v>67</v>
      </c>
      <c r="C38" s="18">
        <v>10</v>
      </c>
      <c r="D38" s="18">
        <v>1000</v>
      </c>
      <c r="E38" s="24">
        <v>0.1</v>
      </c>
      <c r="F38" s="34">
        <v>1</v>
      </c>
      <c r="G38" s="18">
        <f t="shared" si="8"/>
        <v>1000</v>
      </c>
      <c r="H38" s="21">
        <f t="shared" si="6"/>
        <v>0.1</v>
      </c>
      <c r="I38" s="35">
        <v>1</v>
      </c>
      <c r="J38" s="21">
        <f t="shared" si="7"/>
        <v>0.1</v>
      </c>
    </row>
    <row r="39" spans="1:10" x14ac:dyDescent="0.25">
      <c r="A39" s="17" t="s">
        <v>66</v>
      </c>
      <c r="B39" s="17" t="s">
        <v>67</v>
      </c>
      <c r="C39" s="18">
        <v>10</v>
      </c>
      <c r="D39" s="18">
        <v>1000</v>
      </c>
      <c r="E39" s="24">
        <v>0.1</v>
      </c>
      <c r="F39" s="34">
        <v>1</v>
      </c>
      <c r="G39" s="18">
        <f t="shared" si="8"/>
        <v>1000</v>
      </c>
      <c r="H39" s="21">
        <f t="shared" si="6"/>
        <v>0.1</v>
      </c>
      <c r="I39" s="35">
        <v>1</v>
      </c>
      <c r="J39" s="21">
        <f t="shared" si="7"/>
        <v>0.1</v>
      </c>
    </row>
    <row r="40" spans="1:10" x14ac:dyDescent="0.25">
      <c r="A40" s="17" t="s">
        <v>66</v>
      </c>
      <c r="B40" s="17" t="s">
        <v>67</v>
      </c>
      <c r="C40" s="18">
        <v>10</v>
      </c>
      <c r="D40" s="18">
        <v>1000</v>
      </c>
      <c r="E40" s="24">
        <v>0.1</v>
      </c>
      <c r="F40" s="35">
        <v>1</v>
      </c>
      <c r="G40" s="26">
        <f t="shared" si="8"/>
        <v>1000</v>
      </c>
      <c r="H40" s="21">
        <f t="shared" si="6"/>
        <v>0.1</v>
      </c>
      <c r="I40" s="35">
        <v>1</v>
      </c>
      <c r="J40" s="21">
        <f t="shared" si="7"/>
        <v>0.1</v>
      </c>
    </row>
    <row r="41" spans="1:10" ht="15.75" thickBot="1" x14ac:dyDescent="0.3">
      <c r="A41" s="17" t="s">
        <v>66</v>
      </c>
      <c r="B41" s="17" t="s">
        <v>67</v>
      </c>
      <c r="C41" s="18">
        <v>10</v>
      </c>
      <c r="D41" s="18">
        <v>1000</v>
      </c>
      <c r="E41" s="24">
        <v>0.1</v>
      </c>
      <c r="F41" s="35">
        <v>1</v>
      </c>
      <c r="G41" s="22">
        <f>D41</f>
        <v>1000</v>
      </c>
      <c r="H41" s="21">
        <f t="shared" si="6"/>
        <v>0.1</v>
      </c>
      <c r="I41" s="35">
        <v>1</v>
      </c>
      <c r="J41" s="21">
        <f t="shared" si="7"/>
        <v>0.1</v>
      </c>
    </row>
    <row r="42" spans="1:10" ht="15.75" thickBot="1" x14ac:dyDescent="0.3">
      <c r="A42" s="23" t="s">
        <v>5</v>
      </c>
      <c r="B42" s="10"/>
      <c r="C42" s="10"/>
      <c r="D42" s="10"/>
      <c r="E42" s="10"/>
      <c r="F42" s="31"/>
      <c r="G42" s="10">
        <f>SUM(G36:G41)</f>
        <v>6000</v>
      </c>
      <c r="H42" s="37">
        <f>SUM(H36:H41)</f>
        <v>0.6</v>
      </c>
      <c r="I42" s="10"/>
      <c r="J42" s="14"/>
    </row>
  </sheetData>
  <mergeCells count="1">
    <mergeCell ref="A2:B2"/>
  </mergeCells>
  <pageMargins left="0.7" right="0.7" top="0.75" bottom="0.75" header="0.3" footer="0.3"/>
  <ignoredErrors>
    <ignoredError sqref="G30:H30 G35:H35 H19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topLeftCell="A5" zoomScale="90" zoomScaleNormal="90" workbookViewId="0">
      <selection activeCell="J9" sqref="J9"/>
    </sheetView>
  </sheetViews>
  <sheetFormatPr baseColWidth="10" defaultColWidth="11.42578125" defaultRowHeight="15" x14ac:dyDescent="0.25"/>
  <cols>
    <col min="1" max="1" width="26.42578125" style="1" bestFit="1" customWidth="1"/>
    <col min="2" max="2" width="17.42578125" style="1" bestFit="1" customWidth="1"/>
    <col min="3" max="3" width="16.5703125" style="1" bestFit="1" customWidth="1"/>
    <col min="4" max="4" width="17.5703125" style="1" bestFit="1" customWidth="1"/>
    <col min="5" max="5" width="16.5703125" style="1" bestFit="1" customWidth="1"/>
    <col min="6" max="6" width="15.5703125" style="1" bestFit="1" customWidth="1"/>
    <col min="7" max="7" width="11.42578125" style="1"/>
    <col min="8" max="8" width="17" style="1" customWidth="1"/>
    <col min="9" max="9" width="15.85546875" style="1" customWidth="1"/>
    <col min="10" max="11" width="16.5703125" style="1" customWidth="1"/>
    <col min="12" max="12" width="15.85546875" style="1" customWidth="1"/>
    <col min="13" max="13" width="19" style="1" customWidth="1"/>
    <col min="14" max="16384" width="11.42578125" style="1"/>
  </cols>
  <sheetData>
    <row r="1" spans="1:13" s="2" customFormat="1" ht="15.75" thickBot="1" x14ac:dyDescent="0.3"/>
    <row r="2" spans="1:13" s="2" customFormat="1" ht="15.75" thickBot="1" x14ac:dyDescent="0.3">
      <c r="A2" s="158" t="s">
        <v>69</v>
      </c>
      <c r="B2" s="159"/>
    </row>
    <row r="3" spans="1:13" s="2" customFormat="1" x14ac:dyDescent="0.25">
      <c r="A3" s="7" t="s">
        <v>70</v>
      </c>
      <c r="B3" s="58">
        <v>600</v>
      </c>
    </row>
    <row r="4" spans="1:13" s="2" customFormat="1" x14ac:dyDescent="0.25">
      <c r="A4" s="5" t="s">
        <v>71</v>
      </c>
      <c r="B4" s="6">
        <v>700</v>
      </c>
    </row>
    <row r="5" spans="1:13" s="2" customFormat="1" x14ac:dyDescent="0.25">
      <c r="A5" s="5" t="s">
        <v>6</v>
      </c>
      <c r="B5" s="57">
        <v>27000</v>
      </c>
    </row>
    <row r="6" spans="1:13" s="2" customFormat="1" x14ac:dyDescent="0.25">
      <c r="A6" s="5" t="s">
        <v>86</v>
      </c>
      <c r="B6" s="57">
        <v>160</v>
      </c>
    </row>
    <row r="7" spans="1:13" ht="15.75" thickBot="1" x14ac:dyDescent="0.3"/>
    <row r="8" spans="1:13" s="36" customFormat="1" ht="15.75" thickBot="1" x14ac:dyDescent="0.3">
      <c r="A8" s="42"/>
      <c r="B8" s="43" t="s">
        <v>17</v>
      </c>
      <c r="C8" s="43" t="s">
        <v>18</v>
      </c>
      <c r="D8" s="43" t="s">
        <v>19</v>
      </c>
      <c r="E8" s="43" t="s">
        <v>20</v>
      </c>
      <c r="F8" s="43" t="s">
        <v>21</v>
      </c>
      <c r="G8" s="43" t="s">
        <v>22</v>
      </c>
      <c r="H8" s="43" t="s">
        <v>23</v>
      </c>
      <c r="I8" s="43" t="s">
        <v>44</v>
      </c>
      <c r="J8" s="43" t="s">
        <v>24</v>
      </c>
      <c r="K8" s="43" t="s">
        <v>45</v>
      </c>
      <c r="L8" s="43" t="s">
        <v>25</v>
      </c>
      <c r="M8" s="44" t="s">
        <v>26</v>
      </c>
    </row>
    <row r="9" spans="1:13" x14ac:dyDescent="0.25">
      <c r="A9" s="27" t="s">
        <v>27</v>
      </c>
      <c r="B9" s="8">
        <v>100</v>
      </c>
      <c r="C9" s="8">
        <v>10</v>
      </c>
      <c r="D9" s="8">
        <v>0.6</v>
      </c>
      <c r="E9" s="8">
        <v>0.8</v>
      </c>
      <c r="F9" s="8">
        <f>C9*D9</f>
        <v>6</v>
      </c>
      <c r="G9" s="8">
        <f>C9*E9</f>
        <v>8</v>
      </c>
      <c r="H9" s="30">
        <v>1</v>
      </c>
      <c r="I9" s="8">
        <f>C9/H9</f>
        <v>10</v>
      </c>
      <c r="J9" s="30">
        <f>C9*D9*$B$6</f>
        <v>960</v>
      </c>
      <c r="K9" s="30">
        <f>C9*E9*$B$6</f>
        <v>1280</v>
      </c>
      <c r="L9" s="8">
        <f>J9/$B$5</f>
        <v>3.5555555555555556E-2</v>
      </c>
      <c r="M9" s="8">
        <f>K9/$B$5</f>
        <v>4.7407407407407405E-2</v>
      </c>
    </row>
    <row r="10" spans="1:13" x14ac:dyDescent="0.25">
      <c r="A10" s="25" t="s">
        <v>28</v>
      </c>
      <c r="B10" s="3"/>
      <c r="C10" s="3"/>
      <c r="D10" s="3">
        <v>1.1000000000000001</v>
      </c>
      <c r="E10" s="3">
        <v>1.5</v>
      </c>
      <c r="F10" s="8">
        <f t="shared" ref="F10:F17" si="0">C10*D10</f>
        <v>0</v>
      </c>
      <c r="G10" s="8">
        <f t="shared" ref="G10:G17" si="1">C10*E10</f>
        <v>0</v>
      </c>
      <c r="H10" s="29">
        <v>1</v>
      </c>
      <c r="I10" s="8">
        <f t="shared" ref="I10:I17" si="2">C10/H10</f>
        <v>0</v>
      </c>
      <c r="J10" s="30">
        <f t="shared" ref="J10:J17" si="3">C10*D10*$B$6</f>
        <v>0</v>
      </c>
      <c r="K10" s="30">
        <f t="shared" ref="K10:K17" si="4">C10*E10*$B$6</f>
        <v>0</v>
      </c>
      <c r="L10" s="8">
        <f t="shared" ref="L10:L17" si="5">J10/$B$5</f>
        <v>0</v>
      </c>
      <c r="M10" s="8">
        <f t="shared" ref="M10:M17" si="6">K10/$B$5</f>
        <v>0</v>
      </c>
    </row>
    <row r="11" spans="1:13" x14ac:dyDescent="0.25">
      <c r="A11" s="25" t="s">
        <v>29</v>
      </c>
      <c r="B11" s="3"/>
      <c r="C11" s="3"/>
      <c r="D11" s="3">
        <v>0.5</v>
      </c>
      <c r="E11" s="3">
        <v>0.9</v>
      </c>
      <c r="F11" s="8">
        <f t="shared" si="0"/>
        <v>0</v>
      </c>
      <c r="G11" s="8">
        <f t="shared" si="1"/>
        <v>0</v>
      </c>
      <c r="H11" s="29">
        <v>1</v>
      </c>
      <c r="I11" s="8">
        <f t="shared" si="2"/>
        <v>0</v>
      </c>
      <c r="J11" s="30">
        <f t="shared" si="3"/>
        <v>0</v>
      </c>
      <c r="K11" s="30">
        <f t="shared" si="4"/>
        <v>0</v>
      </c>
      <c r="L11" s="8">
        <f t="shared" si="5"/>
        <v>0</v>
      </c>
      <c r="M11" s="8">
        <f t="shared" si="6"/>
        <v>0</v>
      </c>
    </row>
    <row r="12" spans="1:13" x14ac:dyDescent="0.25">
      <c r="A12" s="25" t="s">
        <v>30</v>
      </c>
      <c r="B12" s="3"/>
      <c r="C12" s="3"/>
      <c r="D12" s="3">
        <v>0.7</v>
      </c>
      <c r="E12" s="3">
        <v>0.9</v>
      </c>
      <c r="F12" s="8">
        <f t="shared" si="0"/>
        <v>0</v>
      </c>
      <c r="G12" s="8">
        <f t="shared" si="1"/>
        <v>0</v>
      </c>
      <c r="H12" s="29">
        <v>1</v>
      </c>
      <c r="I12" s="8">
        <f t="shared" si="2"/>
        <v>0</v>
      </c>
      <c r="J12" s="30">
        <f t="shared" si="3"/>
        <v>0</v>
      </c>
      <c r="K12" s="30">
        <f t="shared" si="4"/>
        <v>0</v>
      </c>
      <c r="L12" s="8">
        <f t="shared" si="5"/>
        <v>0</v>
      </c>
      <c r="M12" s="8">
        <f t="shared" si="6"/>
        <v>0</v>
      </c>
    </row>
    <row r="13" spans="1:13" x14ac:dyDescent="0.25">
      <c r="A13" s="25" t="s">
        <v>31</v>
      </c>
      <c r="B13" s="3"/>
      <c r="C13" s="3"/>
      <c r="D13" s="3">
        <v>1.2</v>
      </c>
      <c r="E13" s="3">
        <v>2.2999999999999998</v>
      </c>
      <c r="F13" s="8">
        <f t="shared" si="0"/>
        <v>0</v>
      </c>
      <c r="G13" s="8">
        <f t="shared" si="1"/>
        <v>0</v>
      </c>
      <c r="H13" s="29">
        <v>1</v>
      </c>
      <c r="I13" s="8">
        <f t="shared" si="2"/>
        <v>0</v>
      </c>
      <c r="J13" s="30">
        <f t="shared" si="3"/>
        <v>0</v>
      </c>
      <c r="K13" s="30">
        <f t="shared" si="4"/>
        <v>0</v>
      </c>
      <c r="L13" s="8">
        <f t="shared" si="5"/>
        <v>0</v>
      </c>
      <c r="M13" s="8">
        <f t="shared" si="6"/>
        <v>0</v>
      </c>
    </row>
    <row r="14" spans="1:13" x14ac:dyDescent="0.25">
      <c r="A14" s="25" t="s">
        <v>32</v>
      </c>
      <c r="B14" s="3"/>
      <c r="C14" s="3"/>
      <c r="D14" s="3">
        <v>0.5</v>
      </c>
      <c r="E14" s="3">
        <v>0.7</v>
      </c>
      <c r="F14" s="8">
        <f t="shared" si="0"/>
        <v>0</v>
      </c>
      <c r="G14" s="8">
        <f t="shared" si="1"/>
        <v>0</v>
      </c>
      <c r="H14" s="29">
        <v>1</v>
      </c>
      <c r="I14" s="8">
        <f t="shared" si="2"/>
        <v>0</v>
      </c>
      <c r="J14" s="30">
        <f t="shared" si="3"/>
        <v>0</v>
      </c>
      <c r="K14" s="30">
        <f t="shared" si="4"/>
        <v>0</v>
      </c>
      <c r="L14" s="8">
        <f t="shared" si="5"/>
        <v>0</v>
      </c>
      <c r="M14" s="8">
        <f t="shared" si="6"/>
        <v>0</v>
      </c>
    </row>
    <row r="15" spans="1:13" x14ac:dyDescent="0.25">
      <c r="A15" s="25" t="s">
        <v>33</v>
      </c>
      <c r="B15" s="3"/>
      <c r="C15" s="3"/>
      <c r="D15" s="3">
        <v>1</v>
      </c>
      <c r="E15" s="3">
        <v>1.5</v>
      </c>
      <c r="F15" s="8">
        <f t="shared" si="0"/>
        <v>0</v>
      </c>
      <c r="G15" s="8">
        <f t="shared" si="1"/>
        <v>0</v>
      </c>
      <c r="H15" s="29">
        <v>1</v>
      </c>
      <c r="I15" s="8">
        <f t="shared" si="2"/>
        <v>0</v>
      </c>
      <c r="J15" s="30">
        <f t="shared" si="3"/>
        <v>0</v>
      </c>
      <c r="K15" s="30">
        <f t="shared" si="4"/>
        <v>0</v>
      </c>
      <c r="L15" s="8">
        <f t="shared" si="5"/>
        <v>0</v>
      </c>
      <c r="M15" s="8">
        <f t="shared" si="6"/>
        <v>0</v>
      </c>
    </row>
    <row r="16" spans="1:13" x14ac:dyDescent="0.25">
      <c r="A16" s="25" t="s">
        <v>34</v>
      </c>
      <c r="B16" s="3"/>
      <c r="C16" s="3"/>
      <c r="D16" s="3">
        <v>1.3</v>
      </c>
      <c r="E16" s="3">
        <v>1.7</v>
      </c>
      <c r="F16" s="8">
        <f t="shared" si="0"/>
        <v>0</v>
      </c>
      <c r="G16" s="8">
        <f t="shared" si="1"/>
        <v>0</v>
      </c>
      <c r="H16" s="29">
        <v>1</v>
      </c>
      <c r="I16" s="8">
        <f t="shared" si="2"/>
        <v>0</v>
      </c>
      <c r="J16" s="30">
        <f t="shared" si="3"/>
        <v>0</v>
      </c>
      <c r="K16" s="30">
        <f t="shared" si="4"/>
        <v>0</v>
      </c>
      <c r="L16" s="8">
        <f t="shared" si="5"/>
        <v>0</v>
      </c>
      <c r="M16" s="8">
        <f t="shared" si="6"/>
        <v>0</v>
      </c>
    </row>
    <row r="17" spans="1:13" ht="15.75" thickBot="1" x14ac:dyDescent="0.3">
      <c r="A17" s="28" t="s">
        <v>35</v>
      </c>
      <c r="B17" s="9"/>
      <c r="C17" s="9"/>
      <c r="D17" s="9">
        <v>2</v>
      </c>
      <c r="E17" s="9">
        <v>2.5</v>
      </c>
      <c r="F17" s="8">
        <f t="shared" si="0"/>
        <v>0</v>
      </c>
      <c r="G17" s="8">
        <f t="shared" si="1"/>
        <v>0</v>
      </c>
      <c r="H17" s="32">
        <v>1</v>
      </c>
      <c r="I17" s="8">
        <f t="shared" si="2"/>
        <v>0</v>
      </c>
      <c r="J17" s="30">
        <f t="shared" si="3"/>
        <v>0</v>
      </c>
      <c r="K17" s="30">
        <f t="shared" si="4"/>
        <v>0</v>
      </c>
      <c r="L17" s="8">
        <f t="shared" si="5"/>
        <v>0</v>
      </c>
      <c r="M17" s="8">
        <f t="shared" si="6"/>
        <v>0</v>
      </c>
    </row>
    <row r="18" spans="1:13" ht="15.75" thickBot="1" x14ac:dyDescent="0.3">
      <c r="A18" s="23" t="s">
        <v>43</v>
      </c>
      <c r="B18" s="10"/>
      <c r="C18" s="10"/>
      <c r="D18" s="10"/>
      <c r="E18" s="10"/>
      <c r="F18" s="10"/>
      <c r="G18" s="10"/>
      <c r="H18" s="31">
        <f>SUM(H9:H17)</f>
        <v>9</v>
      </c>
      <c r="I18" s="10"/>
      <c r="J18" s="31">
        <f>SUM(J9:J17)</f>
        <v>960</v>
      </c>
      <c r="K18" s="31">
        <f t="shared" ref="K18:M18" si="7">SUM(K9:K17)</f>
        <v>1280</v>
      </c>
      <c r="L18" s="10">
        <f t="shared" si="7"/>
        <v>3.5555555555555556E-2</v>
      </c>
      <c r="M18" s="10">
        <f t="shared" si="7"/>
        <v>4.7407407407407405E-2</v>
      </c>
    </row>
    <row r="22" spans="1:13" x14ac:dyDescent="0.25">
      <c r="A22" s="4"/>
      <c r="B22" s="4"/>
      <c r="C22" s="160" t="s">
        <v>36</v>
      </c>
      <c r="D22" s="161"/>
      <c r="E22" s="162" t="s">
        <v>37</v>
      </c>
      <c r="F22" s="162"/>
    </row>
    <row r="23" spans="1:13" s="36" customFormat="1" ht="30" customHeight="1" x14ac:dyDescent="0.25">
      <c r="A23" s="40"/>
      <c r="B23" s="59" t="s">
        <v>38</v>
      </c>
      <c r="C23" s="59" t="s">
        <v>39</v>
      </c>
      <c r="D23" s="59" t="s">
        <v>40</v>
      </c>
      <c r="E23" s="59" t="s">
        <v>39</v>
      </c>
      <c r="F23" s="59" t="s">
        <v>41</v>
      </c>
    </row>
    <row r="24" spans="1:13" x14ac:dyDescent="0.25">
      <c r="A24" s="15" t="s">
        <v>27</v>
      </c>
      <c r="B24" s="29">
        <v>1</v>
      </c>
      <c r="C24" s="3">
        <f>(B$6*D9)/B24</f>
        <v>96</v>
      </c>
      <c r="D24" s="29">
        <f>C24*B$5</f>
        <v>2592000</v>
      </c>
      <c r="E24" s="3">
        <f>(B$6*E9)/B24</f>
        <v>128</v>
      </c>
      <c r="F24" s="29">
        <f>E24*B$5</f>
        <v>3456000</v>
      </c>
    </row>
    <row r="25" spans="1:13" x14ac:dyDescent="0.25">
      <c r="A25" s="15" t="s">
        <v>28</v>
      </c>
      <c r="B25" s="29">
        <v>1</v>
      </c>
      <c r="C25" s="3">
        <f t="shared" ref="C25:C32" si="8">(B$6*D10)/B25</f>
        <v>176</v>
      </c>
      <c r="D25" s="29">
        <f t="shared" ref="D25:D32" si="9">C25*B$5</f>
        <v>4752000</v>
      </c>
      <c r="E25" s="3">
        <f t="shared" ref="E25:E32" si="10">(B$6*E10)/B25</f>
        <v>240</v>
      </c>
      <c r="F25" s="29">
        <f t="shared" ref="F25:F32" si="11">E25*B$5</f>
        <v>6480000</v>
      </c>
    </row>
    <row r="26" spans="1:13" x14ac:dyDescent="0.25">
      <c r="A26" s="15" t="s">
        <v>29</v>
      </c>
      <c r="B26" s="29">
        <v>1</v>
      </c>
      <c r="C26" s="3">
        <f t="shared" si="8"/>
        <v>80</v>
      </c>
      <c r="D26" s="29">
        <f t="shared" si="9"/>
        <v>2160000</v>
      </c>
      <c r="E26" s="3">
        <f t="shared" si="10"/>
        <v>144</v>
      </c>
      <c r="F26" s="29">
        <f t="shared" si="11"/>
        <v>3888000</v>
      </c>
    </row>
    <row r="27" spans="1:13" x14ac:dyDescent="0.25">
      <c r="A27" s="15" t="s">
        <v>30</v>
      </c>
      <c r="B27" s="29">
        <v>1</v>
      </c>
      <c r="C27" s="3">
        <f t="shared" si="8"/>
        <v>112</v>
      </c>
      <c r="D27" s="29">
        <f t="shared" si="9"/>
        <v>3024000</v>
      </c>
      <c r="E27" s="3">
        <f t="shared" si="10"/>
        <v>144</v>
      </c>
      <c r="F27" s="29">
        <f t="shared" si="11"/>
        <v>3888000</v>
      </c>
    </row>
    <row r="28" spans="1:13" x14ac:dyDescent="0.25">
      <c r="A28" s="15" t="s">
        <v>31</v>
      </c>
      <c r="B28" s="29">
        <v>1</v>
      </c>
      <c r="C28" s="3">
        <f t="shared" si="8"/>
        <v>192</v>
      </c>
      <c r="D28" s="29">
        <f t="shared" si="9"/>
        <v>5184000</v>
      </c>
      <c r="E28" s="3">
        <f t="shared" si="10"/>
        <v>368</v>
      </c>
      <c r="F28" s="29">
        <f t="shared" si="11"/>
        <v>9936000</v>
      </c>
    </row>
    <row r="29" spans="1:13" x14ac:dyDescent="0.25">
      <c r="A29" s="15" t="s">
        <v>32</v>
      </c>
      <c r="B29" s="29">
        <v>1</v>
      </c>
      <c r="C29" s="3">
        <f t="shared" si="8"/>
        <v>80</v>
      </c>
      <c r="D29" s="29">
        <f t="shared" si="9"/>
        <v>2160000</v>
      </c>
      <c r="E29" s="3">
        <f t="shared" si="10"/>
        <v>112</v>
      </c>
      <c r="F29" s="29">
        <f t="shared" si="11"/>
        <v>3024000</v>
      </c>
    </row>
    <row r="30" spans="1:13" x14ac:dyDescent="0.25">
      <c r="A30" s="15" t="s">
        <v>33</v>
      </c>
      <c r="B30" s="29">
        <v>1</v>
      </c>
      <c r="C30" s="3">
        <f t="shared" si="8"/>
        <v>160</v>
      </c>
      <c r="D30" s="29">
        <f t="shared" si="9"/>
        <v>4320000</v>
      </c>
      <c r="E30" s="3">
        <f t="shared" si="10"/>
        <v>240</v>
      </c>
      <c r="F30" s="29">
        <f t="shared" si="11"/>
        <v>6480000</v>
      </c>
    </row>
    <row r="31" spans="1:13" x14ac:dyDescent="0.25">
      <c r="A31" s="15" t="s">
        <v>34</v>
      </c>
      <c r="B31" s="29">
        <v>1</v>
      </c>
      <c r="C31" s="3">
        <f t="shared" si="8"/>
        <v>208</v>
      </c>
      <c r="D31" s="29">
        <f t="shared" si="9"/>
        <v>5616000</v>
      </c>
      <c r="E31" s="3">
        <f t="shared" si="10"/>
        <v>272</v>
      </c>
      <c r="F31" s="29">
        <f t="shared" si="11"/>
        <v>7344000</v>
      </c>
    </row>
    <row r="32" spans="1:13" ht="15.75" thickBot="1" x14ac:dyDescent="0.3">
      <c r="A32" s="12" t="s">
        <v>35</v>
      </c>
      <c r="B32" s="32">
        <v>1</v>
      </c>
      <c r="C32" s="3">
        <f t="shared" si="8"/>
        <v>320</v>
      </c>
      <c r="D32" s="29">
        <f t="shared" si="9"/>
        <v>8640000</v>
      </c>
      <c r="E32" s="3">
        <f t="shared" si="10"/>
        <v>400</v>
      </c>
      <c r="F32" s="29">
        <f t="shared" si="11"/>
        <v>10800000</v>
      </c>
    </row>
    <row r="33" spans="1:6" ht="15.75" thickBot="1" x14ac:dyDescent="0.3">
      <c r="A33" s="13" t="s">
        <v>42</v>
      </c>
      <c r="B33" s="31">
        <f>SUM(B24:B32)</f>
        <v>9</v>
      </c>
      <c r="C33" s="10">
        <f t="shared" ref="C33:F33" si="12">SUM(C24:C32)</f>
        <v>1424</v>
      </c>
      <c r="D33" s="31">
        <f t="shared" si="12"/>
        <v>38448000</v>
      </c>
      <c r="E33" s="10">
        <f t="shared" si="12"/>
        <v>2048</v>
      </c>
      <c r="F33" s="31">
        <f t="shared" si="12"/>
        <v>55296000</v>
      </c>
    </row>
  </sheetData>
  <mergeCells count="3">
    <mergeCell ref="C22:D22"/>
    <mergeCell ref="E22:F22"/>
    <mergeCell ref="A2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topLeftCell="A5" zoomScale="90" zoomScaleNormal="90" workbookViewId="0">
      <selection activeCell="I22" sqref="I22"/>
    </sheetView>
  </sheetViews>
  <sheetFormatPr baseColWidth="10" defaultColWidth="11.42578125" defaultRowHeight="15" x14ac:dyDescent="0.25"/>
  <cols>
    <col min="1" max="1" width="26.42578125" style="1" bestFit="1" customWidth="1"/>
    <col min="2" max="2" width="17.42578125" style="1" bestFit="1" customWidth="1"/>
    <col min="3" max="3" width="16.5703125" style="1" bestFit="1" customWidth="1"/>
    <col min="4" max="4" width="17.5703125" style="1" bestFit="1" customWidth="1"/>
    <col min="5" max="5" width="16.5703125" style="1" bestFit="1" customWidth="1"/>
    <col min="6" max="6" width="15.5703125" style="1" bestFit="1" customWidth="1"/>
    <col min="7" max="7" width="11.42578125" style="1"/>
    <col min="8" max="8" width="17" style="1" customWidth="1"/>
    <col min="9" max="9" width="15.85546875" style="1" customWidth="1"/>
    <col min="10" max="11" width="16.5703125" style="1" customWidth="1"/>
    <col min="12" max="12" width="15.85546875" style="1" customWidth="1"/>
    <col min="13" max="13" width="19" style="1" customWidth="1"/>
    <col min="14" max="16384" width="11.42578125" style="1"/>
  </cols>
  <sheetData>
    <row r="1" spans="1:13" s="2" customFormat="1" ht="15.75" thickBot="1" x14ac:dyDescent="0.3"/>
    <row r="2" spans="1:13" s="2" customFormat="1" ht="15.75" thickBot="1" x14ac:dyDescent="0.3">
      <c r="A2" s="158" t="s">
        <v>69</v>
      </c>
      <c r="B2" s="159"/>
    </row>
    <row r="3" spans="1:13" s="2" customFormat="1" x14ac:dyDescent="0.25">
      <c r="A3" s="7" t="s">
        <v>70</v>
      </c>
      <c r="B3" s="58">
        <v>600</v>
      </c>
    </row>
    <row r="4" spans="1:13" s="2" customFormat="1" x14ac:dyDescent="0.25">
      <c r="A4" s="5" t="s">
        <v>71</v>
      </c>
      <c r="B4" s="6">
        <v>700</v>
      </c>
    </row>
    <row r="5" spans="1:13" s="2" customFormat="1" x14ac:dyDescent="0.25">
      <c r="A5" s="5" t="s">
        <v>6</v>
      </c>
      <c r="B5" s="57">
        <v>27000</v>
      </c>
    </row>
    <row r="6" spans="1:13" s="2" customFormat="1" x14ac:dyDescent="0.25">
      <c r="A6" s="5" t="s">
        <v>86</v>
      </c>
      <c r="B6" s="57">
        <v>160</v>
      </c>
    </row>
    <row r="7" spans="1:13" ht="15.75" thickBot="1" x14ac:dyDescent="0.3"/>
    <row r="8" spans="1:13" s="36" customFormat="1" ht="15.75" thickBot="1" x14ac:dyDescent="0.3">
      <c r="A8" s="42"/>
      <c r="B8" s="43" t="s">
        <v>17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27" t="s">
        <v>27</v>
      </c>
      <c r="B9" s="8">
        <v>100</v>
      </c>
    </row>
    <row r="10" spans="1:13" x14ac:dyDescent="0.25">
      <c r="A10" s="25" t="s">
        <v>28</v>
      </c>
      <c r="B10" s="3"/>
    </row>
    <row r="11" spans="1:13" x14ac:dyDescent="0.25">
      <c r="A11" s="25" t="s">
        <v>29</v>
      </c>
      <c r="B11" s="3"/>
    </row>
    <row r="12" spans="1:13" x14ac:dyDescent="0.25">
      <c r="A12" s="25" t="s">
        <v>30</v>
      </c>
      <c r="B12" s="3"/>
    </row>
    <row r="13" spans="1:13" x14ac:dyDescent="0.25">
      <c r="A13" s="25" t="s">
        <v>31</v>
      </c>
      <c r="B13" s="3"/>
    </row>
    <row r="14" spans="1:13" x14ac:dyDescent="0.25">
      <c r="A14" s="25" t="s">
        <v>32</v>
      </c>
      <c r="B14" s="3"/>
    </row>
    <row r="15" spans="1:13" x14ac:dyDescent="0.25">
      <c r="A15" s="25" t="s">
        <v>33</v>
      </c>
      <c r="B15" s="3"/>
    </row>
    <row r="16" spans="1:13" x14ac:dyDescent="0.25">
      <c r="A16" s="25" t="s">
        <v>34</v>
      </c>
      <c r="B16" s="3"/>
    </row>
    <row r="17" spans="1:6" ht="15.75" thickBot="1" x14ac:dyDescent="0.3">
      <c r="A17" s="28" t="s">
        <v>35</v>
      </c>
      <c r="B17" s="9"/>
    </row>
    <row r="18" spans="1:6" ht="15.75" thickBot="1" x14ac:dyDescent="0.3">
      <c r="A18" s="23" t="s">
        <v>43</v>
      </c>
      <c r="B18" s="10"/>
    </row>
    <row r="22" spans="1:6" x14ac:dyDescent="0.25">
      <c r="A22" s="4"/>
      <c r="B22" s="4"/>
      <c r="C22" s="160" t="s">
        <v>36</v>
      </c>
      <c r="D22" s="161"/>
      <c r="E22" s="162" t="s">
        <v>37</v>
      </c>
      <c r="F22" s="162"/>
    </row>
    <row r="23" spans="1:6" s="36" customFormat="1" ht="30" customHeight="1" x14ac:dyDescent="0.25">
      <c r="A23" s="40"/>
      <c r="B23" s="59" t="s">
        <v>38</v>
      </c>
      <c r="C23" s="59" t="s">
        <v>39</v>
      </c>
      <c r="D23" s="59" t="s">
        <v>40</v>
      </c>
      <c r="E23" s="59" t="s">
        <v>39</v>
      </c>
      <c r="F23" s="59" t="s">
        <v>41</v>
      </c>
    </row>
    <row r="24" spans="1:6" x14ac:dyDescent="0.25">
      <c r="A24" s="15" t="s">
        <v>27</v>
      </c>
      <c r="B24" s="29">
        <v>1</v>
      </c>
      <c r="C24" s="3">
        <f>(B$6*D9)/B24</f>
        <v>0</v>
      </c>
      <c r="D24" s="29">
        <f>C24*B$5</f>
        <v>0</v>
      </c>
      <c r="E24" s="3">
        <f>(B$6*E9)/B24</f>
        <v>0</v>
      </c>
      <c r="F24" s="29">
        <f>E24*B$5</f>
        <v>0</v>
      </c>
    </row>
    <row r="25" spans="1:6" x14ac:dyDescent="0.25">
      <c r="A25" s="15" t="s">
        <v>28</v>
      </c>
      <c r="B25" s="29">
        <v>1</v>
      </c>
      <c r="C25" s="3">
        <f t="shared" ref="C25:C32" si="0">(B$6*D10)/B25</f>
        <v>0</v>
      </c>
      <c r="D25" s="29">
        <f t="shared" ref="D25:D32" si="1">C25*B$5</f>
        <v>0</v>
      </c>
      <c r="E25" s="3">
        <f t="shared" ref="E25:E32" si="2">(B$6*E10)/B25</f>
        <v>0</v>
      </c>
      <c r="F25" s="29">
        <f t="shared" ref="F25:F32" si="3">E25*B$5</f>
        <v>0</v>
      </c>
    </row>
    <row r="26" spans="1:6" x14ac:dyDescent="0.25">
      <c r="A26" s="15" t="s">
        <v>29</v>
      </c>
      <c r="B26" s="29">
        <v>1</v>
      </c>
      <c r="C26" s="3">
        <f t="shared" si="0"/>
        <v>0</v>
      </c>
      <c r="D26" s="29">
        <f t="shared" si="1"/>
        <v>0</v>
      </c>
      <c r="E26" s="3">
        <f t="shared" si="2"/>
        <v>0</v>
      </c>
      <c r="F26" s="29">
        <f t="shared" si="3"/>
        <v>0</v>
      </c>
    </row>
    <row r="27" spans="1:6" x14ac:dyDescent="0.25">
      <c r="A27" s="15" t="s">
        <v>30</v>
      </c>
      <c r="B27" s="29">
        <v>1</v>
      </c>
      <c r="C27" s="3">
        <f t="shared" si="0"/>
        <v>0</v>
      </c>
      <c r="D27" s="29">
        <f t="shared" si="1"/>
        <v>0</v>
      </c>
      <c r="E27" s="3">
        <f t="shared" si="2"/>
        <v>0</v>
      </c>
      <c r="F27" s="29">
        <f t="shared" si="3"/>
        <v>0</v>
      </c>
    </row>
    <row r="28" spans="1:6" x14ac:dyDescent="0.25">
      <c r="A28" s="15" t="s">
        <v>31</v>
      </c>
      <c r="B28" s="29">
        <v>1</v>
      </c>
      <c r="C28" s="3">
        <f t="shared" si="0"/>
        <v>0</v>
      </c>
      <c r="D28" s="29">
        <f t="shared" si="1"/>
        <v>0</v>
      </c>
      <c r="E28" s="3">
        <f t="shared" si="2"/>
        <v>0</v>
      </c>
      <c r="F28" s="29">
        <f t="shared" si="3"/>
        <v>0</v>
      </c>
    </row>
    <row r="29" spans="1:6" x14ac:dyDescent="0.25">
      <c r="A29" s="15" t="s">
        <v>32</v>
      </c>
      <c r="B29" s="29">
        <v>1</v>
      </c>
      <c r="C29" s="3">
        <f t="shared" si="0"/>
        <v>0</v>
      </c>
      <c r="D29" s="29">
        <f t="shared" si="1"/>
        <v>0</v>
      </c>
      <c r="E29" s="3">
        <f t="shared" si="2"/>
        <v>0</v>
      </c>
      <c r="F29" s="29">
        <f t="shared" si="3"/>
        <v>0</v>
      </c>
    </row>
    <row r="30" spans="1:6" x14ac:dyDescent="0.25">
      <c r="A30" s="15" t="s">
        <v>33</v>
      </c>
      <c r="B30" s="29">
        <v>1</v>
      </c>
      <c r="C30" s="3">
        <f t="shared" si="0"/>
        <v>0</v>
      </c>
      <c r="D30" s="29">
        <f t="shared" si="1"/>
        <v>0</v>
      </c>
      <c r="E30" s="3">
        <f t="shared" si="2"/>
        <v>0</v>
      </c>
      <c r="F30" s="29">
        <f t="shared" si="3"/>
        <v>0</v>
      </c>
    </row>
    <row r="31" spans="1:6" x14ac:dyDescent="0.25">
      <c r="A31" s="15" t="s">
        <v>34</v>
      </c>
      <c r="B31" s="29">
        <v>1</v>
      </c>
      <c r="C31" s="3">
        <f t="shared" si="0"/>
        <v>0</v>
      </c>
      <c r="D31" s="29">
        <f t="shared" si="1"/>
        <v>0</v>
      </c>
      <c r="E31" s="3">
        <f t="shared" si="2"/>
        <v>0</v>
      </c>
      <c r="F31" s="29">
        <f t="shared" si="3"/>
        <v>0</v>
      </c>
    </row>
    <row r="32" spans="1:6" ht="15.75" thickBot="1" x14ac:dyDescent="0.3">
      <c r="A32" s="12" t="s">
        <v>35</v>
      </c>
      <c r="B32" s="32">
        <v>1</v>
      </c>
      <c r="C32" s="3">
        <f t="shared" si="0"/>
        <v>0</v>
      </c>
      <c r="D32" s="29">
        <f t="shared" si="1"/>
        <v>0</v>
      </c>
      <c r="E32" s="3">
        <f t="shared" si="2"/>
        <v>0</v>
      </c>
      <c r="F32" s="29">
        <f t="shared" si="3"/>
        <v>0</v>
      </c>
    </row>
    <row r="33" spans="1:6" ht="15.75" thickBot="1" x14ac:dyDescent="0.3">
      <c r="A33" s="13" t="s">
        <v>42</v>
      </c>
      <c r="B33" s="31">
        <f>SUM(B24:B32)</f>
        <v>9</v>
      </c>
      <c r="C33" s="10">
        <f t="shared" ref="C33:F33" si="4">SUM(C24:C32)</f>
        <v>0</v>
      </c>
      <c r="D33" s="31">
        <f t="shared" si="4"/>
        <v>0</v>
      </c>
      <c r="E33" s="10">
        <f t="shared" si="4"/>
        <v>0</v>
      </c>
      <c r="F33" s="31">
        <f t="shared" si="4"/>
        <v>0</v>
      </c>
    </row>
  </sheetData>
  <mergeCells count="3">
    <mergeCell ref="A2:B2"/>
    <mergeCell ref="C22:D22"/>
    <mergeCell ref="E22:F2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36"/>
  <sheetViews>
    <sheetView tabSelected="1" workbookViewId="0">
      <selection activeCell="A37" sqref="A37"/>
    </sheetView>
  </sheetViews>
  <sheetFormatPr baseColWidth="10" defaultRowHeight="15" x14ac:dyDescent="0.25"/>
  <cols>
    <col min="1" max="1" width="27.42578125" bestFit="1" customWidth="1"/>
    <col min="2" max="2" width="10.85546875" bestFit="1" customWidth="1"/>
  </cols>
  <sheetData>
    <row r="2" spans="1:27" ht="15.75" customHeight="1" x14ac:dyDescent="0.25">
      <c r="A2" s="149"/>
      <c r="B2" s="150"/>
      <c r="C2" s="150" t="s">
        <v>143</v>
      </c>
      <c r="D2" s="150" t="s">
        <v>144</v>
      </c>
      <c r="E2" s="150" t="s">
        <v>145</v>
      </c>
      <c r="F2" s="150" t="s">
        <v>146</v>
      </c>
      <c r="G2" s="150" t="s">
        <v>147</v>
      </c>
      <c r="H2" s="150" t="s">
        <v>148</v>
      </c>
      <c r="I2" s="150" t="s">
        <v>149</v>
      </c>
      <c r="J2" s="150" t="s">
        <v>150</v>
      </c>
      <c r="K2" s="150" t="s">
        <v>151</v>
      </c>
      <c r="L2" s="150" t="s">
        <v>152</v>
      </c>
      <c r="M2" s="150" t="s">
        <v>153</v>
      </c>
      <c r="N2" s="150" t="s">
        <v>154</v>
      </c>
      <c r="O2" s="150" t="s">
        <v>155</v>
      </c>
      <c r="P2" s="150" t="s">
        <v>156</v>
      </c>
      <c r="Q2" s="150" t="s">
        <v>157</v>
      </c>
      <c r="R2" s="150" t="s">
        <v>158</v>
      </c>
      <c r="S2" s="150" t="s">
        <v>159</v>
      </c>
      <c r="T2" s="150" t="s">
        <v>160</v>
      </c>
      <c r="U2" s="150" t="s">
        <v>161</v>
      </c>
      <c r="V2" s="150" t="s">
        <v>162</v>
      </c>
      <c r="W2" s="150" t="s">
        <v>163</v>
      </c>
      <c r="X2" s="150" t="s">
        <v>164</v>
      </c>
      <c r="Y2" s="150" t="s">
        <v>165</v>
      </c>
      <c r="Z2" s="150" t="s">
        <v>166</v>
      </c>
      <c r="AA2" s="150" t="s">
        <v>167</v>
      </c>
    </row>
    <row r="3" spans="1:27" ht="15.75" customHeight="1" x14ac:dyDescent="0.25">
      <c r="A3" s="151" t="s">
        <v>113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</row>
    <row r="4" spans="1:27" ht="15.75" customHeight="1" x14ac:dyDescent="0.25">
      <c r="A4" s="151" t="s">
        <v>114</v>
      </c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</row>
    <row r="5" spans="1:27" ht="15.75" customHeight="1" x14ac:dyDescent="0.25">
      <c r="A5" s="151" t="s">
        <v>115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2"/>
      <c r="Y5" s="152"/>
      <c r="Z5" s="152"/>
      <c r="AA5" s="152"/>
    </row>
    <row r="6" spans="1:27" ht="15.75" customHeight="1" x14ac:dyDescent="0.25">
      <c r="A6" s="151" t="s">
        <v>116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</row>
    <row r="7" spans="1:27" ht="15.75" customHeight="1" x14ac:dyDescent="0.25">
      <c r="A7" s="151" t="s">
        <v>117</v>
      </c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</row>
    <row r="8" spans="1:27" ht="15.75" customHeight="1" x14ac:dyDescent="0.25">
      <c r="A8" s="151" t="s">
        <v>118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</row>
    <row r="9" spans="1:27" ht="15.75" customHeight="1" x14ac:dyDescent="0.25">
      <c r="A9" s="151" t="s">
        <v>119</v>
      </c>
      <c r="B9" s="152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  <c r="Z9" s="152"/>
      <c r="AA9" s="152"/>
    </row>
    <row r="10" spans="1:27" ht="15.75" customHeight="1" x14ac:dyDescent="0.25">
      <c r="A10" s="151" t="s">
        <v>120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  <c r="Z10" s="152"/>
      <c r="AA10" s="152"/>
    </row>
    <row r="11" spans="1:27" ht="15.75" customHeight="1" x14ac:dyDescent="0.25">
      <c r="A11" s="151" t="s">
        <v>121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</row>
    <row r="12" spans="1:27" ht="15.75" customHeight="1" x14ac:dyDescent="0.25">
      <c r="A12" s="151" t="s">
        <v>122</v>
      </c>
      <c r="B12" s="152"/>
      <c r="C12" s="152"/>
      <c r="D12" s="152"/>
      <c r="E12" s="152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  <c r="Z12" s="152"/>
      <c r="AA12" s="152"/>
    </row>
    <row r="13" spans="1:27" ht="15.75" customHeight="1" x14ac:dyDescent="0.25">
      <c r="A13" s="151" t="s">
        <v>123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</row>
    <row r="14" spans="1:27" ht="15.75" customHeight="1" x14ac:dyDescent="0.25">
      <c r="A14" s="151" t="s">
        <v>124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  <c r="Z14" s="152"/>
      <c r="AA14" s="152"/>
    </row>
    <row r="15" spans="1:27" ht="15.75" customHeight="1" x14ac:dyDescent="0.25">
      <c r="A15" s="151" t="s">
        <v>125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  <c r="Z15" s="152"/>
      <c r="AA15" s="152"/>
    </row>
    <row r="16" spans="1:27" ht="15.75" customHeight="1" x14ac:dyDescent="0.25">
      <c r="A16" s="151" t="s">
        <v>126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</row>
    <row r="17" spans="1:27" ht="15.75" customHeight="1" x14ac:dyDescent="0.25">
      <c r="A17" s="151" t="s">
        <v>127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  <c r="Z17" s="152"/>
      <c r="AA17" s="152"/>
    </row>
    <row r="18" spans="1:27" ht="15.75" customHeight="1" x14ac:dyDescent="0.25">
      <c r="A18" s="151" t="s">
        <v>128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  <c r="Z18" s="152"/>
      <c r="AA18" s="152"/>
    </row>
    <row r="19" spans="1:27" ht="15.75" customHeight="1" x14ac:dyDescent="0.25">
      <c r="A19" s="151" t="s">
        <v>129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</row>
    <row r="20" spans="1:27" ht="15.75" customHeight="1" x14ac:dyDescent="0.25">
      <c r="A20" s="151" t="s">
        <v>130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  <c r="Z20" s="152"/>
      <c r="AA20" s="152"/>
    </row>
    <row r="21" spans="1:27" ht="15.75" customHeight="1" x14ac:dyDescent="0.25">
      <c r="A21" s="151" t="s">
        <v>131</v>
      </c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</row>
    <row r="22" spans="1:27" x14ac:dyDescent="0.25">
      <c r="A22" s="151" t="s">
        <v>132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</row>
    <row r="23" spans="1:27" x14ac:dyDescent="0.25">
      <c r="A23" s="151" t="s">
        <v>133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</row>
    <row r="24" spans="1:27" x14ac:dyDescent="0.25">
      <c r="A24" s="151" t="s">
        <v>134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</row>
    <row r="25" spans="1:27" x14ac:dyDescent="0.25">
      <c r="A25" s="151" t="s">
        <v>135</v>
      </c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</row>
    <row r="26" spans="1:27" x14ac:dyDescent="0.25">
      <c r="A26" s="151" t="s">
        <v>136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</row>
    <row r="27" spans="1:27" x14ac:dyDescent="0.25">
      <c r="A27" s="151" t="s">
        <v>137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</row>
    <row r="28" spans="1:27" x14ac:dyDescent="0.25">
      <c r="A28" s="151" t="s">
        <v>138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</row>
    <row r="29" spans="1:27" x14ac:dyDescent="0.25">
      <c r="A29" s="151" t="s">
        <v>139</v>
      </c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</row>
    <row r="30" spans="1:27" x14ac:dyDescent="0.25">
      <c r="A30" s="151" t="s">
        <v>140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</row>
    <row r="31" spans="1:27" x14ac:dyDescent="0.25">
      <c r="A31" s="151" t="s">
        <v>141</v>
      </c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</row>
    <row r="32" spans="1:27" x14ac:dyDescent="0.25">
      <c r="A32" s="151" t="s">
        <v>142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</row>
    <row r="33" spans="1:27" x14ac:dyDescent="0.25">
      <c r="A33" s="153" t="s">
        <v>43</v>
      </c>
      <c r="B33" s="154"/>
      <c r="C33" s="154">
        <f>'[1]Costo en HH'!N214</f>
        <v>0</v>
      </c>
      <c r="D33" s="154">
        <f>'[1]Costo en HH'!O214</f>
        <v>0</v>
      </c>
      <c r="E33" s="154">
        <f>'[1]Costo en HH'!P214</f>
        <v>0</v>
      </c>
      <c r="F33" s="154">
        <f>'[1]Costo en HH'!Q214</f>
        <v>0</v>
      </c>
      <c r="G33" s="154">
        <f>'[1]Costo en HH'!R214</f>
        <v>0</v>
      </c>
      <c r="H33" s="154">
        <f>'[1]Costo en HH'!S214</f>
        <v>0</v>
      </c>
      <c r="I33" s="154">
        <f>'[1]Costo en HH'!T214</f>
        <v>0</v>
      </c>
      <c r="J33" s="154">
        <f>'[1]Costo en HH'!U214</f>
        <v>0</v>
      </c>
      <c r="K33" s="154">
        <f>'[1]Costo en HH'!V214</f>
        <v>0</v>
      </c>
      <c r="L33" s="154">
        <f>'[1]Costo en HH'!W214</f>
        <v>0</v>
      </c>
      <c r="M33" s="154">
        <f>'[1]Costo en HH'!X214</f>
        <v>0</v>
      </c>
      <c r="N33" s="154">
        <f>'[1]Costo en HH'!Y214</f>
        <v>0</v>
      </c>
      <c r="O33" s="154">
        <f>'[1]Costo en HH'!Z214</f>
        <v>0</v>
      </c>
      <c r="P33" s="154">
        <f>'[1]Costo en HH'!AA214</f>
        <v>0</v>
      </c>
      <c r="Q33" s="154">
        <f>'[1]Costo en HH'!AB214</f>
        <v>0</v>
      </c>
      <c r="R33" s="154">
        <f>'[1]Costo en HH'!AC214</f>
        <v>0</v>
      </c>
      <c r="S33" s="154">
        <f>'[1]Costo en HH'!AD214</f>
        <v>0</v>
      </c>
      <c r="T33" s="154">
        <f>'[1]Costo en HH'!AE214</f>
        <v>0</v>
      </c>
      <c r="U33" s="154">
        <f>'[1]Costo en HH'!AF214</f>
        <v>0</v>
      </c>
      <c r="V33" s="154">
        <f>'[1]Costo en HH'!AG214</f>
        <v>0</v>
      </c>
      <c r="W33" s="154">
        <f>'[1]Costo en HH'!AH214</f>
        <v>0</v>
      </c>
      <c r="X33" s="154">
        <f>'[1]Costo en HH'!AI214</f>
        <v>0</v>
      </c>
      <c r="Y33" s="154">
        <f>'[1]Costo en HH'!AJ214</f>
        <v>0</v>
      </c>
      <c r="Z33" s="154">
        <f>'[1]Costo en HH'!AK214</f>
        <v>0</v>
      </c>
      <c r="AA33" s="154">
        <f>'[1]Costo en HH'!AL214</f>
        <v>0</v>
      </c>
    </row>
    <row r="35" spans="1:27" x14ac:dyDescent="0.25">
      <c r="A35" s="155" t="s">
        <v>169</v>
      </c>
    </row>
    <row r="36" spans="1:27" x14ac:dyDescent="0.25">
      <c r="A36" s="155" t="s">
        <v>170</v>
      </c>
      <c r="K36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PARAMETROS</vt:lpstr>
      <vt:lpstr>RESUMEN (Obligatorio)</vt:lpstr>
      <vt:lpstr>CURVA S (Obligatorio)</vt:lpstr>
      <vt:lpstr>FLUJO CAJA NETO (Obligatorio)</vt:lpstr>
      <vt:lpstr>FLUJO DE CAJA COMPLETO</vt:lpstr>
      <vt:lpstr>FINANCIAMIENTO</vt:lpstr>
      <vt:lpstr>PCU-Esfuerzo</vt:lpstr>
      <vt:lpstr>Adquisiciones</vt:lpstr>
      <vt:lpstr>Costos HH - Sueldos</vt:lpstr>
      <vt:lpstr>Costos HH por Mes</vt:lpstr>
      <vt:lpstr>Costo Operacion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</dc:creator>
  <cp:lastModifiedBy>Antonio Moya</cp:lastModifiedBy>
  <dcterms:created xsi:type="dcterms:W3CDTF">2017-06-04T13:21:29Z</dcterms:created>
  <dcterms:modified xsi:type="dcterms:W3CDTF">2026-10-22T11:26:10Z</dcterms:modified>
</cp:coreProperties>
</file>