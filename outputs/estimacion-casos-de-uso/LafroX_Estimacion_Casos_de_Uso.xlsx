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lexa\Desktop\LafroX\outputs\estimacion-casos-de-uso\"/>
    </mc:Choice>
  </mc:AlternateContent>
  <xr:revisionPtr revIDLastSave="0" documentId="13_ncr:1_{4867EB18-2F81-4FAE-985C-2A2E84115259}" xr6:coauthVersionLast="47" xr6:coauthVersionMax="47" xr10:uidLastSave="{00000000-0000-0000-0000-000000000000}"/>
  <bookViews>
    <workbookView xWindow="-108" yWindow="-108" windowWidth="23256" windowHeight="12456" xr2:uid="{00000000-000D-0000-FFFF-FFFF00000000}"/>
  </bookViews>
  <sheets>
    <sheet name="Resumen" sheetId="1" r:id="rId1"/>
    <sheet name="Catalogo CU" sheetId="2" r:id="rId2"/>
    <sheet name="Transacciones" sheetId="3" r:id="rId3"/>
    <sheet name="Actores UAW" sheetId="4" r:id="rId4"/>
    <sheet name="Casos UUCW" sheetId="5" r:id="rId5"/>
    <sheet name="Puntos sin ajustar" sheetId="6" r:id="rId6"/>
    <sheet name="Factores tecnicos" sheetId="7" r:id="rId7"/>
    <sheet name="Factores ambiente" sheetId="8" r:id="rId8"/>
    <sheet name="Puntos ajustados" sheetId="9" r:id="rId9"/>
    <sheet name="Esfuerzo" sheetId="10" r:id="rId10"/>
    <sheet name="Cobertura" sheetId="11" r:id="rId11"/>
    <sheet name="Criterios y fuentes" sheetId="12" r:id="rId12"/>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3" i="11" l="1"/>
  <c r="F192" i="11"/>
  <c r="F191" i="11"/>
  <c r="F190" i="11"/>
  <c r="F189" i="11"/>
  <c r="F188" i="11"/>
  <c r="F187" i="11"/>
  <c r="F186" i="11"/>
  <c r="F185" i="11"/>
  <c r="F184" i="11"/>
  <c r="F183" i="11"/>
  <c r="F182" i="11"/>
  <c r="F181" i="11"/>
  <c r="F180" i="11"/>
  <c r="F179" i="11"/>
  <c r="F178" i="11"/>
  <c r="F177" i="11"/>
  <c r="F176" i="11"/>
  <c r="F175" i="11"/>
  <c r="F174" i="11"/>
  <c r="F173" i="11"/>
  <c r="F172" i="11"/>
  <c r="F171" i="11"/>
  <c r="F170" i="11"/>
  <c r="F169" i="11"/>
  <c r="F168" i="11"/>
  <c r="F167" i="11"/>
  <c r="F166" i="11"/>
  <c r="F165" i="11"/>
  <c r="F164" i="11"/>
  <c r="F163" i="11"/>
  <c r="F162" i="11"/>
  <c r="F161" i="11"/>
  <c r="F160" i="11"/>
  <c r="F159" i="11"/>
  <c r="F158" i="11"/>
  <c r="F157" i="11"/>
  <c r="F156" i="11"/>
  <c r="F155" i="11"/>
  <c r="F154" i="11"/>
  <c r="F153" i="11"/>
  <c r="F152" i="11"/>
  <c r="F151" i="11"/>
  <c r="F150" i="11"/>
  <c r="F149" i="11"/>
  <c r="F148" i="11"/>
  <c r="F147" i="11"/>
  <c r="F146" i="11"/>
  <c r="F145" i="11"/>
  <c r="F144" i="11"/>
  <c r="F143" i="11"/>
  <c r="F142" i="11"/>
  <c r="F141" i="11"/>
  <c r="F140" i="11"/>
  <c r="F139" i="11"/>
  <c r="F138" i="11"/>
  <c r="F137" i="11"/>
  <c r="F136" i="11"/>
  <c r="F135" i="11"/>
  <c r="F134" i="11"/>
  <c r="F133" i="11"/>
  <c r="F132" i="11"/>
  <c r="F131" i="11"/>
  <c r="F130" i="11"/>
  <c r="F129" i="11"/>
  <c r="F128" i="11"/>
  <c r="F127" i="11"/>
  <c r="F126" i="11"/>
  <c r="F125" i="11"/>
  <c r="F124" i="11"/>
  <c r="F123" i="11"/>
  <c r="F122" i="11"/>
  <c r="F121" i="11"/>
  <c r="F120" i="11"/>
  <c r="F119" i="11"/>
  <c r="F118" i="11"/>
  <c r="F117" i="11"/>
  <c r="F116" i="11"/>
  <c r="F115" i="11"/>
  <c r="F114" i="11"/>
  <c r="F113" i="11"/>
  <c r="F112" i="11"/>
  <c r="F111" i="11"/>
  <c r="F110" i="11"/>
  <c r="F109" i="11"/>
  <c r="F108" i="11"/>
  <c r="F107" i="11"/>
  <c r="F106" i="11"/>
  <c r="F105" i="11"/>
  <c r="F104" i="11"/>
  <c r="F103" i="11"/>
  <c r="F102" i="11"/>
  <c r="F101" i="11"/>
  <c r="F100" i="11"/>
  <c r="F99" i="11"/>
  <c r="F98" i="11"/>
  <c r="F97" i="11"/>
  <c r="F96" i="11"/>
  <c r="F95" i="11"/>
  <c r="F94" i="11"/>
  <c r="F93" i="11"/>
  <c r="F92" i="11"/>
  <c r="F91" i="11"/>
  <c r="F90" i="11"/>
  <c r="F89" i="11"/>
  <c r="F88" i="11"/>
  <c r="F87" i="11"/>
  <c r="F86" i="11"/>
  <c r="F85" i="11"/>
  <c r="F84" i="11"/>
  <c r="F83" i="11"/>
  <c r="F82" i="11"/>
  <c r="F81" i="11"/>
  <c r="F80" i="11"/>
  <c r="F79" i="11"/>
  <c r="F78" i="11"/>
  <c r="F77" i="11"/>
  <c r="F76" i="11"/>
  <c r="F75" i="11"/>
  <c r="F74" i="11"/>
  <c r="F73" i="11"/>
  <c r="F72" i="11"/>
  <c r="F71" i="11"/>
  <c r="F70" i="11"/>
  <c r="F69" i="11"/>
  <c r="F68" i="11"/>
  <c r="F67" i="11"/>
  <c r="F66" i="11"/>
  <c r="F65" i="11"/>
  <c r="F64" i="11"/>
  <c r="F63" i="11"/>
  <c r="F62" i="11"/>
  <c r="F61" i="11"/>
  <c r="F60" i="11"/>
  <c r="F59" i="11"/>
  <c r="F58" i="11"/>
  <c r="F57" i="11"/>
  <c r="F56" i="11"/>
  <c r="F55" i="11"/>
  <c r="F54" i="11"/>
  <c r="F53" i="11"/>
  <c r="F52" i="11"/>
  <c r="F51" i="11"/>
  <c r="F50" i="11"/>
  <c r="F49" i="11"/>
  <c r="F48" i="11"/>
  <c r="F47" i="11"/>
  <c r="F46" i="11"/>
  <c r="F45" i="11"/>
  <c r="F44" i="11"/>
  <c r="F43" i="11"/>
  <c r="F42" i="11"/>
  <c r="F41" i="11"/>
  <c r="F40" i="11"/>
  <c r="F39" i="11"/>
  <c r="F38" i="11"/>
  <c r="F37" i="11"/>
  <c r="F36" i="11"/>
  <c r="F35" i="11"/>
  <c r="F34" i="11"/>
  <c r="F33" i="11"/>
  <c r="F32" i="11"/>
  <c r="F31" i="11"/>
  <c r="F30" i="11"/>
  <c r="F29" i="11"/>
  <c r="F28" i="11"/>
  <c r="F27" i="11"/>
  <c r="F26" i="11"/>
  <c r="F25" i="11"/>
  <c r="F24" i="11"/>
  <c r="F23" i="11"/>
  <c r="F22" i="11"/>
  <c r="F21" i="11"/>
  <c r="F20" i="11"/>
  <c r="F19" i="11"/>
  <c r="F18" i="11"/>
  <c r="F17" i="11"/>
  <c r="F16" i="11"/>
  <c r="F15" i="11"/>
  <c r="F14" i="11"/>
  <c r="F13" i="11"/>
  <c r="F12" i="11"/>
  <c r="F11" i="11"/>
  <c r="F10" i="11"/>
  <c r="F9" i="11"/>
  <c r="B25" i="10"/>
  <c r="B13" i="10"/>
  <c r="I16" i="8"/>
  <c r="I15" i="8"/>
  <c r="I14" i="8"/>
  <c r="I13" i="8"/>
  <c r="I12" i="8"/>
  <c r="I11" i="8"/>
  <c r="I10" i="8"/>
  <c r="I9" i="8"/>
  <c r="H21" i="7"/>
  <c r="E21" i="7"/>
  <c r="H20" i="7"/>
  <c r="E20" i="7" s="1"/>
  <c r="H19" i="7"/>
  <c r="E19" i="7"/>
  <c r="H18" i="7"/>
  <c r="E18" i="7" s="1"/>
  <c r="H17" i="7"/>
  <c r="E17" i="7" s="1"/>
  <c r="H16" i="7"/>
  <c r="E16" i="7"/>
  <c r="H15" i="7"/>
  <c r="E15" i="7" s="1"/>
  <c r="H14" i="7"/>
  <c r="E14" i="7"/>
  <c r="H13" i="7"/>
  <c r="E13" i="7"/>
  <c r="H12" i="7"/>
  <c r="E12" i="7"/>
  <c r="H11" i="7"/>
  <c r="E11" i="7"/>
  <c r="H10" i="7"/>
  <c r="E10" i="7"/>
  <c r="H9" i="7"/>
  <c r="E9" i="7"/>
  <c r="D99" i="5"/>
  <c r="C99" i="5"/>
  <c r="B99" i="5"/>
  <c r="D98" i="5"/>
  <c r="C98" i="5"/>
  <c r="B98" i="5"/>
  <c r="D97" i="5"/>
  <c r="C97" i="5"/>
  <c r="B97" i="5"/>
  <c r="D96" i="5"/>
  <c r="C96" i="5"/>
  <c r="B96" i="5"/>
  <c r="D95" i="5"/>
  <c r="C95" i="5"/>
  <c r="B95" i="5"/>
  <c r="D94" i="5"/>
  <c r="C94" i="5"/>
  <c r="B94" i="5"/>
  <c r="D93" i="5"/>
  <c r="C93" i="5"/>
  <c r="B93" i="5"/>
  <c r="D92" i="5"/>
  <c r="C92" i="5"/>
  <c r="B92" i="5"/>
  <c r="D91" i="5"/>
  <c r="C91" i="5"/>
  <c r="B91" i="5"/>
  <c r="D90" i="5"/>
  <c r="C90" i="5"/>
  <c r="B90" i="5"/>
  <c r="D89" i="5"/>
  <c r="C89" i="5"/>
  <c r="B89" i="5"/>
  <c r="D88" i="5"/>
  <c r="C88" i="5"/>
  <c r="B88" i="5"/>
  <c r="D87" i="5"/>
  <c r="C87" i="5"/>
  <c r="B87" i="5"/>
  <c r="D86" i="5"/>
  <c r="C86" i="5"/>
  <c r="B86" i="5"/>
  <c r="D85" i="5"/>
  <c r="C85" i="5"/>
  <c r="B85" i="5"/>
  <c r="D84" i="5"/>
  <c r="C84" i="5"/>
  <c r="B84" i="5"/>
  <c r="D83" i="5"/>
  <c r="C83" i="5"/>
  <c r="B83" i="5"/>
  <c r="D82" i="5"/>
  <c r="C82" i="5"/>
  <c r="B82" i="5"/>
  <c r="D81" i="5"/>
  <c r="C81" i="5"/>
  <c r="B81" i="5"/>
  <c r="D80" i="5"/>
  <c r="C80" i="5"/>
  <c r="B80" i="5"/>
  <c r="D79" i="5"/>
  <c r="C79" i="5"/>
  <c r="B79" i="5"/>
  <c r="D78" i="5"/>
  <c r="C78" i="5"/>
  <c r="B78" i="5"/>
  <c r="D77" i="5"/>
  <c r="C77" i="5"/>
  <c r="B77" i="5"/>
  <c r="D76" i="5"/>
  <c r="C76" i="5"/>
  <c r="B76" i="5"/>
  <c r="D75" i="5"/>
  <c r="C75" i="5"/>
  <c r="B75" i="5"/>
  <c r="D74" i="5"/>
  <c r="C74" i="5"/>
  <c r="B74" i="5"/>
  <c r="D73" i="5"/>
  <c r="C73" i="5"/>
  <c r="B73" i="5"/>
  <c r="D72" i="5"/>
  <c r="C72" i="5"/>
  <c r="B72" i="5"/>
  <c r="D71" i="5"/>
  <c r="C71" i="5"/>
  <c r="B71" i="5"/>
  <c r="D70" i="5"/>
  <c r="C70" i="5"/>
  <c r="B70" i="5"/>
  <c r="D69" i="5"/>
  <c r="C69" i="5"/>
  <c r="B69" i="5"/>
  <c r="D68" i="5"/>
  <c r="C68" i="5"/>
  <c r="B68" i="5"/>
  <c r="D67" i="5"/>
  <c r="C67" i="5"/>
  <c r="B67" i="5"/>
  <c r="D66" i="5"/>
  <c r="C66" i="5"/>
  <c r="B66" i="5"/>
  <c r="D65" i="5"/>
  <c r="C65" i="5"/>
  <c r="B65" i="5"/>
  <c r="D64" i="5"/>
  <c r="C64" i="5"/>
  <c r="B64" i="5"/>
  <c r="D63" i="5"/>
  <c r="C63" i="5"/>
  <c r="B63" i="5"/>
  <c r="D62" i="5"/>
  <c r="C62" i="5"/>
  <c r="B62" i="5"/>
  <c r="D61" i="5"/>
  <c r="C61" i="5"/>
  <c r="B61" i="5"/>
  <c r="D60" i="5"/>
  <c r="C60" i="5"/>
  <c r="B60" i="5"/>
  <c r="D59" i="5"/>
  <c r="C59" i="5"/>
  <c r="B59" i="5"/>
  <c r="D58" i="5"/>
  <c r="C58" i="5"/>
  <c r="B58" i="5"/>
  <c r="D57" i="5"/>
  <c r="C57" i="5"/>
  <c r="B57" i="5"/>
  <c r="D56" i="5"/>
  <c r="C56" i="5"/>
  <c r="B56" i="5"/>
  <c r="D55" i="5"/>
  <c r="C55" i="5"/>
  <c r="B55" i="5"/>
  <c r="D54" i="5"/>
  <c r="C54" i="5"/>
  <c r="B54" i="5"/>
  <c r="D53" i="5"/>
  <c r="C53" i="5"/>
  <c r="B53" i="5"/>
  <c r="D52" i="5"/>
  <c r="C52" i="5"/>
  <c r="B52" i="5"/>
  <c r="D51" i="5"/>
  <c r="C51" i="5"/>
  <c r="B51" i="5"/>
  <c r="D50" i="5"/>
  <c r="C50" i="5"/>
  <c r="B50" i="5"/>
  <c r="D49" i="5"/>
  <c r="C49" i="5"/>
  <c r="B49" i="5"/>
  <c r="D48" i="5"/>
  <c r="C48" i="5"/>
  <c r="B48" i="5"/>
  <c r="D47" i="5"/>
  <c r="C47" i="5"/>
  <c r="B47" i="5"/>
  <c r="D46" i="5"/>
  <c r="C46" i="5"/>
  <c r="B46" i="5"/>
  <c r="D45" i="5"/>
  <c r="C45" i="5"/>
  <c r="B45" i="5"/>
  <c r="D44" i="5"/>
  <c r="C44" i="5"/>
  <c r="B44" i="5"/>
  <c r="D43" i="5"/>
  <c r="C43" i="5"/>
  <c r="B43" i="5"/>
  <c r="D42" i="5"/>
  <c r="C42" i="5"/>
  <c r="B42" i="5"/>
  <c r="D41" i="5"/>
  <c r="C41" i="5"/>
  <c r="B41" i="5"/>
  <c r="D40" i="5"/>
  <c r="C40" i="5"/>
  <c r="B40" i="5"/>
  <c r="D39" i="5"/>
  <c r="C39" i="5"/>
  <c r="B39" i="5"/>
  <c r="D38" i="5"/>
  <c r="C38" i="5"/>
  <c r="B38" i="5"/>
  <c r="D37" i="5"/>
  <c r="C37" i="5"/>
  <c r="B37" i="5"/>
  <c r="D36" i="5"/>
  <c r="C36" i="5"/>
  <c r="B36" i="5"/>
  <c r="D35" i="5"/>
  <c r="C35" i="5"/>
  <c r="B35" i="5"/>
  <c r="D34" i="5"/>
  <c r="C34" i="5"/>
  <c r="B34" i="5"/>
  <c r="D33" i="5"/>
  <c r="C33" i="5"/>
  <c r="B33" i="5"/>
  <c r="D32" i="5"/>
  <c r="C32" i="5"/>
  <c r="B32" i="5"/>
  <c r="D31" i="5"/>
  <c r="C31" i="5"/>
  <c r="B31" i="5"/>
  <c r="D30" i="5"/>
  <c r="C30" i="5"/>
  <c r="B30" i="5"/>
  <c r="D29" i="5"/>
  <c r="C29" i="5"/>
  <c r="B29" i="5"/>
  <c r="D28" i="5"/>
  <c r="C28" i="5"/>
  <c r="B28" i="5"/>
  <c r="D27" i="5"/>
  <c r="C27" i="5"/>
  <c r="B27" i="5"/>
  <c r="D26" i="5"/>
  <c r="C26" i="5"/>
  <c r="B26" i="5"/>
  <c r="D25" i="5"/>
  <c r="C25" i="5"/>
  <c r="B25" i="5"/>
  <c r="D24" i="5"/>
  <c r="C24" i="5"/>
  <c r="B24" i="5"/>
  <c r="D23" i="5"/>
  <c r="C23" i="5"/>
  <c r="B23" i="5"/>
  <c r="D22" i="5"/>
  <c r="C22" i="5"/>
  <c r="B22" i="5"/>
  <c r="D21" i="5"/>
  <c r="C21" i="5"/>
  <c r="B21" i="5"/>
  <c r="D20" i="5"/>
  <c r="C20" i="5"/>
  <c r="B20" i="5"/>
  <c r="D19" i="5"/>
  <c r="C19" i="5"/>
  <c r="B19" i="5"/>
  <c r="D18" i="5"/>
  <c r="C18" i="5"/>
  <c r="B18" i="5"/>
  <c r="D17" i="5"/>
  <c r="C17" i="5"/>
  <c r="B17" i="5"/>
  <c r="D16" i="5"/>
  <c r="C16" i="5"/>
  <c r="B16" i="5"/>
  <c r="D15" i="5"/>
  <c r="C15" i="5"/>
  <c r="B15" i="5"/>
  <c r="D14" i="5"/>
  <c r="C14" i="5"/>
  <c r="B14" i="5"/>
  <c r="D13" i="5"/>
  <c r="C13" i="5"/>
  <c r="B13" i="5"/>
  <c r="D12" i="5"/>
  <c r="C12" i="5"/>
  <c r="B12" i="5"/>
  <c r="D11" i="5"/>
  <c r="C11" i="5"/>
  <c r="B11" i="5"/>
  <c r="D10" i="5"/>
  <c r="C10" i="5"/>
  <c r="B10" i="5"/>
  <c r="D9" i="5"/>
  <c r="C9" i="5"/>
  <c r="B9" i="5"/>
  <c r="J40" i="4"/>
  <c r="D40" i="4"/>
  <c r="F40" i="4" s="1"/>
  <c r="J39" i="4"/>
  <c r="D39" i="4"/>
  <c r="F39" i="4" s="1"/>
  <c r="J38" i="4"/>
  <c r="D38" i="4"/>
  <c r="F38" i="4" s="1"/>
  <c r="J37" i="4"/>
  <c r="D37" i="4"/>
  <c r="F37" i="4" s="1"/>
  <c r="J36" i="4"/>
  <c r="D36" i="4"/>
  <c r="F36" i="4" s="1"/>
  <c r="J35" i="4"/>
  <c r="D35" i="4"/>
  <c r="F35" i="4" s="1"/>
  <c r="J34" i="4"/>
  <c r="D34" i="4"/>
  <c r="F34" i="4" s="1"/>
  <c r="J33" i="4"/>
  <c r="D33" i="4"/>
  <c r="F33" i="4" s="1"/>
  <c r="J32" i="4"/>
  <c r="D32" i="4"/>
  <c r="F32" i="4" s="1"/>
  <c r="J31" i="4"/>
  <c r="D31" i="4"/>
  <c r="F31" i="4" s="1"/>
  <c r="J30" i="4"/>
  <c r="D30" i="4"/>
  <c r="F30" i="4" s="1"/>
  <c r="G30" i="4" s="1"/>
  <c r="J29" i="4"/>
  <c r="D29" i="4"/>
  <c r="F29" i="4" s="1"/>
  <c r="G29" i="4" s="1"/>
  <c r="J28" i="4"/>
  <c r="D28" i="4"/>
  <c r="F28" i="4" s="1"/>
  <c r="G28" i="4" s="1"/>
  <c r="J27" i="4"/>
  <c r="D27" i="4"/>
  <c r="F27" i="4" s="1"/>
  <c r="J26" i="4"/>
  <c r="D26" i="4"/>
  <c r="F26" i="4" s="1"/>
  <c r="G26" i="4" s="1"/>
  <c r="J25" i="4"/>
  <c r="D25" i="4"/>
  <c r="F25" i="4" s="1"/>
  <c r="J24" i="4"/>
  <c r="D24" i="4"/>
  <c r="F24" i="4" s="1"/>
  <c r="J23" i="4"/>
  <c r="D23" i="4"/>
  <c r="F23" i="4" s="1"/>
  <c r="J22" i="4"/>
  <c r="D22" i="4"/>
  <c r="F22" i="4" s="1"/>
  <c r="J21" i="4"/>
  <c r="D21" i="4"/>
  <c r="F21" i="4" s="1"/>
  <c r="J20" i="4"/>
  <c r="D20" i="4"/>
  <c r="F20" i="4" s="1"/>
  <c r="J19" i="4"/>
  <c r="D19" i="4"/>
  <c r="F19" i="4" s="1"/>
  <c r="J18" i="4"/>
  <c r="D18" i="4"/>
  <c r="F18" i="4" s="1"/>
  <c r="J17" i="4"/>
  <c r="D17" i="4"/>
  <c r="F17" i="4" s="1"/>
  <c r="J16" i="4"/>
  <c r="D16" i="4"/>
  <c r="F16" i="4" s="1"/>
  <c r="J15" i="4"/>
  <c r="D15" i="4"/>
  <c r="F15" i="4" s="1"/>
  <c r="J14" i="4"/>
  <c r="D14" i="4"/>
  <c r="F14" i="4" s="1"/>
  <c r="J13" i="4"/>
  <c r="D13" i="4"/>
  <c r="F13" i="4" s="1"/>
  <c r="J12" i="4"/>
  <c r="D12" i="4"/>
  <c r="F12" i="4" s="1"/>
  <c r="J11" i="4"/>
  <c r="D11" i="4"/>
  <c r="F11" i="4" s="1"/>
  <c r="J10" i="4"/>
  <c r="D10" i="4"/>
  <c r="F10" i="4" s="1"/>
  <c r="J9" i="4"/>
  <c r="D9" i="4"/>
  <c r="F9" i="4" s="1"/>
  <c r="H398" i="3"/>
  <c r="H397" i="3"/>
  <c r="H396" i="3"/>
  <c r="H395" i="3"/>
  <c r="H394" i="3"/>
  <c r="H393" i="3"/>
  <c r="H392" i="3"/>
  <c r="H391" i="3"/>
  <c r="H390" i="3"/>
  <c r="H389" i="3"/>
  <c r="H388" i="3"/>
  <c r="H387" i="3"/>
  <c r="H386" i="3"/>
  <c r="H385" i="3"/>
  <c r="H384" i="3"/>
  <c r="H383" i="3"/>
  <c r="H382" i="3"/>
  <c r="H381" i="3"/>
  <c r="H380" i="3"/>
  <c r="H379" i="3"/>
  <c r="H378" i="3"/>
  <c r="H377" i="3"/>
  <c r="H376" i="3"/>
  <c r="H375" i="3"/>
  <c r="H374" i="3"/>
  <c r="H373" i="3"/>
  <c r="H372" i="3"/>
  <c r="H371" i="3"/>
  <c r="H370" i="3"/>
  <c r="H369" i="3"/>
  <c r="H368" i="3"/>
  <c r="H367" i="3"/>
  <c r="H366" i="3"/>
  <c r="H365" i="3"/>
  <c r="H364" i="3"/>
  <c r="H363" i="3"/>
  <c r="H362" i="3"/>
  <c r="H361" i="3"/>
  <c r="H360" i="3"/>
  <c r="H359" i="3"/>
  <c r="H358" i="3"/>
  <c r="H357" i="3"/>
  <c r="H356" i="3"/>
  <c r="H355" i="3"/>
  <c r="H354" i="3"/>
  <c r="H353" i="3"/>
  <c r="H352" i="3"/>
  <c r="H351" i="3"/>
  <c r="H350" i="3"/>
  <c r="H349" i="3"/>
  <c r="H348" i="3"/>
  <c r="H347" i="3"/>
  <c r="H346" i="3"/>
  <c r="H345" i="3"/>
  <c r="H344" i="3"/>
  <c r="H343" i="3"/>
  <c r="H342" i="3"/>
  <c r="H341" i="3"/>
  <c r="H340" i="3"/>
  <c r="H339" i="3"/>
  <c r="H338" i="3"/>
  <c r="H337" i="3"/>
  <c r="H336" i="3"/>
  <c r="H335" i="3"/>
  <c r="H334" i="3"/>
  <c r="H333" i="3"/>
  <c r="H332" i="3"/>
  <c r="H331" i="3"/>
  <c r="H330" i="3"/>
  <c r="H329" i="3"/>
  <c r="H328" i="3"/>
  <c r="H327" i="3"/>
  <c r="H326" i="3"/>
  <c r="H325" i="3"/>
  <c r="H324" i="3"/>
  <c r="H323" i="3"/>
  <c r="H322" i="3"/>
  <c r="H321" i="3"/>
  <c r="H320" i="3"/>
  <c r="H319" i="3"/>
  <c r="H318" i="3"/>
  <c r="H317" i="3"/>
  <c r="H316" i="3"/>
  <c r="H315" i="3"/>
  <c r="H314" i="3"/>
  <c r="H313" i="3"/>
  <c r="H312" i="3"/>
  <c r="H311" i="3"/>
  <c r="H310" i="3"/>
  <c r="H309" i="3"/>
  <c r="H308" i="3"/>
  <c r="H307" i="3"/>
  <c r="H306" i="3"/>
  <c r="H305" i="3"/>
  <c r="H304" i="3"/>
  <c r="H303" i="3"/>
  <c r="H302" i="3"/>
  <c r="H301" i="3"/>
  <c r="H300" i="3"/>
  <c r="H299" i="3"/>
  <c r="H298" i="3"/>
  <c r="H297" i="3"/>
  <c r="H296" i="3"/>
  <c r="H295" i="3"/>
  <c r="H294" i="3"/>
  <c r="H293" i="3"/>
  <c r="H292" i="3"/>
  <c r="H291" i="3"/>
  <c r="H290" i="3"/>
  <c r="H289" i="3"/>
  <c r="H288" i="3"/>
  <c r="H287" i="3"/>
  <c r="H286" i="3"/>
  <c r="H285" i="3"/>
  <c r="H284" i="3"/>
  <c r="H283" i="3"/>
  <c r="H282" i="3"/>
  <c r="H281" i="3"/>
  <c r="H280" i="3"/>
  <c r="H279" i="3"/>
  <c r="H278" i="3"/>
  <c r="H277" i="3"/>
  <c r="H276" i="3"/>
  <c r="H275" i="3"/>
  <c r="H274" i="3"/>
  <c r="H273" i="3"/>
  <c r="H272" i="3"/>
  <c r="H271" i="3"/>
  <c r="H270" i="3"/>
  <c r="H269" i="3"/>
  <c r="H268" i="3"/>
  <c r="H267" i="3"/>
  <c r="H266" i="3"/>
  <c r="H265" i="3"/>
  <c r="H264" i="3"/>
  <c r="H263" i="3"/>
  <c r="H262" i="3"/>
  <c r="H261" i="3"/>
  <c r="H260" i="3"/>
  <c r="H259" i="3"/>
  <c r="H258" i="3"/>
  <c r="H257" i="3"/>
  <c r="H256" i="3"/>
  <c r="H255" i="3"/>
  <c r="H254" i="3"/>
  <c r="H253" i="3"/>
  <c r="H252" i="3"/>
  <c r="H251" i="3"/>
  <c r="H250" i="3"/>
  <c r="H249" i="3"/>
  <c r="H248" i="3"/>
  <c r="H247" i="3"/>
  <c r="H246" i="3"/>
  <c r="H245" i="3"/>
  <c r="H244" i="3"/>
  <c r="H243" i="3"/>
  <c r="H242" i="3"/>
  <c r="H241" i="3"/>
  <c r="H240" i="3"/>
  <c r="H239" i="3"/>
  <c r="H238" i="3"/>
  <c r="H237" i="3"/>
  <c r="H236" i="3"/>
  <c r="H235" i="3"/>
  <c r="H234" i="3"/>
  <c r="H233" i="3"/>
  <c r="H232" i="3"/>
  <c r="H231" i="3"/>
  <c r="H230" i="3"/>
  <c r="H229" i="3"/>
  <c r="H228" i="3"/>
  <c r="H227" i="3"/>
  <c r="H226" i="3"/>
  <c r="H225" i="3"/>
  <c r="H224" i="3"/>
  <c r="H223" i="3"/>
  <c r="H222" i="3"/>
  <c r="H221" i="3"/>
  <c r="H220" i="3"/>
  <c r="H219" i="3"/>
  <c r="H218" i="3"/>
  <c r="H217" i="3"/>
  <c r="H216" i="3"/>
  <c r="H215" i="3"/>
  <c r="H214" i="3"/>
  <c r="H213" i="3"/>
  <c r="H212" i="3"/>
  <c r="H211" i="3"/>
  <c r="H210" i="3"/>
  <c r="H209" i="3"/>
  <c r="H208" i="3"/>
  <c r="H207" i="3"/>
  <c r="H206" i="3"/>
  <c r="H205" i="3"/>
  <c r="H204" i="3"/>
  <c r="H203" i="3"/>
  <c r="H202" i="3"/>
  <c r="H201" i="3"/>
  <c r="H200" i="3"/>
  <c r="H199" i="3"/>
  <c r="H198" i="3"/>
  <c r="H197" i="3"/>
  <c r="H196" i="3"/>
  <c r="H195" i="3"/>
  <c r="H194" i="3"/>
  <c r="H193" i="3"/>
  <c r="H192" i="3"/>
  <c r="H191" i="3"/>
  <c r="H190" i="3"/>
  <c r="H189" i="3"/>
  <c r="H188" i="3"/>
  <c r="H187" i="3"/>
  <c r="H186" i="3"/>
  <c r="H185" i="3"/>
  <c r="H184" i="3"/>
  <c r="H183" i="3"/>
  <c r="H182" i="3"/>
  <c r="H181" i="3"/>
  <c r="H180" i="3"/>
  <c r="H179" i="3"/>
  <c r="H178" i="3"/>
  <c r="H177" i="3"/>
  <c r="H176" i="3"/>
  <c r="H175" i="3"/>
  <c r="H174" i="3"/>
  <c r="H173" i="3"/>
  <c r="H172" i="3"/>
  <c r="H171" i="3"/>
  <c r="H170" i="3"/>
  <c r="H169" i="3"/>
  <c r="H168" i="3"/>
  <c r="H167" i="3"/>
  <c r="H166" i="3"/>
  <c r="H165" i="3"/>
  <c r="H164" i="3"/>
  <c r="H163" i="3"/>
  <c r="H162" i="3"/>
  <c r="H161" i="3"/>
  <c r="H160" i="3"/>
  <c r="H159" i="3"/>
  <c r="H158" i="3"/>
  <c r="H157" i="3"/>
  <c r="H156" i="3"/>
  <c r="H155" i="3"/>
  <c r="H154" i="3"/>
  <c r="H153" i="3"/>
  <c r="H152" i="3"/>
  <c r="H151" i="3"/>
  <c r="H150" i="3"/>
  <c r="H149" i="3"/>
  <c r="H148" i="3"/>
  <c r="H147" i="3"/>
  <c r="H146" i="3"/>
  <c r="H145" i="3"/>
  <c r="H144" i="3"/>
  <c r="H143" i="3"/>
  <c r="H142" i="3"/>
  <c r="H141" i="3"/>
  <c r="H140" i="3"/>
  <c r="H139" i="3"/>
  <c r="H138" i="3"/>
  <c r="H137" i="3"/>
  <c r="H136" i="3"/>
  <c r="H135" i="3"/>
  <c r="H134" i="3"/>
  <c r="H133" i="3"/>
  <c r="H132" i="3"/>
  <c r="H131" i="3"/>
  <c r="H130" i="3"/>
  <c r="H129" i="3"/>
  <c r="H128" i="3"/>
  <c r="H127" i="3"/>
  <c r="H126" i="3"/>
  <c r="H125" i="3"/>
  <c r="H124" i="3"/>
  <c r="H123" i="3"/>
  <c r="H122" i="3"/>
  <c r="H121" i="3"/>
  <c r="H120" i="3"/>
  <c r="H119" i="3"/>
  <c r="H118" i="3"/>
  <c r="H117" i="3"/>
  <c r="H116" i="3"/>
  <c r="H115" i="3"/>
  <c r="H114" i="3"/>
  <c r="H113" i="3"/>
  <c r="H112" i="3"/>
  <c r="H111" i="3"/>
  <c r="H110" i="3"/>
  <c r="H109" i="3"/>
  <c r="H108" i="3"/>
  <c r="H107" i="3"/>
  <c r="H106" i="3"/>
  <c r="H105" i="3"/>
  <c r="H104" i="3"/>
  <c r="H103" i="3"/>
  <c r="H102" i="3"/>
  <c r="H101" i="3"/>
  <c r="H100" i="3"/>
  <c r="H99" i="3"/>
  <c r="H98" i="3"/>
  <c r="H97" i="3"/>
  <c r="H96" i="3"/>
  <c r="H95" i="3"/>
  <c r="H94" i="3"/>
  <c r="H93" i="3"/>
  <c r="H92" i="3"/>
  <c r="H91" i="3"/>
  <c r="H90" i="3"/>
  <c r="H89" i="3"/>
  <c r="H88" i="3"/>
  <c r="H87" i="3"/>
  <c r="H86" i="3"/>
  <c r="H85" i="3"/>
  <c r="H84" i="3"/>
  <c r="H83" i="3"/>
  <c r="H82" i="3"/>
  <c r="H81" i="3"/>
  <c r="H80" i="3"/>
  <c r="H79" i="3"/>
  <c r="H78" i="3"/>
  <c r="H77" i="3"/>
  <c r="H76" i="3"/>
  <c r="H75" i="3"/>
  <c r="H74" i="3"/>
  <c r="H73" i="3"/>
  <c r="H72" i="3"/>
  <c r="H71" i="3"/>
  <c r="H70" i="3"/>
  <c r="H69" i="3"/>
  <c r="H68" i="3"/>
  <c r="H67" i="3"/>
  <c r="H66"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I99" i="2"/>
  <c r="H99" i="2"/>
  <c r="J99" i="2" s="1"/>
  <c r="I98" i="2"/>
  <c r="H98" i="2"/>
  <c r="I97" i="2"/>
  <c r="H97" i="2"/>
  <c r="I96" i="2"/>
  <c r="H96" i="2"/>
  <c r="I95" i="2"/>
  <c r="H95" i="2"/>
  <c r="J95" i="2" s="1"/>
  <c r="I94" i="2"/>
  <c r="H94" i="2"/>
  <c r="J94" i="2" s="1"/>
  <c r="I93" i="2"/>
  <c r="H93" i="2"/>
  <c r="I92" i="2"/>
  <c r="H92" i="2"/>
  <c r="I91" i="2"/>
  <c r="H91" i="2"/>
  <c r="J91" i="2" s="1"/>
  <c r="I90" i="2"/>
  <c r="H90" i="2"/>
  <c r="I89" i="2"/>
  <c r="H89" i="2"/>
  <c r="I88" i="2"/>
  <c r="H88" i="2"/>
  <c r="I87" i="2"/>
  <c r="H87" i="2"/>
  <c r="I86" i="2"/>
  <c r="H86" i="2"/>
  <c r="I85" i="2"/>
  <c r="H85" i="2"/>
  <c r="I84" i="2"/>
  <c r="H84" i="2"/>
  <c r="I83" i="2"/>
  <c r="H83" i="2"/>
  <c r="I82" i="2"/>
  <c r="H82" i="2"/>
  <c r="I81" i="2"/>
  <c r="H81" i="2"/>
  <c r="J81" i="2" s="1"/>
  <c r="I80" i="2"/>
  <c r="H80" i="2"/>
  <c r="I79" i="2"/>
  <c r="H79" i="2"/>
  <c r="I78" i="2"/>
  <c r="H78" i="2"/>
  <c r="I77" i="2"/>
  <c r="H77" i="2"/>
  <c r="I76" i="2"/>
  <c r="H76" i="2"/>
  <c r="I75" i="2"/>
  <c r="H75" i="2"/>
  <c r="J75" i="2" s="1"/>
  <c r="I74" i="2"/>
  <c r="H74" i="2"/>
  <c r="J74" i="2" s="1"/>
  <c r="I73" i="2"/>
  <c r="H73" i="2"/>
  <c r="I72" i="2"/>
  <c r="H72" i="2"/>
  <c r="J72" i="2" s="1"/>
  <c r="I71" i="2"/>
  <c r="H71" i="2"/>
  <c r="J71" i="2" s="1"/>
  <c r="I70" i="2"/>
  <c r="H70" i="2"/>
  <c r="J70" i="2" s="1"/>
  <c r="I69" i="2"/>
  <c r="H69" i="2"/>
  <c r="J69" i="2" s="1"/>
  <c r="I68" i="2"/>
  <c r="H68" i="2"/>
  <c r="J68" i="2" s="1"/>
  <c r="I67" i="2"/>
  <c r="H67" i="2"/>
  <c r="J67" i="2" s="1"/>
  <c r="I66" i="2"/>
  <c r="H66" i="2"/>
  <c r="I65" i="2"/>
  <c r="H65" i="2"/>
  <c r="I64" i="2"/>
  <c r="H64" i="2"/>
  <c r="I63" i="2"/>
  <c r="H63" i="2"/>
  <c r="J63" i="2" s="1"/>
  <c r="I62" i="2"/>
  <c r="H62" i="2"/>
  <c r="J62" i="2" s="1"/>
  <c r="I61" i="2"/>
  <c r="H61" i="2"/>
  <c r="I60" i="2"/>
  <c r="H60" i="2"/>
  <c r="J60" i="2" s="1"/>
  <c r="I59" i="2"/>
  <c r="H59" i="2"/>
  <c r="I58" i="2"/>
  <c r="H58" i="2"/>
  <c r="I57" i="2"/>
  <c r="H57" i="2"/>
  <c r="I56" i="2"/>
  <c r="H56" i="2"/>
  <c r="I55" i="2"/>
  <c r="H55" i="2"/>
  <c r="I54" i="2"/>
  <c r="H54" i="2"/>
  <c r="I53" i="2"/>
  <c r="H53" i="2"/>
  <c r="J53" i="2" s="1"/>
  <c r="I52" i="2"/>
  <c r="H52" i="2"/>
  <c r="I51" i="2"/>
  <c r="H51" i="2"/>
  <c r="J51" i="2" s="1"/>
  <c r="I50" i="2"/>
  <c r="H50" i="2"/>
  <c r="I49" i="2"/>
  <c r="H49" i="2"/>
  <c r="J49" i="2" s="1"/>
  <c r="I48" i="2"/>
  <c r="H48" i="2"/>
  <c r="I47" i="2"/>
  <c r="H47" i="2"/>
  <c r="I46" i="2"/>
  <c r="H46" i="2"/>
  <c r="I45" i="2"/>
  <c r="H45" i="2"/>
  <c r="I44" i="2"/>
  <c r="H44" i="2"/>
  <c r="I43" i="2"/>
  <c r="H43" i="2"/>
  <c r="I42" i="2"/>
  <c r="H42" i="2"/>
  <c r="I41" i="2"/>
  <c r="H41" i="2"/>
  <c r="I40" i="2"/>
  <c r="H40" i="2"/>
  <c r="I39" i="2"/>
  <c r="H39" i="2"/>
  <c r="J39" i="2" s="1"/>
  <c r="I38" i="2"/>
  <c r="H38" i="2"/>
  <c r="I37" i="2"/>
  <c r="H37" i="2"/>
  <c r="J37" i="2" s="1"/>
  <c r="I36" i="2"/>
  <c r="H36" i="2"/>
  <c r="J36" i="2" s="1"/>
  <c r="I35" i="2"/>
  <c r="H35" i="2"/>
  <c r="J35" i="2" s="1"/>
  <c r="I34" i="2"/>
  <c r="H34" i="2"/>
  <c r="J34" i="2" s="1"/>
  <c r="I33" i="2"/>
  <c r="H33" i="2"/>
  <c r="J33" i="2" s="1"/>
  <c r="I32" i="2"/>
  <c r="H32" i="2"/>
  <c r="I31" i="2"/>
  <c r="H31" i="2"/>
  <c r="I30" i="2"/>
  <c r="H30" i="2"/>
  <c r="J30" i="2" s="1"/>
  <c r="I29" i="2"/>
  <c r="H29" i="2"/>
  <c r="I28" i="2"/>
  <c r="H28" i="2"/>
  <c r="I27" i="2"/>
  <c r="H27" i="2"/>
  <c r="I26" i="2"/>
  <c r="H26" i="2"/>
  <c r="I25" i="2"/>
  <c r="H25" i="2"/>
  <c r="J25" i="2" s="1"/>
  <c r="I24" i="2"/>
  <c r="H24" i="2"/>
  <c r="J24" i="2" s="1"/>
  <c r="I23" i="2"/>
  <c r="H23" i="2"/>
  <c r="J23" i="2" s="1"/>
  <c r="I22" i="2"/>
  <c r="H22" i="2"/>
  <c r="J22" i="2" s="1"/>
  <c r="I21" i="2"/>
  <c r="H21" i="2"/>
  <c r="J21" i="2" s="1"/>
  <c r="I20" i="2"/>
  <c r="H20" i="2"/>
  <c r="I19" i="2"/>
  <c r="H19" i="2"/>
  <c r="J19" i="2" s="1"/>
  <c r="I18" i="2"/>
  <c r="H18" i="2"/>
  <c r="I17" i="2"/>
  <c r="H17" i="2"/>
  <c r="I16" i="2"/>
  <c r="H16" i="2"/>
  <c r="I15" i="2"/>
  <c r="H15" i="2"/>
  <c r="I14" i="2"/>
  <c r="H14" i="2"/>
  <c r="I13" i="2"/>
  <c r="H13" i="2"/>
  <c r="J13" i="2" s="1"/>
  <c r="I12" i="2"/>
  <c r="H12" i="2"/>
  <c r="I11" i="2"/>
  <c r="H11" i="2"/>
  <c r="J11" i="2" s="1"/>
  <c r="I10" i="2"/>
  <c r="H10" i="2"/>
  <c r="I9" i="2"/>
  <c r="H9" i="2"/>
  <c r="F13" i="1"/>
  <c r="E13" i="1"/>
  <c r="F12" i="1"/>
  <c r="E12" i="1"/>
  <c r="F11" i="1"/>
  <c r="E11" i="1"/>
  <c r="F10" i="1"/>
  <c r="E10" i="1"/>
  <c r="B10" i="1"/>
  <c r="F9" i="1"/>
  <c r="E9" i="1"/>
  <c r="B9" i="1"/>
  <c r="J57" i="2" l="1"/>
  <c r="J55" i="2"/>
  <c r="J52" i="2"/>
  <c r="J50" i="2"/>
  <c r="J9" i="2"/>
  <c r="J14" i="2"/>
  <c r="J86" i="2"/>
  <c r="J58" i="2"/>
  <c r="J47" i="2"/>
  <c r="J98" i="2"/>
  <c r="J18" i="2"/>
  <c r="J66" i="2"/>
  <c r="J65" i="2"/>
  <c r="J12" i="2"/>
  <c r="J97" i="2"/>
  <c r="J73" i="2"/>
  <c r="J61" i="2"/>
  <c r="J48" i="2"/>
  <c r="J38" i="2"/>
  <c r="J28" i="2"/>
  <c r="J16" i="2"/>
  <c r="J64" i="2"/>
  <c r="J31" i="2"/>
  <c r="J90" i="2"/>
  <c r="J78" i="2"/>
  <c r="J26" i="2"/>
  <c r="J32" i="2"/>
  <c r="J29" i="2"/>
  <c r="J92" i="2"/>
  <c r="J10" i="2"/>
  <c r="J88" i="2"/>
  <c r="J17" i="2"/>
  <c r="J15" i="2"/>
  <c r="J43" i="2"/>
  <c r="J59" i="2"/>
  <c r="J27" i="2"/>
  <c r="J20" i="2"/>
  <c r="J87" i="2"/>
  <c r="G27" i="4"/>
  <c r="G24" i="4"/>
  <c r="G22" i="4"/>
  <c r="J85" i="2"/>
  <c r="G25" i="4"/>
  <c r="G23" i="4"/>
  <c r="J80" i="2"/>
  <c r="J46" i="2"/>
  <c r="H16" i="8"/>
  <c r="E16" i="8"/>
  <c r="H15" i="8"/>
  <c r="E15" i="8"/>
  <c r="E14" i="8"/>
  <c r="H14" i="8"/>
  <c r="J84" i="2"/>
  <c r="J82" i="2"/>
  <c r="J45" i="2"/>
  <c r="J44" i="2"/>
  <c r="J83" i="2"/>
  <c r="J77" i="2"/>
  <c r="H13" i="8"/>
  <c r="E13" i="8"/>
  <c r="H12" i="8"/>
  <c r="E12" i="8"/>
  <c r="J56" i="2"/>
  <c r="G14" i="4"/>
  <c r="J54" i="2"/>
  <c r="G31" i="4"/>
  <c r="J40" i="2"/>
  <c r="H11" i="8"/>
  <c r="E11" i="8"/>
  <c r="H9" i="8"/>
  <c r="E9" i="8"/>
  <c r="E5" i="7"/>
  <c r="B5" i="7" s="1"/>
  <c r="J41" i="2"/>
  <c r="J89" i="2"/>
  <c r="J42" i="2"/>
  <c r="J76" i="2"/>
  <c r="H10" i="8"/>
  <c r="E10" i="8"/>
  <c r="J93" i="2"/>
  <c r="G40" i="4"/>
  <c r="G38" i="4"/>
  <c r="G36" i="4"/>
  <c r="G34" i="4"/>
  <c r="G32" i="4"/>
  <c r="G21" i="4"/>
  <c r="G18" i="4"/>
  <c r="G15" i="4"/>
  <c r="G9" i="4"/>
  <c r="J96" i="2"/>
  <c r="G39" i="4"/>
  <c r="G37" i="4"/>
  <c r="G35" i="4"/>
  <c r="G33" i="4"/>
  <c r="G20" i="4"/>
  <c r="G19" i="4"/>
  <c r="G16" i="4"/>
  <c r="G13" i="4"/>
  <c r="G17" i="4"/>
  <c r="G12" i="4"/>
  <c r="G11" i="4"/>
  <c r="G10" i="4"/>
  <c r="J79" i="2"/>
  <c r="M99" i="2"/>
  <c r="I99" i="5" s="1"/>
  <c r="E99" i="5"/>
  <c r="M95" i="2"/>
  <c r="I95" i="5" s="1"/>
  <c r="E95" i="5"/>
  <c r="M94" i="2"/>
  <c r="I94" i="5" s="1"/>
  <c r="E94" i="5"/>
  <c r="M91" i="2"/>
  <c r="I91" i="5" s="1"/>
  <c r="E91" i="5"/>
  <c r="M81" i="2"/>
  <c r="I81" i="5" s="1"/>
  <c r="E81" i="5"/>
  <c r="M75" i="2"/>
  <c r="I75" i="5" s="1"/>
  <c r="E75" i="5"/>
  <c r="M74" i="2"/>
  <c r="I74" i="5" s="1"/>
  <c r="E74" i="5"/>
  <c r="M72" i="2"/>
  <c r="I72" i="5" s="1"/>
  <c r="E72" i="5"/>
  <c r="M71" i="2"/>
  <c r="I71" i="5" s="1"/>
  <c r="E71" i="5"/>
  <c r="M70" i="2"/>
  <c r="I70" i="5" s="1"/>
  <c r="E70" i="5"/>
  <c r="M69" i="2"/>
  <c r="I69" i="5" s="1"/>
  <c r="E69" i="5"/>
  <c r="M68" i="2"/>
  <c r="I68" i="5" s="1"/>
  <c r="E68" i="5"/>
  <c r="M67" i="2"/>
  <c r="I67" i="5" s="1"/>
  <c r="E67" i="5"/>
  <c r="M63" i="2"/>
  <c r="I63" i="5" s="1"/>
  <c r="E63" i="5"/>
  <c r="M62" i="2"/>
  <c r="I62" i="5" s="1"/>
  <c r="E62" i="5"/>
  <c r="M60" i="2"/>
  <c r="I60" i="5" s="1"/>
  <c r="E60" i="5"/>
  <c r="M53" i="2"/>
  <c r="I53" i="5" s="1"/>
  <c r="E53" i="5"/>
  <c r="M51" i="2"/>
  <c r="I51" i="5" s="1"/>
  <c r="E51" i="5"/>
  <c r="M49" i="2"/>
  <c r="I49" i="5" s="1"/>
  <c r="E49" i="5"/>
  <c r="M39" i="2"/>
  <c r="I39" i="5" s="1"/>
  <c r="E39" i="5"/>
  <c r="M37" i="2"/>
  <c r="I37" i="5" s="1"/>
  <c r="E37" i="5"/>
  <c r="M36" i="2"/>
  <c r="I36" i="5" s="1"/>
  <c r="E36" i="5"/>
  <c r="M35" i="2"/>
  <c r="I35" i="5" s="1"/>
  <c r="E35" i="5"/>
  <c r="M34" i="2"/>
  <c r="I34" i="5" s="1"/>
  <c r="E34" i="5"/>
  <c r="M33" i="2"/>
  <c r="I33" i="5" s="1"/>
  <c r="E33" i="5"/>
  <c r="M30" i="2"/>
  <c r="I30" i="5" s="1"/>
  <c r="E30" i="5"/>
  <c r="M25" i="2"/>
  <c r="I25" i="5" s="1"/>
  <c r="E25" i="5"/>
  <c r="M24" i="2"/>
  <c r="I24" i="5" s="1"/>
  <c r="E24" i="5"/>
  <c r="M23" i="2"/>
  <c r="I23" i="5" s="1"/>
  <c r="E23" i="5"/>
  <c r="M22" i="2"/>
  <c r="I22" i="5" s="1"/>
  <c r="E22" i="5"/>
  <c r="M21" i="2"/>
  <c r="I21" i="5" s="1"/>
  <c r="E21" i="5"/>
  <c r="M19" i="2"/>
  <c r="I19" i="5" s="1"/>
  <c r="E19" i="5"/>
  <c r="M13" i="2"/>
  <c r="I13" i="5" s="1"/>
  <c r="E13" i="5"/>
  <c r="M11" i="2"/>
  <c r="I11" i="5" s="1"/>
  <c r="E11" i="5"/>
  <c r="M57" i="2" l="1"/>
  <c r="I57" i="5" s="1"/>
  <c r="F57" i="5" s="1"/>
  <c r="G57" i="5" s="1"/>
  <c r="H57" i="5" s="1"/>
  <c r="E57" i="5"/>
  <c r="M50" i="2"/>
  <c r="I50" i="5" s="1"/>
  <c r="F50" i="5" s="1"/>
  <c r="G50" i="5" s="1"/>
  <c r="H50" i="5" s="1"/>
  <c r="E50" i="5"/>
  <c r="M9" i="2"/>
  <c r="I9" i="5" s="1"/>
  <c r="F9" i="5" s="1"/>
  <c r="G9" i="5" s="1"/>
  <c r="H9" i="5" s="1"/>
  <c r="E9" i="5"/>
  <c r="E58" i="5"/>
  <c r="M58" i="2"/>
  <c r="I58" i="5" s="1"/>
  <c r="F58" i="5" s="1"/>
  <c r="G58" i="5" s="1"/>
  <c r="H58" i="5" s="1"/>
  <c r="M61" i="2"/>
  <c r="I61" i="5" s="1"/>
  <c r="F61" i="5" s="1"/>
  <c r="G61" i="5" s="1"/>
  <c r="H61" i="5" s="1"/>
  <c r="E61" i="5"/>
  <c r="M48" i="2"/>
  <c r="I48" i="5" s="1"/>
  <c r="F48" i="5" s="1"/>
  <c r="G48" i="5" s="1"/>
  <c r="H48" i="5" s="1"/>
  <c r="E48" i="5"/>
  <c r="M55" i="2"/>
  <c r="I55" i="5" s="1"/>
  <c r="F55" i="5" s="1"/>
  <c r="G55" i="5" s="1"/>
  <c r="H55" i="5" s="1"/>
  <c r="E55" i="5"/>
  <c r="M52" i="2"/>
  <c r="I52" i="5" s="1"/>
  <c r="F52" i="5" s="1"/>
  <c r="G52" i="5" s="1"/>
  <c r="H52" i="5" s="1"/>
  <c r="E52" i="5"/>
  <c r="M14" i="2"/>
  <c r="I14" i="5" s="1"/>
  <c r="E14" i="5"/>
  <c r="M86" i="2"/>
  <c r="I86" i="5" s="1"/>
  <c r="E86" i="5"/>
  <c r="M47" i="2"/>
  <c r="I47" i="5" s="1"/>
  <c r="E47" i="5"/>
  <c r="M98" i="2"/>
  <c r="I98" i="5" s="1"/>
  <c r="F98" i="5" s="1"/>
  <c r="G98" i="5" s="1"/>
  <c r="H98" i="5" s="1"/>
  <c r="E98" i="5"/>
  <c r="M18" i="2"/>
  <c r="I18" i="5" s="1"/>
  <c r="F18" i="5" s="1"/>
  <c r="G18" i="5" s="1"/>
  <c r="H18" i="5" s="1"/>
  <c r="E18" i="5"/>
  <c r="M66" i="2"/>
  <c r="I66" i="5" s="1"/>
  <c r="E66" i="5"/>
  <c r="M65" i="2"/>
  <c r="I65" i="5" s="1"/>
  <c r="E65" i="5"/>
  <c r="M12" i="2"/>
  <c r="I12" i="5" s="1"/>
  <c r="F12" i="5" s="1"/>
  <c r="G12" i="5" s="1"/>
  <c r="H12" i="5" s="1"/>
  <c r="E12" i="5"/>
  <c r="M38" i="2"/>
  <c r="I38" i="5" s="1"/>
  <c r="F38" i="5" s="1"/>
  <c r="G38" i="5" s="1"/>
  <c r="H38" i="5" s="1"/>
  <c r="E38" i="5"/>
  <c r="E97" i="5"/>
  <c r="M97" i="2"/>
  <c r="I97" i="5" s="1"/>
  <c r="M28" i="2"/>
  <c r="I28" i="5" s="1"/>
  <c r="E28" i="5"/>
  <c r="M16" i="2"/>
  <c r="I16" i="5" s="1"/>
  <c r="E16" i="5"/>
  <c r="M31" i="2"/>
  <c r="I31" i="5" s="1"/>
  <c r="E31" i="5"/>
  <c r="M26" i="2"/>
  <c r="I26" i="5" s="1"/>
  <c r="E26" i="5"/>
  <c r="M32" i="2"/>
  <c r="I32" i="5" s="1"/>
  <c r="E32" i="5"/>
  <c r="M29" i="2"/>
  <c r="I29" i="5" s="1"/>
  <c r="E29" i="5"/>
  <c r="B11" i="1"/>
  <c r="M10" i="2"/>
  <c r="I10" i="5" s="1"/>
  <c r="E10" i="5"/>
  <c r="M27" i="2"/>
  <c r="I27" i="5" s="1"/>
  <c r="E27" i="5"/>
  <c r="M20" i="2"/>
  <c r="I20" i="5" s="1"/>
  <c r="F20" i="5" s="1"/>
  <c r="G20" i="5" s="1"/>
  <c r="H20" i="5" s="1"/>
  <c r="E20" i="5"/>
  <c r="M93" i="2"/>
  <c r="I93" i="5" s="1"/>
  <c r="F93" i="5" s="1"/>
  <c r="G93" i="5" s="1"/>
  <c r="H93" i="5" s="1"/>
  <c r="E93" i="5"/>
  <c r="M96" i="2"/>
  <c r="I96" i="5" s="1"/>
  <c r="F96" i="5" s="1"/>
  <c r="G96" i="5" s="1"/>
  <c r="H96" i="5" s="1"/>
  <c r="E96" i="5"/>
  <c r="M79" i="2"/>
  <c r="I79" i="5" s="1"/>
  <c r="E79" i="5"/>
  <c r="F97" i="5"/>
  <c r="G97" i="5" s="1"/>
  <c r="H97" i="5" s="1"/>
  <c r="M73" i="2"/>
  <c r="I73" i="5" s="1"/>
  <c r="E73" i="5"/>
  <c r="E87" i="5"/>
  <c r="M87" i="2"/>
  <c r="I87" i="5" s="1"/>
  <c r="F87" i="5" s="1"/>
  <c r="G87" i="5" s="1"/>
  <c r="H87" i="5" s="1"/>
  <c r="M64" i="2"/>
  <c r="I64" i="5" s="1"/>
  <c r="F64" i="5" s="1"/>
  <c r="G64" i="5" s="1"/>
  <c r="H64" i="5" s="1"/>
  <c r="E64" i="5"/>
  <c r="M90" i="2"/>
  <c r="I90" i="5" s="1"/>
  <c r="E90" i="5"/>
  <c r="M78" i="2"/>
  <c r="I78" i="5" s="1"/>
  <c r="E78" i="5"/>
  <c r="M88" i="2"/>
  <c r="I88" i="5" s="1"/>
  <c r="F88" i="5" s="1"/>
  <c r="G88" i="5" s="1"/>
  <c r="H88" i="5" s="1"/>
  <c r="E88" i="5"/>
  <c r="E17" i="5"/>
  <c r="M17" i="2"/>
  <c r="I17" i="5" s="1"/>
  <c r="F17" i="5" s="1"/>
  <c r="G17" i="5" s="1"/>
  <c r="H17" i="5" s="1"/>
  <c r="E59" i="5"/>
  <c r="M59" i="2"/>
  <c r="I59" i="5" s="1"/>
  <c r="F59" i="5" s="1"/>
  <c r="G59" i="5" s="1"/>
  <c r="H59" i="5" s="1"/>
  <c r="E85" i="5"/>
  <c r="M85" i="2"/>
  <c r="I85" i="5" s="1"/>
  <c r="E92" i="5"/>
  <c r="M92" i="2"/>
  <c r="I92" i="5" s="1"/>
  <c r="F92" i="5" s="1"/>
  <c r="G92" i="5" s="1"/>
  <c r="H92" i="5" s="1"/>
  <c r="M15" i="2"/>
  <c r="I15" i="5" s="1"/>
  <c r="E15" i="5"/>
  <c r="M43" i="2"/>
  <c r="I43" i="5" s="1"/>
  <c r="E43" i="5"/>
  <c r="B6" i="8"/>
  <c r="B10" i="10" s="1"/>
  <c r="B11" i="10" s="1"/>
  <c r="B18" i="1" s="1"/>
  <c r="E5" i="8"/>
  <c r="B5" i="8" s="1"/>
  <c r="M80" i="2"/>
  <c r="I80" i="5" s="1"/>
  <c r="E80" i="5"/>
  <c r="M46" i="2"/>
  <c r="I46" i="5" s="1"/>
  <c r="E46" i="5"/>
  <c r="M84" i="2"/>
  <c r="I84" i="5" s="1"/>
  <c r="E84" i="5"/>
  <c r="M82" i="2"/>
  <c r="I82" i="5" s="1"/>
  <c r="E82" i="5"/>
  <c r="M45" i="2"/>
  <c r="I45" i="5" s="1"/>
  <c r="E45" i="5"/>
  <c r="M44" i="2"/>
  <c r="I44" i="5" s="1"/>
  <c r="E44" i="5"/>
  <c r="E83" i="5"/>
  <c r="M83" i="2"/>
  <c r="I83" i="5" s="1"/>
  <c r="F83" i="5" s="1"/>
  <c r="G83" i="5" s="1"/>
  <c r="H83" i="5" s="1"/>
  <c r="M77" i="2"/>
  <c r="I77" i="5" s="1"/>
  <c r="E77" i="5"/>
  <c r="M56" i="2"/>
  <c r="I56" i="5" s="1"/>
  <c r="E56" i="5"/>
  <c r="E54" i="5"/>
  <c r="M54" i="2"/>
  <c r="I54" i="5" s="1"/>
  <c r="M40" i="2"/>
  <c r="I40" i="5" s="1"/>
  <c r="E40" i="5"/>
  <c r="M41" i="2"/>
  <c r="I41" i="5" s="1"/>
  <c r="E41" i="5"/>
  <c r="M42" i="2"/>
  <c r="I42" i="5" s="1"/>
  <c r="E42" i="5"/>
  <c r="M76" i="2"/>
  <c r="I76" i="5" s="1"/>
  <c r="E76" i="5"/>
  <c r="B15" i="1"/>
  <c r="D10" i="9"/>
  <c r="C10" i="9"/>
  <c r="B10" i="9"/>
  <c r="M89" i="2"/>
  <c r="I89" i="5" s="1"/>
  <c r="E89" i="5"/>
  <c r="B5" i="4"/>
  <c r="F99" i="5"/>
  <c r="G99" i="5" s="1"/>
  <c r="H99" i="5" s="1"/>
  <c r="F95" i="5"/>
  <c r="G95" i="5" s="1"/>
  <c r="H95" i="5" s="1"/>
  <c r="F94" i="5"/>
  <c r="G94" i="5" s="1"/>
  <c r="H94" i="5" s="1"/>
  <c r="F91" i="5"/>
  <c r="G91" i="5" s="1"/>
  <c r="H91" i="5" s="1"/>
  <c r="F81" i="5"/>
  <c r="G81" i="5" s="1"/>
  <c r="H81" i="5" s="1"/>
  <c r="F75" i="5"/>
  <c r="G75" i="5" s="1"/>
  <c r="H75" i="5" s="1"/>
  <c r="F74" i="5"/>
  <c r="G74" i="5" s="1"/>
  <c r="H74" i="5" s="1"/>
  <c r="F72" i="5"/>
  <c r="G72" i="5" s="1"/>
  <c r="H72" i="5" s="1"/>
  <c r="F71" i="5"/>
  <c r="G71" i="5" s="1"/>
  <c r="H71" i="5" s="1"/>
  <c r="F70" i="5"/>
  <c r="G70" i="5" s="1"/>
  <c r="H70" i="5" s="1"/>
  <c r="F69" i="5"/>
  <c r="G69" i="5" s="1"/>
  <c r="H69" i="5" s="1"/>
  <c r="F68" i="5"/>
  <c r="G68" i="5" s="1"/>
  <c r="H68" i="5" s="1"/>
  <c r="F67" i="5"/>
  <c r="G67" i="5" s="1"/>
  <c r="H67" i="5" s="1"/>
  <c r="F63" i="5"/>
  <c r="G63" i="5" s="1"/>
  <c r="H63" i="5" s="1"/>
  <c r="F62" i="5"/>
  <c r="G62" i="5" s="1"/>
  <c r="H62" i="5" s="1"/>
  <c r="F60" i="5"/>
  <c r="G60" i="5" s="1"/>
  <c r="H60" i="5" s="1"/>
  <c r="F53" i="5"/>
  <c r="G53" i="5" s="1"/>
  <c r="H53" i="5" s="1"/>
  <c r="F51" i="5"/>
  <c r="G51" i="5" s="1"/>
  <c r="H51" i="5" s="1"/>
  <c r="F49" i="5"/>
  <c r="G49" i="5" s="1"/>
  <c r="H49" i="5" s="1"/>
  <c r="F39" i="5"/>
  <c r="G39" i="5" s="1"/>
  <c r="H39" i="5" s="1"/>
  <c r="F37" i="5"/>
  <c r="G37" i="5" s="1"/>
  <c r="H37" i="5" s="1"/>
  <c r="F36" i="5"/>
  <c r="G36" i="5" s="1"/>
  <c r="H36" i="5" s="1"/>
  <c r="F35" i="5"/>
  <c r="G35" i="5" s="1"/>
  <c r="H35" i="5" s="1"/>
  <c r="F34" i="5"/>
  <c r="G34" i="5" s="1"/>
  <c r="H34" i="5" s="1"/>
  <c r="F33" i="5"/>
  <c r="G33" i="5" s="1"/>
  <c r="H33" i="5" s="1"/>
  <c r="F30" i="5"/>
  <c r="G30" i="5" s="1"/>
  <c r="H30" i="5" s="1"/>
  <c r="F25" i="5"/>
  <c r="G25" i="5" s="1"/>
  <c r="H25" i="5" s="1"/>
  <c r="F24" i="5"/>
  <c r="G24" i="5" s="1"/>
  <c r="H24" i="5" s="1"/>
  <c r="F23" i="5"/>
  <c r="G23" i="5" s="1"/>
  <c r="H23" i="5" s="1"/>
  <c r="F22" i="5"/>
  <c r="G22" i="5" s="1"/>
  <c r="H22" i="5" s="1"/>
  <c r="F21" i="5"/>
  <c r="G21" i="5" s="1"/>
  <c r="H21" i="5" s="1"/>
  <c r="F19" i="5"/>
  <c r="G19" i="5" s="1"/>
  <c r="H19" i="5" s="1"/>
  <c r="F13" i="5"/>
  <c r="G13" i="5" s="1"/>
  <c r="H13" i="5" s="1"/>
  <c r="F11" i="5"/>
  <c r="G11" i="5" s="1"/>
  <c r="H11" i="5" s="1"/>
  <c r="F14" i="5" l="1"/>
  <c r="G14" i="5" s="1"/>
  <c r="H14" i="5" s="1"/>
  <c r="F86" i="5"/>
  <c r="G86" i="5" s="1"/>
  <c r="H86" i="5" s="1"/>
  <c r="F47" i="5"/>
  <c r="G47" i="5" s="1"/>
  <c r="H47" i="5" s="1"/>
  <c r="F66" i="5"/>
  <c r="G66" i="5" s="1"/>
  <c r="H66" i="5" s="1"/>
  <c r="F65" i="5"/>
  <c r="G65" i="5" s="1"/>
  <c r="H65" i="5" s="1"/>
  <c r="F90" i="5"/>
  <c r="G90" i="5" s="1"/>
  <c r="H90" i="5" s="1"/>
  <c r="F26" i="5"/>
  <c r="G26" i="5" s="1"/>
  <c r="H26" i="5" s="1"/>
  <c r="F44" i="5"/>
  <c r="G44" i="5" s="1"/>
  <c r="H44" i="5" s="1"/>
  <c r="F79" i="5"/>
  <c r="G79" i="5" s="1"/>
  <c r="H79" i="5" s="1"/>
  <c r="F73" i="5"/>
  <c r="G73" i="5" s="1"/>
  <c r="H73" i="5" s="1"/>
  <c r="F78" i="5"/>
  <c r="G78" i="5" s="1"/>
  <c r="H78" i="5" s="1"/>
  <c r="F85" i="5"/>
  <c r="G85" i="5" s="1"/>
  <c r="H85" i="5" s="1"/>
  <c r="F15" i="5"/>
  <c r="G15" i="5" s="1"/>
  <c r="H15" i="5" s="1"/>
  <c r="F43" i="5"/>
  <c r="G43" i="5" s="1"/>
  <c r="H43" i="5" s="1"/>
  <c r="F82" i="5"/>
  <c r="G82" i="5" s="1"/>
  <c r="H82" i="5" s="1"/>
  <c r="F45" i="5"/>
  <c r="G45" i="5" s="1"/>
  <c r="H45" i="5" s="1"/>
  <c r="F77" i="5"/>
  <c r="G77" i="5" s="1"/>
  <c r="H77" i="5" s="1"/>
  <c r="F32" i="5"/>
  <c r="G32" i="5" s="1"/>
  <c r="H32" i="5" s="1"/>
  <c r="F29" i="5"/>
  <c r="G29" i="5" s="1"/>
  <c r="H29" i="5" s="1"/>
  <c r="F10" i="5"/>
  <c r="G10" i="5" s="1"/>
  <c r="H10" i="5" s="1"/>
  <c r="F27" i="5"/>
  <c r="G27" i="5" s="1"/>
  <c r="H27" i="5" s="1"/>
  <c r="F28" i="5"/>
  <c r="G28" i="5" s="1"/>
  <c r="H28" i="5" s="1"/>
  <c r="F16" i="5"/>
  <c r="G16" i="5" s="1"/>
  <c r="H16" i="5" s="1"/>
  <c r="F31" i="5"/>
  <c r="G31" i="5" s="1"/>
  <c r="H31" i="5" s="1"/>
  <c r="F56" i="5"/>
  <c r="G56" i="5" s="1"/>
  <c r="H56" i="5" s="1"/>
  <c r="F40" i="5"/>
  <c r="G40" i="5" s="1"/>
  <c r="H40" i="5" s="1"/>
  <c r="F41" i="5"/>
  <c r="G41" i="5" s="1"/>
  <c r="H41" i="5" s="1"/>
  <c r="F42" i="5"/>
  <c r="G42" i="5" s="1"/>
  <c r="H42" i="5" s="1"/>
  <c r="F76" i="5"/>
  <c r="G76" i="5" s="1"/>
  <c r="H76" i="5" s="1"/>
  <c r="F80" i="5"/>
  <c r="G80" i="5" s="1"/>
  <c r="H80" i="5" s="1"/>
  <c r="F46" i="5"/>
  <c r="G46" i="5" s="1"/>
  <c r="H46" i="5" s="1"/>
  <c r="F89" i="5"/>
  <c r="G89" i="5" s="1"/>
  <c r="H89" i="5" s="1"/>
  <c r="F54" i="5"/>
  <c r="G54" i="5" s="1"/>
  <c r="H54" i="5" s="1"/>
  <c r="F84" i="5"/>
  <c r="G84" i="5" s="1"/>
  <c r="H84" i="5" s="1"/>
  <c r="B16" i="1"/>
  <c r="D11" i="9"/>
  <c r="C11" i="9"/>
  <c r="B11" i="9"/>
  <c r="B12" i="1"/>
  <c r="B9" i="6"/>
  <c r="B5" i="5" l="1"/>
  <c r="B10" i="6" l="1"/>
  <c r="B13" i="1"/>
  <c r="D10" i="6"/>
  <c r="F18" i="1" s="1"/>
  <c r="C10" i="6" l="1"/>
  <c r="B11" i="6"/>
  <c r="C9" i="6" l="1"/>
  <c r="F17" i="1"/>
  <c r="B14" i="1"/>
  <c r="B9" i="9"/>
  <c r="B12" i="9" s="1"/>
  <c r="C11" i="6" l="1"/>
  <c r="C9" i="9" s="1"/>
  <c r="C12" i="9" s="1"/>
  <c r="D9" i="10" s="1"/>
  <c r="D9" i="6"/>
  <c r="D11" i="6" s="1"/>
  <c r="D9" i="9" s="1"/>
  <c r="D12" i="9" s="1"/>
  <c r="E9" i="10" s="1"/>
  <c r="E12" i="10" s="1"/>
  <c r="B9" i="10"/>
  <c r="B12" i="10" s="1"/>
  <c r="B17" i="1"/>
  <c r="D12" i="10"/>
  <c r="B14" i="10"/>
  <c r="B19" i="1"/>
  <c r="C24" i="10" l="1"/>
  <c r="G13" i="1" s="1"/>
  <c r="C23" i="10"/>
  <c r="C22" i="10"/>
  <c r="G11" i="1" s="1"/>
  <c r="C21" i="10"/>
  <c r="G10" i="1" s="1"/>
  <c r="D14" i="10"/>
  <c r="C20" i="10"/>
  <c r="G9" i="1" s="1"/>
  <c r="B15" i="10"/>
  <c r="B29" i="1" s="1"/>
  <c r="E14" i="10"/>
  <c r="B5" i="10"/>
  <c r="B20" i="1"/>
  <c r="E23" i="10" l="1"/>
  <c r="E20" i="10"/>
  <c r="E22" i="10"/>
  <c r="G18" i="1"/>
  <c r="D24" i="10"/>
  <c r="D23" i="10"/>
  <c r="G17" i="1"/>
  <c r="D20" i="10"/>
  <c r="D21" i="10"/>
  <c r="D22" i="10"/>
  <c r="E21" i="10"/>
  <c r="E24" i="10"/>
  <c r="G12" i="1"/>
  <c r="C25" i="10"/>
  <c r="E25" i="10" l="1"/>
  <c r="D25" i="10"/>
</calcChain>
</file>

<file path=xl/sharedStrings.xml><?xml version="1.0" encoding="utf-8"?>
<sst xmlns="http://schemas.openxmlformats.org/spreadsheetml/2006/main" count="4456" uniqueCount="2436">
  <si>
    <t>Estimación por puntos de casos de uso</t>
  </si>
  <si>
    <t>LafroX para Distribuidora Puelche. Alcance E1 + E2 e innovaciones. Valores propuestos al 30/10/2026.</t>
  </si>
  <si>
    <t>Medida</t>
  </si>
  <si>
    <t>Resultado</t>
  </si>
  <si>
    <t>Unidad / origen</t>
  </si>
  <si>
    <t>Actividad</t>
  </si>
  <si>
    <t>Participación</t>
  </si>
  <si>
    <t>Horas de desarrollo</t>
  </si>
  <si>
    <t>Actores incluidos</t>
  </si>
  <si>
    <t>Roles y sistemas externos</t>
  </si>
  <si>
    <t>Casos de uso incluidos</t>
  </si>
  <si>
    <t>Objetivos del actor</t>
  </si>
  <si>
    <t>Transacciones incluidas</t>
  </si>
  <si>
    <t>Interacciones, sin multiplicar repeticiones</t>
  </si>
  <si>
    <t>Peso de actores UAW</t>
  </si>
  <si>
    <t>puntos</t>
  </si>
  <si>
    <t>Peso de casos UUCW</t>
  </si>
  <si>
    <t>Puntos sin ajustar UUCP</t>
  </si>
  <si>
    <t>Factor técnico TCF</t>
  </si>
  <si>
    <t>coeficiente</t>
  </si>
  <si>
    <t>Factor de ambiente EF</t>
  </si>
  <si>
    <t>Etapa contractual</t>
  </si>
  <si>
    <t>UUCW</t>
  </si>
  <si>
    <t>Puntos ajustados UCP</t>
  </si>
  <si>
    <t>UCP</t>
  </si>
  <si>
    <t>Etapa 1</t>
  </si>
  <si>
    <t>Factor de conversión</t>
  </si>
  <si>
    <t>HH por UCP</t>
  </si>
  <si>
    <t>Etapa 2</t>
  </si>
  <si>
    <t>Horas de programación</t>
  </si>
  <si>
    <t>HH</t>
  </si>
  <si>
    <t>Horas totales de desarrollo</t>
  </si>
  <si>
    <t>HH, lectura B del PDF</t>
  </si>
  <si>
    <t>Cómo editar</t>
  </si>
  <si>
    <t>1. Cambie puntuaciones amarillas en Factores ambiente o Factores tecnicos.</t>
  </si>
  <si>
    <t>2. Para cambiar complejidad de un caso, edite sus filas de Transacciones y la columna Contar.</t>
  </si>
  <si>
    <t>3. Para excluir alcance, cambie Incluir a 0 en el Catálogo o en Actores UAW.</t>
  </si>
  <si>
    <t>4. Las fórmulas actualizan factores, puntos, conversión, horas y distribución. Excel debe usar cálculo automático.</t>
  </si>
  <si>
    <t>Estado del esfuerzo</t>
  </si>
  <si>
    <t>Las horas excluyen operación, infraestructura, migración, capacitación ejecutada y reservas.</t>
  </si>
  <si>
    <t>Celdas amarillas: entradas editables. Valores sin relleno amarillo: fórmulas, datos fuente o reglas publicadas.</t>
  </si>
  <si>
    <t>Catálogo de casos de uso</t>
  </si>
  <si>
    <t>Desglose propuesto desde requisitos. Las cantidades se calculan desde Transacciones; edite el detalle para cambiarlas.</t>
  </si>
  <si>
    <t>ID caso</t>
  </si>
  <si>
    <t>Módulo</t>
  </si>
  <si>
    <t>Etapa</t>
  </si>
  <si>
    <t>Caso de uso</t>
  </si>
  <si>
    <t>Descripción y resultado</t>
  </si>
  <si>
    <t>Actores (ID)</t>
  </si>
  <si>
    <t>Incluir</t>
  </si>
  <si>
    <t>Principal</t>
  </si>
  <si>
    <t>Alternativo</t>
  </si>
  <si>
    <t>Total tx</t>
  </si>
  <si>
    <t>Requisitos / innovación</t>
  </si>
  <si>
    <t>Fuente funcional</t>
  </si>
  <si>
    <t>Control</t>
  </si>
  <si>
    <t>CU-001</t>
  </si>
  <si>
    <t>M1 Recepción</t>
  </si>
  <si>
    <t>E1</t>
  </si>
  <si>
    <t>Registrar recepción de proveedor</t>
  </si>
  <si>
    <t>Registrar cantidades, lote y vencimiento contra la orden de compra; el cierre conserva discrepancias y solicita el ingreso al ERP.</t>
  </si>
  <si>
    <t>A14, A04</t>
  </si>
  <si>
    <t>RF-01.01, RF-01.02, RF-01.03, RF-01.06, RF-01.09</t>
  </si>
  <si>
    <t>SD3 Anexo 3.A</t>
  </si>
  <si>
    <t>CU-002</t>
  </si>
  <si>
    <t>Registrar no conformidad en recepción</t>
  </si>
  <si>
    <t>Documentar una anomalía con evidencia y retener la cantidad afectada para evaluación de Calidad.</t>
  </si>
  <si>
    <t>A14, A09</t>
  </si>
  <si>
    <t>RF-01.04, RF-01.05</t>
  </si>
  <si>
    <t>CU-003</t>
  </si>
  <si>
    <t>Identificar unidad logística con SSCC</t>
  </si>
  <si>
    <t>Generar e imprimir la identificación logística de un pallet con vínculo a su contenido, sin confundir SSCC con lote.</t>
  </si>
  <si>
    <t>RF-01.07</t>
  </si>
  <si>
    <t>CU-004</t>
  </si>
  <si>
    <t>Ubicar unidad logística en bodega</t>
  </si>
  <si>
    <t>Asociar una unidad logística a una posición térmicamente compatible y registrar el movimiento.</t>
  </si>
  <si>
    <t>A04, A14</t>
  </si>
  <si>
    <t>RF-01.08, RF-01.11</t>
  </si>
  <si>
    <t>CU-005</t>
  </si>
  <si>
    <t>Mantener maestro de productos</t>
  </si>
  <si>
    <t>Mantener fichas y atributos logísticos, comerciales y sanitarios con historial de cambios.</t>
  </si>
  <si>
    <t>A10, A13, A16</t>
  </si>
  <si>
    <t>RF-01.10</t>
  </si>
  <si>
    <t>CU-006</t>
  </si>
  <si>
    <t>M2 Inventario</t>
  </si>
  <si>
    <t>Configurar instalaciones y ubicaciones</t>
  </si>
  <si>
    <t>Mantener sitios, zonas térmicas y posiciones, con disponibilidad local para operar sin WAN.</t>
  </si>
  <si>
    <t>A13, A14</t>
  </si>
  <si>
    <t>RF-02.01</t>
  </si>
  <si>
    <t>CU-007</t>
  </si>
  <si>
    <t>Consultar stock y disponibilidad</t>
  </si>
  <si>
    <t>Consultar existencias físicas, comprometidas, disponibles y en tránsito por SKU y sitio, mostrando antigüedad sin conexión.</t>
  </si>
  <si>
    <t>A01, A14, A13</t>
  </si>
  <si>
    <t>RF-02.02, RF-02.05, RF-03.01, RF-03.02</t>
  </si>
  <si>
    <t>CU-008</t>
  </si>
  <si>
    <t>Aprobar y ejecutar propuesta de slotting</t>
  </si>
  <si>
    <t>Proponer y aprobar reubicaciones por rotación, capacidad y compatibilidad térmica.</t>
  </si>
  <si>
    <t>RF-02.03</t>
  </si>
  <si>
    <t>CU-009</t>
  </si>
  <si>
    <t>Realizar conteo cíclico y ajuste</t>
  </si>
  <si>
    <t>Planificar conteos ciegos y resolver diferencias con umbral y segregación de autorización.</t>
  </si>
  <si>
    <t>RF-02.04</t>
  </si>
  <si>
    <t>CU-010</t>
  </si>
  <si>
    <t>Transferir inventario entre sitios</t>
  </si>
  <si>
    <t>Despachar y recibir existencias en tránsito, conservando la autoridad local y el movimiento hacia el ERP.</t>
  </si>
  <si>
    <t>RF-02.06</t>
  </si>
  <si>
    <t>CU-011</t>
  </si>
  <si>
    <t>Consultar ocupación de bodegas</t>
  </si>
  <si>
    <t>Consultar capacidad utilizada por instalación y zona con histórico exportable.</t>
  </si>
  <si>
    <t>A14, A13</t>
  </si>
  <si>
    <t>RF-02.07</t>
  </si>
  <si>
    <t>CU-012</t>
  </si>
  <si>
    <t>Gestionar alertas de vencimiento en bodega</t>
  </si>
  <si>
    <t>Revisar lotes próximos a vencer y registrar una acción permitida sin sustituir FEFO.</t>
  </si>
  <si>
    <t>RF-02.09</t>
  </si>
  <si>
    <t>CU-013</t>
  </si>
  <si>
    <t>Controlar paso por cross-docking</t>
  </si>
  <si>
    <t>Registrar llegada, descarga, excepciones y recarga de unidades logísticas con sus tiempos.</t>
  </si>
  <si>
    <t>RF-02.11</t>
  </si>
  <si>
    <t>CU-014</t>
  </si>
  <si>
    <t>M3 Preventa</t>
  </si>
  <si>
    <t>Tomar y confirmar pedido de preventa</t>
  </si>
  <si>
    <t>Capturar un pedido con condiciones comerciales y promesa; sin conexión queda pendiente, con UUID, hasta validación central.</t>
  </si>
  <si>
    <t>A01</t>
  </si>
  <si>
    <t>RF-03.03, RF-03.04, RF-03.05, RF-03.06, RF-03.07, RF-03.08, RF-03.09, RF-03.11, RF-03.13, RF-03.14, RF-03.15, RF-03.16, RF-07.05</t>
  </si>
  <si>
    <t>CU-015</t>
  </si>
  <si>
    <t>Autorizar excepción de crédito</t>
  </si>
  <si>
    <t>Resolver un pedido bloqueado mediante una autorización financiera registrada y separada del solicitante.</t>
  </si>
  <si>
    <t>A11</t>
  </si>
  <si>
    <t>RF-03.10</t>
  </si>
  <si>
    <t>CU-016</t>
  </si>
  <si>
    <t>Mantener condiciones y resolver diferencias de precio</t>
  </si>
  <si>
    <t>Mantener listas y promociones autorizadas y resolver diferencias conservando el precio acordado del pedido.</t>
  </si>
  <si>
    <t>A10, A11</t>
  </si>
  <si>
    <t>RF-03.11, RF-03.12</t>
  </si>
  <si>
    <t>CU-017</t>
  </si>
  <si>
    <t>Base compartida</t>
  </si>
  <si>
    <t>Resolver excepciones de sincronización</t>
  </si>
  <si>
    <t>Revisar pendientes y resolver conflictos funcionales de sincronización sin perder ni duplicar operaciones.</t>
  </si>
  <si>
    <t>A13, A01, A02, A03, A04</t>
  </si>
  <si>
    <t>RF-06.07, RF-03.16</t>
  </si>
  <si>
    <t>CU-018</t>
  </si>
  <si>
    <t>M4 Rutas</t>
  </si>
  <si>
    <t>Generar y aprobar plan de rutas</t>
  </si>
  <si>
    <t>Planificar pedidos con capacidad, frío y ventanas horarias, incluida la ventana de 30 minutos del canal moderno.</t>
  </si>
  <si>
    <t>A12, A32</t>
  </si>
  <si>
    <t>RF-04.01, RF-04.03, RF-04.04, RF-04.05, RF-12.10</t>
  </si>
  <si>
    <t>CU-019</t>
  </si>
  <si>
    <t>Modificar rutas y gestionar reentregas</t>
  </si>
  <si>
    <t>Corregir secuencias o reasignar entregas con validación de capacidad y trazabilidad.</t>
  </si>
  <si>
    <t>A12, A13</t>
  </si>
  <si>
    <t>RF-04.02, RF-04.03, RF-04.05</t>
  </si>
  <si>
    <t>CU-020</t>
  </si>
  <si>
    <t>Mantener flota y restricciones de entrega</t>
  </si>
  <si>
    <t>Configurar capacidad vehicular, zonas y ventanas por cliente para el plan de rutas.</t>
  </si>
  <si>
    <t>RF-04.04, RF-04.07, RF-04.05</t>
  </si>
  <si>
    <t>CU-021</t>
  </si>
  <si>
    <t>M5 Preparación</t>
  </si>
  <si>
    <t>Generar y asignar misiones de preparación</t>
  </si>
  <si>
    <t>Generar misiones por pedido o ruta con FEFO y secuencia térmica, manualmente o al cierre configurado.</t>
  </si>
  <si>
    <t>A14, A29</t>
  </si>
  <si>
    <t>RF-05.01, RF-05.04, RF-05.05</t>
  </si>
  <si>
    <t>CU-022</t>
  </si>
  <si>
    <t>Ejecutar misión de picking</t>
  </si>
  <si>
    <t>Preparar líneas con GS1 y lote exacto, registrar faltantes y cerrar con detalle para el ERP.</t>
  </si>
  <si>
    <t>RF-02.08, RF-05.02, RF-05.03, RF-05.04, RF-05.05, RF-05.06, RF-09.08</t>
  </si>
  <si>
    <t>CU-023</t>
  </si>
  <si>
    <t>Cargar vehículo y liberar despacho</t>
  </si>
  <si>
    <t>Controlar carga inversa, exposición de andén y documento habilitante antes de liberar salida.</t>
  </si>
  <si>
    <t>A04, A14, A02, A03</t>
  </si>
  <si>
    <t>RF-05.07, RF-09.11</t>
  </si>
  <si>
    <t>CU-024</t>
  </si>
  <si>
    <t>Intercambiar documentos tributarios con ERP</t>
  </si>
  <si>
    <t>Solicitar al ERP la guía y consultar estados y acuses, manteniéndolo como único emisor tributario.</t>
  </si>
  <si>
    <t>A20</t>
  </si>
  <si>
    <t>RF-05.06, RF-06.14</t>
  </si>
  <si>
    <t>CU-025</t>
  </si>
  <si>
    <t>M6 Reparto</t>
  </si>
  <si>
    <t>Habilitar jornada y conductor de ruta</t>
  </si>
  <si>
    <t>Vincular conductor, empresa, vehículo y turno; el externo usa OTP y el permiso local se limita a la asignación.</t>
  </si>
  <si>
    <t>A02, A03, A07</t>
  </si>
  <si>
    <t>RF-06.08, RF-14.05</t>
  </si>
  <si>
    <t>CU-026</t>
  </si>
  <si>
    <t>Registrar entrega con prueba de recepción</t>
  </si>
  <si>
    <t>Registrar entrega y evidencia con o sin señal, verificando autorización de bajada para unidades de frío.</t>
  </si>
  <si>
    <t>A02, A03, A05, A06</t>
  </si>
  <si>
    <t>RF-06.01, RF-06.02, RF-06.03, RF-06.06, RF-06.11, RF-06.12, RF-06.13, RF-09.12, RF-09.13, RF-12.11, RF-12.12</t>
  </si>
  <si>
    <t>CU-027</t>
  </si>
  <si>
    <t>Registrar intento fallido de entrega</t>
  </si>
  <si>
    <t>Documentar local cerrado o imposibilidad de entrega para que planificación gestione la reentrega.</t>
  </si>
  <si>
    <t>A02, A03</t>
  </si>
  <si>
    <t>RF-06.04</t>
  </si>
  <si>
    <t>CU-028</t>
  </si>
  <si>
    <t>M7 Cobranza</t>
  </si>
  <si>
    <t>Cobrar entrega en efectivo o abono</t>
  </si>
  <si>
    <t>Registrar recaudación total o parcial, emitir comprobante y conservar saldo a integrar al ERP.</t>
  </si>
  <si>
    <t>RF-06.05, RF-07.10</t>
  </si>
  <si>
    <t>CU-029</t>
  </si>
  <si>
    <t>Cobrar con terminal POS en ruta</t>
  </si>
  <si>
    <t>Iniciar cobro por Bluetooth, conservar autorización y conciliar resultados inciertos sin duplicar cargos.</t>
  </si>
  <si>
    <t>A02, A03, A22</t>
  </si>
  <si>
    <t>RF-07.06</t>
  </si>
  <si>
    <t>CU-030</t>
  </si>
  <si>
    <t>Cobrar deuda vencida en preventa</t>
  </si>
  <si>
    <t>Registrar cobranza en efectivo desde preventa con recibo y obligación de rendición diaria.</t>
  </si>
  <si>
    <t>RF-07.11</t>
  </si>
  <si>
    <t>CU-031</t>
  </si>
  <si>
    <t>Rendir y cerrar turno comercial</t>
  </si>
  <si>
    <t>Conciliar efectivo, documentos, retornos y envases, impidiendo cierres con diferencias sin justificar.</t>
  </si>
  <si>
    <t>A02, A03, A01, A11</t>
  </si>
  <si>
    <t>RF-07.01, RF-07.02, RF-07.03, RF-11.07</t>
  </si>
  <si>
    <t>CU-032</t>
  </si>
  <si>
    <t>Gestionar cartera y compromisos de cobro</t>
  </si>
  <si>
    <t>Asignar cartera y registrar gestiones, compromisos y recontactos con información del ERP.</t>
  </si>
  <si>
    <t>RF-07.04</t>
  </si>
  <si>
    <t>CU-033</t>
  </si>
  <si>
    <t>E2</t>
  </si>
  <si>
    <t>Reportar transferencia en portal</t>
  </si>
  <si>
    <t>Presentar comprobantes bancarios para validación financiera sin acreditar anticipadamente el pago.</t>
  </si>
  <si>
    <t>A05, A06</t>
  </si>
  <si>
    <t>RF-07.08</t>
  </si>
  <si>
    <t>CU-034</t>
  </si>
  <si>
    <t>Validar pagos reportados en portal</t>
  </si>
  <si>
    <t>Revisar comprobantes reportados y autorizar su traspaso al ERP o devolverlos con causa.</t>
  </si>
  <si>
    <t>CU-035</t>
  </si>
  <si>
    <t>Intercambiar hechos comerciales con ERP</t>
  </si>
  <si>
    <t>Intercambiar hechos aprobados, maestros y estados financieros con correlación, deduplicación y respuesta durable.</t>
  </si>
  <si>
    <t>RF-01.09, RF-02.06, RF-07.09, RF-10.03</t>
  </si>
  <si>
    <t>CU-036</t>
  </si>
  <si>
    <t>M8 Devoluciones</t>
  </si>
  <si>
    <t>Registrar devolución en terreno</t>
  </si>
  <si>
    <t>Registrar retorno de mercadería y motivo, incluida sospecha de ruptura de frío, aun sin conexión.</t>
  </si>
  <si>
    <t>RF-08.01, RF-09.07</t>
  </si>
  <si>
    <t>CU-037</t>
  </si>
  <si>
    <t>Recibir retorno físico en el CD</t>
  </si>
  <si>
    <t>Conciliar devolución física y ejecutar destino permitido; la decisión sanitaria se realiza en Calidad.</t>
  </si>
  <si>
    <t>A14, A04, A09</t>
  </si>
  <si>
    <t>RF-08.02</t>
  </si>
  <si>
    <t>CU-038</t>
  </si>
  <si>
    <t>Controlar cuenta de envases retornables</t>
  </si>
  <si>
    <t>Registrar envases, actualizar cuenta por cliente y consultar pérdidas y alertas.</t>
  </si>
  <si>
    <t>A02, A03, A01, A14</t>
  </si>
  <si>
    <t>RF-06.09, RF-06.10, RF-08.03, RF-08.04, RF-08.06</t>
  </si>
  <si>
    <t>CU-039</t>
  </si>
  <si>
    <t>Registrar merma por lote</t>
  </si>
  <si>
    <t>Documentar merma en conteo, picking o local del cliente con causa, cantidad y lote.</t>
  </si>
  <si>
    <t>A14, A04, A01</t>
  </si>
  <si>
    <t>RF-08.05</t>
  </si>
  <si>
    <t>CU-040</t>
  </si>
  <si>
    <t>M9 Calidad</t>
  </si>
  <si>
    <t>Consultar trazabilidad bidireccional de lote</t>
  </si>
  <si>
    <t>Reconstruir recepción, ubicaciones, transformaciones de unidades y destinos de un lote.</t>
  </si>
  <si>
    <t>A09, A14</t>
  </si>
  <si>
    <t>RF-02.10, RF-09.01, RF-09.02</t>
  </si>
  <si>
    <t>CU-041</t>
  </si>
  <si>
    <t>Coordinar retiro sanitario de lote</t>
  </si>
  <si>
    <t>Abrir retiro, bloquear existencias, identificar clientes y seguir las acciones hasta su cierre.</t>
  </si>
  <si>
    <t>A09, A13</t>
  </si>
  <si>
    <t>RF-09.01, RF-09.02</t>
  </si>
  <si>
    <t>CU-042</t>
  </si>
  <si>
    <t>Recibir lecturas de cadena de frío</t>
  </si>
  <si>
    <t>Capturar lecturas de sensores de cámara y vehículo con asociación temporal, confirmación y detección de datos inválidos.</t>
  </si>
  <si>
    <t>A27, A28</t>
  </si>
  <si>
    <t>RF-09.03, RF-09.04</t>
  </si>
  <si>
    <t>CU-043</t>
  </si>
  <si>
    <t>Parametrizar reglas y manifiesto térmico</t>
  </si>
  <si>
    <t>Definir límites y duración por familia, aprobar versión y verificar distribución local antes de habilitarla.</t>
  </si>
  <si>
    <t>RF-09.10</t>
  </si>
  <si>
    <t>CU-044</t>
  </si>
  <si>
    <t>Atender excursión y retención térmica</t>
  </si>
  <si>
    <t>Atender alerta local o central, registrar observaciones y conservar bloqueo hasta decisión autorizada.</t>
  </si>
  <si>
    <t>A02, A03, A09</t>
  </si>
  <si>
    <t>RF-09.05, RF-09.06, RF-09.13</t>
  </si>
  <si>
    <t>CU-045</t>
  </si>
  <si>
    <t>Resolver disposición sanitaria del producto</t>
  </si>
  <si>
    <t>Resolver liberación, descuento de producto apto, devolución al proveedor, uso no alimentario o destrucción autorizada.</t>
  </si>
  <si>
    <t>A09</t>
  </si>
  <si>
    <t>RF-09.14, RF-08.02</t>
  </si>
  <si>
    <t>CU-046</t>
  </si>
  <si>
    <t>Emitir evidencia de cadena de frío</t>
  </si>
  <si>
    <t>Generar expediente de un envío con curva térmica, eventos y tramos faltantes explícitos.</t>
  </si>
  <si>
    <t>RF-09.09</t>
  </si>
  <si>
    <t>CU-047</t>
  </si>
  <si>
    <t>M10 Analítica</t>
  </si>
  <si>
    <t>Consultar indicadores operacionales</t>
  </si>
  <si>
    <t>Consultar OTIF, Fill Rate, Perfect Order y utilización contra hechos de pedido y entrega.</t>
  </si>
  <si>
    <t>A10, A11, A13</t>
  </si>
  <si>
    <t>RF-11.03, RF-11.04, RF-11.05</t>
  </si>
  <si>
    <t>CU-048</t>
  </si>
  <si>
    <t>Calcular y revisar costo de servir</t>
  </si>
  <si>
    <t>Imputar costos directos e indirectos por entrega y cliente con kilómetros, tiempos, devoluciones y mermas.</t>
  </si>
  <si>
    <t>A11, A13</t>
  </si>
  <si>
    <t>RF-04.08, RF-08.07, RF-11.02, RF-14.04</t>
  </si>
  <si>
    <t>CU-049</t>
  </si>
  <si>
    <t>Analizar rentabilidad de clientes</t>
  </si>
  <si>
    <t>Comparar margen y costo de servir y revisar recomendaciones comerciales sin aplicarlas automáticamente.</t>
  </si>
  <si>
    <t>RF-11.08</t>
  </si>
  <si>
    <t>CU-050</t>
  </si>
  <si>
    <t>Programar y distribuir reportes ejecutivos</t>
  </si>
  <si>
    <t>Definir reporte, destinatarios y frecuencia y conservar el resultado de su distribución programada.</t>
  </si>
  <si>
    <t>A10, A11, A13, A29</t>
  </si>
  <si>
    <t>RF-11.01</t>
  </si>
  <si>
    <t>CU-051</t>
  </si>
  <si>
    <t>Supervisar tablero de operación</t>
  </si>
  <si>
    <t>Supervisar rutas, entregas, retornos, frío y recaudación con acceso según rol.</t>
  </si>
  <si>
    <t>A13, A10, A11</t>
  </si>
  <si>
    <t>RF-11.06, RF-16.02</t>
  </si>
  <si>
    <t>CU-052</t>
  </si>
  <si>
    <t>M11 Canales</t>
  </si>
  <si>
    <t>Recibir y responder pedido electrónico EDI</t>
  </si>
  <si>
    <t>Recibir pedidos de cadena, validar equivalencias y devolver respuesta comercial separada del acuse técnico.</t>
  </si>
  <si>
    <t>A21</t>
  </si>
  <si>
    <t>RF-12.01, RF-12.02, RF-12.03, RF-12.04, RF-12.05, RF-12.07, RF-12.08</t>
  </si>
  <si>
    <t>CU-053</t>
  </si>
  <si>
    <t>Resolver excepción de pedido EDI</t>
  </si>
  <si>
    <t>Corregir, rechazar o reprocesar mensajes sin cliente o maestro válido antes de crear un pedido canónico.</t>
  </si>
  <si>
    <t>A10, A13</t>
  </si>
  <si>
    <t>RF-12.06</t>
  </si>
  <si>
    <t>CU-054</t>
  </si>
  <si>
    <t>Mantener perfil y equivalencias por cadena</t>
  </si>
  <si>
    <t>Configurar contrato EDI, equivalencias y cortes del canal moderno por cadena.</t>
  </si>
  <si>
    <t>RF-12.03, RF-12.02</t>
  </si>
  <si>
    <t>CU-055</t>
  </si>
  <si>
    <t>Intercambiar ASN y acuse digital con cadena</t>
  </si>
  <si>
    <t>Enviar aviso de despacho y evidencia comercial vinculados a la guía emitida por ERP.</t>
  </si>
  <si>
    <t>RF-12.09, RF-12.13</t>
  </si>
  <si>
    <t>CU-056</t>
  </si>
  <si>
    <t>Consultar catálogo público y contacto</t>
  </si>
  <si>
    <t>Consultar productos sin precios ni stock e información pública de contacto, sin autenticación.</t>
  </si>
  <si>
    <t>RF-12.14, RF-17.13</t>
  </si>
  <si>
    <t>CU-057</t>
  </si>
  <si>
    <t>Generar pedido en autoservicio</t>
  </si>
  <si>
    <t>Crear pedido desde portal con las mismas validaciones de stock, crédito y condiciones de negocio que preventa.</t>
  </si>
  <si>
    <t>RF-12.15</t>
  </si>
  <si>
    <t>CU-058</t>
  </si>
  <si>
    <t>Consultar entregas y documentos propios</t>
  </si>
  <si>
    <t>Consultar entregas, promesas y documentos tributarios de la empresa autenticada.</t>
  </si>
  <si>
    <t>RF-12.16, RF-12.17</t>
  </si>
  <si>
    <t>CU-059</t>
  </si>
  <si>
    <t>Consultar estado de cuenta propio</t>
  </si>
  <si>
    <t>Consultar saldos y antigüedad de deuda de la empresa autenticada y descargar su cartola.</t>
  </si>
  <si>
    <t>RF-07.07, RF-12.18</t>
  </si>
  <si>
    <t>CU-060</t>
  </si>
  <si>
    <t>Gestionar asignación desde portal transportista</t>
  </si>
  <si>
    <t>Consultar rutas propias y confirmar conductor y vehículo antes de despacho.</t>
  </si>
  <si>
    <t>A07</t>
  </si>
  <si>
    <t>RF-12.19, RF-12.20, RF-12.21</t>
  </si>
  <si>
    <t>CU-061</t>
  </si>
  <si>
    <t>Consultar operaciones desde portal proveedor</t>
  </si>
  <si>
    <t>Consultar órdenes, recepciones y devoluciones propias sin autorizar recepción física.</t>
  </si>
  <si>
    <t>A08</t>
  </si>
  <si>
    <t>RF-12.22, RF-12.23, RF-12.24</t>
  </si>
  <si>
    <t>CU-062</t>
  </si>
  <si>
    <t>Registrar cuenta externa habilitada</t>
  </si>
  <si>
    <t>Registrar acceso de una empresa previamente habilitada, con validación del RUT y correo.</t>
  </si>
  <si>
    <t>RF-12.25</t>
  </si>
  <si>
    <t>CU-063</t>
  </si>
  <si>
    <t>Autenticarse y gestionar sesión común</t>
  </si>
  <si>
    <t>Acceder con identidad central o permiso local vigente, exigir MFA cuando aplique y propagar cierre de sesión.</t>
  </si>
  <si>
    <t>A01, A02, A03, A04, A05, A06, A07, A08, A09, A10, A11, A12, A13, A14, A15, A16, A17, A18, A19, A26</t>
  </si>
  <si>
    <t>RF-12.26, RF-12.28, RF-12.29, RF-15.01, RF-15.02, RF-15.03</t>
  </si>
  <si>
    <t>CU-064</t>
  </si>
  <si>
    <t>Recuperar contraseña de cuenta externa</t>
  </si>
  <si>
    <t>Recuperar acceso mediante enlace temporal al correo registrado sin revelar cuentas ajenas.</t>
  </si>
  <si>
    <t>A05, A06, A23</t>
  </si>
  <si>
    <t>RF-12.27</t>
  </si>
  <si>
    <t>CU-065</t>
  </si>
  <si>
    <t>Pagar pedido de portal mediante pasarela</t>
  </si>
  <si>
    <t>Pagar pedido de autoservicio con Transbank y conciliar su resultado con una clave única.</t>
  </si>
  <si>
    <t>A05, A06, A30</t>
  </si>
  <si>
    <t>RF-12.30</t>
  </si>
  <si>
    <t>CU-066</t>
  </si>
  <si>
    <t>M12 Telemetría</t>
  </si>
  <si>
    <t>Incorporar telemetría de flota existente</t>
  </si>
  <si>
    <t>Consumir posición, velocidad y kilometraje de los camiones propios por la interfaz existente de solo lectura.</t>
  </si>
  <si>
    <t>A25</t>
  </si>
  <si>
    <t>RF-14.01</t>
  </si>
  <si>
    <t>CU-067</t>
  </si>
  <si>
    <t>Supervisar ruta real y desvíos</t>
  </si>
  <si>
    <t>Comparar ruta planificada y real y gestionar desvíos sin usar geolocalización como sustituto del POD.</t>
  </si>
  <si>
    <t>RF-14.02, RF-14.03</t>
  </si>
  <si>
    <t>CU-068</t>
  </si>
  <si>
    <t>Mantener geocercas operacionales</t>
  </si>
  <si>
    <t>Definir zonas de entrada y salida para registrar tiempos de operación de vehículos.</t>
  </si>
  <si>
    <t>RF-14.06</t>
  </si>
  <si>
    <t>CU-069</t>
  </si>
  <si>
    <t>Revisar y aprobar sugerencia de reposición</t>
  </si>
  <si>
    <t>Calcular propuesta por ventas y promociones, revisar excepciones y transferir lo aprobado al módulo de compras del ERP.</t>
  </si>
  <si>
    <t>A16, A10</t>
  </si>
  <si>
    <t>RF-10.01, RF-10.02, RF-10.03</t>
  </si>
  <si>
    <t>CU-070</t>
  </si>
  <si>
    <t>Administrar cuentas y ciclo de identidad</t>
  </si>
  <si>
    <t>Crear, modificar y deshabilitar cuentas por ciclo laboral o relación externa, con sincronización de directorio.</t>
  </si>
  <si>
    <t>A15, A26</t>
  </si>
  <si>
    <t>RF-15.05, RF-17.01, RF-15.01</t>
  </si>
  <si>
    <t>CU-071</t>
  </si>
  <si>
    <t>Administrar roles y segregación de funciones</t>
  </si>
  <si>
    <t>Gestionar permisos por rol y atributos evitando combinaciones incompatibles.</t>
  </si>
  <si>
    <t>A15</t>
  </si>
  <si>
    <t>RF-15.04, RF-17.01</t>
  </si>
  <si>
    <t>CU-072</t>
  </si>
  <si>
    <t>Versionar parámetros con doble aprobación</t>
  </si>
  <si>
    <t>Modificar parámetros de negocio y catálogos, requiriendo segundo perfil para impacto operacional.</t>
  </si>
  <si>
    <t>A15, A09, A10, A11, A13, A14</t>
  </si>
  <si>
    <t>RF-17.02, RF-17.03</t>
  </si>
  <si>
    <t>CU-073</t>
  </si>
  <si>
    <t>Consultar y exportar auditoría</t>
  </si>
  <si>
    <t>Consultar cambios inalterables por usuario, período, entidad y operación sin acceso directo a base de datos.</t>
  </si>
  <si>
    <t>RF-17.04, RF-17.05</t>
  </si>
  <si>
    <t>CU-074</t>
  </si>
  <si>
    <t>Configurar flujos de trabajo y delegación</t>
  </si>
  <si>
    <t>Configurar estados, responsables, plazos, escalamiento y delegación por ausencia.</t>
  </si>
  <si>
    <t>RF-17.06</t>
  </si>
  <si>
    <t>CU-075</t>
  </si>
  <si>
    <t>Gestionar tareas de bandeja unificada</t>
  </si>
  <si>
    <t>Consultar y resolver tareas asignadas con priorización y seguimiento de vencimientos.</t>
  </si>
  <si>
    <t>A09, A10, A11, A12, A13, A14, A15</t>
  </si>
  <si>
    <t>RF-17.07</t>
  </si>
  <si>
    <t>CU-076</t>
  </si>
  <si>
    <t>Gestionar documentos y versiones</t>
  </si>
  <si>
    <t>Almacenar, clasificar, buscar y previsualizar documentos con integridad y permisos.</t>
  </si>
  <si>
    <t>A15, A09, A11</t>
  </si>
  <si>
    <t>RF-17.08</t>
  </si>
  <si>
    <t>CU-077</t>
  </si>
  <si>
    <t>Administrar plantillas y generar documentos</t>
  </si>
  <si>
    <t>Mantener plantillas con datos de transacción y generar salida PDF, DOCX o XLSX.</t>
  </si>
  <si>
    <t>RF-17.09</t>
  </si>
  <si>
    <t>CU-078</t>
  </si>
  <si>
    <t>Configurar preferencias y baja comercial</t>
  </si>
  <si>
    <t>Elegir canales y frecuencia y suspender comunicaciones comerciales manteniendo los avisos obligatorios del servicio.</t>
  </si>
  <si>
    <t>A01, A02, A03, A05, A06, A07, A08</t>
  </si>
  <si>
    <t>RF-18.02</t>
  </si>
  <si>
    <t>CU-079</t>
  </si>
  <si>
    <t>Configurar notificaciones multicanal</t>
  </si>
  <si>
    <t>Administrar eventos, plantillas y reglas de avisos de correo, SMS, WhatsApp y aplicación.</t>
  </si>
  <si>
    <t>RF-17.10, RF-18.03, RF-04.06</t>
  </si>
  <si>
    <t>CU-080</t>
  </si>
  <si>
    <t>Intercambiar notificaciones y estados de entrega</t>
  </si>
  <si>
    <t>Enviar avisos y recibir estados por canal sin equiparar entrega técnica con lectura.</t>
  </si>
  <si>
    <t>A23, A24, A31</t>
  </si>
  <si>
    <t>CU-081</t>
  </si>
  <si>
    <t>Buscar información autorizada</t>
  </si>
  <si>
    <t>Realizar búsqueda global y usar filtros, orden y exportación respetando permisos.</t>
  </si>
  <si>
    <t>A01, A09, A10, A11, A12, A13, A14, A15</t>
  </si>
  <si>
    <t>RF-17.11, RF-17.12</t>
  </si>
  <si>
    <t>CU-082</t>
  </si>
  <si>
    <t>Supervisar salud y alertas de plataforma</t>
  </si>
  <si>
    <t>Consultar síntomas de negocio, colas y trazas correlacionadas y gestionar su escalamiento.</t>
  </si>
  <si>
    <t>A15, A17</t>
  </si>
  <si>
    <t>RF-16.01, RF-16.03</t>
  </si>
  <si>
    <t>CU-083</t>
  </si>
  <si>
    <t>Administrar contratos e interfaces de integración</t>
  </si>
  <si>
    <t>Mantener parámetros y contratos de interfaces externas y resolver errores de configuración con prueba controlada.</t>
  </si>
  <si>
    <t>RF-17.02, RF-15.01</t>
  </si>
  <si>
    <t>CU-084</t>
  </si>
  <si>
    <t>Capturar y admitir incidente reproducible</t>
  </si>
  <si>
    <t>Crear paquete causal sanitizado desde terreno y admitirlo para diagnóstico, excluyendo datos prohibidos.</t>
  </si>
  <si>
    <t>A17, A18</t>
  </si>
  <si>
    <t>INN-02</t>
  </si>
  <si>
    <t>SD13 §13.2; SD4 Anexo 4-N</t>
  </si>
  <si>
    <t>CU-085</t>
  </si>
  <si>
    <t>Reproducir incidente y conservar regresión sintética</t>
  </si>
  <si>
    <t>Reproducir causa en recursos efímeros de QA o Preproducción y conservar solo escenario sintético tras cierre.</t>
  </si>
  <si>
    <t>A18, A19</t>
  </si>
  <si>
    <t>SD13 §13.2; SD6 §6.2</t>
  </si>
  <si>
    <t>CU-086</t>
  </si>
  <si>
    <t>Evaluar vida útil por historia térmica</t>
  </si>
  <si>
    <t>Estimar vida remanente con modelo determinista versionado, sin extender vencimiento impreso ni sustituir FEFO.</t>
  </si>
  <si>
    <t>INN-03</t>
  </si>
  <si>
    <t>SD13 §13.3; SD5 modelo sanitario</t>
  </si>
  <si>
    <t>CU-087</t>
  </si>
  <si>
    <t>Gestionar vencimiento posentrega en el local</t>
  </si>
  <si>
    <t>Consultar avisos precargados, confirmar saldo estimado en visita y cerrar una acción autorizada sin alterar inventario oficial.</t>
  </si>
  <si>
    <t>A01, A10, A09</t>
  </si>
  <si>
    <t>INN-01</t>
  </si>
  <si>
    <t>SD13 §13.1; SD4 Anexo 4-N</t>
  </si>
  <si>
    <t>CU-088</t>
  </si>
  <si>
    <t>Revisar liquidación variable ligada al costo de servir</t>
  </si>
  <si>
    <t>Revisar informe mensual comparable, OTIF y recomendaciones y aprobar liquidación, manteniendo autoridad contable en ERP.</t>
  </si>
  <si>
    <t>INN-04</t>
  </si>
  <si>
    <t>SD13 §13.4; SD4 Anexo 4-N</t>
  </si>
  <si>
    <t>CU-089</t>
  </si>
  <si>
    <t>Generar y entregar hoja de negocio del almacenero</t>
  </si>
  <si>
    <t>Preparar información de compras y entregar copia sin exigir aplicación o registro al cliente, con controles de privacidad.</t>
  </si>
  <si>
    <t>A01, A02, A03, A05</t>
  </si>
  <si>
    <t>INN-05</t>
  </si>
  <si>
    <t>SD13 §13.5; SD4 Anexo 4-N</t>
  </si>
  <si>
    <t>CU-090</t>
  </si>
  <si>
    <t>Firmar documento con evidencia verificable</t>
  </si>
  <si>
    <t>Firmar documentos según modalidad aplicable y conservar evidencia de validez y tiempo.</t>
  </si>
  <si>
    <t>A11, A15</t>
  </si>
  <si>
    <t>RF-18.01</t>
  </si>
  <si>
    <t>CU-091</t>
  </si>
  <si>
    <t>Clasificar información y aplicar acceso</t>
  </si>
  <si>
    <t>Asignar nivel de sensibilidad a conjuntos de información y revisar controles de acceso correspondientes.</t>
  </si>
  <si>
    <t>RF-14.01-BTT</t>
  </si>
  <si>
    <t>Transacciones por caso de uso</t>
  </si>
  <si>
    <t>Amarillo: entradas editables. Contar = 1 incluye la interacción; 0 la excluye. No sumar repeticiones del mismo tipo.</t>
  </si>
  <si>
    <t>ID transacción</t>
  </si>
  <si>
    <t>N.º</t>
  </si>
  <si>
    <t>Flujo</t>
  </si>
  <si>
    <t>Acción del actor</t>
  </si>
  <si>
    <t>Respuesta del sistema</t>
  </si>
  <si>
    <t>Contar</t>
  </si>
  <si>
    <t>CU-001-T01</t>
  </si>
  <si>
    <t>Selecciona la orden de compra y el andén</t>
  </si>
  <si>
    <t>Muestra líneas esperadas y recepción abierta</t>
  </si>
  <si>
    <t>CU-001-T02</t>
  </si>
  <si>
    <t>Escanea el producto y su lote GS1</t>
  </si>
  <si>
    <t>Identifica SKU, lote y vencimiento y muestra los datos capturados</t>
  </si>
  <si>
    <t>CU-001-T03</t>
  </si>
  <si>
    <t>Registra cantidades y confirma los datos de la línea</t>
  </si>
  <si>
    <t>Valida campos obligatorios y muestra diferencias contra la orden</t>
  </si>
  <si>
    <t>CU-001-T04</t>
  </si>
  <si>
    <t>Solicita el resumen de recepción</t>
  </si>
  <si>
    <t>Presenta cantidades, lotes y discrepancias del documento</t>
  </si>
  <si>
    <t>CU-001-T05</t>
  </si>
  <si>
    <t>Confirma el cierre de la recepción</t>
  </si>
  <si>
    <t>Registra el ingreso y devuelve identificador y estado de integración</t>
  </si>
  <si>
    <t>CU-001-T06</t>
  </si>
  <si>
    <t>Alternativo adicional</t>
  </si>
  <si>
    <t>Ingresa manualmente un código no reconocido</t>
  </si>
  <si>
    <t>Valida el ingreso autorizado y devuelve la línea identificada</t>
  </si>
  <si>
    <t>CU-002-T01</t>
  </si>
  <si>
    <t>Selecciona recepción y cantidad afectada</t>
  </si>
  <si>
    <t>Muestra SKU y lote vinculados</t>
  </si>
  <si>
    <t>CU-002-T02</t>
  </si>
  <si>
    <t>Indica tipo de no conformidad y observaciones</t>
  </si>
  <si>
    <t>Valida la causa y muestra el detalle</t>
  </si>
  <si>
    <t>CU-002-T03</t>
  </si>
  <si>
    <t>Adjunta la fotografía</t>
  </si>
  <si>
    <t>Confirma el archivo y su vinculación</t>
  </si>
  <si>
    <t>CU-002-T04</t>
  </si>
  <si>
    <t>Confirma la no conformidad</t>
  </si>
  <si>
    <t>Registra cuarentena y devuelve estado y aviso a Calidad</t>
  </si>
  <si>
    <t>CU-003-T01</t>
  </si>
  <si>
    <t>Selecciona el pallet recibido</t>
  </si>
  <si>
    <t>Muestra contenido, lotes y vencimientos</t>
  </si>
  <si>
    <t>CU-003-T02</t>
  </si>
  <si>
    <t>Confirma su identificación</t>
  </si>
  <si>
    <t>Asigna SSCC único y presenta etiqueta GS1-128</t>
  </si>
  <si>
    <t>CU-003-T03</t>
  </si>
  <si>
    <t>Solicita impresión o reimpresión justificada</t>
  </si>
  <si>
    <t>Confirma el trabajo y registra la emisión sin duplicar SSCC</t>
  </si>
  <si>
    <t>CU-004-T01</t>
  </si>
  <si>
    <t>Escanea SSCC y ubicación destino</t>
  </si>
  <si>
    <t>Muestra contenido y compatibilidad térmica</t>
  </si>
  <si>
    <t>CU-004-T02</t>
  </si>
  <si>
    <t>Confirma la cantidad a ubicar</t>
  </si>
  <si>
    <t>Valida disponibilidad y presenta movimiento</t>
  </si>
  <si>
    <t>CU-004-T03</t>
  </si>
  <si>
    <t>Confirma el movimiento</t>
  </si>
  <si>
    <t>Actualiza ubicación y devuelve comprobante de ubicación</t>
  </si>
  <si>
    <t>CU-005-T01</t>
  </si>
  <si>
    <t>Busca producto o solicita alta</t>
  </si>
  <si>
    <t>Muestra ficha vigente o formulario de creación</t>
  </si>
  <si>
    <t>CU-005-T02</t>
  </si>
  <si>
    <t>Ingresa identificación, GTIN y formato</t>
  </si>
  <si>
    <t>Valida unicidad y muestra datos del artículo</t>
  </si>
  <si>
    <t>CU-005-T03</t>
  </si>
  <si>
    <t>Define atributos físicos y sanitarios</t>
  </si>
  <si>
    <t>Valida rangos, trazabilidad y vencimiento</t>
  </si>
  <si>
    <t>CU-005-T04</t>
  </si>
  <si>
    <t>Solicita revisión de cambios</t>
  </si>
  <si>
    <t>Muestra diferencias respecto de la versión anterior</t>
  </si>
  <si>
    <t>CU-005-T05</t>
  </si>
  <si>
    <t>Confirma la ficha</t>
  </si>
  <si>
    <t>Guarda versión y devuelve vigencia e historial</t>
  </si>
  <si>
    <t>CU-006-T01</t>
  </si>
  <si>
    <t>Selecciona instalación o solicita crearla</t>
  </si>
  <si>
    <t>Muestra topología o ficha nueva</t>
  </si>
  <si>
    <t>CU-006-T02</t>
  </si>
  <si>
    <t>Define zona y rango térmico</t>
  </si>
  <si>
    <t>Valida el rango y presenta la zona</t>
  </si>
  <si>
    <t>CU-006-T03</t>
  </si>
  <si>
    <t>Registra pasillos, racks y posiciones</t>
  </si>
  <si>
    <t>Valida coordenadas únicas y zona obligatoria</t>
  </si>
  <si>
    <t>CU-006-T04</t>
  </si>
  <si>
    <t>Solicita revisar el mapa</t>
  </si>
  <si>
    <t>Muestra topología y cambios pendientes</t>
  </si>
  <si>
    <t>CU-006-T05</t>
  </si>
  <si>
    <t>Confirma la configuración</t>
  </si>
  <si>
    <t>Publica la versión y muestra estado de disponibilidad local</t>
  </si>
  <si>
    <t>CU-007-T01</t>
  </si>
  <si>
    <t>Selecciona SKU y centro de distribución</t>
  </si>
  <si>
    <t>Muestra disponibilidad y fecha del dato</t>
  </si>
  <si>
    <t>CU-007-T02</t>
  </si>
  <si>
    <t>Solicita desglose de existencias</t>
  </si>
  <si>
    <t>Presenta stock físico, reserva, tránsito y ubicaciones</t>
  </si>
  <si>
    <t>CU-007-T03</t>
  </si>
  <si>
    <t>Solicita exportación de la consulta</t>
  </si>
  <si>
    <t>Genera archivo con el mismo alcance autorizado</t>
  </si>
  <si>
    <t>CU-008-T01</t>
  </si>
  <si>
    <t>Define período ABC y solicita propuesta</t>
  </si>
  <si>
    <t>Calcula y muestra ubicaciones propuestas con motivos</t>
  </si>
  <si>
    <t>CU-008-T02</t>
  </si>
  <si>
    <t>Selecciona un movimiento</t>
  </si>
  <si>
    <t>Muestra origen, destino, cantidad y restricciones</t>
  </si>
  <si>
    <t>CU-008-T03</t>
  </si>
  <si>
    <t>Aprueba o modifica la propuesta</t>
  </si>
  <si>
    <t>Valida cambios y devuelve tareas autorizadas</t>
  </si>
  <si>
    <t>CU-008-T04</t>
  </si>
  <si>
    <t>Confirma lecturas de origen y destino</t>
  </si>
  <si>
    <t>Valida unidad, cantidad y autorización</t>
  </si>
  <si>
    <t>CU-008-T05</t>
  </si>
  <si>
    <t>Confirma ejecución de la tarea</t>
  </si>
  <si>
    <t>Registra reubicación y devuelve resultado trazable</t>
  </si>
  <si>
    <t>CU-009-T01</t>
  </si>
  <si>
    <t>Configura criterios y solicita plan mensual</t>
  </si>
  <si>
    <t>Muestra posiciones y tareas propuestas</t>
  </si>
  <si>
    <t>CU-009-T02</t>
  </si>
  <si>
    <t>Confirma asignación de tareas</t>
  </si>
  <si>
    <t>Distribuye el plan sin revelar el stock teórico</t>
  </si>
  <si>
    <t>CU-009-T03</t>
  </si>
  <si>
    <t>Selecciona la posición a contar</t>
  </si>
  <si>
    <t>Presenta formulario de conteo ciego</t>
  </si>
  <si>
    <t>CU-009-T04</t>
  </si>
  <si>
    <t>Ingresa cantidad física y causa</t>
  </si>
  <si>
    <t>Calcula diferencia y muestra ajuste o autorización pendiente</t>
  </si>
  <si>
    <t>CU-009-T05</t>
  </si>
  <si>
    <t>La jefatura revisa y decide un ajuste sobre umbral</t>
  </si>
  <si>
    <t>Registra autorización o rechazo y devuelve el resultado</t>
  </si>
  <si>
    <t>CU-009-T06</t>
  </si>
  <si>
    <t>Solicita cierre del conteo</t>
  </si>
  <si>
    <t>Presenta diferencias resueltas y comprobante del cierre</t>
  </si>
  <si>
    <t>CU-010-T01</t>
  </si>
  <si>
    <t>Selecciona origen, destino y unidades</t>
  </si>
  <si>
    <t>Muestra disponibilidad y transferencia propuesta</t>
  </si>
  <si>
    <t>CU-010-T02</t>
  </si>
  <si>
    <t>Confirma salida del origen</t>
  </si>
  <si>
    <t>Registra tránsito y devuelve manifiesto</t>
  </si>
  <si>
    <t>CU-010-T03</t>
  </si>
  <si>
    <t>Consulta la transferencia en destino</t>
  </si>
  <si>
    <t>Muestra unidades esperadas sin sumarlas al disponible</t>
  </si>
  <si>
    <t>CU-010-T04</t>
  </si>
  <si>
    <t>Escanea unidades recibidas</t>
  </si>
  <si>
    <t>Compara contra manifiesto y muestra discrepancias</t>
  </si>
  <si>
    <t>CU-010-T05</t>
  </si>
  <si>
    <t>Confirma recepción en destino</t>
  </si>
  <si>
    <t>Registra stock físico y estado de integración</t>
  </si>
  <si>
    <t>CU-010-T06</t>
  </si>
  <si>
    <t>Registra una diferencia con causa</t>
  </si>
  <si>
    <t>Conserva la excepción y devuelve la cantidad pendiente</t>
  </si>
  <si>
    <t>CU-011-T01</t>
  </si>
  <si>
    <t>Selecciona instalación y fecha</t>
  </si>
  <si>
    <t>Muestra ocupación total y por zona</t>
  </si>
  <si>
    <t>CU-011-T02</t>
  </si>
  <si>
    <t>Solicita histórico de ocupación</t>
  </si>
  <si>
    <t>Presenta evolución diaria del período</t>
  </si>
  <si>
    <t>CU-011-T03</t>
  </si>
  <si>
    <t>Solicita exportar el reporte</t>
  </si>
  <si>
    <t>Devuelve hoja de cálculo con filtros aplicados</t>
  </si>
  <si>
    <t>CU-012-T01</t>
  </si>
  <si>
    <t>Consulta lotes bajo umbral de vida útil</t>
  </si>
  <si>
    <t>Muestra lotes y cantidades con acción recomendada</t>
  </si>
  <si>
    <t>CU-012-T02</t>
  </si>
  <si>
    <t>Selecciona lote y acción autorizada</t>
  </si>
  <si>
    <t>Valida atribuciones y registra la gestión</t>
  </si>
  <si>
    <t>CU-012-T03</t>
  </si>
  <si>
    <t>Solicita reporte semanal</t>
  </si>
  <si>
    <t>Devuelve detalle por zona y SKU</t>
  </si>
  <si>
    <t>CU-013-T01</t>
  </si>
  <si>
    <t>Selecciona manifiesto del camión de línea</t>
  </si>
  <si>
    <t>Muestra unidades esperadas</t>
  </si>
  <si>
    <t>CU-013-T02</t>
  </si>
  <si>
    <t>Confirma lectura de llegada</t>
  </si>
  <si>
    <t>Registra llegada y muestra recepción en curso</t>
  </si>
  <si>
    <t>CU-013-T03</t>
  </si>
  <si>
    <t>Confirma unidades descargadas</t>
  </si>
  <si>
    <t>Registra desconsolidación y devuelve diferencias</t>
  </si>
  <si>
    <t>CU-013-T04</t>
  </si>
  <si>
    <t>Asigna unidades al camión de reparto</t>
  </si>
  <si>
    <t>Valida destino y presenta carga propuesta</t>
  </si>
  <si>
    <t>CU-013-T05</t>
  </si>
  <si>
    <t>Confirma recarga y salida</t>
  </si>
  <si>
    <t>Registra despacho y muestra tiempos de permanencia</t>
  </si>
  <si>
    <t>CU-013-T06</t>
  </si>
  <si>
    <t>Registra faltante, sobrante o daño con causa</t>
  </si>
  <si>
    <t>Abre excepción trazable y devuelve su identificador</t>
  </si>
  <si>
    <t>CU-014-T01</t>
  </si>
  <si>
    <t>Selecciona cliente y solicita iniciar pedido</t>
  </si>
  <si>
    <t>Muestra crédito, deuda, historial y antigüedad de datos</t>
  </si>
  <si>
    <t>CU-014-T02</t>
  </si>
  <si>
    <t>Consulta productos sugeridos</t>
  </si>
  <si>
    <t>Muestra recomendaciones, precios y promociones vigentes</t>
  </si>
  <si>
    <t>CU-014-T03</t>
  </si>
  <si>
    <t>Agrega productos y cantidades</t>
  </si>
  <si>
    <t>Valida condiciones y presenta total del pedido</t>
  </si>
  <si>
    <t>CU-014-T04</t>
  </si>
  <si>
    <t>Solicita aplicar una promoción permitida</t>
  </si>
  <si>
    <t>Recalcula y muestra el beneficio con su vigencia</t>
  </si>
  <si>
    <t>CU-014-T05</t>
  </si>
  <si>
    <t>Solicita propuesta de entrega</t>
  </si>
  <si>
    <t>Presenta fecha y ventana que puede comprometerse</t>
  </si>
  <si>
    <t>CU-014-T06</t>
  </si>
  <si>
    <t>Confirma el pedido</t>
  </si>
  <si>
    <t>Conserva precio acordado y devuelve UUID y estado confirmado o pendiente sin reserva local</t>
  </si>
  <si>
    <t>CU-014-T07</t>
  </si>
  <si>
    <t>Solicita corregir una línea rechazada al sincronizar</t>
  </si>
  <si>
    <t>Muestra conflicto de stock o crédito y registra la corrección</t>
  </si>
  <si>
    <t>CU-014-T08</t>
  </si>
  <si>
    <t>Confirma venta al contado ante bloqueo crediticio</t>
  </si>
  <si>
    <t>Valida la alternativa y devuelve el nuevo estado del pedido</t>
  </si>
  <si>
    <t>CU-015-T01</t>
  </si>
  <si>
    <t>Consulta pedidos bloqueados</t>
  </si>
  <si>
    <t>Muestra motivo, deuda, cupo y solicitante</t>
  </si>
  <si>
    <t>CU-015-T02</t>
  </si>
  <si>
    <t>Selecciona un pedido</t>
  </si>
  <si>
    <t>Muestra riesgo y condiciones de la excepción</t>
  </si>
  <si>
    <t>CU-015-T03</t>
  </si>
  <si>
    <t>Registra decisión y justificación</t>
  </si>
  <si>
    <t>Valida permisos y muestra la decisión propuesta</t>
  </si>
  <si>
    <t>CU-015-T04</t>
  </si>
  <si>
    <t>Confirma la decisión</t>
  </si>
  <si>
    <t>Registra aprobador y devuelve estado al pedido</t>
  </si>
  <si>
    <t>CU-016-T01</t>
  </si>
  <si>
    <t>Selecciona lista o promoción</t>
  </si>
  <si>
    <t>Muestra condiciones y versión vigente</t>
  </si>
  <si>
    <t>CU-016-T02</t>
  </si>
  <si>
    <t>Registra cambios y vigencia</t>
  </si>
  <si>
    <t>Valida reglas y presenta la propuesta</t>
  </si>
  <si>
    <t>CU-016-T03</t>
  </si>
  <si>
    <t>Confirma publicación autorizada</t>
  </si>
  <si>
    <t>Publica condiciones sin reescribir pedidos anteriores</t>
  </si>
  <si>
    <t>CU-016-T04</t>
  </si>
  <si>
    <t>Consulta una discrepancia de facturación</t>
  </si>
  <si>
    <t>Muestra precio pactado y precio calculado</t>
  </si>
  <si>
    <t>CU-016-T05</t>
  </si>
  <si>
    <t>Confirma la corrección permitida</t>
  </si>
  <si>
    <t>Registra causa y devuelve la discrepancia resuelta</t>
  </si>
  <si>
    <t>CU-017-T01</t>
  </si>
  <si>
    <t>Consulta pendientes del terminal o sitio</t>
  </si>
  <si>
    <t>Muestra estado y antigüedad de operaciones</t>
  </si>
  <si>
    <t>CU-017-T02</t>
  </si>
  <si>
    <t>Solicita detalle de una excepción</t>
  </si>
  <si>
    <t>Presenta causa y registro original</t>
  </si>
  <si>
    <t>CU-017-T03</t>
  </si>
  <si>
    <t>Corrige datos permitidos o solicita reproceso</t>
  </si>
  <si>
    <t>Valida la decisión y conserva la clave de idempotencia</t>
  </si>
  <si>
    <t>CU-017-T04</t>
  </si>
  <si>
    <t>Consulta el resultado de la conciliación</t>
  </si>
  <si>
    <t>Devuelve estado durable y cierre del turno</t>
  </si>
  <si>
    <t>CU-018-T01</t>
  </si>
  <si>
    <t>Selecciona jornada y pedidos disponibles</t>
  </si>
  <si>
    <t>Muestra demanda, flota y restricciones</t>
  </si>
  <si>
    <t>CU-018-T02</t>
  </si>
  <si>
    <t>Ajusta restricciones del cálculo</t>
  </si>
  <si>
    <t>Valida capacidad, frío y ventanas de clientes</t>
  </si>
  <si>
    <t>CU-018-T03</t>
  </si>
  <si>
    <t>Solicita optimización</t>
  </si>
  <si>
    <t>Devuelve identificador del trabajo y estado de procesamiento</t>
  </si>
  <si>
    <t>CU-018-T04</t>
  </si>
  <si>
    <t>Consulta el resultado del cálculo</t>
  </si>
  <si>
    <t>Muestra rutas, cargas, secuencias y pedidos no asignados</t>
  </si>
  <si>
    <t>CU-018-T05</t>
  </si>
  <si>
    <t>Revisa detalle de una ruta</t>
  </si>
  <si>
    <t>Presenta cumplimiento de restricciones y hora estimada</t>
  </si>
  <si>
    <t>CU-018-T06</t>
  </si>
  <si>
    <t>Confirma aprobación del plan</t>
  </si>
  <si>
    <t>Publica versión autorizada para preparación y reparto</t>
  </si>
  <si>
    <t>CU-019-T01</t>
  </si>
  <si>
    <t>Selecciona ruta e incidencia</t>
  </si>
  <si>
    <t>Muestra secuencia vigente y pedidos pendientes</t>
  </si>
  <si>
    <t>CU-019-T02</t>
  </si>
  <si>
    <t>Propone nueva secuencia o vehículo</t>
  </si>
  <si>
    <t>Valida capacidad, frío y ventanas</t>
  </si>
  <si>
    <t>CU-019-T03</t>
  </si>
  <si>
    <t>Solicita comparación del plan</t>
  </si>
  <si>
    <t>Muestra impacto y restricciones incumplidas</t>
  </si>
  <si>
    <t>CU-019-T04</t>
  </si>
  <si>
    <t>Confirma el cambio autorizado</t>
  </si>
  <si>
    <t>Publica nueva versión y devuelve asignaciones actualizadas</t>
  </si>
  <si>
    <t>CU-020-T01</t>
  </si>
  <si>
    <t>Busca vehículo o cliente</t>
  </si>
  <si>
    <t>Muestra ficha y restricciones vigentes</t>
  </si>
  <si>
    <t>CU-020-T02</t>
  </si>
  <si>
    <t>Registra capacidad y equipamiento del vehículo</t>
  </si>
  <si>
    <t>Valida peso, volumen y frío</t>
  </si>
  <si>
    <t>CU-020-T03</t>
  </si>
  <si>
    <t>Configura ventanas y zona de entrega</t>
  </si>
  <si>
    <t>Valida horarios y cobertura</t>
  </si>
  <si>
    <t>CU-020-T04</t>
  </si>
  <si>
    <t>Solicita revisión del cambio</t>
  </si>
  <si>
    <t>Presenta diferencias y rutas potencialmente afectadas</t>
  </si>
  <si>
    <t>CU-020-T05</t>
  </si>
  <si>
    <t>Confirma vigencia autorizada</t>
  </si>
  <si>
    <t>Guarda configuración para nuevos cálculos</t>
  </si>
  <si>
    <t>CU-021-T01</t>
  </si>
  <si>
    <t>Selecciona pedidos y criterio de agrupación</t>
  </si>
  <si>
    <t>Muestra demanda y disponibilidad FEFO</t>
  </si>
  <si>
    <t>CU-021-T02</t>
  </si>
  <si>
    <t>Solicita generación de misiones</t>
  </si>
  <si>
    <t>Presenta propuestas ordenadas por zona térmica</t>
  </si>
  <si>
    <t>CU-021-T03</t>
  </si>
  <si>
    <t>Confirma asignación de operarios</t>
  </si>
  <si>
    <t>Publica misiones y devuelve sus identificadores</t>
  </si>
  <si>
    <t>CU-021-T04</t>
  </si>
  <si>
    <t>El planificador automático comunica el cierre de pedidos</t>
  </si>
  <si>
    <t>Genera misiones bajo la regla vigente y devuelve estado de ejecución</t>
  </si>
  <si>
    <t>CU-022-T01</t>
  </si>
  <si>
    <t>Selecciona misión asignada</t>
  </si>
  <si>
    <t>Muestra secuencia, ubicación, lote y cantidades</t>
  </si>
  <si>
    <t>CU-022-T02</t>
  </si>
  <si>
    <t>Escanea ubicación y producto</t>
  </si>
  <si>
    <t>Valida SKU y lote contra la misión</t>
  </si>
  <si>
    <t>CU-022-T03</t>
  </si>
  <si>
    <t>Confirma cantidad recogida</t>
  </si>
  <si>
    <t>Registra avance y muestra siguiente tarea</t>
  </si>
  <si>
    <t>CU-022-T04</t>
  </si>
  <si>
    <t>Solicita resumen de la misión</t>
  </si>
  <si>
    <t>Muestra cantidades efectivas y faltantes</t>
  </si>
  <si>
    <t>CU-022-T05</t>
  </si>
  <si>
    <t>Confirma cierre</t>
  </si>
  <si>
    <t>Actualiza inventario y devuelve estado de envío al ERP</t>
  </si>
  <si>
    <t>CU-022-T06</t>
  </si>
  <si>
    <t>Registra un faltante o ingreso manual justificado</t>
  </si>
  <si>
    <t>Exige causa y devuelve el resultado auditable</t>
  </si>
  <si>
    <t>CU-023-T01</t>
  </si>
  <si>
    <t>Selecciona ruta y vehículo</t>
  </si>
  <si>
    <t>Muestra orden inverso de carga y unidades preparadas</t>
  </si>
  <si>
    <t>CU-023-T02</t>
  </si>
  <si>
    <t>Escanea salida de cámara de una unidad de frío</t>
  </si>
  <si>
    <t>Registra inicio de exposición y muestra plazo máximo</t>
  </si>
  <si>
    <t>CU-023-T03</t>
  </si>
  <si>
    <t>Confirma carga mediante lectura de SSCC</t>
  </si>
  <si>
    <t>Valida ruta, frío y tiempo de andén y devuelve estado de la unidad</t>
  </si>
  <si>
    <t>CU-023-T04</t>
  </si>
  <si>
    <t>Solicita cierre de carga</t>
  </si>
  <si>
    <t>Muestra faltantes, manifiesto y estado de guía del ERP</t>
  </si>
  <si>
    <t>CU-023-T05</t>
  </si>
  <si>
    <t>Confirma liberación de salida</t>
  </si>
  <si>
    <t>Verifica guía habilitante y devuelve autorización o bloqueo</t>
  </si>
  <si>
    <t>CU-023-T06</t>
  </si>
  <si>
    <t>Solicita retirar una unidad retenida de la carga</t>
  </si>
  <si>
    <t>Registra segregación y devuelve manifiesto corregido</t>
  </si>
  <si>
    <t>CU-024-T01</t>
  </si>
  <si>
    <t>El ERP entrega resultado de la solicitud operacional de guía</t>
  </si>
  <si>
    <t>Valida la correlación, registra el documento y confirma recepción</t>
  </si>
  <si>
    <t>CU-024-T02</t>
  </si>
  <si>
    <t>El ERP responde a consulta de una solicitud incierta</t>
  </si>
  <si>
    <t>Concilia la misma clave y devuelve estado durable</t>
  </si>
  <si>
    <t>CU-024-T03</t>
  </si>
  <si>
    <t>El ERP comunica estado tributario o acuse</t>
  </si>
  <si>
    <t>La solución vincula guía y evidencia y confirma recepción</t>
  </si>
  <si>
    <t>CU-025-T01</t>
  </si>
  <si>
    <t>Selecciona ruta y vehículo asignados</t>
  </si>
  <si>
    <t>Muestra conductor esperado y controles del turno</t>
  </si>
  <si>
    <t>CU-025-T02</t>
  </si>
  <si>
    <t>Se identifica con credencial o código temporal</t>
  </si>
  <si>
    <t>Valida identidad y presenta asignación autorizada</t>
  </si>
  <si>
    <t>CU-025-T03</t>
  </si>
  <si>
    <t>Solicita precarga de la jornada</t>
  </si>
  <si>
    <t>Devuelve ruta, documentos y manifiesto vigente</t>
  </si>
  <si>
    <t>CU-025-T04</t>
  </si>
  <si>
    <t>Confirma inicio del turno</t>
  </si>
  <si>
    <t>Registra vínculo y habilita operaciones autorizadas</t>
  </si>
  <si>
    <t>CU-026-T01</t>
  </si>
  <si>
    <t>Selecciona entrega y marca llegada</t>
  </si>
  <si>
    <t>Muestra guía, líneas y ventana comprometida</t>
  </si>
  <si>
    <t>CU-026-T02</t>
  </si>
  <si>
    <t>Escanea bajada del SSCC de frío</t>
  </si>
  <si>
    <t>Valida latido, manifiesto y ausencia de retención y devuelve autorización de bajada</t>
  </si>
  <si>
    <t>CU-026-T03</t>
  </si>
  <si>
    <t>Confirma cantidades aceptadas</t>
  </si>
  <si>
    <t>Valida líneas y presenta recepción conforme o diferencias</t>
  </si>
  <si>
    <t>CU-026-T04</t>
  </si>
  <si>
    <t>Captura firma o fotografía y nombre; alternativamente confirmación QR</t>
  </si>
  <si>
    <t>Valida la evidencia y la asocia a la guía</t>
  </si>
  <si>
    <t>CU-026-T05</t>
  </si>
  <si>
    <t>Confirma fin de la entrega</t>
  </si>
  <si>
    <t>Registra hora, POD y estado pendiente o sincronizado</t>
  </si>
  <si>
    <t>CU-026-T06</t>
  </si>
  <si>
    <t>Registra un rechazo parcial con cantidad y motivo</t>
  </si>
  <si>
    <t>Actualiza las diferencias del POD y devuelve unidades rechazadas</t>
  </si>
  <si>
    <t>CU-026-T07</t>
  </si>
  <si>
    <t>Solicita comprobante físico</t>
  </si>
  <si>
    <t>Imprime comprobante de entrega mediante Bluetooth</t>
  </si>
  <si>
    <t>CU-027-T01</t>
  </si>
  <si>
    <t>Selecciona entrega pendiente</t>
  </si>
  <si>
    <t>Muestra cliente y dirección</t>
  </si>
  <si>
    <t>CU-027-T02</t>
  </si>
  <si>
    <t>Registra local cerrado o imposibilidad con evidencia</t>
  </si>
  <si>
    <t>Valida causa y conserva hora del intento</t>
  </si>
  <si>
    <t>CU-027-T03</t>
  </si>
  <si>
    <t>Confirma intento fallido</t>
  </si>
  <si>
    <t>Devuelve incidente y mantiene entrega pendiente de reprogramación</t>
  </si>
  <si>
    <t>CU-028-T01</t>
  </si>
  <si>
    <t>Selecciona entrega o saldo a cobrar</t>
  </si>
  <si>
    <t>Muestra importe exigible</t>
  </si>
  <si>
    <t>CU-028-T02</t>
  </si>
  <si>
    <t>Ingresa monto recibido y modalidad</t>
  </si>
  <si>
    <t>Calcula saldo y valida el abono</t>
  </si>
  <si>
    <t>CU-028-T03</t>
  </si>
  <si>
    <t>Confirma cobro</t>
  </si>
  <si>
    <t>Registra recaudación y devuelve recibo provisional</t>
  </si>
  <si>
    <t>CU-028-T04</t>
  </si>
  <si>
    <t>Solicita comprobante al cliente</t>
  </si>
  <si>
    <t>Devuelve copia digital o impresión disponible</t>
  </si>
  <si>
    <t>CU-029-T01</t>
  </si>
  <si>
    <t>Selecciona obligación e inicia pago con tarjeta</t>
  </si>
  <si>
    <t>Envía importe e identificador al POS y muestra operación pendiente</t>
  </si>
  <si>
    <t>CU-029-T02</t>
  </si>
  <si>
    <t>El POS devuelve el resultado de autorización</t>
  </si>
  <si>
    <t>Valida correlación y muestra resultado del pago</t>
  </si>
  <si>
    <t>CU-029-T03</t>
  </si>
  <si>
    <t>Confirma aplicación del pago autorizado</t>
  </si>
  <si>
    <t>Asocia voucher y devuelve comprobante</t>
  </si>
  <si>
    <t>CU-029-T04</t>
  </si>
  <si>
    <t>Solicita consultar un resultado incierto</t>
  </si>
  <si>
    <t>Consulta la misma clave y devuelve estado conciliado</t>
  </si>
  <si>
    <t>CU-030-T01</t>
  </si>
  <si>
    <t>Consulta facturas vencidas del cliente</t>
  </si>
  <si>
    <t>Muestra obligaciones y antigüedad del dato</t>
  </si>
  <si>
    <t>CU-030-T02</t>
  </si>
  <si>
    <t>Selecciona facturas e ingresa efectivo recibido</t>
  </si>
  <si>
    <t>Valida monto y presenta imputación</t>
  </si>
  <si>
    <t>CU-030-T03</t>
  </si>
  <si>
    <t>Registra recibo provisional y pendiente de rendición</t>
  </si>
  <si>
    <t>CU-030-T04</t>
  </si>
  <si>
    <t>Solicita comprobante</t>
  </si>
  <si>
    <t>Devuelve recibo asociado al cobro</t>
  </si>
  <si>
    <t>CU-031-T01</t>
  </si>
  <si>
    <t>Selecciona turno o cobranza a rendir</t>
  </si>
  <si>
    <t>Calcula esperado y muestra planilla</t>
  </si>
  <si>
    <t>CU-031-T02</t>
  </si>
  <si>
    <t>Ingresa valores efectivamente entregados</t>
  </si>
  <si>
    <t>Compara contra esperado y muestra diferencias</t>
  </si>
  <si>
    <t>CU-031-T03</t>
  </si>
  <si>
    <t>Registra causas y evidencia de diferencias</t>
  </si>
  <si>
    <t>Valida justificación y presenta saldo pendiente</t>
  </si>
  <si>
    <t>CU-031-T04</t>
  </si>
  <si>
    <t>El perfil financiero revisa la rendición</t>
  </si>
  <si>
    <t>Muestra comprobantes y decisiones requeridas</t>
  </si>
  <si>
    <t>CU-031-T05</t>
  </si>
  <si>
    <t>Confirma aprobación del cierre</t>
  </si>
  <si>
    <t>Valida segregación y devuelve liquidación aprobada</t>
  </si>
  <si>
    <t>CU-031-T06</t>
  </si>
  <si>
    <t>Solicita comprobante final</t>
  </si>
  <si>
    <t>Devuelve cierre comercial y estado de traspaso al ERP</t>
  </si>
  <si>
    <t>CU-032-T01</t>
  </si>
  <si>
    <t>Filtra cartera y antigüedad de deuda</t>
  </si>
  <si>
    <t>Muestra clientes, saldos y vencimientos</t>
  </si>
  <si>
    <t>CU-032-T02</t>
  </si>
  <si>
    <t>Asigna una cartera al responsable</t>
  </si>
  <si>
    <t>Valida asignación y devuelve agenda</t>
  </si>
  <si>
    <t>CU-032-T03</t>
  </si>
  <si>
    <t>Selecciona cliente y registra gestión</t>
  </si>
  <si>
    <t>Guarda bitácora y muestra el contacto</t>
  </si>
  <si>
    <t>CU-032-T04</t>
  </si>
  <si>
    <t>Registra compromiso y fecha de recontacto</t>
  </si>
  <si>
    <t>Valida plazo y crea seguimiento</t>
  </si>
  <si>
    <t>CU-032-T05</t>
  </si>
  <si>
    <t>Solicita reporte de compromisos</t>
  </si>
  <si>
    <t>Devuelve seguimiento y pendientes</t>
  </si>
  <si>
    <t>CU-033-T01</t>
  </si>
  <si>
    <t>Selecciona obligaciones del estado de cuenta</t>
  </si>
  <si>
    <t>Muestra saldos pendientes</t>
  </si>
  <si>
    <t>CU-033-T02</t>
  </si>
  <si>
    <t>Registra transferencia y datos bancarios</t>
  </si>
  <si>
    <t>Valida formato y presenta el reporte</t>
  </si>
  <si>
    <t>CU-033-T03</t>
  </si>
  <si>
    <t>Adjunta comprobante</t>
  </si>
  <si>
    <t>Confirma archivo asociado</t>
  </si>
  <si>
    <t>CU-033-T04</t>
  </si>
  <si>
    <t>Confirma presentación</t>
  </si>
  <si>
    <t>Devuelve identificador y estado pendiente de validación</t>
  </si>
  <si>
    <t>CU-034-T01</t>
  </si>
  <si>
    <t>Consulta bandeja de pagos reportados</t>
  </si>
  <si>
    <t>Muestra montos, obligaciones y estados</t>
  </si>
  <si>
    <t>CU-034-T02</t>
  </si>
  <si>
    <t>Selecciona reporte</t>
  </si>
  <si>
    <t>Presenta comprobante e historial</t>
  </si>
  <si>
    <t>CU-034-T03</t>
  </si>
  <si>
    <t>Registra validación o rechazo y causa</t>
  </si>
  <si>
    <t>Valida atribuciones y muestra decisión</t>
  </si>
  <si>
    <t>CU-034-T04</t>
  </si>
  <si>
    <t>Confirma resolución</t>
  </si>
  <si>
    <t>Actualiza estado y devuelve resultado de integración</t>
  </si>
  <si>
    <t>CU-035-T01</t>
  </si>
  <si>
    <t>El ERP entrega maestros o estados solicitados</t>
  </si>
  <si>
    <t>Valida contrato y confirma versión recibida</t>
  </si>
  <si>
    <t>CU-035-T02</t>
  </si>
  <si>
    <t>El ERP acusa el hecho operacional aprobado</t>
  </si>
  <si>
    <t>Concilia ingreso, transferencia, cobro o reposición y devuelve estado</t>
  </si>
  <si>
    <t>CU-035-T03</t>
  </si>
  <si>
    <t>El ERP responde al reproceso de una operación incierta</t>
  </si>
  <si>
    <t>Verifica clave previa y confirma resultado sin duplicar el hecho</t>
  </si>
  <si>
    <t>CU-036-T01</t>
  </si>
  <si>
    <t>Selecciona entrega y producto</t>
  </si>
  <si>
    <t>Muestra SKU y lote entregados</t>
  </si>
  <si>
    <t>CU-036-T02</t>
  </si>
  <si>
    <t>Ingresa cantidad y causa de devolución</t>
  </si>
  <si>
    <t>Valida contra entrega y muestra retorno propuesto</t>
  </si>
  <si>
    <t>CU-036-T03</t>
  </si>
  <si>
    <t>Adjunta evidencia cuando corresponde</t>
  </si>
  <si>
    <t>Vincula evidencia y tramo térmico disponible</t>
  </si>
  <si>
    <t>CU-036-T04</t>
  </si>
  <si>
    <t>Confirma devolución</t>
  </si>
  <si>
    <t>Registra retorno en tránsito y devuelve comprobante</t>
  </si>
  <si>
    <t>CU-037-T01</t>
  </si>
  <si>
    <t>Selecciona devolución esperada</t>
  </si>
  <si>
    <t>Muestra unidades y causa del retorno</t>
  </si>
  <si>
    <t>CU-037-T02</t>
  </si>
  <si>
    <t>Escanea o registra lo recibido</t>
  </si>
  <si>
    <t>Compara cantidades y muestra diferencias</t>
  </si>
  <si>
    <t>CU-037-T03</t>
  </si>
  <si>
    <t>Solicita disposición autorizada</t>
  </si>
  <si>
    <t>Muestra decisión de Calidad o mantiene segregación pendiente</t>
  </si>
  <si>
    <t>CU-037-T04</t>
  </si>
  <si>
    <t>Confirma ejecución del destino autorizado</t>
  </si>
  <si>
    <t>Registra stock o salida y devuelve estado de traspaso al ERP</t>
  </si>
  <si>
    <t>CU-037-T05</t>
  </si>
  <si>
    <t>Registra diferencia entre retorno y recepción</t>
  </si>
  <si>
    <t>Exige causa y devuelve excepción</t>
  </si>
  <si>
    <t>CU-038-T01</t>
  </si>
  <si>
    <t>Consulta cuenta de envases del cliente</t>
  </si>
  <si>
    <t>Muestra saldo por tipo y alertas</t>
  </si>
  <si>
    <t>CU-038-T02</t>
  </si>
  <si>
    <t>Registra unidades entregadas o devueltas y estado</t>
  </si>
  <si>
    <t>Valida movimiento y presenta saldo resultante</t>
  </si>
  <si>
    <t>CU-038-T03</t>
  </si>
  <si>
    <t>Confirma movimiento</t>
  </si>
  <si>
    <t>Actualiza cuenta y devuelve comprobante</t>
  </si>
  <si>
    <t>CU-038-T04</t>
  </si>
  <si>
    <t>Solicita reporte de pérdidas por cliente y zona</t>
  </si>
  <si>
    <t>Devuelve detalle actualizado y exportable</t>
  </si>
  <si>
    <t>CU-039-T01</t>
  </si>
  <si>
    <t>Selecciona producto, lote y origen del hallazgo</t>
  </si>
  <si>
    <t>Muestra existencias o entrega vinculada</t>
  </si>
  <si>
    <t>CU-039-T02</t>
  </si>
  <si>
    <t>Registra cantidad y causal de merma</t>
  </si>
  <si>
    <t>Valida datos y presenta la afectación</t>
  </si>
  <si>
    <t>CU-039-T03</t>
  </si>
  <si>
    <t>Adjunta evidencia disponible</t>
  </si>
  <si>
    <t>Vincula respaldo al hallazgo</t>
  </si>
  <si>
    <t>CU-039-T04</t>
  </si>
  <si>
    <t>Confirma registro de merma</t>
  </si>
  <si>
    <t>Devuelve registro trazable sin autorizar disposición sanitaria</t>
  </si>
  <si>
    <t>CU-040-T01</t>
  </si>
  <si>
    <t>Busca lote por SKU, proveedor o fecha</t>
  </si>
  <si>
    <t>Muestra lotes y estado actual</t>
  </si>
  <si>
    <t>CU-040-T02</t>
  </si>
  <si>
    <t>Selecciona lote</t>
  </si>
  <si>
    <t>Presenta origen, recepción y existencias por ubicación</t>
  </si>
  <si>
    <t>CU-040-T03</t>
  </si>
  <si>
    <t>Solicita destinos y excepciones</t>
  </si>
  <si>
    <t>Muestra clientes, guías, entregas, retornos y mermas</t>
  </si>
  <si>
    <t>CU-040-T04</t>
  </si>
  <si>
    <t>Solicita exportar la trazabilidad</t>
  </si>
  <si>
    <t>Genera expediente con el alcance consultado</t>
  </si>
  <si>
    <t>CU-041-T01</t>
  </si>
  <si>
    <t>Identifica lote y solicita retiro</t>
  </si>
  <si>
    <t>Muestra alcance y clientes alcanzados por el lote</t>
  </si>
  <si>
    <t>CU-041-T02</t>
  </si>
  <si>
    <t>Confirma apertura y bloqueo</t>
  </si>
  <si>
    <t>Registra medida preventiva y devuelve expediente</t>
  </si>
  <si>
    <t>CU-041-T03</t>
  </si>
  <si>
    <t>Define acciones y responsables</t>
  </si>
  <si>
    <t>Genera tareas por cliente y cantidad afectada</t>
  </si>
  <si>
    <t>CU-041-T04</t>
  </si>
  <si>
    <t>Registra avance y evidencia de recuperación</t>
  </si>
  <si>
    <t>Actualiza cantidades recuperadas y pendientes</t>
  </si>
  <si>
    <t>CU-041-T05</t>
  </si>
  <si>
    <t>Solicita conciliación de resultados</t>
  </si>
  <si>
    <t>Muestra balance del lote y excepciones</t>
  </si>
  <si>
    <t>CU-041-T06</t>
  </si>
  <si>
    <t>Confirma cierre autorizado</t>
  </si>
  <si>
    <t>Guarda resolución y devuelve expediente del retiro</t>
  </si>
  <si>
    <t>CU-042-T01</t>
  </si>
  <si>
    <t>La fuente envía un lote de lecturas con su secuencia</t>
  </si>
  <si>
    <t>Valida origen, registra muestras y devuelve acuse durable sin duplicar reenvíos</t>
  </si>
  <si>
    <t>CU-043-T01</t>
  </si>
  <si>
    <t>Selecciona familia o vehículo</t>
  </si>
  <si>
    <t>Muestra ficha, reglas y manifiesto vigentes</t>
  </si>
  <si>
    <t>CU-043-T02</t>
  </si>
  <si>
    <t>Registra parámetros de excursión y exposición</t>
  </si>
  <si>
    <t>Valida rangos y muestra propuesta versionada</t>
  </si>
  <si>
    <t>CU-043-T03</t>
  </si>
  <si>
    <t>Solicita evaluación del segundo perfil</t>
  </si>
  <si>
    <t>Devuelve tarea de aprobación con diferencias</t>
  </si>
  <si>
    <t>CU-043-T04</t>
  </si>
  <si>
    <t>El aprobador confirma la versión</t>
  </si>
  <si>
    <t>Publica regla aprobada y conserva historial</t>
  </si>
  <si>
    <t>CU-043-T05</t>
  </si>
  <si>
    <t>Consulta acuses de distribución local</t>
  </si>
  <si>
    <t>Muestra equipos pendientes sin presumir regla vigente</t>
  </si>
  <si>
    <t>CU-043-T06</t>
  </si>
  <si>
    <t>Confirma asociación de unidades y compartimentos</t>
  </si>
  <si>
    <t>Valida consistencia y devuelve manifiesto habilitado</t>
  </si>
  <si>
    <t>CU-044-T01</t>
  </si>
  <si>
    <t>Consulta alerta activa en cabina o consola</t>
  </si>
  <si>
    <t>Muestra severidad, unidades y curva disponible</t>
  </si>
  <si>
    <t>CU-044-T02</t>
  </si>
  <si>
    <t>Registra observaciones de la tripulación</t>
  </si>
  <si>
    <t>Conserva evidencia y devuelve recepción de la observación</t>
  </si>
  <si>
    <t>CU-044-T03</t>
  </si>
  <si>
    <t>Calidad solicita evaluación del incidente</t>
  </si>
  <si>
    <t>Presenta historial, contradicciones y estado confiable o retenido</t>
  </si>
  <si>
    <t>CU-044-T04</t>
  </si>
  <si>
    <t>Calidad confirma mantener retención o deriva a disposición</t>
  </si>
  <si>
    <t>Registra decisión autorizada y devuelve estado por SSCC</t>
  </si>
  <si>
    <t>CU-044-T05</t>
  </si>
  <si>
    <t>La tripulación registra retorno por falta de decisión en plazo</t>
  </si>
  <si>
    <t>Conserva retención y devuelve tarea de recepción segregada</t>
  </si>
  <si>
    <t>CU-045-T01</t>
  </si>
  <si>
    <t>Selecciona lote o unidades retenidas</t>
  </si>
  <si>
    <t>Muestra motivo y evidencia sanitaria</t>
  </si>
  <si>
    <t>CU-045-T02</t>
  </si>
  <si>
    <t>Registra evaluación y condición de aptitud</t>
  </si>
  <si>
    <t>Valida campos y presenta opciones permitidas</t>
  </si>
  <si>
    <t>CU-045-T03</t>
  </si>
  <si>
    <t>Adjunta respaldo o autorización requerida</t>
  </si>
  <si>
    <t>Verifica integridad y vinculación del documento</t>
  </si>
  <si>
    <t>CU-045-T04</t>
  </si>
  <si>
    <t>Selecciona disposición y confirma</t>
  </si>
  <si>
    <t>Valida atribuciones y registra decisión sin liberar por inferencia</t>
  </si>
  <si>
    <t>CU-045-T05</t>
  </si>
  <si>
    <t>Solicita constancia de la disposición</t>
  </si>
  <si>
    <t>Devuelve resolución y acciones operativas autorizadas</t>
  </si>
  <si>
    <t>CU-046-T01</t>
  </si>
  <si>
    <t>Selecciona envío, lote y período</t>
  </si>
  <si>
    <t>Muestra muestras, eventos y cobertura del tramo</t>
  </si>
  <si>
    <t>CU-046-T02</t>
  </si>
  <si>
    <t>Solicita generar expediente</t>
  </si>
  <si>
    <t>Produce evidencia con versiones y huecos de datos visibles</t>
  </si>
  <si>
    <t>CU-046-T03</t>
  </si>
  <si>
    <t>Solicita descarga autorizada</t>
  </si>
  <si>
    <t>Devuelve expediente íntegro y registro de acceso</t>
  </si>
  <si>
    <t>CU-047-T01</t>
  </si>
  <si>
    <t>Selecciona período, zona o ruta</t>
  </si>
  <si>
    <t>Muestra indicadores y fecha de actualización</t>
  </si>
  <si>
    <t>CU-047-T02</t>
  </si>
  <si>
    <t>Solicita detalle de incumplimientos</t>
  </si>
  <si>
    <t>Presenta pedidos y causas tipificadas</t>
  </si>
  <si>
    <t>CU-047-T03</t>
  </si>
  <si>
    <t>Registra o solicita completar una causal faltante</t>
  </si>
  <si>
    <t>Valida gestión y devuelve trazabilidad de la causa</t>
  </si>
  <si>
    <t>CU-047-T04</t>
  </si>
  <si>
    <t>Solicita exportar indicadores</t>
  </si>
  <si>
    <t>Genera reporte con filtros y definiciones aplicadas</t>
  </si>
  <si>
    <t>CU-048-T01</t>
  </si>
  <si>
    <t>Selecciona período y reglas de imputación</t>
  </si>
  <si>
    <t>Muestra costos y fuentes disponibles</t>
  </si>
  <si>
    <t>CU-048-T02</t>
  </si>
  <si>
    <t>Solicita cálculo del período</t>
  </si>
  <si>
    <t>Devuelve estado del proceso y controles de datos</t>
  </si>
  <si>
    <t>CU-048-T03</t>
  </si>
  <si>
    <t>Consulta resultado por cliente y entrega</t>
  </si>
  <si>
    <t>Presenta componentes y costos no imputables</t>
  </si>
  <si>
    <t>CU-048-T04</t>
  </si>
  <si>
    <t>Revisa un componente del cálculo</t>
  </si>
  <si>
    <t>Muestra linaje hasta hechos operacionales</t>
  </si>
  <si>
    <t>CU-048-T05</t>
  </si>
  <si>
    <t>Confirma publicación del corte</t>
  </si>
  <si>
    <t>Registra versión y devuelve reporte aprobado</t>
  </si>
  <si>
    <t>CU-049-T01</t>
  </si>
  <si>
    <t>Selecciona período y segmento</t>
  </si>
  <si>
    <t>Muestra matriz de margen contra costo real</t>
  </si>
  <si>
    <t>CU-049-T02</t>
  </si>
  <si>
    <t>Solicita recomendaciones de frecuencia o mínimo</t>
  </si>
  <si>
    <t>Presenta opciones y fundamentos</t>
  </si>
  <si>
    <t>CU-049-T03</t>
  </si>
  <si>
    <t>Registra decisión comercial</t>
  </si>
  <si>
    <t>Conserva aceptación o rechazo con causa</t>
  </si>
  <si>
    <t>CU-049-T04</t>
  </si>
  <si>
    <t>Solicita reporte de decisiones</t>
  </si>
  <si>
    <t>Devuelve matriz y seguimiento</t>
  </si>
  <si>
    <t>CU-050-T01</t>
  </si>
  <si>
    <t>Selecciona indicadores y alcance</t>
  </si>
  <si>
    <t>Muestra vista de configuración del reporte</t>
  </si>
  <si>
    <t>CU-050-T02</t>
  </si>
  <si>
    <t>Define destinatarios, formatos y periodicidad</t>
  </si>
  <si>
    <t>Valida acceso y muestra programación</t>
  </si>
  <si>
    <t>CU-050-T03</t>
  </si>
  <si>
    <t>Confirma activación de la programación</t>
  </si>
  <si>
    <t>Guarda versión y devuelve próxima ejecución</t>
  </si>
  <si>
    <t>CU-050-T04</t>
  </si>
  <si>
    <t>El planificador solicita la emisión del período</t>
  </si>
  <si>
    <t>Genera PDF/XLSX y devuelve estado de distribución</t>
  </si>
  <si>
    <t>CU-051-T01</t>
  </si>
  <si>
    <t>Solicita tablero del día y sitio</t>
  </si>
  <si>
    <t>Presenta avance y antigüedad de cada fuente</t>
  </si>
  <si>
    <t>CU-051-T02</t>
  </si>
  <si>
    <t>Selecciona una alerta o desvío</t>
  </si>
  <si>
    <t>Muestra hechos relacionados y responsable</t>
  </si>
  <si>
    <t>CU-051-T03</t>
  </si>
  <si>
    <t>Solicita exportación de la vista</t>
  </si>
  <si>
    <t>Devuelve archivo con filtros y permisos vigentes</t>
  </si>
  <si>
    <t>CU-052-T01</t>
  </si>
  <si>
    <t>La cadena envía el pedido electrónico</t>
  </si>
  <si>
    <t>Valida transporte y devuelve acuse técnico correlacionado</t>
  </si>
  <si>
    <t>CU-052-T02</t>
  </si>
  <si>
    <t>La cadena solicita o recibe respuesta comercial del pedido</t>
  </si>
  <si>
    <t>Devuelve aceptación o rechazo con causa y estado de negocio; los reenvíos conservan el resultado previo</t>
  </si>
  <si>
    <t>CU-053-T01</t>
  </si>
  <si>
    <t>Consulta bandeja de excepciones</t>
  </si>
  <si>
    <t>Muestra mensajes y motivo de rechazo</t>
  </si>
  <si>
    <t>CU-053-T02</t>
  </si>
  <si>
    <t>Selecciona un mensaje</t>
  </si>
  <si>
    <t>Presenta datos originales y validaciones fallidas</t>
  </si>
  <si>
    <t>CU-053-T03</t>
  </si>
  <si>
    <t>Corrige equivalencia o decide rechazo</t>
  </si>
  <si>
    <t>Valida permisos y muestra resolución propuesta</t>
  </si>
  <si>
    <t>CU-053-T04</t>
  </si>
  <si>
    <t>Confirma reproceso o rechazo</t>
  </si>
  <si>
    <t>Devuelve resultado comercial y conserva historial</t>
  </si>
  <si>
    <t>CU-054-T01</t>
  </si>
  <si>
    <t>Selecciona cadena y versión de perfil</t>
  </si>
  <si>
    <t>Muestra contrato y equivalencias vigentes</t>
  </si>
  <si>
    <t>CU-054-T02</t>
  </si>
  <si>
    <t>Registra equivalencias de producto</t>
  </si>
  <si>
    <t>Valida SKU y códigos externos</t>
  </si>
  <si>
    <t>CU-054-T03</t>
  </si>
  <si>
    <t>Configura formato, cortes y ventanas</t>
  </si>
  <si>
    <t>Valida reglas y presenta configuración</t>
  </si>
  <si>
    <t>CU-054-T04</t>
  </si>
  <si>
    <t>Solicita validar mensaje de prueba</t>
  </si>
  <si>
    <t>Devuelve errores y compatibilidad del perfil</t>
  </si>
  <si>
    <t>CU-054-T05</t>
  </si>
  <si>
    <t>Activa versión y conserva trazabilidad</t>
  </si>
  <si>
    <t>CU-055-T01</t>
  </si>
  <si>
    <t>La cadena recibe y acusa el ASN emitido tras carga</t>
  </si>
  <si>
    <t>Registra acuse técnico y conserva guía y ETA asociados</t>
  </si>
  <si>
    <t>CU-055-T02</t>
  </si>
  <si>
    <t>La cadena recibe evidencia digital de la entrega</t>
  </si>
  <si>
    <t>Registra recepción y conserva vínculo con POD y guía</t>
  </si>
  <si>
    <t>CU-055-T03</t>
  </si>
  <si>
    <t>La cadena solicita estado del intercambio</t>
  </si>
  <si>
    <t>Devuelve historial sin confundir acuses técnicos, comerciales y tributarios</t>
  </si>
  <si>
    <t>CU-056-T01</t>
  </si>
  <si>
    <t>Solicita catálogo o busca productos</t>
  </si>
  <si>
    <t>Muestra fichas públicas sin precios ni stock</t>
  </si>
  <si>
    <t>CU-056-T02</t>
  </si>
  <si>
    <t>Selecciona producto</t>
  </si>
  <si>
    <t>Muestra información pública del artículo</t>
  </si>
  <si>
    <t>CU-056-T03</t>
  </si>
  <si>
    <t>Solicita información de contacto</t>
  </si>
  <si>
    <t>Presenta canales comerciales e institucionales</t>
  </si>
  <si>
    <t>CU-057-T01</t>
  </si>
  <si>
    <t>Solicita iniciar pedido autenticado</t>
  </si>
  <si>
    <t>Muestra catálogo habilitado y condiciones del cliente</t>
  </si>
  <si>
    <t>CU-057-T02</t>
  </si>
  <si>
    <t>Consulta disponibilidad y crédito</t>
  </si>
  <si>
    <t>Muestra datos vigentes para su empresa</t>
  </si>
  <si>
    <t>CU-057-T03</t>
  </si>
  <si>
    <t>Valida condiciones y presenta total</t>
  </si>
  <si>
    <t>CU-057-T04</t>
  </si>
  <si>
    <t>Solicita entrega disponible</t>
  </si>
  <si>
    <t>Presenta fecha y ventana de entrega</t>
  </si>
  <si>
    <t>CU-057-T05</t>
  </si>
  <si>
    <t>Valida reserva central y devuelve identificador y estado</t>
  </si>
  <si>
    <t>CU-057-T06</t>
  </si>
  <si>
    <t>Corrige una línea rechazada</t>
  </si>
  <si>
    <t>Revalida la línea y devuelve el pedido corregido</t>
  </si>
  <si>
    <t>CU-058-T01</t>
  </si>
  <si>
    <t>Filtra pedidos o entregas de su empresa</t>
  </si>
  <si>
    <t>Muestra estados y ventanas comprometidas</t>
  </si>
  <si>
    <t>CU-058-T02</t>
  </si>
  <si>
    <t>Selecciona una entrega</t>
  </si>
  <si>
    <t>Presenta trazabilidad y evidencia disponible</t>
  </si>
  <si>
    <t>CU-058-T03</t>
  </si>
  <si>
    <t>Solicita documentos asociados</t>
  </si>
  <si>
    <t>Muestra factura, guía y nota de crédito provistas por ERP</t>
  </si>
  <si>
    <t>CU-058-T04</t>
  </si>
  <si>
    <t>Solicita descargar un documento</t>
  </si>
  <si>
    <t>Devuelve archivo autorizado y registra acceso</t>
  </si>
  <si>
    <t>CU-059-T01</t>
  </si>
  <si>
    <t>Solicita estado de cuenta</t>
  </si>
  <si>
    <t>Muestra saldo, obligaciones y actualización de fuente</t>
  </si>
  <si>
    <t>CU-059-T02</t>
  </si>
  <si>
    <t>Selecciona tramo o documento</t>
  </si>
  <si>
    <t>Presenta detalle de deuda y pagos aplicados</t>
  </si>
  <si>
    <t>CU-059-T03</t>
  </si>
  <si>
    <t>Solicita descarga PDF o Excel</t>
  </si>
  <si>
    <t>Genera cartola de su empresa con filtros aplicados</t>
  </si>
  <si>
    <t>CU-060-T01</t>
  </si>
  <si>
    <t>Consulta rutas del día siguiente de su empresa</t>
  </si>
  <si>
    <t>Muestra asignaciones autorizadas</t>
  </si>
  <si>
    <t>CU-060-T02</t>
  </si>
  <si>
    <t>Selecciona ruta y solicita documentos</t>
  </si>
  <si>
    <t>Devuelve documentación de despacho</t>
  </si>
  <si>
    <t>CU-060-T03</t>
  </si>
  <si>
    <t>Propone conductor y vehículo para la ruta</t>
  </si>
  <si>
    <t>Valida pertenencia, vigencia y restricciones</t>
  </si>
  <si>
    <t>CU-060-T04</t>
  </si>
  <si>
    <t>Confirma asignación</t>
  </si>
  <si>
    <t>Registra vínculo y devuelve confirmación para despacho</t>
  </si>
  <si>
    <t>CU-061-T01</t>
  </si>
  <si>
    <t>Consulta sus órdenes de compra</t>
  </si>
  <si>
    <t>Muestra estado de las órdenes de su empresa</t>
  </si>
  <si>
    <t>CU-061-T02</t>
  </si>
  <si>
    <t>Selecciona una orden</t>
  </si>
  <si>
    <t>Presenta recepciones y diferencias registradas</t>
  </si>
  <si>
    <t>CU-061-T03</t>
  </si>
  <si>
    <t>Consulta devoluciones y notas de crédito vinculadas</t>
  </si>
  <si>
    <t>Muestra documentos y estados propios</t>
  </si>
  <si>
    <t>CU-062-T01</t>
  </si>
  <si>
    <t>Solicita registro con RUT, correo y contraseña</t>
  </si>
  <si>
    <t>Valida cliente activo y muestra resultado de elegibilidad</t>
  </si>
  <si>
    <t>CU-062-T02</t>
  </si>
  <si>
    <t>Confirma verificación de su correo</t>
  </si>
  <si>
    <t>Valida vínculo y devuelve cuenta verificada</t>
  </si>
  <si>
    <t>CU-062-T03</t>
  </si>
  <si>
    <t>Completa activación del acceso</t>
  </si>
  <si>
    <t>Habilita permisos iniciales y devuelve confirmación</t>
  </si>
  <si>
    <t>CU-063-T01</t>
  </si>
  <si>
    <t>Presenta credenciales de acceso</t>
  </si>
  <si>
    <t>Valida identidad o permiso local y solicita factor adicional cuando corresponde</t>
  </si>
  <si>
    <t>CU-063-T02</t>
  </si>
  <si>
    <t>Presenta segundo factor exigido</t>
  </si>
  <si>
    <t>Valida MFA y confirma autenticación</t>
  </si>
  <si>
    <t>CU-063-T03</t>
  </si>
  <si>
    <t>Solicita acceso a un módulo autorizado</t>
  </si>
  <si>
    <t>Devuelve sesión y alcance de permisos sin nuevo inicio de sesión</t>
  </si>
  <si>
    <t>CU-063-T04</t>
  </si>
  <si>
    <t>Solicita cierre de sesión</t>
  </si>
  <si>
    <t>Invalida sesión y propaga cierre a los módulos</t>
  </si>
  <si>
    <t>CU-064-T01</t>
  </si>
  <si>
    <t>Solicita recuperación indicando correo</t>
  </si>
  <si>
    <t>Devuelve respuesta uniforme y solicita envío del enlace cuando procede</t>
  </si>
  <si>
    <t>CU-064-T02</t>
  </si>
  <si>
    <t>Abre enlace e ingresa nueva contraseña</t>
  </si>
  <si>
    <t>Valida token y política de clave</t>
  </si>
  <si>
    <t>CU-064-T03</t>
  </si>
  <si>
    <t>Confirma el cambio</t>
  </si>
  <si>
    <t>Actualiza credencial, invalida token y devuelve resultado</t>
  </si>
  <si>
    <t>CU-065-T01</t>
  </si>
  <si>
    <t>Selecciona pedido e inicia pago</t>
  </si>
  <si>
    <t>Genera transacción y devuelve acceso a la pasarela</t>
  </si>
  <si>
    <t>CU-065-T02</t>
  </si>
  <si>
    <t>La pasarela comunica resultado firmado o verificable</t>
  </si>
  <si>
    <t>Valida clave y autorización y devuelve acuse</t>
  </si>
  <si>
    <t>CU-065-T03</t>
  </si>
  <si>
    <t>Consulta resultado del pedido</t>
  </si>
  <si>
    <t>Muestra pago aplicado, rechazado o pendiente sin duplicar cargo</t>
  </si>
  <si>
    <t>CU-066-T01</t>
  </si>
  <si>
    <t>La plataforma de telemetría entrega posiciones y kilometraje</t>
  </si>
  <si>
    <t>Valida origen y fecha, deduplica posiciones y confirma cursor para reanudación</t>
  </si>
  <si>
    <t>CU-067-T01</t>
  </si>
  <si>
    <t>Selecciona vehículo y viaje</t>
  </si>
  <si>
    <t>Muestra ruta planificada y posición fechada</t>
  </si>
  <si>
    <t>CU-067-T02</t>
  </si>
  <si>
    <t>Solicita comparación de recorrido</t>
  </si>
  <si>
    <t>Muestra trazado real y desvíos detectados</t>
  </si>
  <si>
    <t>CU-067-T03</t>
  </si>
  <si>
    <t>Selecciona alerta y registra investigación</t>
  </si>
  <si>
    <t>Asocia causa y muestra seguimiento</t>
  </si>
  <si>
    <t>CU-067-T04</t>
  </si>
  <si>
    <t>Confirma resolución del desvío</t>
  </si>
  <si>
    <t>Registra decisión y devuelve estado de la alerta</t>
  </si>
  <si>
    <t>CU-068-T01</t>
  </si>
  <si>
    <t>Selecciona sitio o cliente en mapa</t>
  </si>
  <si>
    <t>Muestra geocercas vigentes</t>
  </si>
  <si>
    <t>CU-068-T02</t>
  </si>
  <si>
    <t>Dibuja o modifica polígono y regla</t>
  </si>
  <si>
    <t>Valida geometría y muestra vista previa</t>
  </si>
  <si>
    <t>CU-068-T03</t>
  </si>
  <si>
    <t>Confirma geocerca autorizada</t>
  </si>
  <si>
    <t>Publica versión y devuelve vigencia</t>
  </si>
  <si>
    <t>CU-069-T01</t>
  </si>
  <si>
    <t>Selecciona período, SKU y proveedor</t>
  </si>
  <si>
    <t>Muestra historia y parámetros de reposición</t>
  </si>
  <si>
    <t>CU-069-T02</t>
  </si>
  <si>
    <t>Registra promociones comprometidas</t>
  </si>
  <si>
    <t>Valida datos y muestra demanda incorporada</t>
  </si>
  <si>
    <t>CU-069-T03</t>
  </si>
  <si>
    <t>Solicita propuesta de compra</t>
  </si>
  <si>
    <t>Calcula sugerencias y muestra excepciones</t>
  </si>
  <si>
    <t>CU-069-T04</t>
  </si>
  <si>
    <t>Ajusta cantidades o resuelve excepción</t>
  </si>
  <si>
    <t>Valida la modificación y presenta propuesta revisada</t>
  </si>
  <si>
    <t>CU-069-T05</t>
  </si>
  <si>
    <t>Confirma aprobación de la sugerencia</t>
  </si>
  <si>
    <t>Guarda decisión y devuelve envío pendiente al ERP</t>
  </si>
  <si>
    <t>CU-069-T06</t>
  </si>
  <si>
    <t>Consulta resultado del traspaso</t>
  </si>
  <si>
    <t>Muestra acuse; el ERP conserva emisión de la orden de compra</t>
  </si>
  <si>
    <t>CU-070-T01</t>
  </si>
  <si>
    <t>Busca usuario o solicita alta</t>
  </si>
  <si>
    <t>Muestra cuenta y vínculos de organización</t>
  </si>
  <si>
    <t>CU-070-T02</t>
  </si>
  <si>
    <t>Registra datos y relación laboral o externa</t>
  </si>
  <si>
    <t>Valida identidad y pertenencia</t>
  </si>
  <si>
    <t>CU-070-T03</t>
  </si>
  <si>
    <t>Configura vigencia y unidad organizacional</t>
  </si>
  <si>
    <t>Valida restricciones y muestra propuesta</t>
  </si>
  <si>
    <t>CU-070-T04</t>
  </si>
  <si>
    <t>Confirma alta, cambio o baja</t>
  </si>
  <si>
    <t>Actualiza acceso y devuelve estado de aprovisionamiento</t>
  </si>
  <si>
    <t>CU-070-T05</t>
  </si>
  <si>
    <t>Consulta resultado de sincronización del directorio</t>
  </si>
  <si>
    <t>Muestra cuentas procesadas y excepciones</t>
  </si>
  <si>
    <t>CU-071-T01</t>
  </si>
  <si>
    <t>Selecciona rol, usuario o unidad</t>
  </si>
  <si>
    <t>Muestra permisos y ámbito actuales</t>
  </si>
  <si>
    <t>CU-071-T02</t>
  </si>
  <si>
    <t>Propone cambios de permisos</t>
  </si>
  <si>
    <t>Verifica incompatibilidades y muestra advertencias</t>
  </si>
  <si>
    <t>CU-071-T03</t>
  </si>
  <si>
    <t>Configura restricciones por empresa, sitio o dominio</t>
  </si>
  <si>
    <t>Valida alcance y muestra la matriz</t>
  </si>
  <si>
    <t>CU-071-T04</t>
  </si>
  <si>
    <t>Solicita revisión de la asignación</t>
  </si>
  <si>
    <t>Presenta diferencias y conflictos de segregación</t>
  </si>
  <si>
    <t>CU-071-T05</t>
  </si>
  <si>
    <t>Confirma asignación permitida</t>
  </si>
  <si>
    <t>Publica permisos y conserva auditoría</t>
  </si>
  <si>
    <t>CU-072-T01</t>
  </si>
  <si>
    <t>Selecciona parámetro o catálogo</t>
  </si>
  <si>
    <t>Muestra versión vigente e historial</t>
  </si>
  <si>
    <t>CU-072-T02</t>
  </si>
  <si>
    <t>Registra nuevo valor y justificación</t>
  </si>
  <si>
    <t>Valida dominio y presenta diferencias</t>
  </si>
  <si>
    <t>CU-072-T03</t>
  </si>
  <si>
    <t>Envía la propuesta a aprobación</t>
  </si>
  <si>
    <t>Crea tarea para segundo perfil</t>
  </si>
  <si>
    <t>CU-072-T04</t>
  </si>
  <si>
    <t>El aprobador revisa y decide</t>
  </si>
  <si>
    <t>Valida segregación y registra aprobación o rechazo</t>
  </si>
  <si>
    <t>CU-072-T05</t>
  </si>
  <si>
    <t>Consulta publicación del cambio</t>
  </si>
  <si>
    <t>Muestra versión vigente y fecha de aplicación</t>
  </si>
  <si>
    <t>CU-073-T01</t>
  </si>
  <si>
    <t>Define filtros de auditoría</t>
  </si>
  <si>
    <t>Devuelve operaciones autorizadas</t>
  </si>
  <si>
    <t>CU-073-T02</t>
  </si>
  <si>
    <t>Selecciona un evento</t>
  </si>
  <si>
    <t>Muestra origen y valores anteriores y posteriores</t>
  </si>
  <si>
    <t>CU-073-T03</t>
  </si>
  <si>
    <t>Solicita exportación</t>
  </si>
  <si>
    <t>Genera archivo íntegro y registra la consulta</t>
  </si>
  <si>
    <t>CU-074-T01</t>
  </si>
  <si>
    <t>Selecciona flujo y versión</t>
  </si>
  <si>
    <t>Muestra estados y transiciones actuales</t>
  </si>
  <si>
    <t>CU-074-T02</t>
  </si>
  <si>
    <t>Configura responsables y aprobaciones</t>
  </si>
  <si>
    <t>Valida permisos y segregación</t>
  </si>
  <si>
    <t>CU-074-T03</t>
  </si>
  <si>
    <t>Define plazos y escalamiento</t>
  </si>
  <si>
    <t>Valida reglas de vencimiento</t>
  </si>
  <si>
    <t>CU-074-T04</t>
  </si>
  <si>
    <t>Registra delegación y vigencia</t>
  </si>
  <si>
    <t>Valida sustituto y presenta alcance</t>
  </si>
  <si>
    <t>CU-074-T05</t>
  </si>
  <si>
    <t>Activa versión y devuelve flujos afectados</t>
  </si>
  <si>
    <t>CU-075-T01</t>
  </si>
  <si>
    <t>Consulta sus tareas pendientes</t>
  </si>
  <si>
    <t>Muestra prioridades y vencimientos según permiso</t>
  </si>
  <si>
    <t>CU-075-T02</t>
  </si>
  <si>
    <t>Selecciona una tarea</t>
  </si>
  <si>
    <t>Presenta contexto y acciones autorizadas</t>
  </si>
  <si>
    <t>CU-075-T03</t>
  </si>
  <si>
    <t>Registra decisión, observación o derivación</t>
  </si>
  <si>
    <t>Valida la transición y muestra resultado</t>
  </si>
  <si>
    <t>CU-075-T04</t>
  </si>
  <si>
    <t>Cierra o reasigna tarea y conserva historial</t>
  </si>
  <si>
    <t>CU-076-T01</t>
  </si>
  <si>
    <t>Busca documento o solicita cargarlo</t>
  </si>
  <si>
    <t>Muestra resultados autorizados o formulario</t>
  </si>
  <si>
    <t>CU-076-T02</t>
  </si>
  <si>
    <t>Adjunta archivo y metadatos</t>
  </si>
  <si>
    <t>Valida integridad y registra versión provisional</t>
  </si>
  <si>
    <t>CU-076-T03</t>
  </si>
  <si>
    <t>Define permisos y clasificación</t>
  </si>
  <si>
    <t>Valida alcance y muestra configuración</t>
  </si>
  <si>
    <t>CU-076-T04</t>
  </si>
  <si>
    <t>Confirma publicación</t>
  </si>
  <si>
    <t>Guarda versión cifrada y devuelve identificador</t>
  </si>
  <si>
    <t>CU-076-T05</t>
  </si>
  <si>
    <t>Solicita previsualización o historial</t>
  </si>
  <si>
    <t>Muestra contenido o versiones según acceso</t>
  </si>
  <si>
    <t>CU-077-T01</t>
  </si>
  <si>
    <t>Selecciona plantilla</t>
  </si>
  <si>
    <t>Muestra versión y campos disponibles</t>
  </si>
  <si>
    <t>CU-077-T02</t>
  </si>
  <si>
    <t>Edita campos y solicita vista previa</t>
  </si>
  <si>
    <t>Valida marcadores y muestra resultado de prueba</t>
  </si>
  <si>
    <t>CU-077-T03</t>
  </si>
  <si>
    <t>Guarda versión y devuelve vigencia</t>
  </si>
  <si>
    <t>CU-077-T04</t>
  </si>
  <si>
    <t>Solicita documento de una transacción</t>
  </si>
  <si>
    <t>Genera salida con la plantilla publicada</t>
  </si>
  <si>
    <t>CU-078-T01</t>
  </si>
  <si>
    <t>Consulta preferencias actuales</t>
  </si>
  <si>
    <t>Muestra canales habilitados y avisos obligatorios</t>
  </si>
  <si>
    <t>CU-078-T02</t>
  </si>
  <si>
    <t>Cambia canal, frecuencia o solicita baja comercial</t>
  </si>
  <si>
    <t>Valida opciones y presenta alcance</t>
  </si>
  <si>
    <t>CU-078-T03</t>
  </si>
  <si>
    <t>Confirma preferencias</t>
  </si>
  <si>
    <t>Registra cambio y suprime comunicaciones comerciales alcanzadas, incluidas las pendientes</t>
  </si>
  <si>
    <t>CU-079-T01</t>
  </si>
  <si>
    <t>Selecciona evento y plantilla</t>
  </si>
  <si>
    <t>Muestra contenido, canales y versión vigente</t>
  </si>
  <si>
    <t>CU-079-T02</t>
  </si>
  <si>
    <t>Edita contenido y datos variables</t>
  </si>
  <si>
    <t>Valida marcadores y separación comercial o transaccional</t>
  </si>
  <si>
    <t>CU-079-T03</t>
  </si>
  <si>
    <t>Define canal, vigencia y escalamiento</t>
  </si>
  <si>
    <t>Valida reglas y muestra configuración</t>
  </si>
  <si>
    <t>CU-079-T04</t>
  </si>
  <si>
    <t>Solicita prueba de notificación</t>
  </si>
  <si>
    <t>Devuelve resultado de prueba y errores de canal</t>
  </si>
  <si>
    <t>CU-079-T05</t>
  </si>
  <si>
    <t>Publica versión autorizada y devuelve vigencia</t>
  </si>
  <si>
    <t>CU-080-T01</t>
  </si>
  <si>
    <t>El proveedor acusa el aviso solicitado con su clave</t>
  </si>
  <si>
    <t>Registra aceptación o error y devuelve estado correlacionado</t>
  </si>
  <si>
    <t>CU-080-T02</t>
  </si>
  <si>
    <t>El proveedor comunica entrega o lectura cuando el canal la soporta</t>
  </si>
  <si>
    <t>Actualiza estado verificable y confirma recepción del evento</t>
  </si>
  <si>
    <t>CU-081-T01</t>
  </si>
  <si>
    <t>Ingresa texto y filtros de búsqueda</t>
  </si>
  <si>
    <t>Devuelve resultados paginados y tolerantes a errores</t>
  </si>
  <si>
    <t>CU-081-T02</t>
  </si>
  <si>
    <t>Selecciona resultado o ajusta orden y facetas</t>
  </si>
  <si>
    <t>Muestra detalle o listado autorizado</t>
  </si>
  <si>
    <t>CU-081-T03</t>
  </si>
  <si>
    <t>Solicita exportar el listado</t>
  </si>
  <si>
    <t>Genera archivo con idénticos filtros y alcance</t>
  </si>
  <si>
    <t>CU-082-T01</t>
  </si>
  <si>
    <t>Selecciona servicio y período</t>
  </si>
  <si>
    <t>Muestra métricas, registros y trazas correlacionadas</t>
  </si>
  <si>
    <t>CU-082-T02</t>
  </si>
  <si>
    <t>Consulta alerta de síntoma de negocio</t>
  </si>
  <si>
    <t>Presenta impacto, duplicados agrupados y responsable</t>
  </si>
  <si>
    <t>CU-082-T03</t>
  </si>
  <si>
    <t>Registra reconocimiento o escalamiento</t>
  </si>
  <si>
    <t>Valida permisos y actualiza seguimiento</t>
  </si>
  <si>
    <t>CU-082-T04</t>
  </si>
  <si>
    <t>Solicita detalle diagnóstico de la transacción</t>
  </si>
  <si>
    <t>Devuelve recorrido correlacionado autorizado</t>
  </si>
  <si>
    <t>CU-083-T01</t>
  </si>
  <si>
    <t>Selecciona interfaz y versión</t>
  </si>
  <si>
    <t>Muestra contrato, parámetros y estado</t>
  </si>
  <si>
    <t>CU-083-T02</t>
  </si>
  <si>
    <t>Modifica configuración permitida</t>
  </si>
  <si>
    <t>Valida formato y presenta cambios sin revelar secretos</t>
  </si>
  <si>
    <t>CU-083-T03</t>
  </si>
  <si>
    <t>Solicita prueba controlada del contrato</t>
  </si>
  <si>
    <t>Devuelve validaciones y resultado de conectividad</t>
  </si>
  <si>
    <t>CU-083-T04</t>
  </si>
  <si>
    <t>Activa versión con auditoría y devuelve estado</t>
  </si>
  <si>
    <t>CU-083-T05</t>
  </si>
  <si>
    <t>Consulta errores funcionales pendientes</t>
  </si>
  <si>
    <t>Muestra excepciones y la versión que los originó</t>
  </si>
  <si>
    <t>CU-084-T01</t>
  </si>
  <si>
    <t>Selecciona incidente y tramo permitido del recorrido</t>
  </si>
  <si>
    <t>Muestra eventos disponibles y límites de captura</t>
  </si>
  <si>
    <t>CU-084-T02</t>
  </si>
  <si>
    <t>Solicita generar paquete sanitizado</t>
  </si>
  <si>
    <t>Excluye nombres, credenciales, firmas, fotos y contenido comercial</t>
  </si>
  <si>
    <t>CU-084-T03</t>
  </si>
  <si>
    <t>Revisa resumen y confirma envío</t>
  </si>
  <si>
    <t>Verifica tamaño e integridad y devuelve identificador</t>
  </si>
  <si>
    <t>CU-084-T04</t>
  </si>
  <si>
    <t>Calidad revisa y decide admisión</t>
  </si>
  <si>
    <t>Valida contenido permitido y registra admisión o rechazo</t>
  </si>
  <si>
    <t>CU-084-T05</t>
  </si>
  <si>
    <t>Consulta estado del caso admitido</t>
  </si>
  <si>
    <t>Muestra responsable y siguiente acción</t>
  </si>
  <si>
    <t>CU-085-T01</t>
  </si>
  <si>
    <t>Selecciona paquete admitido y ambiente autorizado</t>
  </si>
  <si>
    <t>Muestra contrato y precondiciones de reproducción</t>
  </si>
  <si>
    <t>CU-085-T02</t>
  </si>
  <si>
    <t>Solicita entorno efímero dentro de QA o Preproducción</t>
  </si>
  <si>
    <t>Prepara recursos y devuelve estado</t>
  </si>
  <si>
    <t>CU-085-T03</t>
  </si>
  <si>
    <t>Inicia reproducción controlada</t>
  </si>
  <si>
    <t>Ejecuta recorrido y devuelve evidencia de la causa</t>
  </si>
  <si>
    <t>CU-085-T04</t>
  </si>
  <si>
    <t>Registra diagnóstico y corrección</t>
  </si>
  <si>
    <t>Vincula causa y cambio con el incidente</t>
  </si>
  <si>
    <t>CU-085-T05</t>
  </si>
  <si>
    <t>Solicita prueba de regresión sintética</t>
  </si>
  <si>
    <t>Devuelve resultado verificable sin datos reales</t>
  </si>
  <si>
    <t>CU-085-T06</t>
  </si>
  <si>
    <t>Confirma cierre técnico</t>
  </si>
  <si>
    <t>Elimina captura y recursos incluso ante error, conservando escenario sintético</t>
  </si>
  <si>
    <t>CU-085-T07</t>
  </si>
  <si>
    <t>Solicita constancia del cierre</t>
  </si>
  <si>
    <t>Devuelve evidencia de limpieza y resultado del caso</t>
  </si>
  <si>
    <t>CU-086-T01</t>
  </si>
  <si>
    <t>Selecciona lote y familia habilitada</t>
  </si>
  <si>
    <t>Muestra historia y tramos faltantes</t>
  </si>
  <si>
    <t>CU-086-T02</t>
  </si>
  <si>
    <t>Selecciona parámetros aprobados y solicita evaluación</t>
  </si>
  <si>
    <t>Calcula estimación o informa datos insuficientes</t>
  </si>
  <si>
    <t>CU-086-T03</t>
  </si>
  <si>
    <t>Revisa resultado y sensibilidad de la historia</t>
  </si>
  <si>
    <t>Presenta límites y versión del modelo sin interpolar tramos faltantes</t>
  </si>
  <si>
    <t>CU-086-T04</t>
  </si>
  <si>
    <t>Registra evaluación de Calidad</t>
  </si>
  <si>
    <t>Conserva referencia y decisión sin liberación automática</t>
  </si>
  <si>
    <t>CU-086-T05</t>
  </si>
  <si>
    <t>Solicita publicación o expediente de la evaluación</t>
  </si>
  <si>
    <t>Devuelve resultado trazable para M2, M5 y M10</t>
  </si>
  <si>
    <t>CU-087-T01</t>
  </si>
  <si>
    <t>Consulta avisos del local en su ruta</t>
  </si>
  <si>
    <t>Muestra lotes, cobertura estimada y fecha del dato aun sin señal</t>
  </si>
  <si>
    <t>CU-087-T02</t>
  </si>
  <si>
    <t>Registra saldo observado y respuesta del cliente</t>
  </si>
  <si>
    <t>Valida observación y conserva respuesta de visita</t>
  </si>
  <si>
    <t>CU-087-T03</t>
  </si>
  <si>
    <t>Selecciona acción del catálogo aprobado</t>
  </si>
  <si>
    <t>Muestra límites comerciales y sanitarios</t>
  </si>
  <si>
    <t>CU-087-T04</t>
  </si>
  <si>
    <t>Confirma acción o rechazo del local</t>
  </si>
  <si>
    <t>Registra decisión y devuelve seguimiento pendiente</t>
  </si>
  <si>
    <t>CU-087-T05</t>
  </si>
  <si>
    <t>Consulta o registra cierre de la acción</t>
  </si>
  <si>
    <t>Devuelve resultado y estado de sincronización</t>
  </si>
  <si>
    <t>CU-088-T01</t>
  </si>
  <si>
    <t>Selecciona período y canasta comparable</t>
  </si>
  <si>
    <t>Muestra índices, línea base y calidad del dato</t>
  </si>
  <si>
    <t>CU-088-T02</t>
  </si>
  <si>
    <t>Solicita cálculo de la liquidación</t>
  </si>
  <si>
    <t>Presenta resultado bajo reglas contractuales y condición OTIF</t>
  </si>
  <si>
    <t>CU-088-T03</t>
  </si>
  <si>
    <t>Revisa recomendación y registra respuesta</t>
  </si>
  <si>
    <t>Conserva decisión y evidencia de la comparación</t>
  </si>
  <si>
    <t>CU-088-T04</t>
  </si>
  <si>
    <t>Finanzas confirma aprobación del informe</t>
  </si>
  <si>
    <t>Valida atribuciones y registra versión aprobada</t>
  </si>
  <si>
    <t>CU-088-T05</t>
  </si>
  <si>
    <t>Consulta traspaso del resultado al ERP</t>
  </si>
  <si>
    <t>Muestra acuse de integración existente</t>
  </si>
  <si>
    <t>CU-089-T01</t>
  </si>
  <si>
    <t>Solicita hoja del cliente y período</t>
  </si>
  <si>
    <t>Genera información propia y precarga cifrada</t>
  </si>
  <si>
    <t>CU-089-T02</t>
  </si>
  <si>
    <t>Consulta la hoja en visita o reparto</t>
  </si>
  <si>
    <t>Muestra versión autorizada sin requerir señal</t>
  </si>
  <si>
    <t>CU-089-T03</t>
  </si>
  <si>
    <t>El cliente solicita copia</t>
  </si>
  <si>
    <t>Registra solicitud y muestra modalidades disponibles</t>
  </si>
  <si>
    <t>CU-089-T04</t>
  </si>
  <si>
    <t>Confirma impresión o entrega de copia</t>
  </si>
  <si>
    <t>Devuelve comprobante y distingue copia entregada o en espera</t>
  </si>
  <si>
    <t>CU-089-T05</t>
  </si>
  <si>
    <t>Solicita bloque agregado cuando está habilitado</t>
  </si>
  <si>
    <t>Verifica umbral y supresión de celdas y devuelve solo agregado permitido</t>
  </si>
  <si>
    <t>CU-090-T01</t>
  </si>
  <si>
    <t>Selecciona documento y modalidad de firma</t>
  </si>
  <si>
    <t>Valida permisos y muestra documento íntegro</t>
  </si>
  <si>
    <t>CU-090-T02</t>
  </si>
  <si>
    <t>Confirma intención y aporta credencial exigida</t>
  </si>
  <si>
    <t>Verifica certificado cuando corresponde y presenta resultado</t>
  </si>
  <si>
    <t>CU-090-T03</t>
  </si>
  <si>
    <t>Confirma firma del documento</t>
  </si>
  <si>
    <t>Asocia firma, tiempo y evidencia de integridad</t>
  </si>
  <si>
    <t>CU-090-T04</t>
  </si>
  <si>
    <t>Solicita verificación o descarga</t>
  </si>
  <si>
    <t>Devuelve evidencia de validez y archivo firmado</t>
  </si>
  <si>
    <t>CU-091-T01</t>
  </si>
  <si>
    <t>Selecciona conjunto documental o de información</t>
  </si>
  <si>
    <t>Muestra clasificación y controles vigentes</t>
  </si>
  <si>
    <t>CU-091-T02</t>
  </si>
  <si>
    <t>Propone nivel y justificación</t>
  </si>
  <si>
    <t>Valida dominio y presenta controles requeridos</t>
  </si>
  <si>
    <t>CU-091-T03</t>
  </si>
  <si>
    <t>Revisa perfiles autorizados</t>
  </si>
  <si>
    <t>Muestra acceso resultante por clasificación</t>
  </si>
  <si>
    <t>CU-091-T04</t>
  </si>
  <si>
    <t>Confirma clasificación autorizada</t>
  </si>
  <si>
    <t>Publica nivel y conserva auditoría</t>
  </si>
  <si>
    <t>Peso de los actores sin ajustar</t>
  </si>
  <si>
    <t>Un actor por rol o contrato de interacción. Amarillo: interfaz e inclusión. Los cuatro roles humanos adicionales están justificados.</t>
  </si>
  <si>
    <t>UAW</t>
  </si>
  <si>
    <t>ID actor</t>
  </si>
  <si>
    <t>Actor</t>
  </si>
  <si>
    <t>Interfaz</t>
  </si>
  <si>
    <t>Clase</t>
  </si>
  <si>
    <t>Peso</t>
  </si>
  <si>
    <t>Aporte UAW</t>
  </si>
  <si>
    <t>Criterio de conteo</t>
  </si>
  <si>
    <t>Fuente</t>
  </si>
  <si>
    <t>Preventista</t>
  </si>
  <si>
    <t>Gráfica</t>
  </si>
  <si>
    <t>Rol, no 62 personas.</t>
  </si>
  <si>
    <t>SD3 §3.4.2 / Anexo 3.A, actores</t>
  </si>
  <si>
    <t>A02</t>
  </si>
  <si>
    <t>Conductor propio</t>
  </si>
  <si>
    <t>Mantiene rol propio del catálogo.</t>
  </si>
  <si>
    <t>SD3 §3.4.2</t>
  </si>
  <si>
    <t>A03</t>
  </si>
  <si>
    <t>Conductor externo</t>
  </si>
  <si>
    <t>Rol concreto con relación externa y vigencia por turno.</t>
  </si>
  <si>
    <t>SD3 §3.4.2 / RF-06.08</t>
  </si>
  <si>
    <t>A04</t>
  </si>
  <si>
    <t>Preparador</t>
  </si>
  <si>
    <t>Recepción y movimientos solo con autorización funcional.</t>
  </si>
  <si>
    <t>A05</t>
  </si>
  <si>
    <t>Cliente del canal tradicional</t>
  </si>
  <si>
    <t>Incluye food service con iguales permisos. No exige dispositivo al cliente.</t>
  </si>
  <si>
    <t>A06</t>
  </si>
  <si>
    <t>Cliente del canal moderno</t>
  </si>
  <si>
    <t>La identidad EDI se cuenta por separado como sistema.</t>
  </si>
  <si>
    <t>Empresa transportista</t>
  </si>
  <si>
    <t>Un rol por empresa, sin multiplicar por diez empresas.</t>
  </si>
  <si>
    <t>Proveedor</t>
  </si>
  <si>
    <t>Solo consulta sus documentos, sin aprobar recepción física.</t>
  </si>
  <si>
    <t>Jefa de Calidad</t>
  </si>
  <si>
    <t>Decisión sanitaria separada de captura de terreno.</t>
  </si>
  <si>
    <t>A10</t>
  </si>
  <si>
    <t>Gerente Comercial</t>
  </si>
  <si>
    <t>Condiciones comerciales y excepciones de canal.</t>
  </si>
  <si>
    <t>Gerente de Finanzas</t>
  </si>
  <si>
    <t>Incluye función de caja habilitada; no incorpora personal nuevo a la dotación.</t>
  </si>
  <si>
    <t>A12</t>
  </si>
  <si>
    <t>Planificador de Rutas</t>
  </si>
  <si>
    <t>No se cuenta un actor por vehículo.</t>
  </si>
  <si>
    <t>A13</t>
  </si>
  <si>
    <t>Gerente de Operaciones</t>
  </si>
  <si>
    <t>Decisiones operacionales y supervisión.</t>
  </si>
  <si>
    <t>A14</t>
  </si>
  <si>
    <t>Jefa de Bodega</t>
  </si>
  <si>
    <t>Recepción, FEFO y movimientos autorizados.</t>
  </si>
  <si>
    <t>Jefe de TI</t>
  </si>
  <si>
    <t>Privilegios controlados y administración.</t>
  </si>
  <si>
    <t>A16</t>
  </si>
  <si>
    <t>Responsable de abastecimiento</t>
  </si>
  <si>
    <t>Adición propuesta: el RF nombra este rol aunque falta en el catálogo de 15 actores.</t>
  </si>
  <si>
    <t>SD3 RF-10.01 a RF-10.03</t>
  </si>
  <si>
    <t>A17</t>
  </si>
  <si>
    <t>Especialista de soporte</t>
  </si>
  <si>
    <t>Adición propuesta por INN-02: Operación captura el caso.</t>
  </si>
  <si>
    <t>SD13 §13.2; SD6; SD9</t>
  </si>
  <si>
    <t>A18</t>
  </si>
  <si>
    <t>Analista de pruebas</t>
  </si>
  <si>
    <t>Adición propuesta por INN-02: Calidad admite y verifica.</t>
  </si>
  <si>
    <t>SD13 §13.2; SD9</t>
  </si>
  <si>
    <t>A19</t>
  </si>
  <si>
    <t>Desarrollador de mantenimiento</t>
  </si>
  <si>
    <t>Adición propuesta por INN-02: Desarrollo reproduce y corrige.</t>
  </si>
  <si>
    <t>SD13 §13.2; SD6</t>
  </si>
  <si>
    <t>ERP 2017 y su emisor DTE</t>
  </si>
  <si>
    <t>API</t>
  </si>
  <si>
    <t>Un actor para el ERP, aunque tenga varias interfaces. SII indirecto no se agrega.</t>
  </si>
  <si>
    <t>SD4 Anexo 4-H</t>
  </si>
  <si>
    <t>Sistema EDI de las cadenas</t>
  </si>
  <si>
    <t>Protocolo</t>
  </si>
  <si>
    <t>Una familia de contraparte con perfil configurable; no una instancia por cadena.</t>
  </si>
  <si>
    <t>SD3 RF-12.01 a RF-12.13; SD4 4-H</t>
  </si>
  <si>
    <t>A22</t>
  </si>
  <si>
    <t>Terminal de pago POS</t>
  </si>
  <si>
    <t>Interacción por protocolo, distinta de API de pago web.</t>
  </si>
  <si>
    <t>SD3 RF-07.06</t>
  </si>
  <si>
    <t>A23</t>
  </si>
  <si>
    <t>Servicio de correo</t>
  </si>
  <si>
    <t>Proveedor externo al software que se construye.</t>
  </si>
  <si>
    <t>A24</t>
  </si>
  <si>
    <t>Servicio SMS</t>
  </si>
  <si>
    <t>Contrato de canal distinto del correo.</t>
  </si>
  <si>
    <t>Plataforma de telemetría existente</t>
  </si>
  <si>
    <t>No se cuenta por cada uno de los 42 camiones.</t>
  </si>
  <si>
    <t>SD3 RF-14.01; SD4 4-H</t>
  </si>
  <si>
    <t>A26</t>
  </si>
  <si>
    <t>Directorio corporativo del cliente</t>
  </si>
  <si>
    <t>Clasificación propuesta por LDAP. Cambiar a API si el contrato efectivo lo exige.</t>
  </si>
  <si>
    <t>SD3 RF-15.01</t>
  </si>
  <si>
    <t>A27</t>
  </si>
  <si>
    <t>Sensores de cámaras</t>
  </si>
  <si>
    <t>Hardware fuente fuera de la frontera del software, sin multiplicar por sensor.</t>
  </si>
  <si>
    <t>SD3 RF-09.03; SD4 INT-05</t>
  </si>
  <si>
    <t>A28</t>
  </si>
  <si>
    <t>Sensores y termógrafo vehicular</t>
  </si>
  <si>
    <t>Gateway y reglas propias están dentro de la frontera; la fuente física no.</t>
  </si>
  <si>
    <t>SD3 RF-09.04; SD4 INT-05</t>
  </si>
  <si>
    <t>A29</t>
  </si>
  <si>
    <t>Planificador automático</t>
  </si>
  <si>
    <t>Se adopta explícitamente actor simple para disparos periódicos. Una sola vez.</t>
  </si>
  <si>
    <t>PDF p. 31; SD4 INT-SCHED</t>
  </si>
  <si>
    <t>A30</t>
  </si>
  <si>
    <t>Pasarela de pago web</t>
  </si>
  <si>
    <t>Diferente del terminal POS Bluetooth.</t>
  </si>
  <si>
    <t>SD3 RF-12.30; SD4 4-H</t>
  </si>
  <si>
    <t>A31</t>
  </si>
  <si>
    <t>Servicio WhatsApp</t>
  </si>
  <si>
    <t>Se cuenta el canal implementado, sin agregar chatbot no vigente.</t>
  </si>
  <si>
    <t>A32</t>
  </si>
  <si>
    <t>Proveedor de mapas y geocodificación</t>
  </si>
  <si>
    <t>Se integra en planificación; optimizador propio permanece dentro de la frontera.</t>
  </si>
  <si>
    <t>Peso de los casos de uso sin ajustar</t>
  </si>
  <si>
    <t>Clase automática: 1–3 transacciones = 5; 4–7 = 10; 8 o más = 15. Las exclusiones aportan cero.</t>
  </si>
  <si>
    <t>Transacciones</t>
  </si>
  <si>
    <t>Complejidad</t>
  </si>
  <si>
    <t>Aporte UUCW</t>
  </si>
  <si>
    <t>Puntos de casos de uso sin ajustar</t>
  </si>
  <si>
    <t>UUCP = UAW + UUCW. Los actores se cuentan una vez; su reparto E1/E2 es proporcional al peso funcional.</t>
  </si>
  <si>
    <t>Componente</t>
  </si>
  <si>
    <t>Total</t>
  </si>
  <si>
    <t>Criterio</t>
  </si>
  <si>
    <t>Reparto proporcional a UUCW para distribuir esfuerzo; no son actores adicionales.</t>
  </si>
  <si>
    <t>Suma de aportes de casos incluidos según etapa del Catálogo.</t>
  </si>
  <si>
    <t>UUCP</t>
  </si>
  <si>
    <t>Tamaño bruto del alcance completo; etapas aditivas.</t>
  </si>
  <si>
    <t>Factor de complejidad técnica</t>
  </si>
  <si>
    <t>Puntuaciones propuestas y justificadas. Cambie valores enteros de 0 a 5 en las celdas amarillas.</t>
  </si>
  <si>
    <t>TCF</t>
  </si>
  <si>
    <t>Suma ponderada</t>
  </si>
  <si>
    <t>ID</t>
  </si>
  <si>
    <t>Factor técnico</t>
  </si>
  <si>
    <t>Puntuación</t>
  </si>
  <si>
    <t>Peso × valor</t>
  </si>
  <si>
    <t>Justificación propuesta</t>
  </si>
  <si>
    <t>Referencia</t>
  </si>
  <si>
    <t>T1</t>
  </si>
  <si>
    <t>Sistema distribuido</t>
  </si>
  <si>
    <t>Nube, cinco sitios y terminales con autoridad local y reconciliación.</t>
  </si>
  <si>
    <t>SD3 §§3.3–3.4; SD4 continuidad</t>
  </si>
  <si>
    <t>T2</t>
  </si>
  <si>
    <t>Objetivos de desempeño</t>
  </si>
  <si>
    <t>Hay umbrales exigibles para pedido, picking, stock y planificación en peak.</t>
  </si>
  <si>
    <t>SD4 dimensionamiento; SD9 pruebas</t>
  </si>
  <si>
    <t>T3</t>
  </si>
  <si>
    <t>Eficiencia del usuario final</t>
  </si>
  <si>
    <t>Picking nocturno, ventana de despacho y trabajo de campo exigen pocos pasos.</t>
  </si>
  <si>
    <t>SD2 problema; SD3 RF-05; SD9</t>
  </si>
  <si>
    <t>T4</t>
  </si>
  <si>
    <t>Procesamiento interno complejo</t>
  </si>
  <si>
    <t>FEFO, reservas concurrentes, VRP, reglas sanitarias, EDI y costeo.</t>
  </si>
  <si>
    <t>SD3 RF; SD4 módulos; SD5</t>
  </si>
  <si>
    <t>T5</t>
  </si>
  <si>
    <t>Código reutilizable</t>
  </si>
  <si>
    <t>Base compartida reutilizable entre módulos; no se exige producto genérico para otras empresas.</t>
  </si>
  <si>
    <t>SD4 base compartida</t>
  </si>
  <si>
    <t>T6</t>
  </si>
  <si>
    <t>Facilidad de instalación</t>
  </si>
  <si>
    <t>Olas, borde, móviles y reversión con continuidad operacional.</t>
  </si>
  <si>
    <t>SD4 despliegue; SD6 DevSecOps; SD7</t>
  </si>
  <si>
    <t>T7</t>
  </si>
  <si>
    <t>Facilidad de uso</t>
  </si>
  <si>
    <t>Guantes, frío, rotación de preparadores y canal tradicional sin obligación digital.</t>
  </si>
  <si>
    <t>SD2; SD3 adopción; SD9 accesibilidad</t>
  </si>
  <si>
    <t>T8</t>
  </si>
  <si>
    <t>Portabilidad</t>
  </si>
  <si>
    <t>Navegadores, Android y despliegue híbrido; no se asume portabilidad ilimitada.</t>
  </si>
  <si>
    <t>SD4 tecnologías y sitios</t>
  </si>
  <si>
    <t>T9</t>
  </si>
  <si>
    <t>Facilidad de cambio</t>
  </si>
  <si>
    <t>Parámetros, flujos, plantillas y doble aprobación sin desarrollo.</t>
  </si>
  <si>
    <t>SD3 RF-17.02/03/06/09</t>
  </si>
  <si>
    <t>T10</t>
  </si>
  <si>
    <t>Concurrencia</t>
  </si>
  <si>
    <t>Reserva central, turnos y fuentes concurrentes en peak de septiembre.</t>
  </si>
  <si>
    <t>SD3 RF-03.03; SD4 carga; SD5</t>
  </si>
  <si>
    <t>T11</t>
  </si>
  <si>
    <t>Objetivos de seguridad</t>
  </si>
  <si>
    <t>SSO, MFA, segregación, auditoría y protección de datos en campo.</t>
  </si>
  <si>
    <t>SD3 RF-15; SD4 seguridad; SD9</t>
  </si>
  <si>
    <t>T12</t>
  </si>
  <si>
    <t>Acceso de terceras partes</t>
  </si>
  <si>
    <t>Portales, ERP, EDI, pagos, mapas, sensores y telemetría.</t>
  </si>
  <si>
    <t>SD3 actores; SD4 Anexo 4-H</t>
  </si>
  <si>
    <t>T13</t>
  </si>
  <si>
    <t>Entrenamiento a usuarios</t>
  </si>
  <si>
    <t>Varios perfiles y alta rotación requieren UX y ayudas de aprendizaje; ejecución de cursos se estima aparte.</t>
  </si>
  <si>
    <t>SD2; SD3 §3.4.4; SD7 capacitación</t>
  </si>
  <si>
    <t>Factor de ambiente del equipo</t>
  </si>
  <si>
    <t>Puntuaciones propuestas. E1–E6: mayor valor favorece al equipo. E7–E8 tienen peso negativo; mayor valor aumenta esfuerzo.</t>
  </si>
  <si>
    <t>EF</t>
  </si>
  <si>
    <t>Adversos</t>
  </si>
  <si>
    <t>Factor de ambiente</t>
  </si>
  <si>
    <t>Desfavorable</t>
  </si>
  <si>
    <t>Experiencia en el modelo de proyecto</t>
  </si>
  <si>
    <t>Propuesto: la organización declara RUP iterativo y DevSecOps, con gobierno formal.</t>
  </si>
  <si>
    <t>SD1 gobierno; SD6 §6.2</t>
  </si>
  <si>
    <t>Experiencia en el negocio</t>
  </si>
  <si>
    <t>Propuesto: experiencia sectorial declarada, pero debe validarse con usuarios y particularidades de Puelche.</t>
  </si>
  <si>
    <t>SD1 experiencia; SD2; SD3 supuestos</t>
  </si>
  <si>
    <t>E3</t>
  </si>
  <si>
    <t>Experiencia en orientación a objetos</t>
  </si>
  <si>
    <t>Propuesto: equipo especializado en PHP/Laravel y Kotlin; no existe medición individual aportada.</t>
  </si>
  <si>
    <t>SD1 dotación; SD4 tecnologías</t>
  </si>
  <si>
    <t>E4</t>
  </si>
  <si>
    <t>Capacidad del analista líder</t>
  </si>
  <si>
    <t>Propuesto: roles de arquitectura/datos identificados; validar desempeño del analista asignado.</t>
  </si>
  <si>
    <t>SD1 estructura; SD6; SD9</t>
  </si>
  <si>
    <t>E5</t>
  </si>
  <si>
    <t>Motivación</t>
  </si>
  <si>
    <t>Propuesto para planificación; requiere consenso del equipo, no se presenta como dato observado.</t>
  </si>
  <si>
    <t>Supuesto de estimación autorizado por el usuario</t>
  </si>
  <si>
    <t>E6</t>
  </si>
  <si>
    <t>Estabilidad de requisitos</t>
  </si>
  <si>
    <t>Propuesto conservador: contratos externos, reglas térmicas y consultas pendientes pueden cambiar el alcance.</t>
  </si>
  <si>
    <t>SD3 supuestos y vacíos; SD8 riesgos</t>
  </si>
  <si>
    <t>E7</t>
  </si>
  <si>
    <t>Personal a tiempo parcial</t>
  </si>
  <si>
    <t>Propuesto: núcleo de construcción concentrado con especialistas compartidos y etapas solapadas; validar dedicación real.</t>
  </si>
  <si>
    <t>SD1 dedicaciones; SD7 T-15</t>
  </si>
  <si>
    <t>E8</t>
  </si>
  <si>
    <t>Dificultad del lenguaje y herramientas</t>
  </si>
  <si>
    <t>Propuesto: tecnologías conocidas por la empresa; la complejidad distribuida ya se valora en TCF.</t>
  </si>
  <si>
    <t>SD1 PHP/Laravel/Kotlin; SD4; SD6</t>
  </si>
  <si>
    <t>Puntos de casos de uso ajustados</t>
  </si>
  <si>
    <t>UCP = UUCP × TCF × EF. Se conserva precisión en las fórmulas y solo se formatea la presentación.</t>
  </si>
  <si>
    <t>Interpretación</t>
  </si>
  <si>
    <t>Tamaño bruto del inventario de actores y objetivos.</t>
  </si>
  <si>
    <t>Ajuste por exigencias del producto.</t>
  </si>
  <si>
    <t>Ajuste por equipo y contexto.</t>
  </si>
  <si>
    <t>Puntos ajustados que alimentan programación.</t>
  </si>
  <si>
    <t>Estimación de esfuerzo de desarrollo</t>
  </si>
  <si>
    <t>Lectura B del curso: UCP × CF son horas de programación; el total se obtiene dividiendo por la participación de programación.</t>
  </si>
  <si>
    <t>Total de desarrollo (HH)</t>
  </si>
  <si>
    <t>Paso</t>
  </si>
  <si>
    <t>Valor</t>
  </si>
  <si>
    <t>Unidad</t>
  </si>
  <si>
    <t>Puntos ajustados</t>
  </si>
  <si>
    <t>Provienen de la hoja de puntos ajustados.</t>
  </si>
  <si>
    <t>Factores desfavorables</t>
  </si>
  <si>
    <t>cantidad</t>
  </si>
  <si>
    <t>E1–E6 menores que 3; E7–E8 mayores que 3.</t>
  </si>
  <si>
    <t>HH/UCP</t>
  </si>
  <si>
    <t>Hasta 2: 20; 3–4: 28; desde 5: replantear y no emitir horas.</t>
  </si>
  <si>
    <t>Esfuerzo de programación</t>
  </si>
  <si>
    <t>Producto UCP × CF sin redondeo intermedio.</t>
  </si>
  <si>
    <t>Participación de programación</t>
  </si>
  <si>
    <t>proporción</t>
  </si>
  <si>
    <t>Se enlaza al porcentaje editable de la actividad Programación.</t>
  </si>
  <si>
    <t>Esfuerzo total de desarrollo</t>
  </si>
  <si>
    <t>Programación dividida por su participación en el total.</t>
  </si>
  <si>
    <t>Estado del cálculo</t>
  </si>
  <si>
    <t>Las horas no se presentan como cero cuando faltan factores o se debe replantear.</t>
  </si>
  <si>
    <t>Horas totales</t>
  </si>
  <si>
    <t>Horas E1</t>
  </si>
  <si>
    <t>Horas E2</t>
  </si>
  <si>
    <t>Incluye</t>
  </si>
  <si>
    <t>Análisis</t>
  </si>
  <si>
    <t>Levantamiento, casos de uso y especificación funcional.</t>
  </si>
  <si>
    <t>Diseño</t>
  </si>
  <si>
    <t>Arquitectura, datos, diseño detallado y experiencia de usuario.</t>
  </si>
  <si>
    <t>Programación</t>
  </si>
  <si>
    <t>Construcción, integraciones y pruebas unitarias.</t>
  </si>
  <si>
    <t>Pruebas</t>
  </si>
  <si>
    <t>Integración, sistema, aceptación y corrección de defectos.</t>
  </si>
  <si>
    <t>Sobrecarga</t>
  </si>
  <si>
    <t>Gestión, aseguramiento, documentación y coordinación del desarrollo.</t>
  </si>
  <si>
    <t>La suma de participaciones debe ser 100 %.</t>
  </si>
  <si>
    <t>No incluye operación, infraestructura, migración, capacitación ejecutada ni reservas.</t>
  </si>
  <si>
    <t>Las actividades de desarrollo no son las etapas contractuales E1/E2. El reparto por etapa usa la regla visible en UUCP.</t>
  </si>
  <si>
    <t>Sin histórico medido de productividad: se utiliza la regla de conversión del PDF; las puntuaciones del equipo son propuestas.</t>
  </si>
  <si>
    <t>Cobertura de requisitos e innovaciones</t>
  </si>
  <si>
    <t>Control independiente: 180 requisitos de SD3 y cinco innovaciones. Los entregables o servicios se justifican sin inflar casos de uso.</t>
  </si>
  <si>
    <t>ID fuente</t>
  </si>
  <si>
    <t>Requisito u objetivo</t>
  </si>
  <si>
    <t>Prioridad / etapa</t>
  </si>
  <si>
    <t>Casos de uso</t>
  </si>
  <si>
    <t>Tratamiento</t>
  </si>
  <si>
    <t>Estado de selección</t>
  </si>
  <si>
    <t>Fundamento</t>
  </si>
  <si>
    <t>RF-01.01</t>
  </si>
  <si>
    <t>El sistema debe registrar la recepción física de un proveedor validando las cantidades recibidas por SKU contra la OC y generando una alerta por cada discrepancia, sin bloquear el cierre.</t>
  </si>
  <si>
    <t>Crítica / E1</t>
  </si>
  <si>
    <t>Funcional</t>
  </si>
  <si>
    <t>Cubierto por los objetivos indicados; los pasos internos no se suman como transacciones.</t>
  </si>
  <si>
    <t>RF-01.02</t>
  </si>
  <si>
    <t>El sistema debe exigir el número de lote del proveedor en campo estructurado para todo SKU con trazabilidad obligatoria, capturándolo por escaneo GS1 (AI 10) o ingreso manual, y bloqueando el avance si el campo está vacío.</t>
  </si>
  <si>
    <t>RF-01.03</t>
  </si>
  <si>
    <t>El sistema debe registrar la fecha de vencimiento en formato DD/MM/AAAA para todo SKU con control de vencimiento habilitado, vinculándola al lote y a la ubicación asignada como entrada para la lógica FEFO.</t>
  </si>
  <si>
    <t>RF-01.04</t>
  </si>
  <si>
    <t>El sistema debe permitir registrar una no conformidad durante la recepción seleccionando su tipo desde una lista predefinida e ingresando SKU, lote, cantidad afectada y al menos una fotografía capturada desde el dispositivo.</t>
  </si>
  <si>
    <t>Alta / E1</t>
  </si>
  <si>
    <t>RF-01.05</t>
  </si>
  <si>
    <t>Al confirmar una no conformidad, el sistema debe cambiar automáticamente a estado ‘Cuarentena’ la cantidad afectada del SKU/lote correspondiente, bloqueándola para picking, y notificar al perfil de calidad mediante una alerta en la aplicación.</t>
  </si>
  <si>
    <t>RF-01.06</t>
  </si>
  <si>
    <t>El sistema debe decodificar códigos de barras GS1 interpretando los AIs 01 (GTIN), 10 (lote), 17 (vencimiento) y 00 (SSCC), autocompletando los campos en pantalla; ante código inválido o no registrado, habilita el ingreso manual.</t>
  </si>
  <si>
    <t>Al finalizar el registro de un pallet, el sistema debe generar automáticamente un SSCC bajo estándar GS1-128 vinculado al GTIN, lote, fecha de vencimiento y fecha de recepción, e imprimir la etiqueta en la impresora térmica del andén.</t>
  </si>
  <si>
    <t>Media / E1</t>
  </si>
  <si>
    <t>RF-01.08</t>
  </si>
  <si>
    <t>El sistema debe permitir asociar un SSCC a una dirección de almacenamiento (pasillo-columna-nivel) escaneando ambas etiquetas y validando la compatibilidad térmica antes de confirmar.</t>
  </si>
  <si>
    <t>RF-01.09</t>
  </si>
  <si>
    <t>Al cerrar una recepción, el sistema debe enviar automáticamente la transacción de ingreso de inventario al ERP mediante su interfaz de integración; si el ERP no está disponible, encola la transacción para reintento automático.</t>
  </si>
  <si>
    <t>CU-001, CU-035</t>
  </si>
  <si>
    <t>El sistema debe permitir crear y mantener fichas de producto con atributos obligatorios: descripción, formato, GTIN, SKU interno, tipo de almacenamiento, temperatura mínima y máxima (°C), peso neto (kg), dimensiones (cm), días de vida útil, indicadores de trazabilidad y control de vencimiento (sí/no), clasificación sanitaria y RUT del proveedor.</t>
  </si>
  <si>
    <t>RF-01.11</t>
  </si>
  <si>
    <t>El sistema debe validar la compatibilidad térmica entre el tipo de almacenamiento del SKU y la zona de temperatura de la ubicación destino al realizar un putaway, bloqueando la operación si no son compatibles.</t>
  </si>
  <si>
    <t>El sistema debe permitir registrar y configurar cada instalación de la red logística (centros de distribución y plataformas de cross-docking), definiendo su topología interna: zonas operativas (seco con rango 15–25 °C, refrigerado con rango 2–8 °C, congelado con rango -18 a -25 °C), pasillos, racks, niveles y posiciones individuales de almacenamiento. La configuración debe estar disponible en modo offline.</t>
  </si>
  <si>
    <t>RF-02.02</t>
  </si>
  <si>
    <t>El sistema debe consolidar el stock físico en unidades de cada SKU en todos los nodos de la red logística.</t>
  </si>
  <si>
    <t>El sistema debe calcular periódicamente una propuesta de reasignación de ubicaciones (slotting) basada en la clasificación de rotación (ABC) del último período configurable, considerando además peso, volumen y compatibilidad de zona. Los productos de clasificación A deben proponerse en ubicaciones cercanas a los andenes de salida. La propuesta debe ser aprobada por el jefe de bodega antes de generar instrucciones de movimiento.</t>
  </si>
  <si>
    <t>El sistema debe generar un plan de conteo cíclico mensual que cubra una cantidad de posiciones definidas, seleccionando posiciones por criterios configurables (rotación, valor, discrepancia histórica). Las tareas de conteo deben asignarse a los dispositivos de los operarios de bodega en modo de conteo ciego, sin mostrar la cantidad teórica. Tras el ingreso de la cantidad física, el sistema compara contra el teórico y registra la diferencia con su causa en campo estructurado.</t>
  </si>
  <si>
    <t>RF-02.05</t>
  </si>
  <si>
    <t>El sistema debe calcular el stock disponible para venta por SKU y por centro de distribución, definido como la diferencia entre el stock físico registrado y el inventario comprometido por pedidos confirmados pendientes de preparación. En modo desconectado, la consulta debe reflejar el stock al momento de la última sincronización, indicando la antigüedad del dato.</t>
  </si>
  <si>
    <t>El sistema debe registrar como «en tránsito» todo inventario despachado desde un nodo de origen hacia un nodo destino, desde la carga confirmada hasta la recepción confirmada en destino, y generar la transacción de transferencia correspondiente en el ERP.</t>
  </si>
  <si>
    <t>CU-010, CU-035</t>
  </si>
  <si>
    <t>El sistema debe permitir consultar el nivel de ocupación de cada centro de distribución, desglosado por zona operativa (seco, refrigerado, congelado), expresado como porcentaje de ubicaciones físicas utilizadas respecto de la capacidad total configurada.</t>
  </si>
  <si>
    <t>RF-02.08</t>
  </si>
  <si>
    <t>El sistema debe dirigir la preparación de pedidos (picking) asignando tareas de recolección al dispositivo del preparador, indicando: ubicación, producto, lote, cantidad, y secuencia optimizada de recorrido. El preparador confirma cada línea en el dispositivo. Al no encontrar un producto o encontrar cantidad insuficiente, el preparador debe registrar el faltante con su causa en un campo estructurado (sin stock, producto dañado, producto vencido, error de ubicación, otro).</t>
  </si>
  <si>
    <t>El sistema debe gestionar el almacenamiento de productos con fecha de vencimiento aplicando la regla FEFO (First Expired, First Out), priorizando en la preparación de pedidos los lotes con fecha de vencimiento más próxima. El sistema debe alertar cuando un producto en stock alcance un umbral de vida útil remanente configurable.</t>
  </si>
  <si>
    <t>RF-02.10</t>
  </si>
  <si>
    <t>El sistema debe proveer una interfaz de trazabilidad que permita buscar y detallar el ciclo de vida completo de un lote. Al consultar un lote específico, debe desglosar su estado actual, ubicación física en bodega, datos de recepción de proveedor y detalle de salida (clientes/mermas).</t>
  </si>
  <si>
    <t>RF-03.01</t>
  </si>
  <si>
    <t>La app debe mostrar, con conectividad, el stock disponible en tiempo real para cada SKU al tomar el pedido.</t>
  </si>
  <si>
    <t>RF-03.02</t>
  </si>
  <si>
    <t>La app debe mostrar, sin conectividad, el stock según la última sincronización válida, con su antigüedad visible.</t>
  </si>
  <si>
    <t>RF-03.03</t>
  </si>
  <si>
    <t>El sistema debe reservar el stock comprometido en el momento de la confirmación del pedido en el servidor central de la solución operacional, por orden de llegada a ese servidor (S-08, RNG-01), sin depender de la disponibilidad del ERP.</t>
  </si>
  <si>
    <t>RF-03.04</t>
  </si>
  <si>
    <t>La app debe mostrar, con conectividad, el crédito disponible y la deuda vencida del cliente al tomar el pedido.</t>
  </si>
  <si>
    <t>RF-03.05</t>
  </si>
  <si>
    <t>La app debe mostrar, sin conectividad, el crédito y la deuda según la última sincronización válida, con su antigüedad visible.</t>
  </si>
  <si>
    <t>RF-03.06</t>
  </si>
  <si>
    <t>La app debe mostrar el historial de compra del cliente (productos y frecuencia).</t>
  </si>
  <si>
    <t>RF-03.07</t>
  </si>
  <si>
    <t>La app debe permitir aplicar una promoción vigente (3x2, descuento por volumen) a una línea de pedido, calculando el descuento automáticamente.</t>
  </si>
  <si>
    <t>RF-03.08</t>
  </si>
  <si>
    <t>El sistema debe alertar al preventista cuando el pedido, sumado a la deuda vencida, supere el límite de crédito del cliente.</t>
  </si>
  <si>
    <t>RF-03.09</t>
  </si>
  <si>
    <t>El sistema debe bloquear el envío del pedido cuando este, sumado a la deuda vencida, supere el límite de crédito en más de 110 %.</t>
  </si>
  <si>
    <t>El sistema debe permitir que un supervisor autorice, de forma registrada, el envío de un pedido bloqueado.</t>
  </si>
  <si>
    <t>RF-03.11</t>
  </si>
  <si>
    <t>El sistema debe registrar y conservar en cada pedido de preventa el precio acordado por el preventista al tomarlo, conforme a las condiciones comerciales autorizadas, sin modificarlo por cambios posteriores de la lista de precios.</t>
  </si>
  <si>
    <t>CU-014, CU-016</t>
  </si>
  <si>
    <t>RF-03.12</t>
  </si>
  <si>
    <t>El sistema debe generar una alerta al responsable comercial cuando el importe calculado para el despacho o la facturación difiera del precio registrado en el pedido, para corregir la discrepancia antes de facturar y conservar el precio acordado (RF-03.11).</t>
  </si>
  <si>
    <t>RF-03.13</t>
  </si>
  <si>
    <t>El sistema debe informar al preventista la fecha y ventana horaria de entrega que puede comprometer, considerando stock, capacidad de despacho y restricciones del cliente.</t>
  </si>
  <si>
    <t>RF-03.14</t>
  </si>
  <si>
    <t>El sistema debe generar sugerencias de productos usando historial de compra, frecuencia, productos habituales y promociones vigentes.</t>
  </si>
  <si>
    <t>RF-03.15</t>
  </si>
  <si>
    <t>La app debe generar un identificador único en el dispositivo al crear un pedido sin conectividad.</t>
  </si>
  <si>
    <t>RF-03.16</t>
  </si>
  <si>
    <t>El sistema debe detectar y descartar automáticamente los reenvíos duplicados de un pedido con el mismo identificador único al sincronizar.</t>
  </si>
  <si>
    <t>CU-014, CU-017</t>
  </si>
  <si>
    <t>RF-04.01</t>
  </si>
  <si>
    <t>El sistema debe asignar pedidos a la flota, secuenciando la ruta en función de la capacidad volumétrica y zonas logísticas de entrega.</t>
  </si>
  <si>
    <t>RF-04.02</t>
  </si>
  <si>
    <t>El sistema debe permitir modificar manualmente la secuencia de ruta y reasignar pedidos entre vehículos</t>
  </si>
  <si>
    <t>RF-04.03</t>
  </si>
  <si>
    <t>El sistema debe bloquear la adición de líneas de pedido a una ruta si la sumatoria excede los límites de peso o volumen nominales del vehículo.</t>
  </si>
  <si>
    <t>CU-018, CU-019</t>
  </si>
  <si>
    <t>RF-04.04</t>
  </si>
  <si>
    <t>El sistema debe permitir la configuración de ventanas horarias específicas por cliente y ajustar la secuencia para cumplirlas.</t>
  </si>
  <si>
    <t>CU-018, CU-020</t>
  </si>
  <si>
    <t>RF-04.05</t>
  </si>
  <si>
    <t>El sistema debe restringir la asignación de pedidos refrigerados o congelados exclusivamente a vehículos con equipo de frío.</t>
  </si>
  <si>
    <t>CU-018, CU-019, CU-020</t>
  </si>
  <si>
    <t>RF-04.06</t>
  </si>
  <si>
    <t>El sistema debe crear un aviso al contacto del cliente con la hora estimada de llegada incluyendo una ventana de 30 minutos.</t>
  </si>
  <si>
    <t>CU-079, CU-080</t>
  </si>
  <si>
    <t>RF-04.07</t>
  </si>
  <si>
    <t>El sistema debe permitir parametrizar franjas horarias de recepción en la ficha maestra de cada cliente (Ventana Horaria).</t>
  </si>
  <si>
    <t>RF-04.08</t>
  </si>
  <si>
    <t>El sistema debe calcular el costo de cada entrega tras haber sido realizada.</t>
  </si>
  <si>
    <t>Alta / E2</t>
  </si>
  <si>
    <t>RF-05.01</t>
  </si>
  <si>
    <t>El jefe de bodega debe poder iniciar la generación manualmente o configurar la generación automática al cierre de pedidos del turno. Las misiones deben permitir agrupación por pedido individual o por consolidación de pedidos de una misma ruta.</t>
  </si>
  <si>
    <t>RF-05.02</t>
  </si>
  <si>
    <t>El sistema debe exigir la validación de cada línea recolectada escaneando el código GS1. El escaneo debe validar el SKU y capturar el Lote exacto tomado. Permite ingreso manual solo como contingencia auditable.</t>
  </si>
  <si>
    <t>RF-05.03</t>
  </si>
  <si>
    <t>El sistema debe exigir la selección obligatoria de un motivo parametrizable de una lista estructurada, cada vez que se reporte una cantidad recolectada inferior a la solicitada.</t>
  </si>
  <si>
    <t>RF-05.04</t>
  </si>
  <si>
    <t>El sistema debe secuenciar las líneas de la misión de preparación priorizando las zonas en el siguiente orden: seco → refrigerado → congelado, para minimizar el tiempo de exposición de los productos de frío fuera de su zona térmica.</t>
  </si>
  <si>
    <t>CU-021, CU-022</t>
  </si>
  <si>
    <t>RF-05.05</t>
  </si>
  <si>
    <t>El sistema debe asignar el inventario para la preparación de pedidos aplicando estrictamente la regla lógica FEFO (First Expired, First Out) según la fecha de vencimiento del lote.</t>
  </si>
  <si>
    <t>RF-05.06</t>
  </si>
  <si>
    <t>El sistema debe enviar al ERP, al cerrar una misión de preparación, el detalle consolidado por cada línea: SKU, cantidad efectivamente recolectada y lote correspondiente, vinculado al ID del pedido original.</t>
  </si>
  <si>
    <t>CU-022, CU-024</t>
  </si>
  <si>
    <t>RF-05.07</t>
  </si>
  <si>
    <t>El sistema debe dirigir la carga de pedidos preparados en el camión siguiendo la secuencia inversa de la ruta asignada, garantizando que el primer cliente a visitar sea el último cargado (más accesible). El cargador debe confirmar cada bulto/pallet escaneando su SSCC.</t>
  </si>
  <si>
    <t>RF-06.01</t>
  </si>
  <si>
    <t>El sistema debe permitir marcar la recepción conforme de bultos mediante validación por línea de pedido individual o marcado masivo por guía.</t>
  </si>
  <si>
    <t>RF-06.02</t>
  </si>
  <si>
    <t>El sistema debe permitir capturar la firma digital del receptor como evidencia de entrega, asociada a la guía de despacho electrónica.</t>
  </si>
  <si>
    <t>RF-06.03</t>
  </si>
  <si>
    <t>El sistema debe permitir reportar un rechazo total o parcial seleccionando la cantidad y el motivo desde un catálogo predefinido.</t>
  </si>
  <si>
    <t>El sistema debe permitir reportar un local cerrado, indicando la dirección del cliente.</t>
  </si>
  <si>
    <t>RF-06.05</t>
  </si>
  <si>
    <t>El sistema debe permitir digitar el monto exacto recaudado en pagos realizados en efectivo</t>
  </si>
  <si>
    <t>RF-06.07</t>
  </si>
  <si>
    <t>El sistema debe sincronizarse automaticamente, al detectar la reconexión de señal o el regreso al centro de distribución, sincronizar automaticamente todos los registros generados durante el turno, recuperando la totalidad de los despachos registrados, consolidandolos en un reporte de cierre.</t>
  </si>
  <si>
    <t>RF-06.08</t>
  </si>
  <si>
    <t>El sistema debe permitir al conductor de una empresa externa iniciar su jornada usando las credenciales temporales por OTP (código de un solo uso) emitido por su jefe de flota; la sesión común posterior la provee RF-15.02. sin necesidad de correo corporativo.</t>
  </si>
  <si>
    <t>RF-06.09</t>
  </si>
  <si>
    <t>Al registrar una entrega, el sistema debe permitir al conductor capturar la cantidad de canastillos y pallets devueltos por el cliente, identificando el tipo y estado.</t>
  </si>
  <si>
    <t>RF-06.10</t>
  </si>
  <si>
    <t>El sistema debe actualizar el saldo del cliente y del parque retornable en línea o en modo diferido según conectividad, asociando el registro a la entrega o a la guía correspondiente</t>
  </si>
  <si>
    <t>RF-06.11</t>
  </si>
  <si>
    <t>El sistema debe ofrecer al cliente la opción de confirmar la recepción mediante un código QR único generado por la app del conductor, cuando el cliente disponga de teléfono inteligente.</t>
  </si>
  <si>
    <t>RF-06.12</t>
  </si>
  <si>
    <t>El sistema debe permitir confirmar la recepción del cliente aun si este no dispone de teléfono o conectividad, mediante captura de firma en pantalla o el registro fotografico de la recepcion, dejando evidencia vinculada a la guia de despacho electrónica en su acuse de recibo.</t>
  </si>
  <si>
    <t>RF-06.13</t>
  </si>
  <si>
    <t>La app de reparto debe permitir imprimir en terreno un comprobante térmico de entrega para el cliente usando una impresora portátil Bluetooth en aquellos casos donde el cliente requiera respaldo físico.</t>
  </si>
  <si>
    <t>RF-07.02</t>
  </si>
  <si>
    <t>El sistema debe generar la planilla digital de rendición individual al retorno del camión, contrastando los valores declarados por el conductor en la aplicación móvil contra las entregas al contado realizadas y facturas cobradas.</t>
  </si>
  <si>
    <t>RF-07.03</t>
  </si>
  <si>
    <t>El sistema debe obligar al registro estructurado y categorizado de causales para cualquier diferencia detectada en la rendición de caja (descuentos comerciales autorizados, diferencias de cambio, siniestro en ruta), bloqueando el cierre de la liquidación si existe saldo sin justificar.</t>
  </si>
  <si>
    <t>El sistema debe proveer una consola de gestión para la cartera de crédito a 30 días sincronizada con el ERP, asignando carteras de clientes a ejecutivos de cobranza y registrando bitácoras de gestión, compromisos de pago y fechas de recontacto.</t>
  </si>
  <si>
    <t>RF-07.05</t>
  </si>
  <si>
    <t>El sistema debe notificar en la aplicación móvil de preventa el estado de bloqueo o mora de un cliente (&gt;30 días o cupo excedido), bloqueando preventivamente el ingreso de pedidos a crédito y permitiendo únicamente venta al contado o cobro de deuda.</t>
  </si>
  <si>
    <t>El sistema debe integrarse vía Bluetooth con terminales de pago portátil (POS) en la aplicación móvil de reparto para cobro con tarjeta en ruta, capturando el código de autorización bancario y conciliando el voucher automáticamente en la liquidación diaria.</t>
  </si>
  <si>
    <t>RF-07.07</t>
  </si>
  <si>
    <t>El sistema debe disponer en el portal web de autoatención el estado de cuenta y la cartola de antigüedad de deuda (tramos corriente, 30, 60, 90+ días) descargable en formatos PDF y Excel para clientes autenticados.</t>
  </si>
  <si>
    <t>El sistema debe proveer una bandeja de validación para pagos reportados en el portal web de clientes, permitiendo al cajero verificar el comprobante bancario y autorizar su traspaso estructurado al ERP.</t>
  </si>
  <si>
    <t>CU-033, CU-034</t>
  </si>
  <si>
    <t>RF-07.09</t>
  </si>
  <si>
    <t>El sistema debe transferir de forma estructurada, asíncrona e idempotente los comprobantes de recaudación y cierres comerciales aprobados hacia el ERP para actualizar automáticamente las cuentas por cobrar.</t>
  </si>
  <si>
    <t>RF-07.10</t>
  </si>
  <si>
    <t>El sistema debe permitir el registro de anticipos o pagos parciales en entregas al contado desde la aplicación móvil de reparto, emitiendo un comprobante digital de abono y traspasando el saldo insoluto a la cuenta corriente del cliente en el ERP.</t>
  </si>
  <si>
    <t>El sistema debe permitir al preventista registrar la cobranza en efectivo de facturas vencidas en el local del cliente desde su terminal móvil, emitiendo un recibo provisional digital y forzando su rendición diaria en caja.</t>
  </si>
  <si>
    <t>RF-08.01</t>
  </si>
  <si>
    <t>El sistema debe permitir al conductor registrar la devolución de productos en el momento de la entrega, capturando SKU, cantidad y motivo (daño / vencimiento / producto no pedido / error), operando en modo offline.</t>
  </si>
  <si>
    <t>Al recepcionar una devolución en el andén del CD, el sistema debe permitir seleccionar el destino final del producto (reingreso a stock / venta con descuento / devolución al proveedor / destrucción) y enviar la transacción al ERP mediante su interfaz de integración.</t>
  </si>
  <si>
    <t>CU-037, CU-045</t>
  </si>
  <si>
    <t>RF-08.03</t>
  </si>
  <si>
    <t>El sistema debe mantener una cuenta corriente de envases retornables por cliente, actualizando el saldo en cada entrega y devolución registrada por el conductor.</t>
  </si>
  <si>
    <t>RF-08.04</t>
  </si>
  <si>
    <t>El sistema debe generar una alerta al preventista cuando el saldo de envases retornables de un cliente supere el umbral configurado por el administrador.</t>
  </si>
  <si>
    <t>El sistema debe permitir registrar mermas por vencimiento detectadas en conteo cíclico, preparación de pedidos o góndola del cliente, asociando cada registro al SKU y al lote correspondiente.</t>
  </si>
  <si>
    <t>RF-08.06</t>
  </si>
  <si>
    <t>El sistema debe reportar la pérdida de envases retornables desglosada por cliente, tipo de envase y zona, con actualización diaria.</t>
  </si>
  <si>
    <t>RF-08.07</t>
  </si>
  <si>
    <t>El sistema debe incluir el costo de devoluciones y mermas por cliente como componente del cálculo del costo de servir (Épica 11).</t>
  </si>
  <si>
    <t>RF-09.01</t>
  </si>
  <si>
    <t>El sistema debe permitir la trazabilidad 'hacia adelante' (forward tracing): dado un lote específico, debe listar todos los clientes que recibieron productos de ese lote, con fecha de entrega, guía y cantidad.</t>
  </si>
  <si>
    <t>CU-040, CU-041</t>
  </si>
  <si>
    <t>RF-09.02</t>
  </si>
  <si>
    <t>El sistema debe permitir la trazabilidad 'hacia atrás' (backward tracing): dado un producto en el local del cliente (SKU + lote), debe identificar el origen (proveedor, fecha de recepción y orden de compra)</t>
  </si>
  <si>
    <t>RF-09.03</t>
  </si>
  <si>
    <t>El sistema debe registrar de forma automática y continua la temperatura de las cámaras de refrigerado y congelado, con lecturas cada 5 minutos como mínimo</t>
  </si>
  <si>
    <t>RF-09.04</t>
  </si>
  <si>
    <t>El sistema debe registrar de forma automática y continua la temperatura en los camiones con equipo de frío (18 propios y 10 de transportistas, todos con sensor instalado antes de la ola de reparto; S-28), durante todo el trayecto desde la carga hasta la entrega.</t>
  </si>
  <si>
    <t>RF-09.05</t>
  </si>
  <si>
    <t>El sistema debe generar una alerta en tiempo real (notificación en cabina y en plataforma de monitoreo) cuando se detecte una excursión de temperatura que supere la desviación continua de 2 °C por 15 minutos para el tipo de producto.</t>
  </si>
  <si>
    <t>RF-09.06</t>
  </si>
  <si>
    <t>Ante una excursión térmica crítica y sostenida, el sistema debe bloquear preventivamente el despacho del lote afectado y notificar a Calidad; ante una excursión menor y transitoria, debe emitir una alerta preventiva en cabina. El conductor recibe la alerta y registra sus observaciones; Calidad decide liberar, bloquear o rechazar (LafroX, 2026c, sección «Arbitraje de tensiones operacionales y comerciales», tensión 2; Anexo 2.2, S-04).</t>
  </si>
  <si>
    <t>RF-09.07</t>
  </si>
  <si>
    <t>El sistema debe permitir al conductor registrar el rechazo de un producto entregado por 'sospecha de ruptura de cadena de frío', asociando el evento al sensor de temperatura del camión en ese tramo.</t>
  </si>
  <si>
    <t>RF-09.08</t>
  </si>
  <si>
    <t>El sistema debe registrar, en el momento de la preparación (picking), el lote específico que se le asigna a cada línea de pedido, para los productos con control sanitario.</t>
  </si>
  <si>
    <t>El sistema debe generar la evidencia de cumplimiento de cadena de frío exigible ante la autoridad sanitaria y ante el cliente, para un envío determinado.</t>
  </si>
  <si>
    <t>El sistema debe programar y distribuir vía correo electrónico reportes ejecutivos consolidados (en formatos PDF y XLSX) con periodicidad semanal y mensual, desglosando la evolución de OTIF, Fill Rate, Merma por vencimiento y Costo de Servir por zona y canal de comercialización.</t>
  </si>
  <si>
    <t>Media / E2</t>
  </si>
  <si>
    <t>RF-11.02</t>
  </si>
  <si>
    <t>El sistema debe calcular el Costo de Servir real por entrega y por cliente, imputando los costos directos de transporte (combustible devengado vía GPS, peajes, tiempo de conducción y tiempo de descarga) y los costos indirectos prorrateados (bodega y administración).</t>
  </si>
  <si>
    <t>RF-11.03</t>
  </si>
  <si>
    <t>El sistema debe calcular diariamente el indicador OTIF por cliente, ruta, zona y total consolidado, definiendo «On-Time» como el cumplimiento de fecha y ventana horaria pactada e «In-Full» como la entrega del 100% de ítems y unidades pedidas, obligando al registro de causal tipificada ante desvíos.</t>
  </si>
  <si>
    <t>RF-11.04</t>
  </si>
  <si>
    <t>El sistema debe calcular automáticamente el Fill Rate (unidades entregadas vs. pedidas) y el índice de Perfect Order contrastando la orden de venta original contra los datos de entrega física confirmados en el dispositivo móvil de reparto, sin requerir interacción tecnológica del cliente tradicional.</t>
  </si>
  <si>
    <t>RF-11.05</t>
  </si>
  <si>
    <t>El sistema debe calcular diariamente la utilización de capacidad volumétrica (m^3) y de peso (kg) por viaje despachado, alertando aquellos camiones que salgan con una ocupación inferior al umbral configurable (ej. &lt; 65%).</t>
  </si>
  <si>
    <t>RF-11.06</t>
  </si>
  <si>
    <t>El sistema debe proveer un Tablero de Control Operacional en tiempo real que consolide el avance de rutas de despacho, porcentaje de entregas cumplidas, devoluciones en tránsito, alertas activas de cadena de frío y monto recaudado en efectivo.</t>
  </si>
  <si>
    <t>RF-11.07</t>
  </si>
  <si>
    <t>El sistema debe procesar automáticamente la liquidación y cierre comercial individual por camión al retornar a base, consolidando documentos tributarios entregados, devoluciones físicas recibidas, cobranzas en efectivo y balance de envases retornables.</t>
  </si>
  <si>
    <t>El sistema debe segmentar mensualmente la cartera de clientes en matrices de rentabilidad neta (margen comercial vs. costo de servir real), sugiriendo ajustes de frecuencia de visita o umbrales mínimos de compra para clientes no rentables.</t>
  </si>
  <si>
    <t>RF-12.01</t>
  </si>
  <si>
    <t>El sistema debe recibir el mensaje de pedido electrónico estructurado (EDI/EDIFACT/XML, según el estándar que exija cada cadena registrada del canal moderno).</t>
  </si>
  <si>
    <t>RF-12.02</t>
  </si>
  <si>
    <t>El sistema debe validar automáticamente el pedido EDI recibido, verificando estructura del mensaje, existencia del cliente, existencia de los productos, cantidades, precios y demás datos obligatorios de la cadena.</t>
  </si>
  <si>
    <t>CU-052, CU-054</t>
  </si>
  <si>
    <t>RF-12.03</t>
  </si>
  <si>
    <t>El sistema debe resolver el código de producto informado por la cadena contra el maestro de productos vigente de Puelche, mediante una tabla de equivalencias por cadena.</t>
  </si>
  <si>
    <t>RF-12.04</t>
  </si>
  <si>
    <t>El sistema debe registrar automáticamente, sin digitación manual, el pedido EDI válido (RF-12.02, RF-12.03) en el sistema de gestión empresarial.</t>
  </si>
  <si>
    <t>RF-12.05</t>
  </si>
  <si>
    <t>El sistema debe poner a disposición del proceso de planificación de rutas todo pedido registrado proveniente de un canal electrónico.</t>
  </si>
  <si>
    <t>El sistema debe permitir gestionar, mediante una bandeja de excepciones, los pedidos que no pasaron la validación (RF-12.02) o la resolución de maestro (RF-12.03), permitiendo corregir, rechazar o reprocesar cada uno.</t>
  </si>
  <si>
    <t>RF-12.07</t>
  </si>
  <si>
    <t>El sistema debe enviar a la cadena de origen una confirmación o rechazo del pedido, indicando la causa cuando no pueda ser aceptado completamente.</t>
  </si>
  <si>
    <t>RF-12.08</t>
  </si>
  <si>
    <t>El sistema debe mantener el historial de estados de cada pedido electrónico (recepción, validación, confirmación, preparación, despacho, ASN y prueba de entrega).</t>
  </si>
  <si>
    <t>RF-12.09</t>
  </si>
  <si>
    <t>El sistema debe generar y enviar al cliente del canal moderno un ASN cuando su pedido queda cargado en el camión, referenciando la guía de despacho electrónica ya emitida, con productos, cantidades y hora estimada de llegada.</t>
  </si>
  <si>
    <t>RF-12.10</t>
  </si>
  <si>
    <t>El sistema debe planificar la llegada del camión al cliente del canal moderno dentro de la ventana horaria de 30 minutos comprometida.</t>
  </si>
  <si>
    <t>RF-12.11</t>
  </si>
  <si>
    <t>El sistema debe registrar el cumplimiento o incumplimiento de la ventana de 30 minutos para cada entrega del canal moderno, distinguiéndola de la ventana crítica de despacho 05:30-07:00.</t>
  </si>
  <si>
    <t>RF-12.12</t>
  </si>
  <si>
    <t>El sistema debe capturar evidencia de entrega en el local del cliente: firma en pantalla del titular cuando pueda firmar, o fotografía de la mercadería más nombre de quien recibe cuando no sea el titular o no pueda firmar.</t>
  </si>
  <si>
    <t>RF-12.13</t>
  </si>
  <si>
    <t>El sistema debe enviar al cliente del canal moderno un acuse de recibo digital de la entrega, articulado con la guía de despacho electrónica y su acuse de recibo tributario.</t>
  </si>
  <si>
    <t>RF-12.14</t>
  </si>
  <si>
    <t>El sistema debe publicar un portal web público, sin autenticación, con el catálogo vigente de productos (sin precios ni stock), contacto comercial e información institucional.</t>
  </si>
  <si>
    <t>El portal autenticado de clientes debe permitir generar un pedido en autoservicio, validando el mismo crédito y stock que consulta el preventista.</t>
  </si>
  <si>
    <t>RF-12.16</t>
  </si>
  <si>
    <t>El portal de clientes debe permitir consultar el estado de sus entregas y la ventana de entrega comprometida.</t>
  </si>
  <si>
    <t>RF-12.17</t>
  </si>
  <si>
    <t>El portal de clientes debe permitir consultar y descargar sus documentos tributarios (factura, guía electrónica, nota de crédito).</t>
  </si>
  <si>
    <t>RF-12.18</t>
  </si>
  <si>
    <t>El portal de clientes debe permitir consultar el saldo y estado de cuenta del cliente autenticado, con datos del sistema de gestión.</t>
  </si>
  <si>
    <t>RF-12.19</t>
  </si>
  <si>
    <t>El portal de transportistas debe permitir consultar las rutas asignadas a la empresa para el día siguiente.</t>
  </si>
  <si>
    <t>RF-12.20</t>
  </si>
  <si>
    <t>El portal de transportistas debe permitir descargar la documentación de despacho de cada ruta asignada.</t>
  </si>
  <si>
    <t>RF-12.21</t>
  </si>
  <si>
    <t>El portal debe permitir confirmar, antes de la ventana de despacho, qué conductor y vehículo ejecutarán cada ruta asignada del día.</t>
  </si>
  <si>
    <t>RF-12.22</t>
  </si>
  <si>
    <t>El portal de proveedores debe permitir consultar, en modo de solo lectura, el estado de sus órdenes de compra.</t>
  </si>
  <si>
    <t>RF-12.23</t>
  </si>
  <si>
    <t>El portal de proveedores debe permitir consultar, en modo de solo lectura, las recepciones registradas para sus órdenes.</t>
  </si>
  <si>
    <t>RF-12.24</t>
  </si>
  <si>
    <t>El portal de proveedores debe permitir consultar, en modo de solo lectura, sus devoluciones y notas de crédito.</t>
  </si>
  <si>
    <t>El portal debe permitir al cliente del canal moderno registrarse con su RUT de empresa, correo electrónico corporativo y una contraseña, siempre que el RUT esté previamente habilitado en el sistema de gestión como cliente activo de Puelche.</t>
  </si>
  <si>
    <t>RF-12.26</t>
  </si>
  <si>
    <t>El portal debe permitir al cliente autenticarse con su correo y contraseña registrados.</t>
  </si>
  <si>
    <t>El portal debe permitir al cliente solicitar un enlace de restablecimiento de contraseña a su correo registrado cuando no recuerde su clave.</t>
  </si>
  <si>
    <t>RF-12.28</t>
  </si>
  <si>
    <t>El portal debe permitir al cliente cerrar su sesión de forma explícita, invalidando el token de sesión activo.</t>
  </si>
  <si>
    <t>RF-12.29</t>
  </si>
  <si>
    <t>El portal debe cerrar automáticamente la sesión del cliente tras un período de inactividad definido, sin requerir acción explícita de cierre.</t>
  </si>
  <si>
    <t>El portal debe permitir al cliente pagar los pedidos generados en autoservicio (RF-12.15) mediante la plataforma de pagos Transbank.</t>
  </si>
  <si>
    <t>El sistema debe integrarse con la plataforma de telemetría de terceros existente que cubre los camiones propios para consumir datos de posición GPS, velocidad y kilometraje.</t>
  </si>
  <si>
    <t>RF-14.02</t>
  </si>
  <si>
    <t>El sistema debe mostrar en el mapa las rutas planificadas vs las rutas reales recorridas por cada camión, para identificar desviaciones y optimizar las rutas futuras.</t>
  </si>
  <si>
    <t>RF-14.03</t>
  </si>
  <si>
    <t>El sistema debe generar una alerta cuando el camión se desvíe más de 3 km de la ruta planificada, para que el centro de control pueda reaccionar.</t>
  </si>
  <si>
    <t>RF-14.04</t>
  </si>
  <si>
    <t>El sistema debe integrar los datos de telemetría con el módulo de costo de servir, imputando kilómetros recorridos y tiempo de viaje a cada entrega y cliente.</t>
  </si>
  <si>
    <t>Crítica / E2</t>
  </si>
  <si>
    <t>RF-14.05</t>
  </si>
  <si>
    <t>El sistema debe registrar qué conductor propio o de transportista externo está asociado a cada camión en cada viaje, consumiendo la identidad validada por el mecanismo de autenticación (RF-15.02). Esta vinculación es necesaria para imputar responsabilidades en cobros, entregas y eventos de ruta, y para resolver la Decisión #5.</t>
  </si>
  <si>
    <t>El sistema debe permitir la gestión de geocercas zonas geográficas, para identificar cuándo un camión entra o sale de una zona ej: CD Talca, zona de clientes, para medir tiempos de llegada y salida.</t>
  </si>
  <si>
    <t>El sistema debe registrar en cada plataforma de cross-docking la lectura de las unidades logísticas al llegar el camión de línea y al cargarlas en el camión de reparto, con la hora de cada evento, y las excepciones (unidad faltante, sobrante o dañada) con su causa.</t>
  </si>
  <si>
    <t>RF-06.14</t>
  </si>
  <si>
    <t>El sistema debe enviar al ERP, para cada guía de despacho electrónica, la evidencia de recepción capturada en la entrega (firma, fotografía, nombre del receptor o confirmación QR) y recibir de vuelta el estado del acuse de recibo registrado por el ERP, conciliándolo con la guía.</t>
  </si>
  <si>
    <t>RF-06.06</t>
  </si>
  <si>
    <t>El sistema debe registrar la hora real de llegada y de término de cada entrega.</t>
  </si>
  <si>
    <t>RF-07.01</t>
  </si>
  <si>
    <t>El sistema debe calcular para cada camión y turno el monto esperado de rendición a partir de las entregas al contado confirmadas y de los cobros registrados en ruta.</t>
  </si>
  <si>
    <t>El sistema debe permitir parametrizar por tipo de producto la regla de excursión térmica (desviación y duración).</t>
  </si>
  <si>
    <t>RF-09.11</t>
  </si>
  <si>
    <t>El sistema debe registrar la salida de cámara y la carga de cada SSCC de frío, calcular su tiempo fuera de frío en el andén y bloquearlo si supera el máximo de su familia.</t>
  </si>
  <si>
    <t>RF-09.12</t>
  </si>
  <si>
    <t>El sistema debe registrar la bajada de cada SSCC de frío y habilitar su entrega solo con estado vigente: latido válido de menos de 30 s, manifiesto vigente, sin retención ni contradicción.</t>
  </si>
  <si>
    <t>RF-09.13</t>
  </si>
  <si>
    <t>El terminal debe retener el SSCC afectado ante crítica, contradicción o pérdida del enlace local con el camión, sin depender de red móvil ni satélite.</t>
  </si>
  <si>
    <t>CU-026, CU-044</t>
  </si>
  <si>
    <t>RF-09.14</t>
  </si>
  <si>
    <t>El sistema debe registrar la disposición del producto retenido: liberar, vender con descuento si es apto, devolver al proveedor, uso no alimentario autorizado o destrucción autorizada.</t>
  </si>
  <si>
    <t>RF-10.01</t>
  </si>
  <si>
    <t>El sistema debe sugerir la reposición de compras por SKU y proveedor a partir de la historia de ventas, con excepciones revisables.</t>
  </si>
  <si>
    <t>RF-10.02</t>
  </si>
  <si>
    <t>El sistema debe incorporar al cálculo de reposición las promociones comprometidas.</t>
  </si>
  <si>
    <t>RF-10.03</t>
  </si>
  <si>
    <t>El sistema debe traspasar la sugerencia aprobada al módulo de compras del ERP.</t>
  </si>
  <si>
    <t>CU-035, CU-069</t>
  </si>
  <si>
    <t>RF-13.01</t>
  </si>
  <si>
    <t>El PROPONENTE debe declarar la arquitectura lógica de la solución organizada en las 8 capas del modelo de referencia: Presentación, Borde y Exposición, Puerta de Enlace, Servicios de Negocio, Integración y Eventos, Datos, Seguridad Transversal y Observabilidad Transversal.</t>
  </si>
  <si>
    <t>Alta / E1 y E2</t>
  </si>
  <si>
    <t>Entregable o servicio</t>
  </si>
  <si>
    <t>Entregable de arquitectura. Exigencia considerada en T1 y diseño; no es objetivo ejecutable del software.</t>
  </si>
  <si>
    <t>RF-13.02</t>
  </si>
  <si>
    <t>El PROPONENTE debe presentar una tabla de emplazamiento que asigne cada componente de la solución a nube o a on-premise, justificando cada decisión según el criterio de emplazamiento (latencia, criticidad, volumen de datos, acoplamiento físico, elasticidad, regulación).</t>
  </si>
  <si>
    <t>Tabla de emplazamiento de la oferta. Trabajo de diseño, no caso de uso del producto.</t>
  </si>
  <si>
    <t>RF-13.03</t>
  </si>
  <si>
    <t>El PROPONENTE debe mantener un registro de decisiones de arquitectura (ADR) fechado, con la alternativa escogida, las alternativas descartadas y el criterio de decisión, actualizado durante toda la ejecución.</t>
  </si>
  <si>
    <t>Registro ADR de ingeniería. Incluido en diseño/sobrecarga; no nueva función de negocio.</t>
  </si>
  <si>
    <t>RF-13.04</t>
  </si>
  <si>
    <t>El PROPONENTE debe presentar un modelo de dominio del negocio del caso, con las entidades principales, sus relaciones y los eventos de negocio que las modifican.</t>
  </si>
  <si>
    <t>Modelo de dominio. Entregable de análisis/diseño, sin conteo independiente.</t>
  </si>
  <si>
    <t>El sistema debe permitir clasificar la información del CLIENTE por nivel de sensibilidad (pública, interna, confidencial, restringida), con controles diferenciados por nivel documentados en una matriz.</t>
  </si>
  <si>
    <t>RF-14.02-BTT</t>
  </si>
  <si>
    <t>El PROPONENTE debe mantener una matriz de controles de seguridad trazable a ISO/IEC 27001 e ISO/IEC 27002, indicando el control, su implementación concreta en la solución y la evidencia que lo acredita.</t>
  </si>
  <si>
    <t>Matriz de controles de seguridad. Entregable de diseño y aseguramiento; T11.</t>
  </si>
  <si>
    <t>RF-14.03-BTT</t>
  </si>
  <si>
    <t>El PROPONENTE debe declarar la superficie de exposición completa de la solución: cada nombre de dominio, puerto y servicio alcanzable desde fuera de la red del CLIENTE.</t>
  </si>
  <si>
    <t>Declaración de exposición. Entregable de arquitectura/seguridad; T11/T12.</t>
  </si>
  <si>
    <t>RF-14.04-BTT</t>
  </si>
  <si>
    <t>El PROPONENTE debe disponer de un plan de respuesta a incidentes de seguridad que defina clasificación, cadena de escalamiento, plazos, responsables y protocolo de comunicación al CLIENTE dentro de las 2 horas de detectado un incidente de severidad crítica.</t>
  </si>
  <si>
    <t>Plan de respuesta a incidentes. Servicio y documentación, fuera del tamaño funcional desarrollado.</t>
  </si>
  <si>
    <t>RF-14.05-BTT</t>
  </si>
  <si>
    <t>El sistema (o el equipo de seguridad del ADJUDICATARIO) debe notificar al CLIENTE cualquier brecha de seguridad o de datos personales dentro de las 24 horas de su detección, con informe preliminar, y entregar el análisis de causa raíz dentro de los 5 días hábiles siguientes.</t>
  </si>
  <si>
    <t>Notificación contractual de brechas por equipo de seguridad. Servicio, no nuevo producto.</t>
  </si>
  <si>
    <t>RF-15.01</t>
  </si>
  <si>
    <t>El sistema debe contar con una gestión de identidad centralizada, con federación mediante OpenID Connect y OAuth 2.1, o SAML 2.0 cuando la integración con el CLIENTE lo requiera, e integración con el directorio corporativo del CLIENTE por LDAP o equivalente en la nube.</t>
  </si>
  <si>
    <t>CU-063, CU-070, CU-083</t>
  </si>
  <si>
    <t>RF-15.02</t>
  </si>
  <si>
    <t>El sistema debe implementar inicio de sesión único para todos los módulos de la solución, con cierre de sesión propagado a todos ellos.</t>
  </si>
  <si>
    <t>RF-15.03</t>
  </si>
  <si>
    <t>El sistema debe exigir autenticación multifactor para personas usuarias administradoras, para todo acceso privilegiado y para todo acceso originado fuera de la red corporativa, soportando factores FIDO2 o claves de acceso.</t>
  </si>
  <si>
    <t>RF-15.04</t>
  </si>
  <si>
    <t>El sistema debe implementar control de acceso basado en roles, complementado con control basado en atributos donde el proceso lo exija, con matriz de segregación de funciones documentada y verificable.</t>
  </si>
  <si>
    <t>RF-15.05</t>
  </si>
  <si>
    <t>El sistema debe automatizar el aprovisionamiento y desaprovisionamiento de cuentas, ligado al ciclo de vida laboral, con baja efectiva en un plazo no superior a 24 horas desde la desvinculación.</t>
  </si>
  <si>
    <t>RF-16.01</t>
  </si>
  <si>
    <t>El sistema debe implementar observabilidad unificada para nube y on-premise, con métricas, registros y trazas distribuidas correlacionadas por un identificador único de transacción, instrumentadas conforme a OpenTelemetry.</t>
  </si>
  <si>
    <t>RF-16.02</t>
  </si>
  <si>
    <t>El CLIENTE debe disponer de acceso propio y permanente a los tableros operacionales y de negocio, con datos en tiempo real y capacidad de exportación.</t>
  </si>
  <si>
    <t>RF-16.03</t>
  </si>
  <si>
    <t>El sistema debe implementar alertamiento basado en síntomas de negocio y no sólo en umbrales de infraestructura, con supresión de ruido, agrupación, escalamiento automático y turnos de disponibilidad declarados.</t>
  </si>
  <si>
    <t>RF-16.04</t>
  </si>
  <si>
    <t>El sistema (o el equipo del ADJUDICATARIO) debe ejecutar un análisis de causa raíz obligatorio tras cada incidente crítico, con informe entregable dentro de cinco días hábiles y seguimiento de las acciones correctivas hasta su cierre.</t>
  </si>
  <si>
    <t>Análisis de causa raíz e informe de servicio. Actividad operativa; el soporte funcional se cubre en CU-084/085.</t>
  </si>
  <si>
    <t>RF-17.01</t>
  </si>
  <si>
    <t>El sistema debe disponer de un módulo de administración que permita al CLIENTE, sin intervención del ADJUDICATARIO, gestionar personas usuarias, roles, permisos, unidades organizacionales y sus jerarquías.</t>
  </si>
  <si>
    <t>CU-070, CU-071</t>
  </si>
  <si>
    <t>RF-17.02</t>
  </si>
  <si>
    <t>El sistema debe permitir parametrizar reglas de negocio (umbrales, plazos, montos, tolerancias, catálogos, listas de valores, textos de notificación) desde la interfaz de administración, con control de versiones y registro de quién cambió qué y cuándo.</t>
  </si>
  <si>
    <t>CU-072, CU-083</t>
  </si>
  <si>
    <t>RF-17.03</t>
  </si>
  <si>
    <t>El sistema debe requerir aprobación de un segundo perfil para todo cambio de parámetro con impacto operacional, quedando registrado con su justificación.</t>
  </si>
  <si>
    <t>RF-17.04</t>
  </si>
  <si>
    <t>El sistema debe registrar toda operación que cree, modifique o elimine información, con identificación de la persona o sistema que la ejecutó, fecha/hora con zona horaria, origen, valores anteriores y posteriores. El registro de auditoría debe ser inalterable y no modificable por ningún perfil.</t>
  </si>
  <si>
    <t>RF-17.05</t>
  </si>
  <si>
    <t>El CLIENTE debe poder consultar y exportar la auditoría desde la interfaz, con filtros por persona, período, entidad y tipo de operación, sin requerir acceso a la base de datos.</t>
  </si>
  <si>
    <t>El sistema debe soportar flujos de trabajo con estados, transiciones, responsables, plazos, escalamiento automático por vencimiento y delegación por ausencia, configurables por el CLIENTE sin desarrollo (al menos en responsables, plazos y niveles de aprobación).</t>
  </si>
  <si>
    <t>El sistema debe proveer una bandeja de tareas unificada para cada persona usuaria, donde se visualicen todas sus tareas pendientes (aprobaciones, revisiones, excepciones) con priorización y alerta de vencimiento.</t>
  </si>
  <si>
    <t>El sistema debe gestionar documentos con versionado, metadatos, control de acceso, búsqueda por contenido y por metadato, y previsualización sin descarga. Los documentos deben almacenarse cifrados con verificación de integridad.</t>
  </si>
  <si>
    <t>El sistema debe generar documentos a partir de plantillas administrables por el CLIENTE, con datos de la transacción y salida en formato abierto PDF, DOCX o XLSX.</t>
  </si>
  <si>
    <t>Media / E1 y E2</t>
  </si>
  <si>
    <t>RF-17.10</t>
  </si>
  <si>
    <t>El sistema debe enviar notificaciones por al menos tres canales: correo electrónico, notificación en la aplicación y SMS o mensajería instantánea, con plantillas administrables por el CLIENTE.</t>
  </si>
  <si>
    <t>RF-17.11</t>
  </si>
  <si>
    <t>El sistema debe disponer de búsqueda global con indexación de texto completo con tolerancia a errores de escritura, filtros facetados y respeto del control de acceso de la persona que busca.</t>
  </si>
  <si>
    <t>RF-17.12</t>
  </si>
  <si>
    <t>El sistema debe presentar listados ordenables, filtrables, paginados y exportables en formatos abiertos, con el filtro aplicado reflejado en la exportación.</t>
  </si>
  <si>
    <t>RF-17.13</t>
  </si>
  <si>
    <t>El sistema debe disponer de un portal público con la información que el caso determine (catálogo sin precios/stock, contacto, información institucional), accesible sin autenticación, con estándares de accesibilidad y desempeño.</t>
  </si>
  <si>
    <t>El sistema debe soportar firma electrónica conforme a la Ley N.º 19.799 (2002, art. 2, letra g, y arts. 3--5). La firma avanzada se aplica cuando corresponda según las exigencias legales y del CLIENTE. Se verifica la validez del certificado al firmar, cuando la modalidad lo requiera, y se genera sello de tiempo y conserva la evidencia de firma (Bases Técnicas Transversales, 2026, cap. 16, RT-16.17 y RT-16.18, p. 30).</t>
  </si>
  <si>
    <t>Cada persona usuaria debe poder configurar sus preferencias de canal (correo, SMS, notificación en app) y de frecuencia para las notificaciones, respetando las que el CLIENTE defina como obligatorias.</t>
  </si>
  <si>
    <t>RF-18.03</t>
  </si>
  <si>
    <t>El sistema debe enviar notificaciones de forma asíncrona, con reintento ante falla, control de duplicados y registro de entrega, apertura y error por cada mensaje.</t>
  </si>
  <si>
    <t>Desarrollo adicional definido en SD13 vigente; reutilizar módulos no elimina el objetivo nuevo.</t>
  </si>
  <si>
    <t>Crear paquete causal sanitizado desde terreno y admitirlo para diagnóstico, excluyendo datos prohibidos. Reproducir causa en recursos efímeros de QA o Preproducción y conservar solo escenario sintético tras cierre.</t>
  </si>
  <si>
    <t>CU-084, CU-085</t>
  </si>
  <si>
    <t>Criterios de estimación y fuentes</t>
  </si>
  <si>
    <t>Fecha de corte: 30/10/2026. Los flujos y las puntuaciones son propuestas de estimación revisables.</t>
  </si>
  <si>
    <t>Decisión adoptada</t>
  </si>
  <si>
    <t>Frontera</t>
  </si>
  <si>
    <t>Software operacional, apps, portales, reglas de borde, adaptadores y extensiones ofertadas. ERP, cadenas, fuentes físicas y proveedores de servicios quedan fuera.</t>
  </si>
  <si>
    <t>Granularidad</t>
  </si>
  <si>
    <t>Un caso representa un objetivo completo del actor. No se cuenta por pantalla, módulo, llamada interna ni cantidad de usuarios.</t>
  </si>
  <si>
    <t>Transacción</t>
  </si>
  <si>
    <t>Una fila es una ida y vuelta observable: acción del actor, procesamiento y respuesta. No se multiplica por líneas de pedido, productos o repeticiones.</t>
  </si>
  <si>
    <t>Flujos alternativos</t>
  </si>
  <si>
    <t>Solo se agregan si requieren una interacción nueva. Un error de validación o una respuesta sustitutiva no agrega por sí mismo otra transacción.</t>
  </si>
  <si>
    <t>Inclusiones</t>
  </si>
  <si>
    <t>Se cuentan aparte cuando tienen objetivo reutilizable propio. El caso consumidor no repite las transacciones del servicio incluido.</t>
  </si>
  <si>
    <t>Extensiones y abstractos</t>
  </si>
  <si>
    <t>Las extensiones quedan dentro del caso base cuando agregan interacciones. Los casos abstractos no se cuentan.</t>
  </si>
  <si>
    <t>Procesos periódicos</t>
  </si>
  <si>
    <t>Se cuenta un único actor simple, Planificador automático. No se cuentan por separado sus relojes ni servicios internos.</t>
  </si>
  <si>
    <t>Actores adicionales</t>
  </si>
  <si>
    <t>Se proponen abastecimiento y tres perfiles de INN-02. Los 15 roles humanos del SD3 se conservan. No se multiplican por personas, empresas o dispositivos.</t>
  </si>
  <si>
    <t>Convención de esfuerzo</t>
  </si>
  <si>
    <t>Lectura B del PDF, pp. 51–52: UCP × CF son horas de programación. Total de desarrollo = programación ÷ porcentaje de programación.</t>
  </si>
  <si>
    <t>Etapas E1 y E2</t>
  </si>
  <si>
    <t>La base compartida se construye una sola vez en E1; E2 añade sus objetivos. UAW se reparte proporcionalmente a UUCW solo para distribuir horas, sin volver a contar actores.</t>
  </si>
  <si>
    <t>Exclusiones de esfuerzo</t>
  </si>
  <si>
    <t>El resultado cubre desarrollo y su sobrecarga. Se estiman aparte migración/saneamiento, infraestructura/licencias, capacitación ejecutada, implantación, soporte, operación y reservas.</t>
  </si>
  <si>
    <t>Cambios y ampliaciones</t>
  </si>
  <si>
    <t>Cambie celdas amarillas. Añada transacciones dentro de la tabla: el conteo admite hasta fila 3000. Un nuevo CU requiere ID en Catálogo y fila correspondiente en UUCW (hasta fila 500).</t>
  </si>
  <si>
    <t>Versiones y discrepancias</t>
  </si>
  <si>
    <t>Se usan versiones de las ramas identificadas abajo. SD3 rige objetivos; SD4/5/6/7/8/9 y SD13 refinan comportamiento. El SD13 vigente sustituye la cartera preliminar de main.</t>
  </si>
  <si>
    <t>Comparación con EDT</t>
  </si>
  <si>
    <t>El T-15 contiene desarrollo, operación, implantación y reservas. Sus 220.023 HH contractuales no son comparables directamente con estas horas funcionales; no se fuerza una conciliación de ámbitos distintos.</t>
  </si>
  <si>
    <t>Tipo de actor</t>
  </si>
  <si>
    <t>Peso publicado</t>
  </si>
  <si>
    <t>Clase CU</t>
  </si>
  <si>
    <t>Desde</t>
  </si>
  <si>
    <t>Hasta</t>
  </si>
  <si>
    <t>Simple</t>
  </si>
  <si>
    <t>Medio</t>
  </si>
  <si>
    <t>Complejo</t>
  </si>
  <si>
    <t>Sin límite</t>
  </si>
  <si>
    <t>Constante</t>
  </si>
  <si>
    <t>Valor publicado</t>
  </si>
  <si>
    <t>Conversión</t>
  </si>
  <si>
    <t>Desfavorables</t>
  </si>
  <si>
    <t>h/UCP</t>
  </si>
  <si>
    <t>Base TCF</t>
  </si>
  <si>
    <t>Favorable: hasta</t>
  </si>
  <si>
    <t>Coeficiente TCF</t>
  </si>
  <si>
    <t>Exigente: hasta</t>
  </si>
  <si>
    <t>Base EF</t>
  </si>
  <si>
    <t>Replantear: desde</t>
  </si>
  <si>
    <t>Sin estimación</t>
  </si>
  <si>
    <t>Coeficiente EF</t>
  </si>
  <si>
    <t>Método: FEP03.26 - Estimación de Software, Moya, 2026, pp. 24–52 y 65–66.</t>
  </si>
  <si>
    <t>Documento</t>
  </si>
  <si>
    <t>Versión revisada</t>
  </si>
  <si>
    <t>Uso en la estimación</t>
  </si>
  <si>
    <t>Disponibilidad</t>
  </si>
  <si>
    <t>PDF de método</t>
  </si>
  <si>
    <t>FEP03.26 - Estimación de Software.pdf, pp. 24–52, 65–66</t>
  </si>
  <si>
    <t>PDF entregado por el usuario</t>
  </si>
  <si>
    <t>Reglas, pesos, factores, conversión y lectura B</t>
  </si>
  <si>
    <t>Disponible</t>
  </si>
  <si>
    <t>SD1</t>
  </si>
  <si>
    <t>contenido.tex, estructura y gobierno</t>
  </si>
  <si>
    <t>origin/LafroX-Subdoc1-LateX · ffa82f3</t>
  </si>
  <si>
    <t>Antecedentes del equipo y tecnología; no medición de productividad</t>
  </si>
  <si>
    <t>Desarrollado</t>
  </si>
  <si>
    <t>SD2</t>
  </si>
  <si>
    <t>contenido.tex y anexos</t>
  </si>
  <si>
    <t>LafroX-Subdoc2-LateX · 4c86e7f</t>
  </si>
  <si>
    <t>Necesidades, familias y restricciones operacionales</t>
  </si>
  <si>
    <t>SD3</t>
  </si>
  <si>
    <t>contenido.tex; tablas_anexo/rf_caso, rf_propios, rf_btt y actores_sistema</t>
  </si>
  <si>
    <t>LafroX-Subdoc3-LateX · 95238e4</t>
  </si>
  <si>
    <t>Base funcional: 180 requisitos y 15 roles humanos</t>
  </si>
  <si>
    <t>SD4</t>
  </si>
  <si>
    <t>04/partes/4.1_logica y anexos 4-H, 4-N; dimensionamiento</t>
  </si>
  <si>
    <t>subdoc-4 · 0dea169</t>
  </si>
  <si>
    <t>Integraciones, autoridades, frío local y continuidad</t>
  </si>
  <si>
    <t>SD5</t>
  </si>
  <si>
    <t>05_modelo_datos/contenido.tex y anexos</t>
  </si>
  <si>
    <t>LafroX-Subdoc5-LateX · 939be98</t>
  </si>
  <si>
    <t>Lote/SSCC, idempotencia, trazabilidad y datos</t>
  </si>
  <si>
    <t>SD6</t>
  </si>
  <si>
    <t>subdocumento_6/contenido.tex</t>
  </si>
  <si>
    <t>LafroX-Subdoc6-LateX · 7966b2e</t>
  </si>
  <si>
    <t>RUP iterativo, DevSecOps y métodos de gestión</t>
  </si>
  <si>
    <t>SD7</t>
  </si>
  <si>
    <t>formulario-t14 y formulario-t15/contenido.tex</t>
  </si>
  <si>
    <t>LafroX-Subdoc7-LateX · 3fd3b74</t>
  </si>
  <si>
    <t>Paquetes, etapas, construcción y ámbito contractual</t>
  </si>
  <si>
    <t>SD8</t>
  </si>
  <si>
    <t>08_plan_riesgos/contenido.tex</t>
  </si>
  <si>
    <t>Lafrox_Subdocumento_8_Latex_Nuevo · c1ca4bd</t>
  </si>
  <si>
    <t>Incertidumbre y reservas separadas de tamaño funcional</t>
  </si>
  <si>
    <t>SD9</t>
  </si>
  <si>
    <t>SD9_v_nueva/09_plan_calidad/contenido.tex</t>
  </si>
  <si>
    <t>LafroX-Subdoc9-LateX · a4e1c63</t>
  </si>
  <si>
    <t>Pruebas, aceptación y exigencias de producto</t>
  </si>
  <si>
    <t>SD10–SD12</t>
  </si>
  <si>
    <t>subdocumento-ejemplo/contenido.tex; ramas de cada SD</t>
  </si>
  <si>
    <t>origin/LafroX-Subdoc10/11/12-LateX</t>
  </si>
  <si>
    <t>Solo plantillas de ejemplo. Servicio, planes y roles se contrastan con SD3/4/6/7</t>
  </si>
  <si>
    <t>Sin contenido específico</t>
  </si>
  <si>
    <t>SD13</t>
  </si>
  <si>
    <t>SD13_v_nueva/13_innovaciones y 13_anexos/contenido.tex</t>
  </si>
  <si>
    <t>origin/LafroX-Subdoc13-LateX · d75e8d6</t>
  </si>
  <si>
    <t>INN-01 a INN-05; incluye desarrollo adicional</t>
  </si>
  <si>
    <t>SD14</t>
  </si>
  <si>
    <t>14_ventajas_beneficios_consolidacion/README.md</t>
  </si>
  <si>
    <t>main · a9691ef</t>
  </si>
  <si>
    <t>No hay contenido desarrollado localizable; sin objetivos nuevos atribuibles</t>
  </si>
  <si>
    <t>Bases</t>
  </si>
  <si>
    <t>Caso_02_Logistica; Bases Técnicas Transversales; aclaraciones</t>
  </si>
  <si>
    <t>Copias de main y subdoc-4</t>
  </si>
  <si>
    <t>Contraste de requisitos y límites; ERP único emisor</t>
  </si>
  <si>
    <t>Disponibles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</si>
</sst>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
    <numFmt numFmtId="166" formatCode="#,##0.0000"/>
    <numFmt numFmtId="167" formatCode="0.0%"/>
  </numFmts>
  <fonts count="8">
    <font>
      <sz val="11"/>
      <name val="Carlito"/>
    </font>
    <font>
      <sz val="10"/>
      <color rgb="FF243746"/>
      <name val="Arial"/>
    </font>
    <font>
      <b/>
      <sz val="16"/>
      <color rgb="FF243746"/>
      <name val="Arial"/>
    </font>
    <font>
      <i/>
      <sz val="10"/>
      <color rgb="FF637383"/>
      <name val="Arial"/>
    </font>
    <font>
      <b/>
      <sz val="10"/>
      <color rgb="FFFFFFFF"/>
      <name val="Arial"/>
    </font>
    <font>
      <sz val="10"/>
      <color rgb="FF7A4C00"/>
      <name val="Arial"/>
    </font>
    <font>
      <b/>
      <sz val="10"/>
      <color rgb="FF243746"/>
      <name val="Arial"/>
    </font>
    <font>
      <b/>
      <sz val="14"/>
      <color rgb="FF243746"/>
      <name val="Arial"/>
    </font>
  </fonts>
  <fills count="7">
    <fill>
      <patternFill patternType="none"/>
    </fill>
    <fill>
      <patternFill patternType="gray125"/>
    </fill>
    <fill>
      <patternFill patternType="solid">
        <fgColor rgb="FF243746"/>
      </patternFill>
    </fill>
    <fill>
      <patternFill patternType="solid">
        <fgColor rgb="FFFFF2CC"/>
      </patternFill>
    </fill>
    <fill>
      <patternFill patternType="solid">
        <fgColor rgb="FFFFFFFF"/>
      </patternFill>
    </fill>
    <fill>
      <patternFill patternType="solid">
        <fgColor rgb="FFEAF2F8"/>
      </patternFill>
    </fill>
    <fill>
      <patternFill patternType="solid">
        <fgColor rgb="FFEDF2F5"/>
      </patternFill>
    </fill>
  </fills>
  <borders count="5">
    <border>
      <left/>
      <right/>
      <top/>
      <bottom/>
      <diagonal/>
    </border>
    <border>
      <left/>
      <right/>
      <top/>
      <bottom style="thin">
        <color rgb="FFD36A24"/>
      </bottom>
      <diagonal/>
    </border>
    <border>
      <left/>
      <right style="thin">
        <color rgb="FFFFFFFF"/>
      </right>
      <top/>
      <bottom/>
      <diagonal/>
    </border>
    <border>
      <left style="thin">
        <color rgb="FFFFFFFF"/>
      </left>
      <right/>
      <top/>
      <bottom/>
      <diagonal/>
    </border>
    <border>
      <left style="thin">
        <color rgb="FFFFFFFF"/>
      </left>
      <right style="thin">
        <color rgb="FFFFFFFF"/>
      </right>
      <top/>
      <bottom/>
      <diagonal/>
    </border>
  </borders>
  <cellStyleXfs count="1">
    <xf numFmtId="0" fontId="0" fillId="0" borderId="0"/>
  </cellStyleXfs>
  <cellXfs count="38">
    <xf numFmtId="0" fontId="0" fillId="0" borderId="0" xfId="0"/>
    <xf numFmtId="0" fontId="1" fillId="0" borderId="0" xfId="0" applyFont="1" applyAlignment="1">
      <alignment vertical="center"/>
    </xf>
    <xf numFmtId="0" fontId="2" fillId="0" borderId="0" xfId="0" applyFont="1" applyAlignment="1">
      <alignment vertical="center"/>
    </xf>
    <xf numFmtId="0" fontId="1" fillId="0" borderId="1" xfId="0" applyFont="1" applyBorder="1" applyAlignment="1">
      <alignment vertical="center"/>
    </xf>
    <xf numFmtId="0" fontId="3" fillId="0" borderId="0" xfId="0" applyFont="1" applyAlignment="1">
      <alignment vertical="center"/>
    </xf>
    <xf numFmtId="0" fontId="4" fillId="2" borderId="0" xfId="0" applyFont="1" applyFill="1" applyAlignment="1">
      <alignment vertical="center"/>
    </xf>
    <xf numFmtId="0" fontId="4" fillId="2" borderId="0" xfId="0" applyFont="1" applyFill="1" applyAlignment="1">
      <alignment vertical="center" wrapText="1"/>
    </xf>
    <xf numFmtId="0" fontId="4" fillId="2" borderId="0" xfId="0" applyFont="1" applyFill="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1" fillId="0" borderId="0" xfId="0" applyFont="1" applyAlignment="1">
      <alignment vertical="center" wrapText="1"/>
    </xf>
    <xf numFmtId="0" fontId="4" fillId="2" borderId="4" xfId="0" applyFont="1" applyFill="1" applyBorder="1" applyAlignment="1">
      <alignment horizontal="center" vertical="center" wrapText="1"/>
    </xf>
    <xf numFmtId="2" fontId="1" fillId="0" borderId="0" xfId="0" applyNumberFormat="1" applyFont="1" applyAlignment="1">
      <alignment horizontal="right" vertical="center"/>
    </xf>
    <xf numFmtId="2" fontId="4" fillId="2" borderId="0" xfId="0" applyNumberFormat="1" applyFont="1" applyFill="1" applyAlignment="1">
      <alignment horizontal="right" vertical="center"/>
    </xf>
    <xf numFmtId="0" fontId="5" fillId="3" borderId="0" xfId="0" applyFont="1" applyFill="1" applyAlignment="1">
      <alignment vertical="center"/>
    </xf>
    <xf numFmtId="0" fontId="5" fillId="3" borderId="0" xfId="0" applyFont="1" applyFill="1" applyAlignment="1">
      <alignment vertical="center" wrapText="1"/>
    </xf>
    <xf numFmtId="3" fontId="5" fillId="4" borderId="0" xfId="0" applyNumberFormat="1" applyFont="1" applyFill="1" applyAlignment="1">
      <alignment horizontal="right" vertical="center"/>
    </xf>
    <xf numFmtId="3" fontId="5" fillId="3" borderId="0" xfId="0" applyNumberFormat="1" applyFont="1" applyFill="1" applyAlignment="1">
      <alignment horizontal="right" vertical="center"/>
    </xf>
    <xf numFmtId="3" fontId="1" fillId="0" borderId="0" xfId="0" applyNumberFormat="1" applyFont="1" applyAlignment="1">
      <alignment horizontal="right" vertical="center"/>
    </xf>
    <xf numFmtId="3" fontId="1" fillId="5" borderId="0" xfId="0" applyNumberFormat="1" applyFont="1" applyFill="1" applyAlignment="1">
      <alignment horizontal="right" vertical="center"/>
    </xf>
    <xf numFmtId="164" fontId="1" fillId="0" borderId="0" xfId="0" applyNumberFormat="1" applyFont="1" applyAlignment="1">
      <alignment horizontal="right" vertical="center"/>
    </xf>
    <xf numFmtId="164" fontId="1" fillId="5" borderId="0" xfId="0" applyNumberFormat="1" applyFont="1" applyFill="1" applyAlignment="1">
      <alignment horizontal="right" vertical="center"/>
    </xf>
    <xf numFmtId="165" fontId="1" fillId="0" borderId="0" xfId="0" applyNumberFormat="1" applyFont="1" applyAlignment="1">
      <alignment horizontal="right" vertical="center"/>
    </xf>
    <xf numFmtId="1" fontId="5" fillId="3" borderId="0" xfId="0" applyNumberFormat="1" applyFont="1" applyFill="1" applyAlignment="1">
      <alignment horizontal="right" vertical="center"/>
    </xf>
    <xf numFmtId="4" fontId="1" fillId="0" borderId="0" xfId="0" applyNumberFormat="1" applyFont="1" applyAlignment="1">
      <alignment horizontal="right" vertical="center"/>
    </xf>
    <xf numFmtId="0" fontId="6" fillId="6" borderId="0" xfId="0" applyFont="1" applyFill="1" applyAlignment="1">
      <alignment vertical="center"/>
    </xf>
    <xf numFmtId="4" fontId="6" fillId="6" borderId="0" xfId="0" applyNumberFormat="1" applyFont="1" applyFill="1" applyAlignment="1">
      <alignment horizontal="right" vertical="center"/>
    </xf>
    <xf numFmtId="0" fontId="6" fillId="6" borderId="0" xfId="0" applyFont="1" applyFill="1" applyAlignment="1">
      <alignment vertical="center" wrapText="1"/>
    </xf>
    <xf numFmtId="166" fontId="1" fillId="0" borderId="0" xfId="0" applyNumberFormat="1" applyFont="1" applyAlignment="1">
      <alignment horizontal="right" vertical="center"/>
    </xf>
    <xf numFmtId="166" fontId="6" fillId="6" borderId="0" xfId="0" applyNumberFormat="1" applyFont="1" applyFill="1" applyAlignment="1">
      <alignment horizontal="right" vertical="center"/>
    </xf>
    <xf numFmtId="4" fontId="1" fillId="5" borderId="0" xfId="0" applyNumberFormat="1" applyFont="1" applyFill="1" applyAlignment="1">
      <alignment horizontal="right" vertical="center"/>
    </xf>
    <xf numFmtId="1" fontId="1" fillId="0" borderId="0" xfId="0" applyNumberFormat="1" applyFont="1" applyAlignment="1">
      <alignment horizontal="right" vertical="center"/>
    </xf>
    <xf numFmtId="167" fontId="1" fillId="0" borderId="0" xfId="0" applyNumberFormat="1" applyFont="1" applyAlignment="1">
      <alignment horizontal="right" vertical="center"/>
    </xf>
    <xf numFmtId="167" fontId="5" fillId="3" borderId="0" xfId="0" applyNumberFormat="1" applyFont="1" applyFill="1" applyAlignment="1">
      <alignment horizontal="right" vertical="center"/>
    </xf>
    <xf numFmtId="167" fontId="6" fillId="6" borderId="0" xfId="0" applyNumberFormat="1" applyFont="1" applyFill="1" applyAlignment="1">
      <alignment horizontal="right" vertical="center"/>
    </xf>
    <xf numFmtId="4" fontId="7" fillId="6" borderId="0" xfId="0" applyNumberFormat="1" applyFont="1" applyFill="1" applyAlignment="1">
      <alignment horizontal="right" vertical="center"/>
    </xf>
    <xf numFmtId="9" fontId="1" fillId="0" borderId="0" xfId="0" applyNumberFormat="1" applyFont="1" applyAlignment="1">
      <alignment horizontal="right" vertical="center"/>
    </xf>
    <xf numFmtId="0" fontId="6" fillId="0" borderId="0" xfId="0" applyFont="1" applyAlignment="1">
      <alignment vertical="center"/>
    </xf>
  </cellXfs>
  <cellStyles count="1">
    <cellStyle name="Normal" xfId="0" builtinId="0"/>
  </cellStyles>
  <dxfs count="10">
    <dxf>
      <font>
        <b/>
        <color rgb="FFA12C26"/>
      </font>
      <fill>
        <patternFill patternType="solid">
          <bgColor rgb="FFFCE8E6"/>
        </patternFill>
      </fill>
    </dxf>
    <dxf>
      <font>
        <b/>
        <color rgb="FFA12C26"/>
      </font>
      <fill>
        <patternFill patternType="solid">
          <bgColor rgb="FFFCE8E6"/>
        </patternFill>
      </fill>
    </dxf>
    <dxf>
      <font>
        <b/>
        <color rgb="FFA12C26"/>
      </font>
      <fill>
        <patternFill patternType="solid">
          <bgColor rgb="FFFCE8E6"/>
        </patternFill>
      </fill>
    </dxf>
    <dxf>
      <font>
        <b/>
        <color rgb="FFA12C26"/>
      </font>
      <fill>
        <patternFill patternType="solid">
          <bgColor rgb="FFFCE8E6"/>
        </patternFill>
      </fill>
    </dxf>
    <dxf>
      <font>
        <b/>
        <color rgb="FFA12C26"/>
      </font>
      <fill>
        <patternFill patternType="solid">
          <bgColor rgb="FFFCE8E6"/>
        </patternFill>
      </fill>
    </dxf>
    <dxf>
      <font>
        <b/>
        <color rgb="FFA12C26"/>
      </font>
      <fill>
        <patternFill patternType="solid">
          <bgColor rgb="FFFCE8E6"/>
        </patternFill>
      </fill>
    </dxf>
    <dxf>
      <font>
        <b/>
        <color rgb="FFA12C26"/>
      </font>
      <fill>
        <patternFill patternType="solid">
          <bgColor rgb="FFFCE8E6"/>
        </patternFill>
      </fill>
    </dxf>
    <dxf>
      <font>
        <b/>
        <color rgb="FFA12C26"/>
      </font>
      <fill>
        <patternFill patternType="solid">
          <bgColor rgb="FFFCE8E6"/>
        </patternFill>
      </fill>
    </dxf>
    <dxf>
      <font>
        <b/>
        <color rgb="FFA12C26"/>
      </font>
      <fill>
        <patternFill patternType="solid">
          <bgColor rgb="FFFCE8E6"/>
        </patternFill>
      </fill>
    </dxf>
    <dxf>
      <font>
        <b/>
        <color rgb="FFA12C26"/>
      </font>
      <fill>
        <patternFill patternType="solid">
          <bgColor rgb="FFFCE8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atalogoCasos" displayName="CatalogoCasos" ref="A8:M99" totalsRowShown="0">
  <autoFilter ref="A8:M99" xr:uid="{00000000-0009-0000-0100-000002000000}"/>
  <tableColumns count="13">
    <tableColumn id="1" xr3:uid="{00000000-0010-0000-0000-000001000000}" name="ID caso"/>
    <tableColumn id="2" xr3:uid="{00000000-0010-0000-0000-000002000000}" name="Módulo"/>
    <tableColumn id="3" xr3:uid="{00000000-0010-0000-0000-000003000000}" name="Etapa"/>
    <tableColumn id="4" xr3:uid="{00000000-0010-0000-0000-000004000000}" name="Caso de uso"/>
    <tableColumn id="5" xr3:uid="{00000000-0010-0000-0000-000005000000}" name="Descripción y resultado"/>
    <tableColumn id="6" xr3:uid="{00000000-0010-0000-0000-000006000000}" name="Actores (ID)"/>
    <tableColumn id="7" xr3:uid="{00000000-0010-0000-0000-000007000000}" name="Incluir"/>
    <tableColumn id="8" xr3:uid="{00000000-0010-0000-0000-000008000000}" name="Principal"/>
    <tableColumn id="9" xr3:uid="{00000000-0010-0000-0000-000009000000}" name="Alternativo"/>
    <tableColumn id="10" xr3:uid="{00000000-0010-0000-0000-00000A000000}" name="Total tx"/>
    <tableColumn id="11" xr3:uid="{00000000-0010-0000-0000-00000B000000}" name="Requisitos / innovación"/>
    <tableColumn id="12" xr3:uid="{00000000-0010-0000-0000-00000C000000}" name="Fuente funcional"/>
    <tableColumn id="13" xr3:uid="{00000000-0010-0000-0000-00000D000000}" name="Control"/>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DetalleTx" displayName="DetalleTx" ref="A8:H398" totalsRowShown="0">
  <autoFilter ref="A8:H398" xr:uid="{00000000-0009-0000-0100-000001000000}"/>
  <tableColumns count="8">
    <tableColumn id="1" xr3:uid="{00000000-0010-0000-0100-000001000000}" name="ID transacción"/>
    <tableColumn id="2" xr3:uid="{00000000-0010-0000-0100-000002000000}" name="ID caso"/>
    <tableColumn id="3" xr3:uid="{00000000-0010-0000-0100-000003000000}" name="N.º"/>
    <tableColumn id="4" xr3:uid="{00000000-0010-0000-0100-000004000000}" name="Flujo"/>
    <tableColumn id="5" xr3:uid="{00000000-0010-0000-0100-000005000000}" name="Acción del actor"/>
    <tableColumn id="6" xr3:uid="{00000000-0010-0000-0100-000006000000}" name="Respuesta del sistema"/>
    <tableColumn id="7" xr3:uid="{00000000-0010-0000-0100-000007000000}" name="Contar"/>
    <tableColumn id="8" xr3:uid="{00000000-0010-0000-0100-000008000000}" name="Control"/>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ctores" displayName="Actores" ref="A8:J40" totalsRowShown="0">
  <autoFilter ref="A8:J40" xr:uid="{00000000-0009-0000-0100-000003000000}"/>
  <tableColumns count="10">
    <tableColumn id="1" xr3:uid="{00000000-0010-0000-0200-000001000000}" name="ID actor"/>
    <tableColumn id="2" xr3:uid="{00000000-0010-0000-0200-000002000000}" name="Actor"/>
    <tableColumn id="3" xr3:uid="{00000000-0010-0000-0200-000003000000}" name="Interfaz"/>
    <tableColumn id="4" xr3:uid="{00000000-0010-0000-0200-000004000000}" name="Clase"/>
    <tableColumn id="5" xr3:uid="{00000000-0010-0000-0200-000005000000}" name="Incluir"/>
    <tableColumn id="6" xr3:uid="{00000000-0010-0000-0200-000006000000}" name="Peso"/>
    <tableColumn id="7" xr3:uid="{00000000-0010-0000-0200-000007000000}" name="Aporte UAW"/>
    <tableColumn id="8" xr3:uid="{00000000-0010-0000-0200-000008000000}" name="Criterio de conteo"/>
    <tableColumn id="9" xr3:uid="{00000000-0010-0000-0200-000009000000}" name="Fuente"/>
    <tableColumn id="10" xr3:uid="{00000000-0010-0000-0200-00000A000000}" name="Control"/>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onderacionCU" displayName="PonderacionCU" ref="A8:I99" totalsRowShown="0">
  <autoFilter ref="A8:I99" xr:uid="{00000000-0009-0000-0100-000004000000}"/>
  <tableColumns count="9">
    <tableColumn id="1" xr3:uid="{00000000-0010-0000-0300-000001000000}" name="ID caso"/>
    <tableColumn id="2" xr3:uid="{00000000-0010-0000-0300-000002000000}" name="Caso de uso"/>
    <tableColumn id="3" xr3:uid="{00000000-0010-0000-0300-000003000000}" name="Etapa"/>
    <tableColumn id="4" xr3:uid="{00000000-0010-0000-0300-000004000000}" name="Incluir"/>
    <tableColumn id="5" xr3:uid="{00000000-0010-0000-0300-000005000000}" name="Transacciones"/>
    <tableColumn id="6" xr3:uid="{00000000-0010-0000-0300-000006000000}" name="Complejidad"/>
    <tableColumn id="7" xr3:uid="{00000000-0010-0000-0300-000007000000}" name="Peso"/>
    <tableColumn id="8" xr3:uid="{00000000-0010-0000-0300-000008000000}" name="Aporte UUCW"/>
    <tableColumn id="9" xr3:uid="{00000000-0010-0000-0300-000009000000}" name="Control"/>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ecnicos" displayName="Tecnicos" ref="A8:H21" totalsRowShown="0">
  <autoFilter ref="A8:H21" xr:uid="{00000000-0009-0000-0100-000005000000}"/>
  <tableColumns count="8">
    <tableColumn id="1" xr3:uid="{00000000-0010-0000-0400-000001000000}" name="ID"/>
    <tableColumn id="2" xr3:uid="{00000000-0010-0000-0400-000002000000}" name="Factor técnico"/>
    <tableColumn id="3" xr3:uid="{00000000-0010-0000-0400-000003000000}" name="Peso"/>
    <tableColumn id="4" xr3:uid="{00000000-0010-0000-0400-000004000000}" name="Puntuación"/>
    <tableColumn id="5" xr3:uid="{00000000-0010-0000-0400-000005000000}" name="Peso × valor"/>
    <tableColumn id="6" xr3:uid="{00000000-0010-0000-0400-000006000000}" name="Justificación propuesta"/>
    <tableColumn id="7" xr3:uid="{00000000-0010-0000-0400-000007000000}" name="Referencia"/>
    <tableColumn id="8" xr3:uid="{00000000-0010-0000-0400-000008000000}" name="Control"/>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mbiente" displayName="Ambiente" ref="A8:I16" totalsRowShown="0">
  <autoFilter ref="A8:I16" xr:uid="{00000000-0009-0000-0100-000006000000}"/>
  <tableColumns count="9">
    <tableColumn id="1" xr3:uid="{00000000-0010-0000-0500-000001000000}" name="ID"/>
    <tableColumn id="2" xr3:uid="{00000000-0010-0000-0500-000002000000}" name="Factor de ambiente"/>
    <tableColumn id="3" xr3:uid="{00000000-0010-0000-0500-000003000000}" name="Peso"/>
    <tableColumn id="4" xr3:uid="{00000000-0010-0000-0500-000004000000}" name="Puntuación"/>
    <tableColumn id="5" xr3:uid="{00000000-0010-0000-0500-000005000000}" name="Peso × valor"/>
    <tableColumn id="6" xr3:uid="{00000000-0010-0000-0500-000006000000}" name="Justificación propuesta"/>
    <tableColumn id="7" xr3:uid="{00000000-0010-0000-0500-000007000000}" name="Referencia"/>
    <tableColumn id="8" xr3:uid="{00000000-0010-0000-0500-000008000000}" name="Desfavorable"/>
    <tableColumn id="9" xr3:uid="{00000000-0010-0000-0500-000009000000}" name="Control"/>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razabilidad" displayName="Trazabilidad" ref="A8:G193" totalsRowShown="0">
  <autoFilter ref="A8:G193" xr:uid="{00000000-0009-0000-0100-000007000000}"/>
  <tableColumns count="7">
    <tableColumn id="1" xr3:uid="{00000000-0010-0000-0600-000001000000}" name="ID fuente"/>
    <tableColumn id="2" xr3:uid="{00000000-0010-0000-0600-000002000000}" name="Requisito u objetivo"/>
    <tableColumn id="3" xr3:uid="{00000000-0010-0000-0600-000003000000}" name="Prioridad / etapa"/>
    <tableColumn id="4" xr3:uid="{00000000-0010-0000-0600-000004000000}" name="Casos de uso"/>
    <tableColumn id="5" xr3:uid="{00000000-0010-0000-0600-000005000000}" name="Tratamiento"/>
    <tableColumn id="6" xr3:uid="{00000000-0010-0000-0600-000006000000}" name="Estado de selección"/>
    <tableColumn id="7" xr3:uid="{00000000-0010-0000-0600-000007000000}" name="Fundamento"/>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43746"/>
  </sheetPr>
  <dimension ref="A1:G34"/>
  <sheetViews>
    <sheetView showGridLines="0" tabSelected="1" zoomScale="85" zoomScaleNormal="85" workbookViewId="0"/>
  </sheetViews>
  <sheetFormatPr baseColWidth="10" defaultColWidth="8.796875" defaultRowHeight="13.8"/>
  <cols>
    <col min="1" max="1" width="42" customWidth="1"/>
    <col min="2" max="2" width="23" customWidth="1"/>
    <col min="3" max="3" width="37" customWidth="1"/>
    <col min="4" max="4" width="4" customWidth="1"/>
    <col min="5" max="5" width="34" customWidth="1"/>
    <col min="6" max="6" width="21" customWidth="1"/>
    <col min="7" max="7" width="22" customWidth="1"/>
  </cols>
  <sheetData>
    <row r="1" spans="1:7" ht="21" customHeight="1">
      <c r="A1" s="1"/>
      <c r="B1" s="1"/>
      <c r="C1" s="1"/>
      <c r="D1" s="1"/>
      <c r="E1" s="1"/>
      <c r="F1" s="1"/>
      <c r="G1" s="1"/>
    </row>
    <row r="2" spans="1:7" ht="21" customHeight="1">
      <c r="A2" s="2" t="s">
        <v>0</v>
      </c>
      <c r="B2" s="1"/>
      <c r="C2" s="1"/>
      <c r="D2" s="1"/>
      <c r="E2" s="1"/>
      <c r="F2" s="1"/>
      <c r="G2" s="1"/>
    </row>
    <row r="3" spans="1:7" ht="21" customHeight="1">
      <c r="A3" s="3"/>
      <c r="B3" s="3"/>
      <c r="C3" s="3"/>
      <c r="D3" s="3"/>
      <c r="E3" s="3"/>
      <c r="F3" s="3"/>
      <c r="G3" s="3"/>
    </row>
    <row r="4" spans="1:7" ht="21" customHeight="1">
      <c r="A4" s="4" t="s">
        <v>1</v>
      </c>
      <c r="B4" s="1"/>
      <c r="C4" s="1"/>
      <c r="D4" s="1"/>
      <c r="E4" s="1"/>
      <c r="F4" s="1"/>
      <c r="G4" s="1"/>
    </row>
    <row r="5" spans="1:7" ht="21" customHeight="1">
      <c r="A5" s="1"/>
      <c r="B5" s="1"/>
      <c r="C5" s="1"/>
      <c r="D5" s="1"/>
      <c r="E5" s="1"/>
      <c r="F5" s="1"/>
      <c r="G5" s="1"/>
    </row>
    <row r="6" spans="1:7" ht="21" customHeight="1">
      <c r="A6" s="1"/>
      <c r="B6" s="1"/>
      <c r="C6" s="1"/>
      <c r="D6" s="1"/>
      <c r="E6" s="1"/>
      <c r="F6" s="1"/>
      <c r="G6" s="1"/>
    </row>
    <row r="7" spans="1:7" ht="21" customHeight="1">
      <c r="A7" s="1"/>
      <c r="B7" s="1"/>
      <c r="C7" s="1"/>
      <c r="D7" s="1"/>
      <c r="E7" s="1"/>
      <c r="F7" s="1"/>
      <c r="G7" s="1"/>
    </row>
    <row r="8" spans="1:7" ht="31.95" customHeight="1">
      <c r="A8" s="8" t="s">
        <v>2</v>
      </c>
      <c r="B8" s="11" t="s">
        <v>3</v>
      </c>
      <c r="C8" s="9" t="s">
        <v>4</v>
      </c>
      <c r="D8" s="1"/>
      <c r="E8" s="7" t="s">
        <v>5</v>
      </c>
      <c r="F8" s="7" t="s">
        <v>6</v>
      </c>
      <c r="G8" s="7" t="s">
        <v>7</v>
      </c>
    </row>
    <row r="9" spans="1:7" ht="28.95" customHeight="1">
      <c r="A9" s="1" t="s">
        <v>8</v>
      </c>
      <c r="B9" s="18">
        <f>SUM('Actores UAW'!$E$9:$E$100)</f>
        <v>32</v>
      </c>
      <c r="C9" s="10" t="s">
        <v>9</v>
      </c>
      <c r="D9" s="1"/>
      <c r="E9" s="1" t="str">
        <f>Esfuerzo!A20</f>
        <v>Análisis</v>
      </c>
      <c r="F9" s="36">
        <f>Esfuerzo!B20</f>
        <v>0.1</v>
      </c>
      <c r="G9" s="24">
        <f>Esfuerzo!C20</f>
        <v>4749.3906249999982</v>
      </c>
    </row>
    <row r="10" spans="1:7" ht="28.95" customHeight="1">
      <c r="A10" s="1" t="s">
        <v>10</v>
      </c>
      <c r="B10" s="18">
        <f>COUNTIF('Catalogo CU'!$G$9:$G$500,1)</f>
        <v>91</v>
      </c>
      <c r="C10" s="10" t="s">
        <v>11</v>
      </c>
      <c r="D10" s="1"/>
      <c r="E10" s="1" t="str">
        <f>Esfuerzo!A21</f>
        <v>Diseño</v>
      </c>
      <c r="F10" s="36">
        <f>Esfuerzo!B21</f>
        <v>0.2</v>
      </c>
      <c r="G10" s="24">
        <f>Esfuerzo!C21</f>
        <v>9498.7812499999964</v>
      </c>
    </row>
    <row r="11" spans="1:7" ht="28.95" customHeight="1">
      <c r="A11" s="1" t="s">
        <v>12</v>
      </c>
      <c r="B11" s="18">
        <f>SUMIFS('Catalogo CU'!$J$9:$J$500,'Catalogo CU'!$G$9:$G$500,1)</f>
        <v>390</v>
      </c>
      <c r="C11" s="10" t="s">
        <v>13</v>
      </c>
      <c r="D11" s="1"/>
      <c r="E11" s="1" t="str">
        <f>Esfuerzo!A22</f>
        <v>Programación</v>
      </c>
      <c r="F11" s="36">
        <f>Esfuerzo!B22</f>
        <v>0.4</v>
      </c>
      <c r="G11" s="24">
        <f>Esfuerzo!C22</f>
        <v>18997.562499999993</v>
      </c>
    </row>
    <row r="12" spans="1:7" ht="28.95" customHeight="1">
      <c r="A12" s="1" t="s">
        <v>14</v>
      </c>
      <c r="B12" s="18">
        <f>'Actores UAW'!B5</f>
        <v>75</v>
      </c>
      <c r="C12" s="10" t="s">
        <v>15</v>
      </c>
      <c r="D12" s="1"/>
      <c r="E12" s="1" t="str">
        <f>Esfuerzo!A23</f>
        <v>Pruebas</v>
      </c>
      <c r="F12" s="36">
        <f>Esfuerzo!B23</f>
        <v>0.15</v>
      </c>
      <c r="G12" s="24">
        <f>Esfuerzo!C23</f>
        <v>7124.0859374999964</v>
      </c>
    </row>
    <row r="13" spans="1:7" ht="28.95" customHeight="1">
      <c r="A13" s="1" t="s">
        <v>16</v>
      </c>
      <c r="B13" s="18">
        <f>'Casos UUCW'!B5</f>
        <v>790</v>
      </c>
      <c r="C13" s="10" t="s">
        <v>15</v>
      </c>
      <c r="D13" s="1"/>
      <c r="E13" s="1" t="str">
        <f>Esfuerzo!A24</f>
        <v>Sobrecarga</v>
      </c>
      <c r="F13" s="36">
        <f>Esfuerzo!B24</f>
        <v>0.15</v>
      </c>
      <c r="G13" s="24">
        <f>Esfuerzo!C24</f>
        <v>7124.0859374999964</v>
      </c>
    </row>
    <row r="14" spans="1:7" ht="28.95" customHeight="1">
      <c r="A14" s="1" t="s">
        <v>17</v>
      </c>
      <c r="B14" s="18">
        <f>'Puntos sin ajustar'!B11</f>
        <v>865</v>
      </c>
      <c r="C14" s="10" t="s">
        <v>15</v>
      </c>
      <c r="D14" s="1"/>
      <c r="E14" s="1"/>
      <c r="F14" s="1"/>
      <c r="G14" s="1"/>
    </row>
    <row r="15" spans="1:7" ht="28.95" customHeight="1">
      <c r="A15" s="1" t="s">
        <v>18</v>
      </c>
      <c r="B15" s="20">
        <f>'Factores tecnicos'!B5</f>
        <v>1.2549999999999999</v>
      </c>
      <c r="C15" s="10" t="s">
        <v>19</v>
      </c>
      <c r="D15" s="1"/>
      <c r="E15" s="1"/>
      <c r="F15" s="1"/>
      <c r="G15" s="1"/>
    </row>
    <row r="16" spans="1:7" ht="31.95" customHeight="1">
      <c r="A16" s="1" t="s">
        <v>20</v>
      </c>
      <c r="B16" s="20">
        <f>'Factores ambiente'!B5</f>
        <v>0.87499999999999989</v>
      </c>
      <c r="C16" s="10" t="s">
        <v>19</v>
      </c>
      <c r="D16" s="1"/>
      <c r="E16" s="7" t="s">
        <v>21</v>
      </c>
      <c r="F16" s="7" t="s">
        <v>22</v>
      </c>
      <c r="G16" s="7" t="s">
        <v>7</v>
      </c>
    </row>
    <row r="17" spans="1:7" ht="28.95" customHeight="1">
      <c r="A17" s="1" t="s">
        <v>23</v>
      </c>
      <c r="B17" s="24">
        <f>'Puntos ajustados'!B12</f>
        <v>949.87812499999973</v>
      </c>
      <c r="C17" s="10" t="s">
        <v>24</v>
      </c>
      <c r="D17" s="1"/>
      <c r="E17" s="1" t="s">
        <v>25</v>
      </c>
      <c r="F17" s="18">
        <f>'Puntos sin ajustar'!C10</f>
        <v>630</v>
      </c>
      <c r="G17" s="24">
        <f>Esfuerzo!D14</f>
        <v>37874.887262658216</v>
      </c>
    </row>
    <row r="18" spans="1:7" ht="28.95" customHeight="1">
      <c r="A18" s="1" t="s">
        <v>26</v>
      </c>
      <c r="B18" s="24">
        <f>Esfuerzo!B11</f>
        <v>20</v>
      </c>
      <c r="C18" s="10" t="s">
        <v>27</v>
      </c>
      <c r="D18" s="1"/>
      <c r="E18" s="1" t="s">
        <v>28</v>
      </c>
      <c r="F18" s="18">
        <f>'Puntos sin ajustar'!D10</f>
        <v>160</v>
      </c>
      <c r="G18" s="24">
        <f>Esfuerzo!E14</f>
        <v>9619.0189873417694</v>
      </c>
    </row>
    <row r="19" spans="1:7" ht="28.95" customHeight="1">
      <c r="A19" s="1" t="s">
        <v>29</v>
      </c>
      <c r="B19" s="24">
        <f>Esfuerzo!B12</f>
        <v>18997.562499999993</v>
      </c>
      <c r="C19" s="10" t="s">
        <v>30</v>
      </c>
      <c r="D19" s="1"/>
      <c r="E19" s="1"/>
      <c r="F19" s="1"/>
      <c r="G19" s="1"/>
    </row>
    <row r="20" spans="1:7" ht="28.95" customHeight="1">
      <c r="A20" s="25" t="s">
        <v>31</v>
      </c>
      <c r="B20" s="35">
        <f>Esfuerzo!B14</f>
        <v>47493.906249999978</v>
      </c>
      <c r="C20" s="27" t="s">
        <v>32</v>
      </c>
      <c r="D20" s="1"/>
      <c r="E20" s="1"/>
      <c r="F20" s="1"/>
      <c r="G20" s="1"/>
    </row>
    <row r="21" spans="1:7" ht="21" customHeight="1">
      <c r="A21" s="1"/>
      <c r="B21" s="1"/>
      <c r="C21" s="1"/>
      <c r="D21" s="1"/>
      <c r="E21" s="1"/>
      <c r="F21" s="1"/>
      <c r="G21" s="1"/>
    </row>
    <row r="22" spans="1:7" ht="21" customHeight="1">
      <c r="A22" s="1"/>
      <c r="B22" s="1"/>
      <c r="C22" s="1"/>
      <c r="D22" s="1"/>
      <c r="E22" s="1"/>
      <c r="F22" s="1"/>
      <c r="G22" s="1"/>
    </row>
    <row r="23" spans="1:7" ht="21" customHeight="1">
      <c r="A23" s="37" t="s">
        <v>33</v>
      </c>
      <c r="B23" s="1"/>
      <c r="C23" s="1"/>
      <c r="D23" s="1"/>
      <c r="E23" s="1"/>
      <c r="F23" s="1"/>
      <c r="G23" s="1"/>
    </row>
    <row r="24" spans="1:7" ht="21" customHeight="1">
      <c r="A24" s="1" t="s">
        <v>34</v>
      </c>
      <c r="B24" s="1"/>
      <c r="C24" s="1"/>
      <c r="D24" s="1"/>
      <c r="E24" s="1"/>
      <c r="F24" s="1"/>
      <c r="G24" s="1"/>
    </row>
    <row r="25" spans="1:7" ht="21" customHeight="1">
      <c r="A25" s="1" t="s">
        <v>35</v>
      </c>
      <c r="B25" s="1"/>
      <c r="C25" s="1"/>
      <c r="D25" s="1"/>
      <c r="E25" s="1"/>
      <c r="F25" s="1"/>
      <c r="G25" s="1"/>
    </row>
    <row r="26" spans="1:7" ht="21" customHeight="1">
      <c r="A26" s="1" t="s">
        <v>36</v>
      </c>
      <c r="B26" s="1"/>
      <c r="C26" s="1"/>
      <c r="D26" s="1"/>
      <c r="E26" s="1"/>
      <c r="F26" s="1"/>
      <c r="G26" s="1"/>
    </row>
    <row r="27" spans="1:7" ht="21" customHeight="1">
      <c r="A27" s="1" t="s">
        <v>37</v>
      </c>
      <c r="B27" s="1"/>
      <c r="C27" s="1"/>
      <c r="D27" s="1"/>
      <c r="E27" s="1"/>
      <c r="F27" s="1"/>
      <c r="G27" s="1"/>
    </row>
    <row r="28" spans="1:7" ht="21" customHeight="1">
      <c r="A28" s="1"/>
      <c r="B28" s="1"/>
      <c r="C28" s="1"/>
      <c r="D28" s="1"/>
      <c r="E28" s="1"/>
      <c r="F28" s="1"/>
      <c r="G28" s="1"/>
    </row>
    <row r="29" spans="1:7" ht="21" customHeight="1">
      <c r="A29" s="1" t="s">
        <v>38</v>
      </c>
      <c r="B29" s="1" t="str">
        <f>Esfuerzo!B15</f>
        <v>Calculado con valores propuestos</v>
      </c>
      <c r="C29" s="1"/>
      <c r="D29" s="1"/>
      <c r="E29" s="1"/>
      <c r="F29" s="1"/>
      <c r="G29" s="1"/>
    </row>
    <row r="30" spans="1:7" ht="21" customHeight="1">
      <c r="A30" s="1"/>
      <c r="B30" s="1"/>
      <c r="C30" s="1"/>
      <c r="D30" s="1"/>
      <c r="E30" s="1"/>
      <c r="F30" s="1"/>
      <c r="G30" s="1"/>
    </row>
    <row r="31" spans="1:7" ht="21" customHeight="1">
      <c r="A31" s="1" t="s">
        <v>39</v>
      </c>
      <c r="B31" s="1"/>
      <c r="C31" s="1"/>
      <c r="D31" s="1"/>
      <c r="E31" s="1"/>
      <c r="F31" s="1"/>
      <c r="G31" s="1"/>
    </row>
    <row r="32" spans="1:7" ht="21" customHeight="1">
      <c r="A32" s="1"/>
      <c r="B32" s="1"/>
      <c r="C32" s="1"/>
      <c r="D32" s="1"/>
      <c r="E32" s="1"/>
      <c r="F32" s="1"/>
      <c r="G32" s="1"/>
    </row>
    <row r="33" spans="1:7" ht="21" customHeight="1">
      <c r="A33" s="1" t="s">
        <v>40</v>
      </c>
      <c r="B33" s="1"/>
      <c r="C33" s="1"/>
      <c r="D33" s="1"/>
      <c r="E33" s="1"/>
      <c r="F33" s="1"/>
      <c r="G33" s="1"/>
    </row>
    <row r="34" spans="1:7" ht="21" customHeight="1">
      <c r="A34" s="1"/>
      <c r="B34" s="1"/>
      <c r="C34" s="1"/>
      <c r="D34" s="1"/>
      <c r="E34" s="1"/>
      <c r="F34" s="1"/>
      <c r="G34" s="1"/>
    </row>
  </sheetData>
  <conditionalFormatting sqref="B20">
    <cfRule type="expression" dxfId="9" priority="1">
      <formula>NOT(ISNUMBER($B$20))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36A24"/>
  </sheetPr>
  <dimension ref="A1:M99"/>
  <sheetViews>
    <sheetView showGridLines="0" workbookViewId="0">
      <pane xSplit="1" ySplit="8" topLeftCell="B9" activePane="bottomRight" state="frozen"/>
      <selection pane="topRight"/>
      <selection pane="bottomLeft"/>
      <selection pane="bottomRight" activeCell="B9" sqref="B9"/>
    </sheetView>
  </sheetViews>
  <sheetFormatPr baseColWidth="10" defaultColWidth="8.796875" defaultRowHeight="13.8"/>
  <cols>
    <col min="1" max="1" width="13" customWidth="1"/>
    <col min="2" max="2" width="23" customWidth="1"/>
    <col min="3" max="3" width="9" customWidth="1"/>
    <col min="4" max="4" width="43" customWidth="1"/>
    <col min="5" max="5" width="78" customWidth="1"/>
    <col min="6" max="6" width="28" customWidth="1"/>
    <col min="7" max="7" width="9" customWidth="1"/>
    <col min="8" max="8" width="11" customWidth="1"/>
    <col min="9" max="9" width="12" customWidth="1"/>
    <col min="10" max="10" width="11" customWidth="1"/>
    <col min="11" max="11" width="39" customWidth="1"/>
    <col min="12" max="12" width="40" customWidth="1"/>
    <col min="13" max="13" width="27" customWidth="1"/>
  </cols>
  <sheetData>
    <row r="1" spans="1:13" ht="21" customHeight="1">
      <c r="A1" s="1"/>
      <c r="B1" s="1"/>
      <c r="C1" s="1"/>
      <c r="D1" s="1"/>
      <c r="E1" s="1"/>
      <c r="F1" s="1"/>
      <c r="G1" s="1"/>
      <c r="H1" s="1"/>
      <c r="I1" s="1"/>
      <c r="J1" s="1"/>
      <c r="K1" s="1"/>
      <c r="L1" s="1"/>
      <c r="M1" s="1"/>
    </row>
    <row r="2" spans="1:13" ht="21" customHeight="1">
      <c r="A2" s="2" t="s">
        <v>41</v>
      </c>
      <c r="B2" s="1"/>
      <c r="C2" s="1"/>
      <c r="D2" s="1"/>
      <c r="E2" s="1"/>
      <c r="F2" s="1"/>
      <c r="G2" s="1"/>
      <c r="H2" s="1"/>
      <c r="I2" s="1"/>
      <c r="J2" s="1"/>
      <c r="K2" s="1"/>
      <c r="L2" s="1"/>
      <c r="M2" s="1"/>
    </row>
    <row r="3" spans="1:13" ht="21" customHeight="1">
      <c r="A3" s="3"/>
      <c r="B3" s="3"/>
      <c r="C3" s="3"/>
      <c r="D3" s="3"/>
      <c r="E3" s="3"/>
      <c r="F3" s="3"/>
      <c r="G3" s="3"/>
      <c r="H3" s="3"/>
      <c r="I3" s="3"/>
      <c r="J3" s="3"/>
      <c r="K3" s="3"/>
      <c r="L3" s="3"/>
      <c r="M3" s="3"/>
    </row>
    <row r="4" spans="1:13" ht="21" customHeight="1">
      <c r="A4" s="4" t="s">
        <v>42</v>
      </c>
      <c r="B4" s="1"/>
      <c r="C4" s="1"/>
      <c r="D4" s="1"/>
      <c r="E4" s="1"/>
      <c r="F4" s="1"/>
      <c r="G4" s="1"/>
      <c r="H4" s="1"/>
      <c r="I4" s="1"/>
      <c r="J4" s="1"/>
      <c r="K4" s="1"/>
      <c r="L4" s="1"/>
      <c r="M4" s="1"/>
    </row>
    <row r="5" spans="1:13" ht="21" customHeight="1">
      <c r="A5" s="1"/>
      <c r="B5" s="1"/>
      <c r="C5" s="1"/>
      <c r="D5" s="1"/>
      <c r="E5" s="1"/>
      <c r="F5" s="1"/>
      <c r="G5" s="1"/>
      <c r="H5" s="1"/>
      <c r="I5" s="1"/>
      <c r="J5" s="1"/>
      <c r="K5" s="1"/>
      <c r="L5" s="1"/>
      <c r="M5" s="1"/>
    </row>
    <row r="6" spans="1:13" ht="21" customHeight="1">
      <c r="A6" s="1"/>
      <c r="B6" s="1"/>
      <c r="C6" s="1"/>
      <c r="D6" s="1"/>
      <c r="E6" s="1"/>
      <c r="F6" s="1"/>
      <c r="G6" s="1"/>
      <c r="H6" s="1"/>
      <c r="I6" s="1"/>
      <c r="J6" s="1"/>
      <c r="K6" s="1"/>
      <c r="L6" s="1"/>
      <c r="M6" s="1"/>
    </row>
    <row r="7" spans="1:13" ht="21" customHeight="1">
      <c r="A7" s="1"/>
      <c r="B7" s="1"/>
      <c r="C7" s="1"/>
      <c r="D7" s="1"/>
      <c r="E7" s="1"/>
      <c r="F7" s="1"/>
      <c r="G7" s="1"/>
      <c r="H7" s="1"/>
      <c r="I7" s="1"/>
      <c r="J7" s="1"/>
      <c r="K7" s="1"/>
      <c r="L7" s="1"/>
      <c r="M7" s="1"/>
    </row>
    <row r="8" spans="1:13" ht="31.95" customHeight="1">
      <c r="A8" s="8" t="s">
        <v>43</v>
      </c>
      <c r="B8" s="11" t="s">
        <v>44</v>
      </c>
      <c r="C8" s="11" t="s">
        <v>45</v>
      </c>
      <c r="D8" s="11" t="s">
        <v>46</v>
      </c>
      <c r="E8" s="11" t="s">
        <v>47</v>
      </c>
      <c r="F8" s="11" t="s">
        <v>48</v>
      </c>
      <c r="G8" s="11" t="s">
        <v>49</v>
      </c>
      <c r="H8" s="11" t="s">
        <v>50</v>
      </c>
      <c r="I8" s="11" t="s">
        <v>51</v>
      </c>
      <c r="J8" s="11" t="s">
        <v>52</v>
      </c>
      <c r="K8" s="11" t="s">
        <v>53</v>
      </c>
      <c r="L8" s="11" t="s">
        <v>54</v>
      </c>
      <c r="M8" s="9" t="s">
        <v>55</v>
      </c>
    </row>
    <row r="9" spans="1:13" ht="60" customHeight="1">
      <c r="A9" s="1" t="s">
        <v>56</v>
      </c>
      <c r="B9" s="10" t="s">
        <v>57</v>
      </c>
      <c r="C9" s="15" t="s">
        <v>58</v>
      </c>
      <c r="D9" s="15" t="s">
        <v>59</v>
      </c>
      <c r="E9" s="15" t="s">
        <v>60</v>
      </c>
      <c r="F9" s="15" t="s">
        <v>61</v>
      </c>
      <c r="G9" s="17">
        <v>1</v>
      </c>
      <c r="H9" s="18">
        <f>SUMIFS(Transacciones!$G$9:$G$3000,Transacciones!$B$9:$B$3000,A9,Transacciones!$D$9:$D$3000,"Principal")</f>
        <v>5</v>
      </c>
      <c r="I9" s="18">
        <f>SUMIFS(Transacciones!$G$9:$G$3000,Transacciones!$B$9:$B$3000,A9,Transacciones!$D$9:$D$3000,"Alternativo adicional")</f>
        <v>1</v>
      </c>
      <c r="J9" s="18">
        <f t="shared" ref="J9:J40" si="0">SUM(H9:I9)</f>
        <v>6</v>
      </c>
      <c r="K9" s="10" t="s">
        <v>62</v>
      </c>
      <c r="L9" s="10" t="s">
        <v>63</v>
      </c>
      <c r="M9" s="10" t="str">
        <f>IF(AND(ISNUMBER(G9),G9=0),"Excluido",IF(AND(ISNUMBER(G9),G9=1,COUNTIF($A$9:$A$500,A9)=1,OR(C9="E1",C9="E2"),D9&lt;&gt;"",E9&lt;&gt;"",F9&lt;&gt;"",J9&gt;=1,COUNTIFS(Transacciones!$B$9:$B$3000,A9,Transacciones!$H$9:$H$3000,"&lt;&gt;Válido")=0),"Válido","Revisar caso o detalle"))</f>
        <v>Válido</v>
      </c>
    </row>
    <row r="10" spans="1:13" ht="60" customHeight="1">
      <c r="A10" s="1" t="s">
        <v>64</v>
      </c>
      <c r="B10" s="10" t="s">
        <v>57</v>
      </c>
      <c r="C10" s="15" t="s">
        <v>58</v>
      </c>
      <c r="D10" s="15" t="s">
        <v>65</v>
      </c>
      <c r="E10" s="15" t="s">
        <v>66</v>
      </c>
      <c r="F10" s="15" t="s">
        <v>67</v>
      </c>
      <c r="G10" s="17">
        <v>1</v>
      </c>
      <c r="H10" s="18">
        <f>SUMIFS(Transacciones!$G$9:$G$3000,Transacciones!$B$9:$B$3000,A10,Transacciones!$D$9:$D$3000,"Principal")</f>
        <v>4</v>
      </c>
      <c r="I10" s="18">
        <f>SUMIFS(Transacciones!$G$9:$G$3000,Transacciones!$B$9:$B$3000,A10,Transacciones!$D$9:$D$3000,"Alternativo adicional")</f>
        <v>0</v>
      </c>
      <c r="J10" s="18">
        <f t="shared" si="0"/>
        <v>4</v>
      </c>
      <c r="K10" s="10" t="s">
        <v>68</v>
      </c>
      <c r="L10" s="10" t="s">
        <v>63</v>
      </c>
      <c r="M10" s="10" t="str">
        <f>IF(AND(ISNUMBER(G10),G10=0),"Excluido",IF(AND(ISNUMBER(G10),G10=1,COUNTIF($A$9:$A$500,A10)=1,OR(C10="E1",C10="E2"),D10&lt;&gt;"",E10&lt;&gt;"",F10&lt;&gt;"",J10&gt;=1,COUNTIFS(Transacciones!$B$9:$B$3000,A10,Transacciones!$H$9:$H$3000,"&lt;&gt;Válido")=0),"Válido","Revisar caso o detalle"))</f>
        <v>Válido</v>
      </c>
    </row>
    <row r="11" spans="1:13" ht="60" customHeight="1">
      <c r="A11" s="1" t="s">
        <v>69</v>
      </c>
      <c r="B11" s="10" t="s">
        <v>57</v>
      </c>
      <c r="C11" s="15" t="s">
        <v>58</v>
      </c>
      <c r="D11" s="15" t="s">
        <v>70</v>
      </c>
      <c r="E11" s="15" t="s">
        <v>71</v>
      </c>
      <c r="F11" s="15" t="s">
        <v>61</v>
      </c>
      <c r="G11" s="17">
        <v>1</v>
      </c>
      <c r="H11" s="18">
        <f>SUMIFS(Transacciones!$G$9:$G$3000,Transacciones!$B$9:$B$3000,A11,Transacciones!$D$9:$D$3000,"Principal")</f>
        <v>3</v>
      </c>
      <c r="I11" s="18">
        <f>SUMIFS(Transacciones!$G$9:$G$3000,Transacciones!$B$9:$B$3000,A11,Transacciones!$D$9:$D$3000,"Alternativo adicional")</f>
        <v>0</v>
      </c>
      <c r="J11" s="18">
        <f t="shared" si="0"/>
        <v>3</v>
      </c>
      <c r="K11" s="10" t="s">
        <v>72</v>
      </c>
      <c r="L11" s="10" t="s">
        <v>63</v>
      </c>
      <c r="M11" s="10" t="str">
        <f>IF(AND(ISNUMBER(G11),G11=0),"Excluido",IF(AND(ISNUMBER(G11),G11=1,COUNTIF($A$9:$A$500,A11)=1,OR(C11="E1",C11="E2"),D11&lt;&gt;"",E11&lt;&gt;"",F11&lt;&gt;"",J11&gt;=1,COUNTIFS(Transacciones!$B$9:$B$3000,A11,Transacciones!$H$9:$H$3000,"&lt;&gt;Válido")=0),"Válido","Revisar caso o detalle"))</f>
        <v>Válido</v>
      </c>
    </row>
    <row r="12" spans="1:13" ht="60" customHeight="1">
      <c r="A12" s="1" t="s">
        <v>73</v>
      </c>
      <c r="B12" s="10" t="s">
        <v>57</v>
      </c>
      <c r="C12" s="15" t="s">
        <v>58</v>
      </c>
      <c r="D12" s="15" t="s">
        <v>74</v>
      </c>
      <c r="E12" s="15" t="s">
        <v>75</v>
      </c>
      <c r="F12" s="15" t="s">
        <v>76</v>
      </c>
      <c r="G12" s="17">
        <v>1</v>
      </c>
      <c r="H12" s="18">
        <f>SUMIFS(Transacciones!$G$9:$G$3000,Transacciones!$B$9:$B$3000,A12,Transacciones!$D$9:$D$3000,"Principal")</f>
        <v>3</v>
      </c>
      <c r="I12" s="18">
        <f>SUMIFS(Transacciones!$G$9:$G$3000,Transacciones!$B$9:$B$3000,A12,Transacciones!$D$9:$D$3000,"Alternativo adicional")</f>
        <v>0</v>
      </c>
      <c r="J12" s="18">
        <f t="shared" si="0"/>
        <v>3</v>
      </c>
      <c r="K12" s="10" t="s">
        <v>77</v>
      </c>
      <c r="L12" s="10" t="s">
        <v>63</v>
      </c>
      <c r="M12" s="10" t="str">
        <f>IF(AND(ISNUMBER(G12),G12=0),"Excluido",IF(AND(ISNUMBER(G12),G12=1,COUNTIF($A$9:$A$500,A12)=1,OR(C12="E1",C12="E2"),D12&lt;&gt;"",E12&lt;&gt;"",F12&lt;&gt;"",J12&gt;=1,COUNTIFS(Transacciones!$B$9:$B$3000,A12,Transacciones!$H$9:$H$3000,"&lt;&gt;Válido")=0),"Válido","Revisar caso o detalle"))</f>
        <v>Válido</v>
      </c>
    </row>
    <row r="13" spans="1:13" ht="60" customHeight="1">
      <c r="A13" s="1" t="s">
        <v>78</v>
      </c>
      <c r="B13" s="10" t="s">
        <v>57</v>
      </c>
      <c r="C13" s="15" t="s">
        <v>58</v>
      </c>
      <c r="D13" s="15" t="s">
        <v>79</v>
      </c>
      <c r="E13" s="15" t="s">
        <v>80</v>
      </c>
      <c r="F13" s="15" t="s">
        <v>81</v>
      </c>
      <c r="G13" s="17">
        <v>1</v>
      </c>
      <c r="H13" s="18">
        <f>SUMIFS(Transacciones!$G$9:$G$3000,Transacciones!$B$9:$B$3000,A13,Transacciones!$D$9:$D$3000,"Principal")</f>
        <v>5</v>
      </c>
      <c r="I13" s="18">
        <f>SUMIFS(Transacciones!$G$9:$G$3000,Transacciones!$B$9:$B$3000,A13,Transacciones!$D$9:$D$3000,"Alternativo adicional")</f>
        <v>0</v>
      </c>
      <c r="J13" s="18">
        <f t="shared" si="0"/>
        <v>5</v>
      </c>
      <c r="K13" s="10" t="s">
        <v>82</v>
      </c>
      <c r="L13" s="10" t="s">
        <v>63</v>
      </c>
      <c r="M13" s="10" t="str">
        <f>IF(AND(ISNUMBER(G13),G13=0),"Excluido",IF(AND(ISNUMBER(G13),G13=1,COUNTIF($A$9:$A$500,A13)=1,OR(C13="E1",C13="E2"),D13&lt;&gt;"",E13&lt;&gt;"",F13&lt;&gt;"",J13&gt;=1,COUNTIFS(Transacciones!$B$9:$B$3000,A13,Transacciones!$H$9:$H$3000,"&lt;&gt;Válido")=0),"Válido","Revisar caso o detalle"))</f>
        <v>Válido</v>
      </c>
    </row>
    <row r="14" spans="1:13" ht="60" customHeight="1">
      <c r="A14" s="1" t="s">
        <v>83</v>
      </c>
      <c r="B14" s="10" t="s">
        <v>84</v>
      </c>
      <c r="C14" s="15" t="s">
        <v>58</v>
      </c>
      <c r="D14" s="15" t="s">
        <v>85</v>
      </c>
      <c r="E14" s="15" t="s">
        <v>86</v>
      </c>
      <c r="F14" s="15" t="s">
        <v>87</v>
      </c>
      <c r="G14" s="17">
        <v>1</v>
      </c>
      <c r="H14" s="18">
        <f>SUMIFS(Transacciones!$G$9:$G$3000,Transacciones!$B$9:$B$3000,A14,Transacciones!$D$9:$D$3000,"Principal")</f>
        <v>5</v>
      </c>
      <c r="I14" s="18">
        <f>SUMIFS(Transacciones!$G$9:$G$3000,Transacciones!$B$9:$B$3000,A14,Transacciones!$D$9:$D$3000,"Alternativo adicional")</f>
        <v>0</v>
      </c>
      <c r="J14" s="18">
        <f t="shared" si="0"/>
        <v>5</v>
      </c>
      <c r="K14" s="10" t="s">
        <v>88</v>
      </c>
      <c r="L14" s="10" t="s">
        <v>63</v>
      </c>
      <c r="M14" s="10" t="str">
        <f>IF(AND(ISNUMBER(G14),G14=0),"Excluido",IF(AND(ISNUMBER(G14),G14=1,COUNTIF($A$9:$A$500,A14)=1,OR(C14="E1",C14="E2"),D14&lt;&gt;"",E14&lt;&gt;"",F14&lt;&gt;"",J14&gt;=1,COUNTIFS(Transacciones!$B$9:$B$3000,A14,Transacciones!$H$9:$H$3000,"&lt;&gt;Válido")=0),"Válido","Revisar caso o detalle"))</f>
        <v>Válido</v>
      </c>
    </row>
    <row r="15" spans="1:13" ht="60" customHeight="1">
      <c r="A15" s="1" t="s">
        <v>89</v>
      </c>
      <c r="B15" s="10" t="s">
        <v>84</v>
      </c>
      <c r="C15" s="15" t="s">
        <v>58</v>
      </c>
      <c r="D15" s="15" t="s">
        <v>90</v>
      </c>
      <c r="E15" s="15" t="s">
        <v>91</v>
      </c>
      <c r="F15" s="15" t="s">
        <v>92</v>
      </c>
      <c r="G15" s="17">
        <v>1</v>
      </c>
      <c r="H15" s="18">
        <f>SUMIFS(Transacciones!$G$9:$G$3000,Transacciones!$B$9:$B$3000,A15,Transacciones!$D$9:$D$3000,"Principal")</f>
        <v>3</v>
      </c>
      <c r="I15" s="18">
        <f>SUMIFS(Transacciones!$G$9:$G$3000,Transacciones!$B$9:$B$3000,A15,Transacciones!$D$9:$D$3000,"Alternativo adicional")</f>
        <v>0</v>
      </c>
      <c r="J15" s="18">
        <f t="shared" si="0"/>
        <v>3</v>
      </c>
      <c r="K15" s="10" t="s">
        <v>93</v>
      </c>
      <c r="L15" s="10" t="s">
        <v>63</v>
      </c>
      <c r="M15" s="10" t="str">
        <f>IF(AND(ISNUMBER(G15),G15=0),"Excluido",IF(AND(ISNUMBER(G15),G15=1,COUNTIF($A$9:$A$500,A15)=1,OR(C15="E1",C15="E2"),D15&lt;&gt;"",E15&lt;&gt;"",F15&lt;&gt;"",J15&gt;=1,COUNTIFS(Transacciones!$B$9:$B$3000,A15,Transacciones!$H$9:$H$3000,"&lt;&gt;Válido")=0),"Válido","Revisar caso o detalle"))</f>
        <v>Válido</v>
      </c>
    </row>
    <row r="16" spans="1:13" ht="60" customHeight="1">
      <c r="A16" s="1" t="s">
        <v>94</v>
      </c>
      <c r="B16" s="10" t="s">
        <v>84</v>
      </c>
      <c r="C16" s="15" t="s">
        <v>58</v>
      </c>
      <c r="D16" s="15" t="s">
        <v>95</v>
      </c>
      <c r="E16" s="15" t="s">
        <v>96</v>
      </c>
      <c r="F16" s="15" t="s">
        <v>61</v>
      </c>
      <c r="G16" s="17">
        <v>1</v>
      </c>
      <c r="H16" s="18">
        <f>SUMIFS(Transacciones!$G$9:$G$3000,Transacciones!$B$9:$B$3000,A16,Transacciones!$D$9:$D$3000,"Principal")</f>
        <v>5</v>
      </c>
      <c r="I16" s="18">
        <f>SUMIFS(Transacciones!$G$9:$G$3000,Transacciones!$B$9:$B$3000,A16,Transacciones!$D$9:$D$3000,"Alternativo adicional")</f>
        <v>0</v>
      </c>
      <c r="J16" s="18">
        <f t="shared" si="0"/>
        <v>5</v>
      </c>
      <c r="K16" s="10" t="s">
        <v>97</v>
      </c>
      <c r="L16" s="10" t="s">
        <v>63</v>
      </c>
      <c r="M16" s="10" t="str">
        <f>IF(AND(ISNUMBER(G16),G16=0),"Excluido",IF(AND(ISNUMBER(G16),G16=1,COUNTIF($A$9:$A$500,A16)=1,OR(C16="E1",C16="E2"),D16&lt;&gt;"",E16&lt;&gt;"",F16&lt;&gt;"",J16&gt;=1,COUNTIFS(Transacciones!$B$9:$B$3000,A16,Transacciones!$H$9:$H$3000,"&lt;&gt;Válido")=0),"Válido","Revisar caso o detalle"))</f>
        <v>Válido</v>
      </c>
    </row>
    <row r="17" spans="1:13" ht="60" customHeight="1">
      <c r="A17" s="1" t="s">
        <v>98</v>
      </c>
      <c r="B17" s="10" t="s">
        <v>84</v>
      </c>
      <c r="C17" s="15" t="s">
        <v>58</v>
      </c>
      <c r="D17" s="15" t="s">
        <v>99</v>
      </c>
      <c r="E17" s="15" t="s">
        <v>100</v>
      </c>
      <c r="F17" s="15" t="s">
        <v>61</v>
      </c>
      <c r="G17" s="17">
        <v>1</v>
      </c>
      <c r="H17" s="18">
        <f>SUMIFS(Transacciones!$G$9:$G$3000,Transacciones!$B$9:$B$3000,A17,Transacciones!$D$9:$D$3000,"Principal")</f>
        <v>5</v>
      </c>
      <c r="I17" s="18">
        <f>SUMIFS(Transacciones!$G$9:$G$3000,Transacciones!$B$9:$B$3000,A17,Transacciones!$D$9:$D$3000,"Alternativo adicional")</f>
        <v>1</v>
      </c>
      <c r="J17" s="18">
        <f t="shared" si="0"/>
        <v>6</v>
      </c>
      <c r="K17" s="10" t="s">
        <v>101</v>
      </c>
      <c r="L17" s="10" t="s">
        <v>63</v>
      </c>
      <c r="M17" s="10" t="str">
        <f>IF(AND(ISNUMBER(G17),G17=0),"Excluido",IF(AND(ISNUMBER(G17),G17=1,COUNTIF($A$9:$A$500,A17)=1,OR(C17="E1",C17="E2"),D17&lt;&gt;"",E17&lt;&gt;"",F17&lt;&gt;"",J17&gt;=1,COUNTIFS(Transacciones!$B$9:$B$3000,A17,Transacciones!$H$9:$H$3000,"&lt;&gt;Válido")=0),"Válido","Revisar caso o detalle"))</f>
        <v>Válido</v>
      </c>
    </row>
    <row r="18" spans="1:13" ht="60" customHeight="1">
      <c r="A18" s="1" t="s">
        <v>102</v>
      </c>
      <c r="B18" s="10" t="s">
        <v>84</v>
      </c>
      <c r="C18" s="15" t="s">
        <v>58</v>
      </c>
      <c r="D18" s="15" t="s">
        <v>103</v>
      </c>
      <c r="E18" s="15" t="s">
        <v>104</v>
      </c>
      <c r="F18" s="15" t="s">
        <v>61</v>
      </c>
      <c r="G18" s="17">
        <v>1</v>
      </c>
      <c r="H18" s="18">
        <f>SUMIFS(Transacciones!$G$9:$G$3000,Transacciones!$B$9:$B$3000,A18,Transacciones!$D$9:$D$3000,"Principal")</f>
        <v>5</v>
      </c>
      <c r="I18" s="18">
        <f>SUMIFS(Transacciones!$G$9:$G$3000,Transacciones!$B$9:$B$3000,A18,Transacciones!$D$9:$D$3000,"Alternativo adicional")</f>
        <v>1</v>
      </c>
      <c r="J18" s="18">
        <f t="shared" si="0"/>
        <v>6</v>
      </c>
      <c r="K18" s="10" t="s">
        <v>105</v>
      </c>
      <c r="L18" s="10" t="s">
        <v>63</v>
      </c>
      <c r="M18" s="10" t="str">
        <f>IF(AND(ISNUMBER(G18),G18=0),"Excluido",IF(AND(ISNUMBER(G18),G18=1,COUNTIF($A$9:$A$500,A18)=1,OR(C18="E1",C18="E2"),D18&lt;&gt;"",E18&lt;&gt;"",F18&lt;&gt;"",J18&gt;=1,COUNTIFS(Transacciones!$B$9:$B$3000,A18,Transacciones!$H$9:$H$3000,"&lt;&gt;Válido")=0),"Válido","Revisar caso o detalle"))</f>
        <v>Válido</v>
      </c>
    </row>
    <row r="19" spans="1:13" ht="60" customHeight="1">
      <c r="A19" s="1" t="s">
        <v>106</v>
      </c>
      <c r="B19" s="10" t="s">
        <v>84</v>
      </c>
      <c r="C19" s="15" t="s">
        <v>58</v>
      </c>
      <c r="D19" s="15" t="s">
        <v>107</v>
      </c>
      <c r="E19" s="15" t="s">
        <v>108</v>
      </c>
      <c r="F19" s="15" t="s">
        <v>109</v>
      </c>
      <c r="G19" s="17">
        <v>1</v>
      </c>
      <c r="H19" s="18">
        <f>SUMIFS(Transacciones!$G$9:$G$3000,Transacciones!$B$9:$B$3000,A19,Transacciones!$D$9:$D$3000,"Principal")</f>
        <v>3</v>
      </c>
      <c r="I19" s="18">
        <f>SUMIFS(Transacciones!$G$9:$G$3000,Transacciones!$B$9:$B$3000,A19,Transacciones!$D$9:$D$3000,"Alternativo adicional")</f>
        <v>0</v>
      </c>
      <c r="J19" s="18">
        <f t="shared" si="0"/>
        <v>3</v>
      </c>
      <c r="K19" s="10" t="s">
        <v>110</v>
      </c>
      <c r="L19" s="10" t="s">
        <v>63</v>
      </c>
      <c r="M19" s="10" t="str">
        <f>IF(AND(ISNUMBER(G19),G19=0),"Excluido",IF(AND(ISNUMBER(G19),G19=1,COUNTIF($A$9:$A$500,A19)=1,OR(C19="E1",C19="E2"),D19&lt;&gt;"",E19&lt;&gt;"",F19&lt;&gt;"",J19&gt;=1,COUNTIFS(Transacciones!$B$9:$B$3000,A19,Transacciones!$H$9:$H$3000,"&lt;&gt;Válido")=0),"Válido","Revisar caso o detalle"))</f>
        <v>Válido</v>
      </c>
    </row>
    <row r="20" spans="1:13" ht="60" customHeight="1">
      <c r="A20" s="1" t="s">
        <v>111</v>
      </c>
      <c r="B20" s="10" t="s">
        <v>84</v>
      </c>
      <c r="C20" s="15" t="s">
        <v>58</v>
      </c>
      <c r="D20" s="15" t="s">
        <v>112</v>
      </c>
      <c r="E20" s="15" t="s">
        <v>113</v>
      </c>
      <c r="F20" s="15" t="s">
        <v>67</v>
      </c>
      <c r="G20" s="17">
        <v>1</v>
      </c>
      <c r="H20" s="18">
        <f>SUMIFS(Transacciones!$G$9:$G$3000,Transacciones!$B$9:$B$3000,A20,Transacciones!$D$9:$D$3000,"Principal")</f>
        <v>3</v>
      </c>
      <c r="I20" s="18">
        <f>SUMIFS(Transacciones!$G$9:$G$3000,Transacciones!$B$9:$B$3000,A20,Transacciones!$D$9:$D$3000,"Alternativo adicional")</f>
        <v>0</v>
      </c>
      <c r="J20" s="18">
        <f t="shared" si="0"/>
        <v>3</v>
      </c>
      <c r="K20" s="10" t="s">
        <v>114</v>
      </c>
      <c r="L20" s="10" t="s">
        <v>63</v>
      </c>
      <c r="M20" s="10" t="str">
        <f>IF(AND(ISNUMBER(G20),G20=0),"Excluido",IF(AND(ISNUMBER(G20),G20=1,COUNTIF($A$9:$A$500,A20)=1,OR(C20="E1",C20="E2"),D20&lt;&gt;"",E20&lt;&gt;"",F20&lt;&gt;"",J20&gt;=1,COUNTIFS(Transacciones!$B$9:$B$3000,A20,Transacciones!$H$9:$H$3000,"&lt;&gt;Válido")=0),"Válido","Revisar caso o detalle"))</f>
        <v>Válido</v>
      </c>
    </row>
    <row r="21" spans="1:13" ht="60" customHeight="1">
      <c r="A21" s="1" t="s">
        <v>115</v>
      </c>
      <c r="B21" s="10" t="s">
        <v>84</v>
      </c>
      <c r="C21" s="15" t="s">
        <v>58</v>
      </c>
      <c r="D21" s="15" t="s">
        <v>116</v>
      </c>
      <c r="E21" s="15" t="s">
        <v>117</v>
      </c>
      <c r="F21" s="15" t="s">
        <v>61</v>
      </c>
      <c r="G21" s="17">
        <v>1</v>
      </c>
      <c r="H21" s="18">
        <f>SUMIFS(Transacciones!$G$9:$G$3000,Transacciones!$B$9:$B$3000,A21,Transacciones!$D$9:$D$3000,"Principal")</f>
        <v>5</v>
      </c>
      <c r="I21" s="18">
        <f>SUMIFS(Transacciones!$G$9:$G$3000,Transacciones!$B$9:$B$3000,A21,Transacciones!$D$9:$D$3000,"Alternativo adicional")</f>
        <v>1</v>
      </c>
      <c r="J21" s="18">
        <f t="shared" si="0"/>
        <v>6</v>
      </c>
      <c r="K21" s="10" t="s">
        <v>118</v>
      </c>
      <c r="L21" s="10" t="s">
        <v>63</v>
      </c>
      <c r="M21" s="10" t="str">
        <f>IF(AND(ISNUMBER(G21),G21=0),"Excluido",IF(AND(ISNUMBER(G21),G21=1,COUNTIF($A$9:$A$500,A21)=1,OR(C21="E1",C21="E2"),D21&lt;&gt;"",E21&lt;&gt;"",F21&lt;&gt;"",J21&gt;=1,COUNTIFS(Transacciones!$B$9:$B$3000,A21,Transacciones!$H$9:$H$3000,"&lt;&gt;Válido")=0),"Válido","Revisar caso o detalle"))</f>
        <v>Válido</v>
      </c>
    </row>
    <row r="22" spans="1:13" ht="60" customHeight="1">
      <c r="A22" s="1" t="s">
        <v>119</v>
      </c>
      <c r="B22" s="10" t="s">
        <v>120</v>
      </c>
      <c r="C22" s="15" t="s">
        <v>58</v>
      </c>
      <c r="D22" s="15" t="s">
        <v>121</v>
      </c>
      <c r="E22" s="15" t="s">
        <v>122</v>
      </c>
      <c r="F22" s="15" t="s">
        <v>123</v>
      </c>
      <c r="G22" s="17">
        <v>1</v>
      </c>
      <c r="H22" s="18">
        <f>SUMIFS(Transacciones!$G$9:$G$3000,Transacciones!$B$9:$B$3000,A22,Transacciones!$D$9:$D$3000,"Principal")</f>
        <v>6</v>
      </c>
      <c r="I22" s="18">
        <f>SUMIFS(Transacciones!$G$9:$G$3000,Transacciones!$B$9:$B$3000,A22,Transacciones!$D$9:$D$3000,"Alternativo adicional")</f>
        <v>2</v>
      </c>
      <c r="J22" s="18">
        <f t="shared" si="0"/>
        <v>8</v>
      </c>
      <c r="K22" s="10" t="s">
        <v>124</v>
      </c>
      <c r="L22" s="10" t="s">
        <v>63</v>
      </c>
      <c r="M22" s="10" t="str">
        <f>IF(AND(ISNUMBER(G22),G22=0),"Excluido",IF(AND(ISNUMBER(G22),G22=1,COUNTIF($A$9:$A$500,A22)=1,OR(C22="E1",C22="E2"),D22&lt;&gt;"",E22&lt;&gt;"",F22&lt;&gt;"",J22&gt;=1,COUNTIFS(Transacciones!$B$9:$B$3000,A22,Transacciones!$H$9:$H$3000,"&lt;&gt;Válido")=0),"Válido","Revisar caso o detalle"))</f>
        <v>Válido</v>
      </c>
    </row>
    <row r="23" spans="1:13" ht="60" customHeight="1">
      <c r="A23" s="1" t="s">
        <v>125</v>
      </c>
      <c r="B23" s="10" t="s">
        <v>120</v>
      </c>
      <c r="C23" s="15" t="s">
        <v>58</v>
      </c>
      <c r="D23" s="15" t="s">
        <v>126</v>
      </c>
      <c r="E23" s="15" t="s">
        <v>127</v>
      </c>
      <c r="F23" s="15" t="s">
        <v>128</v>
      </c>
      <c r="G23" s="17">
        <v>1</v>
      </c>
      <c r="H23" s="18">
        <f>SUMIFS(Transacciones!$G$9:$G$3000,Transacciones!$B$9:$B$3000,A23,Transacciones!$D$9:$D$3000,"Principal")</f>
        <v>4</v>
      </c>
      <c r="I23" s="18">
        <f>SUMIFS(Transacciones!$G$9:$G$3000,Transacciones!$B$9:$B$3000,A23,Transacciones!$D$9:$D$3000,"Alternativo adicional")</f>
        <v>0</v>
      </c>
      <c r="J23" s="18">
        <f t="shared" si="0"/>
        <v>4</v>
      </c>
      <c r="K23" s="10" t="s">
        <v>129</v>
      </c>
      <c r="L23" s="10" t="s">
        <v>63</v>
      </c>
      <c r="M23" s="10" t="str">
        <f>IF(AND(ISNUMBER(G23),G23=0),"Excluido",IF(AND(ISNUMBER(G23),G23=1,COUNTIF($A$9:$A$500,A23)=1,OR(C23="E1",C23="E2"),D23&lt;&gt;"",E23&lt;&gt;"",F23&lt;&gt;"",J23&gt;=1,COUNTIFS(Transacciones!$B$9:$B$3000,A23,Transacciones!$H$9:$H$3000,"&lt;&gt;Válido")=0),"Válido","Revisar caso o detalle"))</f>
        <v>Válido</v>
      </c>
    </row>
    <row r="24" spans="1:13" ht="60" customHeight="1">
      <c r="A24" s="1" t="s">
        <v>130</v>
      </c>
      <c r="B24" s="10" t="s">
        <v>120</v>
      </c>
      <c r="C24" s="15" t="s">
        <v>58</v>
      </c>
      <c r="D24" s="15" t="s">
        <v>131</v>
      </c>
      <c r="E24" s="15" t="s">
        <v>132</v>
      </c>
      <c r="F24" s="15" t="s">
        <v>133</v>
      </c>
      <c r="G24" s="17">
        <v>1</v>
      </c>
      <c r="H24" s="18">
        <f>SUMIFS(Transacciones!$G$9:$G$3000,Transacciones!$B$9:$B$3000,A24,Transacciones!$D$9:$D$3000,"Principal")</f>
        <v>5</v>
      </c>
      <c r="I24" s="18">
        <f>SUMIFS(Transacciones!$G$9:$G$3000,Transacciones!$B$9:$B$3000,A24,Transacciones!$D$9:$D$3000,"Alternativo adicional")</f>
        <v>0</v>
      </c>
      <c r="J24" s="18">
        <f t="shared" si="0"/>
        <v>5</v>
      </c>
      <c r="K24" s="10" t="s">
        <v>134</v>
      </c>
      <c r="L24" s="10" t="s">
        <v>63</v>
      </c>
      <c r="M24" s="10" t="str">
        <f>IF(AND(ISNUMBER(G24),G24=0),"Excluido",IF(AND(ISNUMBER(G24),G24=1,COUNTIF($A$9:$A$500,A24)=1,OR(C24="E1",C24="E2"),D24&lt;&gt;"",E24&lt;&gt;"",F24&lt;&gt;"",J24&gt;=1,COUNTIFS(Transacciones!$B$9:$B$3000,A24,Transacciones!$H$9:$H$3000,"&lt;&gt;Válido")=0),"Válido","Revisar caso o detalle"))</f>
        <v>Válido</v>
      </c>
    </row>
    <row r="25" spans="1:13" ht="60" customHeight="1">
      <c r="A25" s="1" t="s">
        <v>135</v>
      </c>
      <c r="B25" s="10" t="s">
        <v>136</v>
      </c>
      <c r="C25" s="15" t="s">
        <v>58</v>
      </c>
      <c r="D25" s="15" t="s">
        <v>137</v>
      </c>
      <c r="E25" s="15" t="s">
        <v>138</v>
      </c>
      <c r="F25" s="15" t="s">
        <v>139</v>
      </c>
      <c r="G25" s="17">
        <v>1</v>
      </c>
      <c r="H25" s="18">
        <f>SUMIFS(Transacciones!$G$9:$G$3000,Transacciones!$B$9:$B$3000,A25,Transacciones!$D$9:$D$3000,"Principal")</f>
        <v>4</v>
      </c>
      <c r="I25" s="18">
        <f>SUMIFS(Transacciones!$G$9:$G$3000,Transacciones!$B$9:$B$3000,A25,Transacciones!$D$9:$D$3000,"Alternativo adicional")</f>
        <v>0</v>
      </c>
      <c r="J25" s="18">
        <f t="shared" si="0"/>
        <v>4</v>
      </c>
      <c r="K25" s="10" t="s">
        <v>140</v>
      </c>
      <c r="L25" s="10" t="s">
        <v>63</v>
      </c>
      <c r="M25" s="10" t="str">
        <f>IF(AND(ISNUMBER(G25),G25=0),"Excluido",IF(AND(ISNUMBER(G25),G25=1,COUNTIF($A$9:$A$500,A25)=1,OR(C25="E1",C25="E2"),D25&lt;&gt;"",E25&lt;&gt;"",F25&lt;&gt;"",J25&gt;=1,COUNTIFS(Transacciones!$B$9:$B$3000,A25,Transacciones!$H$9:$H$3000,"&lt;&gt;Válido")=0),"Válido","Revisar caso o detalle"))</f>
        <v>Válido</v>
      </c>
    </row>
    <row r="26" spans="1:13" ht="60" customHeight="1">
      <c r="A26" s="1" t="s">
        <v>141</v>
      </c>
      <c r="B26" s="10" t="s">
        <v>142</v>
      </c>
      <c r="C26" s="15" t="s">
        <v>58</v>
      </c>
      <c r="D26" s="15" t="s">
        <v>143</v>
      </c>
      <c r="E26" s="15" t="s">
        <v>144</v>
      </c>
      <c r="F26" s="15" t="s">
        <v>145</v>
      </c>
      <c r="G26" s="17">
        <v>1</v>
      </c>
      <c r="H26" s="18">
        <f>SUMIFS(Transacciones!$G$9:$G$3000,Transacciones!$B$9:$B$3000,A26,Transacciones!$D$9:$D$3000,"Principal")</f>
        <v>6</v>
      </c>
      <c r="I26" s="18">
        <f>SUMIFS(Transacciones!$G$9:$G$3000,Transacciones!$B$9:$B$3000,A26,Transacciones!$D$9:$D$3000,"Alternativo adicional")</f>
        <v>0</v>
      </c>
      <c r="J26" s="18">
        <f t="shared" si="0"/>
        <v>6</v>
      </c>
      <c r="K26" s="10" t="s">
        <v>146</v>
      </c>
      <c r="L26" s="10" t="s">
        <v>63</v>
      </c>
      <c r="M26" s="10" t="str">
        <f>IF(AND(ISNUMBER(G26),G26=0),"Excluido",IF(AND(ISNUMBER(G26),G26=1,COUNTIF($A$9:$A$500,A26)=1,OR(C26="E1",C26="E2"),D26&lt;&gt;"",E26&lt;&gt;"",F26&lt;&gt;"",J26&gt;=1,COUNTIFS(Transacciones!$B$9:$B$3000,A26,Transacciones!$H$9:$H$3000,"&lt;&gt;Válido")=0),"Válido","Revisar caso o detalle"))</f>
        <v>Válido</v>
      </c>
    </row>
    <row r="27" spans="1:13" ht="60" customHeight="1">
      <c r="A27" s="1" t="s">
        <v>147</v>
      </c>
      <c r="B27" s="10" t="s">
        <v>142</v>
      </c>
      <c r="C27" s="15" t="s">
        <v>58</v>
      </c>
      <c r="D27" s="15" t="s">
        <v>148</v>
      </c>
      <c r="E27" s="15" t="s">
        <v>149</v>
      </c>
      <c r="F27" s="15" t="s">
        <v>150</v>
      </c>
      <c r="G27" s="17">
        <v>1</v>
      </c>
      <c r="H27" s="18">
        <f>SUMIFS(Transacciones!$G$9:$G$3000,Transacciones!$B$9:$B$3000,A27,Transacciones!$D$9:$D$3000,"Principal")</f>
        <v>4</v>
      </c>
      <c r="I27" s="18">
        <f>SUMIFS(Transacciones!$G$9:$G$3000,Transacciones!$B$9:$B$3000,A27,Transacciones!$D$9:$D$3000,"Alternativo adicional")</f>
        <v>0</v>
      </c>
      <c r="J27" s="18">
        <f t="shared" si="0"/>
        <v>4</v>
      </c>
      <c r="K27" s="10" t="s">
        <v>151</v>
      </c>
      <c r="L27" s="10" t="s">
        <v>63</v>
      </c>
      <c r="M27" s="10" t="str">
        <f>IF(AND(ISNUMBER(G27),G27=0),"Excluido",IF(AND(ISNUMBER(G27),G27=1,COUNTIF($A$9:$A$500,A27)=1,OR(C27="E1",C27="E2"),D27&lt;&gt;"",E27&lt;&gt;"",F27&lt;&gt;"",J27&gt;=1,COUNTIFS(Transacciones!$B$9:$B$3000,A27,Transacciones!$H$9:$H$3000,"&lt;&gt;Válido")=0),"Válido","Revisar caso o detalle"))</f>
        <v>Válido</v>
      </c>
    </row>
    <row r="28" spans="1:13" ht="60" customHeight="1">
      <c r="A28" s="1" t="s">
        <v>152</v>
      </c>
      <c r="B28" s="10" t="s">
        <v>142</v>
      </c>
      <c r="C28" s="15" t="s">
        <v>58</v>
      </c>
      <c r="D28" s="15" t="s">
        <v>153</v>
      </c>
      <c r="E28" s="15" t="s">
        <v>154</v>
      </c>
      <c r="F28" s="15" t="s">
        <v>150</v>
      </c>
      <c r="G28" s="17">
        <v>1</v>
      </c>
      <c r="H28" s="18">
        <f>SUMIFS(Transacciones!$G$9:$G$3000,Transacciones!$B$9:$B$3000,A28,Transacciones!$D$9:$D$3000,"Principal")</f>
        <v>5</v>
      </c>
      <c r="I28" s="18">
        <f>SUMIFS(Transacciones!$G$9:$G$3000,Transacciones!$B$9:$B$3000,A28,Transacciones!$D$9:$D$3000,"Alternativo adicional")</f>
        <v>0</v>
      </c>
      <c r="J28" s="18">
        <f t="shared" si="0"/>
        <v>5</v>
      </c>
      <c r="K28" s="10" t="s">
        <v>155</v>
      </c>
      <c r="L28" s="10" t="s">
        <v>63</v>
      </c>
      <c r="M28" s="10" t="str">
        <f>IF(AND(ISNUMBER(G28),G28=0),"Excluido",IF(AND(ISNUMBER(G28),G28=1,COUNTIF($A$9:$A$500,A28)=1,OR(C28="E1",C28="E2"),D28&lt;&gt;"",E28&lt;&gt;"",F28&lt;&gt;"",J28&gt;=1,COUNTIFS(Transacciones!$B$9:$B$3000,A28,Transacciones!$H$9:$H$3000,"&lt;&gt;Válido")=0),"Válido","Revisar caso o detalle"))</f>
        <v>Válido</v>
      </c>
    </row>
    <row r="29" spans="1:13" ht="60" customHeight="1">
      <c r="A29" s="1" t="s">
        <v>156</v>
      </c>
      <c r="B29" s="10" t="s">
        <v>157</v>
      </c>
      <c r="C29" s="15" t="s">
        <v>58</v>
      </c>
      <c r="D29" s="15" t="s">
        <v>158</v>
      </c>
      <c r="E29" s="15" t="s">
        <v>159</v>
      </c>
      <c r="F29" s="15" t="s">
        <v>160</v>
      </c>
      <c r="G29" s="17">
        <v>1</v>
      </c>
      <c r="H29" s="18">
        <f>SUMIFS(Transacciones!$G$9:$G$3000,Transacciones!$B$9:$B$3000,A29,Transacciones!$D$9:$D$3000,"Principal")</f>
        <v>3</v>
      </c>
      <c r="I29" s="18">
        <f>SUMIFS(Transacciones!$G$9:$G$3000,Transacciones!$B$9:$B$3000,A29,Transacciones!$D$9:$D$3000,"Alternativo adicional")</f>
        <v>1</v>
      </c>
      <c r="J29" s="18">
        <f t="shared" si="0"/>
        <v>4</v>
      </c>
      <c r="K29" s="10" t="s">
        <v>161</v>
      </c>
      <c r="L29" s="10" t="s">
        <v>63</v>
      </c>
      <c r="M29" s="10" t="str">
        <f>IF(AND(ISNUMBER(G29),G29=0),"Excluido",IF(AND(ISNUMBER(G29),G29=1,COUNTIF($A$9:$A$500,A29)=1,OR(C29="E1",C29="E2"),D29&lt;&gt;"",E29&lt;&gt;"",F29&lt;&gt;"",J29&gt;=1,COUNTIFS(Transacciones!$B$9:$B$3000,A29,Transacciones!$H$9:$H$3000,"&lt;&gt;Válido")=0),"Válido","Revisar caso o detalle"))</f>
        <v>Válido</v>
      </c>
    </row>
    <row r="30" spans="1:13" ht="60" customHeight="1">
      <c r="A30" s="1" t="s">
        <v>162</v>
      </c>
      <c r="B30" s="10" t="s">
        <v>157</v>
      </c>
      <c r="C30" s="15" t="s">
        <v>58</v>
      </c>
      <c r="D30" s="15" t="s">
        <v>163</v>
      </c>
      <c r="E30" s="15" t="s">
        <v>164</v>
      </c>
      <c r="F30" s="15" t="s">
        <v>76</v>
      </c>
      <c r="G30" s="17">
        <v>1</v>
      </c>
      <c r="H30" s="18">
        <f>SUMIFS(Transacciones!$G$9:$G$3000,Transacciones!$B$9:$B$3000,A30,Transacciones!$D$9:$D$3000,"Principal")</f>
        <v>5</v>
      </c>
      <c r="I30" s="18">
        <f>SUMIFS(Transacciones!$G$9:$G$3000,Transacciones!$B$9:$B$3000,A30,Transacciones!$D$9:$D$3000,"Alternativo adicional")</f>
        <v>1</v>
      </c>
      <c r="J30" s="18">
        <f t="shared" si="0"/>
        <v>6</v>
      </c>
      <c r="K30" s="10" t="s">
        <v>165</v>
      </c>
      <c r="L30" s="10" t="s">
        <v>63</v>
      </c>
      <c r="M30" s="10" t="str">
        <f>IF(AND(ISNUMBER(G30),G30=0),"Excluido",IF(AND(ISNUMBER(G30),G30=1,COUNTIF($A$9:$A$500,A30)=1,OR(C30="E1",C30="E2"),D30&lt;&gt;"",E30&lt;&gt;"",F30&lt;&gt;"",J30&gt;=1,COUNTIFS(Transacciones!$B$9:$B$3000,A30,Transacciones!$H$9:$H$3000,"&lt;&gt;Válido")=0),"Válido","Revisar caso o detalle"))</f>
        <v>Válido</v>
      </c>
    </row>
    <row r="31" spans="1:13" ht="60" customHeight="1">
      <c r="A31" s="1" t="s">
        <v>166</v>
      </c>
      <c r="B31" s="10" t="s">
        <v>157</v>
      </c>
      <c r="C31" s="15" t="s">
        <v>58</v>
      </c>
      <c r="D31" s="15" t="s">
        <v>167</v>
      </c>
      <c r="E31" s="15" t="s">
        <v>168</v>
      </c>
      <c r="F31" s="15" t="s">
        <v>169</v>
      </c>
      <c r="G31" s="17">
        <v>1</v>
      </c>
      <c r="H31" s="18">
        <f>SUMIFS(Transacciones!$G$9:$G$3000,Transacciones!$B$9:$B$3000,A31,Transacciones!$D$9:$D$3000,"Principal")</f>
        <v>5</v>
      </c>
      <c r="I31" s="18">
        <f>SUMIFS(Transacciones!$G$9:$G$3000,Transacciones!$B$9:$B$3000,A31,Transacciones!$D$9:$D$3000,"Alternativo adicional")</f>
        <v>1</v>
      </c>
      <c r="J31" s="18">
        <f t="shared" si="0"/>
        <v>6</v>
      </c>
      <c r="K31" s="10" t="s">
        <v>170</v>
      </c>
      <c r="L31" s="10" t="s">
        <v>63</v>
      </c>
      <c r="M31" s="10" t="str">
        <f>IF(AND(ISNUMBER(G31),G31=0),"Excluido",IF(AND(ISNUMBER(G31),G31=1,COUNTIF($A$9:$A$500,A31)=1,OR(C31="E1",C31="E2"),D31&lt;&gt;"",E31&lt;&gt;"",F31&lt;&gt;"",J31&gt;=1,COUNTIFS(Transacciones!$B$9:$B$3000,A31,Transacciones!$H$9:$H$3000,"&lt;&gt;Válido")=0),"Válido","Revisar caso o detalle"))</f>
        <v>Válido</v>
      </c>
    </row>
    <row r="32" spans="1:13" ht="60" customHeight="1">
      <c r="A32" s="1" t="s">
        <v>171</v>
      </c>
      <c r="B32" s="10" t="s">
        <v>136</v>
      </c>
      <c r="C32" s="15" t="s">
        <v>58</v>
      </c>
      <c r="D32" s="15" t="s">
        <v>172</v>
      </c>
      <c r="E32" s="15" t="s">
        <v>173</v>
      </c>
      <c r="F32" s="15" t="s">
        <v>174</v>
      </c>
      <c r="G32" s="17">
        <v>1</v>
      </c>
      <c r="H32" s="18">
        <f>SUMIFS(Transacciones!$G$9:$G$3000,Transacciones!$B$9:$B$3000,A32,Transacciones!$D$9:$D$3000,"Principal")</f>
        <v>3</v>
      </c>
      <c r="I32" s="18">
        <f>SUMIFS(Transacciones!$G$9:$G$3000,Transacciones!$B$9:$B$3000,A32,Transacciones!$D$9:$D$3000,"Alternativo adicional")</f>
        <v>0</v>
      </c>
      <c r="J32" s="18">
        <f t="shared" si="0"/>
        <v>3</v>
      </c>
      <c r="K32" s="10" t="s">
        <v>175</v>
      </c>
      <c r="L32" s="10" t="s">
        <v>63</v>
      </c>
      <c r="M32" s="10" t="str">
        <f>IF(AND(ISNUMBER(G32),G32=0),"Excluido",IF(AND(ISNUMBER(G32),G32=1,COUNTIF($A$9:$A$500,A32)=1,OR(C32="E1",C32="E2"),D32&lt;&gt;"",E32&lt;&gt;"",F32&lt;&gt;"",J32&gt;=1,COUNTIFS(Transacciones!$B$9:$B$3000,A32,Transacciones!$H$9:$H$3000,"&lt;&gt;Válido")=0),"Válido","Revisar caso o detalle"))</f>
        <v>Válido</v>
      </c>
    </row>
    <row r="33" spans="1:13" ht="60" customHeight="1">
      <c r="A33" s="1" t="s">
        <v>176</v>
      </c>
      <c r="B33" s="10" t="s">
        <v>177</v>
      </c>
      <c r="C33" s="15" t="s">
        <v>58</v>
      </c>
      <c r="D33" s="15" t="s">
        <v>178</v>
      </c>
      <c r="E33" s="15" t="s">
        <v>179</v>
      </c>
      <c r="F33" s="15" t="s">
        <v>180</v>
      </c>
      <c r="G33" s="17">
        <v>1</v>
      </c>
      <c r="H33" s="18">
        <f>SUMIFS(Transacciones!$G$9:$G$3000,Transacciones!$B$9:$B$3000,A33,Transacciones!$D$9:$D$3000,"Principal")</f>
        <v>4</v>
      </c>
      <c r="I33" s="18">
        <f>SUMIFS(Transacciones!$G$9:$G$3000,Transacciones!$B$9:$B$3000,A33,Transacciones!$D$9:$D$3000,"Alternativo adicional")</f>
        <v>0</v>
      </c>
      <c r="J33" s="18">
        <f t="shared" si="0"/>
        <v>4</v>
      </c>
      <c r="K33" s="10" t="s">
        <v>181</v>
      </c>
      <c r="L33" s="10" t="s">
        <v>63</v>
      </c>
      <c r="M33" s="10" t="str">
        <f>IF(AND(ISNUMBER(G33),G33=0),"Excluido",IF(AND(ISNUMBER(G33),G33=1,COUNTIF($A$9:$A$500,A33)=1,OR(C33="E1",C33="E2"),D33&lt;&gt;"",E33&lt;&gt;"",F33&lt;&gt;"",J33&gt;=1,COUNTIFS(Transacciones!$B$9:$B$3000,A33,Transacciones!$H$9:$H$3000,"&lt;&gt;Válido")=0),"Válido","Revisar caso o detalle"))</f>
        <v>Válido</v>
      </c>
    </row>
    <row r="34" spans="1:13" ht="60" customHeight="1">
      <c r="A34" s="1" t="s">
        <v>182</v>
      </c>
      <c r="B34" s="10" t="s">
        <v>177</v>
      </c>
      <c r="C34" s="15" t="s">
        <v>58</v>
      </c>
      <c r="D34" s="15" t="s">
        <v>183</v>
      </c>
      <c r="E34" s="15" t="s">
        <v>184</v>
      </c>
      <c r="F34" s="15" t="s">
        <v>185</v>
      </c>
      <c r="G34" s="17">
        <v>1</v>
      </c>
      <c r="H34" s="18">
        <f>SUMIFS(Transacciones!$G$9:$G$3000,Transacciones!$B$9:$B$3000,A34,Transacciones!$D$9:$D$3000,"Principal")</f>
        <v>5</v>
      </c>
      <c r="I34" s="18">
        <f>SUMIFS(Transacciones!$G$9:$G$3000,Transacciones!$B$9:$B$3000,A34,Transacciones!$D$9:$D$3000,"Alternativo adicional")</f>
        <v>2</v>
      </c>
      <c r="J34" s="18">
        <f t="shared" si="0"/>
        <v>7</v>
      </c>
      <c r="K34" s="10" t="s">
        <v>186</v>
      </c>
      <c r="L34" s="10" t="s">
        <v>63</v>
      </c>
      <c r="M34" s="10" t="str">
        <f>IF(AND(ISNUMBER(G34),G34=0),"Excluido",IF(AND(ISNUMBER(G34),G34=1,COUNTIF($A$9:$A$500,A34)=1,OR(C34="E1",C34="E2"),D34&lt;&gt;"",E34&lt;&gt;"",F34&lt;&gt;"",J34&gt;=1,COUNTIFS(Transacciones!$B$9:$B$3000,A34,Transacciones!$H$9:$H$3000,"&lt;&gt;Válido")=0),"Válido","Revisar caso o detalle"))</f>
        <v>Válido</v>
      </c>
    </row>
    <row r="35" spans="1:13" ht="60" customHeight="1">
      <c r="A35" s="1" t="s">
        <v>187</v>
      </c>
      <c r="B35" s="10" t="s">
        <v>177</v>
      </c>
      <c r="C35" s="15" t="s">
        <v>58</v>
      </c>
      <c r="D35" s="15" t="s">
        <v>188</v>
      </c>
      <c r="E35" s="15" t="s">
        <v>189</v>
      </c>
      <c r="F35" s="15" t="s">
        <v>190</v>
      </c>
      <c r="G35" s="17">
        <v>1</v>
      </c>
      <c r="H35" s="18">
        <f>SUMIFS(Transacciones!$G$9:$G$3000,Transacciones!$B$9:$B$3000,A35,Transacciones!$D$9:$D$3000,"Principal")</f>
        <v>3</v>
      </c>
      <c r="I35" s="18">
        <f>SUMIFS(Transacciones!$G$9:$G$3000,Transacciones!$B$9:$B$3000,A35,Transacciones!$D$9:$D$3000,"Alternativo adicional")</f>
        <v>0</v>
      </c>
      <c r="J35" s="18">
        <f t="shared" si="0"/>
        <v>3</v>
      </c>
      <c r="K35" s="10" t="s">
        <v>191</v>
      </c>
      <c r="L35" s="10" t="s">
        <v>63</v>
      </c>
      <c r="M35" s="10" t="str">
        <f>IF(AND(ISNUMBER(G35),G35=0),"Excluido",IF(AND(ISNUMBER(G35),G35=1,COUNTIF($A$9:$A$500,A35)=1,OR(C35="E1",C35="E2"),D35&lt;&gt;"",E35&lt;&gt;"",F35&lt;&gt;"",J35&gt;=1,COUNTIFS(Transacciones!$B$9:$B$3000,A35,Transacciones!$H$9:$H$3000,"&lt;&gt;Válido")=0),"Válido","Revisar caso o detalle"))</f>
        <v>Válido</v>
      </c>
    </row>
    <row r="36" spans="1:13" ht="60" customHeight="1">
      <c r="A36" s="1" t="s">
        <v>192</v>
      </c>
      <c r="B36" s="10" t="s">
        <v>193</v>
      </c>
      <c r="C36" s="15" t="s">
        <v>58</v>
      </c>
      <c r="D36" s="15" t="s">
        <v>194</v>
      </c>
      <c r="E36" s="15" t="s">
        <v>195</v>
      </c>
      <c r="F36" s="15" t="s">
        <v>190</v>
      </c>
      <c r="G36" s="17">
        <v>1</v>
      </c>
      <c r="H36" s="18">
        <f>SUMIFS(Transacciones!$G$9:$G$3000,Transacciones!$B$9:$B$3000,A36,Transacciones!$D$9:$D$3000,"Principal")</f>
        <v>4</v>
      </c>
      <c r="I36" s="18">
        <f>SUMIFS(Transacciones!$G$9:$G$3000,Transacciones!$B$9:$B$3000,A36,Transacciones!$D$9:$D$3000,"Alternativo adicional")</f>
        <v>0</v>
      </c>
      <c r="J36" s="18">
        <f t="shared" si="0"/>
        <v>4</v>
      </c>
      <c r="K36" s="10" t="s">
        <v>196</v>
      </c>
      <c r="L36" s="10" t="s">
        <v>63</v>
      </c>
      <c r="M36" s="10" t="str">
        <f>IF(AND(ISNUMBER(G36),G36=0),"Excluido",IF(AND(ISNUMBER(G36),G36=1,COUNTIF($A$9:$A$500,A36)=1,OR(C36="E1",C36="E2"),D36&lt;&gt;"",E36&lt;&gt;"",F36&lt;&gt;"",J36&gt;=1,COUNTIFS(Transacciones!$B$9:$B$3000,A36,Transacciones!$H$9:$H$3000,"&lt;&gt;Válido")=0),"Válido","Revisar caso o detalle"))</f>
        <v>Válido</v>
      </c>
    </row>
    <row r="37" spans="1:13" ht="60" customHeight="1">
      <c r="A37" s="1" t="s">
        <v>197</v>
      </c>
      <c r="B37" s="10" t="s">
        <v>193</v>
      </c>
      <c r="C37" s="15" t="s">
        <v>58</v>
      </c>
      <c r="D37" s="15" t="s">
        <v>198</v>
      </c>
      <c r="E37" s="15" t="s">
        <v>199</v>
      </c>
      <c r="F37" s="15" t="s">
        <v>200</v>
      </c>
      <c r="G37" s="17">
        <v>1</v>
      </c>
      <c r="H37" s="18">
        <f>SUMIFS(Transacciones!$G$9:$G$3000,Transacciones!$B$9:$B$3000,A37,Transacciones!$D$9:$D$3000,"Principal")</f>
        <v>3</v>
      </c>
      <c r="I37" s="18">
        <f>SUMIFS(Transacciones!$G$9:$G$3000,Transacciones!$B$9:$B$3000,A37,Transacciones!$D$9:$D$3000,"Alternativo adicional")</f>
        <v>1</v>
      </c>
      <c r="J37" s="18">
        <f t="shared" si="0"/>
        <v>4</v>
      </c>
      <c r="K37" s="10" t="s">
        <v>201</v>
      </c>
      <c r="L37" s="10" t="s">
        <v>63</v>
      </c>
      <c r="M37" s="10" t="str">
        <f>IF(AND(ISNUMBER(G37),G37=0),"Excluido",IF(AND(ISNUMBER(G37),G37=1,COUNTIF($A$9:$A$500,A37)=1,OR(C37="E1",C37="E2"),D37&lt;&gt;"",E37&lt;&gt;"",F37&lt;&gt;"",J37&gt;=1,COUNTIFS(Transacciones!$B$9:$B$3000,A37,Transacciones!$H$9:$H$3000,"&lt;&gt;Válido")=0),"Válido","Revisar caso o detalle"))</f>
        <v>Válido</v>
      </c>
    </row>
    <row r="38" spans="1:13" ht="60" customHeight="1">
      <c r="A38" s="1" t="s">
        <v>202</v>
      </c>
      <c r="B38" s="10" t="s">
        <v>193</v>
      </c>
      <c r="C38" s="15" t="s">
        <v>58</v>
      </c>
      <c r="D38" s="15" t="s">
        <v>203</v>
      </c>
      <c r="E38" s="15" t="s">
        <v>204</v>
      </c>
      <c r="F38" s="15" t="s">
        <v>123</v>
      </c>
      <c r="G38" s="17">
        <v>1</v>
      </c>
      <c r="H38" s="18">
        <f>SUMIFS(Transacciones!$G$9:$G$3000,Transacciones!$B$9:$B$3000,A38,Transacciones!$D$9:$D$3000,"Principal")</f>
        <v>4</v>
      </c>
      <c r="I38" s="18">
        <f>SUMIFS(Transacciones!$G$9:$G$3000,Transacciones!$B$9:$B$3000,A38,Transacciones!$D$9:$D$3000,"Alternativo adicional")</f>
        <v>0</v>
      </c>
      <c r="J38" s="18">
        <f t="shared" si="0"/>
        <v>4</v>
      </c>
      <c r="K38" s="10" t="s">
        <v>205</v>
      </c>
      <c r="L38" s="10" t="s">
        <v>63</v>
      </c>
      <c r="M38" s="10" t="str">
        <f>IF(AND(ISNUMBER(G38),G38=0),"Excluido",IF(AND(ISNUMBER(G38),G38=1,COUNTIF($A$9:$A$500,A38)=1,OR(C38="E1",C38="E2"),D38&lt;&gt;"",E38&lt;&gt;"",F38&lt;&gt;"",J38&gt;=1,COUNTIFS(Transacciones!$B$9:$B$3000,A38,Transacciones!$H$9:$H$3000,"&lt;&gt;Válido")=0),"Válido","Revisar caso o detalle"))</f>
        <v>Válido</v>
      </c>
    </row>
    <row r="39" spans="1:13" ht="60" customHeight="1">
      <c r="A39" s="1" t="s">
        <v>206</v>
      </c>
      <c r="B39" s="10" t="s">
        <v>193</v>
      </c>
      <c r="C39" s="15" t="s">
        <v>58</v>
      </c>
      <c r="D39" s="15" t="s">
        <v>207</v>
      </c>
      <c r="E39" s="15" t="s">
        <v>208</v>
      </c>
      <c r="F39" s="15" t="s">
        <v>209</v>
      </c>
      <c r="G39" s="17">
        <v>1</v>
      </c>
      <c r="H39" s="18">
        <f>SUMIFS(Transacciones!$G$9:$G$3000,Transacciones!$B$9:$B$3000,A39,Transacciones!$D$9:$D$3000,"Principal")</f>
        <v>6</v>
      </c>
      <c r="I39" s="18">
        <f>SUMIFS(Transacciones!$G$9:$G$3000,Transacciones!$B$9:$B$3000,A39,Transacciones!$D$9:$D$3000,"Alternativo adicional")</f>
        <v>0</v>
      </c>
      <c r="J39" s="18">
        <f t="shared" si="0"/>
        <v>6</v>
      </c>
      <c r="K39" s="10" t="s">
        <v>210</v>
      </c>
      <c r="L39" s="10" t="s">
        <v>63</v>
      </c>
      <c r="M39" s="10" t="str">
        <f>IF(AND(ISNUMBER(G39),G39=0),"Excluido",IF(AND(ISNUMBER(G39),G39=1,COUNTIF($A$9:$A$500,A39)=1,OR(C39="E1",C39="E2"),D39&lt;&gt;"",E39&lt;&gt;"",F39&lt;&gt;"",J39&gt;=1,COUNTIFS(Transacciones!$B$9:$B$3000,A39,Transacciones!$H$9:$H$3000,"&lt;&gt;Válido")=0),"Válido","Revisar caso o detalle"))</f>
        <v>Válido</v>
      </c>
    </row>
    <row r="40" spans="1:13" ht="60" customHeight="1">
      <c r="A40" s="1" t="s">
        <v>211</v>
      </c>
      <c r="B40" s="10" t="s">
        <v>193</v>
      </c>
      <c r="C40" s="15" t="s">
        <v>58</v>
      </c>
      <c r="D40" s="15" t="s">
        <v>212</v>
      </c>
      <c r="E40" s="15" t="s">
        <v>213</v>
      </c>
      <c r="F40" s="15" t="s">
        <v>128</v>
      </c>
      <c r="G40" s="17">
        <v>1</v>
      </c>
      <c r="H40" s="18">
        <f>SUMIFS(Transacciones!$G$9:$G$3000,Transacciones!$B$9:$B$3000,A40,Transacciones!$D$9:$D$3000,"Principal")</f>
        <v>5</v>
      </c>
      <c r="I40" s="18">
        <f>SUMIFS(Transacciones!$G$9:$G$3000,Transacciones!$B$9:$B$3000,A40,Transacciones!$D$9:$D$3000,"Alternativo adicional")</f>
        <v>0</v>
      </c>
      <c r="J40" s="18">
        <f t="shared" si="0"/>
        <v>5</v>
      </c>
      <c r="K40" s="10" t="s">
        <v>214</v>
      </c>
      <c r="L40" s="10" t="s">
        <v>63</v>
      </c>
      <c r="M40" s="10" t="str">
        <f>IF(AND(ISNUMBER(G40),G40=0),"Excluido",IF(AND(ISNUMBER(G40),G40=1,COUNTIF($A$9:$A$500,A40)=1,OR(C40="E1",C40="E2"),D40&lt;&gt;"",E40&lt;&gt;"",F40&lt;&gt;"",J40&gt;=1,COUNTIFS(Transacciones!$B$9:$B$3000,A40,Transacciones!$H$9:$H$3000,"&lt;&gt;Válido")=0),"Válido","Revisar caso o detalle"))</f>
        <v>Válido</v>
      </c>
    </row>
    <row r="41" spans="1:13" ht="60" customHeight="1">
      <c r="A41" s="1" t="s">
        <v>215</v>
      </c>
      <c r="B41" s="10" t="s">
        <v>193</v>
      </c>
      <c r="C41" s="15" t="s">
        <v>216</v>
      </c>
      <c r="D41" s="15" t="s">
        <v>217</v>
      </c>
      <c r="E41" s="15" t="s">
        <v>218</v>
      </c>
      <c r="F41" s="15" t="s">
        <v>219</v>
      </c>
      <c r="G41" s="17">
        <v>1</v>
      </c>
      <c r="H41" s="18">
        <f>SUMIFS(Transacciones!$G$9:$G$3000,Transacciones!$B$9:$B$3000,A41,Transacciones!$D$9:$D$3000,"Principal")</f>
        <v>4</v>
      </c>
      <c r="I41" s="18">
        <f>SUMIFS(Transacciones!$G$9:$G$3000,Transacciones!$B$9:$B$3000,A41,Transacciones!$D$9:$D$3000,"Alternativo adicional")</f>
        <v>0</v>
      </c>
      <c r="J41" s="18">
        <f t="shared" ref="J41:J72" si="1">SUM(H41:I41)</f>
        <v>4</v>
      </c>
      <c r="K41" s="10" t="s">
        <v>220</v>
      </c>
      <c r="L41" s="10" t="s">
        <v>63</v>
      </c>
      <c r="M41" s="10" t="str">
        <f>IF(AND(ISNUMBER(G41),G41=0),"Excluido",IF(AND(ISNUMBER(G41),G41=1,COUNTIF($A$9:$A$500,A41)=1,OR(C41="E1",C41="E2"),D41&lt;&gt;"",E41&lt;&gt;"",F41&lt;&gt;"",J41&gt;=1,COUNTIFS(Transacciones!$B$9:$B$3000,A41,Transacciones!$H$9:$H$3000,"&lt;&gt;Válido")=0),"Válido","Revisar caso o detalle"))</f>
        <v>Válido</v>
      </c>
    </row>
    <row r="42" spans="1:13" ht="60" customHeight="1">
      <c r="A42" s="1" t="s">
        <v>221</v>
      </c>
      <c r="B42" s="10" t="s">
        <v>193</v>
      </c>
      <c r="C42" s="15" t="s">
        <v>216</v>
      </c>
      <c r="D42" s="15" t="s">
        <v>222</v>
      </c>
      <c r="E42" s="15" t="s">
        <v>223</v>
      </c>
      <c r="F42" s="15" t="s">
        <v>128</v>
      </c>
      <c r="G42" s="17">
        <v>1</v>
      </c>
      <c r="H42" s="18">
        <f>SUMIFS(Transacciones!$G$9:$G$3000,Transacciones!$B$9:$B$3000,A42,Transacciones!$D$9:$D$3000,"Principal")</f>
        <v>4</v>
      </c>
      <c r="I42" s="18">
        <f>SUMIFS(Transacciones!$G$9:$G$3000,Transacciones!$B$9:$B$3000,A42,Transacciones!$D$9:$D$3000,"Alternativo adicional")</f>
        <v>0</v>
      </c>
      <c r="J42" s="18">
        <f t="shared" si="1"/>
        <v>4</v>
      </c>
      <c r="K42" s="10" t="s">
        <v>220</v>
      </c>
      <c r="L42" s="10" t="s">
        <v>63</v>
      </c>
      <c r="M42" s="10" t="str">
        <f>IF(AND(ISNUMBER(G42),G42=0),"Excluido",IF(AND(ISNUMBER(G42),G42=1,COUNTIF($A$9:$A$500,A42)=1,OR(C42="E1",C42="E2"),D42&lt;&gt;"",E42&lt;&gt;"",F42&lt;&gt;"",J42&gt;=1,COUNTIFS(Transacciones!$B$9:$B$3000,A42,Transacciones!$H$9:$H$3000,"&lt;&gt;Válido")=0),"Válido","Revisar caso o detalle"))</f>
        <v>Válido</v>
      </c>
    </row>
    <row r="43" spans="1:13" ht="60" customHeight="1">
      <c r="A43" s="1" t="s">
        <v>224</v>
      </c>
      <c r="B43" s="10" t="s">
        <v>136</v>
      </c>
      <c r="C43" s="15" t="s">
        <v>58</v>
      </c>
      <c r="D43" s="15" t="s">
        <v>225</v>
      </c>
      <c r="E43" s="15" t="s">
        <v>226</v>
      </c>
      <c r="F43" s="15" t="s">
        <v>174</v>
      </c>
      <c r="G43" s="17">
        <v>1</v>
      </c>
      <c r="H43" s="18">
        <f>SUMIFS(Transacciones!$G$9:$G$3000,Transacciones!$B$9:$B$3000,A43,Transacciones!$D$9:$D$3000,"Principal")</f>
        <v>3</v>
      </c>
      <c r="I43" s="18">
        <f>SUMIFS(Transacciones!$G$9:$G$3000,Transacciones!$B$9:$B$3000,A43,Transacciones!$D$9:$D$3000,"Alternativo adicional")</f>
        <v>0</v>
      </c>
      <c r="J43" s="18">
        <f t="shared" si="1"/>
        <v>3</v>
      </c>
      <c r="K43" s="10" t="s">
        <v>227</v>
      </c>
      <c r="L43" s="10" t="s">
        <v>63</v>
      </c>
      <c r="M43" s="10" t="str">
        <f>IF(AND(ISNUMBER(G43),G43=0),"Excluido",IF(AND(ISNUMBER(G43),G43=1,COUNTIF($A$9:$A$500,A43)=1,OR(C43="E1",C43="E2"),D43&lt;&gt;"",E43&lt;&gt;"",F43&lt;&gt;"",J43&gt;=1,COUNTIFS(Transacciones!$B$9:$B$3000,A43,Transacciones!$H$9:$H$3000,"&lt;&gt;Válido")=0),"Válido","Revisar caso o detalle"))</f>
        <v>Válido</v>
      </c>
    </row>
    <row r="44" spans="1:13" ht="60" customHeight="1">
      <c r="A44" s="1" t="s">
        <v>228</v>
      </c>
      <c r="B44" s="10" t="s">
        <v>229</v>
      </c>
      <c r="C44" s="15" t="s">
        <v>58</v>
      </c>
      <c r="D44" s="15" t="s">
        <v>230</v>
      </c>
      <c r="E44" s="15" t="s">
        <v>231</v>
      </c>
      <c r="F44" s="15" t="s">
        <v>190</v>
      </c>
      <c r="G44" s="17">
        <v>1</v>
      </c>
      <c r="H44" s="18">
        <f>SUMIFS(Transacciones!$G$9:$G$3000,Transacciones!$B$9:$B$3000,A44,Transacciones!$D$9:$D$3000,"Principal")</f>
        <v>4</v>
      </c>
      <c r="I44" s="18">
        <f>SUMIFS(Transacciones!$G$9:$G$3000,Transacciones!$B$9:$B$3000,A44,Transacciones!$D$9:$D$3000,"Alternativo adicional")</f>
        <v>0</v>
      </c>
      <c r="J44" s="18">
        <f t="shared" si="1"/>
        <v>4</v>
      </c>
      <c r="K44" s="10" t="s">
        <v>232</v>
      </c>
      <c r="L44" s="10" t="s">
        <v>63</v>
      </c>
      <c r="M44" s="10" t="str">
        <f>IF(AND(ISNUMBER(G44),G44=0),"Excluido",IF(AND(ISNUMBER(G44),G44=1,COUNTIF($A$9:$A$500,A44)=1,OR(C44="E1",C44="E2"),D44&lt;&gt;"",E44&lt;&gt;"",F44&lt;&gt;"",J44&gt;=1,COUNTIFS(Transacciones!$B$9:$B$3000,A44,Transacciones!$H$9:$H$3000,"&lt;&gt;Válido")=0),"Válido","Revisar caso o detalle"))</f>
        <v>Válido</v>
      </c>
    </row>
    <row r="45" spans="1:13" ht="60" customHeight="1">
      <c r="A45" s="1" t="s">
        <v>233</v>
      </c>
      <c r="B45" s="10" t="s">
        <v>229</v>
      </c>
      <c r="C45" s="15" t="s">
        <v>58</v>
      </c>
      <c r="D45" s="15" t="s">
        <v>234</v>
      </c>
      <c r="E45" s="15" t="s">
        <v>235</v>
      </c>
      <c r="F45" s="15" t="s">
        <v>236</v>
      </c>
      <c r="G45" s="17">
        <v>1</v>
      </c>
      <c r="H45" s="18">
        <f>SUMIFS(Transacciones!$G$9:$G$3000,Transacciones!$B$9:$B$3000,A45,Transacciones!$D$9:$D$3000,"Principal")</f>
        <v>4</v>
      </c>
      <c r="I45" s="18">
        <f>SUMIFS(Transacciones!$G$9:$G$3000,Transacciones!$B$9:$B$3000,A45,Transacciones!$D$9:$D$3000,"Alternativo adicional")</f>
        <v>1</v>
      </c>
      <c r="J45" s="18">
        <f t="shared" si="1"/>
        <v>5</v>
      </c>
      <c r="K45" s="10" t="s">
        <v>237</v>
      </c>
      <c r="L45" s="10" t="s">
        <v>63</v>
      </c>
      <c r="M45" s="10" t="str">
        <f>IF(AND(ISNUMBER(G45),G45=0),"Excluido",IF(AND(ISNUMBER(G45),G45=1,COUNTIF($A$9:$A$500,A45)=1,OR(C45="E1",C45="E2"),D45&lt;&gt;"",E45&lt;&gt;"",F45&lt;&gt;"",J45&gt;=1,COUNTIFS(Transacciones!$B$9:$B$3000,A45,Transacciones!$H$9:$H$3000,"&lt;&gt;Válido")=0),"Válido","Revisar caso o detalle"))</f>
        <v>Válido</v>
      </c>
    </row>
    <row r="46" spans="1:13" ht="60" customHeight="1">
      <c r="A46" s="1" t="s">
        <v>238</v>
      </c>
      <c r="B46" s="10" t="s">
        <v>229</v>
      </c>
      <c r="C46" s="15" t="s">
        <v>58</v>
      </c>
      <c r="D46" s="15" t="s">
        <v>239</v>
      </c>
      <c r="E46" s="15" t="s">
        <v>240</v>
      </c>
      <c r="F46" s="15" t="s">
        <v>241</v>
      </c>
      <c r="G46" s="17">
        <v>1</v>
      </c>
      <c r="H46" s="18">
        <f>SUMIFS(Transacciones!$G$9:$G$3000,Transacciones!$B$9:$B$3000,A46,Transacciones!$D$9:$D$3000,"Principal")</f>
        <v>4</v>
      </c>
      <c r="I46" s="18">
        <f>SUMIFS(Transacciones!$G$9:$G$3000,Transacciones!$B$9:$B$3000,A46,Transacciones!$D$9:$D$3000,"Alternativo adicional")</f>
        <v>0</v>
      </c>
      <c r="J46" s="18">
        <f t="shared" si="1"/>
        <v>4</v>
      </c>
      <c r="K46" s="10" t="s">
        <v>242</v>
      </c>
      <c r="L46" s="10" t="s">
        <v>63</v>
      </c>
      <c r="M46" s="10" t="str">
        <f>IF(AND(ISNUMBER(G46),G46=0),"Excluido",IF(AND(ISNUMBER(G46),G46=1,COUNTIF($A$9:$A$500,A46)=1,OR(C46="E1",C46="E2"),D46&lt;&gt;"",E46&lt;&gt;"",F46&lt;&gt;"",J46&gt;=1,COUNTIFS(Transacciones!$B$9:$B$3000,A46,Transacciones!$H$9:$H$3000,"&lt;&gt;Válido")=0),"Válido","Revisar caso o detalle"))</f>
        <v>Válido</v>
      </c>
    </row>
    <row r="47" spans="1:13" ht="60" customHeight="1">
      <c r="A47" s="1" t="s">
        <v>243</v>
      </c>
      <c r="B47" s="10" t="s">
        <v>229</v>
      </c>
      <c r="C47" s="15" t="s">
        <v>58</v>
      </c>
      <c r="D47" s="15" t="s">
        <v>244</v>
      </c>
      <c r="E47" s="15" t="s">
        <v>245</v>
      </c>
      <c r="F47" s="15" t="s">
        <v>246</v>
      </c>
      <c r="G47" s="17">
        <v>1</v>
      </c>
      <c r="H47" s="18">
        <f>SUMIFS(Transacciones!$G$9:$G$3000,Transacciones!$B$9:$B$3000,A47,Transacciones!$D$9:$D$3000,"Principal")</f>
        <v>4</v>
      </c>
      <c r="I47" s="18">
        <f>SUMIFS(Transacciones!$G$9:$G$3000,Transacciones!$B$9:$B$3000,A47,Transacciones!$D$9:$D$3000,"Alternativo adicional")</f>
        <v>0</v>
      </c>
      <c r="J47" s="18">
        <f t="shared" si="1"/>
        <v>4</v>
      </c>
      <c r="K47" s="10" t="s">
        <v>247</v>
      </c>
      <c r="L47" s="10" t="s">
        <v>63</v>
      </c>
      <c r="M47" s="10" t="str">
        <f>IF(AND(ISNUMBER(G47),G47=0),"Excluido",IF(AND(ISNUMBER(G47),G47=1,COUNTIF($A$9:$A$500,A47)=1,OR(C47="E1",C47="E2"),D47&lt;&gt;"",E47&lt;&gt;"",F47&lt;&gt;"",J47&gt;=1,COUNTIFS(Transacciones!$B$9:$B$3000,A47,Transacciones!$H$9:$H$3000,"&lt;&gt;Válido")=0),"Válido","Revisar caso o detalle"))</f>
        <v>Válido</v>
      </c>
    </row>
    <row r="48" spans="1:13" ht="60" customHeight="1">
      <c r="A48" s="1" t="s">
        <v>248</v>
      </c>
      <c r="B48" s="10" t="s">
        <v>249</v>
      </c>
      <c r="C48" s="15" t="s">
        <v>58</v>
      </c>
      <c r="D48" s="15" t="s">
        <v>250</v>
      </c>
      <c r="E48" s="15" t="s">
        <v>251</v>
      </c>
      <c r="F48" s="15" t="s">
        <v>252</v>
      </c>
      <c r="G48" s="17">
        <v>1</v>
      </c>
      <c r="H48" s="18">
        <f>SUMIFS(Transacciones!$G$9:$G$3000,Transacciones!$B$9:$B$3000,A48,Transacciones!$D$9:$D$3000,"Principal")</f>
        <v>4</v>
      </c>
      <c r="I48" s="18">
        <f>SUMIFS(Transacciones!$G$9:$G$3000,Transacciones!$B$9:$B$3000,A48,Transacciones!$D$9:$D$3000,"Alternativo adicional")</f>
        <v>0</v>
      </c>
      <c r="J48" s="18">
        <f t="shared" si="1"/>
        <v>4</v>
      </c>
      <c r="K48" s="10" t="s">
        <v>253</v>
      </c>
      <c r="L48" s="10" t="s">
        <v>63</v>
      </c>
      <c r="M48" s="10" t="str">
        <f>IF(AND(ISNUMBER(G48),G48=0),"Excluido",IF(AND(ISNUMBER(G48),G48=1,COUNTIF($A$9:$A$500,A48)=1,OR(C48="E1",C48="E2"),D48&lt;&gt;"",E48&lt;&gt;"",F48&lt;&gt;"",J48&gt;=1,COUNTIFS(Transacciones!$B$9:$B$3000,A48,Transacciones!$H$9:$H$3000,"&lt;&gt;Válido")=0),"Válido","Revisar caso o detalle"))</f>
        <v>Válido</v>
      </c>
    </row>
    <row r="49" spans="1:13" ht="60" customHeight="1">
      <c r="A49" s="1" t="s">
        <v>254</v>
      </c>
      <c r="B49" s="10" t="s">
        <v>249</v>
      </c>
      <c r="C49" s="15" t="s">
        <v>58</v>
      </c>
      <c r="D49" s="15" t="s">
        <v>255</v>
      </c>
      <c r="E49" s="15" t="s">
        <v>256</v>
      </c>
      <c r="F49" s="15" t="s">
        <v>257</v>
      </c>
      <c r="G49" s="17">
        <v>1</v>
      </c>
      <c r="H49" s="18">
        <f>SUMIFS(Transacciones!$G$9:$G$3000,Transacciones!$B$9:$B$3000,A49,Transacciones!$D$9:$D$3000,"Principal")</f>
        <v>6</v>
      </c>
      <c r="I49" s="18">
        <f>SUMIFS(Transacciones!$G$9:$G$3000,Transacciones!$B$9:$B$3000,A49,Transacciones!$D$9:$D$3000,"Alternativo adicional")</f>
        <v>0</v>
      </c>
      <c r="J49" s="18">
        <f t="shared" si="1"/>
        <v>6</v>
      </c>
      <c r="K49" s="10" t="s">
        <v>258</v>
      </c>
      <c r="L49" s="10" t="s">
        <v>63</v>
      </c>
      <c r="M49" s="10" t="str">
        <f>IF(AND(ISNUMBER(G49),G49=0),"Excluido",IF(AND(ISNUMBER(G49),G49=1,COUNTIF($A$9:$A$500,A49)=1,OR(C49="E1",C49="E2"),D49&lt;&gt;"",E49&lt;&gt;"",F49&lt;&gt;"",J49&gt;=1,COUNTIFS(Transacciones!$B$9:$B$3000,A49,Transacciones!$H$9:$H$3000,"&lt;&gt;Válido")=0),"Válido","Revisar caso o detalle"))</f>
        <v>Válido</v>
      </c>
    </row>
    <row r="50" spans="1:13" ht="60" customHeight="1">
      <c r="A50" s="1" t="s">
        <v>259</v>
      </c>
      <c r="B50" s="10" t="s">
        <v>249</v>
      </c>
      <c r="C50" s="15" t="s">
        <v>58</v>
      </c>
      <c r="D50" s="15" t="s">
        <v>260</v>
      </c>
      <c r="E50" s="15" t="s">
        <v>261</v>
      </c>
      <c r="F50" s="15" t="s">
        <v>262</v>
      </c>
      <c r="G50" s="17">
        <v>1</v>
      </c>
      <c r="H50" s="18">
        <f>SUMIFS(Transacciones!$G$9:$G$3000,Transacciones!$B$9:$B$3000,A50,Transacciones!$D$9:$D$3000,"Principal")</f>
        <v>1</v>
      </c>
      <c r="I50" s="18">
        <f>SUMIFS(Transacciones!$G$9:$G$3000,Transacciones!$B$9:$B$3000,A50,Transacciones!$D$9:$D$3000,"Alternativo adicional")</f>
        <v>0</v>
      </c>
      <c r="J50" s="18">
        <f t="shared" si="1"/>
        <v>1</v>
      </c>
      <c r="K50" s="10" t="s">
        <v>263</v>
      </c>
      <c r="L50" s="10" t="s">
        <v>63</v>
      </c>
      <c r="M50" s="10" t="str">
        <f>IF(AND(ISNUMBER(G50),G50=0),"Excluido",IF(AND(ISNUMBER(G50),G50=1,COUNTIF($A$9:$A$500,A50)=1,OR(C50="E1",C50="E2"),D50&lt;&gt;"",E50&lt;&gt;"",F50&lt;&gt;"",J50&gt;=1,COUNTIFS(Transacciones!$B$9:$B$3000,A50,Transacciones!$H$9:$H$3000,"&lt;&gt;Válido")=0),"Válido","Revisar caso o detalle"))</f>
        <v>Válido</v>
      </c>
    </row>
    <row r="51" spans="1:13" ht="60" customHeight="1">
      <c r="A51" s="1" t="s">
        <v>264</v>
      </c>
      <c r="B51" s="10" t="s">
        <v>249</v>
      </c>
      <c r="C51" s="15" t="s">
        <v>58</v>
      </c>
      <c r="D51" s="15" t="s">
        <v>265</v>
      </c>
      <c r="E51" s="15" t="s">
        <v>266</v>
      </c>
      <c r="F51" s="15" t="s">
        <v>257</v>
      </c>
      <c r="G51" s="17">
        <v>1</v>
      </c>
      <c r="H51" s="18">
        <f>SUMIFS(Transacciones!$G$9:$G$3000,Transacciones!$B$9:$B$3000,A51,Transacciones!$D$9:$D$3000,"Principal")</f>
        <v>6</v>
      </c>
      <c r="I51" s="18">
        <f>SUMIFS(Transacciones!$G$9:$G$3000,Transacciones!$B$9:$B$3000,A51,Transacciones!$D$9:$D$3000,"Alternativo adicional")</f>
        <v>0</v>
      </c>
      <c r="J51" s="18">
        <f t="shared" si="1"/>
        <v>6</v>
      </c>
      <c r="K51" s="10" t="s">
        <v>267</v>
      </c>
      <c r="L51" s="10" t="s">
        <v>63</v>
      </c>
      <c r="M51" s="10" t="str">
        <f>IF(AND(ISNUMBER(G51),G51=0),"Excluido",IF(AND(ISNUMBER(G51),G51=1,COUNTIF($A$9:$A$500,A51)=1,OR(C51="E1",C51="E2"),D51&lt;&gt;"",E51&lt;&gt;"",F51&lt;&gt;"",J51&gt;=1,COUNTIFS(Transacciones!$B$9:$B$3000,A51,Transacciones!$H$9:$H$3000,"&lt;&gt;Válido")=0),"Válido","Revisar caso o detalle"))</f>
        <v>Válido</v>
      </c>
    </row>
    <row r="52" spans="1:13" ht="60" customHeight="1">
      <c r="A52" s="1" t="s">
        <v>268</v>
      </c>
      <c r="B52" s="10" t="s">
        <v>249</v>
      </c>
      <c r="C52" s="15" t="s">
        <v>58</v>
      </c>
      <c r="D52" s="15" t="s">
        <v>269</v>
      </c>
      <c r="E52" s="15" t="s">
        <v>270</v>
      </c>
      <c r="F52" s="15" t="s">
        <v>271</v>
      </c>
      <c r="G52" s="17">
        <v>1</v>
      </c>
      <c r="H52" s="18">
        <f>SUMIFS(Transacciones!$G$9:$G$3000,Transacciones!$B$9:$B$3000,A52,Transacciones!$D$9:$D$3000,"Principal")</f>
        <v>4</v>
      </c>
      <c r="I52" s="18">
        <f>SUMIFS(Transacciones!$G$9:$G$3000,Transacciones!$B$9:$B$3000,A52,Transacciones!$D$9:$D$3000,"Alternativo adicional")</f>
        <v>1</v>
      </c>
      <c r="J52" s="18">
        <f t="shared" si="1"/>
        <v>5</v>
      </c>
      <c r="K52" s="10" t="s">
        <v>272</v>
      </c>
      <c r="L52" s="10" t="s">
        <v>63</v>
      </c>
      <c r="M52" s="10" t="str">
        <f>IF(AND(ISNUMBER(G52),G52=0),"Excluido",IF(AND(ISNUMBER(G52),G52=1,COUNTIF($A$9:$A$500,A52)=1,OR(C52="E1",C52="E2"),D52&lt;&gt;"",E52&lt;&gt;"",F52&lt;&gt;"",J52&gt;=1,COUNTIFS(Transacciones!$B$9:$B$3000,A52,Transacciones!$H$9:$H$3000,"&lt;&gt;Válido")=0),"Válido","Revisar caso o detalle"))</f>
        <v>Válido</v>
      </c>
    </row>
    <row r="53" spans="1:13" ht="60" customHeight="1">
      <c r="A53" s="1" t="s">
        <v>273</v>
      </c>
      <c r="B53" s="10" t="s">
        <v>249</v>
      </c>
      <c r="C53" s="15" t="s">
        <v>58</v>
      </c>
      <c r="D53" s="15" t="s">
        <v>274</v>
      </c>
      <c r="E53" s="15" t="s">
        <v>275</v>
      </c>
      <c r="F53" s="15" t="s">
        <v>276</v>
      </c>
      <c r="G53" s="17">
        <v>1</v>
      </c>
      <c r="H53" s="18">
        <f>SUMIFS(Transacciones!$G$9:$G$3000,Transacciones!$B$9:$B$3000,A53,Transacciones!$D$9:$D$3000,"Principal")</f>
        <v>5</v>
      </c>
      <c r="I53" s="18">
        <f>SUMIFS(Transacciones!$G$9:$G$3000,Transacciones!$B$9:$B$3000,A53,Transacciones!$D$9:$D$3000,"Alternativo adicional")</f>
        <v>0</v>
      </c>
      <c r="J53" s="18">
        <f t="shared" si="1"/>
        <v>5</v>
      </c>
      <c r="K53" s="10" t="s">
        <v>277</v>
      </c>
      <c r="L53" s="10" t="s">
        <v>63</v>
      </c>
      <c r="M53" s="10" t="str">
        <f>IF(AND(ISNUMBER(G53),G53=0),"Excluido",IF(AND(ISNUMBER(G53),G53=1,COUNTIF($A$9:$A$500,A53)=1,OR(C53="E1",C53="E2"),D53&lt;&gt;"",E53&lt;&gt;"",F53&lt;&gt;"",J53&gt;=1,COUNTIFS(Transacciones!$B$9:$B$3000,A53,Transacciones!$H$9:$H$3000,"&lt;&gt;Válido")=0),"Válido","Revisar caso o detalle"))</f>
        <v>Válido</v>
      </c>
    </row>
    <row r="54" spans="1:13" ht="60" customHeight="1">
      <c r="A54" s="1" t="s">
        <v>278</v>
      </c>
      <c r="B54" s="10" t="s">
        <v>249</v>
      </c>
      <c r="C54" s="15" t="s">
        <v>58</v>
      </c>
      <c r="D54" s="15" t="s">
        <v>279</v>
      </c>
      <c r="E54" s="15" t="s">
        <v>280</v>
      </c>
      <c r="F54" s="15" t="s">
        <v>257</v>
      </c>
      <c r="G54" s="17">
        <v>1</v>
      </c>
      <c r="H54" s="18">
        <f>SUMIFS(Transacciones!$G$9:$G$3000,Transacciones!$B$9:$B$3000,A54,Transacciones!$D$9:$D$3000,"Principal")</f>
        <v>3</v>
      </c>
      <c r="I54" s="18">
        <f>SUMIFS(Transacciones!$G$9:$G$3000,Transacciones!$B$9:$B$3000,A54,Transacciones!$D$9:$D$3000,"Alternativo adicional")</f>
        <v>0</v>
      </c>
      <c r="J54" s="18">
        <f t="shared" si="1"/>
        <v>3</v>
      </c>
      <c r="K54" s="10" t="s">
        <v>281</v>
      </c>
      <c r="L54" s="10" t="s">
        <v>63</v>
      </c>
      <c r="M54" s="10" t="str">
        <f>IF(AND(ISNUMBER(G54),G54=0),"Excluido",IF(AND(ISNUMBER(G54),G54=1,COUNTIF($A$9:$A$500,A54)=1,OR(C54="E1",C54="E2"),D54&lt;&gt;"",E54&lt;&gt;"",F54&lt;&gt;"",J54&gt;=1,COUNTIFS(Transacciones!$B$9:$B$3000,A54,Transacciones!$H$9:$H$3000,"&lt;&gt;Válido")=0),"Válido","Revisar caso o detalle"))</f>
        <v>Válido</v>
      </c>
    </row>
    <row r="55" spans="1:13" ht="60" customHeight="1">
      <c r="A55" s="1" t="s">
        <v>282</v>
      </c>
      <c r="B55" s="10" t="s">
        <v>283</v>
      </c>
      <c r="C55" s="15" t="s">
        <v>58</v>
      </c>
      <c r="D55" s="15" t="s">
        <v>284</v>
      </c>
      <c r="E55" s="15" t="s">
        <v>285</v>
      </c>
      <c r="F55" s="15" t="s">
        <v>286</v>
      </c>
      <c r="G55" s="17">
        <v>1</v>
      </c>
      <c r="H55" s="18">
        <f>SUMIFS(Transacciones!$G$9:$G$3000,Transacciones!$B$9:$B$3000,A55,Transacciones!$D$9:$D$3000,"Principal")</f>
        <v>4</v>
      </c>
      <c r="I55" s="18">
        <f>SUMIFS(Transacciones!$G$9:$G$3000,Transacciones!$B$9:$B$3000,A55,Transacciones!$D$9:$D$3000,"Alternativo adicional")</f>
        <v>0</v>
      </c>
      <c r="J55" s="18">
        <f t="shared" si="1"/>
        <v>4</v>
      </c>
      <c r="K55" s="10" t="s">
        <v>287</v>
      </c>
      <c r="L55" s="10" t="s">
        <v>63</v>
      </c>
      <c r="M55" s="10" t="str">
        <f>IF(AND(ISNUMBER(G55),G55=0),"Excluido",IF(AND(ISNUMBER(G55),G55=1,COUNTIF($A$9:$A$500,A55)=1,OR(C55="E1",C55="E2"),D55&lt;&gt;"",E55&lt;&gt;"",F55&lt;&gt;"",J55&gt;=1,COUNTIFS(Transacciones!$B$9:$B$3000,A55,Transacciones!$H$9:$H$3000,"&lt;&gt;Válido")=0),"Válido","Revisar caso o detalle"))</f>
        <v>Válido</v>
      </c>
    </row>
    <row r="56" spans="1:13" ht="60" customHeight="1">
      <c r="A56" s="1" t="s">
        <v>288</v>
      </c>
      <c r="B56" s="10" t="s">
        <v>283</v>
      </c>
      <c r="C56" s="15" t="s">
        <v>216</v>
      </c>
      <c r="D56" s="15" t="s">
        <v>289</v>
      </c>
      <c r="E56" s="15" t="s">
        <v>290</v>
      </c>
      <c r="F56" s="15" t="s">
        <v>291</v>
      </c>
      <c r="G56" s="17">
        <v>1</v>
      </c>
      <c r="H56" s="18">
        <f>SUMIFS(Transacciones!$G$9:$G$3000,Transacciones!$B$9:$B$3000,A56,Transacciones!$D$9:$D$3000,"Principal")</f>
        <v>5</v>
      </c>
      <c r="I56" s="18">
        <f>SUMIFS(Transacciones!$G$9:$G$3000,Transacciones!$B$9:$B$3000,A56,Transacciones!$D$9:$D$3000,"Alternativo adicional")</f>
        <v>0</v>
      </c>
      <c r="J56" s="18">
        <f t="shared" si="1"/>
        <v>5</v>
      </c>
      <c r="K56" s="10" t="s">
        <v>292</v>
      </c>
      <c r="L56" s="10" t="s">
        <v>63</v>
      </c>
      <c r="M56" s="10" t="str">
        <f>IF(AND(ISNUMBER(G56),G56=0),"Excluido",IF(AND(ISNUMBER(G56),G56=1,COUNTIF($A$9:$A$500,A56)=1,OR(C56="E1",C56="E2"),D56&lt;&gt;"",E56&lt;&gt;"",F56&lt;&gt;"",J56&gt;=1,COUNTIFS(Transacciones!$B$9:$B$3000,A56,Transacciones!$H$9:$H$3000,"&lt;&gt;Válido")=0),"Válido","Revisar caso o detalle"))</f>
        <v>Válido</v>
      </c>
    </row>
    <row r="57" spans="1:13" ht="60" customHeight="1">
      <c r="A57" s="1" t="s">
        <v>293</v>
      </c>
      <c r="B57" s="10" t="s">
        <v>283</v>
      </c>
      <c r="C57" s="15" t="s">
        <v>216</v>
      </c>
      <c r="D57" s="15" t="s">
        <v>294</v>
      </c>
      <c r="E57" s="15" t="s">
        <v>295</v>
      </c>
      <c r="F57" s="15" t="s">
        <v>133</v>
      </c>
      <c r="G57" s="17">
        <v>1</v>
      </c>
      <c r="H57" s="18">
        <f>SUMIFS(Transacciones!$G$9:$G$3000,Transacciones!$B$9:$B$3000,A57,Transacciones!$D$9:$D$3000,"Principal")</f>
        <v>4</v>
      </c>
      <c r="I57" s="18">
        <f>SUMIFS(Transacciones!$G$9:$G$3000,Transacciones!$B$9:$B$3000,A57,Transacciones!$D$9:$D$3000,"Alternativo adicional")</f>
        <v>0</v>
      </c>
      <c r="J57" s="18">
        <f t="shared" si="1"/>
        <v>4</v>
      </c>
      <c r="K57" s="10" t="s">
        <v>296</v>
      </c>
      <c r="L57" s="10" t="s">
        <v>63</v>
      </c>
      <c r="M57" s="10" t="str">
        <f>IF(AND(ISNUMBER(G57),G57=0),"Excluido",IF(AND(ISNUMBER(G57),G57=1,COUNTIF($A$9:$A$500,A57)=1,OR(C57="E1",C57="E2"),D57&lt;&gt;"",E57&lt;&gt;"",F57&lt;&gt;"",J57&gt;=1,COUNTIFS(Transacciones!$B$9:$B$3000,A57,Transacciones!$H$9:$H$3000,"&lt;&gt;Válido")=0),"Válido","Revisar caso o detalle"))</f>
        <v>Válido</v>
      </c>
    </row>
    <row r="58" spans="1:13" ht="60" customHeight="1">
      <c r="A58" s="1" t="s">
        <v>297</v>
      </c>
      <c r="B58" s="10" t="s">
        <v>283</v>
      </c>
      <c r="C58" s="15" t="s">
        <v>216</v>
      </c>
      <c r="D58" s="15" t="s">
        <v>298</v>
      </c>
      <c r="E58" s="15" t="s">
        <v>299</v>
      </c>
      <c r="F58" s="15" t="s">
        <v>300</v>
      </c>
      <c r="G58" s="17">
        <v>1</v>
      </c>
      <c r="H58" s="18">
        <f>SUMIFS(Transacciones!$G$9:$G$3000,Transacciones!$B$9:$B$3000,A58,Transacciones!$D$9:$D$3000,"Principal")</f>
        <v>4</v>
      </c>
      <c r="I58" s="18">
        <f>SUMIFS(Transacciones!$G$9:$G$3000,Transacciones!$B$9:$B$3000,A58,Transacciones!$D$9:$D$3000,"Alternativo adicional")</f>
        <v>0</v>
      </c>
      <c r="J58" s="18">
        <f t="shared" si="1"/>
        <v>4</v>
      </c>
      <c r="K58" s="10" t="s">
        <v>301</v>
      </c>
      <c r="L58" s="10" t="s">
        <v>63</v>
      </c>
      <c r="M58" s="10" t="str">
        <f>IF(AND(ISNUMBER(G58),G58=0),"Excluido",IF(AND(ISNUMBER(G58),G58=1,COUNTIF($A$9:$A$500,A58)=1,OR(C58="E1",C58="E2"),D58&lt;&gt;"",E58&lt;&gt;"",F58&lt;&gt;"",J58&gt;=1,COUNTIFS(Transacciones!$B$9:$B$3000,A58,Transacciones!$H$9:$H$3000,"&lt;&gt;Válido")=0),"Válido","Revisar caso o detalle"))</f>
        <v>Válido</v>
      </c>
    </row>
    <row r="59" spans="1:13" ht="60" customHeight="1">
      <c r="A59" s="1" t="s">
        <v>302</v>
      </c>
      <c r="B59" s="10" t="s">
        <v>283</v>
      </c>
      <c r="C59" s="15" t="s">
        <v>58</v>
      </c>
      <c r="D59" s="15" t="s">
        <v>303</v>
      </c>
      <c r="E59" s="15" t="s">
        <v>304</v>
      </c>
      <c r="F59" s="15" t="s">
        <v>305</v>
      </c>
      <c r="G59" s="17">
        <v>1</v>
      </c>
      <c r="H59" s="18">
        <f>SUMIFS(Transacciones!$G$9:$G$3000,Transacciones!$B$9:$B$3000,A59,Transacciones!$D$9:$D$3000,"Principal")</f>
        <v>3</v>
      </c>
      <c r="I59" s="18">
        <f>SUMIFS(Transacciones!$G$9:$G$3000,Transacciones!$B$9:$B$3000,A59,Transacciones!$D$9:$D$3000,"Alternativo adicional")</f>
        <v>0</v>
      </c>
      <c r="J59" s="18">
        <f t="shared" si="1"/>
        <v>3</v>
      </c>
      <c r="K59" s="10" t="s">
        <v>306</v>
      </c>
      <c r="L59" s="10" t="s">
        <v>63</v>
      </c>
      <c r="M59" s="10" t="str">
        <f>IF(AND(ISNUMBER(G59),G59=0),"Excluido",IF(AND(ISNUMBER(G59),G59=1,COUNTIF($A$9:$A$500,A59)=1,OR(C59="E1",C59="E2"),D59&lt;&gt;"",E59&lt;&gt;"",F59&lt;&gt;"",J59&gt;=1,COUNTIFS(Transacciones!$B$9:$B$3000,A59,Transacciones!$H$9:$H$3000,"&lt;&gt;Válido")=0),"Válido","Revisar caso o detalle"))</f>
        <v>Válido</v>
      </c>
    </row>
    <row r="60" spans="1:13" ht="60" customHeight="1">
      <c r="A60" s="1" t="s">
        <v>307</v>
      </c>
      <c r="B60" s="10" t="s">
        <v>308</v>
      </c>
      <c r="C60" s="15" t="s">
        <v>216</v>
      </c>
      <c r="D60" s="15" t="s">
        <v>309</v>
      </c>
      <c r="E60" s="15" t="s">
        <v>310</v>
      </c>
      <c r="F60" s="15" t="s">
        <v>311</v>
      </c>
      <c r="G60" s="17">
        <v>1</v>
      </c>
      <c r="H60" s="18">
        <f>SUMIFS(Transacciones!$G$9:$G$3000,Transacciones!$B$9:$B$3000,A60,Transacciones!$D$9:$D$3000,"Principal")</f>
        <v>2</v>
      </c>
      <c r="I60" s="18">
        <f>SUMIFS(Transacciones!$G$9:$G$3000,Transacciones!$B$9:$B$3000,A60,Transacciones!$D$9:$D$3000,"Alternativo adicional")</f>
        <v>0</v>
      </c>
      <c r="J60" s="18">
        <f t="shared" si="1"/>
        <v>2</v>
      </c>
      <c r="K60" s="10" t="s">
        <v>312</v>
      </c>
      <c r="L60" s="10" t="s">
        <v>63</v>
      </c>
      <c r="M60" s="10" t="str">
        <f>IF(AND(ISNUMBER(G60),G60=0),"Excluido",IF(AND(ISNUMBER(G60),G60=1,COUNTIF($A$9:$A$500,A60)=1,OR(C60="E1",C60="E2"),D60&lt;&gt;"",E60&lt;&gt;"",F60&lt;&gt;"",J60&gt;=1,COUNTIFS(Transacciones!$B$9:$B$3000,A60,Transacciones!$H$9:$H$3000,"&lt;&gt;Válido")=0),"Válido","Revisar caso o detalle"))</f>
        <v>Válido</v>
      </c>
    </row>
    <row r="61" spans="1:13" ht="60" customHeight="1">
      <c r="A61" s="1" t="s">
        <v>313</v>
      </c>
      <c r="B61" s="10" t="s">
        <v>308</v>
      </c>
      <c r="C61" s="15" t="s">
        <v>216</v>
      </c>
      <c r="D61" s="15" t="s">
        <v>314</v>
      </c>
      <c r="E61" s="15" t="s">
        <v>315</v>
      </c>
      <c r="F61" s="15" t="s">
        <v>316</v>
      </c>
      <c r="G61" s="17">
        <v>1</v>
      </c>
      <c r="H61" s="18">
        <f>SUMIFS(Transacciones!$G$9:$G$3000,Transacciones!$B$9:$B$3000,A61,Transacciones!$D$9:$D$3000,"Principal")</f>
        <v>4</v>
      </c>
      <c r="I61" s="18">
        <f>SUMIFS(Transacciones!$G$9:$G$3000,Transacciones!$B$9:$B$3000,A61,Transacciones!$D$9:$D$3000,"Alternativo adicional")</f>
        <v>0</v>
      </c>
      <c r="J61" s="18">
        <f t="shared" si="1"/>
        <v>4</v>
      </c>
      <c r="K61" s="10" t="s">
        <v>317</v>
      </c>
      <c r="L61" s="10" t="s">
        <v>63</v>
      </c>
      <c r="M61" s="10" t="str">
        <f>IF(AND(ISNUMBER(G61),G61=0),"Excluido",IF(AND(ISNUMBER(G61),G61=1,COUNTIF($A$9:$A$500,A61)=1,OR(C61="E1",C61="E2"),D61&lt;&gt;"",E61&lt;&gt;"",F61&lt;&gt;"",J61&gt;=1,COUNTIFS(Transacciones!$B$9:$B$3000,A61,Transacciones!$H$9:$H$3000,"&lt;&gt;Válido")=0),"Válido","Revisar caso o detalle"))</f>
        <v>Válido</v>
      </c>
    </row>
    <row r="62" spans="1:13" ht="60" customHeight="1">
      <c r="A62" s="1" t="s">
        <v>318</v>
      </c>
      <c r="B62" s="10" t="s">
        <v>308</v>
      </c>
      <c r="C62" s="15" t="s">
        <v>216</v>
      </c>
      <c r="D62" s="15" t="s">
        <v>319</v>
      </c>
      <c r="E62" s="15" t="s">
        <v>320</v>
      </c>
      <c r="F62" s="15" t="s">
        <v>316</v>
      </c>
      <c r="G62" s="17">
        <v>1</v>
      </c>
      <c r="H62" s="18">
        <f>SUMIFS(Transacciones!$G$9:$G$3000,Transacciones!$B$9:$B$3000,A62,Transacciones!$D$9:$D$3000,"Principal")</f>
        <v>5</v>
      </c>
      <c r="I62" s="18">
        <f>SUMIFS(Transacciones!$G$9:$G$3000,Transacciones!$B$9:$B$3000,A62,Transacciones!$D$9:$D$3000,"Alternativo adicional")</f>
        <v>0</v>
      </c>
      <c r="J62" s="18">
        <f t="shared" si="1"/>
        <v>5</v>
      </c>
      <c r="K62" s="10" t="s">
        <v>321</v>
      </c>
      <c r="L62" s="10" t="s">
        <v>63</v>
      </c>
      <c r="M62" s="10" t="str">
        <f>IF(AND(ISNUMBER(G62),G62=0),"Excluido",IF(AND(ISNUMBER(G62),G62=1,COUNTIF($A$9:$A$500,A62)=1,OR(C62="E1",C62="E2"),D62&lt;&gt;"",E62&lt;&gt;"",F62&lt;&gt;"",J62&gt;=1,COUNTIFS(Transacciones!$B$9:$B$3000,A62,Transacciones!$H$9:$H$3000,"&lt;&gt;Válido")=0),"Válido","Revisar caso o detalle"))</f>
        <v>Válido</v>
      </c>
    </row>
    <row r="63" spans="1:13" ht="60" customHeight="1">
      <c r="A63" s="1" t="s">
        <v>322</v>
      </c>
      <c r="B63" s="10" t="s">
        <v>308</v>
      </c>
      <c r="C63" s="15" t="s">
        <v>216</v>
      </c>
      <c r="D63" s="15" t="s">
        <v>323</v>
      </c>
      <c r="E63" s="15" t="s">
        <v>324</v>
      </c>
      <c r="F63" s="15" t="s">
        <v>311</v>
      </c>
      <c r="G63" s="17">
        <v>1</v>
      </c>
      <c r="H63" s="18">
        <f>SUMIFS(Transacciones!$G$9:$G$3000,Transacciones!$B$9:$B$3000,A63,Transacciones!$D$9:$D$3000,"Principal")</f>
        <v>3</v>
      </c>
      <c r="I63" s="18">
        <f>SUMIFS(Transacciones!$G$9:$G$3000,Transacciones!$B$9:$B$3000,A63,Transacciones!$D$9:$D$3000,"Alternativo adicional")</f>
        <v>0</v>
      </c>
      <c r="J63" s="18">
        <f t="shared" si="1"/>
        <v>3</v>
      </c>
      <c r="K63" s="10" t="s">
        <v>325</v>
      </c>
      <c r="L63" s="10" t="s">
        <v>63</v>
      </c>
      <c r="M63" s="10" t="str">
        <f>IF(AND(ISNUMBER(G63),G63=0),"Excluido",IF(AND(ISNUMBER(G63),G63=1,COUNTIF($A$9:$A$500,A63)=1,OR(C63="E1",C63="E2"),D63&lt;&gt;"",E63&lt;&gt;"",F63&lt;&gt;"",J63&gt;=1,COUNTIFS(Transacciones!$B$9:$B$3000,A63,Transacciones!$H$9:$H$3000,"&lt;&gt;Válido")=0),"Válido","Revisar caso o detalle"))</f>
        <v>Válido</v>
      </c>
    </row>
    <row r="64" spans="1:13" ht="60" customHeight="1">
      <c r="A64" s="1" t="s">
        <v>326</v>
      </c>
      <c r="B64" s="10" t="s">
        <v>308</v>
      </c>
      <c r="C64" s="15" t="s">
        <v>216</v>
      </c>
      <c r="D64" s="15" t="s">
        <v>327</v>
      </c>
      <c r="E64" s="15" t="s">
        <v>328</v>
      </c>
      <c r="F64" s="15" t="s">
        <v>219</v>
      </c>
      <c r="G64" s="17">
        <v>1</v>
      </c>
      <c r="H64" s="18">
        <f>SUMIFS(Transacciones!$G$9:$G$3000,Transacciones!$B$9:$B$3000,A64,Transacciones!$D$9:$D$3000,"Principal")</f>
        <v>3</v>
      </c>
      <c r="I64" s="18">
        <f>SUMIFS(Transacciones!$G$9:$G$3000,Transacciones!$B$9:$B$3000,A64,Transacciones!$D$9:$D$3000,"Alternativo adicional")</f>
        <v>0</v>
      </c>
      <c r="J64" s="18">
        <f t="shared" si="1"/>
        <v>3</v>
      </c>
      <c r="K64" s="10" t="s">
        <v>329</v>
      </c>
      <c r="L64" s="10" t="s">
        <v>63</v>
      </c>
      <c r="M64" s="10" t="str">
        <f>IF(AND(ISNUMBER(G64),G64=0),"Excluido",IF(AND(ISNUMBER(G64),G64=1,COUNTIF($A$9:$A$500,A64)=1,OR(C64="E1",C64="E2"),D64&lt;&gt;"",E64&lt;&gt;"",F64&lt;&gt;"",J64&gt;=1,COUNTIFS(Transacciones!$B$9:$B$3000,A64,Transacciones!$H$9:$H$3000,"&lt;&gt;Válido")=0),"Válido","Revisar caso o detalle"))</f>
        <v>Válido</v>
      </c>
    </row>
    <row r="65" spans="1:13" ht="60" customHeight="1">
      <c r="A65" s="1" t="s">
        <v>330</v>
      </c>
      <c r="B65" s="10" t="s">
        <v>308</v>
      </c>
      <c r="C65" s="15" t="s">
        <v>216</v>
      </c>
      <c r="D65" s="15" t="s">
        <v>331</v>
      </c>
      <c r="E65" s="15" t="s">
        <v>332</v>
      </c>
      <c r="F65" s="15" t="s">
        <v>219</v>
      </c>
      <c r="G65" s="17">
        <v>1</v>
      </c>
      <c r="H65" s="18">
        <f>SUMIFS(Transacciones!$G$9:$G$3000,Transacciones!$B$9:$B$3000,A65,Transacciones!$D$9:$D$3000,"Principal")</f>
        <v>5</v>
      </c>
      <c r="I65" s="18">
        <f>SUMIFS(Transacciones!$G$9:$G$3000,Transacciones!$B$9:$B$3000,A65,Transacciones!$D$9:$D$3000,"Alternativo adicional")</f>
        <v>1</v>
      </c>
      <c r="J65" s="18">
        <f t="shared" si="1"/>
        <v>6</v>
      </c>
      <c r="K65" s="10" t="s">
        <v>333</v>
      </c>
      <c r="L65" s="10" t="s">
        <v>63</v>
      </c>
      <c r="M65" s="10" t="str">
        <f>IF(AND(ISNUMBER(G65),G65=0),"Excluido",IF(AND(ISNUMBER(G65),G65=1,COUNTIF($A$9:$A$500,A65)=1,OR(C65="E1",C65="E2"),D65&lt;&gt;"",E65&lt;&gt;"",F65&lt;&gt;"",J65&gt;=1,COUNTIFS(Transacciones!$B$9:$B$3000,A65,Transacciones!$H$9:$H$3000,"&lt;&gt;Válido")=0),"Válido","Revisar caso o detalle"))</f>
        <v>Válido</v>
      </c>
    </row>
    <row r="66" spans="1:13" ht="60" customHeight="1">
      <c r="A66" s="1" t="s">
        <v>334</v>
      </c>
      <c r="B66" s="10" t="s">
        <v>308</v>
      </c>
      <c r="C66" s="15" t="s">
        <v>216</v>
      </c>
      <c r="D66" s="15" t="s">
        <v>335</v>
      </c>
      <c r="E66" s="15" t="s">
        <v>336</v>
      </c>
      <c r="F66" s="15" t="s">
        <v>219</v>
      </c>
      <c r="G66" s="17">
        <v>1</v>
      </c>
      <c r="H66" s="18">
        <f>SUMIFS(Transacciones!$G$9:$G$3000,Transacciones!$B$9:$B$3000,A66,Transacciones!$D$9:$D$3000,"Principal")</f>
        <v>4</v>
      </c>
      <c r="I66" s="18">
        <f>SUMIFS(Transacciones!$G$9:$G$3000,Transacciones!$B$9:$B$3000,A66,Transacciones!$D$9:$D$3000,"Alternativo adicional")</f>
        <v>0</v>
      </c>
      <c r="J66" s="18">
        <f t="shared" si="1"/>
        <v>4</v>
      </c>
      <c r="K66" s="10" t="s">
        <v>337</v>
      </c>
      <c r="L66" s="10" t="s">
        <v>63</v>
      </c>
      <c r="M66" s="10" t="str">
        <f>IF(AND(ISNUMBER(G66),G66=0),"Excluido",IF(AND(ISNUMBER(G66),G66=1,COUNTIF($A$9:$A$500,A66)=1,OR(C66="E1",C66="E2"),D66&lt;&gt;"",E66&lt;&gt;"",F66&lt;&gt;"",J66&gt;=1,COUNTIFS(Transacciones!$B$9:$B$3000,A66,Transacciones!$H$9:$H$3000,"&lt;&gt;Válido")=0),"Válido","Revisar caso o detalle"))</f>
        <v>Válido</v>
      </c>
    </row>
    <row r="67" spans="1:13" ht="60" customHeight="1">
      <c r="A67" s="1" t="s">
        <v>338</v>
      </c>
      <c r="B67" s="10" t="s">
        <v>308</v>
      </c>
      <c r="C67" s="15" t="s">
        <v>216</v>
      </c>
      <c r="D67" s="15" t="s">
        <v>339</v>
      </c>
      <c r="E67" s="15" t="s">
        <v>340</v>
      </c>
      <c r="F67" s="15" t="s">
        <v>219</v>
      </c>
      <c r="G67" s="17">
        <v>1</v>
      </c>
      <c r="H67" s="18">
        <f>SUMIFS(Transacciones!$G$9:$G$3000,Transacciones!$B$9:$B$3000,A67,Transacciones!$D$9:$D$3000,"Principal")</f>
        <v>3</v>
      </c>
      <c r="I67" s="18">
        <f>SUMIFS(Transacciones!$G$9:$G$3000,Transacciones!$B$9:$B$3000,A67,Transacciones!$D$9:$D$3000,"Alternativo adicional")</f>
        <v>0</v>
      </c>
      <c r="J67" s="18">
        <f t="shared" si="1"/>
        <v>3</v>
      </c>
      <c r="K67" s="10" t="s">
        <v>341</v>
      </c>
      <c r="L67" s="10" t="s">
        <v>63</v>
      </c>
      <c r="M67" s="10" t="str">
        <f>IF(AND(ISNUMBER(G67),G67=0),"Excluido",IF(AND(ISNUMBER(G67),G67=1,COUNTIF($A$9:$A$500,A67)=1,OR(C67="E1",C67="E2"),D67&lt;&gt;"",E67&lt;&gt;"",F67&lt;&gt;"",J67&gt;=1,COUNTIFS(Transacciones!$B$9:$B$3000,A67,Transacciones!$H$9:$H$3000,"&lt;&gt;Válido")=0),"Válido","Revisar caso o detalle"))</f>
        <v>Válido</v>
      </c>
    </row>
    <row r="68" spans="1:13" ht="60" customHeight="1">
      <c r="A68" s="1" t="s">
        <v>342</v>
      </c>
      <c r="B68" s="10" t="s">
        <v>308</v>
      </c>
      <c r="C68" s="15" t="s">
        <v>216</v>
      </c>
      <c r="D68" s="15" t="s">
        <v>343</v>
      </c>
      <c r="E68" s="15" t="s">
        <v>344</v>
      </c>
      <c r="F68" s="15" t="s">
        <v>345</v>
      </c>
      <c r="G68" s="17">
        <v>1</v>
      </c>
      <c r="H68" s="18">
        <f>SUMIFS(Transacciones!$G$9:$G$3000,Transacciones!$B$9:$B$3000,A68,Transacciones!$D$9:$D$3000,"Principal")</f>
        <v>4</v>
      </c>
      <c r="I68" s="18">
        <f>SUMIFS(Transacciones!$G$9:$G$3000,Transacciones!$B$9:$B$3000,A68,Transacciones!$D$9:$D$3000,"Alternativo adicional")</f>
        <v>0</v>
      </c>
      <c r="J68" s="18">
        <f t="shared" si="1"/>
        <v>4</v>
      </c>
      <c r="K68" s="10" t="s">
        <v>346</v>
      </c>
      <c r="L68" s="10" t="s">
        <v>63</v>
      </c>
      <c r="M68" s="10" t="str">
        <f>IF(AND(ISNUMBER(G68),G68=0),"Excluido",IF(AND(ISNUMBER(G68),G68=1,COUNTIF($A$9:$A$500,A68)=1,OR(C68="E1",C68="E2"),D68&lt;&gt;"",E68&lt;&gt;"",F68&lt;&gt;"",J68&gt;=1,COUNTIFS(Transacciones!$B$9:$B$3000,A68,Transacciones!$H$9:$H$3000,"&lt;&gt;Válido")=0),"Válido","Revisar caso o detalle"))</f>
        <v>Válido</v>
      </c>
    </row>
    <row r="69" spans="1:13" ht="60" customHeight="1">
      <c r="A69" s="1" t="s">
        <v>347</v>
      </c>
      <c r="B69" s="10" t="s">
        <v>308</v>
      </c>
      <c r="C69" s="15" t="s">
        <v>216</v>
      </c>
      <c r="D69" s="15" t="s">
        <v>348</v>
      </c>
      <c r="E69" s="15" t="s">
        <v>349</v>
      </c>
      <c r="F69" s="15" t="s">
        <v>350</v>
      </c>
      <c r="G69" s="17">
        <v>1</v>
      </c>
      <c r="H69" s="18">
        <f>SUMIFS(Transacciones!$G$9:$G$3000,Transacciones!$B$9:$B$3000,A69,Transacciones!$D$9:$D$3000,"Principal")</f>
        <v>3</v>
      </c>
      <c r="I69" s="18">
        <f>SUMIFS(Transacciones!$G$9:$G$3000,Transacciones!$B$9:$B$3000,A69,Transacciones!$D$9:$D$3000,"Alternativo adicional")</f>
        <v>0</v>
      </c>
      <c r="J69" s="18">
        <f t="shared" si="1"/>
        <v>3</v>
      </c>
      <c r="K69" s="10" t="s">
        <v>351</v>
      </c>
      <c r="L69" s="10" t="s">
        <v>63</v>
      </c>
      <c r="M69" s="10" t="str">
        <f>IF(AND(ISNUMBER(G69),G69=0),"Excluido",IF(AND(ISNUMBER(G69),G69=1,COUNTIF($A$9:$A$500,A69)=1,OR(C69="E1",C69="E2"),D69&lt;&gt;"",E69&lt;&gt;"",F69&lt;&gt;"",J69&gt;=1,COUNTIFS(Transacciones!$B$9:$B$3000,A69,Transacciones!$H$9:$H$3000,"&lt;&gt;Válido")=0),"Válido","Revisar caso o detalle"))</f>
        <v>Válido</v>
      </c>
    </row>
    <row r="70" spans="1:13" ht="60" customHeight="1">
      <c r="A70" s="1" t="s">
        <v>352</v>
      </c>
      <c r="B70" s="10" t="s">
        <v>308</v>
      </c>
      <c r="C70" s="15" t="s">
        <v>216</v>
      </c>
      <c r="D70" s="15" t="s">
        <v>353</v>
      </c>
      <c r="E70" s="15" t="s">
        <v>354</v>
      </c>
      <c r="F70" s="15" t="s">
        <v>219</v>
      </c>
      <c r="G70" s="17">
        <v>1</v>
      </c>
      <c r="H70" s="18">
        <f>SUMIFS(Transacciones!$G$9:$G$3000,Transacciones!$B$9:$B$3000,A70,Transacciones!$D$9:$D$3000,"Principal")</f>
        <v>3</v>
      </c>
      <c r="I70" s="18">
        <f>SUMIFS(Transacciones!$G$9:$G$3000,Transacciones!$B$9:$B$3000,A70,Transacciones!$D$9:$D$3000,"Alternativo adicional")</f>
        <v>0</v>
      </c>
      <c r="J70" s="18">
        <f t="shared" si="1"/>
        <v>3</v>
      </c>
      <c r="K70" s="10" t="s">
        <v>355</v>
      </c>
      <c r="L70" s="10" t="s">
        <v>63</v>
      </c>
      <c r="M70" s="10" t="str">
        <f>IF(AND(ISNUMBER(G70),G70=0),"Excluido",IF(AND(ISNUMBER(G70),G70=1,COUNTIF($A$9:$A$500,A70)=1,OR(C70="E1",C70="E2"),D70&lt;&gt;"",E70&lt;&gt;"",F70&lt;&gt;"",J70&gt;=1,COUNTIFS(Transacciones!$B$9:$B$3000,A70,Transacciones!$H$9:$H$3000,"&lt;&gt;Válido")=0),"Válido","Revisar caso o detalle"))</f>
        <v>Válido</v>
      </c>
    </row>
    <row r="71" spans="1:13" ht="60" customHeight="1">
      <c r="A71" s="1" t="s">
        <v>356</v>
      </c>
      <c r="B71" s="10" t="s">
        <v>136</v>
      </c>
      <c r="C71" s="15" t="s">
        <v>58</v>
      </c>
      <c r="D71" s="15" t="s">
        <v>357</v>
      </c>
      <c r="E71" s="15" t="s">
        <v>358</v>
      </c>
      <c r="F71" s="15" t="s">
        <v>359</v>
      </c>
      <c r="G71" s="17">
        <v>1</v>
      </c>
      <c r="H71" s="18">
        <f>SUMIFS(Transacciones!$G$9:$G$3000,Transacciones!$B$9:$B$3000,A71,Transacciones!$D$9:$D$3000,"Principal")</f>
        <v>3</v>
      </c>
      <c r="I71" s="18">
        <f>SUMIFS(Transacciones!$G$9:$G$3000,Transacciones!$B$9:$B$3000,A71,Transacciones!$D$9:$D$3000,"Alternativo adicional")</f>
        <v>1</v>
      </c>
      <c r="J71" s="18">
        <f t="shared" si="1"/>
        <v>4</v>
      </c>
      <c r="K71" s="10" t="s">
        <v>360</v>
      </c>
      <c r="L71" s="10" t="s">
        <v>63</v>
      </c>
      <c r="M71" s="10" t="str">
        <f>IF(AND(ISNUMBER(G71),G71=0),"Excluido",IF(AND(ISNUMBER(G71),G71=1,COUNTIF($A$9:$A$500,A71)=1,OR(C71="E1",C71="E2"),D71&lt;&gt;"",E71&lt;&gt;"",F71&lt;&gt;"",J71&gt;=1,COUNTIFS(Transacciones!$B$9:$B$3000,A71,Transacciones!$H$9:$H$3000,"&lt;&gt;Válido")=0),"Válido","Revisar caso o detalle"))</f>
        <v>Válido</v>
      </c>
    </row>
    <row r="72" spans="1:13" ht="60" customHeight="1">
      <c r="A72" s="1" t="s">
        <v>361</v>
      </c>
      <c r="B72" s="10" t="s">
        <v>308</v>
      </c>
      <c r="C72" s="15" t="s">
        <v>216</v>
      </c>
      <c r="D72" s="15" t="s">
        <v>362</v>
      </c>
      <c r="E72" s="15" t="s">
        <v>363</v>
      </c>
      <c r="F72" s="15" t="s">
        <v>364</v>
      </c>
      <c r="G72" s="17">
        <v>1</v>
      </c>
      <c r="H72" s="18">
        <f>SUMIFS(Transacciones!$G$9:$G$3000,Transacciones!$B$9:$B$3000,A72,Transacciones!$D$9:$D$3000,"Principal")</f>
        <v>3</v>
      </c>
      <c r="I72" s="18">
        <f>SUMIFS(Transacciones!$G$9:$G$3000,Transacciones!$B$9:$B$3000,A72,Transacciones!$D$9:$D$3000,"Alternativo adicional")</f>
        <v>0</v>
      </c>
      <c r="J72" s="18">
        <f t="shared" si="1"/>
        <v>3</v>
      </c>
      <c r="K72" s="10" t="s">
        <v>365</v>
      </c>
      <c r="L72" s="10" t="s">
        <v>63</v>
      </c>
      <c r="M72" s="10" t="str">
        <f>IF(AND(ISNUMBER(G72),G72=0),"Excluido",IF(AND(ISNUMBER(G72),G72=1,COUNTIF($A$9:$A$500,A72)=1,OR(C72="E1",C72="E2"),D72&lt;&gt;"",E72&lt;&gt;"",F72&lt;&gt;"",J72&gt;=1,COUNTIFS(Transacciones!$B$9:$B$3000,A72,Transacciones!$H$9:$H$3000,"&lt;&gt;Válido")=0),"Válido","Revisar caso o detalle"))</f>
        <v>Válido</v>
      </c>
    </row>
    <row r="73" spans="1:13" ht="60" customHeight="1">
      <c r="A73" s="1" t="s">
        <v>366</v>
      </c>
      <c r="B73" s="10" t="s">
        <v>193</v>
      </c>
      <c r="C73" s="15" t="s">
        <v>216</v>
      </c>
      <c r="D73" s="15" t="s">
        <v>367</v>
      </c>
      <c r="E73" s="15" t="s">
        <v>368</v>
      </c>
      <c r="F73" s="15" t="s">
        <v>369</v>
      </c>
      <c r="G73" s="17">
        <v>1</v>
      </c>
      <c r="H73" s="18">
        <f>SUMIFS(Transacciones!$G$9:$G$3000,Transacciones!$B$9:$B$3000,A73,Transacciones!$D$9:$D$3000,"Principal")</f>
        <v>3</v>
      </c>
      <c r="I73" s="18">
        <f>SUMIFS(Transacciones!$G$9:$G$3000,Transacciones!$B$9:$B$3000,A73,Transacciones!$D$9:$D$3000,"Alternativo adicional")</f>
        <v>0</v>
      </c>
      <c r="J73" s="18">
        <f t="shared" ref="J73:J104" si="2">SUM(H73:I73)</f>
        <v>3</v>
      </c>
      <c r="K73" s="10" t="s">
        <v>370</v>
      </c>
      <c r="L73" s="10" t="s">
        <v>63</v>
      </c>
      <c r="M73" s="10" t="str">
        <f>IF(AND(ISNUMBER(G73),G73=0),"Excluido",IF(AND(ISNUMBER(G73),G73=1,COUNTIF($A$9:$A$500,A73)=1,OR(C73="E1",C73="E2"),D73&lt;&gt;"",E73&lt;&gt;"",F73&lt;&gt;"",J73&gt;=1,COUNTIFS(Transacciones!$B$9:$B$3000,A73,Transacciones!$H$9:$H$3000,"&lt;&gt;Válido")=0),"Válido","Revisar caso o detalle"))</f>
        <v>Válido</v>
      </c>
    </row>
    <row r="74" spans="1:13" ht="60" customHeight="1">
      <c r="A74" s="1" t="s">
        <v>371</v>
      </c>
      <c r="B74" s="10" t="s">
        <v>372</v>
      </c>
      <c r="C74" s="15" t="s">
        <v>58</v>
      </c>
      <c r="D74" s="15" t="s">
        <v>373</v>
      </c>
      <c r="E74" s="15" t="s">
        <v>374</v>
      </c>
      <c r="F74" s="15" t="s">
        <v>375</v>
      </c>
      <c r="G74" s="17">
        <v>1</v>
      </c>
      <c r="H74" s="18">
        <f>SUMIFS(Transacciones!$G$9:$G$3000,Transacciones!$B$9:$B$3000,A74,Transacciones!$D$9:$D$3000,"Principal")</f>
        <v>1</v>
      </c>
      <c r="I74" s="18">
        <f>SUMIFS(Transacciones!$G$9:$G$3000,Transacciones!$B$9:$B$3000,A74,Transacciones!$D$9:$D$3000,"Alternativo adicional")</f>
        <v>0</v>
      </c>
      <c r="J74" s="18">
        <f t="shared" si="2"/>
        <v>1</v>
      </c>
      <c r="K74" s="10" t="s">
        <v>376</v>
      </c>
      <c r="L74" s="10" t="s">
        <v>63</v>
      </c>
      <c r="M74" s="10" t="str">
        <f>IF(AND(ISNUMBER(G74),G74=0),"Excluido",IF(AND(ISNUMBER(G74),G74=1,COUNTIF($A$9:$A$500,A74)=1,OR(C74="E1",C74="E2"),D74&lt;&gt;"",E74&lt;&gt;"",F74&lt;&gt;"",J74&gt;=1,COUNTIFS(Transacciones!$B$9:$B$3000,A74,Transacciones!$H$9:$H$3000,"&lt;&gt;Válido")=0),"Válido","Revisar caso o detalle"))</f>
        <v>Válido</v>
      </c>
    </row>
    <row r="75" spans="1:13" ht="60" customHeight="1">
      <c r="A75" s="1" t="s">
        <v>377</v>
      </c>
      <c r="B75" s="10" t="s">
        <v>372</v>
      </c>
      <c r="C75" s="15" t="s">
        <v>58</v>
      </c>
      <c r="D75" s="15" t="s">
        <v>378</v>
      </c>
      <c r="E75" s="15" t="s">
        <v>379</v>
      </c>
      <c r="F75" s="15" t="s">
        <v>150</v>
      </c>
      <c r="G75" s="17">
        <v>1</v>
      </c>
      <c r="H75" s="18">
        <f>SUMIFS(Transacciones!$G$9:$G$3000,Transacciones!$B$9:$B$3000,A75,Transacciones!$D$9:$D$3000,"Principal")</f>
        <v>4</v>
      </c>
      <c r="I75" s="18">
        <f>SUMIFS(Transacciones!$G$9:$G$3000,Transacciones!$B$9:$B$3000,A75,Transacciones!$D$9:$D$3000,"Alternativo adicional")</f>
        <v>0</v>
      </c>
      <c r="J75" s="18">
        <f t="shared" si="2"/>
        <v>4</v>
      </c>
      <c r="K75" s="10" t="s">
        <v>380</v>
      </c>
      <c r="L75" s="10" t="s">
        <v>63</v>
      </c>
      <c r="M75" s="10" t="str">
        <f>IF(AND(ISNUMBER(G75),G75=0),"Excluido",IF(AND(ISNUMBER(G75),G75=1,COUNTIF($A$9:$A$500,A75)=1,OR(C75="E1",C75="E2"),D75&lt;&gt;"",E75&lt;&gt;"",F75&lt;&gt;"",J75&gt;=1,COUNTIFS(Transacciones!$B$9:$B$3000,A75,Transacciones!$H$9:$H$3000,"&lt;&gt;Válido")=0),"Válido","Revisar caso o detalle"))</f>
        <v>Válido</v>
      </c>
    </row>
    <row r="76" spans="1:13" ht="60" customHeight="1">
      <c r="A76" s="1" t="s">
        <v>381</v>
      </c>
      <c r="B76" s="10" t="s">
        <v>372</v>
      </c>
      <c r="C76" s="15" t="s">
        <v>58</v>
      </c>
      <c r="D76" s="15" t="s">
        <v>382</v>
      </c>
      <c r="E76" s="15" t="s">
        <v>383</v>
      </c>
      <c r="F76" s="15" t="s">
        <v>150</v>
      </c>
      <c r="G76" s="17">
        <v>1</v>
      </c>
      <c r="H76" s="18">
        <f>SUMIFS(Transacciones!$G$9:$G$3000,Transacciones!$B$9:$B$3000,A76,Transacciones!$D$9:$D$3000,"Principal")</f>
        <v>3</v>
      </c>
      <c r="I76" s="18">
        <f>SUMIFS(Transacciones!$G$9:$G$3000,Transacciones!$B$9:$B$3000,A76,Transacciones!$D$9:$D$3000,"Alternativo adicional")</f>
        <v>0</v>
      </c>
      <c r="J76" s="18">
        <f t="shared" si="2"/>
        <v>3</v>
      </c>
      <c r="K76" s="10" t="s">
        <v>384</v>
      </c>
      <c r="L76" s="10" t="s">
        <v>63</v>
      </c>
      <c r="M76" s="10" t="str">
        <f>IF(AND(ISNUMBER(G76),G76=0),"Excluido",IF(AND(ISNUMBER(G76),G76=1,COUNTIF($A$9:$A$500,A76)=1,OR(C76="E1",C76="E2"),D76&lt;&gt;"",E76&lt;&gt;"",F76&lt;&gt;"",J76&gt;=1,COUNTIFS(Transacciones!$B$9:$B$3000,A76,Transacciones!$H$9:$H$3000,"&lt;&gt;Válido")=0),"Válido","Revisar caso o detalle"))</f>
        <v>Válido</v>
      </c>
    </row>
    <row r="77" spans="1:13" ht="60" customHeight="1">
      <c r="A77" s="1" t="s">
        <v>385</v>
      </c>
      <c r="B77" s="10" t="s">
        <v>84</v>
      </c>
      <c r="C77" s="15" t="s">
        <v>58</v>
      </c>
      <c r="D77" s="15" t="s">
        <v>386</v>
      </c>
      <c r="E77" s="15" t="s">
        <v>387</v>
      </c>
      <c r="F77" s="15" t="s">
        <v>388</v>
      </c>
      <c r="G77" s="17">
        <v>1</v>
      </c>
      <c r="H77" s="18">
        <f>SUMIFS(Transacciones!$G$9:$G$3000,Transacciones!$B$9:$B$3000,A77,Transacciones!$D$9:$D$3000,"Principal")</f>
        <v>6</v>
      </c>
      <c r="I77" s="18">
        <f>SUMIFS(Transacciones!$G$9:$G$3000,Transacciones!$B$9:$B$3000,A77,Transacciones!$D$9:$D$3000,"Alternativo adicional")</f>
        <v>0</v>
      </c>
      <c r="J77" s="18">
        <f t="shared" si="2"/>
        <v>6</v>
      </c>
      <c r="K77" s="10" t="s">
        <v>389</v>
      </c>
      <c r="L77" s="10" t="s">
        <v>63</v>
      </c>
      <c r="M77" s="10" t="str">
        <f>IF(AND(ISNUMBER(G77),G77=0),"Excluido",IF(AND(ISNUMBER(G77),G77=1,COUNTIF($A$9:$A$500,A77)=1,OR(C77="E1",C77="E2"),D77&lt;&gt;"",E77&lt;&gt;"",F77&lt;&gt;"",J77&gt;=1,COUNTIFS(Transacciones!$B$9:$B$3000,A77,Transacciones!$H$9:$H$3000,"&lt;&gt;Válido")=0),"Válido","Revisar caso o detalle"))</f>
        <v>Válido</v>
      </c>
    </row>
    <row r="78" spans="1:13" ht="60" customHeight="1">
      <c r="A78" s="1" t="s">
        <v>390</v>
      </c>
      <c r="B78" s="10" t="s">
        <v>136</v>
      </c>
      <c r="C78" s="15" t="s">
        <v>58</v>
      </c>
      <c r="D78" s="15" t="s">
        <v>391</v>
      </c>
      <c r="E78" s="15" t="s">
        <v>392</v>
      </c>
      <c r="F78" s="15" t="s">
        <v>393</v>
      </c>
      <c r="G78" s="17">
        <v>1</v>
      </c>
      <c r="H78" s="18">
        <f>SUMIFS(Transacciones!$G$9:$G$3000,Transacciones!$B$9:$B$3000,A78,Transacciones!$D$9:$D$3000,"Principal")</f>
        <v>5</v>
      </c>
      <c r="I78" s="18">
        <f>SUMIFS(Transacciones!$G$9:$G$3000,Transacciones!$B$9:$B$3000,A78,Transacciones!$D$9:$D$3000,"Alternativo adicional")</f>
        <v>0</v>
      </c>
      <c r="J78" s="18">
        <f t="shared" si="2"/>
        <v>5</v>
      </c>
      <c r="K78" s="10" t="s">
        <v>394</v>
      </c>
      <c r="L78" s="10" t="s">
        <v>63</v>
      </c>
      <c r="M78" s="10" t="str">
        <f>IF(AND(ISNUMBER(G78),G78=0),"Excluido",IF(AND(ISNUMBER(G78),G78=1,COUNTIF($A$9:$A$500,A78)=1,OR(C78="E1",C78="E2"),D78&lt;&gt;"",E78&lt;&gt;"",F78&lt;&gt;"",J78&gt;=1,COUNTIFS(Transacciones!$B$9:$B$3000,A78,Transacciones!$H$9:$H$3000,"&lt;&gt;Válido")=0),"Válido","Revisar caso o detalle"))</f>
        <v>Válido</v>
      </c>
    </row>
    <row r="79" spans="1:13" ht="60" customHeight="1">
      <c r="A79" s="1" t="s">
        <v>395</v>
      </c>
      <c r="B79" s="10" t="s">
        <v>136</v>
      </c>
      <c r="C79" s="15" t="s">
        <v>58</v>
      </c>
      <c r="D79" s="15" t="s">
        <v>396</v>
      </c>
      <c r="E79" s="15" t="s">
        <v>397</v>
      </c>
      <c r="F79" s="15" t="s">
        <v>398</v>
      </c>
      <c r="G79" s="17">
        <v>1</v>
      </c>
      <c r="H79" s="18">
        <f>SUMIFS(Transacciones!$G$9:$G$3000,Transacciones!$B$9:$B$3000,A79,Transacciones!$D$9:$D$3000,"Principal")</f>
        <v>5</v>
      </c>
      <c r="I79" s="18">
        <f>SUMIFS(Transacciones!$G$9:$G$3000,Transacciones!$B$9:$B$3000,A79,Transacciones!$D$9:$D$3000,"Alternativo adicional")</f>
        <v>0</v>
      </c>
      <c r="J79" s="18">
        <f t="shared" si="2"/>
        <v>5</v>
      </c>
      <c r="K79" s="10" t="s">
        <v>399</v>
      </c>
      <c r="L79" s="10" t="s">
        <v>63</v>
      </c>
      <c r="M79" s="10" t="str">
        <f>IF(AND(ISNUMBER(G79),G79=0),"Excluido",IF(AND(ISNUMBER(G79),G79=1,COUNTIF($A$9:$A$500,A79)=1,OR(C79="E1",C79="E2"),D79&lt;&gt;"",E79&lt;&gt;"",F79&lt;&gt;"",J79&gt;=1,COUNTIFS(Transacciones!$B$9:$B$3000,A79,Transacciones!$H$9:$H$3000,"&lt;&gt;Válido")=0),"Válido","Revisar caso o detalle"))</f>
        <v>Válido</v>
      </c>
    </row>
    <row r="80" spans="1:13" ht="60" customHeight="1">
      <c r="A80" s="1" t="s">
        <v>400</v>
      </c>
      <c r="B80" s="10" t="s">
        <v>136</v>
      </c>
      <c r="C80" s="15" t="s">
        <v>58</v>
      </c>
      <c r="D80" s="15" t="s">
        <v>401</v>
      </c>
      <c r="E80" s="15" t="s">
        <v>402</v>
      </c>
      <c r="F80" s="15" t="s">
        <v>403</v>
      </c>
      <c r="G80" s="17">
        <v>1</v>
      </c>
      <c r="H80" s="18">
        <f>SUMIFS(Transacciones!$G$9:$G$3000,Transacciones!$B$9:$B$3000,A80,Transacciones!$D$9:$D$3000,"Principal")</f>
        <v>5</v>
      </c>
      <c r="I80" s="18">
        <f>SUMIFS(Transacciones!$G$9:$G$3000,Transacciones!$B$9:$B$3000,A80,Transacciones!$D$9:$D$3000,"Alternativo adicional")</f>
        <v>0</v>
      </c>
      <c r="J80" s="18">
        <f t="shared" si="2"/>
        <v>5</v>
      </c>
      <c r="K80" s="10" t="s">
        <v>404</v>
      </c>
      <c r="L80" s="10" t="s">
        <v>63</v>
      </c>
      <c r="M80" s="10" t="str">
        <f>IF(AND(ISNUMBER(G80),G80=0),"Excluido",IF(AND(ISNUMBER(G80),G80=1,COUNTIF($A$9:$A$500,A80)=1,OR(C80="E1",C80="E2"),D80&lt;&gt;"",E80&lt;&gt;"",F80&lt;&gt;"",J80&gt;=1,COUNTIFS(Transacciones!$B$9:$B$3000,A80,Transacciones!$H$9:$H$3000,"&lt;&gt;Válido")=0),"Válido","Revisar caso o detalle"))</f>
        <v>Válido</v>
      </c>
    </row>
    <row r="81" spans="1:13" ht="60" customHeight="1">
      <c r="A81" s="1" t="s">
        <v>405</v>
      </c>
      <c r="B81" s="10" t="s">
        <v>136</v>
      </c>
      <c r="C81" s="15" t="s">
        <v>58</v>
      </c>
      <c r="D81" s="15" t="s">
        <v>406</v>
      </c>
      <c r="E81" s="15" t="s">
        <v>407</v>
      </c>
      <c r="F81" s="15" t="s">
        <v>398</v>
      </c>
      <c r="G81" s="17">
        <v>1</v>
      </c>
      <c r="H81" s="18">
        <f>SUMIFS(Transacciones!$G$9:$G$3000,Transacciones!$B$9:$B$3000,A81,Transacciones!$D$9:$D$3000,"Principal")</f>
        <v>3</v>
      </c>
      <c r="I81" s="18">
        <f>SUMIFS(Transacciones!$G$9:$G$3000,Transacciones!$B$9:$B$3000,A81,Transacciones!$D$9:$D$3000,"Alternativo adicional")</f>
        <v>0</v>
      </c>
      <c r="J81" s="18">
        <f t="shared" si="2"/>
        <v>3</v>
      </c>
      <c r="K81" s="10" t="s">
        <v>408</v>
      </c>
      <c r="L81" s="10" t="s">
        <v>63</v>
      </c>
      <c r="M81" s="10" t="str">
        <f>IF(AND(ISNUMBER(G81),G81=0),"Excluido",IF(AND(ISNUMBER(G81),G81=1,COUNTIF($A$9:$A$500,A81)=1,OR(C81="E1",C81="E2"),D81&lt;&gt;"",E81&lt;&gt;"",F81&lt;&gt;"",J81&gt;=1,COUNTIFS(Transacciones!$B$9:$B$3000,A81,Transacciones!$H$9:$H$3000,"&lt;&gt;Válido")=0),"Válido","Revisar caso o detalle"))</f>
        <v>Válido</v>
      </c>
    </row>
    <row r="82" spans="1:13" ht="60" customHeight="1">
      <c r="A82" s="1" t="s">
        <v>409</v>
      </c>
      <c r="B82" s="10" t="s">
        <v>136</v>
      </c>
      <c r="C82" s="15" t="s">
        <v>58</v>
      </c>
      <c r="D82" s="15" t="s">
        <v>410</v>
      </c>
      <c r="E82" s="15" t="s">
        <v>411</v>
      </c>
      <c r="F82" s="15" t="s">
        <v>398</v>
      </c>
      <c r="G82" s="17">
        <v>1</v>
      </c>
      <c r="H82" s="18">
        <f>SUMIFS(Transacciones!$G$9:$G$3000,Transacciones!$B$9:$B$3000,A82,Transacciones!$D$9:$D$3000,"Principal")</f>
        <v>5</v>
      </c>
      <c r="I82" s="18">
        <f>SUMIFS(Transacciones!$G$9:$G$3000,Transacciones!$B$9:$B$3000,A82,Transacciones!$D$9:$D$3000,"Alternativo adicional")</f>
        <v>0</v>
      </c>
      <c r="J82" s="18">
        <f t="shared" si="2"/>
        <v>5</v>
      </c>
      <c r="K82" s="10" t="s">
        <v>412</v>
      </c>
      <c r="L82" s="10" t="s">
        <v>63</v>
      </c>
      <c r="M82" s="10" t="str">
        <f>IF(AND(ISNUMBER(G82),G82=0),"Excluido",IF(AND(ISNUMBER(G82),G82=1,COUNTIF($A$9:$A$500,A82)=1,OR(C82="E1",C82="E2"),D82&lt;&gt;"",E82&lt;&gt;"",F82&lt;&gt;"",J82&gt;=1,COUNTIFS(Transacciones!$B$9:$B$3000,A82,Transacciones!$H$9:$H$3000,"&lt;&gt;Válido")=0),"Válido","Revisar caso o detalle"))</f>
        <v>Válido</v>
      </c>
    </row>
    <row r="83" spans="1:13" ht="60" customHeight="1">
      <c r="A83" s="1" t="s">
        <v>413</v>
      </c>
      <c r="B83" s="10" t="s">
        <v>136</v>
      </c>
      <c r="C83" s="15" t="s">
        <v>58</v>
      </c>
      <c r="D83" s="15" t="s">
        <v>414</v>
      </c>
      <c r="E83" s="15" t="s">
        <v>415</v>
      </c>
      <c r="F83" s="15" t="s">
        <v>416</v>
      </c>
      <c r="G83" s="17">
        <v>1</v>
      </c>
      <c r="H83" s="18">
        <f>SUMIFS(Transacciones!$G$9:$G$3000,Transacciones!$B$9:$B$3000,A83,Transacciones!$D$9:$D$3000,"Principal")</f>
        <v>4</v>
      </c>
      <c r="I83" s="18">
        <f>SUMIFS(Transacciones!$G$9:$G$3000,Transacciones!$B$9:$B$3000,A83,Transacciones!$D$9:$D$3000,"Alternativo adicional")</f>
        <v>0</v>
      </c>
      <c r="J83" s="18">
        <f t="shared" si="2"/>
        <v>4</v>
      </c>
      <c r="K83" s="10" t="s">
        <v>417</v>
      </c>
      <c r="L83" s="10" t="s">
        <v>63</v>
      </c>
      <c r="M83" s="10" t="str">
        <f>IF(AND(ISNUMBER(G83),G83=0),"Excluido",IF(AND(ISNUMBER(G83),G83=1,COUNTIF($A$9:$A$500,A83)=1,OR(C83="E1",C83="E2"),D83&lt;&gt;"",E83&lt;&gt;"",F83&lt;&gt;"",J83&gt;=1,COUNTIFS(Transacciones!$B$9:$B$3000,A83,Transacciones!$H$9:$H$3000,"&lt;&gt;Válido")=0),"Válido","Revisar caso o detalle"))</f>
        <v>Válido</v>
      </c>
    </row>
    <row r="84" spans="1:13" ht="60" customHeight="1">
      <c r="A84" s="1" t="s">
        <v>418</v>
      </c>
      <c r="B84" s="10" t="s">
        <v>136</v>
      </c>
      <c r="C84" s="15" t="s">
        <v>58</v>
      </c>
      <c r="D84" s="15" t="s">
        <v>419</v>
      </c>
      <c r="E84" s="15" t="s">
        <v>420</v>
      </c>
      <c r="F84" s="15" t="s">
        <v>421</v>
      </c>
      <c r="G84" s="17">
        <v>1</v>
      </c>
      <c r="H84" s="18">
        <f>SUMIFS(Transacciones!$G$9:$G$3000,Transacciones!$B$9:$B$3000,A84,Transacciones!$D$9:$D$3000,"Principal")</f>
        <v>5</v>
      </c>
      <c r="I84" s="18">
        <f>SUMIFS(Transacciones!$G$9:$G$3000,Transacciones!$B$9:$B$3000,A84,Transacciones!$D$9:$D$3000,"Alternativo adicional")</f>
        <v>0</v>
      </c>
      <c r="J84" s="18">
        <f t="shared" si="2"/>
        <v>5</v>
      </c>
      <c r="K84" s="10" t="s">
        <v>422</v>
      </c>
      <c r="L84" s="10" t="s">
        <v>63</v>
      </c>
      <c r="M84" s="10" t="str">
        <f>IF(AND(ISNUMBER(G84),G84=0),"Excluido",IF(AND(ISNUMBER(G84),G84=1,COUNTIF($A$9:$A$500,A84)=1,OR(C84="E1",C84="E2"),D84&lt;&gt;"",E84&lt;&gt;"",F84&lt;&gt;"",J84&gt;=1,COUNTIFS(Transacciones!$B$9:$B$3000,A84,Transacciones!$H$9:$H$3000,"&lt;&gt;Válido")=0),"Válido","Revisar caso o detalle"))</f>
        <v>Válido</v>
      </c>
    </row>
    <row r="85" spans="1:13" ht="60" customHeight="1">
      <c r="A85" s="1" t="s">
        <v>423</v>
      </c>
      <c r="B85" s="10" t="s">
        <v>136</v>
      </c>
      <c r="C85" s="15" t="s">
        <v>58</v>
      </c>
      <c r="D85" s="15" t="s">
        <v>424</v>
      </c>
      <c r="E85" s="15" t="s">
        <v>425</v>
      </c>
      <c r="F85" s="15" t="s">
        <v>398</v>
      </c>
      <c r="G85" s="17">
        <v>1</v>
      </c>
      <c r="H85" s="18">
        <f>SUMIFS(Transacciones!$G$9:$G$3000,Transacciones!$B$9:$B$3000,A85,Transacciones!$D$9:$D$3000,"Principal")</f>
        <v>4</v>
      </c>
      <c r="I85" s="18">
        <f>SUMIFS(Transacciones!$G$9:$G$3000,Transacciones!$B$9:$B$3000,A85,Transacciones!$D$9:$D$3000,"Alternativo adicional")</f>
        <v>0</v>
      </c>
      <c r="J85" s="18">
        <f t="shared" si="2"/>
        <v>4</v>
      </c>
      <c r="K85" s="10" t="s">
        <v>426</v>
      </c>
      <c r="L85" s="10" t="s">
        <v>63</v>
      </c>
      <c r="M85" s="10" t="str">
        <f>IF(AND(ISNUMBER(G85),G85=0),"Excluido",IF(AND(ISNUMBER(G85),G85=1,COUNTIF($A$9:$A$500,A85)=1,OR(C85="E1",C85="E2"),D85&lt;&gt;"",E85&lt;&gt;"",F85&lt;&gt;"",J85&gt;=1,COUNTIFS(Transacciones!$B$9:$B$3000,A85,Transacciones!$H$9:$H$3000,"&lt;&gt;Válido")=0),"Válido","Revisar caso o detalle"))</f>
        <v>Válido</v>
      </c>
    </row>
    <row r="86" spans="1:13" ht="60" customHeight="1">
      <c r="A86" s="1" t="s">
        <v>427</v>
      </c>
      <c r="B86" s="10" t="s">
        <v>136</v>
      </c>
      <c r="C86" s="15" t="s">
        <v>58</v>
      </c>
      <c r="D86" s="15" t="s">
        <v>428</v>
      </c>
      <c r="E86" s="15" t="s">
        <v>429</v>
      </c>
      <c r="F86" s="15" t="s">
        <v>430</v>
      </c>
      <c r="G86" s="17">
        <v>1</v>
      </c>
      <c r="H86" s="18">
        <f>SUMIFS(Transacciones!$G$9:$G$3000,Transacciones!$B$9:$B$3000,A86,Transacciones!$D$9:$D$3000,"Principal")</f>
        <v>3</v>
      </c>
      <c r="I86" s="18">
        <f>SUMIFS(Transacciones!$G$9:$G$3000,Transacciones!$B$9:$B$3000,A86,Transacciones!$D$9:$D$3000,"Alternativo adicional")</f>
        <v>0</v>
      </c>
      <c r="J86" s="18">
        <f t="shared" si="2"/>
        <v>3</v>
      </c>
      <c r="K86" s="10" t="s">
        <v>431</v>
      </c>
      <c r="L86" s="10" t="s">
        <v>63</v>
      </c>
      <c r="M86" s="10" t="str">
        <f>IF(AND(ISNUMBER(G86),G86=0),"Excluido",IF(AND(ISNUMBER(G86),G86=1,COUNTIF($A$9:$A$500,A86)=1,OR(C86="E1",C86="E2"),D86&lt;&gt;"",E86&lt;&gt;"",F86&lt;&gt;"",J86&gt;=1,COUNTIFS(Transacciones!$B$9:$B$3000,A86,Transacciones!$H$9:$H$3000,"&lt;&gt;Válido")=0),"Válido","Revisar caso o detalle"))</f>
        <v>Válido</v>
      </c>
    </row>
    <row r="87" spans="1:13" ht="60" customHeight="1">
      <c r="A87" s="1" t="s">
        <v>432</v>
      </c>
      <c r="B87" s="10" t="s">
        <v>136</v>
      </c>
      <c r="C87" s="15" t="s">
        <v>58</v>
      </c>
      <c r="D87" s="15" t="s">
        <v>433</v>
      </c>
      <c r="E87" s="15" t="s">
        <v>434</v>
      </c>
      <c r="F87" s="15" t="s">
        <v>398</v>
      </c>
      <c r="G87" s="17">
        <v>1</v>
      </c>
      <c r="H87" s="18">
        <f>SUMIFS(Transacciones!$G$9:$G$3000,Transacciones!$B$9:$B$3000,A87,Transacciones!$D$9:$D$3000,"Principal")</f>
        <v>5</v>
      </c>
      <c r="I87" s="18">
        <f>SUMIFS(Transacciones!$G$9:$G$3000,Transacciones!$B$9:$B$3000,A87,Transacciones!$D$9:$D$3000,"Alternativo adicional")</f>
        <v>0</v>
      </c>
      <c r="J87" s="18">
        <f t="shared" si="2"/>
        <v>5</v>
      </c>
      <c r="K87" s="10" t="s">
        <v>435</v>
      </c>
      <c r="L87" s="10" t="s">
        <v>63</v>
      </c>
      <c r="M87" s="10" t="str">
        <f>IF(AND(ISNUMBER(G87),G87=0),"Excluido",IF(AND(ISNUMBER(G87),G87=1,COUNTIF($A$9:$A$500,A87)=1,OR(C87="E1",C87="E2"),D87&lt;&gt;"",E87&lt;&gt;"",F87&lt;&gt;"",J87&gt;=1,COUNTIFS(Transacciones!$B$9:$B$3000,A87,Transacciones!$H$9:$H$3000,"&lt;&gt;Válido")=0),"Válido","Revisar caso o detalle"))</f>
        <v>Válido</v>
      </c>
    </row>
    <row r="88" spans="1:13" ht="60" customHeight="1">
      <c r="A88" s="1" t="s">
        <v>436</v>
      </c>
      <c r="B88" s="10" t="s">
        <v>136</v>
      </c>
      <c r="C88" s="15" t="s">
        <v>58</v>
      </c>
      <c r="D88" s="15" t="s">
        <v>437</v>
      </c>
      <c r="E88" s="15" t="s">
        <v>438</v>
      </c>
      <c r="F88" s="15" t="s">
        <v>439</v>
      </c>
      <c r="G88" s="17">
        <v>1</v>
      </c>
      <c r="H88" s="18">
        <f>SUMIFS(Transacciones!$G$9:$G$3000,Transacciones!$B$9:$B$3000,A88,Transacciones!$D$9:$D$3000,"Principal")</f>
        <v>2</v>
      </c>
      <c r="I88" s="18">
        <f>SUMIFS(Transacciones!$G$9:$G$3000,Transacciones!$B$9:$B$3000,A88,Transacciones!$D$9:$D$3000,"Alternativo adicional")</f>
        <v>0</v>
      </c>
      <c r="J88" s="18">
        <f t="shared" si="2"/>
        <v>2</v>
      </c>
      <c r="K88" s="10" t="s">
        <v>435</v>
      </c>
      <c r="L88" s="10" t="s">
        <v>63</v>
      </c>
      <c r="M88" s="10" t="str">
        <f>IF(AND(ISNUMBER(G88),G88=0),"Excluido",IF(AND(ISNUMBER(G88),G88=1,COUNTIF($A$9:$A$500,A88)=1,OR(C88="E1",C88="E2"),D88&lt;&gt;"",E88&lt;&gt;"",F88&lt;&gt;"",J88&gt;=1,COUNTIFS(Transacciones!$B$9:$B$3000,A88,Transacciones!$H$9:$H$3000,"&lt;&gt;Válido")=0),"Válido","Revisar caso o detalle"))</f>
        <v>Válido</v>
      </c>
    </row>
    <row r="89" spans="1:13" ht="60" customHeight="1">
      <c r="A89" s="1" t="s">
        <v>440</v>
      </c>
      <c r="B89" s="10" t="s">
        <v>136</v>
      </c>
      <c r="C89" s="15" t="s">
        <v>58</v>
      </c>
      <c r="D89" s="15" t="s">
        <v>441</v>
      </c>
      <c r="E89" s="15" t="s">
        <v>442</v>
      </c>
      <c r="F89" s="15" t="s">
        <v>443</v>
      </c>
      <c r="G89" s="17">
        <v>1</v>
      </c>
      <c r="H89" s="18">
        <f>SUMIFS(Transacciones!$G$9:$G$3000,Transacciones!$B$9:$B$3000,A89,Transacciones!$D$9:$D$3000,"Principal")</f>
        <v>3</v>
      </c>
      <c r="I89" s="18">
        <f>SUMIFS(Transacciones!$G$9:$G$3000,Transacciones!$B$9:$B$3000,A89,Transacciones!$D$9:$D$3000,"Alternativo adicional")</f>
        <v>0</v>
      </c>
      <c r="J89" s="18">
        <f t="shared" si="2"/>
        <v>3</v>
      </c>
      <c r="K89" s="10" t="s">
        <v>444</v>
      </c>
      <c r="L89" s="10" t="s">
        <v>63</v>
      </c>
      <c r="M89" s="10" t="str">
        <f>IF(AND(ISNUMBER(G89),G89=0),"Excluido",IF(AND(ISNUMBER(G89),G89=1,COUNTIF($A$9:$A$500,A89)=1,OR(C89="E1",C89="E2"),D89&lt;&gt;"",E89&lt;&gt;"",F89&lt;&gt;"",J89&gt;=1,COUNTIFS(Transacciones!$B$9:$B$3000,A89,Transacciones!$H$9:$H$3000,"&lt;&gt;Válido")=0),"Válido","Revisar caso o detalle"))</f>
        <v>Válido</v>
      </c>
    </row>
    <row r="90" spans="1:13" ht="60" customHeight="1">
      <c r="A90" s="1" t="s">
        <v>445</v>
      </c>
      <c r="B90" s="10" t="s">
        <v>136</v>
      </c>
      <c r="C90" s="15" t="s">
        <v>58</v>
      </c>
      <c r="D90" s="15" t="s">
        <v>446</v>
      </c>
      <c r="E90" s="15" t="s">
        <v>447</v>
      </c>
      <c r="F90" s="15" t="s">
        <v>448</v>
      </c>
      <c r="G90" s="17">
        <v>1</v>
      </c>
      <c r="H90" s="18">
        <f>SUMIFS(Transacciones!$G$9:$G$3000,Transacciones!$B$9:$B$3000,A90,Transacciones!$D$9:$D$3000,"Principal")</f>
        <v>4</v>
      </c>
      <c r="I90" s="18">
        <f>SUMIFS(Transacciones!$G$9:$G$3000,Transacciones!$B$9:$B$3000,A90,Transacciones!$D$9:$D$3000,"Alternativo adicional")</f>
        <v>0</v>
      </c>
      <c r="J90" s="18">
        <f t="shared" si="2"/>
        <v>4</v>
      </c>
      <c r="K90" s="10" t="s">
        <v>449</v>
      </c>
      <c r="L90" s="10" t="s">
        <v>63</v>
      </c>
      <c r="M90" s="10" t="str">
        <f>IF(AND(ISNUMBER(G90),G90=0),"Excluido",IF(AND(ISNUMBER(G90),G90=1,COUNTIF($A$9:$A$500,A90)=1,OR(C90="E1",C90="E2"),D90&lt;&gt;"",E90&lt;&gt;"",F90&lt;&gt;"",J90&gt;=1,COUNTIFS(Transacciones!$B$9:$B$3000,A90,Transacciones!$H$9:$H$3000,"&lt;&gt;Válido")=0),"Válido","Revisar caso o detalle"))</f>
        <v>Válido</v>
      </c>
    </row>
    <row r="91" spans="1:13" ht="60" customHeight="1">
      <c r="A91" s="1" t="s">
        <v>450</v>
      </c>
      <c r="B91" s="10" t="s">
        <v>136</v>
      </c>
      <c r="C91" s="15" t="s">
        <v>58</v>
      </c>
      <c r="D91" s="15" t="s">
        <v>451</v>
      </c>
      <c r="E91" s="15" t="s">
        <v>452</v>
      </c>
      <c r="F91" s="15" t="s">
        <v>398</v>
      </c>
      <c r="G91" s="17">
        <v>1</v>
      </c>
      <c r="H91" s="18">
        <f>SUMIFS(Transacciones!$G$9:$G$3000,Transacciones!$B$9:$B$3000,A91,Transacciones!$D$9:$D$3000,"Principal")</f>
        <v>5</v>
      </c>
      <c r="I91" s="18">
        <f>SUMIFS(Transacciones!$G$9:$G$3000,Transacciones!$B$9:$B$3000,A91,Transacciones!$D$9:$D$3000,"Alternativo adicional")</f>
        <v>0</v>
      </c>
      <c r="J91" s="18">
        <f t="shared" si="2"/>
        <v>5</v>
      </c>
      <c r="K91" s="10" t="s">
        <v>453</v>
      </c>
      <c r="L91" s="10" t="s">
        <v>63</v>
      </c>
      <c r="M91" s="10" t="str">
        <f>IF(AND(ISNUMBER(G91),G91=0),"Excluido",IF(AND(ISNUMBER(G91),G91=1,COUNTIF($A$9:$A$500,A91)=1,OR(C91="E1",C91="E2"),D91&lt;&gt;"",E91&lt;&gt;"",F91&lt;&gt;"",J91&gt;=1,COUNTIFS(Transacciones!$B$9:$B$3000,A91,Transacciones!$H$9:$H$3000,"&lt;&gt;Válido")=0),"Válido","Revisar caso o detalle"))</f>
        <v>Válido</v>
      </c>
    </row>
    <row r="92" spans="1:13" ht="60" customHeight="1">
      <c r="A92" s="1" t="s">
        <v>454</v>
      </c>
      <c r="B92" s="10" t="s">
        <v>136</v>
      </c>
      <c r="C92" s="15" t="s">
        <v>58</v>
      </c>
      <c r="D92" s="15" t="s">
        <v>455</v>
      </c>
      <c r="E92" s="15" t="s">
        <v>456</v>
      </c>
      <c r="F92" s="15" t="s">
        <v>457</v>
      </c>
      <c r="G92" s="17">
        <v>1</v>
      </c>
      <c r="H92" s="18">
        <f>SUMIFS(Transacciones!$G$9:$G$3000,Transacciones!$B$9:$B$3000,A92,Transacciones!$D$9:$D$3000,"Principal")</f>
        <v>5</v>
      </c>
      <c r="I92" s="18">
        <f>SUMIFS(Transacciones!$G$9:$G$3000,Transacciones!$B$9:$B$3000,A92,Transacciones!$D$9:$D$3000,"Alternativo adicional")</f>
        <v>0</v>
      </c>
      <c r="J92" s="18">
        <f t="shared" si="2"/>
        <v>5</v>
      </c>
      <c r="K92" s="10" t="s">
        <v>458</v>
      </c>
      <c r="L92" s="10" t="s">
        <v>459</v>
      </c>
      <c r="M92" s="10" t="str">
        <f>IF(AND(ISNUMBER(G92),G92=0),"Excluido",IF(AND(ISNUMBER(G92),G92=1,COUNTIF($A$9:$A$500,A92)=1,OR(C92="E1",C92="E2"),D92&lt;&gt;"",E92&lt;&gt;"",F92&lt;&gt;"",J92&gt;=1,COUNTIFS(Transacciones!$B$9:$B$3000,A92,Transacciones!$H$9:$H$3000,"&lt;&gt;Válido")=0),"Válido","Revisar caso o detalle"))</f>
        <v>Válido</v>
      </c>
    </row>
    <row r="93" spans="1:13" ht="60" customHeight="1">
      <c r="A93" s="1" t="s">
        <v>460</v>
      </c>
      <c r="B93" s="10" t="s">
        <v>136</v>
      </c>
      <c r="C93" s="15" t="s">
        <v>58</v>
      </c>
      <c r="D93" s="15" t="s">
        <v>461</v>
      </c>
      <c r="E93" s="15" t="s">
        <v>462</v>
      </c>
      <c r="F93" s="15" t="s">
        <v>463</v>
      </c>
      <c r="G93" s="17">
        <v>1</v>
      </c>
      <c r="H93" s="18">
        <f>SUMIFS(Transacciones!$G$9:$G$3000,Transacciones!$B$9:$B$3000,A93,Transacciones!$D$9:$D$3000,"Principal")</f>
        <v>7</v>
      </c>
      <c r="I93" s="18">
        <f>SUMIFS(Transacciones!$G$9:$G$3000,Transacciones!$B$9:$B$3000,A93,Transacciones!$D$9:$D$3000,"Alternativo adicional")</f>
        <v>0</v>
      </c>
      <c r="J93" s="18">
        <f t="shared" si="2"/>
        <v>7</v>
      </c>
      <c r="K93" s="10" t="s">
        <v>458</v>
      </c>
      <c r="L93" s="10" t="s">
        <v>464</v>
      </c>
      <c r="M93" s="10" t="str">
        <f>IF(AND(ISNUMBER(G93),G93=0),"Excluido",IF(AND(ISNUMBER(G93),G93=1,COUNTIF($A$9:$A$500,A93)=1,OR(C93="E1",C93="E2"),D93&lt;&gt;"",E93&lt;&gt;"",F93&lt;&gt;"",J93&gt;=1,COUNTIFS(Transacciones!$B$9:$B$3000,A93,Transacciones!$H$9:$H$3000,"&lt;&gt;Válido")=0),"Válido","Revisar caso o detalle"))</f>
        <v>Válido</v>
      </c>
    </row>
    <row r="94" spans="1:13" ht="60" customHeight="1">
      <c r="A94" s="1" t="s">
        <v>465</v>
      </c>
      <c r="B94" s="10" t="s">
        <v>249</v>
      </c>
      <c r="C94" s="15" t="s">
        <v>58</v>
      </c>
      <c r="D94" s="15" t="s">
        <v>466</v>
      </c>
      <c r="E94" s="15" t="s">
        <v>467</v>
      </c>
      <c r="F94" s="15" t="s">
        <v>276</v>
      </c>
      <c r="G94" s="17">
        <v>1</v>
      </c>
      <c r="H94" s="18">
        <f>SUMIFS(Transacciones!$G$9:$G$3000,Transacciones!$B$9:$B$3000,A94,Transacciones!$D$9:$D$3000,"Principal")</f>
        <v>5</v>
      </c>
      <c r="I94" s="18">
        <f>SUMIFS(Transacciones!$G$9:$G$3000,Transacciones!$B$9:$B$3000,A94,Transacciones!$D$9:$D$3000,"Alternativo adicional")</f>
        <v>0</v>
      </c>
      <c r="J94" s="18">
        <f t="shared" si="2"/>
        <v>5</v>
      </c>
      <c r="K94" s="10" t="s">
        <v>468</v>
      </c>
      <c r="L94" s="10" t="s">
        <v>469</v>
      </c>
      <c r="M94" s="10" t="str">
        <f>IF(AND(ISNUMBER(G94),G94=0),"Excluido",IF(AND(ISNUMBER(G94),G94=1,COUNTIF($A$9:$A$500,A94)=1,OR(C94="E1",C94="E2"),D94&lt;&gt;"",E94&lt;&gt;"",F94&lt;&gt;"",J94&gt;=1,COUNTIFS(Transacciones!$B$9:$B$3000,A94,Transacciones!$H$9:$H$3000,"&lt;&gt;Válido")=0),"Válido","Revisar caso o detalle"))</f>
        <v>Válido</v>
      </c>
    </row>
    <row r="95" spans="1:13" ht="60" customHeight="1">
      <c r="A95" s="1" t="s">
        <v>470</v>
      </c>
      <c r="B95" s="10" t="s">
        <v>120</v>
      </c>
      <c r="C95" s="15" t="s">
        <v>58</v>
      </c>
      <c r="D95" s="15" t="s">
        <v>471</v>
      </c>
      <c r="E95" s="15" t="s">
        <v>472</v>
      </c>
      <c r="F95" s="15" t="s">
        <v>473</v>
      </c>
      <c r="G95" s="17">
        <v>1</v>
      </c>
      <c r="H95" s="18">
        <f>SUMIFS(Transacciones!$G$9:$G$3000,Transacciones!$B$9:$B$3000,A95,Transacciones!$D$9:$D$3000,"Principal")</f>
        <v>5</v>
      </c>
      <c r="I95" s="18">
        <f>SUMIFS(Transacciones!$G$9:$G$3000,Transacciones!$B$9:$B$3000,A95,Transacciones!$D$9:$D$3000,"Alternativo adicional")</f>
        <v>0</v>
      </c>
      <c r="J95" s="18">
        <f t="shared" si="2"/>
        <v>5</v>
      </c>
      <c r="K95" s="10" t="s">
        <v>474</v>
      </c>
      <c r="L95" s="10" t="s">
        <v>475</v>
      </c>
      <c r="M95" s="10" t="str">
        <f>IF(AND(ISNUMBER(G95),G95=0),"Excluido",IF(AND(ISNUMBER(G95),G95=1,COUNTIF($A$9:$A$500,A95)=1,OR(C95="E1",C95="E2"),D95&lt;&gt;"",E95&lt;&gt;"",F95&lt;&gt;"",J95&gt;=1,COUNTIFS(Transacciones!$B$9:$B$3000,A95,Transacciones!$H$9:$H$3000,"&lt;&gt;Válido")=0),"Válido","Revisar caso o detalle"))</f>
        <v>Válido</v>
      </c>
    </row>
    <row r="96" spans="1:13" ht="60" customHeight="1">
      <c r="A96" s="1" t="s">
        <v>476</v>
      </c>
      <c r="B96" s="10" t="s">
        <v>283</v>
      </c>
      <c r="C96" s="15" t="s">
        <v>216</v>
      </c>
      <c r="D96" s="15" t="s">
        <v>477</v>
      </c>
      <c r="E96" s="15" t="s">
        <v>478</v>
      </c>
      <c r="F96" s="15" t="s">
        <v>291</v>
      </c>
      <c r="G96" s="17">
        <v>1</v>
      </c>
      <c r="H96" s="18">
        <f>SUMIFS(Transacciones!$G$9:$G$3000,Transacciones!$B$9:$B$3000,A96,Transacciones!$D$9:$D$3000,"Principal")</f>
        <v>5</v>
      </c>
      <c r="I96" s="18">
        <f>SUMIFS(Transacciones!$G$9:$G$3000,Transacciones!$B$9:$B$3000,A96,Transacciones!$D$9:$D$3000,"Alternativo adicional")</f>
        <v>0</v>
      </c>
      <c r="J96" s="18">
        <f t="shared" si="2"/>
        <v>5</v>
      </c>
      <c r="K96" s="10" t="s">
        <v>479</v>
      </c>
      <c r="L96" s="10" t="s">
        <v>480</v>
      </c>
      <c r="M96" s="10" t="str">
        <f>IF(AND(ISNUMBER(G96),G96=0),"Excluido",IF(AND(ISNUMBER(G96),G96=1,COUNTIF($A$9:$A$500,A96)=1,OR(C96="E1",C96="E2"),D96&lt;&gt;"",E96&lt;&gt;"",F96&lt;&gt;"",J96&gt;=1,COUNTIFS(Transacciones!$B$9:$B$3000,A96,Transacciones!$H$9:$H$3000,"&lt;&gt;Válido")=0),"Válido","Revisar caso o detalle"))</f>
        <v>Válido</v>
      </c>
    </row>
    <row r="97" spans="1:13" ht="60" customHeight="1">
      <c r="A97" s="1" t="s">
        <v>481</v>
      </c>
      <c r="B97" s="10" t="s">
        <v>283</v>
      </c>
      <c r="C97" s="15" t="s">
        <v>216</v>
      </c>
      <c r="D97" s="15" t="s">
        <v>482</v>
      </c>
      <c r="E97" s="15" t="s">
        <v>483</v>
      </c>
      <c r="F97" s="15" t="s">
        <v>484</v>
      </c>
      <c r="G97" s="17">
        <v>1</v>
      </c>
      <c r="H97" s="18">
        <f>SUMIFS(Transacciones!$G$9:$G$3000,Transacciones!$B$9:$B$3000,A97,Transacciones!$D$9:$D$3000,"Principal")</f>
        <v>5</v>
      </c>
      <c r="I97" s="18">
        <f>SUMIFS(Transacciones!$G$9:$G$3000,Transacciones!$B$9:$B$3000,A97,Transacciones!$D$9:$D$3000,"Alternativo adicional")</f>
        <v>0</v>
      </c>
      <c r="J97" s="18">
        <f t="shared" si="2"/>
        <v>5</v>
      </c>
      <c r="K97" s="10" t="s">
        <v>485</v>
      </c>
      <c r="L97" s="10" t="s">
        <v>486</v>
      </c>
      <c r="M97" s="10" t="str">
        <f>IF(AND(ISNUMBER(G97),G97=0),"Excluido",IF(AND(ISNUMBER(G97),G97=1,COUNTIF($A$9:$A$500,A97)=1,OR(C97="E1",C97="E2"),D97&lt;&gt;"",E97&lt;&gt;"",F97&lt;&gt;"",J97&gt;=1,COUNTIFS(Transacciones!$B$9:$B$3000,A97,Transacciones!$H$9:$H$3000,"&lt;&gt;Válido")=0),"Válido","Revisar caso o detalle"))</f>
        <v>Válido</v>
      </c>
    </row>
    <row r="98" spans="1:13" ht="60" customHeight="1">
      <c r="A98" s="1" t="s">
        <v>487</v>
      </c>
      <c r="B98" s="10" t="s">
        <v>136</v>
      </c>
      <c r="C98" s="15" t="s">
        <v>58</v>
      </c>
      <c r="D98" s="15" t="s">
        <v>488</v>
      </c>
      <c r="E98" s="15" t="s">
        <v>489</v>
      </c>
      <c r="F98" s="15" t="s">
        <v>490</v>
      </c>
      <c r="G98" s="17">
        <v>1</v>
      </c>
      <c r="H98" s="18">
        <f>SUMIFS(Transacciones!$G$9:$G$3000,Transacciones!$B$9:$B$3000,A98,Transacciones!$D$9:$D$3000,"Principal")</f>
        <v>4</v>
      </c>
      <c r="I98" s="18">
        <f>SUMIFS(Transacciones!$G$9:$G$3000,Transacciones!$B$9:$B$3000,A98,Transacciones!$D$9:$D$3000,"Alternativo adicional")</f>
        <v>0</v>
      </c>
      <c r="J98" s="18">
        <f t="shared" si="2"/>
        <v>4</v>
      </c>
      <c r="K98" s="10" t="s">
        <v>491</v>
      </c>
      <c r="L98" s="10" t="s">
        <v>63</v>
      </c>
      <c r="M98" s="10" t="str">
        <f>IF(AND(ISNUMBER(G98),G98=0),"Excluido",IF(AND(ISNUMBER(G98),G98=1,COUNTIF($A$9:$A$500,A98)=1,OR(C98="E1",C98="E2"),D98&lt;&gt;"",E98&lt;&gt;"",F98&lt;&gt;"",J98&gt;=1,COUNTIFS(Transacciones!$B$9:$B$3000,A98,Transacciones!$H$9:$H$3000,"&lt;&gt;Válido")=0),"Válido","Revisar caso o detalle"))</f>
        <v>Válido</v>
      </c>
    </row>
    <row r="99" spans="1:13" ht="60" customHeight="1">
      <c r="A99" s="1" t="s">
        <v>492</v>
      </c>
      <c r="B99" s="10" t="s">
        <v>136</v>
      </c>
      <c r="C99" s="15" t="s">
        <v>58</v>
      </c>
      <c r="D99" s="15" t="s">
        <v>493</v>
      </c>
      <c r="E99" s="15" t="s">
        <v>494</v>
      </c>
      <c r="F99" s="15" t="s">
        <v>398</v>
      </c>
      <c r="G99" s="17">
        <v>1</v>
      </c>
      <c r="H99" s="18">
        <f>SUMIFS(Transacciones!$G$9:$G$3000,Transacciones!$B$9:$B$3000,A99,Transacciones!$D$9:$D$3000,"Principal")</f>
        <v>4</v>
      </c>
      <c r="I99" s="18">
        <f>SUMIFS(Transacciones!$G$9:$G$3000,Transacciones!$B$9:$B$3000,A99,Transacciones!$D$9:$D$3000,"Alternativo adicional")</f>
        <v>0</v>
      </c>
      <c r="J99" s="18">
        <f t="shared" si="2"/>
        <v>4</v>
      </c>
      <c r="K99" s="10" t="s">
        <v>495</v>
      </c>
      <c r="L99" s="10" t="s">
        <v>63</v>
      </c>
      <c r="M99" s="10" t="str">
        <f>IF(AND(ISNUMBER(G99),G99=0),"Excluido",IF(AND(ISNUMBER(G99),G99=1,COUNTIF($A$9:$A$500,A99)=1,OR(C99="E1",C99="E2"),D99&lt;&gt;"",E99&lt;&gt;"",F99&lt;&gt;"",J99&gt;=1,COUNTIFS(Transacciones!$B$9:$B$3000,A99,Transacciones!$H$9:$H$3000,"&lt;&gt;Válido")=0),"Válido","Revisar caso o detalle"))</f>
        <v>Válido</v>
      </c>
    </row>
  </sheetData>
  <conditionalFormatting sqref="M9:M99">
    <cfRule type="expression" dxfId="8" priority="1">
      <formula>LEFT($M9,7)="Revisar"</formula>
    </cfRule>
  </conditionalFormatting>
  <dataValidations count="2">
    <dataValidation type="list" sqref="C9:C99" xr:uid="{00000000-0002-0000-0100-000000000000}">
      <formula1>"E1,E2"</formula1>
    </dataValidation>
    <dataValidation type="whole" sqref="G9:G99" xr:uid="{00000000-0002-0000-0100-000001000000}">
      <formula1>0</formula1>
      <formula2>1</formula2>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98"/>
  <sheetViews>
    <sheetView showGridLines="0" workbookViewId="0">
      <pane xSplit="1" ySplit="8" topLeftCell="B9" activePane="bottomRight" state="frozen"/>
      <selection pane="topRight"/>
      <selection pane="bottomLeft"/>
      <selection pane="bottomRight" activeCell="B9" sqref="B9"/>
    </sheetView>
  </sheetViews>
  <sheetFormatPr baseColWidth="10" defaultColWidth="8.796875" defaultRowHeight="13.8"/>
  <cols>
    <col min="1" max="1" width="17" customWidth="1"/>
    <col min="2" max="2" width="13" customWidth="1"/>
    <col min="3" max="3" width="7" customWidth="1"/>
    <col min="4" max="4" width="25" customWidth="1"/>
    <col min="5" max="5" width="60" customWidth="1"/>
    <col min="6" max="6" width="74" customWidth="1"/>
    <col min="7" max="7" width="9" customWidth="1"/>
    <col min="8" max="8" width="26" customWidth="1"/>
  </cols>
  <sheetData>
    <row r="1" spans="1:8" ht="21" customHeight="1">
      <c r="A1" s="1"/>
      <c r="B1" s="1"/>
      <c r="C1" s="1"/>
      <c r="D1" s="1"/>
      <c r="E1" s="1"/>
      <c r="F1" s="1"/>
      <c r="G1" s="1"/>
      <c r="H1" s="1"/>
    </row>
    <row r="2" spans="1:8" ht="21" customHeight="1">
      <c r="A2" s="2" t="s">
        <v>496</v>
      </c>
      <c r="B2" s="1"/>
      <c r="C2" s="1"/>
      <c r="D2" s="1"/>
      <c r="E2" s="1"/>
      <c r="F2" s="1"/>
      <c r="G2" s="1"/>
      <c r="H2" s="1"/>
    </row>
    <row r="3" spans="1:8" ht="21" customHeight="1">
      <c r="A3" s="3"/>
      <c r="B3" s="3"/>
      <c r="C3" s="3"/>
      <c r="D3" s="3"/>
      <c r="E3" s="3"/>
      <c r="F3" s="3"/>
      <c r="G3" s="3"/>
      <c r="H3" s="3"/>
    </row>
    <row r="4" spans="1:8" ht="21" customHeight="1">
      <c r="A4" s="4" t="s">
        <v>497</v>
      </c>
      <c r="B4" s="1"/>
      <c r="C4" s="1"/>
      <c r="D4" s="1"/>
      <c r="E4" s="1"/>
      <c r="F4" s="1"/>
      <c r="G4" s="1"/>
      <c r="H4" s="1"/>
    </row>
    <row r="5" spans="1:8" ht="21" customHeight="1">
      <c r="A5" s="1"/>
      <c r="B5" s="1"/>
      <c r="C5" s="1"/>
      <c r="D5" s="1"/>
      <c r="E5" s="1"/>
      <c r="F5" s="1"/>
      <c r="G5" s="1"/>
      <c r="H5" s="1"/>
    </row>
    <row r="6" spans="1:8" ht="21" customHeight="1">
      <c r="A6" s="1"/>
      <c r="B6" s="1"/>
      <c r="C6" s="1"/>
      <c r="D6" s="1"/>
      <c r="E6" s="1"/>
      <c r="F6" s="1"/>
      <c r="G6" s="1"/>
      <c r="H6" s="1"/>
    </row>
    <row r="7" spans="1:8" ht="21" customHeight="1">
      <c r="A7" s="1"/>
      <c r="B7" s="1"/>
      <c r="C7" s="1"/>
      <c r="D7" s="1"/>
      <c r="E7" s="1"/>
      <c r="F7" s="1"/>
      <c r="G7" s="1"/>
      <c r="H7" s="1"/>
    </row>
    <row r="8" spans="1:8" ht="31.95" customHeight="1">
      <c r="A8" s="8" t="s">
        <v>498</v>
      </c>
      <c r="B8" s="11" t="s">
        <v>43</v>
      </c>
      <c r="C8" s="11" t="s">
        <v>499</v>
      </c>
      <c r="D8" s="11" t="s">
        <v>500</v>
      </c>
      <c r="E8" s="11" t="s">
        <v>501</v>
      </c>
      <c r="F8" s="11" t="s">
        <v>502</v>
      </c>
      <c r="G8" s="11" t="s">
        <v>503</v>
      </c>
      <c r="H8" s="9" t="s">
        <v>55</v>
      </c>
    </row>
    <row r="9" spans="1:8" ht="43.95" customHeight="1">
      <c r="A9" s="1" t="s">
        <v>504</v>
      </c>
      <c r="B9" s="14" t="s">
        <v>56</v>
      </c>
      <c r="C9" s="16">
        <v>1</v>
      </c>
      <c r="D9" s="15" t="s">
        <v>50</v>
      </c>
      <c r="E9" s="15" t="s">
        <v>505</v>
      </c>
      <c r="F9" s="15" t="s">
        <v>506</v>
      </c>
      <c r="G9" s="17">
        <v>1</v>
      </c>
      <c r="H9" s="1" t="str">
        <f>IF(G9=0,"Válido",IF(AND(ISNUMBER(G9),G9=1,A9&lt;&gt;"",COUNTIF($A$9:$A$3000,A9)=1,COUNTIF('Catalogo CU'!$A$9:$A$500,B9)=1,ISNUMBER(C9),C9&gt;=1,OR(D9="Principal",D9="Alternativo adicional"),E9&lt;&gt;"",F9&lt;&gt;""),"Válido","Revisar transacción"))</f>
        <v>Válido</v>
      </c>
    </row>
    <row r="10" spans="1:8" ht="43.95" customHeight="1">
      <c r="A10" s="1" t="s">
        <v>507</v>
      </c>
      <c r="B10" s="14" t="s">
        <v>56</v>
      </c>
      <c r="C10" s="16">
        <v>2</v>
      </c>
      <c r="D10" s="15" t="s">
        <v>50</v>
      </c>
      <c r="E10" s="15" t="s">
        <v>508</v>
      </c>
      <c r="F10" s="15" t="s">
        <v>509</v>
      </c>
      <c r="G10" s="17">
        <v>1</v>
      </c>
      <c r="H10" s="1" t="str">
        <f>IF(G10=0,"Válido",IF(AND(ISNUMBER(G10),G10=1,A10&lt;&gt;"",COUNTIF($A$9:$A$3000,A10)=1,COUNTIF('Catalogo CU'!$A$9:$A$500,B10)=1,ISNUMBER(C10),C10&gt;=1,OR(D10="Principal",D10="Alternativo adicional"),E10&lt;&gt;"",F10&lt;&gt;""),"Válido","Revisar transacción"))</f>
        <v>Válido</v>
      </c>
    </row>
    <row r="11" spans="1:8" ht="43.95" customHeight="1">
      <c r="A11" s="1" t="s">
        <v>510</v>
      </c>
      <c r="B11" s="14" t="s">
        <v>56</v>
      </c>
      <c r="C11" s="16">
        <v>3</v>
      </c>
      <c r="D11" s="15" t="s">
        <v>50</v>
      </c>
      <c r="E11" s="15" t="s">
        <v>511</v>
      </c>
      <c r="F11" s="15" t="s">
        <v>512</v>
      </c>
      <c r="G11" s="17">
        <v>1</v>
      </c>
      <c r="H11" s="1" t="str">
        <f>IF(G11=0,"Válido",IF(AND(ISNUMBER(G11),G11=1,A11&lt;&gt;"",COUNTIF($A$9:$A$3000,A11)=1,COUNTIF('Catalogo CU'!$A$9:$A$500,B11)=1,ISNUMBER(C11),C11&gt;=1,OR(D11="Principal",D11="Alternativo adicional"),E11&lt;&gt;"",F11&lt;&gt;""),"Válido","Revisar transacción"))</f>
        <v>Válido</v>
      </c>
    </row>
    <row r="12" spans="1:8" ht="43.95" customHeight="1">
      <c r="A12" s="1" t="s">
        <v>513</v>
      </c>
      <c r="B12" s="14" t="s">
        <v>56</v>
      </c>
      <c r="C12" s="16">
        <v>4</v>
      </c>
      <c r="D12" s="15" t="s">
        <v>50</v>
      </c>
      <c r="E12" s="15" t="s">
        <v>514</v>
      </c>
      <c r="F12" s="15" t="s">
        <v>515</v>
      </c>
      <c r="G12" s="17">
        <v>1</v>
      </c>
      <c r="H12" s="1" t="str">
        <f>IF(G12=0,"Válido",IF(AND(ISNUMBER(G12),G12=1,A12&lt;&gt;"",COUNTIF($A$9:$A$3000,A12)=1,COUNTIF('Catalogo CU'!$A$9:$A$500,B12)=1,ISNUMBER(C12),C12&gt;=1,OR(D12="Principal",D12="Alternativo adicional"),E12&lt;&gt;"",F12&lt;&gt;""),"Válido","Revisar transacción"))</f>
        <v>Válido</v>
      </c>
    </row>
    <row r="13" spans="1:8" ht="43.95" customHeight="1">
      <c r="A13" s="1" t="s">
        <v>516</v>
      </c>
      <c r="B13" s="14" t="s">
        <v>56</v>
      </c>
      <c r="C13" s="16">
        <v>5</v>
      </c>
      <c r="D13" s="15" t="s">
        <v>50</v>
      </c>
      <c r="E13" s="15" t="s">
        <v>517</v>
      </c>
      <c r="F13" s="15" t="s">
        <v>518</v>
      </c>
      <c r="G13" s="17">
        <v>1</v>
      </c>
      <c r="H13" s="1" t="str">
        <f>IF(G13=0,"Válido",IF(AND(ISNUMBER(G13),G13=1,A13&lt;&gt;"",COUNTIF($A$9:$A$3000,A13)=1,COUNTIF('Catalogo CU'!$A$9:$A$500,B13)=1,ISNUMBER(C13),C13&gt;=1,OR(D13="Principal",D13="Alternativo adicional"),E13&lt;&gt;"",F13&lt;&gt;""),"Válido","Revisar transacción"))</f>
        <v>Válido</v>
      </c>
    </row>
    <row r="14" spans="1:8" ht="43.95" customHeight="1">
      <c r="A14" s="1" t="s">
        <v>519</v>
      </c>
      <c r="B14" s="14" t="s">
        <v>56</v>
      </c>
      <c r="C14" s="16">
        <v>6</v>
      </c>
      <c r="D14" s="15" t="s">
        <v>520</v>
      </c>
      <c r="E14" s="15" t="s">
        <v>521</v>
      </c>
      <c r="F14" s="15" t="s">
        <v>522</v>
      </c>
      <c r="G14" s="17">
        <v>1</v>
      </c>
      <c r="H14" s="1" t="str">
        <f>IF(G14=0,"Válido",IF(AND(ISNUMBER(G14),G14=1,A14&lt;&gt;"",COUNTIF($A$9:$A$3000,A14)=1,COUNTIF('Catalogo CU'!$A$9:$A$500,B14)=1,ISNUMBER(C14),C14&gt;=1,OR(D14="Principal",D14="Alternativo adicional"),E14&lt;&gt;"",F14&lt;&gt;""),"Válido","Revisar transacción"))</f>
        <v>Válido</v>
      </c>
    </row>
    <row r="15" spans="1:8" ht="43.95" customHeight="1">
      <c r="A15" s="1" t="s">
        <v>523</v>
      </c>
      <c r="B15" s="14" t="s">
        <v>64</v>
      </c>
      <c r="C15" s="16">
        <v>1</v>
      </c>
      <c r="D15" s="15" t="s">
        <v>50</v>
      </c>
      <c r="E15" s="15" t="s">
        <v>524</v>
      </c>
      <c r="F15" s="15" t="s">
        <v>525</v>
      </c>
      <c r="G15" s="17">
        <v>1</v>
      </c>
      <c r="H15" s="1" t="str">
        <f>IF(G15=0,"Válido",IF(AND(ISNUMBER(G15),G15=1,A15&lt;&gt;"",COUNTIF($A$9:$A$3000,A15)=1,COUNTIF('Catalogo CU'!$A$9:$A$500,B15)=1,ISNUMBER(C15),C15&gt;=1,OR(D15="Principal",D15="Alternativo adicional"),E15&lt;&gt;"",F15&lt;&gt;""),"Válido","Revisar transacción"))</f>
        <v>Válido</v>
      </c>
    </row>
    <row r="16" spans="1:8" ht="43.95" customHeight="1">
      <c r="A16" s="1" t="s">
        <v>526</v>
      </c>
      <c r="B16" s="14" t="s">
        <v>64</v>
      </c>
      <c r="C16" s="16">
        <v>2</v>
      </c>
      <c r="D16" s="15" t="s">
        <v>50</v>
      </c>
      <c r="E16" s="15" t="s">
        <v>527</v>
      </c>
      <c r="F16" s="15" t="s">
        <v>528</v>
      </c>
      <c r="G16" s="17">
        <v>1</v>
      </c>
      <c r="H16" s="1" t="str">
        <f>IF(G16=0,"Válido",IF(AND(ISNUMBER(G16),G16=1,A16&lt;&gt;"",COUNTIF($A$9:$A$3000,A16)=1,COUNTIF('Catalogo CU'!$A$9:$A$500,B16)=1,ISNUMBER(C16),C16&gt;=1,OR(D16="Principal",D16="Alternativo adicional"),E16&lt;&gt;"",F16&lt;&gt;""),"Válido","Revisar transacción"))</f>
        <v>Válido</v>
      </c>
    </row>
    <row r="17" spans="1:8" ht="43.95" customHeight="1">
      <c r="A17" s="1" t="s">
        <v>529</v>
      </c>
      <c r="B17" s="14" t="s">
        <v>64</v>
      </c>
      <c r="C17" s="16">
        <v>3</v>
      </c>
      <c r="D17" s="15" t="s">
        <v>50</v>
      </c>
      <c r="E17" s="15" t="s">
        <v>530</v>
      </c>
      <c r="F17" s="15" t="s">
        <v>531</v>
      </c>
      <c r="G17" s="17">
        <v>1</v>
      </c>
      <c r="H17" s="1" t="str">
        <f>IF(G17=0,"Válido",IF(AND(ISNUMBER(G17),G17=1,A17&lt;&gt;"",COUNTIF($A$9:$A$3000,A17)=1,COUNTIF('Catalogo CU'!$A$9:$A$500,B17)=1,ISNUMBER(C17),C17&gt;=1,OR(D17="Principal",D17="Alternativo adicional"),E17&lt;&gt;"",F17&lt;&gt;""),"Válido","Revisar transacción"))</f>
        <v>Válido</v>
      </c>
    </row>
    <row r="18" spans="1:8" ht="43.95" customHeight="1">
      <c r="A18" s="1" t="s">
        <v>532</v>
      </c>
      <c r="B18" s="14" t="s">
        <v>64</v>
      </c>
      <c r="C18" s="16">
        <v>4</v>
      </c>
      <c r="D18" s="15" t="s">
        <v>50</v>
      </c>
      <c r="E18" s="15" t="s">
        <v>533</v>
      </c>
      <c r="F18" s="15" t="s">
        <v>534</v>
      </c>
      <c r="G18" s="17">
        <v>1</v>
      </c>
      <c r="H18" s="1" t="str">
        <f>IF(G18=0,"Válido",IF(AND(ISNUMBER(G18),G18=1,A18&lt;&gt;"",COUNTIF($A$9:$A$3000,A18)=1,COUNTIF('Catalogo CU'!$A$9:$A$500,B18)=1,ISNUMBER(C18),C18&gt;=1,OR(D18="Principal",D18="Alternativo adicional"),E18&lt;&gt;"",F18&lt;&gt;""),"Válido","Revisar transacción"))</f>
        <v>Válido</v>
      </c>
    </row>
    <row r="19" spans="1:8" ht="43.95" customHeight="1">
      <c r="A19" s="1" t="s">
        <v>535</v>
      </c>
      <c r="B19" s="14" t="s">
        <v>69</v>
      </c>
      <c r="C19" s="16">
        <v>1</v>
      </c>
      <c r="D19" s="15" t="s">
        <v>50</v>
      </c>
      <c r="E19" s="15" t="s">
        <v>536</v>
      </c>
      <c r="F19" s="15" t="s">
        <v>537</v>
      </c>
      <c r="G19" s="17">
        <v>1</v>
      </c>
      <c r="H19" s="1" t="str">
        <f>IF(G19=0,"Válido",IF(AND(ISNUMBER(G19),G19=1,A19&lt;&gt;"",COUNTIF($A$9:$A$3000,A19)=1,COUNTIF('Catalogo CU'!$A$9:$A$500,B19)=1,ISNUMBER(C19),C19&gt;=1,OR(D19="Principal",D19="Alternativo adicional"),E19&lt;&gt;"",F19&lt;&gt;""),"Válido","Revisar transacción"))</f>
        <v>Válido</v>
      </c>
    </row>
    <row r="20" spans="1:8" ht="43.95" customHeight="1">
      <c r="A20" s="1" t="s">
        <v>538</v>
      </c>
      <c r="B20" s="14" t="s">
        <v>69</v>
      </c>
      <c r="C20" s="16">
        <v>2</v>
      </c>
      <c r="D20" s="15" t="s">
        <v>50</v>
      </c>
      <c r="E20" s="15" t="s">
        <v>539</v>
      </c>
      <c r="F20" s="15" t="s">
        <v>540</v>
      </c>
      <c r="G20" s="17">
        <v>1</v>
      </c>
      <c r="H20" s="1" t="str">
        <f>IF(G20=0,"Válido",IF(AND(ISNUMBER(G20),G20=1,A20&lt;&gt;"",COUNTIF($A$9:$A$3000,A20)=1,COUNTIF('Catalogo CU'!$A$9:$A$500,B20)=1,ISNUMBER(C20),C20&gt;=1,OR(D20="Principal",D20="Alternativo adicional"),E20&lt;&gt;"",F20&lt;&gt;""),"Válido","Revisar transacción"))</f>
        <v>Válido</v>
      </c>
    </row>
    <row r="21" spans="1:8" ht="43.95" customHeight="1">
      <c r="A21" s="1" t="s">
        <v>541</v>
      </c>
      <c r="B21" s="14" t="s">
        <v>69</v>
      </c>
      <c r="C21" s="16">
        <v>3</v>
      </c>
      <c r="D21" s="15" t="s">
        <v>50</v>
      </c>
      <c r="E21" s="15" t="s">
        <v>542</v>
      </c>
      <c r="F21" s="15" t="s">
        <v>543</v>
      </c>
      <c r="G21" s="17">
        <v>1</v>
      </c>
      <c r="H21" s="1" t="str">
        <f>IF(G21=0,"Válido",IF(AND(ISNUMBER(G21),G21=1,A21&lt;&gt;"",COUNTIF($A$9:$A$3000,A21)=1,COUNTIF('Catalogo CU'!$A$9:$A$500,B21)=1,ISNUMBER(C21),C21&gt;=1,OR(D21="Principal",D21="Alternativo adicional"),E21&lt;&gt;"",F21&lt;&gt;""),"Válido","Revisar transacción"))</f>
        <v>Válido</v>
      </c>
    </row>
    <row r="22" spans="1:8" ht="43.95" customHeight="1">
      <c r="A22" s="1" t="s">
        <v>544</v>
      </c>
      <c r="B22" s="14" t="s">
        <v>73</v>
      </c>
      <c r="C22" s="16">
        <v>1</v>
      </c>
      <c r="D22" s="15" t="s">
        <v>50</v>
      </c>
      <c r="E22" s="15" t="s">
        <v>545</v>
      </c>
      <c r="F22" s="15" t="s">
        <v>546</v>
      </c>
      <c r="G22" s="17">
        <v>1</v>
      </c>
      <c r="H22" s="1" t="str">
        <f>IF(G22=0,"Válido",IF(AND(ISNUMBER(G22),G22=1,A22&lt;&gt;"",COUNTIF($A$9:$A$3000,A22)=1,COUNTIF('Catalogo CU'!$A$9:$A$500,B22)=1,ISNUMBER(C22),C22&gt;=1,OR(D22="Principal",D22="Alternativo adicional"),E22&lt;&gt;"",F22&lt;&gt;""),"Válido","Revisar transacción"))</f>
        <v>Válido</v>
      </c>
    </row>
    <row r="23" spans="1:8" ht="43.95" customHeight="1">
      <c r="A23" s="1" t="s">
        <v>547</v>
      </c>
      <c r="B23" s="14" t="s">
        <v>73</v>
      </c>
      <c r="C23" s="16">
        <v>2</v>
      </c>
      <c r="D23" s="15" t="s">
        <v>50</v>
      </c>
      <c r="E23" s="15" t="s">
        <v>548</v>
      </c>
      <c r="F23" s="15" t="s">
        <v>549</v>
      </c>
      <c r="G23" s="17">
        <v>1</v>
      </c>
      <c r="H23" s="1" t="str">
        <f>IF(G23=0,"Válido",IF(AND(ISNUMBER(G23),G23=1,A23&lt;&gt;"",COUNTIF($A$9:$A$3000,A23)=1,COUNTIF('Catalogo CU'!$A$9:$A$500,B23)=1,ISNUMBER(C23),C23&gt;=1,OR(D23="Principal",D23="Alternativo adicional"),E23&lt;&gt;"",F23&lt;&gt;""),"Válido","Revisar transacción"))</f>
        <v>Válido</v>
      </c>
    </row>
    <row r="24" spans="1:8" ht="43.95" customHeight="1">
      <c r="A24" s="1" t="s">
        <v>550</v>
      </c>
      <c r="B24" s="14" t="s">
        <v>73</v>
      </c>
      <c r="C24" s="16">
        <v>3</v>
      </c>
      <c r="D24" s="15" t="s">
        <v>50</v>
      </c>
      <c r="E24" s="15" t="s">
        <v>551</v>
      </c>
      <c r="F24" s="15" t="s">
        <v>552</v>
      </c>
      <c r="G24" s="17">
        <v>1</v>
      </c>
      <c r="H24" s="1" t="str">
        <f>IF(G24=0,"Válido",IF(AND(ISNUMBER(G24),G24=1,A24&lt;&gt;"",COUNTIF($A$9:$A$3000,A24)=1,COUNTIF('Catalogo CU'!$A$9:$A$500,B24)=1,ISNUMBER(C24),C24&gt;=1,OR(D24="Principal",D24="Alternativo adicional"),E24&lt;&gt;"",F24&lt;&gt;""),"Válido","Revisar transacción"))</f>
        <v>Válido</v>
      </c>
    </row>
    <row r="25" spans="1:8" ht="43.95" customHeight="1">
      <c r="A25" s="1" t="s">
        <v>553</v>
      </c>
      <c r="B25" s="14" t="s">
        <v>78</v>
      </c>
      <c r="C25" s="16">
        <v>1</v>
      </c>
      <c r="D25" s="15" t="s">
        <v>50</v>
      </c>
      <c r="E25" s="15" t="s">
        <v>554</v>
      </c>
      <c r="F25" s="15" t="s">
        <v>555</v>
      </c>
      <c r="G25" s="17">
        <v>1</v>
      </c>
      <c r="H25" s="1" t="str">
        <f>IF(G25=0,"Válido",IF(AND(ISNUMBER(G25),G25=1,A25&lt;&gt;"",COUNTIF($A$9:$A$3000,A25)=1,COUNTIF('Catalogo CU'!$A$9:$A$500,B25)=1,ISNUMBER(C25),C25&gt;=1,OR(D25="Principal",D25="Alternativo adicional"),E25&lt;&gt;"",F25&lt;&gt;""),"Válido","Revisar transacción"))</f>
        <v>Válido</v>
      </c>
    </row>
    <row r="26" spans="1:8" ht="43.95" customHeight="1">
      <c r="A26" s="1" t="s">
        <v>556</v>
      </c>
      <c r="B26" s="14" t="s">
        <v>78</v>
      </c>
      <c r="C26" s="16">
        <v>2</v>
      </c>
      <c r="D26" s="15" t="s">
        <v>50</v>
      </c>
      <c r="E26" s="15" t="s">
        <v>557</v>
      </c>
      <c r="F26" s="15" t="s">
        <v>558</v>
      </c>
      <c r="G26" s="17">
        <v>1</v>
      </c>
      <c r="H26" s="1" t="str">
        <f>IF(G26=0,"Válido",IF(AND(ISNUMBER(G26),G26=1,A26&lt;&gt;"",COUNTIF($A$9:$A$3000,A26)=1,COUNTIF('Catalogo CU'!$A$9:$A$500,B26)=1,ISNUMBER(C26),C26&gt;=1,OR(D26="Principal",D26="Alternativo adicional"),E26&lt;&gt;"",F26&lt;&gt;""),"Válido","Revisar transacción"))</f>
        <v>Válido</v>
      </c>
    </row>
    <row r="27" spans="1:8" ht="43.95" customHeight="1">
      <c r="A27" s="1" t="s">
        <v>559</v>
      </c>
      <c r="B27" s="14" t="s">
        <v>78</v>
      </c>
      <c r="C27" s="16">
        <v>3</v>
      </c>
      <c r="D27" s="15" t="s">
        <v>50</v>
      </c>
      <c r="E27" s="15" t="s">
        <v>560</v>
      </c>
      <c r="F27" s="15" t="s">
        <v>561</v>
      </c>
      <c r="G27" s="17">
        <v>1</v>
      </c>
      <c r="H27" s="1" t="str">
        <f>IF(G27=0,"Válido",IF(AND(ISNUMBER(G27),G27=1,A27&lt;&gt;"",COUNTIF($A$9:$A$3000,A27)=1,COUNTIF('Catalogo CU'!$A$9:$A$500,B27)=1,ISNUMBER(C27),C27&gt;=1,OR(D27="Principal",D27="Alternativo adicional"),E27&lt;&gt;"",F27&lt;&gt;""),"Válido","Revisar transacción"))</f>
        <v>Válido</v>
      </c>
    </row>
    <row r="28" spans="1:8" ht="43.95" customHeight="1">
      <c r="A28" s="1" t="s">
        <v>562</v>
      </c>
      <c r="B28" s="14" t="s">
        <v>78</v>
      </c>
      <c r="C28" s="16">
        <v>4</v>
      </c>
      <c r="D28" s="15" t="s">
        <v>50</v>
      </c>
      <c r="E28" s="15" t="s">
        <v>563</v>
      </c>
      <c r="F28" s="15" t="s">
        <v>564</v>
      </c>
      <c r="G28" s="17">
        <v>1</v>
      </c>
      <c r="H28" s="1" t="str">
        <f>IF(G28=0,"Válido",IF(AND(ISNUMBER(G28),G28=1,A28&lt;&gt;"",COUNTIF($A$9:$A$3000,A28)=1,COUNTIF('Catalogo CU'!$A$9:$A$500,B28)=1,ISNUMBER(C28),C28&gt;=1,OR(D28="Principal",D28="Alternativo adicional"),E28&lt;&gt;"",F28&lt;&gt;""),"Válido","Revisar transacción"))</f>
        <v>Válido</v>
      </c>
    </row>
    <row r="29" spans="1:8" ht="43.95" customHeight="1">
      <c r="A29" s="1" t="s">
        <v>565</v>
      </c>
      <c r="B29" s="14" t="s">
        <v>78</v>
      </c>
      <c r="C29" s="16">
        <v>5</v>
      </c>
      <c r="D29" s="15" t="s">
        <v>50</v>
      </c>
      <c r="E29" s="15" t="s">
        <v>566</v>
      </c>
      <c r="F29" s="15" t="s">
        <v>567</v>
      </c>
      <c r="G29" s="17">
        <v>1</v>
      </c>
      <c r="H29" s="1" t="str">
        <f>IF(G29=0,"Válido",IF(AND(ISNUMBER(G29),G29=1,A29&lt;&gt;"",COUNTIF($A$9:$A$3000,A29)=1,COUNTIF('Catalogo CU'!$A$9:$A$500,B29)=1,ISNUMBER(C29),C29&gt;=1,OR(D29="Principal",D29="Alternativo adicional"),E29&lt;&gt;"",F29&lt;&gt;""),"Válido","Revisar transacción"))</f>
        <v>Válido</v>
      </c>
    </row>
    <row r="30" spans="1:8" ht="43.95" customHeight="1">
      <c r="A30" s="1" t="s">
        <v>568</v>
      </c>
      <c r="B30" s="14" t="s">
        <v>83</v>
      </c>
      <c r="C30" s="16">
        <v>1</v>
      </c>
      <c r="D30" s="15" t="s">
        <v>50</v>
      </c>
      <c r="E30" s="15" t="s">
        <v>569</v>
      </c>
      <c r="F30" s="15" t="s">
        <v>570</v>
      </c>
      <c r="G30" s="17">
        <v>1</v>
      </c>
      <c r="H30" s="1" t="str">
        <f>IF(G30=0,"Válido",IF(AND(ISNUMBER(G30),G30=1,A30&lt;&gt;"",COUNTIF($A$9:$A$3000,A30)=1,COUNTIF('Catalogo CU'!$A$9:$A$500,B30)=1,ISNUMBER(C30),C30&gt;=1,OR(D30="Principal",D30="Alternativo adicional"),E30&lt;&gt;"",F30&lt;&gt;""),"Válido","Revisar transacción"))</f>
        <v>Válido</v>
      </c>
    </row>
    <row r="31" spans="1:8" ht="43.95" customHeight="1">
      <c r="A31" s="1" t="s">
        <v>571</v>
      </c>
      <c r="B31" s="14" t="s">
        <v>83</v>
      </c>
      <c r="C31" s="16">
        <v>2</v>
      </c>
      <c r="D31" s="15" t="s">
        <v>50</v>
      </c>
      <c r="E31" s="15" t="s">
        <v>572</v>
      </c>
      <c r="F31" s="15" t="s">
        <v>573</v>
      </c>
      <c r="G31" s="17">
        <v>1</v>
      </c>
      <c r="H31" s="1" t="str">
        <f>IF(G31=0,"Válido",IF(AND(ISNUMBER(G31),G31=1,A31&lt;&gt;"",COUNTIF($A$9:$A$3000,A31)=1,COUNTIF('Catalogo CU'!$A$9:$A$500,B31)=1,ISNUMBER(C31),C31&gt;=1,OR(D31="Principal",D31="Alternativo adicional"),E31&lt;&gt;"",F31&lt;&gt;""),"Válido","Revisar transacción"))</f>
        <v>Válido</v>
      </c>
    </row>
    <row r="32" spans="1:8" ht="43.95" customHeight="1">
      <c r="A32" s="1" t="s">
        <v>574</v>
      </c>
      <c r="B32" s="14" t="s">
        <v>83</v>
      </c>
      <c r="C32" s="16">
        <v>3</v>
      </c>
      <c r="D32" s="15" t="s">
        <v>50</v>
      </c>
      <c r="E32" s="15" t="s">
        <v>575</v>
      </c>
      <c r="F32" s="15" t="s">
        <v>576</v>
      </c>
      <c r="G32" s="17">
        <v>1</v>
      </c>
      <c r="H32" s="1" t="str">
        <f>IF(G32=0,"Válido",IF(AND(ISNUMBER(G32),G32=1,A32&lt;&gt;"",COUNTIF($A$9:$A$3000,A32)=1,COUNTIF('Catalogo CU'!$A$9:$A$500,B32)=1,ISNUMBER(C32),C32&gt;=1,OR(D32="Principal",D32="Alternativo adicional"),E32&lt;&gt;"",F32&lt;&gt;""),"Válido","Revisar transacción"))</f>
        <v>Válido</v>
      </c>
    </row>
    <row r="33" spans="1:8" ht="43.95" customHeight="1">
      <c r="A33" s="1" t="s">
        <v>577</v>
      </c>
      <c r="B33" s="14" t="s">
        <v>83</v>
      </c>
      <c r="C33" s="16">
        <v>4</v>
      </c>
      <c r="D33" s="15" t="s">
        <v>50</v>
      </c>
      <c r="E33" s="15" t="s">
        <v>578</v>
      </c>
      <c r="F33" s="15" t="s">
        <v>579</v>
      </c>
      <c r="G33" s="17">
        <v>1</v>
      </c>
      <c r="H33" s="1" t="str">
        <f>IF(G33=0,"Válido",IF(AND(ISNUMBER(G33),G33=1,A33&lt;&gt;"",COUNTIF($A$9:$A$3000,A33)=1,COUNTIF('Catalogo CU'!$A$9:$A$500,B33)=1,ISNUMBER(C33),C33&gt;=1,OR(D33="Principal",D33="Alternativo adicional"),E33&lt;&gt;"",F33&lt;&gt;""),"Válido","Revisar transacción"))</f>
        <v>Válido</v>
      </c>
    </row>
    <row r="34" spans="1:8" ht="43.95" customHeight="1">
      <c r="A34" s="1" t="s">
        <v>580</v>
      </c>
      <c r="B34" s="14" t="s">
        <v>83</v>
      </c>
      <c r="C34" s="16">
        <v>5</v>
      </c>
      <c r="D34" s="15" t="s">
        <v>50</v>
      </c>
      <c r="E34" s="15" t="s">
        <v>581</v>
      </c>
      <c r="F34" s="15" t="s">
        <v>582</v>
      </c>
      <c r="G34" s="17">
        <v>1</v>
      </c>
      <c r="H34" s="1" t="str">
        <f>IF(G34=0,"Válido",IF(AND(ISNUMBER(G34),G34=1,A34&lt;&gt;"",COUNTIF($A$9:$A$3000,A34)=1,COUNTIF('Catalogo CU'!$A$9:$A$500,B34)=1,ISNUMBER(C34),C34&gt;=1,OR(D34="Principal",D34="Alternativo adicional"),E34&lt;&gt;"",F34&lt;&gt;""),"Válido","Revisar transacción"))</f>
        <v>Válido</v>
      </c>
    </row>
    <row r="35" spans="1:8" ht="43.95" customHeight="1">
      <c r="A35" s="1" t="s">
        <v>583</v>
      </c>
      <c r="B35" s="14" t="s">
        <v>89</v>
      </c>
      <c r="C35" s="16">
        <v>1</v>
      </c>
      <c r="D35" s="15" t="s">
        <v>50</v>
      </c>
      <c r="E35" s="15" t="s">
        <v>584</v>
      </c>
      <c r="F35" s="15" t="s">
        <v>585</v>
      </c>
      <c r="G35" s="17">
        <v>1</v>
      </c>
      <c r="H35" s="1" t="str">
        <f>IF(G35=0,"Válido",IF(AND(ISNUMBER(G35),G35=1,A35&lt;&gt;"",COUNTIF($A$9:$A$3000,A35)=1,COUNTIF('Catalogo CU'!$A$9:$A$500,B35)=1,ISNUMBER(C35),C35&gt;=1,OR(D35="Principal",D35="Alternativo adicional"),E35&lt;&gt;"",F35&lt;&gt;""),"Válido","Revisar transacción"))</f>
        <v>Válido</v>
      </c>
    </row>
    <row r="36" spans="1:8" ht="43.95" customHeight="1">
      <c r="A36" s="1" t="s">
        <v>586</v>
      </c>
      <c r="B36" s="14" t="s">
        <v>89</v>
      </c>
      <c r="C36" s="16">
        <v>2</v>
      </c>
      <c r="D36" s="15" t="s">
        <v>50</v>
      </c>
      <c r="E36" s="15" t="s">
        <v>587</v>
      </c>
      <c r="F36" s="15" t="s">
        <v>588</v>
      </c>
      <c r="G36" s="17">
        <v>1</v>
      </c>
      <c r="H36" s="1" t="str">
        <f>IF(G36=0,"Válido",IF(AND(ISNUMBER(G36),G36=1,A36&lt;&gt;"",COUNTIF($A$9:$A$3000,A36)=1,COUNTIF('Catalogo CU'!$A$9:$A$500,B36)=1,ISNUMBER(C36),C36&gt;=1,OR(D36="Principal",D36="Alternativo adicional"),E36&lt;&gt;"",F36&lt;&gt;""),"Válido","Revisar transacción"))</f>
        <v>Válido</v>
      </c>
    </row>
    <row r="37" spans="1:8" ht="43.95" customHeight="1">
      <c r="A37" s="1" t="s">
        <v>589</v>
      </c>
      <c r="B37" s="14" t="s">
        <v>89</v>
      </c>
      <c r="C37" s="16">
        <v>3</v>
      </c>
      <c r="D37" s="15" t="s">
        <v>50</v>
      </c>
      <c r="E37" s="15" t="s">
        <v>590</v>
      </c>
      <c r="F37" s="15" t="s">
        <v>591</v>
      </c>
      <c r="G37" s="17">
        <v>1</v>
      </c>
      <c r="H37" s="1" t="str">
        <f>IF(G37=0,"Válido",IF(AND(ISNUMBER(G37),G37=1,A37&lt;&gt;"",COUNTIF($A$9:$A$3000,A37)=1,COUNTIF('Catalogo CU'!$A$9:$A$500,B37)=1,ISNUMBER(C37),C37&gt;=1,OR(D37="Principal",D37="Alternativo adicional"),E37&lt;&gt;"",F37&lt;&gt;""),"Válido","Revisar transacción"))</f>
        <v>Válido</v>
      </c>
    </row>
    <row r="38" spans="1:8" ht="43.95" customHeight="1">
      <c r="A38" s="1" t="s">
        <v>592</v>
      </c>
      <c r="B38" s="14" t="s">
        <v>94</v>
      </c>
      <c r="C38" s="16">
        <v>1</v>
      </c>
      <c r="D38" s="15" t="s">
        <v>50</v>
      </c>
      <c r="E38" s="15" t="s">
        <v>593</v>
      </c>
      <c r="F38" s="15" t="s">
        <v>594</v>
      </c>
      <c r="G38" s="17">
        <v>1</v>
      </c>
      <c r="H38" s="1" t="str">
        <f>IF(G38=0,"Válido",IF(AND(ISNUMBER(G38),G38=1,A38&lt;&gt;"",COUNTIF($A$9:$A$3000,A38)=1,COUNTIF('Catalogo CU'!$A$9:$A$500,B38)=1,ISNUMBER(C38),C38&gt;=1,OR(D38="Principal",D38="Alternativo adicional"),E38&lt;&gt;"",F38&lt;&gt;""),"Válido","Revisar transacción"))</f>
        <v>Válido</v>
      </c>
    </row>
    <row r="39" spans="1:8" ht="43.95" customHeight="1">
      <c r="A39" s="1" t="s">
        <v>595</v>
      </c>
      <c r="B39" s="14" t="s">
        <v>94</v>
      </c>
      <c r="C39" s="16">
        <v>2</v>
      </c>
      <c r="D39" s="15" t="s">
        <v>50</v>
      </c>
      <c r="E39" s="15" t="s">
        <v>596</v>
      </c>
      <c r="F39" s="15" t="s">
        <v>597</v>
      </c>
      <c r="G39" s="17">
        <v>1</v>
      </c>
      <c r="H39" s="1" t="str">
        <f>IF(G39=0,"Válido",IF(AND(ISNUMBER(G39),G39=1,A39&lt;&gt;"",COUNTIF($A$9:$A$3000,A39)=1,COUNTIF('Catalogo CU'!$A$9:$A$500,B39)=1,ISNUMBER(C39),C39&gt;=1,OR(D39="Principal",D39="Alternativo adicional"),E39&lt;&gt;"",F39&lt;&gt;""),"Válido","Revisar transacción"))</f>
        <v>Válido</v>
      </c>
    </row>
    <row r="40" spans="1:8" ht="43.95" customHeight="1">
      <c r="A40" s="1" t="s">
        <v>598</v>
      </c>
      <c r="B40" s="14" t="s">
        <v>94</v>
      </c>
      <c r="C40" s="16">
        <v>3</v>
      </c>
      <c r="D40" s="15" t="s">
        <v>50</v>
      </c>
      <c r="E40" s="15" t="s">
        <v>599</v>
      </c>
      <c r="F40" s="15" t="s">
        <v>600</v>
      </c>
      <c r="G40" s="17">
        <v>1</v>
      </c>
      <c r="H40" s="1" t="str">
        <f>IF(G40=0,"Válido",IF(AND(ISNUMBER(G40),G40=1,A40&lt;&gt;"",COUNTIF($A$9:$A$3000,A40)=1,COUNTIF('Catalogo CU'!$A$9:$A$500,B40)=1,ISNUMBER(C40),C40&gt;=1,OR(D40="Principal",D40="Alternativo adicional"),E40&lt;&gt;"",F40&lt;&gt;""),"Válido","Revisar transacción"))</f>
        <v>Válido</v>
      </c>
    </row>
    <row r="41" spans="1:8" ht="43.95" customHeight="1">
      <c r="A41" s="1" t="s">
        <v>601</v>
      </c>
      <c r="B41" s="14" t="s">
        <v>94</v>
      </c>
      <c r="C41" s="16">
        <v>4</v>
      </c>
      <c r="D41" s="15" t="s">
        <v>50</v>
      </c>
      <c r="E41" s="15" t="s">
        <v>602</v>
      </c>
      <c r="F41" s="15" t="s">
        <v>603</v>
      </c>
      <c r="G41" s="17">
        <v>1</v>
      </c>
      <c r="H41" s="1" t="str">
        <f>IF(G41=0,"Válido",IF(AND(ISNUMBER(G41),G41=1,A41&lt;&gt;"",COUNTIF($A$9:$A$3000,A41)=1,COUNTIF('Catalogo CU'!$A$9:$A$500,B41)=1,ISNUMBER(C41),C41&gt;=1,OR(D41="Principal",D41="Alternativo adicional"),E41&lt;&gt;"",F41&lt;&gt;""),"Válido","Revisar transacción"))</f>
        <v>Válido</v>
      </c>
    </row>
    <row r="42" spans="1:8" ht="43.95" customHeight="1">
      <c r="A42" s="1" t="s">
        <v>604</v>
      </c>
      <c r="B42" s="14" t="s">
        <v>94</v>
      </c>
      <c r="C42" s="16">
        <v>5</v>
      </c>
      <c r="D42" s="15" t="s">
        <v>50</v>
      </c>
      <c r="E42" s="15" t="s">
        <v>605</v>
      </c>
      <c r="F42" s="15" t="s">
        <v>606</v>
      </c>
      <c r="G42" s="17">
        <v>1</v>
      </c>
      <c r="H42" s="1" t="str">
        <f>IF(G42=0,"Válido",IF(AND(ISNUMBER(G42),G42=1,A42&lt;&gt;"",COUNTIF($A$9:$A$3000,A42)=1,COUNTIF('Catalogo CU'!$A$9:$A$500,B42)=1,ISNUMBER(C42),C42&gt;=1,OR(D42="Principal",D42="Alternativo adicional"),E42&lt;&gt;"",F42&lt;&gt;""),"Válido","Revisar transacción"))</f>
        <v>Válido</v>
      </c>
    </row>
    <row r="43" spans="1:8" ht="43.95" customHeight="1">
      <c r="A43" s="1" t="s">
        <v>607</v>
      </c>
      <c r="B43" s="14" t="s">
        <v>98</v>
      </c>
      <c r="C43" s="16">
        <v>1</v>
      </c>
      <c r="D43" s="15" t="s">
        <v>50</v>
      </c>
      <c r="E43" s="15" t="s">
        <v>608</v>
      </c>
      <c r="F43" s="15" t="s">
        <v>609</v>
      </c>
      <c r="G43" s="17">
        <v>1</v>
      </c>
      <c r="H43" s="1" t="str">
        <f>IF(G43=0,"Válido",IF(AND(ISNUMBER(G43),G43=1,A43&lt;&gt;"",COUNTIF($A$9:$A$3000,A43)=1,COUNTIF('Catalogo CU'!$A$9:$A$500,B43)=1,ISNUMBER(C43),C43&gt;=1,OR(D43="Principal",D43="Alternativo adicional"),E43&lt;&gt;"",F43&lt;&gt;""),"Válido","Revisar transacción"))</f>
        <v>Válido</v>
      </c>
    </row>
    <row r="44" spans="1:8" ht="43.95" customHeight="1">
      <c r="A44" s="1" t="s">
        <v>610</v>
      </c>
      <c r="B44" s="14" t="s">
        <v>98</v>
      </c>
      <c r="C44" s="16">
        <v>2</v>
      </c>
      <c r="D44" s="15" t="s">
        <v>50</v>
      </c>
      <c r="E44" s="15" t="s">
        <v>611</v>
      </c>
      <c r="F44" s="15" t="s">
        <v>612</v>
      </c>
      <c r="G44" s="17">
        <v>1</v>
      </c>
      <c r="H44" s="1" t="str">
        <f>IF(G44=0,"Válido",IF(AND(ISNUMBER(G44),G44=1,A44&lt;&gt;"",COUNTIF($A$9:$A$3000,A44)=1,COUNTIF('Catalogo CU'!$A$9:$A$500,B44)=1,ISNUMBER(C44),C44&gt;=1,OR(D44="Principal",D44="Alternativo adicional"),E44&lt;&gt;"",F44&lt;&gt;""),"Válido","Revisar transacción"))</f>
        <v>Válido</v>
      </c>
    </row>
    <row r="45" spans="1:8" ht="43.95" customHeight="1">
      <c r="A45" s="1" t="s">
        <v>613</v>
      </c>
      <c r="B45" s="14" t="s">
        <v>98</v>
      </c>
      <c r="C45" s="16">
        <v>3</v>
      </c>
      <c r="D45" s="15" t="s">
        <v>50</v>
      </c>
      <c r="E45" s="15" t="s">
        <v>614</v>
      </c>
      <c r="F45" s="15" t="s">
        <v>615</v>
      </c>
      <c r="G45" s="17">
        <v>1</v>
      </c>
      <c r="H45" s="1" t="str">
        <f>IF(G45=0,"Válido",IF(AND(ISNUMBER(G45),G45=1,A45&lt;&gt;"",COUNTIF($A$9:$A$3000,A45)=1,COUNTIF('Catalogo CU'!$A$9:$A$500,B45)=1,ISNUMBER(C45),C45&gt;=1,OR(D45="Principal",D45="Alternativo adicional"),E45&lt;&gt;"",F45&lt;&gt;""),"Válido","Revisar transacción"))</f>
        <v>Válido</v>
      </c>
    </row>
    <row r="46" spans="1:8" ht="43.95" customHeight="1">
      <c r="A46" s="1" t="s">
        <v>616</v>
      </c>
      <c r="B46" s="14" t="s">
        <v>98</v>
      </c>
      <c r="C46" s="16">
        <v>4</v>
      </c>
      <c r="D46" s="15" t="s">
        <v>50</v>
      </c>
      <c r="E46" s="15" t="s">
        <v>617</v>
      </c>
      <c r="F46" s="15" t="s">
        <v>618</v>
      </c>
      <c r="G46" s="17">
        <v>1</v>
      </c>
      <c r="H46" s="1" t="str">
        <f>IF(G46=0,"Válido",IF(AND(ISNUMBER(G46),G46=1,A46&lt;&gt;"",COUNTIF($A$9:$A$3000,A46)=1,COUNTIF('Catalogo CU'!$A$9:$A$500,B46)=1,ISNUMBER(C46),C46&gt;=1,OR(D46="Principal",D46="Alternativo adicional"),E46&lt;&gt;"",F46&lt;&gt;""),"Válido","Revisar transacción"))</f>
        <v>Válido</v>
      </c>
    </row>
    <row r="47" spans="1:8" ht="43.95" customHeight="1">
      <c r="A47" s="1" t="s">
        <v>619</v>
      </c>
      <c r="B47" s="14" t="s">
        <v>98</v>
      </c>
      <c r="C47" s="16">
        <v>5</v>
      </c>
      <c r="D47" s="15" t="s">
        <v>520</v>
      </c>
      <c r="E47" s="15" t="s">
        <v>620</v>
      </c>
      <c r="F47" s="15" t="s">
        <v>621</v>
      </c>
      <c r="G47" s="17">
        <v>1</v>
      </c>
      <c r="H47" s="1" t="str">
        <f>IF(G47=0,"Válido",IF(AND(ISNUMBER(G47),G47=1,A47&lt;&gt;"",COUNTIF($A$9:$A$3000,A47)=1,COUNTIF('Catalogo CU'!$A$9:$A$500,B47)=1,ISNUMBER(C47),C47&gt;=1,OR(D47="Principal",D47="Alternativo adicional"),E47&lt;&gt;"",F47&lt;&gt;""),"Válido","Revisar transacción"))</f>
        <v>Válido</v>
      </c>
    </row>
    <row r="48" spans="1:8" ht="43.95" customHeight="1">
      <c r="A48" s="1" t="s">
        <v>622</v>
      </c>
      <c r="B48" s="14" t="s">
        <v>98</v>
      </c>
      <c r="C48" s="16">
        <v>6</v>
      </c>
      <c r="D48" s="15" t="s">
        <v>50</v>
      </c>
      <c r="E48" s="15" t="s">
        <v>623</v>
      </c>
      <c r="F48" s="15" t="s">
        <v>624</v>
      </c>
      <c r="G48" s="17">
        <v>1</v>
      </c>
      <c r="H48" s="1" t="str">
        <f>IF(G48=0,"Válido",IF(AND(ISNUMBER(G48),G48=1,A48&lt;&gt;"",COUNTIF($A$9:$A$3000,A48)=1,COUNTIF('Catalogo CU'!$A$9:$A$500,B48)=1,ISNUMBER(C48),C48&gt;=1,OR(D48="Principal",D48="Alternativo adicional"),E48&lt;&gt;"",F48&lt;&gt;""),"Válido","Revisar transacción"))</f>
        <v>Válido</v>
      </c>
    </row>
    <row r="49" spans="1:8" ht="43.95" customHeight="1">
      <c r="A49" s="1" t="s">
        <v>625</v>
      </c>
      <c r="B49" s="14" t="s">
        <v>102</v>
      </c>
      <c r="C49" s="16">
        <v>1</v>
      </c>
      <c r="D49" s="15" t="s">
        <v>50</v>
      </c>
      <c r="E49" s="15" t="s">
        <v>626</v>
      </c>
      <c r="F49" s="15" t="s">
        <v>627</v>
      </c>
      <c r="G49" s="17">
        <v>1</v>
      </c>
      <c r="H49" s="1" t="str">
        <f>IF(G49=0,"Válido",IF(AND(ISNUMBER(G49),G49=1,A49&lt;&gt;"",COUNTIF($A$9:$A$3000,A49)=1,COUNTIF('Catalogo CU'!$A$9:$A$500,B49)=1,ISNUMBER(C49),C49&gt;=1,OR(D49="Principal",D49="Alternativo adicional"),E49&lt;&gt;"",F49&lt;&gt;""),"Válido","Revisar transacción"))</f>
        <v>Válido</v>
      </c>
    </row>
    <row r="50" spans="1:8" ht="43.95" customHeight="1">
      <c r="A50" s="1" t="s">
        <v>628</v>
      </c>
      <c r="B50" s="14" t="s">
        <v>102</v>
      </c>
      <c r="C50" s="16">
        <v>2</v>
      </c>
      <c r="D50" s="15" t="s">
        <v>50</v>
      </c>
      <c r="E50" s="15" t="s">
        <v>629</v>
      </c>
      <c r="F50" s="15" t="s">
        <v>630</v>
      </c>
      <c r="G50" s="17">
        <v>1</v>
      </c>
      <c r="H50" s="1" t="str">
        <f>IF(G50=0,"Válido",IF(AND(ISNUMBER(G50),G50=1,A50&lt;&gt;"",COUNTIF($A$9:$A$3000,A50)=1,COUNTIF('Catalogo CU'!$A$9:$A$500,B50)=1,ISNUMBER(C50),C50&gt;=1,OR(D50="Principal",D50="Alternativo adicional"),E50&lt;&gt;"",F50&lt;&gt;""),"Válido","Revisar transacción"))</f>
        <v>Válido</v>
      </c>
    </row>
    <row r="51" spans="1:8" ht="43.95" customHeight="1">
      <c r="A51" s="1" t="s">
        <v>631</v>
      </c>
      <c r="B51" s="14" t="s">
        <v>102</v>
      </c>
      <c r="C51" s="16">
        <v>3</v>
      </c>
      <c r="D51" s="15" t="s">
        <v>50</v>
      </c>
      <c r="E51" s="15" t="s">
        <v>632</v>
      </c>
      <c r="F51" s="15" t="s">
        <v>633</v>
      </c>
      <c r="G51" s="17">
        <v>1</v>
      </c>
      <c r="H51" s="1" t="str">
        <f>IF(G51=0,"Válido",IF(AND(ISNUMBER(G51),G51=1,A51&lt;&gt;"",COUNTIF($A$9:$A$3000,A51)=1,COUNTIF('Catalogo CU'!$A$9:$A$500,B51)=1,ISNUMBER(C51),C51&gt;=1,OR(D51="Principal",D51="Alternativo adicional"),E51&lt;&gt;"",F51&lt;&gt;""),"Válido","Revisar transacción"))</f>
        <v>Válido</v>
      </c>
    </row>
    <row r="52" spans="1:8" ht="43.95" customHeight="1">
      <c r="A52" s="1" t="s">
        <v>634</v>
      </c>
      <c r="B52" s="14" t="s">
        <v>102</v>
      </c>
      <c r="C52" s="16">
        <v>4</v>
      </c>
      <c r="D52" s="15" t="s">
        <v>50</v>
      </c>
      <c r="E52" s="15" t="s">
        <v>635</v>
      </c>
      <c r="F52" s="15" t="s">
        <v>636</v>
      </c>
      <c r="G52" s="17">
        <v>1</v>
      </c>
      <c r="H52" s="1" t="str">
        <f>IF(G52=0,"Válido",IF(AND(ISNUMBER(G52),G52=1,A52&lt;&gt;"",COUNTIF($A$9:$A$3000,A52)=1,COUNTIF('Catalogo CU'!$A$9:$A$500,B52)=1,ISNUMBER(C52),C52&gt;=1,OR(D52="Principal",D52="Alternativo adicional"),E52&lt;&gt;"",F52&lt;&gt;""),"Válido","Revisar transacción"))</f>
        <v>Válido</v>
      </c>
    </row>
    <row r="53" spans="1:8" ht="43.95" customHeight="1">
      <c r="A53" s="1" t="s">
        <v>637</v>
      </c>
      <c r="B53" s="14" t="s">
        <v>102</v>
      </c>
      <c r="C53" s="16">
        <v>5</v>
      </c>
      <c r="D53" s="15" t="s">
        <v>50</v>
      </c>
      <c r="E53" s="15" t="s">
        <v>638</v>
      </c>
      <c r="F53" s="15" t="s">
        <v>639</v>
      </c>
      <c r="G53" s="17">
        <v>1</v>
      </c>
      <c r="H53" s="1" t="str">
        <f>IF(G53=0,"Válido",IF(AND(ISNUMBER(G53),G53=1,A53&lt;&gt;"",COUNTIF($A$9:$A$3000,A53)=1,COUNTIF('Catalogo CU'!$A$9:$A$500,B53)=1,ISNUMBER(C53),C53&gt;=1,OR(D53="Principal",D53="Alternativo adicional"),E53&lt;&gt;"",F53&lt;&gt;""),"Válido","Revisar transacción"))</f>
        <v>Válido</v>
      </c>
    </row>
    <row r="54" spans="1:8" ht="43.95" customHeight="1">
      <c r="A54" s="1" t="s">
        <v>640</v>
      </c>
      <c r="B54" s="14" t="s">
        <v>102</v>
      </c>
      <c r="C54" s="16">
        <v>6</v>
      </c>
      <c r="D54" s="15" t="s">
        <v>520</v>
      </c>
      <c r="E54" s="15" t="s">
        <v>641</v>
      </c>
      <c r="F54" s="15" t="s">
        <v>642</v>
      </c>
      <c r="G54" s="17">
        <v>1</v>
      </c>
      <c r="H54" s="1" t="str">
        <f>IF(G54=0,"Válido",IF(AND(ISNUMBER(G54),G54=1,A54&lt;&gt;"",COUNTIF($A$9:$A$3000,A54)=1,COUNTIF('Catalogo CU'!$A$9:$A$500,B54)=1,ISNUMBER(C54),C54&gt;=1,OR(D54="Principal",D54="Alternativo adicional"),E54&lt;&gt;"",F54&lt;&gt;""),"Válido","Revisar transacción"))</f>
        <v>Válido</v>
      </c>
    </row>
    <row r="55" spans="1:8" ht="43.95" customHeight="1">
      <c r="A55" s="1" t="s">
        <v>643</v>
      </c>
      <c r="B55" s="14" t="s">
        <v>106</v>
      </c>
      <c r="C55" s="16">
        <v>1</v>
      </c>
      <c r="D55" s="15" t="s">
        <v>50</v>
      </c>
      <c r="E55" s="15" t="s">
        <v>644</v>
      </c>
      <c r="F55" s="15" t="s">
        <v>645</v>
      </c>
      <c r="G55" s="17">
        <v>1</v>
      </c>
      <c r="H55" s="1" t="str">
        <f>IF(G55=0,"Válido",IF(AND(ISNUMBER(G55),G55=1,A55&lt;&gt;"",COUNTIF($A$9:$A$3000,A55)=1,COUNTIF('Catalogo CU'!$A$9:$A$500,B55)=1,ISNUMBER(C55),C55&gt;=1,OR(D55="Principal",D55="Alternativo adicional"),E55&lt;&gt;"",F55&lt;&gt;""),"Válido","Revisar transacción"))</f>
        <v>Válido</v>
      </c>
    </row>
    <row r="56" spans="1:8" ht="43.95" customHeight="1">
      <c r="A56" s="1" t="s">
        <v>646</v>
      </c>
      <c r="B56" s="14" t="s">
        <v>106</v>
      </c>
      <c r="C56" s="16">
        <v>2</v>
      </c>
      <c r="D56" s="15" t="s">
        <v>50</v>
      </c>
      <c r="E56" s="15" t="s">
        <v>647</v>
      </c>
      <c r="F56" s="15" t="s">
        <v>648</v>
      </c>
      <c r="G56" s="17">
        <v>1</v>
      </c>
      <c r="H56" s="1" t="str">
        <f>IF(G56=0,"Válido",IF(AND(ISNUMBER(G56),G56=1,A56&lt;&gt;"",COUNTIF($A$9:$A$3000,A56)=1,COUNTIF('Catalogo CU'!$A$9:$A$500,B56)=1,ISNUMBER(C56),C56&gt;=1,OR(D56="Principal",D56="Alternativo adicional"),E56&lt;&gt;"",F56&lt;&gt;""),"Válido","Revisar transacción"))</f>
        <v>Válido</v>
      </c>
    </row>
    <row r="57" spans="1:8" ht="43.95" customHeight="1">
      <c r="A57" s="1" t="s">
        <v>649</v>
      </c>
      <c r="B57" s="14" t="s">
        <v>106</v>
      </c>
      <c r="C57" s="16">
        <v>3</v>
      </c>
      <c r="D57" s="15" t="s">
        <v>50</v>
      </c>
      <c r="E57" s="15" t="s">
        <v>650</v>
      </c>
      <c r="F57" s="15" t="s">
        <v>651</v>
      </c>
      <c r="G57" s="17">
        <v>1</v>
      </c>
      <c r="H57" s="1" t="str">
        <f>IF(G57=0,"Válido",IF(AND(ISNUMBER(G57),G57=1,A57&lt;&gt;"",COUNTIF($A$9:$A$3000,A57)=1,COUNTIF('Catalogo CU'!$A$9:$A$500,B57)=1,ISNUMBER(C57),C57&gt;=1,OR(D57="Principal",D57="Alternativo adicional"),E57&lt;&gt;"",F57&lt;&gt;""),"Válido","Revisar transacción"))</f>
        <v>Válido</v>
      </c>
    </row>
    <row r="58" spans="1:8" ht="43.95" customHeight="1">
      <c r="A58" s="1" t="s">
        <v>652</v>
      </c>
      <c r="B58" s="14" t="s">
        <v>111</v>
      </c>
      <c r="C58" s="16">
        <v>1</v>
      </c>
      <c r="D58" s="15" t="s">
        <v>50</v>
      </c>
      <c r="E58" s="15" t="s">
        <v>653</v>
      </c>
      <c r="F58" s="15" t="s">
        <v>654</v>
      </c>
      <c r="G58" s="17">
        <v>1</v>
      </c>
      <c r="H58" s="1" t="str">
        <f>IF(G58=0,"Válido",IF(AND(ISNUMBER(G58),G58=1,A58&lt;&gt;"",COUNTIF($A$9:$A$3000,A58)=1,COUNTIF('Catalogo CU'!$A$9:$A$500,B58)=1,ISNUMBER(C58),C58&gt;=1,OR(D58="Principal",D58="Alternativo adicional"),E58&lt;&gt;"",F58&lt;&gt;""),"Válido","Revisar transacción"))</f>
        <v>Válido</v>
      </c>
    </row>
    <row r="59" spans="1:8" ht="43.95" customHeight="1">
      <c r="A59" s="1" t="s">
        <v>655</v>
      </c>
      <c r="B59" s="14" t="s">
        <v>111</v>
      </c>
      <c r="C59" s="16">
        <v>2</v>
      </c>
      <c r="D59" s="15" t="s">
        <v>50</v>
      </c>
      <c r="E59" s="15" t="s">
        <v>656</v>
      </c>
      <c r="F59" s="15" t="s">
        <v>657</v>
      </c>
      <c r="G59" s="17">
        <v>1</v>
      </c>
      <c r="H59" s="1" t="str">
        <f>IF(G59=0,"Válido",IF(AND(ISNUMBER(G59),G59=1,A59&lt;&gt;"",COUNTIF($A$9:$A$3000,A59)=1,COUNTIF('Catalogo CU'!$A$9:$A$500,B59)=1,ISNUMBER(C59),C59&gt;=1,OR(D59="Principal",D59="Alternativo adicional"),E59&lt;&gt;"",F59&lt;&gt;""),"Válido","Revisar transacción"))</f>
        <v>Válido</v>
      </c>
    </row>
    <row r="60" spans="1:8" ht="43.95" customHeight="1">
      <c r="A60" s="1" t="s">
        <v>658</v>
      </c>
      <c r="B60" s="14" t="s">
        <v>111</v>
      </c>
      <c r="C60" s="16">
        <v>3</v>
      </c>
      <c r="D60" s="15" t="s">
        <v>50</v>
      </c>
      <c r="E60" s="15" t="s">
        <v>659</v>
      </c>
      <c r="F60" s="15" t="s">
        <v>660</v>
      </c>
      <c r="G60" s="17">
        <v>1</v>
      </c>
      <c r="H60" s="1" t="str">
        <f>IF(G60=0,"Válido",IF(AND(ISNUMBER(G60),G60=1,A60&lt;&gt;"",COUNTIF($A$9:$A$3000,A60)=1,COUNTIF('Catalogo CU'!$A$9:$A$500,B60)=1,ISNUMBER(C60),C60&gt;=1,OR(D60="Principal",D60="Alternativo adicional"),E60&lt;&gt;"",F60&lt;&gt;""),"Válido","Revisar transacción"))</f>
        <v>Válido</v>
      </c>
    </row>
    <row r="61" spans="1:8" ht="43.95" customHeight="1">
      <c r="A61" s="1" t="s">
        <v>661</v>
      </c>
      <c r="B61" s="14" t="s">
        <v>115</v>
      </c>
      <c r="C61" s="16">
        <v>1</v>
      </c>
      <c r="D61" s="15" t="s">
        <v>50</v>
      </c>
      <c r="E61" s="15" t="s">
        <v>662</v>
      </c>
      <c r="F61" s="15" t="s">
        <v>663</v>
      </c>
      <c r="G61" s="17">
        <v>1</v>
      </c>
      <c r="H61" s="1" t="str">
        <f>IF(G61=0,"Válido",IF(AND(ISNUMBER(G61),G61=1,A61&lt;&gt;"",COUNTIF($A$9:$A$3000,A61)=1,COUNTIF('Catalogo CU'!$A$9:$A$500,B61)=1,ISNUMBER(C61),C61&gt;=1,OR(D61="Principal",D61="Alternativo adicional"),E61&lt;&gt;"",F61&lt;&gt;""),"Válido","Revisar transacción"))</f>
        <v>Válido</v>
      </c>
    </row>
    <row r="62" spans="1:8" ht="43.95" customHeight="1">
      <c r="A62" s="1" t="s">
        <v>664</v>
      </c>
      <c r="B62" s="14" t="s">
        <v>115</v>
      </c>
      <c r="C62" s="16">
        <v>2</v>
      </c>
      <c r="D62" s="15" t="s">
        <v>50</v>
      </c>
      <c r="E62" s="15" t="s">
        <v>665</v>
      </c>
      <c r="F62" s="15" t="s">
        <v>666</v>
      </c>
      <c r="G62" s="17">
        <v>1</v>
      </c>
      <c r="H62" s="1" t="str">
        <f>IF(G62=0,"Válido",IF(AND(ISNUMBER(G62),G62=1,A62&lt;&gt;"",COUNTIF($A$9:$A$3000,A62)=1,COUNTIF('Catalogo CU'!$A$9:$A$500,B62)=1,ISNUMBER(C62),C62&gt;=1,OR(D62="Principal",D62="Alternativo adicional"),E62&lt;&gt;"",F62&lt;&gt;""),"Válido","Revisar transacción"))</f>
        <v>Válido</v>
      </c>
    </row>
    <row r="63" spans="1:8" ht="43.95" customHeight="1">
      <c r="A63" s="1" t="s">
        <v>667</v>
      </c>
      <c r="B63" s="14" t="s">
        <v>115</v>
      </c>
      <c r="C63" s="16">
        <v>3</v>
      </c>
      <c r="D63" s="15" t="s">
        <v>50</v>
      </c>
      <c r="E63" s="15" t="s">
        <v>668</v>
      </c>
      <c r="F63" s="15" t="s">
        <v>669</v>
      </c>
      <c r="G63" s="17">
        <v>1</v>
      </c>
      <c r="H63" s="1" t="str">
        <f>IF(G63=0,"Válido",IF(AND(ISNUMBER(G63),G63=1,A63&lt;&gt;"",COUNTIF($A$9:$A$3000,A63)=1,COUNTIF('Catalogo CU'!$A$9:$A$500,B63)=1,ISNUMBER(C63),C63&gt;=1,OR(D63="Principal",D63="Alternativo adicional"),E63&lt;&gt;"",F63&lt;&gt;""),"Válido","Revisar transacción"))</f>
        <v>Válido</v>
      </c>
    </row>
    <row r="64" spans="1:8" ht="43.95" customHeight="1">
      <c r="A64" s="1" t="s">
        <v>670</v>
      </c>
      <c r="B64" s="14" t="s">
        <v>115</v>
      </c>
      <c r="C64" s="16">
        <v>4</v>
      </c>
      <c r="D64" s="15" t="s">
        <v>50</v>
      </c>
      <c r="E64" s="15" t="s">
        <v>671</v>
      </c>
      <c r="F64" s="15" t="s">
        <v>672</v>
      </c>
      <c r="G64" s="17">
        <v>1</v>
      </c>
      <c r="H64" s="1" t="str">
        <f>IF(G64=0,"Válido",IF(AND(ISNUMBER(G64),G64=1,A64&lt;&gt;"",COUNTIF($A$9:$A$3000,A64)=1,COUNTIF('Catalogo CU'!$A$9:$A$500,B64)=1,ISNUMBER(C64),C64&gt;=1,OR(D64="Principal",D64="Alternativo adicional"),E64&lt;&gt;"",F64&lt;&gt;""),"Válido","Revisar transacción"))</f>
        <v>Válido</v>
      </c>
    </row>
    <row r="65" spans="1:8" ht="43.95" customHeight="1">
      <c r="A65" s="1" t="s">
        <v>673</v>
      </c>
      <c r="B65" s="14" t="s">
        <v>115</v>
      </c>
      <c r="C65" s="16">
        <v>5</v>
      </c>
      <c r="D65" s="15" t="s">
        <v>50</v>
      </c>
      <c r="E65" s="15" t="s">
        <v>674</v>
      </c>
      <c r="F65" s="15" t="s">
        <v>675</v>
      </c>
      <c r="G65" s="17">
        <v>1</v>
      </c>
      <c r="H65" s="1" t="str">
        <f>IF(G65=0,"Válido",IF(AND(ISNUMBER(G65),G65=1,A65&lt;&gt;"",COUNTIF($A$9:$A$3000,A65)=1,COUNTIF('Catalogo CU'!$A$9:$A$500,B65)=1,ISNUMBER(C65),C65&gt;=1,OR(D65="Principal",D65="Alternativo adicional"),E65&lt;&gt;"",F65&lt;&gt;""),"Válido","Revisar transacción"))</f>
        <v>Válido</v>
      </c>
    </row>
    <row r="66" spans="1:8" ht="43.95" customHeight="1">
      <c r="A66" s="1" t="s">
        <v>676</v>
      </c>
      <c r="B66" s="14" t="s">
        <v>115</v>
      </c>
      <c r="C66" s="16">
        <v>6</v>
      </c>
      <c r="D66" s="15" t="s">
        <v>520</v>
      </c>
      <c r="E66" s="15" t="s">
        <v>677</v>
      </c>
      <c r="F66" s="15" t="s">
        <v>678</v>
      </c>
      <c r="G66" s="17">
        <v>1</v>
      </c>
      <c r="H66" s="1" t="str">
        <f>IF(G66=0,"Válido",IF(AND(ISNUMBER(G66),G66=1,A66&lt;&gt;"",COUNTIF($A$9:$A$3000,A66)=1,COUNTIF('Catalogo CU'!$A$9:$A$500,B66)=1,ISNUMBER(C66),C66&gt;=1,OR(D66="Principal",D66="Alternativo adicional"),E66&lt;&gt;"",F66&lt;&gt;""),"Válido","Revisar transacción"))</f>
        <v>Válido</v>
      </c>
    </row>
    <row r="67" spans="1:8" ht="43.95" customHeight="1">
      <c r="A67" s="1" t="s">
        <v>679</v>
      </c>
      <c r="B67" s="14" t="s">
        <v>119</v>
      </c>
      <c r="C67" s="16">
        <v>1</v>
      </c>
      <c r="D67" s="15" t="s">
        <v>50</v>
      </c>
      <c r="E67" s="15" t="s">
        <v>680</v>
      </c>
      <c r="F67" s="15" t="s">
        <v>681</v>
      </c>
      <c r="G67" s="17">
        <v>1</v>
      </c>
      <c r="H67" s="1" t="str">
        <f>IF(G67=0,"Válido",IF(AND(ISNUMBER(G67),G67=1,A67&lt;&gt;"",COUNTIF($A$9:$A$3000,A67)=1,COUNTIF('Catalogo CU'!$A$9:$A$500,B67)=1,ISNUMBER(C67),C67&gt;=1,OR(D67="Principal",D67="Alternativo adicional"),E67&lt;&gt;"",F67&lt;&gt;""),"Válido","Revisar transacción"))</f>
        <v>Válido</v>
      </c>
    </row>
    <row r="68" spans="1:8" ht="43.95" customHeight="1">
      <c r="A68" s="1" t="s">
        <v>682</v>
      </c>
      <c r="B68" s="14" t="s">
        <v>119</v>
      </c>
      <c r="C68" s="16">
        <v>2</v>
      </c>
      <c r="D68" s="15" t="s">
        <v>50</v>
      </c>
      <c r="E68" s="15" t="s">
        <v>683</v>
      </c>
      <c r="F68" s="15" t="s">
        <v>684</v>
      </c>
      <c r="G68" s="17">
        <v>1</v>
      </c>
      <c r="H68" s="1" t="str">
        <f>IF(G68=0,"Válido",IF(AND(ISNUMBER(G68),G68=1,A68&lt;&gt;"",COUNTIF($A$9:$A$3000,A68)=1,COUNTIF('Catalogo CU'!$A$9:$A$500,B68)=1,ISNUMBER(C68),C68&gt;=1,OR(D68="Principal",D68="Alternativo adicional"),E68&lt;&gt;"",F68&lt;&gt;""),"Válido","Revisar transacción"))</f>
        <v>Válido</v>
      </c>
    </row>
    <row r="69" spans="1:8" ht="43.95" customHeight="1">
      <c r="A69" s="1" t="s">
        <v>685</v>
      </c>
      <c r="B69" s="14" t="s">
        <v>119</v>
      </c>
      <c r="C69" s="16">
        <v>3</v>
      </c>
      <c r="D69" s="15" t="s">
        <v>50</v>
      </c>
      <c r="E69" s="15" t="s">
        <v>686</v>
      </c>
      <c r="F69" s="15" t="s">
        <v>687</v>
      </c>
      <c r="G69" s="17">
        <v>1</v>
      </c>
      <c r="H69" s="1" t="str">
        <f>IF(G69=0,"Válido",IF(AND(ISNUMBER(G69),G69=1,A69&lt;&gt;"",COUNTIF($A$9:$A$3000,A69)=1,COUNTIF('Catalogo CU'!$A$9:$A$500,B69)=1,ISNUMBER(C69),C69&gt;=1,OR(D69="Principal",D69="Alternativo adicional"),E69&lt;&gt;"",F69&lt;&gt;""),"Válido","Revisar transacción"))</f>
        <v>Válido</v>
      </c>
    </row>
    <row r="70" spans="1:8" ht="43.95" customHeight="1">
      <c r="A70" s="1" t="s">
        <v>688</v>
      </c>
      <c r="B70" s="14" t="s">
        <v>119</v>
      </c>
      <c r="C70" s="16">
        <v>4</v>
      </c>
      <c r="D70" s="15" t="s">
        <v>50</v>
      </c>
      <c r="E70" s="15" t="s">
        <v>689</v>
      </c>
      <c r="F70" s="15" t="s">
        <v>690</v>
      </c>
      <c r="G70" s="17">
        <v>1</v>
      </c>
      <c r="H70" s="1" t="str">
        <f>IF(G70=0,"Válido",IF(AND(ISNUMBER(G70),G70=1,A70&lt;&gt;"",COUNTIF($A$9:$A$3000,A70)=1,COUNTIF('Catalogo CU'!$A$9:$A$500,B70)=1,ISNUMBER(C70),C70&gt;=1,OR(D70="Principal",D70="Alternativo adicional"),E70&lt;&gt;"",F70&lt;&gt;""),"Válido","Revisar transacción"))</f>
        <v>Válido</v>
      </c>
    </row>
    <row r="71" spans="1:8" ht="43.95" customHeight="1">
      <c r="A71" s="1" t="s">
        <v>691</v>
      </c>
      <c r="B71" s="14" t="s">
        <v>119</v>
      </c>
      <c r="C71" s="16">
        <v>5</v>
      </c>
      <c r="D71" s="15" t="s">
        <v>50</v>
      </c>
      <c r="E71" s="15" t="s">
        <v>692</v>
      </c>
      <c r="F71" s="15" t="s">
        <v>693</v>
      </c>
      <c r="G71" s="17">
        <v>1</v>
      </c>
      <c r="H71" s="1" t="str">
        <f>IF(G71=0,"Válido",IF(AND(ISNUMBER(G71),G71=1,A71&lt;&gt;"",COUNTIF($A$9:$A$3000,A71)=1,COUNTIF('Catalogo CU'!$A$9:$A$500,B71)=1,ISNUMBER(C71),C71&gt;=1,OR(D71="Principal",D71="Alternativo adicional"),E71&lt;&gt;"",F71&lt;&gt;""),"Válido","Revisar transacción"))</f>
        <v>Válido</v>
      </c>
    </row>
    <row r="72" spans="1:8" ht="43.95" customHeight="1">
      <c r="A72" s="1" t="s">
        <v>694</v>
      </c>
      <c r="B72" s="14" t="s">
        <v>119</v>
      </c>
      <c r="C72" s="16">
        <v>6</v>
      </c>
      <c r="D72" s="15" t="s">
        <v>50</v>
      </c>
      <c r="E72" s="15" t="s">
        <v>695</v>
      </c>
      <c r="F72" s="15" t="s">
        <v>696</v>
      </c>
      <c r="G72" s="17">
        <v>1</v>
      </c>
      <c r="H72" s="1" t="str">
        <f>IF(G72=0,"Válido",IF(AND(ISNUMBER(G72),G72=1,A72&lt;&gt;"",COUNTIF($A$9:$A$3000,A72)=1,COUNTIF('Catalogo CU'!$A$9:$A$500,B72)=1,ISNUMBER(C72),C72&gt;=1,OR(D72="Principal",D72="Alternativo adicional"),E72&lt;&gt;"",F72&lt;&gt;""),"Válido","Revisar transacción"))</f>
        <v>Válido</v>
      </c>
    </row>
    <row r="73" spans="1:8" ht="43.95" customHeight="1">
      <c r="A73" s="1" t="s">
        <v>697</v>
      </c>
      <c r="B73" s="14" t="s">
        <v>119</v>
      </c>
      <c r="C73" s="16">
        <v>7</v>
      </c>
      <c r="D73" s="15" t="s">
        <v>520</v>
      </c>
      <c r="E73" s="15" t="s">
        <v>698</v>
      </c>
      <c r="F73" s="15" t="s">
        <v>699</v>
      </c>
      <c r="G73" s="17">
        <v>1</v>
      </c>
      <c r="H73" s="1" t="str">
        <f>IF(G73=0,"Válido",IF(AND(ISNUMBER(G73),G73=1,A73&lt;&gt;"",COUNTIF($A$9:$A$3000,A73)=1,COUNTIF('Catalogo CU'!$A$9:$A$500,B73)=1,ISNUMBER(C73),C73&gt;=1,OR(D73="Principal",D73="Alternativo adicional"),E73&lt;&gt;"",F73&lt;&gt;""),"Válido","Revisar transacción"))</f>
        <v>Válido</v>
      </c>
    </row>
    <row r="74" spans="1:8" ht="43.95" customHeight="1">
      <c r="A74" s="1" t="s">
        <v>700</v>
      </c>
      <c r="B74" s="14" t="s">
        <v>119</v>
      </c>
      <c r="C74" s="16">
        <v>8</v>
      </c>
      <c r="D74" s="15" t="s">
        <v>520</v>
      </c>
      <c r="E74" s="15" t="s">
        <v>701</v>
      </c>
      <c r="F74" s="15" t="s">
        <v>702</v>
      </c>
      <c r="G74" s="17">
        <v>1</v>
      </c>
      <c r="H74" s="1" t="str">
        <f>IF(G74=0,"Válido",IF(AND(ISNUMBER(G74),G74=1,A74&lt;&gt;"",COUNTIF($A$9:$A$3000,A74)=1,COUNTIF('Catalogo CU'!$A$9:$A$500,B74)=1,ISNUMBER(C74),C74&gt;=1,OR(D74="Principal",D74="Alternativo adicional"),E74&lt;&gt;"",F74&lt;&gt;""),"Válido","Revisar transacción"))</f>
        <v>Válido</v>
      </c>
    </row>
    <row r="75" spans="1:8" ht="43.95" customHeight="1">
      <c r="A75" s="1" t="s">
        <v>703</v>
      </c>
      <c r="B75" s="14" t="s">
        <v>125</v>
      </c>
      <c r="C75" s="16">
        <v>1</v>
      </c>
      <c r="D75" s="15" t="s">
        <v>50</v>
      </c>
      <c r="E75" s="15" t="s">
        <v>704</v>
      </c>
      <c r="F75" s="15" t="s">
        <v>705</v>
      </c>
      <c r="G75" s="17">
        <v>1</v>
      </c>
      <c r="H75" s="1" t="str">
        <f>IF(G75=0,"Válido",IF(AND(ISNUMBER(G75),G75=1,A75&lt;&gt;"",COUNTIF($A$9:$A$3000,A75)=1,COUNTIF('Catalogo CU'!$A$9:$A$500,B75)=1,ISNUMBER(C75),C75&gt;=1,OR(D75="Principal",D75="Alternativo adicional"),E75&lt;&gt;"",F75&lt;&gt;""),"Válido","Revisar transacción"))</f>
        <v>Válido</v>
      </c>
    </row>
    <row r="76" spans="1:8" ht="43.95" customHeight="1">
      <c r="A76" s="1" t="s">
        <v>706</v>
      </c>
      <c r="B76" s="14" t="s">
        <v>125</v>
      </c>
      <c r="C76" s="16">
        <v>2</v>
      </c>
      <c r="D76" s="15" t="s">
        <v>50</v>
      </c>
      <c r="E76" s="15" t="s">
        <v>707</v>
      </c>
      <c r="F76" s="15" t="s">
        <v>708</v>
      </c>
      <c r="G76" s="17">
        <v>1</v>
      </c>
      <c r="H76" s="1" t="str">
        <f>IF(G76=0,"Válido",IF(AND(ISNUMBER(G76),G76=1,A76&lt;&gt;"",COUNTIF($A$9:$A$3000,A76)=1,COUNTIF('Catalogo CU'!$A$9:$A$500,B76)=1,ISNUMBER(C76),C76&gt;=1,OR(D76="Principal",D76="Alternativo adicional"),E76&lt;&gt;"",F76&lt;&gt;""),"Válido","Revisar transacción"))</f>
        <v>Válido</v>
      </c>
    </row>
    <row r="77" spans="1:8" ht="43.95" customHeight="1">
      <c r="A77" s="1" t="s">
        <v>709</v>
      </c>
      <c r="B77" s="14" t="s">
        <v>125</v>
      </c>
      <c r="C77" s="16">
        <v>3</v>
      </c>
      <c r="D77" s="15" t="s">
        <v>50</v>
      </c>
      <c r="E77" s="15" t="s">
        <v>710</v>
      </c>
      <c r="F77" s="15" t="s">
        <v>711</v>
      </c>
      <c r="G77" s="17">
        <v>1</v>
      </c>
      <c r="H77" s="1" t="str">
        <f>IF(G77=0,"Válido",IF(AND(ISNUMBER(G77),G77=1,A77&lt;&gt;"",COUNTIF($A$9:$A$3000,A77)=1,COUNTIF('Catalogo CU'!$A$9:$A$500,B77)=1,ISNUMBER(C77),C77&gt;=1,OR(D77="Principal",D77="Alternativo adicional"),E77&lt;&gt;"",F77&lt;&gt;""),"Válido","Revisar transacción"))</f>
        <v>Válido</v>
      </c>
    </row>
    <row r="78" spans="1:8" ht="43.95" customHeight="1">
      <c r="A78" s="1" t="s">
        <v>712</v>
      </c>
      <c r="B78" s="14" t="s">
        <v>125</v>
      </c>
      <c r="C78" s="16">
        <v>4</v>
      </c>
      <c r="D78" s="15" t="s">
        <v>50</v>
      </c>
      <c r="E78" s="15" t="s">
        <v>713</v>
      </c>
      <c r="F78" s="15" t="s">
        <v>714</v>
      </c>
      <c r="G78" s="17">
        <v>1</v>
      </c>
      <c r="H78" s="1" t="str">
        <f>IF(G78=0,"Válido",IF(AND(ISNUMBER(G78),G78=1,A78&lt;&gt;"",COUNTIF($A$9:$A$3000,A78)=1,COUNTIF('Catalogo CU'!$A$9:$A$500,B78)=1,ISNUMBER(C78),C78&gt;=1,OR(D78="Principal",D78="Alternativo adicional"),E78&lt;&gt;"",F78&lt;&gt;""),"Válido","Revisar transacción"))</f>
        <v>Válido</v>
      </c>
    </row>
    <row r="79" spans="1:8" ht="43.95" customHeight="1">
      <c r="A79" s="1" t="s">
        <v>715</v>
      </c>
      <c r="B79" s="14" t="s">
        <v>130</v>
      </c>
      <c r="C79" s="16">
        <v>1</v>
      </c>
      <c r="D79" s="15" t="s">
        <v>50</v>
      </c>
      <c r="E79" s="15" t="s">
        <v>716</v>
      </c>
      <c r="F79" s="15" t="s">
        <v>717</v>
      </c>
      <c r="G79" s="17">
        <v>1</v>
      </c>
      <c r="H79" s="1" t="str">
        <f>IF(G79=0,"Válido",IF(AND(ISNUMBER(G79),G79=1,A79&lt;&gt;"",COUNTIF($A$9:$A$3000,A79)=1,COUNTIF('Catalogo CU'!$A$9:$A$500,B79)=1,ISNUMBER(C79),C79&gt;=1,OR(D79="Principal",D79="Alternativo adicional"),E79&lt;&gt;"",F79&lt;&gt;""),"Válido","Revisar transacción"))</f>
        <v>Válido</v>
      </c>
    </row>
    <row r="80" spans="1:8" ht="43.95" customHeight="1">
      <c r="A80" s="1" t="s">
        <v>718</v>
      </c>
      <c r="B80" s="14" t="s">
        <v>130</v>
      </c>
      <c r="C80" s="16">
        <v>2</v>
      </c>
      <c r="D80" s="15" t="s">
        <v>50</v>
      </c>
      <c r="E80" s="15" t="s">
        <v>719</v>
      </c>
      <c r="F80" s="15" t="s">
        <v>720</v>
      </c>
      <c r="G80" s="17">
        <v>1</v>
      </c>
      <c r="H80" s="1" t="str">
        <f>IF(G80=0,"Válido",IF(AND(ISNUMBER(G80),G80=1,A80&lt;&gt;"",COUNTIF($A$9:$A$3000,A80)=1,COUNTIF('Catalogo CU'!$A$9:$A$500,B80)=1,ISNUMBER(C80),C80&gt;=1,OR(D80="Principal",D80="Alternativo adicional"),E80&lt;&gt;"",F80&lt;&gt;""),"Válido","Revisar transacción"))</f>
        <v>Válido</v>
      </c>
    </row>
    <row r="81" spans="1:8" ht="43.95" customHeight="1">
      <c r="A81" s="1" t="s">
        <v>721</v>
      </c>
      <c r="B81" s="14" t="s">
        <v>130</v>
      </c>
      <c r="C81" s="16">
        <v>3</v>
      </c>
      <c r="D81" s="15" t="s">
        <v>50</v>
      </c>
      <c r="E81" s="15" t="s">
        <v>722</v>
      </c>
      <c r="F81" s="15" t="s">
        <v>723</v>
      </c>
      <c r="G81" s="17">
        <v>1</v>
      </c>
      <c r="H81" s="1" t="str">
        <f>IF(G81=0,"Válido",IF(AND(ISNUMBER(G81),G81=1,A81&lt;&gt;"",COUNTIF($A$9:$A$3000,A81)=1,COUNTIF('Catalogo CU'!$A$9:$A$500,B81)=1,ISNUMBER(C81),C81&gt;=1,OR(D81="Principal",D81="Alternativo adicional"),E81&lt;&gt;"",F81&lt;&gt;""),"Válido","Revisar transacción"))</f>
        <v>Válido</v>
      </c>
    </row>
    <row r="82" spans="1:8" ht="43.95" customHeight="1">
      <c r="A82" s="1" t="s">
        <v>724</v>
      </c>
      <c r="B82" s="14" t="s">
        <v>130</v>
      </c>
      <c r="C82" s="16">
        <v>4</v>
      </c>
      <c r="D82" s="15" t="s">
        <v>50</v>
      </c>
      <c r="E82" s="15" t="s">
        <v>725</v>
      </c>
      <c r="F82" s="15" t="s">
        <v>726</v>
      </c>
      <c r="G82" s="17">
        <v>1</v>
      </c>
      <c r="H82" s="1" t="str">
        <f>IF(G82=0,"Válido",IF(AND(ISNUMBER(G82),G82=1,A82&lt;&gt;"",COUNTIF($A$9:$A$3000,A82)=1,COUNTIF('Catalogo CU'!$A$9:$A$500,B82)=1,ISNUMBER(C82),C82&gt;=1,OR(D82="Principal",D82="Alternativo adicional"),E82&lt;&gt;"",F82&lt;&gt;""),"Válido","Revisar transacción"))</f>
        <v>Válido</v>
      </c>
    </row>
    <row r="83" spans="1:8" ht="43.95" customHeight="1">
      <c r="A83" s="1" t="s">
        <v>727</v>
      </c>
      <c r="B83" s="14" t="s">
        <v>130</v>
      </c>
      <c r="C83" s="16">
        <v>5</v>
      </c>
      <c r="D83" s="15" t="s">
        <v>50</v>
      </c>
      <c r="E83" s="15" t="s">
        <v>728</v>
      </c>
      <c r="F83" s="15" t="s">
        <v>729</v>
      </c>
      <c r="G83" s="17">
        <v>1</v>
      </c>
      <c r="H83" s="1" t="str">
        <f>IF(G83=0,"Válido",IF(AND(ISNUMBER(G83),G83=1,A83&lt;&gt;"",COUNTIF($A$9:$A$3000,A83)=1,COUNTIF('Catalogo CU'!$A$9:$A$500,B83)=1,ISNUMBER(C83),C83&gt;=1,OR(D83="Principal",D83="Alternativo adicional"),E83&lt;&gt;"",F83&lt;&gt;""),"Válido","Revisar transacción"))</f>
        <v>Válido</v>
      </c>
    </row>
    <row r="84" spans="1:8" ht="43.95" customHeight="1">
      <c r="A84" s="1" t="s">
        <v>730</v>
      </c>
      <c r="B84" s="14" t="s">
        <v>135</v>
      </c>
      <c r="C84" s="16">
        <v>1</v>
      </c>
      <c r="D84" s="15" t="s">
        <v>50</v>
      </c>
      <c r="E84" s="15" t="s">
        <v>731</v>
      </c>
      <c r="F84" s="15" t="s">
        <v>732</v>
      </c>
      <c r="G84" s="17">
        <v>1</v>
      </c>
      <c r="H84" s="1" t="str">
        <f>IF(G84=0,"Válido",IF(AND(ISNUMBER(G84),G84=1,A84&lt;&gt;"",COUNTIF($A$9:$A$3000,A84)=1,COUNTIF('Catalogo CU'!$A$9:$A$500,B84)=1,ISNUMBER(C84),C84&gt;=1,OR(D84="Principal",D84="Alternativo adicional"),E84&lt;&gt;"",F84&lt;&gt;""),"Válido","Revisar transacción"))</f>
        <v>Válido</v>
      </c>
    </row>
    <row r="85" spans="1:8" ht="43.95" customHeight="1">
      <c r="A85" s="1" t="s">
        <v>733</v>
      </c>
      <c r="B85" s="14" t="s">
        <v>135</v>
      </c>
      <c r="C85" s="16">
        <v>2</v>
      </c>
      <c r="D85" s="15" t="s">
        <v>50</v>
      </c>
      <c r="E85" s="15" t="s">
        <v>734</v>
      </c>
      <c r="F85" s="15" t="s">
        <v>735</v>
      </c>
      <c r="G85" s="17">
        <v>1</v>
      </c>
      <c r="H85" s="1" t="str">
        <f>IF(G85=0,"Válido",IF(AND(ISNUMBER(G85),G85=1,A85&lt;&gt;"",COUNTIF($A$9:$A$3000,A85)=1,COUNTIF('Catalogo CU'!$A$9:$A$500,B85)=1,ISNUMBER(C85),C85&gt;=1,OR(D85="Principal",D85="Alternativo adicional"),E85&lt;&gt;"",F85&lt;&gt;""),"Válido","Revisar transacción"))</f>
        <v>Válido</v>
      </c>
    </row>
    <row r="86" spans="1:8" ht="43.95" customHeight="1">
      <c r="A86" s="1" t="s">
        <v>736</v>
      </c>
      <c r="B86" s="14" t="s">
        <v>135</v>
      </c>
      <c r="C86" s="16">
        <v>3</v>
      </c>
      <c r="D86" s="15" t="s">
        <v>50</v>
      </c>
      <c r="E86" s="15" t="s">
        <v>737</v>
      </c>
      <c r="F86" s="15" t="s">
        <v>738</v>
      </c>
      <c r="G86" s="17">
        <v>1</v>
      </c>
      <c r="H86" s="1" t="str">
        <f>IF(G86=0,"Válido",IF(AND(ISNUMBER(G86),G86=1,A86&lt;&gt;"",COUNTIF($A$9:$A$3000,A86)=1,COUNTIF('Catalogo CU'!$A$9:$A$500,B86)=1,ISNUMBER(C86),C86&gt;=1,OR(D86="Principal",D86="Alternativo adicional"),E86&lt;&gt;"",F86&lt;&gt;""),"Válido","Revisar transacción"))</f>
        <v>Válido</v>
      </c>
    </row>
    <row r="87" spans="1:8" ht="43.95" customHeight="1">
      <c r="A87" s="1" t="s">
        <v>739</v>
      </c>
      <c r="B87" s="14" t="s">
        <v>135</v>
      </c>
      <c r="C87" s="16">
        <v>4</v>
      </c>
      <c r="D87" s="15" t="s">
        <v>50</v>
      </c>
      <c r="E87" s="15" t="s">
        <v>740</v>
      </c>
      <c r="F87" s="15" t="s">
        <v>741</v>
      </c>
      <c r="G87" s="17">
        <v>1</v>
      </c>
      <c r="H87" s="1" t="str">
        <f>IF(G87=0,"Válido",IF(AND(ISNUMBER(G87),G87=1,A87&lt;&gt;"",COUNTIF($A$9:$A$3000,A87)=1,COUNTIF('Catalogo CU'!$A$9:$A$500,B87)=1,ISNUMBER(C87),C87&gt;=1,OR(D87="Principal",D87="Alternativo adicional"),E87&lt;&gt;"",F87&lt;&gt;""),"Válido","Revisar transacción"))</f>
        <v>Válido</v>
      </c>
    </row>
    <row r="88" spans="1:8" ht="43.95" customHeight="1">
      <c r="A88" s="1" t="s">
        <v>742</v>
      </c>
      <c r="B88" s="14" t="s">
        <v>141</v>
      </c>
      <c r="C88" s="16">
        <v>1</v>
      </c>
      <c r="D88" s="15" t="s">
        <v>50</v>
      </c>
      <c r="E88" s="15" t="s">
        <v>743</v>
      </c>
      <c r="F88" s="15" t="s">
        <v>744</v>
      </c>
      <c r="G88" s="17">
        <v>1</v>
      </c>
      <c r="H88" s="1" t="str">
        <f>IF(G88=0,"Válido",IF(AND(ISNUMBER(G88),G88=1,A88&lt;&gt;"",COUNTIF($A$9:$A$3000,A88)=1,COUNTIF('Catalogo CU'!$A$9:$A$500,B88)=1,ISNUMBER(C88),C88&gt;=1,OR(D88="Principal",D88="Alternativo adicional"),E88&lt;&gt;"",F88&lt;&gt;""),"Válido","Revisar transacción"))</f>
        <v>Válido</v>
      </c>
    </row>
    <row r="89" spans="1:8" ht="43.95" customHeight="1">
      <c r="A89" s="1" t="s">
        <v>745</v>
      </c>
      <c r="B89" s="14" t="s">
        <v>141</v>
      </c>
      <c r="C89" s="16">
        <v>2</v>
      </c>
      <c r="D89" s="15" t="s">
        <v>50</v>
      </c>
      <c r="E89" s="15" t="s">
        <v>746</v>
      </c>
      <c r="F89" s="15" t="s">
        <v>747</v>
      </c>
      <c r="G89" s="17">
        <v>1</v>
      </c>
      <c r="H89" s="1" t="str">
        <f>IF(G89=0,"Válido",IF(AND(ISNUMBER(G89),G89=1,A89&lt;&gt;"",COUNTIF($A$9:$A$3000,A89)=1,COUNTIF('Catalogo CU'!$A$9:$A$500,B89)=1,ISNUMBER(C89),C89&gt;=1,OR(D89="Principal",D89="Alternativo adicional"),E89&lt;&gt;"",F89&lt;&gt;""),"Válido","Revisar transacción"))</f>
        <v>Válido</v>
      </c>
    </row>
    <row r="90" spans="1:8" ht="43.95" customHeight="1">
      <c r="A90" s="1" t="s">
        <v>748</v>
      </c>
      <c r="B90" s="14" t="s">
        <v>141</v>
      </c>
      <c r="C90" s="16">
        <v>3</v>
      </c>
      <c r="D90" s="15" t="s">
        <v>50</v>
      </c>
      <c r="E90" s="15" t="s">
        <v>749</v>
      </c>
      <c r="F90" s="15" t="s">
        <v>750</v>
      </c>
      <c r="G90" s="17">
        <v>1</v>
      </c>
      <c r="H90" s="1" t="str">
        <f>IF(G90=0,"Válido",IF(AND(ISNUMBER(G90),G90=1,A90&lt;&gt;"",COUNTIF($A$9:$A$3000,A90)=1,COUNTIF('Catalogo CU'!$A$9:$A$500,B90)=1,ISNUMBER(C90),C90&gt;=1,OR(D90="Principal",D90="Alternativo adicional"),E90&lt;&gt;"",F90&lt;&gt;""),"Válido","Revisar transacción"))</f>
        <v>Válido</v>
      </c>
    </row>
    <row r="91" spans="1:8" ht="43.95" customHeight="1">
      <c r="A91" s="1" t="s">
        <v>751</v>
      </c>
      <c r="B91" s="14" t="s">
        <v>141</v>
      </c>
      <c r="C91" s="16">
        <v>4</v>
      </c>
      <c r="D91" s="15" t="s">
        <v>50</v>
      </c>
      <c r="E91" s="15" t="s">
        <v>752</v>
      </c>
      <c r="F91" s="15" t="s">
        <v>753</v>
      </c>
      <c r="G91" s="17">
        <v>1</v>
      </c>
      <c r="H91" s="1" t="str">
        <f>IF(G91=0,"Válido",IF(AND(ISNUMBER(G91),G91=1,A91&lt;&gt;"",COUNTIF($A$9:$A$3000,A91)=1,COUNTIF('Catalogo CU'!$A$9:$A$500,B91)=1,ISNUMBER(C91),C91&gt;=1,OR(D91="Principal",D91="Alternativo adicional"),E91&lt;&gt;"",F91&lt;&gt;""),"Válido","Revisar transacción"))</f>
        <v>Válido</v>
      </c>
    </row>
    <row r="92" spans="1:8" ht="43.95" customHeight="1">
      <c r="A92" s="1" t="s">
        <v>754</v>
      </c>
      <c r="B92" s="14" t="s">
        <v>141</v>
      </c>
      <c r="C92" s="16">
        <v>5</v>
      </c>
      <c r="D92" s="15" t="s">
        <v>50</v>
      </c>
      <c r="E92" s="15" t="s">
        <v>755</v>
      </c>
      <c r="F92" s="15" t="s">
        <v>756</v>
      </c>
      <c r="G92" s="17">
        <v>1</v>
      </c>
      <c r="H92" s="1" t="str">
        <f>IF(G92=0,"Válido",IF(AND(ISNUMBER(G92),G92=1,A92&lt;&gt;"",COUNTIF($A$9:$A$3000,A92)=1,COUNTIF('Catalogo CU'!$A$9:$A$500,B92)=1,ISNUMBER(C92),C92&gt;=1,OR(D92="Principal",D92="Alternativo adicional"),E92&lt;&gt;"",F92&lt;&gt;""),"Válido","Revisar transacción"))</f>
        <v>Válido</v>
      </c>
    </row>
    <row r="93" spans="1:8" ht="43.95" customHeight="1">
      <c r="A93" s="1" t="s">
        <v>757</v>
      </c>
      <c r="B93" s="14" t="s">
        <v>141</v>
      </c>
      <c r="C93" s="16">
        <v>6</v>
      </c>
      <c r="D93" s="15" t="s">
        <v>50</v>
      </c>
      <c r="E93" s="15" t="s">
        <v>758</v>
      </c>
      <c r="F93" s="15" t="s">
        <v>759</v>
      </c>
      <c r="G93" s="17">
        <v>1</v>
      </c>
      <c r="H93" s="1" t="str">
        <f>IF(G93=0,"Válido",IF(AND(ISNUMBER(G93),G93=1,A93&lt;&gt;"",COUNTIF($A$9:$A$3000,A93)=1,COUNTIF('Catalogo CU'!$A$9:$A$500,B93)=1,ISNUMBER(C93),C93&gt;=1,OR(D93="Principal",D93="Alternativo adicional"),E93&lt;&gt;"",F93&lt;&gt;""),"Válido","Revisar transacción"))</f>
        <v>Válido</v>
      </c>
    </row>
    <row r="94" spans="1:8" ht="43.95" customHeight="1">
      <c r="A94" s="1" t="s">
        <v>760</v>
      </c>
      <c r="B94" s="14" t="s">
        <v>147</v>
      </c>
      <c r="C94" s="16">
        <v>1</v>
      </c>
      <c r="D94" s="15" t="s">
        <v>50</v>
      </c>
      <c r="E94" s="15" t="s">
        <v>761</v>
      </c>
      <c r="F94" s="15" t="s">
        <v>762</v>
      </c>
      <c r="G94" s="17">
        <v>1</v>
      </c>
      <c r="H94" s="1" t="str">
        <f>IF(G94=0,"Válido",IF(AND(ISNUMBER(G94),G94=1,A94&lt;&gt;"",COUNTIF($A$9:$A$3000,A94)=1,COUNTIF('Catalogo CU'!$A$9:$A$500,B94)=1,ISNUMBER(C94),C94&gt;=1,OR(D94="Principal",D94="Alternativo adicional"),E94&lt;&gt;"",F94&lt;&gt;""),"Válido","Revisar transacción"))</f>
        <v>Válido</v>
      </c>
    </row>
    <row r="95" spans="1:8" ht="43.95" customHeight="1">
      <c r="A95" s="1" t="s">
        <v>763</v>
      </c>
      <c r="B95" s="14" t="s">
        <v>147</v>
      </c>
      <c r="C95" s="16">
        <v>2</v>
      </c>
      <c r="D95" s="15" t="s">
        <v>50</v>
      </c>
      <c r="E95" s="15" t="s">
        <v>764</v>
      </c>
      <c r="F95" s="15" t="s">
        <v>765</v>
      </c>
      <c r="G95" s="17">
        <v>1</v>
      </c>
      <c r="H95" s="1" t="str">
        <f>IF(G95=0,"Válido",IF(AND(ISNUMBER(G95),G95=1,A95&lt;&gt;"",COUNTIF($A$9:$A$3000,A95)=1,COUNTIF('Catalogo CU'!$A$9:$A$500,B95)=1,ISNUMBER(C95),C95&gt;=1,OR(D95="Principal",D95="Alternativo adicional"),E95&lt;&gt;"",F95&lt;&gt;""),"Válido","Revisar transacción"))</f>
        <v>Válido</v>
      </c>
    </row>
    <row r="96" spans="1:8" ht="43.95" customHeight="1">
      <c r="A96" s="1" t="s">
        <v>766</v>
      </c>
      <c r="B96" s="14" t="s">
        <v>147</v>
      </c>
      <c r="C96" s="16">
        <v>3</v>
      </c>
      <c r="D96" s="15" t="s">
        <v>50</v>
      </c>
      <c r="E96" s="15" t="s">
        <v>767</v>
      </c>
      <c r="F96" s="15" t="s">
        <v>768</v>
      </c>
      <c r="G96" s="17">
        <v>1</v>
      </c>
      <c r="H96" s="1" t="str">
        <f>IF(G96=0,"Válido",IF(AND(ISNUMBER(G96),G96=1,A96&lt;&gt;"",COUNTIF($A$9:$A$3000,A96)=1,COUNTIF('Catalogo CU'!$A$9:$A$500,B96)=1,ISNUMBER(C96),C96&gt;=1,OR(D96="Principal",D96="Alternativo adicional"),E96&lt;&gt;"",F96&lt;&gt;""),"Válido","Revisar transacción"))</f>
        <v>Válido</v>
      </c>
    </row>
    <row r="97" spans="1:8" ht="43.95" customHeight="1">
      <c r="A97" s="1" t="s">
        <v>769</v>
      </c>
      <c r="B97" s="14" t="s">
        <v>147</v>
      </c>
      <c r="C97" s="16">
        <v>4</v>
      </c>
      <c r="D97" s="15" t="s">
        <v>50</v>
      </c>
      <c r="E97" s="15" t="s">
        <v>770</v>
      </c>
      <c r="F97" s="15" t="s">
        <v>771</v>
      </c>
      <c r="G97" s="17">
        <v>1</v>
      </c>
      <c r="H97" s="1" t="str">
        <f>IF(G97=0,"Válido",IF(AND(ISNUMBER(G97),G97=1,A97&lt;&gt;"",COUNTIF($A$9:$A$3000,A97)=1,COUNTIF('Catalogo CU'!$A$9:$A$500,B97)=1,ISNUMBER(C97),C97&gt;=1,OR(D97="Principal",D97="Alternativo adicional"),E97&lt;&gt;"",F97&lt;&gt;""),"Válido","Revisar transacción"))</f>
        <v>Válido</v>
      </c>
    </row>
    <row r="98" spans="1:8" ht="43.95" customHeight="1">
      <c r="A98" s="1" t="s">
        <v>772</v>
      </c>
      <c r="B98" s="14" t="s">
        <v>152</v>
      </c>
      <c r="C98" s="16">
        <v>1</v>
      </c>
      <c r="D98" s="15" t="s">
        <v>50</v>
      </c>
      <c r="E98" s="15" t="s">
        <v>773</v>
      </c>
      <c r="F98" s="15" t="s">
        <v>774</v>
      </c>
      <c r="G98" s="17">
        <v>1</v>
      </c>
      <c r="H98" s="1" t="str">
        <f>IF(G98=0,"Válido",IF(AND(ISNUMBER(G98),G98=1,A98&lt;&gt;"",COUNTIF($A$9:$A$3000,A98)=1,COUNTIF('Catalogo CU'!$A$9:$A$500,B98)=1,ISNUMBER(C98),C98&gt;=1,OR(D98="Principal",D98="Alternativo adicional"),E98&lt;&gt;"",F98&lt;&gt;""),"Válido","Revisar transacción"))</f>
        <v>Válido</v>
      </c>
    </row>
    <row r="99" spans="1:8" ht="43.95" customHeight="1">
      <c r="A99" s="1" t="s">
        <v>775</v>
      </c>
      <c r="B99" s="14" t="s">
        <v>152</v>
      </c>
      <c r="C99" s="16">
        <v>2</v>
      </c>
      <c r="D99" s="15" t="s">
        <v>50</v>
      </c>
      <c r="E99" s="15" t="s">
        <v>776</v>
      </c>
      <c r="F99" s="15" t="s">
        <v>777</v>
      </c>
      <c r="G99" s="17">
        <v>1</v>
      </c>
      <c r="H99" s="1" t="str">
        <f>IF(G99=0,"Válido",IF(AND(ISNUMBER(G99),G99=1,A99&lt;&gt;"",COUNTIF($A$9:$A$3000,A99)=1,COUNTIF('Catalogo CU'!$A$9:$A$500,B99)=1,ISNUMBER(C99),C99&gt;=1,OR(D99="Principal",D99="Alternativo adicional"),E99&lt;&gt;"",F99&lt;&gt;""),"Válido","Revisar transacción"))</f>
        <v>Válido</v>
      </c>
    </row>
    <row r="100" spans="1:8" ht="43.95" customHeight="1">
      <c r="A100" s="1" t="s">
        <v>778</v>
      </c>
      <c r="B100" s="14" t="s">
        <v>152</v>
      </c>
      <c r="C100" s="16">
        <v>3</v>
      </c>
      <c r="D100" s="15" t="s">
        <v>50</v>
      </c>
      <c r="E100" s="15" t="s">
        <v>779</v>
      </c>
      <c r="F100" s="15" t="s">
        <v>780</v>
      </c>
      <c r="G100" s="17">
        <v>1</v>
      </c>
      <c r="H100" s="1" t="str">
        <f>IF(G100=0,"Válido",IF(AND(ISNUMBER(G100),G100=1,A100&lt;&gt;"",COUNTIF($A$9:$A$3000,A100)=1,COUNTIF('Catalogo CU'!$A$9:$A$500,B100)=1,ISNUMBER(C100),C100&gt;=1,OR(D100="Principal",D100="Alternativo adicional"),E100&lt;&gt;"",F100&lt;&gt;""),"Válido","Revisar transacción"))</f>
        <v>Válido</v>
      </c>
    </row>
    <row r="101" spans="1:8" ht="43.95" customHeight="1">
      <c r="A101" s="1" t="s">
        <v>781</v>
      </c>
      <c r="B101" s="14" t="s">
        <v>152</v>
      </c>
      <c r="C101" s="16">
        <v>4</v>
      </c>
      <c r="D101" s="15" t="s">
        <v>50</v>
      </c>
      <c r="E101" s="15" t="s">
        <v>782</v>
      </c>
      <c r="F101" s="15" t="s">
        <v>783</v>
      </c>
      <c r="G101" s="17">
        <v>1</v>
      </c>
      <c r="H101" s="1" t="str">
        <f>IF(G101=0,"Válido",IF(AND(ISNUMBER(G101),G101=1,A101&lt;&gt;"",COUNTIF($A$9:$A$3000,A101)=1,COUNTIF('Catalogo CU'!$A$9:$A$500,B101)=1,ISNUMBER(C101),C101&gt;=1,OR(D101="Principal",D101="Alternativo adicional"),E101&lt;&gt;"",F101&lt;&gt;""),"Válido","Revisar transacción"))</f>
        <v>Válido</v>
      </c>
    </row>
    <row r="102" spans="1:8" ht="43.95" customHeight="1">
      <c r="A102" s="1" t="s">
        <v>784</v>
      </c>
      <c r="B102" s="14" t="s">
        <v>152</v>
      </c>
      <c r="C102" s="16">
        <v>5</v>
      </c>
      <c r="D102" s="15" t="s">
        <v>50</v>
      </c>
      <c r="E102" s="15" t="s">
        <v>785</v>
      </c>
      <c r="F102" s="15" t="s">
        <v>786</v>
      </c>
      <c r="G102" s="17">
        <v>1</v>
      </c>
      <c r="H102" s="1" t="str">
        <f>IF(G102=0,"Válido",IF(AND(ISNUMBER(G102),G102=1,A102&lt;&gt;"",COUNTIF($A$9:$A$3000,A102)=1,COUNTIF('Catalogo CU'!$A$9:$A$500,B102)=1,ISNUMBER(C102),C102&gt;=1,OR(D102="Principal",D102="Alternativo adicional"),E102&lt;&gt;"",F102&lt;&gt;""),"Válido","Revisar transacción"))</f>
        <v>Válido</v>
      </c>
    </row>
    <row r="103" spans="1:8" ht="43.95" customHeight="1">
      <c r="A103" s="1" t="s">
        <v>787</v>
      </c>
      <c r="B103" s="14" t="s">
        <v>156</v>
      </c>
      <c r="C103" s="16">
        <v>1</v>
      </c>
      <c r="D103" s="15" t="s">
        <v>50</v>
      </c>
      <c r="E103" s="15" t="s">
        <v>788</v>
      </c>
      <c r="F103" s="15" t="s">
        <v>789</v>
      </c>
      <c r="G103" s="17">
        <v>1</v>
      </c>
      <c r="H103" s="1" t="str">
        <f>IF(G103=0,"Válido",IF(AND(ISNUMBER(G103),G103=1,A103&lt;&gt;"",COUNTIF($A$9:$A$3000,A103)=1,COUNTIF('Catalogo CU'!$A$9:$A$500,B103)=1,ISNUMBER(C103),C103&gt;=1,OR(D103="Principal",D103="Alternativo adicional"),E103&lt;&gt;"",F103&lt;&gt;""),"Válido","Revisar transacción"))</f>
        <v>Válido</v>
      </c>
    </row>
    <row r="104" spans="1:8" ht="43.95" customHeight="1">
      <c r="A104" s="1" t="s">
        <v>790</v>
      </c>
      <c r="B104" s="14" t="s">
        <v>156</v>
      </c>
      <c r="C104" s="16">
        <v>2</v>
      </c>
      <c r="D104" s="15" t="s">
        <v>50</v>
      </c>
      <c r="E104" s="15" t="s">
        <v>791</v>
      </c>
      <c r="F104" s="15" t="s">
        <v>792</v>
      </c>
      <c r="G104" s="17">
        <v>1</v>
      </c>
      <c r="H104" s="1" t="str">
        <f>IF(G104=0,"Válido",IF(AND(ISNUMBER(G104),G104=1,A104&lt;&gt;"",COUNTIF($A$9:$A$3000,A104)=1,COUNTIF('Catalogo CU'!$A$9:$A$500,B104)=1,ISNUMBER(C104),C104&gt;=1,OR(D104="Principal",D104="Alternativo adicional"),E104&lt;&gt;"",F104&lt;&gt;""),"Válido","Revisar transacción"))</f>
        <v>Válido</v>
      </c>
    </row>
    <row r="105" spans="1:8" ht="43.95" customHeight="1">
      <c r="A105" s="1" t="s">
        <v>793</v>
      </c>
      <c r="B105" s="14" t="s">
        <v>156</v>
      </c>
      <c r="C105" s="16">
        <v>3</v>
      </c>
      <c r="D105" s="15" t="s">
        <v>50</v>
      </c>
      <c r="E105" s="15" t="s">
        <v>794</v>
      </c>
      <c r="F105" s="15" t="s">
        <v>795</v>
      </c>
      <c r="G105" s="17">
        <v>1</v>
      </c>
      <c r="H105" s="1" t="str">
        <f>IF(G105=0,"Válido",IF(AND(ISNUMBER(G105),G105=1,A105&lt;&gt;"",COUNTIF($A$9:$A$3000,A105)=1,COUNTIF('Catalogo CU'!$A$9:$A$500,B105)=1,ISNUMBER(C105),C105&gt;=1,OR(D105="Principal",D105="Alternativo adicional"),E105&lt;&gt;"",F105&lt;&gt;""),"Válido","Revisar transacción"))</f>
        <v>Válido</v>
      </c>
    </row>
    <row r="106" spans="1:8" ht="43.95" customHeight="1">
      <c r="A106" s="1" t="s">
        <v>796</v>
      </c>
      <c r="B106" s="14" t="s">
        <v>156</v>
      </c>
      <c r="C106" s="16">
        <v>4</v>
      </c>
      <c r="D106" s="15" t="s">
        <v>520</v>
      </c>
      <c r="E106" s="15" t="s">
        <v>797</v>
      </c>
      <c r="F106" s="15" t="s">
        <v>798</v>
      </c>
      <c r="G106" s="17">
        <v>1</v>
      </c>
      <c r="H106" s="1" t="str">
        <f>IF(G106=0,"Válido",IF(AND(ISNUMBER(G106),G106=1,A106&lt;&gt;"",COUNTIF($A$9:$A$3000,A106)=1,COUNTIF('Catalogo CU'!$A$9:$A$500,B106)=1,ISNUMBER(C106),C106&gt;=1,OR(D106="Principal",D106="Alternativo adicional"),E106&lt;&gt;"",F106&lt;&gt;""),"Válido","Revisar transacción"))</f>
        <v>Válido</v>
      </c>
    </row>
    <row r="107" spans="1:8" ht="43.95" customHeight="1">
      <c r="A107" s="1" t="s">
        <v>799</v>
      </c>
      <c r="B107" s="14" t="s">
        <v>162</v>
      </c>
      <c r="C107" s="16">
        <v>1</v>
      </c>
      <c r="D107" s="15" t="s">
        <v>50</v>
      </c>
      <c r="E107" s="15" t="s">
        <v>800</v>
      </c>
      <c r="F107" s="15" t="s">
        <v>801</v>
      </c>
      <c r="G107" s="17">
        <v>1</v>
      </c>
      <c r="H107" s="1" t="str">
        <f>IF(G107=0,"Válido",IF(AND(ISNUMBER(G107),G107=1,A107&lt;&gt;"",COUNTIF($A$9:$A$3000,A107)=1,COUNTIF('Catalogo CU'!$A$9:$A$500,B107)=1,ISNUMBER(C107),C107&gt;=1,OR(D107="Principal",D107="Alternativo adicional"),E107&lt;&gt;"",F107&lt;&gt;""),"Válido","Revisar transacción"))</f>
        <v>Válido</v>
      </c>
    </row>
    <row r="108" spans="1:8" ht="43.95" customHeight="1">
      <c r="A108" s="1" t="s">
        <v>802</v>
      </c>
      <c r="B108" s="14" t="s">
        <v>162</v>
      </c>
      <c r="C108" s="16">
        <v>2</v>
      </c>
      <c r="D108" s="15" t="s">
        <v>50</v>
      </c>
      <c r="E108" s="15" t="s">
        <v>803</v>
      </c>
      <c r="F108" s="15" t="s">
        <v>804</v>
      </c>
      <c r="G108" s="17">
        <v>1</v>
      </c>
      <c r="H108" s="1" t="str">
        <f>IF(G108=0,"Válido",IF(AND(ISNUMBER(G108),G108=1,A108&lt;&gt;"",COUNTIF($A$9:$A$3000,A108)=1,COUNTIF('Catalogo CU'!$A$9:$A$500,B108)=1,ISNUMBER(C108),C108&gt;=1,OR(D108="Principal",D108="Alternativo adicional"),E108&lt;&gt;"",F108&lt;&gt;""),"Válido","Revisar transacción"))</f>
        <v>Válido</v>
      </c>
    </row>
    <row r="109" spans="1:8" ht="43.95" customHeight="1">
      <c r="A109" s="1" t="s">
        <v>805</v>
      </c>
      <c r="B109" s="14" t="s">
        <v>162</v>
      </c>
      <c r="C109" s="16">
        <v>3</v>
      </c>
      <c r="D109" s="15" t="s">
        <v>50</v>
      </c>
      <c r="E109" s="15" t="s">
        <v>806</v>
      </c>
      <c r="F109" s="15" t="s">
        <v>807</v>
      </c>
      <c r="G109" s="17">
        <v>1</v>
      </c>
      <c r="H109" s="1" t="str">
        <f>IF(G109=0,"Válido",IF(AND(ISNUMBER(G109),G109=1,A109&lt;&gt;"",COUNTIF($A$9:$A$3000,A109)=1,COUNTIF('Catalogo CU'!$A$9:$A$500,B109)=1,ISNUMBER(C109),C109&gt;=1,OR(D109="Principal",D109="Alternativo adicional"),E109&lt;&gt;"",F109&lt;&gt;""),"Válido","Revisar transacción"))</f>
        <v>Válido</v>
      </c>
    </row>
    <row r="110" spans="1:8" ht="43.95" customHeight="1">
      <c r="A110" s="1" t="s">
        <v>808</v>
      </c>
      <c r="B110" s="14" t="s">
        <v>162</v>
      </c>
      <c r="C110" s="16">
        <v>4</v>
      </c>
      <c r="D110" s="15" t="s">
        <v>50</v>
      </c>
      <c r="E110" s="15" t="s">
        <v>809</v>
      </c>
      <c r="F110" s="15" t="s">
        <v>810</v>
      </c>
      <c r="G110" s="17">
        <v>1</v>
      </c>
      <c r="H110" s="1" t="str">
        <f>IF(G110=0,"Válido",IF(AND(ISNUMBER(G110),G110=1,A110&lt;&gt;"",COUNTIF($A$9:$A$3000,A110)=1,COUNTIF('Catalogo CU'!$A$9:$A$500,B110)=1,ISNUMBER(C110),C110&gt;=1,OR(D110="Principal",D110="Alternativo adicional"),E110&lt;&gt;"",F110&lt;&gt;""),"Válido","Revisar transacción"))</f>
        <v>Válido</v>
      </c>
    </row>
    <row r="111" spans="1:8" ht="43.95" customHeight="1">
      <c r="A111" s="1" t="s">
        <v>811</v>
      </c>
      <c r="B111" s="14" t="s">
        <v>162</v>
      </c>
      <c r="C111" s="16">
        <v>5</v>
      </c>
      <c r="D111" s="15" t="s">
        <v>50</v>
      </c>
      <c r="E111" s="15" t="s">
        <v>812</v>
      </c>
      <c r="F111" s="15" t="s">
        <v>813</v>
      </c>
      <c r="G111" s="17">
        <v>1</v>
      </c>
      <c r="H111" s="1" t="str">
        <f>IF(G111=0,"Válido",IF(AND(ISNUMBER(G111),G111=1,A111&lt;&gt;"",COUNTIF($A$9:$A$3000,A111)=1,COUNTIF('Catalogo CU'!$A$9:$A$500,B111)=1,ISNUMBER(C111),C111&gt;=1,OR(D111="Principal",D111="Alternativo adicional"),E111&lt;&gt;"",F111&lt;&gt;""),"Válido","Revisar transacción"))</f>
        <v>Válido</v>
      </c>
    </row>
    <row r="112" spans="1:8" ht="43.95" customHeight="1">
      <c r="A112" s="1" t="s">
        <v>814</v>
      </c>
      <c r="B112" s="14" t="s">
        <v>162</v>
      </c>
      <c r="C112" s="16">
        <v>6</v>
      </c>
      <c r="D112" s="15" t="s">
        <v>520</v>
      </c>
      <c r="E112" s="15" t="s">
        <v>815</v>
      </c>
      <c r="F112" s="15" t="s">
        <v>816</v>
      </c>
      <c r="G112" s="17">
        <v>1</v>
      </c>
      <c r="H112" s="1" t="str">
        <f>IF(G112=0,"Válido",IF(AND(ISNUMBER(G112),G112=1,A112&lt;&gt;"",COUNTIF($A$9:$A$3000,A112)=1,COUNTIF('Catalogo CU'!$A$9:$A$500,B112)=1,ISNUMBER(C112),C112&gt;=1,OR(D112="Principal",D112="Alternativo adicional"),E112&lt;&gt;"",F112&lt;&gt;""),"Válido","Revisar transacción"))</f>
        <v>Válido</v>
      </c>
    </row>
    <row r="113" spans="1:8" ht="43.95" customHeight="1">
      <c r="A113" s="1" t="s">
        <v>817</v>
      </c>
      <c r="B113" s="14" t="s">
        <v>166</v>
      </c>
      <c r="C113" s="16">
        <v>1</v>
      </c>
      <c r="D113" s="15" t="s">
        <v>50</v>
      </c>
      <c r="E113" s="15" t="s">
        <v>818</v>
      </c>
      <c r="F113" s="15" t="s">
        <v>819</v>
      </c>
      <c r="G113" s="17">
        <v>1</v>
      </c>
      <c r="H113" s="1" t="str">
        <f>IF(G113=0,"Válido",IF(AND(ISNUMBER(G113),G113=1,A113&lt;&gt;"",COUNTIF($A$9:$A$3000,A113)=1,COUNTIF('Catalogo CU'!$A$9:$A$500,B113)=1,ISNUMBER(C113),C113&gt;=1,OR(D113="Principal",D113="Alternativo adicional"),E113&lt;&gt;"",F113&lt;&gt;""),"Válido","Revisar transacción"))</f>
        <v>Válido</v>
      </c>
    </row>
    <row r="114" spans="1:8" ht="43.95" customHeight="1">
      <c r="A114" s="1" t="s">
        <v>820</v>
      </c>
      <c r="B114" s="14" t="s">
        <v>166</v>
      </c>
      <c r="C114" s="16">
        <v>2</v>
      </c>
      <c r="D114" s="15" t="s">
        <v>50</v>
      </c>
      <c r="E114" s="15" t="s">
        <v>821</v>
      </c>
      <c r="F114" s="15" t="s">
        <v>822</v>
      </c>
      <c r="G114" s="17">
        <v>1</v>
      </c>
      <c r="H114" s="1" t="str">
        <f>IF(G114=0,"Válido",IF(AND(ISNUMBER(G114),G114=1,A114&lt;&gt;"",COUNTIF($A$9:$A$3000,A114)=1,COUNTIF('Catalogo CU'!$A$9:$A$500,B114)=1,ISNUMBER(C114),C114&gt;=1,OR(D114="Principal",D114="Alternativo adicional"),E114&lt;&gt;"",F114&lt;&gt;""),"Válido","Revisar transacción"))</f>
        <v>Válido</v>
      </c>
    </row>
    <row r="115" spans="1:8" ht="43.95" customHeight="1">
      <c r="A115" s="1" t="s">
        <v>823</v>
      </c>
      <c r="B115" s="14" t="s">
        <v>166</v>
      </c>
      <c r="C115" s="16">
        <v>3</v>
      </c>
      <c r="D115" s="15" t="s">
        <v>50</v>
      </c>
      <c r="E115" s="15" t="s">
        <v>824</v>
      </c>
      <c r="F115" s="15" t="s">
        <v>825</v>
      </c>
      <c r="G115" s="17">
        <v>1</v>
      </c>
      <c r="H115" s="1" t="str">
        <f>IF(G115=0,"Válido",IF(AND(ISNUMBER(G115),G115=1,A115&lt;&gt;"",COUNTIF($A$9:$A$3000,A115)=1,COUNTIF('Catalogo CU'!$A$9:$A$500,B115)=1,ISNUMBER(C115),C115&gt;=1,OR(D115="Principal",D115="Alternativo adicional"),E115&lt;&gt;"",F115&lt;&gt;""),"Válido","Revisar transacción"))</f>
        <v>Válido</v>
      </c>
    </row>
    <row r="116" spans="1:8" ht="43.95" customHeight="1">
      <c r="A116" s="1" t="s">
        <v>826</v>
      </c>
      <c r="B116" s="14" t="s">
        <v>166</v>
      </c>
      <c r="C116" s="16">
        <v>4</v>
      </c>
      <c r="D116" s="15" t="s">
        <v>50</v>
      </c>
      <c r="E116" s="15" t="s">
        <v>827</v>
      </c>
      <c r="F116" s="15" t="s">
        <v>828</v>
      </c>
      <c r="G116" s="17">
        <v>1</v>
      </c>
      <c r="H116" s="1" t="str">
        <f>IF(G116=0,"Válido",IF(AND(ISNUMBER(G116),G116=1,A116&lt;&gt;"",COUNTIF($A$9:$A$3000,A116)=1,COUNTIF('Catalogo CU'!$A$9:$A$500,B116)=1,ISNUMBER(C116),C116&gt;=1,OR(D116="Principal",D116="Alternativo adicional"),E116&lt;&gt;"",F116&lt;&gt;""),"Válido","Revisar transacción"))</f>
        <v>Válido</v>
      </c>
    </row>
    <row r="117" spans="1:8" ht="43.95" customHeight="1">
      <c r="A117" s="1" t="s">
        <v>829</v>
      </c>
      <c r="B117" s="14" t="s">
        <v>166</v>
      </c>
      <c r="C117" s="16">
        <v>5</v>
      </c>
      <c r="D117" s="15" t="s">
        <v>50</v>
      </c>
      <c r="E117" s="15" t="s">
        <v>830</v>
      </c>
      <c r="F117" s="15" t="s">
        <v>831</v>
      </c>
      <c r="G117" s="17">
        <v>1</v>
      </c>
      <c r="H117" s="1" t="str">
        <f>IF(G117=0,"Válido",IF(AND(ISNUMBER(G117),G117=1,A117&lt;&gt;"",COUNTIF($A$9:$A$3000,A117)=1,COUNTIF('Catalogo CU'!$A$9:$A$500,B117)=1,ISNUMBER(C117),C117&gt;=1,OR(D117="Principal",D117="Alternativo adicional"),E117&lt;&gt;"",F117&lt;&gt;""),"Válido","Revisar transacción"))</f>
        <v>Válido</v>
      </c>
    </row>
    <row r="118" spans="1:8" ht="43.95" customHeight="1">
      <c r="A118" s="1" t="s">
        <v>832</v>
      </c>
      <c r="B118" s="14" t="s">
        <v>166</v>
      </c>
      <c r="C118" s="16">
        <v>6</v>
      </c>
      <c r="D118" s="15" t="s">
        <v>520</v>
      </c>
      <c r="E118" s="15" t="s">
        <v>833</v>
      </c>
      <c r="F118" s="15" t="s">
        <v>834</v>
      </c>
      <c r="G118" s="17">
        <v>1</v>
      </c>
      <c r="H118" s="1" t="str">
        <f>IF(G118=0,"Válido",IF(AND(ISNUMBER(G118),G118=1,A118&lt;&gt;"",COUNTIF($A$9:$A$3000,A118)=1,COUNTIF('Catalogo CU'!$A$9:$A$500,B118)=1,ISNUMBER(C118),C118&gt;=1,OR(D118="Principal",D118="Alternativo adicional"),E118&lt;&gt;"",F118&lt;&gt;""),"Válido","Revisar transacción"))</f>
        <v>Válido</v>
      </c>
    </row>
    <row r="119" spans="1:8" ht="43.95" customHeight="1">
      <c r="A119" s="1" t="s">
        <v>835</v>
      </c>
      <c r="B119" s="14" t="s">
        <v>171</v>
      </c>
      <c r="C119" s="16">
        <v>1</v>
      </c>
      <c r="D119" s="15" t="s">
        <v>50</v>
      </c>
      <c r="E119" s="15" t="s">
        <v>836</v>
      </c>
      <c r="F119" s="15" t="s">
        <v>837</v>
      </c>
      <c r="G119" s="17">
        <v>1</v>
      </c>
      <c r="H119" s="1" t="str">
        <f>IF(G119=0,"Válido",IF(AND(ISNUMBER(G119),G119=1,A119&lt;&gt;"",COUNTIF($A$9:$A$3000,A119)=1,COUNTIF('Catalogo CU'!$A$9:$A$500,B119)=1,ISNUMBER(C119),C119&gt;=1,OR(D119="Principal",D119="Alternativo adicional"),E119&lt;&gt;"",F119&lt;&gt;""),"Válido","Revisar transacción"))</f>
        <v>Válido</v>
      </c>
    </row>
    <row r="120" spans="1:8" ht="43.95" customHeight="1">
      <c r="A120" s="1" t="s">
        <v>838</v>
      </c>
      <c r="B120" s="14" t="s">
        <v>171</v>
      </c>
      <c r="C120" s="16">
        <v>2</v>
      </c>
      <c r="D120" s="15" t="s">
        <v>50</v>
      </c>
      <c r="E120" s="15" t="s">
        <v>839</v>
      </c>
      <c r="F120" s="15" t="s">
        <v>840</v>
      </c>
      <c r="G120" s="17">
        <v>1</v>
      </c>
      <c r="H120" s="1" t="str">
        <f>IF(G120=0,"Válido",IF(AND(ISNUMBER(G120),G120=1,A120&lt;&gt;"",COUNTIF($A$9:$A$3000,A120)=1,COUNTIF('Catalogo CU'!$A$9:$A$500,B120)=1,ISNUMBER(C120),C120&gt;=1,OR(D120="Principal",D120="Alternativo adicional"),E120&lt;&gt;"",F120&lt;&gt;""),"Válido","Revisar transacción"))</f>
        <v>Válido</v>
      </c>
    </row>
    <row r="121" spans="1:8" ht="43.95" customHeight="1">
      <c r="A121" s="1" t="s">
        <v>841</v>
      </c>
      <c r="B121" s="14" t="s">
        <v>171</v>
      </c>
      <c r="C121" s="16">
        <v>3</v>
      </c>
      <c r="D121" s="15" t="s">
        <v>50</v>
      </c>
      <c r="E121" s="15" t="s">
        <v>842</v>
      </c>
      <c r="F121" s="15" t="s">
        <v>843</v>
      </c>
      <c r="G121" s="17">
        <v>1</v>
      </c>
      <c r="H121" s="1" t="str">
        <f>IF(G121=0,"Válido",IF(AND(ISNUMBER(G121),G121=1,A121&lt;&gt;"",COUNTIF($A$9:$A$3000,A121)=1,COUNTIF('Catalogo CU'!$A$9:$A$500,B121)=1,ISNUMBER(C121),C121&gt;=1,OR(D121="Principal",D121="Alternativo adicional"),E121&lt;&gt;"",F121&lt;&gt;""),"Válido","Revisar transacción"))</f>
        <v>Válido</v>
      </c>
    </row>
    <row r="122" spans="1:8" ht="43.95" customHeight="1">
      <c r="A122" s="1" t="s">
        <v>844</v>
      </c>
      <c r="B122" s="14" t="s">
        <v>176</v>
      </c>
      <c r="C122" s="16">
        <v>1</v>
      </c>
      <c r="D122" s="15" t="s">
        <v>50</v>
      </c>
      <c r="E122" s="15" t="s">
        <v>845</v>
      </c>
      <c r="F122" s="15" t="s">
        <v>846</v>
      </c>
      <c r="G122" s="17">
        <v>1</v>
      </c>
      <c r="H122" s="1" t="str">
        <f>IF(G122=0,"Válido",IF(AND(ISNUMBER(G122),G122=1,A122&lt;&gt;"",COUNTIF($A$9:$A$3000,A122)=1,COUNTIF('Catalogo CU'!$A$9:$A$500,B122)=1,ISNUMBER(C122),C122&gt;=1,OR(D122="Principal",D122="Alternativo adicional"),E122&lt;&gt;"",F122&lt;&gt;""),"Válido","Revisar transacción"))</f>
        <v>Válido</v>
      </c>
    </row>
    <row r="123" spans="1:8" ht="43.95" customHeight="1">
      <c r="A123" s="1" t="s">
        <v>847</v>
      </c>
      <c r="B123" s="14" t="s">
        <v>176</v>
      </c>
      <c r="C123" s="16">
        <v>2</v>
      </c>
      <c r="D123" s="15" t="s">
        <v>50</v>
      </c>
      <c r="E123" s="15" t="s">
        <v>848</v>
      </c>
      <c r="F123" s="15" t="s">
        <v>849</v>
      </c>
      <c r="G123" s="17">
        <v>1</v>
      </c>
      <c r="H123" s="1" t="str">
        <f>IF(G123=0,"Válido",IF(AND(ISNUMBER(G123),G123=1,A123&lt;&gt;"",COUNTIF($A$9:$A$3000,A123)=1,COUNTIF('Catalogo CU'!$A$9:$A$500,B123)=1,ISNUMBER(C123),C123&gt;=1,OR(D123="Principal",D123="Alternativo adicional"),E123&lt;&gt;"",F123&lt;&gt;""),"Válido","Revisar transacción"))</f>
        <v>Válido</v>
      </c>
    </row>
    <row r="124" spans="1:8" ht="43.95" customHeight="1">
      <c r="A124" s="1" t="s">
        <v>850</v>
      </c>
      <c r="B124" s="14" t="s">
        <v>176</v>
      </c>
      <c r="C124" s="16">
        <v>3</v>
      </c>
      <c r="D124" s="15" t="s">
        <v>50</v>
      </c>
      <c r="E124" s="15" t="s">
        <v>851</v>
      </c>
      <c r="F124" s="15" t="s">
        <v>852</v>
      </c>
      <c r="G124" s="17">
        <v>1</v>
      </c>
      <c r="H124" s="1" t="str">
        <f>IF(G124=0,"Válido",IF(AND(ISNUMBER(G124),G124=1,A124&lt;&gt;"",COUNTIF($A$9:$A$3000,A124)=1,COUNTIF('Catalogo CU'!$A$9:$A$500,B124)=1,ISNUMBER(C124),C124&gt;=1,OR(D124="Principal",D124="Alternativo adicional"),E124&lt;&gt;"",F124&lt;&gt;""),"Válido","Revisar transacción"))</f>
        <v>Válido</v>
      </c>
    </row>
    <row r="125" spans="1:8" ht="43.95" customHeight="1">
      <c r="A125" s="1" t="s">
        <v>853</v>
      </c>
      <c r="B125" s="14" t="s">
        <v>176</v>
      </c>
      <c r="C125" s="16">
        <v>4</v>
      </c>
      <c r="D125" s="15" t="s">
        <v>50</v>
      </c>
      <c r="E125" s="15" t="s">
        <v>854</v>
      </c>
      <c r="F125" s="15" t="s">
        <v>855</v>
      </c>
      <c r="G125" s="17">
        <v>1</v>
      </c>
      <c r="H125" s="1" t="str">
        <f>IF(G125=0,"Válido",IF(AND(ISNUMBER(G125),G125=1,A125&lt;&gt;"",COUNTIF($A$9:$A$3000,A125)=1,COUNTIF('Catalogo CU'!$A$9:$A$500,B125)=1,ISNUMBER(C125),C125&gt;=1,OR(D125="Principal",D125="Alternativo adicional"),E125&lt;&gt;"",F125&lt;&gt;""),"Válido","Revisar transacción"))</f>
        <v>Válido</v>
      </c>
    </row>
    <row r="126" spans="1:8" ht="43.95" customHeight="1">
      <c r="A126" s="1" t="s">
        <v>856</v>
      </c>
      <c r="B126" s="14" t="s">
        <v>182</v>
      </c>
      <c r="C126" s="16">
        <v>1</v>
      </c>
      <c r="D126" s="15" t="s">
        <v>50</v>
      </c>
      <c r="E126" s="15" t="s">
        <v>857</v>
      </c>
      <c r="F126" s="15" t="s">
        <v>858</v>
      </c>
      <c r="G126" s="17">
        <v>1</v>
      </c>
      <c r="H126" s="1" t="str">
        <f>IF(G126=0,"Válido",IF(AND(ISNUMBER(G126),G126=1,A126&lt;&gt;"",COUNTIF($A$9:$A$3000,A126)=1,COUNTIF('Catalogo CU'!$A$9:$A$500,B126)=1,ISNUMBER(C126),C126&gt;=1,OR(D126="Principal",D126="Alternativo adicional"),E126&lt;&gt;"",F126&lt;&gt;""),"Válido","Revisar transacción"))</f>
        <v>Válido</v>
      </c>
    </row>
    <row r="127" spans="1:8" ht="43.95" customHeight="1">
      <c r="A127" s="1" t="s">
        <v>859</v>
      </c>
      <c r="B127" s="14" t="s">
        <v>182</v>
      </c>
      <c r="C127" s="16">
        <v>2</v>
      </c>
      <c r="D127" s="15" t="s">
        <v>50</v>
      </c>
      <c r="E127" s="15" t="s">
        <v>860</v>
      </c>
      <c r="F127" s="15" t="s">
        <v>861</v>
      </c>
      <c r="G127" s="17">
        <v>1</v>
      </c>
      <c r="H127" s="1" t="str">
        <f>IF(G127=0,"Válido",IF(AND(ISNUMBER(G127),G127=1,A127&lt;&gt;"",COUNTIF($A$9:$A$3000,A127)=1,COUNTIF('Catalogo CU'!$A$9:$A$500,B127)=1,ISNUMBER(C127),C127&gt;=1,OR(D127="Principal",D127="Alternativo adicional"),E127&lt;&gt;"",F127&lt;&gt;""),"Válido","Revisar transacción"))</f>
        <v>Válido</v>
      </c>
    </row>
    <row r="128" spans="1:8" ht="43.95" customHeight="1">
      <c r="A128" s="1" t="s">
        <v>862</v>
      </c>
      <c r="B128" s="14" t="s">
        <v>182</v>
      </c>
      <c r="C128" s="16">
        <v>3</v>
      </c>
      <c r="D128" s="15" t="s">
        <v>50</v>
      </c>
      <c r="E128" s="15" t="s">
        <v>863</v>
      </c>
      <c r="F128" s="15" t="s">
        <v>864</v>
      </c>
      <c r="G128" s="17">
        <v>1</v>
      </c>
      <c r="H128" s="1" t="str">
        <f>IF(G128=0,"Válido",IF(AND(ISNUMBER(G128),G128=1,A128&lt;&gt;"",COUNTIF($A$9:$A$3000,A128)=1,COUNTIF('Catalogo CU'!$A$9:$A$500,B128)=1,ISNUMBER(C128),C128&gt;=1,OR(D128="Principal",D128="Alternativo adicional"),E128&lt;&gt;"",F128&lt;&gt;""),"Válido","Revisar transacción"))</f>
        <v>Válido</v>
      </c>
    </row>
    <row r="129" spans="1:8" ht="43.95" customHeight="1">
      <c r="A129" s="1" t="s">
        <v>865</v>
      </c>
      <c r="B129" s="14" t="s">
        <v>182</v>
      </c>
      <c r="C129" s="16">
        <v>4</v>
      </c>
      <c r="D129" s="15" t="s">
        <v>50</v>
      </c>
      <c r="E129" s="15" t="s">
        <v>866</v>
      </c>
      <c r="F129" s="15" t="s">
        <v>867</v>
      </c>
      <c r="G129" s="17">
        <v>1</v>
      </c>
      <c r="H129" s="1" t="str">
        <f>IF(G129=0,"Válido",IF(AND(ISNUMBER(G129),G129=1,A129&lt;&gt;"",COUNTIF($A$9:$A$3000,A129)=1,COUNTIF('Catalogo CU'!$A$9:$A$500,B129)=1,ISNUMBER(C129),C129&gt;=1,OR(D129="Principal",D129="Alternativo adicional"),E129&lt;&gt;"",F129&lt;&gt;""),"Válido","Revisar transacción"))</f>
        <v>Válido</v>
      </c>
    </row>
    <row r="130" spans="1:8" ht="43.95" customHeight="1">
      <c r="A130" s="1" t="s">
        <v>868</v>
      </c>
      <c r="B130" s="14" t="s">
        <v>182</v>
      </c>
      <c r="C130" s="16">
        <v>5</v>
      </c>
      <c r="D130" s="15" t="s">
        <v>50</v>
      </c>
      <c r="E130" s="15" t="s">
        <v>869</v>
      </c>
      <c r="F130" s="15" t="s">
        <v>870</v>
      </c>
      <c r="G130" s="17">
        <v>1</v>
      </c>
      <c r="H130" s="1" t="str">
        <f>IF(G130=0,"Válido",IF(AND(ISNUMBER(G130),G130=1,A130&lt;&gt;"",COUNTIF($A$9:$A$3000,A130)=1,COUNTIF('Catalogo CU'!$A$9:$A$500,B130)=1,ISNUMBER(C130),C130&gt;=1,OR(D130="Principal",D130="Alternativo adicional"),E130&lt;&gt;"",F130&lt;&gt;""),"Válido","Revisar transacción"))</f>
        <v>Válido</v>
      </c>
    </row>
    <row r="131" spans="1:8" ht="43.95" customHeight="1">
      <c r="A131" s="1" t="s">
        <v>871</v>
      </c>
      <c r="B131" s="14" t="s">
        <v>182</v>
      </c>
      <c r="C131" s="16">
        <v>6</v>
      </c>
      <c r="D131" s="15" t="s">
        <v>520</v>
      </c>
      <c r="E131" s="15" t="s">
        <v>872</v>
      </c>
      <c r="F131" s="15" t="s">
        <v>873</v>
      </c>
      <c r="G131" s="17">
        <v>1</v>
      </c>
      <c r="H131" s="1" t="str">
        <f>IF(G131=0,"Válido",IF(AND(ISNUMBER(G131),G131=1,A131&lt;&gt;"",COUNTIF($A$9:$A$3000,A131)=1,COUNTIF('Catalogo CU'!$A$9:$A$500,B131)=1,ISNUMBER(C131),C131&gt;=1,OR(D131="Principal",D131="Alternativo adicional"),E131&lt;&gt;"",F131&lt;&gt;""),"Válido","Revisar transacción"))</f>
        <v>Válido</v>
      </c>
    </row>
    <row r="132" spans="1:8" ht="43.95" customHeight="1">
      <c r="A132" s="1" t="s">
        <v>874</v>
      </c>
      <c r="B132" s="14" t="s">
        <v>182</v>
      </c>
      <c r="C132" s="16">
        <v>7</v>
      </c>
      <c r="D132" s="15" t="s">
        <v>520</v>
      </c>
      <c r="E132" s="15" t="s">
        <v>875</v>
      </c>
      <c r="F132" s="15" t="s">
        <v>876</v>
      </c>
      <c r="G132" s="17">
        <v>1</v>
      </c>
      <c r="H132" s="1" t="str">
        <f>IF(G132=0,"Válido",IF(AND(ISNUMBER(G132),G132=1,A132&lt;&gt;"",COUNTIF($A$9:$A$3000,A132)=1,COUNTIF('Catalogo CU'!$A$9:$A$500,B132)=1,ISNUMBER(C132),C132&gt;=1,OR(D132="Principal",D132="Alternativo adicional"),E132&lt;&gt;"",F132&lt;&gt;""),"Válido","Revisar transacción"))</f>
        <v>Válido</v>
      </c>
    </row>
    <row r="133" spans="1:8" ht="43.95" customHeight="1">
      <c r="A133" s="1" t="s">
        <v>877</v>
      </c>
      <c r="B133" s="14" t="s">
        <v>187</v>
      </c>
      <c r="C133" s="16">
        <v>1</v>
      </c>
      <c r="D133" s="15" t="s">
        <v>50</v>
      </c>
      <c r="E133" s="15" t="s">
        <v>878</v>
      </c>
      <c r="F133" s="15" t="s">
        <v>879</v>
      </c>
      <c r="G133" s="17">
        <v>1</v>
      </c>
      <c r="H133" s="1" t="str">
        <f>IF(G133=0,"Válido",IF(AND(ISNUMBER(G133),G133=1,A133&lt;&gt;"",COUNTIF($A$9:$A$3000,A133)=1,COUNTIF('Catalogo CU'!$A$9:$A$500,B133)=1,ISNUMBER(C133),C133&gt;=1,OR(D133="Principal",D133="Alternativo adicional"),E133&lt;&gt;"",F133&lt;&gt;""),"Válido","Revisar transacción"))</f>
        <v>Válido</v>
      </c>
    </row>
    <row r="134" spans="1:8" ht="43.95" customHeight="1">
      <c r="A134" s="1" t="s">
        <v>880</v>
      </c>
      <c r="B134" s="14" t="s">
        <v>187</v>
      </c>
      <c r="C134" s="16">
        <v>2</v>
      </c>
      <c r="D134" s="15" t="s">
        <v>50</v>
      </c>
      <c r="E134" s="15" t="s">
        <v>881</v>
      </c>
      <c r="F134" s="15" t="s">
        <v>882</v>
      </c>
      <c r="G134" s="17">
        <v>1</v>
      </c>
      <c r="H134" s="1" t="str">
        <f>IF(G134=0,"Válido",IF(AND(ISNUMBER(G134),G134=1,A134&lt;&gt;"",COUNTIF($A$9:$A$3000,A134)=1,COUNTIF('Catalogo CU'!$A$9:$A$500,B134)=1,ISNUMBER(C134),C134&gt;=1,OR(D134="Principal",D134="Alternativo adicional"),E134&lt;&gt;"",F134&lt;&gt;""),"Válido","Revisar transacción"))</f>
        <v>Válido</v>
      </c>
    </row>
    <row r="135" spans="1:8" ht="43.95" customHeight="1">
      <c r="A135" s="1" t="s">
        <v>883</v>
      </c>
      <c r="B135" s="14" t="s">
        <v>187</v>
      </c>
      <c r="C135" s="16">
        <v>3</v>
      </c>
      <c r="D135" s="15" t="s">
        <v>50</v>
      </c>
      <c r="E135" s="15" t="s">
        <v>884</v>
      </c>
      <c r="F135" s="15" t="s">
        <v>885</v>
      </c>
      <c r="G135" s="17">
        <v>1</v>
      </c>
      <c r="H135" s="1" t="str">
        <f>IF(G135=0,"Válido",IF(AND(ISNUMBER(G135),G135=1,A135&lt;&gt;"",COUNTIF($A$9:$A$3000,A135)=1,COUNTIF('Catalogo CU'!$A$9:$A$500,B135)=1,ISNUMBER(C135),C135&gt;=1,OR(D135="Principal",D135="Alternativo adicional"),E135&lt;&gt;"",F135&lt;&gt;""),"Válido","Revisar transacción"))</f>
        <v>Válido</v>
      </c>
    </row>
    <row r="136" spans="1:8" ht="43.95" customHeight="1">
      <c r="A136" s="1" t="s">
        <v>886</v>
      </c>
      <c r="B136" s="14" t="s">
        <v>192</v>
      </c>
      <c r="C136" s="16">
        <v>1</v>
      </c>
      <c r="D136" s="15" t="s">
        <v>50</v>
      </c>
      <c r="E136" s="15" t="s">
        <v>887</v>
      </c>
      <c r="F136" s="15" t="s">
        <v>888</v>
      </c>
      <c r="G136" s="17">
        <v>1</v>
      </c>
      <c r="H136" s="1" t="str">
        <f>IF(G136=0,"Válido",IF(AND(ISNUMBER(G136),G136=1,A136&lt;&gt;"",COUNTIF($A$9:$A$3000,A136)=1,COUNTIF('Catalogo CU'!$A$9:$A$500,B136)=1,ISNUMBER(C136),C136&gt;=1,OR(D136="Principal",D136="Alternativo adicional"),E136&lt;&gt;"",F136&lt;&gt;""),"Válido","Revisar transacción"))</f>
        <v>Válido</v>
      </c>
    </row>
    <row r="137" spans="1:8" ht="43.95" customHeight="1">
      <c r="A137" s="1" t="s">
        <v>889</v>
      </c>
      <c r="B137" s="14" t="s">
        <v>192</v>
      </c>
      <c r="C137" s="16">
        <v>2</v>
      </c>
      <c r="D137" s="15" t="s">
        <v>50</v>
      </c>
      <c r="E137" s="15" t="s">
        <v>890</v>
      </c>
      <c r="F137" s="15" t="s">
        <v>891</v>
      </c>
      <c r="G137" s="17">
        <v>1</v>
      </c>
      <c r="H137" s="1" t="str">
        <f>IF(G137=0,"Válido",IF(AND(ISNUMBER(G137),G137=1,A137&lt;&gt;"",COUNTIF($A$9:$A$3000,A137)=1,COUNTIF('Catalogo CU'!$A$9:$A$500,B137)=1,ISNUMBER(C137),C137&gt;=1,OR(D137="Principal",D137="Alternativo adicional"),E137&lt;&gt;"",F137&lt;&gt;""),"Válido","Revisar transacción"))</f>
        <v>Válido</v>
      </c>
    </row>
    <row r="138" spans="1:8" ht="43.95" customHeight="1">
      <c r="A138" s="1" t="s">
        <v>892</v>
      </c>
      <c r="B138" s="14" t="s">
        <v>192</v>
      </c>
      <c r="C138" s="16">
        <v>3</v>
      </c>
      <c r="D138" s="15" t="s">
        <v>50</v>
      </c>
      <c r="E138" s="15" t="s">
        <v>893</v>
      </c>
      <c r="F138" s="15" t="s">
        <v>894</v>
      </c>
      <c r="G138" s="17">
        <v>1</v>
      </c>
      <c r="H138" s="1" t="str">
        <f>IF(G138=0,"Válido",IF(AND(ISNUMBER(G138),G138=1,A138&lt;&gt;"",COUNTIF($A$9:$A$3000,A138)=1,COUNTIF('Catalogo CU'!$A$9:$A$500,B138)=1,ISNUMBER(C138),C138&gt;=1,OR(D138="Principal",D138="Alternativo adicional"),E138&lt;&gt;"",F138&lt;&gt;""),"Válido","Revisar transacción"))</f>
        <v>Válido</v>
      </c>
    </row>
    <row r="139" spans="1:8" ht="43.95" customHeight="1">
      <c r="A139" s="1" t="s">
        <v>895</v>
      </c>
      <c r="B139" s="14" t="s">
        <v>192</v>
      </c>
      <c r="C139" s="16">
        <v>4</v>
      </c>
      <c r="D139" s="15" t="s">
        <v>50</v>
      </c>
      <c r="E139" s="15" t="s">
        <v>896</v>
      </c>
      <c r="F139" s="15" t="s">
        <v>897</v>
      </c>
      <c r="G139" s="17">
        <v>1</v>
      </c>
      <c r="H139" s="1" t="str">
        <f>IF(G139=0,"Válido",IF(AND(ISNUMBER(G139),G139=1,A139&lt;&gt;"",COUNTIF($A$9:$A$3000,A139)=1,COUNTIF('Catalogo CU'!$A$9:$A$500,B139)=1,ISNUMBER(C139),C139&gt;=1,OR(D139="Principal",D139="Alternativo adicional"),E139&lt;&gt;"",F139&lt;&gt;""),"Válido","Revisar transacción"))</f>
        <v>Válido</v>
      </c>
    </row>
    <row r="140" spans="1:8" ht="43.95" customHeight="1">
      <c r="A140" s="1" t="s">
        <v>898</v>
      </c>
      <c r="B140" s="14" t="s">
        <v>197</v>
      </c>
      <c r="C140" s="16">
        <v>1</v>
      </c>
      <c r="D140" s="15" t="s">
        <v>50</v>
      </c>
      <c r="E140" s="15" t="s">
        <v>899</v>
      </c>
      <c r="F140" s="15" t="s">
        <v>900</v>
      </c>
      <c r="G140" s="17">
        <v>1</v>
      </c>
      <c r="H140" s="1" t="str">
        <f>IF(G140=0,"Válido",IF(AND(ISNUMBER(G140),G140=1,A140&lt;&gt;"",COUNTIF($A$9:$A$3000,A140)=1,COUNTIF('Catalogo CU'!$A$9:$A$500,B140)=1,ISNUMBER(C140),C140&gt;=1,OR(D140="Principal",D140="Alternativo adicional"),E140&lt;&gt;"",F140&lt;&gt;""),"Válido","Revisar transacción"))</f>
        <v>Válido</v>
      </c>
    </row>
    <row r="141" spans="1:8" ht="43.95" customHeight="1">
      <c r="A141" s="1" t="s">
        <v>901</v>
      </c>
      <c r="B141" s="14" t="s">
        <v>197</v>
      </c>
      <c r="C141" s="16">
        <v>2</v>
      </c>
      <c r="D141" s="15" t="s">
        <v>50</v>
      </c>
      <c r="E141" s="15" t="s">
        <v>902</v>
      </c>
      <c r="F141" s="15" t="s">
        <v>903</v>
      </c>
      <c r="G141" s="17">
        <v>1</v>
      </c>
      <c r="H141" s="1" t="str">
        <f>IF(G141=0,"Válido",IF(AND(ISNUMBER(G141),G141=1,A141&lt;&gt;"",COUNTIF($A$9:$A$3000,A141)=1,COUNTIF('Catalogo CU'!$A$9:$A$500,B141)=1,ISNUMBER(C141),C141&gt;=1,OR(D141="Principal",D141="Alternativo adicional"),E141&lt;&gt;"",F141&lt;&gt;""),"Válido","Revisar transacción"))</f>
        <v>Válido</v>
      </c>
    </row>
    <row r="142" spans="1:8" ht="43.95" customHeight="1">
      <c r="A142" s="1" t="s">
        <v>904</v>
      </c>
      <c r="B142" s="14" t="s">
        <v>197</v>
      </c>
      <c r="C142" s="16">
        <v>3</v>
      </c>
      <c r="D142" s="15" t="s">
        <v>50</v>
      </c>
      <c r="E142" s="15" t="s">
        <v>905</v>
      </c>
      <c r="F142" s="15" t="s">
        <v>906</v>
      </c>
      <c r="G142" s="17">
        <v>1</v>
      </c>
      <c r="H142" s="1" t="str">
        <f>IF(G142=0,"Válido",IF(AND(ISNUMBER(G142),G142=1,A142&lt;&gt;"",COUNTIF($A$9:$A$3000,A142)=1,COUNTIF('Catalogo CU'!$A$9:$A$500,B142)=1,ISNUMBER(C142),C142&gt;=1,OR(D142="Principal",D142="Alternativo adicional"),E142&lt;&gt;"",F142&lt;&gt;""),"Válido","Revisar transacción"))</f>
        <v>Válido</v>
      </c>
    </row>
    <row r="143" spans="1:8" ht="43.95" customHeight="1">
      <c r="A143" s="1" t="s">
        <v>907</v>
      </c>
      <c r="B143" s="14" t="s">
        <v>197</v>
      </c>
      <c r="C143" s="16">
        <v>4</v>
      </c>
      <c r="D143" s="15" t="s">
        <v>520</v>
      </c>
      <c r="E143" s="15" t="s">
        <v>908</v>
      </c>
      <c r="F143" s="15" t="s">
        <v>909</v>
      </c>
      <c r="G143" s="17">
        <v>1</v>
      </c>
      <c r="H143" s="1" t="str">
        <f>IF(G143=0,"Válido",IF(AND(ISNUMBER(G143),G143=1,A143&lt;&gt;"",COUNTIF($A$9:$A$3000,A143)=1,COUNTIF('Catalogo CU'!$A$9:$A$500,B143)=1,ISNUMBER(C143),C143&gt;=1,OR(D143="Principal",D143="Alternativo adicional"),E143&lt;&gt;"",F143&lt;&gt;""),"Válido","Revisar transacción"))</f>
        <v>Válido</v>
      </c>
    </row>
    <row r="144" spans="1:8" ht="43.95" customHeight="1">
      <c r="A144" s="1" t="s">
        <v>910</v>
      </c>
      <c r="B144" s="14" t="s">
        <v>202</v>
      </c>
      <c r="C144" s="16">
        <v>1</v>
      </c>
      <c r="D144" s="15" t="s">
        <v>50</v>
      </c>
      <c r="E144" s="15" t="s">
        <v>911</v>
      </c>
      <c r="F144" s="15" t="s">
        <v>912</v>
      </c>
      <c r="G144" s="17">
        <v>1</v>
      </c>
      <c r="H144" s="1" t="str">
        <f>IF(G144=0,"Válido",IF(AND(ISNUMBER(G144),G144=1,A144&lt;&gt;"",COUNTIF($A$9:$A$3000,A144)=1,COUNTIF('Catalogo CU'!$A$9:$A$500,B144)=1,ISNUMBER(C144),C144&gt;=1,OR(D144="Principal",D144="Alternativo adicional"),E144&lt;&gt;"",F144&lt;&gt;""),"Válido","Revisar transacción"))</f>
        <v>Válido</v>
      </c>
    </row>
    <row r="145" spans="1:8" ht="43.95" customHeight="1">
      <c r="A145" s="1" t="s">
        <v>913</v>
      </c>
      <c r="B145" s="14" t="s">
        <v>202</v>
      </c>
      <c r="C145" s="16">
        <v>2</v>
      </c>
      <c r="D145" s="15" t="s">
        <v>50</v>
      </c>
      <c r="E145" s="15" t="s">
        <v>914</v>
      </c>
      <c r="F145" s="15" t="s">
        <v>915</v>
      </c>
      <c r="G145" s="17">
        <v>1</v>
      </c>
      <c r="H145" s="1" t="str">
        <f>IF(G145=0,"Válido",IF(AND(ISNUMBER(G145),G145=1,A145&lt;&gt;"",COUNTIF($A$9:$A$3000,A145)=1,COUNTIF('Catalogo CU'!$A$9:$A$500,B145)=1,ISNUMBER(C145),C145&gt;=1,OR(D145="Principal",D145="Alternativo adicional"),E145&lt;&gt;"",F145&lt;&gt;""),"Válido","Revisar transacción"))</f>
        <v>Válido</v>
      </c>
    </row>
    <row r="146" spans="1:8" ht="43.95" customHeight="1">
      <c r="A146" s="1" t="s">
        <v>916</v>
      </c>
      <c r="B146" s="14" t="s">
        <v>202</v>
      </c>
      <c r="C146" s="16">
        <v>3</v>
      </c>
      <c r="D146" s="15" t="s">
        <v>50</v>
      </c>
      <c r="E146" s="15" t="s">
        <v>893</v>
      </c>
      <c r="F146" s="15" t="s">
        <v>917</v>
      </c>
      <c r="G146" s="17">
        <v>1</v>
      </c>
      <c r="H146" s="1" t="str">
        <f>IF(G146=0,"Válido",IF(AND(ISNUMBER(G146),G146=1,A146&lt;&gt;"",COUNTIF($A$9:$A$3000,A146)=1,COUNTIF('Catalogo CU'!$A$9:$A$500,B146)=1,ISNUMBER(C146),C146&gt;=1,OR(D146="Principal",D146="Alternativo adicional"),E146&lt;&gt;"",F146&lt;&gt;""),"Válido","Revisar transacción"))</f>
        <v>Válido</v>
      </c>
    </row>
    <row r="147" spans="1:8" ht="43.95" customHeight="1">
      <c r="A147" s="1" t="s">
        <v>918</v>
      </c>
      <c r="B147" s="14" t="s">
        <v>202</v>
      </c>
      <c r="C147" s="16">
        <v>4</v>
      </c>
      <c r="D147" s="15" t="s">
        <v>50</v>
      </c>
      <c r="E147" s="15" t="s">
        <v>919</v>
      </c>
      <c r="F147" s="15" t="s">
        <v>920</v>
      </c>
      <c r="G147" s="17">
        <v>1</v>
      </c>
      <c r="H147" s="1" t="str">
        <f>IF(G147=0,"Válido",IF(AND(ISNUMBER(G147),G147=1,A147&lt;&gt;"",COUNTIF($A$9:$A$3000,A147)=1,COUNTIF('Catalogo CU'!$A$9:$A$500,B147)=1,ISNUMBER(C147),C147&gt;=1,OR(D147="Principal",D147="Alternativo adicional"),E147&lt;&gt;"",F147&lt;&gt;""),"Válido","Revisar transacción"))</f>
        <v>Válido</v>
      </c>
    </row>
    <row r="148" spans="1:8" ht="43.95" customHeight="1">
      <c r="A148" s="1" t="s">
        <v>921</v>
      </c>
      <c r="B148" s="14" t="s">
        <v>206</v>
      </c>
      <c r="C148" s="16">
        <v>1</v>
      </c>
      <c r="D148" s="15" t="s">
        <v>50</v>
      </c>
      <c r="E148" s="15" t="s">
        <v>922</v>
      </c>
      <c r="F148" s="15" t="s">
        <v>923</v>
      </c>
      <c r="G148" s="17">
        <v>1</v>
      </c>
      <c r="H148" s="1" t="str">
        <f>IF(G148=0,"Válido",IF(AND(ISNUMBER(G148),G148=1,A148&lt;&gt;"",COUNTIF($A$9:$A$3000,A148)=1,COUNTIF('Catalogo CU'!$A$9:$A$500,B148)=1,ISNUMBER(C148),C148&gt;=1,OR(D148="Principal",D148="Alternativo adicional"),E148&lt;&gt;"",F148&lt;&gt;""),"Válido","Revisar transacción"))</f>
        <v>Válido</v>
      </c>
    </row>
    <row r="149" spans="1:8" ht="43.95" customHeight="1">
      <c r="A149" s="1" t="s">
        <v>924</v>
      </c>
      <c r="B149" s="14" t="s">
        <v>206</v>
      </c>
      <c r="C149" s="16">
        <v>2</v>
      </c>
      <c r="D149" s="15" t="s">
        <v>50</v>
      </c>
      <c r="E149" s="15" t="s">
        <v>925</v>
      </c>
      <c r="F149" s="15" t="s">
        <v>926</v>
      </c>
      <c r="G149" s="17">
        <v>1</v>
      </c>
      <c r="H149" s="1" t="str">
        <f>IF(G149=0,"Válido",IF(AND(ISNUMBER(G149),G149=1,A149&lt;&gt;"",COUNTIF($A$9:$A$3000,A149)=1,COUNTIF('Catalogo CU'!$A$9:$A$500,B149)=1,ISNUMBER(C149),C149&gt;=1,OR(D149="Principal",D149="Alternativo adicional"),E149&lt;&gt;"",F149&lt;&gt;""),"Válido","Revisar transacción"))</f>
        <v>Válido</v>
      </c>
    </row>
    <row r="150" spans="1:8" ht="43.95" customHeight="1">
      <c r="A150" s="1" t="s">
        <v>927</v>
      </c>
      <c r="B150" s="14" t="s">
        <v>206</v>
      </c>
      <c r="C150" s="16">
        <v>3</v>
      </c>
      <c r="D150" s="15" t="s">
        <v>50</v>
      </c>
      <c r="E150" s="15" t="s">
        <v>928</v>
      </c>
      <c r="F150" s="15" t="s">
        <v>929</v>
      </c>
      <c r="G150" s="17">
        <v>1</v>
      </c>
      <c r="H150" s="1" t="str">
        <f>IF(G150=0,"Válido",IF(AND(ISNUMBER(G150),G150=1,A150&lt;&gt;"",COUNTIF($A$9:$A$3000,A150)=1,COUNTIF('Catalogo CU'!$A$9:$A$500,B150)=1,ISNUMBER(C150),C150&gt;=1,OR(D150="Principal",D150="Alternativo adicional"),E150&lt;&gt;"",F150&lt;&gt;""),"Válido","Revisar transacción"))</f>
        <v>Válido</v>
      </c>
    </row>
    <row r="151" spans="1:8" ht="43.95" customHeight="1">
      <c r="A151" s="1" t="s">
        <v>930</v>
      </c>
      <c r="B151" s="14" t="s">
        <v>206</v>
      </c>
      <c r="C151" s="16">
        <v>4</v>
      </c>
      <c r="D151" s="15" t="s">
        <v>50</v>
      </c>
      <c r="E151" s="15" t="s">
        <v>931</v>
      </c>
      <c r="F151" s="15" t="s">
        <v>932</v>
      </c>
      <c r="G151" s="17">
        <v>1</v>
      </c>
      <c r="H151" s="1" t="str">
        <f>IF(G151=0,"Válido",IF(AND(ISNUMBER(G151),G151=1,A151&lt;&gt;"",COUNTIF($A$9:$A$3000,A151)=1,COUNTIF('Catalogo CU'!$A$9:$A$500,B151)=1,ISNUMBER(C151),C151&gt;=1,OR(D151="Principal",D151="Alternativo adicional"),E151&lt;&gt;"",F151&lt;&gt;""),"Válido","Revisar transacción"))</f>
        <v>Válido</v>
      </c>
    </row>
    <row r="152" spans="1:8" ht="43.95" customHeight="1">
      <c r="A152" s="1" t="s">
        <v>933</v>
      </c>
      <c r="B152" s="14" t="s">
        <v>206</v>
      </c>
      <c r="C152" s="16">
        <v>5</v>
      </c>
      <c r="D152" s="15" t="s">
        <v>50</v>
      </c>
      <c r="E152" s="15" t="s">
        <v>934</v>
      </c>
      <c r="F152" s="15" t="s">
        <v>935</v>
      </c>
      <c r="G152" s="17">
        <v>1</v>
      </c>
      <c r="H152" s="1" t="str">
        <f>IF(G152=0,"Válido",IF(AND(ISNUMBER(G152),G152=1,A152&lt;&gt;"",COUNTIF($A$9:$A$3000,A152)=1,COUNTIF('Catalogo CU'!$A$9:$A$500,B152)=1,ISNUMBER(C152),C152&gt;=1,OR(D152="Principal",D152="Alternativo adicional"),E152&lt;&gt;"",F152&lt;&gt;""),"Válido","Revisar transacción"))</f>
        <v>Válido</v>
      </c>
    </row>
    <row r="153" spans="1:8" ht="43.95" customHeight="1">
      <c r="A153" s="1" t="s">
        <v>936</v>
      </c>
      <c r="B153" s="14" t="s">
        <v>206</v>
      </c>
      <c r="C153" s="16">
        <v>6</v>
      </c>
      <c r="D153" s="15" t="s">
        <v>50</v>
      </c>
      <c r="E153" s="15" t="s">
        <v>937</v>
      </c>
      <c r="F153" s="15" t="s">
        <v>938</v>
      </c>
      <c r="G153" s="17">
        <v>1</v>
      </c>
      <c r="H153" s="1" t="str">
        <f>IF(G153=0,"Válido",IF(AND(ISNUMBER(G153),G153=1,A153&lt;&gt;"",COUNTIF($A$9:$A$3000,A153)=1,COUNTIF('Catalogo CU'!$A$9:$A$500,B153)=1,ISNUMBER(C153),C153&gt;=1,OR(D153="Principal",D153="Alternativo adicional"),E153&lt;&gt;"",F153&lt;&gt;""),"Válido","Revisar transacción"))</f>
        <v>Válido</v>
      </c>
    </row>
    <row r="154" spans="1:8" ht="43.95" customHeight="1">
      <c r="A154" s="1" t="s">
        <v>939</v>
      </c>
      <c r="B154" s="14" t="s">
        <v>211</v>
      </c>
      <c r="C154" s="16">
        <v>1</v>
      </c>
      <c r="D154" s="15" t="s">
        <v>50</v>
      </c>
      <c r="E154" s="15" t="s">
        <v>940</v>
      </c>
      <c r="F154" s="15" t="s">
        <v>941</v>
      </c>
      <c r="G154" s="17">
        <v>1</v>
      </c>
      <c r="H154" s="1" t="str">
        <f>IF(G154=0,"Válido",IF(AND(ISNUMBER(G154),G154=1,A154&lt;&gt;"",COUNTIF($A$9:$A$3000,A154)=1,COUNTIF('Catalogo CU'!$A$9:$A$500,B154)=1,ISNUMBER(C154),C154&gt;=1,OR(D154="Principal",D154="Alternativo adicional"),E154&lt;&gt;"",F154&lt;&gt;""),"Válido","Revisar transacción"))</f>
        <v>Válido</v>
      </c>
    </row>
    <row r="155" spans="1:8" ht="43.95" customHeight="1">
      <c r="A155" s="1" t="s">
        <v>942</v>
      </c>
      <c r="B155" s="14" t="s">
        <v>211</v>
      </c>
      <c r="C155" s="16">
        <v>2</v>
      </c>
      <c r="D155" s="15" t="s">
        <v>50</v>
      </c>
      <c r="E155" s="15" t="s">
        <v>943</v>
      </c>
      <c r="F155" s="15" t="s">
        <v>944</v>
      </c>
      <c r="G155" s="17">
        <v>1</v>
      </c>
      <c r="H155" s="1" t="str">
        <f>IF(G155=0,"Válido",IF(AND(ISNUMBER(G155),G155=1,A155&lt;&gt;"",COUNTIF($A$9:$A$3000,A155)=1,COUNTIF('Catalogo CU'!$A$9:$A$500,B155)=1,ISNUMBER(C155),C155&gt;=1,OR(D155="Principal",D155="Alternativo adicional"),E155&lt;&gt;"",F155&lt;&gt;""),"Válido","Revisar transacción"))</f>
        <v>Válido</v>
      </c>
    </row>
    <row r="156" spans="1:8" ht="43.95" customHeight="1">
      <c r="A156" s="1" t="s">
        <v>945</v>
      </c>
      <c r="B156" s="14" t="s">
        <v>211</v>
      </c>
      <c r="C156" s="16">
        <v>3</v>
      </c>
      <c r="D156" s="15" t="s">
        <v>50</v>
      </c>
      <c r="E156" s="15" t="s">
        <v>946</v>
      </c>
      <c r="F156" s="15" t="s">
        <v>947</v>
      </c>
      <c r="G156" s="17">
        <v>1</v>
      </c>
      <c r="H156" s="1" t="str">
        <f>IF(G156=0,"Válido",IF(AND(ISNUMBER(G156),G156=1,A156&lt;&gt;"",COUNTIF($A$9:$A$3000,A156)=1,COUNTIF('Catalogo CU'!$A$9:$A$500,B156)=1,ISNUMBER(C156),C156&gt;=1,OR(D156="Principal",D156="Alternativo adicional"),E156&lt;&gt;"",F156&lt;&gt;""),"Válido","Revisar transacción"))</f>
        <v>Válido</v>
      </c>
    </row>
    <row r="157" spans="1:8" ht="43.95" customHeight="1">
      <c r="A157" s="1" t="s">
        <v>948</v>
      </c>
      <c r="B157" s="14" t="s">
        <v>211</v>
      </c>
      <c r="C157" s="16">
        <v>4</v>
      </c>
      <c r="D157" s="15" t="s">
        <v>50</v>
      </c>
      <c r="E157" s="15" t="s">
        <v>949</v>
      </c>
      <c r="F157" s="15" t="s">
        <v>950</v>
      </c>
      <c r="G157" s="17">
        <v>1</v>
      </c>
      <c r="H157" s="1" t="str">
        <f>IF(G157=0,"Válido",IF(AND(ISNUMBER(G157),G157=1,A157&lt;&gt;"",COUNTIF($A$9:$A$3000,A157)=1,COUNTIF('Catalogo CU'!$A$9:$A$500,B157)=1,ISNUMBER(C157),C157&gt;=1,OR(D157="Principal",D157="Alternativo adicional"),E157&lt;&gt;"",F157&lt;&gt;""),"Válido","Revisar transacción"))</f>
        <v>Válido</v>
      </c>
    </row>
    <row r="158" spans="1:8" ht="43.95" customHeight="1">
      <c r="A158" s="1" t="s">
        <v>951</v>
      </c>
      <c r="B158" s="14" t="s">
        <v>211</v>
      </c>
      <c r="C158" s="16">
        <v>5</v>
      </c>
      <c r="D158" s="15" t="s">
        <v>50</v>
      </c>
      <c r="E158" s="15" t="s">
        <v>952</v>
      </c>
      <c r="F158" s="15" t="s">
        <v>953</v>
      </c>
      <c r="G158" s="17">
        <v>1</v>
      </c>
      <c r="H158" s="1" t="str">
        <f>IF(G158=0,"Válido",IF(AND(ISNUMBER(G158),G158=1,A158&lt;&gt;"",COUNTIF($A$9:$A$3000,A158)=1,COUNTIF('Catalogo CU'!$A$9:$A$500,B158)=1,ISNUMBER(C158),C158&gt;=1,OR(D158="Principal",D158="Alternativo adicional"),E158&lt;&gt;"",F158&lt;&gt;""),"Válido","Revisar transacción"))</f>
        <v>Válido</v>
      </c>
    </row>
    <row r="159" spans="1:8" ht="43.95" customHeight="1">
      <c r="A159" s="1" t="s">
        <v>954</v>
      </c>
      <c r="B159" s="14" t="s">
        <v>215</v>
      </c>
      <c r="C159" s="16">
        <v>1</v>
      </c>
      <c r="D159" s="15" t="s">
        <v>50</v>
      </c>
      <c r="E159" s="15" t="s">
        <v>955</v>
      </c>
      <c r="F159" s="15" t="s">
        <v>956</v>
      </c>
      <c r="G159" s="17">
        <v>1</v>
      </c>
      <c r="H159" s="1" t="str">
        <f>IF(G159=0,"Válido",IF(AND(ISNUMBER(G159),G159=1,A159&lt;&gt;"",COUNTIF($A$9:$A$3000,A159)=1,COUNTIF('Catalogo CU'!$A$9:$A$500,B159)=1,ISNUMBER(C159),C159&gt;=1,OR(D159="Principal",D159="Alternativo adicional"),E159&lt;&gt;"",F159&lt;&gt;""),"Válido","Revisar transacción"))</f>
        <v>Válido</v>
      </c>
    </row>
    <row r="160" spans="1:8" ht="43.95" customHeight="1">
      <c r="A160" s="1" t="s">
        <v>957</v>
      </c>
      <c r="B160" s="14" t="s">
        <v>215</v>
      </c>
      <c r="C160" s="16">
        <v>2</v>
      </c>
      <c r="D160" s="15" t="s">
        <v>50</v>
      </c>
      <c r="E160" s="15" t="s">
        <v>958</v>
      </c>
      <c r="F160" s="15" t="s">
        <v>959</v>
      </c>
      <c r="G160" s="17">
        <v>1</v>
      </c>
      <c r="H160" s="1" t="str">
        <f>IF(G160=0,"Válido",IF(AND(ISNUMBER(G160),G160=1,A160&lt;&gt;"",COUNTIF($A$9:$A$3000,A160)=1,COUNTIF('Catalogo CU'!$A$9:$A$500,B160)=1,ISNUMBER(C160),C160&gt;=1,OR(D160="Principal",D160="Alternativo adicional"),E160&lt;&gt;"",F160&lt;&gt;""),"Válido","Revisar transacción"))</f>
        <v>Válido</v>
      </c>
    </row>
    <row r="161" spans="1:8" ht="43.95" customHeight="1">
      <c r="A161" s="1" t="s">
        <v>960</v>
      </c>
      <c r="B161" s="14" t="s">
        <v>215</v>
      </c>
      <c r="C161" s="16">
        <v>3</v>
      </c>
      <c r="D161" s="15" t="s">
        <v>50</v>
      </c>
      <c r="E161" s="15" t="s">
        <v>961</v>
      </c>
      <c r="F161" s="15" t="s">
        <v>962</v>
      </c>
      <c r="G161" s="17">
        <v>1</v>
      </c>
      <c r="H161" s="1" t="str">
        <f>IF(G161=0,"Válido",IF(AND(ISNUMBER(G161),G161=1,A161&lt;&gt;"",COUNTIF($A$9:$A$3000,A161)=1,COUNTIF('Catalogo CU'!$A$9:$A$500,B161)=1,ISNUMBER(C161),C161&gt;=1,OR(D161="Principal",D161="Alternativo adicional"),E161&lt;&gt;"",F161&lt;&gt;""),"Válido","Revisar transacción"))</f>
        <v>Válido</v>
      </c>
    </row>
    <row r="162" spans="1:8" ht="43.95" customHeight="1">
      <c r="A162" s="1" t="s">
        <v>963</v>
      </c>
      <c r="B162" s="14" t="s">
        <v>215</v>
      </c>
      <c r="C162" s="16">
        <v>4</v>
      </c>
      <c r="D162" s="15" t="s">
        <v>50</v>
      </c>
      <c r="E162" s="15" t="s">
        <v>964</v>
      </c>
      <c r="F162" s="15" t="s">
        <v>965</v>
      </c>
      <c r="G162" s="17">
        <v>1</v>
      </c>
      <c r="H162" s="1" t="str">
        <f>IF(G162=0,"Válido",IF(AND(ISNUMBER(G162),G162=1,A162&lt;&gt;"",COUNTIF($A$9:$A$3000,A162)=1,COUNTIF('Catalogo CU'!$A$9:$A$500,B162)=1,ISNUMBER(C162),C162&gt;=1,OR(D162="Principal",D162="Alternativo adicional"),E162&lt;&gt;"",F162&lt;&gt;""),"Válido","Revisar transacción"))</f>
        <v>Válido</v>
      </c>
    </row>
    <row r="163" spans="1:8" ht="43.95" customHeight="1">
      <c r="A163" s="1" t="s">
        <v>966</v>
      </c>
      <c r="B163" s="14" t="s">
        <v>221</v>
      </c>
      <c r="C163" s="16">
        <v>1</v>
      </c>
      <c r="D163" s="15" t="s">
        <v>50</v>
      </c>
      <c r="E163" s="15" t="s">
        <v>967</v>
      </c>
      <c r="F163" s="15" t="s">
        <v>968</v>
      </c>
      <c r="G163" s="17">
        <v>1</v>
      </c>
      <c r="H163" s="1" t="str">
        <f>IF(G163=0,"Válido",IF(AND(ISNUMBER(G163),G163=1,A163&lt;&gt;"",COUNTIF($A$9:$A$3000,A163)=1,COUNTIF('Catalogo CU'!$A$9:$A$500,B163)=1,ISNUMBER(C163),C163&gt;=1,OR(D163="Principal",D163="Alternativo adicional"),E163&lt;&gt;"",F163&lt;&gt;""),"Válido","Revisar transacción"))</f>
        <v>Válido</v>
      </c>
    </row>
    <row r="164" spans="1:8" ht="43.95" customHeight="1">
      <c r="A164" s="1" t="s">
        <v>969</v>
      </c>
      <c r="B164" s="14" t="s">
        <v>221</v>
      </c>
      <c r="C164" s="16">
        <v>2</v>
      </c>
      <c r="D164" s="15" t="s">
        <v>50</v>
      </c>
      <c r="E164" s="15" t="s">
        <v>970</v>
      </c>
      <c r="F164" s="15" t="s">
        <v>971</v>
      </c>
      <c r="G164" s="17">
        <v>1</v>
      </c>
      <c r="H164" s="1" t="str">
        <f>IF(G164=0,"Válido",IF(AND(ISNUMBER(G164),G164=1,A164&lt;&gt;"",COUNTIF($A$9:$A$3000,A164)=1,COUNTIF('Catalogo CU'!$A$9:$A$500,B164)=1,ISNUMBER(C164),C164&gt;=1,OR(D164="Principal",D164="Alternativo adicional"),E164&lt;&gt;"",F164&lt;&gt;""),"Válido","Revisar transacción"))</f>
        <v>Válido</v>
      </c>
    </row>
    <row r="165" spans="1:8" ht="43.95" customHeight="1">
      <c r="A165" s="1" t="s">
        <v>972</v>
      </c>
      <c r="B165" s="14" t="s">
        <v>221</v>
      </c>
      <c r="C165" s="16">
        <v>3</v>
      </c>
      <c r="D165" s="15" t="s">
        <v>50</v>
      </c>
      <c r="E165" s="15" t="s">
        <v>973</v>
      </c>
      <c r="F165" s="15" t="s">
        <v>974</v>
      </c>
      <c r="G165" s="17">
        <v>1</v>
      </c>
      <c r="H165" s="1" t="str">
        <f>IF(G165=0,"Válido",IF(AND(ISNUMBER(G165),G165=1,A165&lt;&gt;"",COUNTIF($A$9:$A$3000,A165)=1,COUNTIF('Catalogo CU'!$A$9:$A$500,B165)=1,ISNUMBER(C165),C165&gt;=1,OR(D165="Principal",D165="Alternativo adicional"),E165&lt;&gt;"",F165&lt;&gt;""),"Válido","Revisar transacción"))</f>
        <v>Válido</v>
      </c>
    </row>
    <row r="166" spans="1:8" ht="43.95" customHeight="1">
      <c r="A166" s="1" t="s">
        <v>975</v>
      </c>
      <c r="B166" s="14" t="s">
        <v>221</v>
      </c>
      <c r="C166" s="16">
        <v>4</v>
      </c>
      <c r="D166" s="15" t="s">
        <v>50</v>
      </c>
      <c r="E166" s="15" t="s">
        <v>976</v>
      </c>
      <c r="F166" s="15" t="s">
        <v>977</v>
      </c>
      <c r="G166" s="17">
        <v>1</v>
      </c>
      <c r="H166" s="1" t="str">
        <f>IF(G166=0,"Válido",IF(AND(ISNUMBER(G166),G166=1,A166&lt;&gt;"",COUNTIF($A$9:$A$3000,A166)=1,COUNTIF('Catalogo CU'!$A$9:$A$500,B166)=1,ISNUMBER(C166),C166&gt;=1,OR(D166="Principal",D166="Alternativo adicional"),E166&lt;&gt;"",F166&lt;&gt;""),"Válido","Revisar transacción"))</f>
        <v>Válido</v>
      </c>
    </row>
    <row r="167" spans="1:8" ht="43.95" customHeight="1">
      <c r="A167" s="1" t="s">
        <v>978</v>
      </c>
      <c r="B167" s="14" t="s">
        <v>224</v>
      </c>
      <c r="C167" s="16">
        <v>1</v>
      </c>
      <c r="D167" s="15" t="s">
        <v>50</v>
      </c>
      <c r="E167" s="15" t="s">
        <v>979</v>
      </c>
      <c r="F167" s="15" t="s">
        <v>980</v>
      </c>
      <c r="G167" s="17">
        <v>1</v>
      </c>
      <c r="H167" s="1" t="str">
        <f>IF(G167=0,"Válido",IF(AND(ISNUMBER(G167),G167=1,A167&lt;&gt;"",COUNTIF($A$9:$A$3000,A167)=1,COUNTIF('Catalogo CU'!$A$9:$A$500,B167)=1,ISNUMBER(C167),C167&gt;=1,OR(D167="Principal",D167="Alternativo adicional"),E167&lt;&gt;"",F167&lt;&gt;""),"Válido","Revisar transacción"))</f>
        <v>Válido</v>
      </c>
    </row>
    <row r="168" spans="1:8" ht="43.95" customHeight="1">
      <c r="A168" s="1" t="s">
        <v>981</v>
      </c>
      <c r="B168" s="14" t="s">
        <v>224</v>
      </c>
      <c r="C168" s="16">
        <v>2</v>
      </c>
      <c r="D168" s="15" t="s">
        <v>50</v>
      </c>
      <c r="E168" s="15" t="s">
        <v>982</v>
      </c>
      <c r="F168" s="15" t="s">
        <v>983</v>
      </c>
      <c r="G168" s="17">
        <v>1</v>
      </c>
      <c r="H168" s="1" t="str">
        <f>IF(G168=0,"Válido",IF(AND(ISNUMBER(G168),G168=1,A168&lt;&gt;"",COUNTIF($A$9:$A$3000,A168)=1,COUNTIF('Catalogo CU'!$A$9:$A$500,B168)=1,ISNUMBER(C168),C168&gt;=1,OR(D168="Principal",D168="Alternativo adicional"),E168&lt;&gt;"",F168&lt;&gt;""),"Válido","Revisar transacción"))</f>
        <v>Válido</v>
      </c>
    </row>
    <row r="169" spans="1:8" ht="43.95" customHeight="1">
      <c r="A169" s="1" t="s">
        <v>984</v>
      </c>
      <c r="B169" s="14" t="s">
        <v>224</v>
      </c>
      <c r="C169" s="16">
        <v>3</v>
      </c>
      <c r="D169" s="15" t="s">
        <v>50</v>
      </c>
      <c r="E169" s="15" t="s">
        <v>985</v>
      </c>
      <c r="F169" s="15" t="s">
        <v>986</v>
      </c>
      <c r="G169" s="17">
        <v>1</v>
      </c>
      <c r="H169" s="1" t="str">
        <f>IF(G169=0,"Válido",IF(AND(ISNUMBER(G169),G169=1,A169&lt;&gt;"",COUNTIF($A$9:$A$3000,A169)=1,COUNTIF('Catalogo CU'!$A$9:$A$500,B169)=1,ISNUMBER(C169),C169&gt;=1,OR(D169="Principal",D169="Alternativo adicional"),E169&lt;&gt;"",F169&lt;&gt;""),"Válido","Revisar transacción"))</f>
        <v>Válido</v>
      </c>
    </row>
    <row r="170" spans="1:8" ht="43.95" customHeight="1">
      <c r="A170" s="1" t="s">
        <v>987</v>
      </c>
      <c r="B170" s="14" t="s">
        <v>228</v>
      </c>
      <c r="C170" s="16">
        <v>1</v>
      </c>
      <c r="D170" s="15" t="s">
        <v>50</v>
      </c>
      <c r="E170" s="15" t="s">
        <v>988</v>
      </c>
      <c r="F170" s="15" t="s">
        <v>989</v>
      </c>
      <c r="G170" s="17">
        <v>1</v>
      </c>
      <c r="H170" s="1" t="str">
        <f>IF(G170=0,"Válido",IF(AND(ISNUMBER(G170),G170=1,A170&lt;&gt;"",COUNTIF($A$9:$A$3000,A170)=1,COUNTIF('Catalogo CU'!$A$9:$A$500,B170)=1,ISNUMBER(C170),C170&gt;=1,OR(D170="Principal",D170="Alternativo adicional"),E170&lt;&gt;"",F170&lt;&gt;""),"Válido","Revisar transacción"))</f>
        <v>Válido</v>
      </c>
    </row>
    <row r="171" spans="1:8" ht="43.95" customHeight="1">
      <c r="A171" s="1" t="s">
        <v>990</v>
      </c>
      <c r="B171" s="14" t="s">
        <v>228</v>
      </c>
      <c r="C171" s="16">
        <v>2</v>
      </c>
      <c r="D171" s="15" t="s">
        <v>50</v>
      </c>
      <c r="E171" s="15" t="s">
        <v>991</v>
      </c>
      <c r="F171" s="15" t="s">
        <v>992</v>
      </c>
      <c r="G171" s="17">
        <v>1</v>
      </c>
      <c r="H171" s="1" t="str">
        <f>IF(G171=0,"Válido",IF(AND(ISNUMBER(G171),G171=1,A171&lt;&gt;"",COUNTIF($A$9:$A$3000,A171)=1,COUNTIF('Catalogo CU'!$A$9:$A$500,B171)=1,ISNUMBER(C171),C171&gt;=1,OR(D171="Principal",D171="Alternativo adicional"),E171&lt;&gt;"",F171&lt;&gt;""),"Válido","Revisar transacción"))</f>
        <v>Válido</v>
      </c>
    </row>
    <row r="172" spans="1:8" ht="43.95" customHeight="1">
      <c r="A172" s="1" t="s">
        <v>993</v>
      </c>
      <c r="B172" s="14" t="s">
        <v>228</v>
      </c>
      <c r="C172" s="16">
        <v>3</v>
      </c>
      <c r="D172" s="15" t="s">
        <v>50</v>
      </c>
      <c r="E172" s="15" t="s">
        <v>994</v>
      </c>
      <c r="F172" s="15" t="s">
        <v>995</v>
      </c>
      <c r="G172" s="17">
        <v>1</v>
      </c>
      <c r="H172" s="1" t="str">
        <f>IF(G172=0,"Válido",IF(AND(ISNUMBER(G172),G172=1,A172&lt;&gt;"",COUNTIF($A$9:$A$3000,A172)=1,COUNTIF('Catalogo CU'!$A$9:$A$500,B172)=1,ISNUMBER(C172),C172&gt;=1,OR(D172="Principal",D172="Alternativo adicional"),E172&lt;&gt;"",F172&lt;&gt;""),"Válido","Revisar transacción"))</f>
        <v>Válido</v>
      </c>
    </row>
    <row r="173" spans="1:8" ht="43.95" customHeight="1">
      <c r="A173" s="1" t="s">
        <v>996</v>
      </c>
      <c r="B173" s="14" t="s">
        <v>228</v>
      </c>
      <c r="C173" s="16">
        <v>4</v>
      </c>
      <c r="D173" s="15" t="s">
        <v>50</v>
      </c>
      <c r="E173" s="15" t="s">
        <v>997</v>
      </c>
      <c r="F173" s="15" t="s">
        <v>998</v>
      </c>
      <c r="G173" s="17">
        <v>1</v>
      </c>
      <c r="H173" s="1" t="str">
        <f>IF(G173=0,"Válido",IF(AND(ISNUMBER(G173),G173=1,A173&lt;&gt;"",COUNTIF($A$9:$A$3000,A173)=1,COUNTIF('Catalogo CU'!$A$9:$A$500,B173)=1,ISNUMBER(C173),C173&gt;=1,OR(D173="Principal",D173="Alternativo adicional"),E173&lt;&gt;"",F173&lt;&gt;""),"Válido","Revisar transacción"))</f>
        <v>Válido</v>
      </c>
    </row>
    <row r="174" spans="1:8" ht="43.95" customHeight="1">
      <c r="A174" s="1" t="s">
        <v>999</v>
      </c>
      <c r="B174" s="14" t="s">
        <v>233</v>
      </c>
      <c r="C174" s="16">
        <v>1</v>
      </c>
      <c r="D174" s="15" t="s">
        <v>50</v>
      </c>
      <c r="E174" s="15" t="s">
        <v>1000</v>
      </c>
      <c r="F174" s="15" t="s">
        <v>1001</v>
      </c>
      <c r="G174" s="17">
        <v>1</v>
      </c>
      <c r="H174" s="1" t="str">
        <f>IF(G174=0,"Válido",IF(AND(ISNUMBER(G174),G174=1,A174&lt;&gt;"",COUNTIF($A$9:$A$3000,A174)=1,COUNTIF('Catalogo CU'!$A$9:$A$500,B174)=1,ISNUMBER(C174),C174&gt;=1,OR(D174="Principal",D174="Alternativo adicional"),E174&lt;&gt;"",F174&lt;&gt;""),"Válido","Revisar transacción"))</f>
        <v>Válido</v>
      </c>
    </row>
    <row r="175" spans="1:8" ht="43.95" customHeight="1">
      <c r="A175" s="1" t="s">
        <v>1002</v>
      </c>
      <c r="B175" s="14" t="s">
        <v>233</v>
      </c>
      <c r="C175" s="16">
        <v>2</v>
      </c>
      <c r="D175" s="15" t="s">
        <v>50</v>
      </c>
      <c r="E175" s="15" t="s">
        <v>1003</v>
      </c>
      <c r="F175" s="15" t="s">
        <v>1004</v>
      </c>
      <c r="G175" s="17">
        <v>1</v>
      </c>
      <c r="H175" s="1" t="str">
        <f>IF(G175=0,"Válido",IF(AND(ISNUMBER(G175),G175=1,A175&lt;&gt;"",COUNTIF($A$9:$A$3000,A175)=1,COUNTIF('Catalogo CU'!$A$9:$A$500,B175)=1,ISNUMBER(C175),C175&gt;=1,OR(D175="Principal",D175="Alternativo adicional"),E175&lt;&gt;"",F175&lt;&gt;""),"Válido","Revisar transacción"))</f>
        <v>Válido</v>
      </c>
    </row>
    <row r="176" spans="1:8" ht="43.95" customHeight="1">
      <c r="A176" s="1" t="s">
        <v>1005</v>
      </c>
      <c r="B176" s="14" t="s">
        <v>233</v>
      </c>
      <c r="C176" s="16">
        <v>3</v>
      </c>
      <c r="D176" s="15" t="s">
        <v>50</v>
      </c>
      <c r="E176" s="15" t="s">
        <v>1006</v>
      </c>
      <c r="F176" s="15" t="s">
        <v>1007</v>
      </c>
      <c r="G176" s="17">
        <v>1</v>
      </c>
      <c r="H176" s="1" t="str">
        <f>IF(G176=0,"Válido",IF(AND(ISNUMBER(G176),G176=1,A176&lt;&gt;"",COUNTIF($A$9:$A$3000,A176)=1,COUNTIF('Catalogo CU'!$A$9:$A$500,B176)=1,ISNUMBER(C176),C176&gt;=1,OR(D176="Principal",D176="Alternativo adicional"),E176&lt;&gt;"",F176&lt;&gt;""),"Válido","Revisar transacción"))</f>
        <v>Válido</v>
      </c>
    </row>
    <row r="177" spans="1:8" ht="43.95" customHeight="1">
      <c r="A177" s="1" t="s">
        <v>1008</v>
      </c>
      <c r="B177" s="14" t="s">
        <v>233</v>
      </c>
      <c r="C177" s="16">
        <v>4</v>
      </c>
      <c r="D177" s="15" t="s">
        <v>50</v>
      </c>
      <c r="E177" s="15" t="s">
        <v>1009</v>
      </c>
      <c r="F177" s="15" t="s">
        <v>1010</v>
      </c>
      <c r="G177" s="17">
        <v>1</v>
      </c>
      <c r="H177" s="1" t="str">
        <f>IF(G177=0,"Válido",IF(AND(ISNUMBER(G177),G177=1,A177&lt;&gt;"",COUNTIF($A$9:$A$3000,A177)=1,COUNTIF('Catalogo CU'!$A$9:$A$500,B177)=1,ISNUMBER(C177),C177&gt;=1,OR(D177="Principal",D177="Alternativo adicional"),E177&lt;&gt;"",F177&lt;&gt;""),"Válido","Revisar transacción"))</f>
        <v>Válido</v>
      </c>
    </row>
    <row r="178" spans="1:8" ht="43.95" customHeight="1">
      <c r="A178" s="1" t="s">
        <v>1011</v>
      </c>
      <c r="B178" s="14" t="s">
        <v>233</v>
      </c>
      <c r="C178" s="16">
        <v>5</v>
      </c>
      <c r="D178" s="15" t="s">
        <v>520</v>
      </c>
      <c r="E178" s="15" t="s">
        <v>1012</v>
      </c>
      <c r="F178" s="15" t="s">
        <v>1013</v>
      </c>
      <c r="G178" s="17">
        <v>1</v>
      </c>
      <c r="H178" s="1" t="str">
        <f>IF(G178=0,"Válido",IF(AND(ISNUMBER(G178),G178=1,A178&lt;&gt;"",COUNTIF($A$9:$A$3000,A178)=1,COUNTIF('Catalogo CU'!$A$9:$A$500,B178)=1,ISNUMBER(C178),C178&gt;=1,OR(D178="Principal",D178="Alternativo adicional"),E178&lt;&gt;"",F178&lt;&gt;""),"Válido","Revisar transacción"))</f>
        <v>Válido</v>
      </c>
    </row>
    <row r="179" spans="1:8" ht="43.95" customHeight="1">
      <c r="A179" s="1" t="s">
        <v>1014</v>
      </c>
      <c r="B179" s="14" t="s">
        <v>238</v>
      </c>
      <c r="C179" s="16">
        <v>1</v>
      </c>
      <c r="D179" s="15" t="s">
        <v>50</v>
      </c>
      <c r="E179" s="15" t="s">
        <v>1015</v>
      </c>
      <c r="F179" s="15" t="s">
        <v>1016</v>
      </c>
      <c r="G179" s="17">
        <v>1</v>
      </c>
      <c r="H179" s="1" t="str">
        <f>IF(G179=0,"Válido",IF(AND(ISNUMBER(G179),G179=1,A179&lt;&gt;"",COUNTIF($A$9:$A$3000,A179)=1,COUNTIF('Catalogo CU'!$A$9:$A$500,B179)=1,ISNUMBER(C179),C179&gt;=1,OR(D179="Principal",D179="Alternativo adicional"),E179&lt;&gt;"",F179&lt;&gt;""),"Válido","Revisar transacción"))</f>
        <v>Válido</v>
      </c>
    </row>
    <row r="180" spans="1:8" ht="43.95" customHeight="1">
      <c r="A180" s="1" t="s">
        <v>1017</v>
      </c>
      <c r="B180" s="14" t="s">
        <v>238</v>
      </c>
      <c r="C180" s="16">
        <v>2</v>
      </c>
      <c r="D180" s="15" t="s">
        <v>50</v>
      </c>
      <c r="E180" s="15" t="s">
        <v>1018</v>
      </c>
      <c r="F180" s="15" t="s">
        <v>1019</v>
      </c>
      <c r="G180" s="17">
        <v>1</v>
      </c>
      <c r="H180" s="1" t="str">
        <f>IF(G180=0,"Válido",IF(AND(ISNUMBER(G180),G180=1,A180&lt;&gt;"",COUNTIF($A$9:$A$3000,A180)=1,COUNTIF('Catalogo CU'!$A$9:$A$500,B180)=1,ISNUMBER(C180),C180&gt;=1,OR(D180="Principal",D180="Alternativo adicional"),E180&lt;&gt;"",F180&lt;&gt;""),"Válido","Revisar transacción"))</f>
        <v>Válido</v>
      </c>
    </row>
    <row r="181" spans="1:8" ht="43.95" customHeight="1">
      <c r="A181" s="1" t="s">
        <v>1020</v>
      </c>
      <c r="B181" s="14" t="s">
        <v>238</v>
      </c>
      <c r="C181" s="16">
        <v>3</v>
      </c>
      <c r="D181" s="15" t="s">
        <v>50</v>
      </c>
      <c r="E181" s="15" t="s">
        <v>1021</v>
      </c>
      <c r="F181" s="15" t="s">
        <v>1022</v>
      </c>
      <c r="G181" s="17">
        <v>1</v>
      </c>
      <c r="H181" s="1" t="str">
        <f>IF(G181=0,"Válido",IF(AND(ISNUMBER(G181),G181=1,A181&lt;&gt;"",COUNTIF($A$9:$A$3000,A181)=1,COUNTIF('Catalogo CU'!$A$9:$A$500,B181)=1,ISNUMBER(C181),C181&gt;=1,OR(D181="Principal",D181="Alternativo adicional"),E181&lt;&gt;"",F181&lt;&gt;""),"Válido","Revisar transacción"))</f>
        <v>Válido</v>
      </c>
    </row>
    <row r="182" spans="1:8" ht="43.95" customHeight="1">
      <c r="A182" s="1" t="s">
        <v>1023</v>
      </c>
      <c r="B182" s="14" t="s">
        <v>238</v>
      </c>
      <c r="C182" s="16">
        <v>4</v>
      </c>
      <c r="D182" s="15" t="s">
        <v>50</v>
      </c>
      <c r="E182" s="15" t="s">
        <v>1024</v>
      </c>
      <c r="F182" s="15" t="s">
        <v>1025</v>
      </c>
      <c r="G182" s="17">
        <v>1</v>
      </c>
      <c r="H182" s="1" t="str">
        <f>IF(G182=0,"Válido",IF(AND(ISNUMBER(G182),G182=1,A182&lt;&gt;"",COUNTIF($A$9:$A$3000,A182)=1,COUNTIF('Catalogo CU'!$A$9:$A$500,B182)=1,ISNUMBER(C182),C182&gt;=1,OR(D182="Principal",D182="Alternativo adicional"),E182&lt;&gt;"",F182&lt;&gt;""),"Válido","Revisar transacción"))</f>
        <v>Válido</v>
      </c>
    </row>
    <row r="183" spans="1:8" ht="43.95" customHeight="1">
      <c r="A183" s="1" t="s">
        <v>1026</v>
      </c>
      <c r="B183" s="14" t="s">
        <v>243</v>
      </c>
      <c r="C183" s="16">
        <v>1</v>
      </c>
      <c r="D183" s="15" t="s">
        <v>50</v>
      </c>
      <c r="E183" s="15" t="s">
        <v>1027</v>
      </c>
      <c r="F183" s="15" t="s">
        <v>1028</v>
      </c>
      <c r="G183" s="17">
        <v>1</v>
      </c>
      <c r="H183" s="1" t="str">
        <f>IF(G183=0,"Válido",IF(AND(ISNUMBER(G183),G183=1,A183&lt;&gt;"",COUNTIF($A$9:$A$3000,A183)=1,COUNTIF('Catalogo CU'!$A$9:$A$500,B183)=1,ISNUMBER(C183),C183&gt;=1,OR(D183="Principal",D183="Alternativo adicional"),E183&lt;&gt;"",F183&lt;&gt;""),"Válido","Revisar transacción"))</f>
        <v>Válido</v>
      </c>
    </row>
    <row r="184" spans="1:8" ht="43.95" customHeight="1">
      <c r="A184" s="1" t="s">
        <v>1029</v>
      </c>
      <c r="B184" s="14" t="s">
        <v>243</v>
      </c>
      <c r="C184" s="16">
        <v>2</v>
      </c>
      <c r="D184" s="15" t="s">
        <v>50</v>
      </c>
      <c r="E184" s="15" t="s">
        <v>1030</v>
      </c>
      <c r="F184" s="15" t="s">
        <v>1031</v>
      </c>
      <c r="G184" s="17">
        <v>1</v>
      </c>
      <c r="H184" s="1" t="str">
        <f>IF(G184=0,"Válido",IF(AND(ISNUMBER(G184),G184=1,A184&lt;&gt;"",COUNTIF($A$9:$A$3000,A184)=1,COUNTIF('Catalogo CU'!$A$9:$A$500,B184)=1,ISNUMBER(C184),C184&gt;=1,OR(D184="Principal",D184="Alternativo adicional"),E184&lt;&gt;"",F184&lt;&gt;""),"Válido","Revisar transacción"))</f>
        <v>Válido</v>
      </c>
    </row>
    <row r="185" spans="1:8" ht="43.95" customHeight="1">
      <c r="A185" s="1" t="s">
        <v>1032</v>
      </c>
      <c r="B185" s="14" t="s">
        <v>243</v>
      </c>
      <c r="C185" s="16">
        <v>3</v>
      </c>
      <c r="D185" s="15" t="s">
        <v>50</v>
      </c>
      <c r="E185" s="15" t="s">
        <v>1033</v>
      </c>
      <c r="F185" s="15" t="s">
        <v>1034</v>
      </c>
      <c r="G185" s="17">
        <v>1</v>
      </c>
      <c r="H185" s="1" t="str">
        <f>IF(G185=0,"Válido",IF(AND(ISNUMBER(G185),G185=1,A185&lt;&gt;"",COUNTIF($A$9:$A$3000,A185)=1,COUNTIF('Catalogo CU'!$A$9:$A$500,B185)=1,ISNUMBER(C185),C185&gt;=1,OR(D185="Principal",D185="Alternativo adicional"),E185&lt;&gt;"",F185&lt;&gt;""),"Válido","Revisar transacción"))</f>
        <v>Válido</v>
      </c>
    </row>
    <row r="186" spans="1:8" ht="43.95" customHeight="1">
      <c r="A186" s="1" t="s">
        <v>1035</v>
      </c>
      <c r="B186" s="14" t="s">
        <v>243</v>
      </c>
      <c r="C186" s="16">
        <v>4</v>
      </c>
      <c r="D186" s="15" t="s">
        <v>50</v>
      </c>
      <c r="E186" s="15" t="s">
        <v>1036</v>
      </c>
      <c r="F186" s="15" t="s">
        <v>1037</v>
      </c>
      <c r="G186" s="17">
        <v>1</v>
      </c>
      <c r="H186" s="1" t="str">
        <f>IF(G186=0,"Válido",IF(AND(ISNUMBER(G186),G186=1,A186&lt;&gt;"",COUNTIF($A$9:$A$3000,A186)=1,COUNTIF('Catalogo CU'!$A$9:$A$500,B186)=1,ISNUMBER(C186),C186&gt;=1,OR(D186="Principal",D186="Alternativo adicional"),E186&lt;&gt;"",F186&lt;&gt;""),"Válido","Revisar transacción"))</f>
        <v>Válido</v>
      </c>
    </row>
    <row r="187" spans="1:8" ht="43.95" customHeight="1">
      <c r="A187" s="1" t="s">
        <v>1038</v>
      </c>
      <c r="B187" s="14" t="s">
        <v>248</v>
      </c>
      <c r="C187" s="16">
        <v>1</v>
      </c>
      <c r="D187" s="15" t="s">
        <v>50</v>
      </c>
      <c r="E187" s="15" t="s">
        <v>1039</v>
      </c>
      <c r="F187" s="15" t="s">
        <v>1040</v>
      </c>
      <c r="G187" s="17">
        <v>1</v>
      </c>
      <c r="H187" s="1" t="str">
        <f>IF(G187=0,"Válido",IF(AND(ISNUMBER(G187),G187=1,A187&lt;&gt;"",COUNTIF($A$9:$A$3000,A187)=1,COUNTIF('Catalogo CU'!$A$9:$A$500,B187)=1,ISNUMBER(C187),C187&gt;=1,OR(D187="Principal",D187="Alternativo adicional"),E187&lt;&gt;"",F187&lt;&gt;""),"Válido","Revisar transacción"))</f>
        <v>Válido</v>
      </c>
    </row>
    <row r="188" spans="1:8" ht="43.95" customHeight="1">
      <c r="A188" s="1" t="s">
        <v>1041</v>
      </c>
      <c r="B188" s="14" t="s">
        <v>248</v>
      </c>
      <c r="C188" s="16">
        <v>2</v>
      </c>
      <c r="D188" s="15" t="s">
        <v>50</v>
      </c>
      <c r="E188" s="15" t="s">
        <v>1042</v>
      </c>
      <c r="F188" s="15" t="s">
        <v>1043</v>
      </c>
      <c r="G188" s="17">
        <v>1</v>
      </c>
      <c r="H188" s="1" t="str">
        <f>IF(G188=0,"Válido",IF(AND(ISNUMBER(G188),G188=1,A188&lt;&gt;"",COUNTIF($A$9:$A$3000,A188)=1,COUNTIF('Catalogo CU'!$A$9:$A$500,B188)=1,ISNUMBER(C188),C188&gt;=1,OR(D188="Principal",D188="Alternativo adicional"),E188&lt;&gt;"",F188&lt;&gt;""),"Válido","Revisar transacción"))</f>
        <v>Válido</v>
      </c>
    </row>
    <row r="189" spans="1:8" ht="43.95" customHeight="1">
      <c r="A189" s="1" t="s">
        <v>1044</v>
      </c>
      <c r="B189" s="14" t="s">
        <v>248</v>
      </c>
      <c r="C189" s="16">
        <v>3</v>
      </c>
      <c r="D189" s="15" t="s">
        <v>50</v>
      </c>
      <c r="E189" s="15" t="s">
        <v>1045</v>
      </c>
      <c r="F189" s="15" t="s">
        <v>1046</v>
      </c>
      <c r="G189" s="17">
        <v>1</v>
      </c>
      <c r="H189" s="1" t="str">
        <f>IF(G189=0,"Válido",IF(AND(ISNUMBER(G189),G189=1,A189&lt;&gt;"",COUNTIF($A$9:$A$3000,A189)=1,COUNTIF('Catalogo CU'!$A$9:$A$500,B189)=1,ISNUMBER(C189),C189&gt;=1,OR(D189="Principal",D189="Alternativo adicional"),E189&lt;&gt;"",F189&lt;&gt;""),"Válido","Revisar transacción"))</f>
        <v>Válido</v>
      </c>
    </row>
    <row r="190" spans="1:8" ht="43.95" customHeight="1">
      <c r="A190" s="1" t="s">
        <v>1047</v>
      </c>
      <c r="B190" s="14" t="s">
        <v>248</v>
      </c>
      <c r="C190" s="16">
        <v>4</v>
      </c>
      <c r="D190" s="15" t="s">
        <v>50</v>
      </c>
      <c r="E190" s="15" t="s">
        <v>1048</v>
      </c>
      <c r="F190" s="15" t="s">
        <v>1049</v>
      </c>
      <c r="G190" s="17">
        <v>1</v>
      </c>
      <c r="H190" s="1" t="str">
        <f>IF(G190=0,"Válido",IF(AND(ISNUMBER(G190),G190=1,A190&lt;&gt;"",COUNTIF($A$9:$A$3000,A190)=1,COUNTIF('Catalogo CU'!$A$9:$A$500,B190)=1,ISNUMBER(C190),C190&gt;=1,OR(D190="Principal",D190="Alternativo adicional"),E190&lt;&gt;"",F190&lt;&gt;""),"Válido","Revisar transacción"))</f>
        <v>Válido</v>
      </c>
    </row>
    <row r="191" spans="1:8" ht="43.95" customHeight="1">
      <c r="A191" s="1" t="s">
        <v>1050</v>
      </c>
      <c r="B191" s="14" t="s">
        <v>254</v>
      </c>
      <c r="C191" s="16">
        <v>1</v>
      </c>
      <c r="D191" s="15" t="s">
        <v>50</v>
      </c>
      <c r="E191" s="15" t="s">
        <v>1051</v>
      </c>
      <c r="F191" s="15" t="s">
        <v>1052</v>
      </c>
      <c r="G191" s="17">
        <v>1</v>
      </c>
      <c r="H191" s="1" t="str">
        <f>IF(G191=0,"Válido",IF(AND(ISNUMBER(G191),G191=1,A191&lt;&gt;"",COUNTIF($A$9:$A$3000,A191)=1,COUNTIF('Catalogo CU'!$A$9:$A$500,B191)=1,ISNUMBER(C191),C191&gt;=1,OR(D191="Principal",D191="Alternativo adicional"),E191&lt;&gt;"",F191&lt;&gt;""),"Válido","Revisar transacción"))</f>
        <v>Válido</v>
      </c>
    </row>
    <row r="192" spans="1:8" ht="43.95" customHeight="1">
      <c r="A192" s="1" t="s">
        <v>1053</v>
      </c>
      <c r="B192" s="14" t="s">
        <v>254</v>
      </c>
      <c r="C192" s="16">
        <v>2</v>
      </c>
      <c r="D192" s="15" t="s">
        <v>50</v>
      </c>
      <c r="E192" s="15" t="s">
        <v>1054</v>
      </c>
      <c r="F192" s="15" t="s">
        <v>1055</v>
      </c>
      <c r="G192" s="17">
        <v>1</v>
      </c>
      <c r="H192" s="1" t="str">
        <f>IF(G192=0,"Válido",IF(AND(ISNUMBER(G192),G192=1,A192&lt;&gt;"",COUNTIF($A$9:$A$3000,A192)=1,COUNTIF('Catalogo CU'!$A$9:$A$500,B192)=1,ISNUMBER(C192),C192&gt;=1,OR(D192="Principal",D192="Alternativo adicional"),E192&lt;&gt;"",F192&lt;&gt;""),"Válido","Revisar transacción"))</f>
        <v>Válido</v>
      </c>
    </row>
    <row r="193" spans="1:8" ht="43.95" customHeight="1">
      <c r="A193" s="1" t="s">
        <v>1056</v>
      </c>
      <c r="B193" s="14" t="s">
        <v>254</v>
      </c>
      <c r="C193" s="16">
        <v>3</v>
      </c>
      <c r="D193" s="15" t="s">
        <v>50</v>
      </c>
      <c r="E193" s="15" t="s">
        <v>1057</v>
      </c>
      <c r="F193" s="15" t="s">
        <v>1058</v>
      </c>
      <c r="G193" s="17">
        <v>1</v>
      </c>
      <c r="H193" s="1" t="str">
        <f>IF(G193=0,"Válido",IF(AND(ISNUMBER(G193),G193=1,A193&lt;&gt;"",COUNTIF($A$9:$A$3000,A193)=1,COUNTIF('Catalogo CU'!$A$9:$A$500,B193)=1,ISNUMBER(C193),C193&gt;=1,OR(D193="Principal",D193="Alternativo adicional"),E193&lt;&gt;"",F193&lt;&gt;""),"Válido","Revisar transacción"))</f>
        <v>Válido</v>
      </c>
    </row>
    <row r="194" spans="1:8" ht="43.95" customHeight="1">
      <c r="A194" s="1" t="s">
        <v>1059</v>
      </c>
      <c r="B194" s="14" t="s">
        <v>254</v>
      </c>
      <c r="C194" s="16">
        <v>4</v>
      </c>
      <c r="D194" s="15" t="s">
        <v>50</v>
      </c>
      <c r="E194" s="15" t="s">
        <v>1060</v>
      </c>
      <c r="F194" s="15" t="s">
        <v>1061</v>
      </c>
      <c r="G194" s="17">
        <v>1</v>
      </c>
      <c r="H194" s="1" t="str">
        <f>IF(G194=0,"Válido",IF(AND(ISNUMBER(G194),G194=1,A194&lt;&gt;"",COUNTIF($A$9:$A$3000,A194)=1,COUNTIF('Catalogo CU'!$A$9:$A$500,B194)=1,ISNUMBER(C194),C194&gt;=1,OR(D194="Principal",D194="Alternativo adicional"),E194&lt;&gt;"",F194&lt;&gt;""),"Válido","Revisar transacción"))</f>
        <v>Válido</v>
      </c>
    </row>
    <row r="195" spans="1:8" ht="43.95" customHeight="1">
      <c r="A195" s="1" t="s">
        <v>1062</v>
      </c>
      <c r="B195" s="14" t="s">
        <v>254</v>
      </c>
      <c r="C195" s="16">
        <v>5</v>
      </c>
      <c r="D195" s="15" t="s">
        <v>50</v>
      </c>
      <c r="E195" s="15" t="s">
        <v>1063</v>
      </c>
      <c r="F195" s="15" t="s">
        <v>1064</v>
      </c>
      <c r="G195" s="17">
        <v>1</v>
      </c>
      <c r="H195" s="1" t="str">
        <f>IF(G195=0,"Válido",IF(AND(ISNUMBER(G195),G195=1,A195&lt;&gt;"",COUNTIF($A$9:$A$3000,A195)=1,COUNTIF('Catalogo CU'!$A$9:$A$500,B195)=1,ISNUMBER(C195),C195&gt;=1,OR(D195="Principal",D195="Alternativo adicional"),E195&lt;&gt;"",F195&lt;&gt;""),"Válido","Revisar transacción"))</f>
        <v>Válido</v>
      </c>
    </row>
    <row r="196" spans="1:8" ht="43.95" customHeight="1">
      <c r="A196" s="1" t="s">
        <v>1065</v>
      </c>
      <c r="B196" s="14" t="s">
        <v>254</v>
      </c>
      <c r="C196" s="16">
        <v>6</v>
      </c>
      <c r="D196" s="15" t="s">
        <v>50</v>
      </c>
      <c r="E196" s="15" t="s">
        <v>1066</v>
      </c>
      <c r="F196" s="15" t="s">
        <v>1067</v>
      </c>
      <c r="G196" s="17">
        <v>1</v>
      </c>
      <c r="H196" s="1" t="str">
        <f>IF(G196=0,"Válido",IF(AND(ISNUMBER(G196),G196=1,A196&lt;&gt;"",COUNTIF($A$9:$A$3000,A196)=1,COUNTIF('Catalogo CU'!$A$9:$A$500,B196)=1,ISNUMBER(C196),C196&gt;=1,OR(D196="Principal",D196="Alternativo adicional"),E196&lt;&gt;"",F196&lt;&gt;""),"Válido","Revisar transacción"))</f>
        <v>Válido</v>
      </c>
    </row>
    <row r="197" spans="1:8" ht="43.95" customHeight="1">
      <c r="A197" s="1" t="s">
        <v>1068</v>
      </c>
      <c r="B197" s="14" t="s">
        <v>259</v>
      </c>
      <c r="C197" s="16">
        <v>1</v>
      </c>
      <c r="D197" s="15" t="s">
        <v>50</v>
      </c>
      <c r="E197" s="15" t="s">
        <v>1069</v>
      </c>
      <c r="F197" s="15" t="s">
        <v>1070</v>
      </c>
      <c r="G197" s="17">
        <v>1</v>
      </c>
      <c r="H197" s="1" t="str">
        <f>IF(G197=0,"Válido",IF(AND(ISNUMBER(G197),G197=1,A197&lt;&gt;"",COUNTIF($A$9:$A$3000,A197)=1,COUNTIF('Catalogo CU'!$A$9:$A$500,B197)=1,ISNUMBER(C197),C197&gt;=1,OR(D197="Principal",D197="Alternativo adicional"),E197&lt;&gt;"",F197&lt;&gt;""),"Válido","Revisar transacción"))</f>
        <v>Válido</v>
      </c>
    </row>
    <row r="198" spans="1:8" ht="43.95" customHeight="1">
      <c r="A198" s="1" t="s">
        <v>1071</v>
      </c>
      <c r="B198" s="14" t="s">
        <v>264</v>
      </c>
      <c r="C198" s="16">
        <v>1</v>
      </c>
      <c r="D198" s="15" t="s">
        <v>50</v>
      </c>
      <c r="E198" s="15" t="s">
        <v>1072</v>
      </c>
      <c r="F198" s="15" t="s">
        <v>1073</v>
      </c>
      <c r="G198" s="17">
        <v>1</v>
      </c>
      <c r="H198" s="1" t="str">
        <f>IF(G198=0,"Válido",IF(AND(ISNUMBER(G198),G198=1,A198&lt;&gt;"",COUNTIF($A$9:$A$3000,A198)=1,COUNTIF('Catalogo CU'!$A$9:$A$500,B198)=1,ISNUMBER(C198),C198&gt;=1,OR(D198="Principal",D198="Alternativo adicional"),E198&lt;&gt;"",F198&lt;&gt;""),"Válido","Revisar transacción"))</f>
        <v>Válido</v>
      </c>
    </row>
    <row r="199" spans="1:8" ht="43.95" customHeight="1">
      <c r="A199" s="1" t="s">
        <v>1074</v>
      </c>
      <c r="B199" s="14" t="s">
        <v>264</v>
      </c>
      <c r="C199" s="16">
        <v>2</v>
      </c>
      <c r="D199" s="15" t="s">
        <v>50</v>
      </c>
      <c r="E199" s="15" t="s">
        <v>1075</v>
      </c>
      <c r="F199" s="15" t="s">
        <v>1076</v>
      </c>
      <c r="G199" s="17">
        <v>1</v>
      </c>
      <c r="H199" s="1" t="str">
        <f>IF(G199=0,"Válido",IF(AND(ISNUMBER(G199),G199=1,A199&lt;&gt;"",COUNTIF($A$9:$A$3000,A199)=1,COUNTIF('Catalogo CU'!$A$9:$A$500,B199)=1,ISNUMBER(C199),C199&gt;=1,OR(D199="Principal",D199="Alternativo adicional"),E199&lt;&gt;"",F199&lt;&gt;""),"Válido","Revisar transacción"))</f>
        <v>Válido</v>
      </c>
    </row>
    <row r="200" spans="1:8" ht="43.95" customHeight="1">
      <c r="A200" s="1" t="s">
        <v>1077</v>
      </c>
      <c r="B200" s="14" t="s">
        <v>264</v>
      </c>
      <c r="C200" s="16">
        <v>3</v>
      </c>
      <c r="D200" s="15" t="s">
        <v>50</v>
      </c>
      <c r="E200" s="15" t="s">
        <v>1078</v>
      </c>
      <c r="F200" s="15" t="s">
        <v>1079</v>
      </c>
      <c r="G200" s="17">
        <v>1</v>
      </c>
      <c r="H200" s="1" t="str">
        <f>IF(G200=0,"Válido",IF(AND(ISNUMBER(G200),G200=1,A200&lt;&gt;"",COUNTIF($A$9:$A$3000,A200)=1,COUNTIF('Catalogo CU'!$A$9:$A$500,B200)=1,ISNUMBER(C200),C200&gt;=1,OR(D200="Principal",D200="Alternativo adicional"),E200&lt;&gt;"",F200&lt;&gt;""),"Válido","Revisar transacción"))</f>
        <v>Válido</v>
      </c>
    </row>
    <row r="201" spans="1:8" ht="43.95" customHeight="1">
      <c r="A201" s="1" t="s">
        <v>1080</v>
      </c>
      <c r="B201" s="14" t="s">
        <v>264</v>
      </c>
      <c r="C201" s="16">
        <v>4</v>
      </c>
      <c r="D201" s="15" t="s">
        <v>50</v>
      </c>
      <c r="E201" s="15" t="s">
        <v>1081</v>
      </c>
      <c r="F201" s="15" t="s">
        <v>1082</v>
      </c>
      <c r="G201" s="17">
        <v>1</v>
      </c>
      <c r="H201" s="1" t="str">
        <f>IF(G201=0,"Válido",IF(AND(ISNUMBER(G201),G201=1,A201&lt;&gt;"",COUNTIF($A$9:$A$3000,A201)=1,COUNTIF('Catalogo CU'!$A$9:$A$500,B201)=1,ISNUMBER(C201),C201&gt;=1,OR(D201="Principal",D201="Alternativo adicional"),E201&lt;&gt;"",F201&lt;&gt;""),"Válido","Revisar transacción"))</f>
        <v>Válido</v>
      </c>
    </row>
    <row r="202" spans="1:8" ht="43.95" customHeight="1">
      <c r="A202" s="1" t="s">
        <v>1083</v>
      </c>
      <c r="B202" s="14" t="s">
        <v>264</v>
      </c>
      <c r="C202" s="16">
        <v>5</v>
      </c>
      <c r="D202" s="15" t="s">
        <v>50</v>
      </c>
      <c r="E202" s="15" t="s">
        <v>1084</v>
      </c>
      <c r="F202" s="15" t="s">
        <v>1085</v>
      </c>
      <c r="G202" s="17">
        <v>1</v>
      </c>
      <c r="H202" s="1" t="str">
        <f>IF(G202=0,"Válido",IF(AND(ISNUMBER(G202),G202=1,A202&lt;&gt;"",COUNTIF($A$9:$A$3000,A202)=1,COUNTIF('Catalogo CU'!$A$9:$A$500,B202)=1,ISNUMBER(C202),C202&gt;=1,OR(D202="Principal",D202="Alternativo adicional"),E202&lt;&gt;"",F202&lt;&gt;""),"Válido","Revisar transacción"))</f>
        <v>Válido</v>
      </c>
    </row>
    <row r="203" spans="1:8" ht="43.95" customHeight="1">
      <c r="A203" s="1" t="s">
        <v>1086</v>
      </c>
      <c r="B203" s="14" t="s">
        <v>264</v>
      </c>
      <c r="C203" s="16">
        <v>6</v>
      </c>
      <c r="D203" s="15" t="s">
        <v>50</v>
      </c>
      <c r="E203" s="15" t="s">
        <v>1087</v>
      </c>
      <c r="F203" s="15" t="s">
        <v>1088</v>
      </c>
      <c r="G203" s="17">
        <v>1</v>
      </c>
      <c r="H203" s="1" t="str">
        <f>IF(G203=0,"Válido",IF(AND(ISNUMBER(G203),G203=1,A203&lt;&gt;"",COUNTIF($A$9:$A$3000,A203)=1,COUNTIF('Catalogo CU'!$A$9:$A$500,B203)=1,ISNUMBER(C203),C203&gt;=1,OR(D203="Principal",D203="Alternativo adicional"),E203&lt;&gt;"",F203&lt;&gt;""),"Válido","Revisar transacción"))</f>
        <v>Válido</v>
      </c>
    </row>
    <row r="204" spans="1:8" ht="43.95" customHeight="1">
      <c r="A204" s="1" t="s">
        <v>1089</v>
      </c>
      <c r="B204" s="14" t="s">
        <v>268</v>
      </c>
      <c r="C204" s="16">
        <v>1</v>
      </c>
      <c r="D204" s="15" t="s">
        <v>50</v>
      </c>
      <c r="E204" s="15" t="s">
        <v>1090</v>
      </c>
      <c r="F204" s="15" t="s">
        <v>1091</v>
      </c>
      <c r="G204" s="17">
        <v>1</v>
      </c>
      <c r="H204" s="1" t="str">
        <f>IF(G204=0,"Válido",IF(AND(ISNUMBER(G204),G204=1,A204&lt;&gt;"",COUNTIF($A$9:$A$3000,A204)=1,COUNTIF('Catalogo CU'!$A$9:$A$500,B204)=1,ISNUMBER(C204),C204&gt;=1,OR(D204="Principal",D204="Alternativo adicional"),E204&lt;&gt;"",F204&lt;&gt;""),"Válido","Revisar transacción"))</f>
        <v>Válido</v>
      </c>
    </row>
    <row r="205" spans="1:8" ht="43.95" customHeight="1">
      <c r="A205" s="1" t="s">
        <v>1092</v>
      </c>
      <c r="B205" s="14" t="s">
        <v>268</v>
      </c>
      <c r="C205" s="16">
        <v>2</v>
      </c>
      <c r="D205" s="15" t="s">
        <v>50</v>
      </c>
      <c r="E205" s="15" t="s">
        <v>1093</v>
      </c>
      <c r="F205" s="15" t="s">
        <v>1094</v>
      </c>
      <c r="G205" s="17">
        <v>1</v>
      </c>
      <c r="H205" s="1" t="str">
        <f>IF(G205=0,"Válido",IF(AND(ISNUMBER(G205),G205=1,A205&lt;&gt;"",COUNTIF($A$9:$A$3000,A205)=1,COUNTIF('Catalogo CU'!$A$9:$A$500,B205)=1,ISNUMBER(C205),C205&gt;=1,OR(D205="Principal",D205="Alternativo adicional"),E205&lt;&gt;"",F205&lt;&gt;""),"Válido","Revisar transacción"))</f>
        <v>Válido</v>
      </c>
    </row>
    <row r="206" spans="1:8" ht="43.95" customHeight="1">
      <c r="A206" s="1" t="s">
        <v>1095</v>
      </c>
      <c r="B206" s="14" t="s">
        <v>268</v>
      </c>
      <c r="C206" s="16">
        <v>3</v>
      </c>
      <c r="D206" s="15" t="s">
        <v>50</v>
      </c>
      <c r="E206" s="15" t="s">
        <v>1096</v>
      </c>
      <c r="F206" s="15" t="s">
        <v>1097</v>
      </c>
      <c r="G206" s="17">
        <v>1</v>
      </c>
      <c r="H206" s="1" t="str">
        <f>IF(G206=0,"Válido",IF(AND(ISNUMBER(G206),G206=1,A206&lt;&gt;"",COUNTIF($A$9:$A$3000,A206)=1,COUNTIF('Catalogo CU'!$A$9:$A$500,B206)=1,ISNUMBER(C206),C206&gt;=1,OR(D206="Principal",D206="Alternativo adicional"),E206&lt;&gt;"",F206&lt;&gt;""),"Válido","Revisar transacción"))</f>
        <v>Válido</v>
      </c>
    </row>
    <row r="207" spans="1:8" ht="43.95" customHeight="1">
      <c r="A207" s="1" t="s">
        <v>1098</v>
      </c>
      <c r="B207" s="14" t="s">
        <v>268</v>
      </c>
      <c r="C207" s="16">
        <v>4</v>
      </c>
      <c r="D207" s="15" t="s">
        <v>50</v>
      </c>
      <c r="E207" s="15" t="s">
        <v>1099</v>
      </c>
      <c r="F207" s="15" t="s">
        <v>1100</v>
      </c>
      <c r="G207" s="17">
        <v>1</v>
      </c>
      <c r="H207" s="1" t="str">
        <f>IF(G207=0,"Válido",IF(AND(ISNUMBER(G207),G207=1,A207&lt;&gt;"",COUNTIF($A$9:$A$3000,A207)=1,COUNTIF('Catalogo CU'!$A$9:$A$500,B207)=1,ISNUMBER(C207),C207&gt;=1,OR(D207="Principal",D207="Alternativo adicional"),E207&lt;&gt;"",F207&lt;&gt;""),"Válido","Revisar transacción"))</f>
        <v>Válido</v>
      </c>
    </row>
    <row r="208" spans="1:8" ht="43.95" customHeight="1">
      <c r="A208" s="1" t="s">
        <v>1101</v>
      </c>
      <c r="B208" s="14" t="s">
        <v>268</v>
      </c>
      <c r="C208" s="16">
        <v>5</v>
      </c>
      <c r="D208" s="15" t="s">
        <v>520</v>
      </c>
      <c r="E208" s="15" t="s">
        <v>1102</v>
      </c>
      <c r="F208" s="15" t="s">
        <v>1103</v>
      </c>
      <c r="G208" s="17">
        <v>1</v>
      </c>
      <c r="H208" s="1" t="str">
        <f>IF(G208=0,"Válido",IF(AND(ISNUMBER(G208),G208=1,A208&lt;&gt;"",COUNTIF($A$9:$A$3000,A208)=1,COUNTIF('Catalogo CU'!$A$9:$A$500,B208)=1,ISNUMBER(C208),C208&gt;=1,OR(D208="Principal",D208="Alternativo adicional"),E208&lt;&gt;"",F208&lt;&gt;""),"Válido","Revisar transacción"))</f>
        <v>Válido</v>
      </c>
    </row>
    <row r="209" spans="1:8" ht="43.95" customHeight="1">
      <c r="A209" s="1" t="s">
        <v>1104</v>
      </c>
      <c r="B209" s="14" t="s">
        <v>273</v>
      </c>
      <c r="C209" s="16">
        <v>1</v>
      </c>
      <c r="D209" s="15" t="s">
        <v>50</v>
      </c>
      <c r="E209" s="15" t="s">
        <v>1105</v>
      </c>
      <c r="F209" s="15" t="s">
        <v>1106</v>
      </c>
      <c r="G209" s="17">
        <v>1</v>
      </c>
      <c r="H209" s="1" t="str">
        <f>IF(G209=0,"Válido",IF(AND(ISNUMBER(G209),G209=1,A209&lt;&gt;"",COUNTIF($A$9:$A$3000,A209)=1,COUNTIF('Catalogo CU'!$A$9:$A$500,B209)=1,ISNUMBER(C209),C209&gt;=1,OR(D209="Principal",D209="Alternativo adicional"),E209&lt;&gt;"",F209&lt;&gt;""),"Válido","Revisar transacción"))</f>
        <v>Válido</v>
      </c>
    </row>
    <row r="210" spans="1:8" ht="43.95" customHeight="1">
      <c r="A210" s="1" t="s">
        <v>1107</v>
      </c>
      <c r="B210" s="14" t="s">
        <v>273</v>
      </c>
      <c r="C210" s="16">
        <v>2</v>
      </c>
      <c r="D210" s="15" t="s">
        <v>50</v>
      </c>
      <c r="E210" s="15" t="s">
        <v>1108</v>
      </c>
      <c r="F210" s="15" t="s">
        <v>1109</v>
      </c>
      <c r="G210" s="17">
        <v>1</v>
      </c>
      <c r="H210" s="1" t="str">
        <f>IF(G210=0,"Válido",IF(AND(ISNUMBER(G210),G210=1,A210&lt;&gt;"",COUNTIF($A$9:$A$3000,A210)=1,COUNTIF('Catalogo CU'!$A$9:$A$500,B210)=1,ISNUMBER(C210),C210&gt;=1,OR(D210="Principal",D210="Alternativo adicional"),E210&lt;&gt;"",F210&lt;&gt;""),"Válido","Revisar transacción"))</f>
        <v>Válido</v>
      </c>
    </row>
    <row r="211" spans="1:8" ht="43.95" customHeight="1">
      <c r="A211" s="1" t="s">
        <v>1110</v>
      </c>
      <c r="B211" s="14" t="s">
        <v>273</v>
      </c>
      <c r="C211" s="16">
        <v>3</v>
      </c>
      <c r="D211" s="15" t="s">
        <v>50</v>
      </c>
      <c r="E211" s="15" t="s">
        <v>1111</v>
      </c>
      <c r="F211" s="15" t="s">
        <v>1112</v>
      </c>
      <c r="G211" s="17">
        <v>1</v>
      </c>
      <c r="H211" s="1" t="str">
        <f>IF(G211=0,"Válido",IF(AND(ISNUMBER(G211),G211=1,A211&lt;&gt;"",COUNTIF($A$9:$A$3000,A211)=1,COUNTIF('Catalogo CU'!$A$9:$A$500,B211)=1,ISNUMBER(C211),C211&gt;=1,OR(D211="Principal",D211="Alternativo adicional"),E211&lt;&gt;"",F211&lt;&gt;""),"Válido","Revisar transacción"))</f>
        <v>Válido</v>
      </c>
    </row>
    <row r="212" spans="1:8" ht="43.95" customHeight="1">
      <c r="A212" s="1" t="s">
        <v>1113</v>
      </c>
      <c r="B212" s="14" t="s">
        <v>273</v>
      </c>
      <c r="C212" s="16">
        <v>4</v>
      </c>
      <c r="D212" s="15" t="s">
        <v>50</v>
      </c>
      <c r="E212" s="15" t="s">
        <v>1114</v>
      </c>
      <c r="F212" s="15" t="s">
        <v>1115</v>
      </c>
      <c r="G212" s="17">
        <v>1</v>
      </c>
      <c r="H212" s="1" t="str">
        <f>IF(G212=0,"Válido",IF(AND(ISNUMBER(G212),G212=1,A212&lt;&gt;"",COUNTIF($A$9:$A$3000,A212)=1,COUNTIF('Catalogo CU'!$A$9:$A$500,B212)=1,ISNUMBER(C212),C212&gt;=1,OR(D212="Principal",D212="Alternativo adicional"),E212&lt;&gt;"",F212&lt;&gt;""),"Válido","Revisar transacción"))</f>
        <v>Válido</v>
      </c>
    </row>
    <row r="213" spans="1:8" ht="43.95" customHeight="1">
      <c r="A213" s="1" t="s">
        <v>1116</v>
      </c>
      <c r="B213" s="14" t="s">
        <v>273</v>
      </c>
      <c r="C213" s="16">
        <v>5</v>
      </c>
      <c r="D213" s="15" t="s">
        <v>50</v>
      </c>
      <c r="E213" s="15" t="s">
        <v>1117</v>
      </c>
      <c r="F213" s="15" t="s">
        <v>1118</v>
      </c>
      <c r="G213" s="17">
        <v>1</v>
      </c>
      <c r="H213" s="1" t="str">
        <f>IF(G213=0,"Válido",IF(AND(ISNUMBER(G213),G213=1,A213&lt;&gt;"",COUNTIF($A$9:$A$3000,A213)=1,COUNTIF('Catalogo CU'!$A$9:$A$500,B213)=1,ISNUMBER(C213),C213&gt;=1,OR(D213="Principal",D213="Alternativo adicional"),E213&lt;&gt;"",F213&lt;&gt;""),"Válido","Revisar transacción"))</f>
        <v>Válido</v>
      </c>
    </row>
    <row r="214" spans="1:8" ht="43.95" customHeight="1">
      <c r="A214" s="1" t="s">
        <v>1119</v>
      </c>
      <c r="B214" s="14" t="s">
        <v>278</v>
      </c>
      <c r="C214" s="16">
        <v>1</v>
      </c>
      <c r="D214" s="15" t="s">
        <v>50</v>
      </c>
      <c r="E214" s="15" t="s">
        <v>1120</v>
      </c>
      <c r="F214" s="15" t="s">
        <v>1121</v>
      </c>
      <c r="G214" s="17">
        <v>1</v>
      </c>
      <c r="H214" s="1" t="str">
        <f>IF(G214=0,"Válido",IF(AND(ISNUMBER(G214),G214=1,A214&lt;&gt;"",COUNTIF($A$9:$A$3000,A214)=1,COUNTIF('Catalogo CU'!$A$9:$A$500,B214)=1,ISNUMBER(C214),C214&gt;=1,OR(D214="Principal",D214="Alternativo adicional"),E214&lt;&gt;"",F214&lt;&gt;""),"Válido","Revisar transacción"))</f>
        <v>Válido</v>
      </c>
    </row>
    <row r="215" spans="1:8" ht="43.95" customHeight="1">
      <c r="A215" s="1" t="s">
        <v>1122</v>
      </c>
      <c r="B215" s="14" t="s">
        <v>278</v>
      </c>
      <c r="C215" s="16">
        <v>2</v>
      </c>
      <c r="D215" s="15" t="s">
        <v>50</v>
      </c>
      <c r="E215" s="15" t="s">
        <v>1123</v>
      </c>
      <c r="F215" s="15" t="s">
        <v>1124</v>
      </c>
      <c r="G215" s="17">
        <v>1</v>
      </c>
      <c r="H215" s="1" t="str">
        <f>IF(G215=0,"Válido",IF(AND(ISNUMBER(G215),G215=1,A215&lt;&gt;"",COUNTIF($A$9:$A$3000,A215)=1,COUNTIF('Catalogo CU'!$A$9:$A$500,B215)=1,ISNUMBER(C215),C215&gt;=1,OR(D215="Principal",D215="Alternativo adicional"),E215&lt;&gt;"",F215&lt;&gt;""),"Válido","Revisar transacción"))</f>
        <v>Válido</v>
      </c>
    </row>
    <row r="216" spans="1:8" ht="43.95" customHeight="1">
      <c r="A216" s="1" t="s">
        <v>1125</v>
      </c>
      <c r="B216" s="14" t="s">
        <v>278</v>
      </c>
      <c r="C216" s="16">
        <v>3</v>
      </c>
      <c r="D216" s="15" t="s">
        <v>50</v>
      </c>
      <c r="E216" s="15" t="s">
        <v>1126</v>
      </c>
      <c r="F216" s="15" t="s">
        <v>1127</v>
      </c>
      <c r="G216" s="17">
        <v>1</v>
      </c>
      <c r="H216" s="1" t="str">
        <f>IF(G216=0,"Válido",IF(AND(ISNUMBER(G216),G216=1,A216&lt;&gt;"",COUNTIF($A$9:$A$3000,A216)=1,COUNTIF('Catalogo CU'!$A$9:$A$500,B216)=1,ISNUMBER(C216),C216&gt;=1,OR(D216="Principal",D216="Alternativo adicional"),E216&lt;&gt;"",F216&lt;&gt;""),"Válido","Revisar transacción"))</f>
        <v>Válido</v>
      </c>
    </row>
    <row r="217" spans="1:8" ht="43.95" customHeight="1">
      <c r="A217" s="1" t="s">
        <v>1128</v>
      </c>
      <c r="B217" s="14" t="s">
        <v>282</v>
      </c>
      <c r="C217" s="16">
        <v>1</v>
      </c>
      <c r="D217" s="15" t="s">
        <v>50</v>
      </c>
      <c r="E217" s="15" t="s">
        <v>1129</v>
      </c>
      <c r="F217" s="15" t="s">
        <v>1130</v>
      </c>
      <c r="G217" s="17">
        <v>1</v>
      </c>
      <c r="H217" s="1" t="str">
        <f>IF(G217=0,"Válido",IF(AND(ISNUMBER(G217),G217=1,A217&lt;&gt;"",COUNTIF($A$9:$A$3000,A217)=1,COUNTIF('Catalogo CU'!$A$9:$A$500,B217)=1,ISNUMBER(C217),C217&gt;=1,OR(D217="Principal",D217="Alternativo adicional"),E217&lt;&gt;"",F217&lt;&gt;""),"Válido","Revisar transacción"))</f>
        <v>Válido</v>
      </c>
    </row>
    <row r="218" spans="1:8" ht="43.95" customHeight="1">
      <c r="A218" s="1" t="s">
        <v>1131</v>
      </c>
      <c r="B218" s="14" t="s">
        <v>282</v>
      </c>
      <c r="C218" s="16">
        <v>2</v>
      </c>
      <c r="D218" s="15" t="s">
        <v>50</v>
      </c>
      <c r="E218" s="15" t="s">
        <v>1132</v>
      </c>
      <c r="F218" s="15" t="s">
        <v>1133</v>
      </c>
      <c r="G218" s="17">
        <v>1</v>
      </c>
      <c r="H218" s="1" t="str">
        <f>IF(G218=0,"Válido",IF(AND(ISNUMBER(G218),G218=1,A218&lt;&gt;"",COUNTIF($A$9:$A$3000,A218)=1,COUNTIF('Catalogo CU'!$A$9:$A$500,B218)=1,ISNUMBER(C218),C218&gt;=1,OR(D218="Principal",D218="Alternativo adicional"),E218&lt;&gt;"",F218&lt;&gt;""),"Válido","Revisar transacción"))</f>
        <v>Válido</v>
      </c>
    </row>
    <row r="219" spans="1:8" ht="43.95" customHeight="1">
      <c r="A219" s="1" t="s">
        <v>1134</v>
      </c>
      <c r="B219" s="14" t="s">
        <v>282</v>
      </c>
      <c r="C219" s="16">
        <v>3</v>
      </c>
      <c r="D219" s="15" t="s">
        <v>50</v>
      </c>
      <c r="E219" s="15" t="s">
        <v>1135</v>
      </c>
      <c r="F219" s="15" t="s">
        <v>1136</v>
      </c>
      <c r="G219" s="17">
        <v>1</v>
      </c>
      <c r="H219" s="1" t="str">
        <f>IF(G219=0,"Válido",IF(AND(ISNUMBER(G219),G219=1,A219&lt;&gt;"",COUNTIF($A$9:$A$3000,A219)=1,COUNTIF('Catalogo CU'!$A$9:$A$500,B219)=1,ISNUMBER(C219),C219&gt;=1,OR(D219="Principal",D219="Alternativo adicional"),E219&lt;&gt;"",F219&lt;&gt;""),"Válido","Revisar transacción"))</f>
        <v>Válido</v>
      </c>
    </row>
    <row r="220" spans="1:8" ht="43.95" customHeight="1">
      <c r="A220" s="1" t="s">
        <v>1137</v>
      </c>
      <c r="B220" s="14" t="s">
        <v>282</v>
      </c>
      <c r="C220" s="16">
        <v>4</v>
      </c>
      <c r="D220" s="15" t="s">
        <v>50</v>
      </c>
      <c r="E220" s="15" t="s">
        <v>1138</v>
      </c>
      <c r="F220" s="15" t="s">
        <v>1139</v>
      </c>
      <c r="G220" s="17">
        <v>1</v>
      </c>
      <c r="H220" s="1" t="str">
        <f>IF(G220=0,"Válido",IF(AND(ISNUMBER(G220),G220=1,A220&lt;&gt;"",COUNTIF($A$9:$A$3000,A220)=1,COUNTIF('Catalogo CU'!$A$9:$A$500,B220)=1,ISNUMBER(C220),C220&gt;=1,OR(D220="Principal",D220="Alternativo adicional"),E220&lt;&gt;"",F220&lt;&gt;""),"Válido","Revisar transacción"))</f>
        <v>Válido</v>
      </c>
    </row>
    <row r="221" spans="1:8" ht="43.95" customHeight="1">
      <c r="A221" s="1" t="s">
        <v>1140</v>
      </c>
      <c r="B221" s="14" t="s">
        <v>288</v>
      </c>
      <c r="C221" s="16">
        <v>1</v>
      </c>
      <c r="D221" s="15" t="s">
        <v>50</v>
      </c>
      <c r="E221" s="15" t="s">
        <v>1141</v>
      </c>
      <c r="F221" s="15" t="s">
        <v>1142</v>
      </c>
      <c r="G221" s="17">
        <v>1</v>
      </c>
      <c r="H221" s="1" t="str">
        <f>IF(G221=0,"Válido",IF(AND(ISNUMBER(G221),G221=1,A221&lt;&gt;"",COUNTIF($A$9:$A$3000,A221)=1,COUNTIF('Catalogo CU'!$A$9:$A$500,B221)=1,ISNUMBER(C221),C221&gt;=1,OR(D221="Principal",D221="Alternativo adicional"),E221&lt;&gt;"",F221&lt;&gt;""),"Válido","Revisar transacción"))</f>
        <v>Válido</v>
      </c>
    </row>
    <row r="222" spans="1:8" ht="43.95" customHeight="1">
      <c r="A222" s="1" t="s">
        <v>1143</v>
      </c>
      <c r="B222" s="14" t="s">
        <v>288</v>
      </c>
      <c r="C222" s="16">
        <v>2</v>
      </c>
      <c r="D222" s="15" t="s">
        <v>50</v>
      </c>
      <c r="E222" s="15" t="s">
        <v>1144</v>
      </c>
      <c r="F222" s="15" t="s">
        <v>1145</v>
      </c>
      <c r="G222" s="17">
        <v>1</v>
      </c>
      <c r="H222" s="1" t="str">
        <f>IF(G222=0,"Válido",IF(AND(ISNUMBER(G222),G222=1,A222&lt;&gt;"",COUNTIF($A$9:$A$3000,A222)=1,COUNTIF('Catalogo CU'!$A$9:$A$500,B222)=1,ISNUMBER(C222),C222&gt;=1,OR(D222="Principal",D222="Alternativo adicional"),E222&lt;&gt;"",F222&lt;&gt;""),"Válido","Revisar transacción"))</f>
        <v>Válido</v>
      </c>
    </row>
    <row r="223" spans="1:8" ht="43.95" customHeight="1">
      <c r="A223" s="1" t="s">
        <v>1146</v>
      </c>
      <c r="B223" s="14" t="s">
        <v>288</v>
      </c>
      <c r="C223" s="16">
        <v>3</v>
      </c>
      <c r="D223" s="15" t="s">
        <v>50</v>
      </c>
      <c r="E223" s="15" t="s">
        <v>1147</v>
      </c>
      <c r="F223" s="15" t="s">
        <v>1148</v>
      </c>
      <c r="G223" s="17">
        <v>1</v>
      </c>
      <c r="H223" s="1" t="str">
        <f>IF(G223=0,"Válido",IF(AND(ISNUMBER(G223),G223=1,A223&lt;&gt;"",COUNTIF($A$9:$A$3000,A223)=1,COUNTIF('Catalogo CU'!$A$9:$A$500,B223)=1,ISNUMBER(C223),C223&gt;=1,OR(D223="Principal",D223="Alternativo adicional"),E223&lt;&gt;"",F223&lt;&gt;""),"Válido","Revisar transacción"))</f>
        <v>Válido</v>
      </c>
    </row>
    <row r="224" spans="1:8" ht="43.95" customHeight="1">
      <c r="A224" s="1" t="s">
        <v>1149</v>
      </c>
      <c r="B224" s="14" t="s">
        <v>288</v>
      </c>
      <c r="C224" s="16">
        <v>4</v>
      </c>
      <c r="D224" s="15" t="s">
        <v>50</v>
      </c>
      <c r="E224" s="15" t="s">
        <v>1150</v>
      </c>
      <c r="F224" s="15" t="s">
        <v>1151</v>
      </c>
      <c r="G224" s="17">
        <v>1</v>
      </c>
      <c r="H224" s="1" t="str">
        <f>IF(G224=0,"Válido",IF(AND(ISNUMBER(G224),G224=1,A224&lt;&gt;"",COUNTIF($A$9:$A$3000,A224)=1,COUNTIF('Catalogo CU'!$A$9:$A$500,B224)=1,ISNUMBER(C224),C224&gt;=1,OR(D224="Principal",D224="Alternativo adicional"),E224&lt;&gt;"",F224&lt;&gt;""),"Válido","Revisar transacción"))</f>
        <v>Válido</v>
      </c>
    </row>
    <row r="225" spans="1:8" ht="43.95" customHeight="1">
      <c r="A225" s="1" t="s">
        <v>1152</v>
      </c>
      <c r="B225" s="14" t="s">
        <v>288</v>
      </c>
      <c r="C225" s="16">
        <v>5</v>
      </c>
      <c r="D225" s="15" t="s">
        <v>50</v>
      </c>
      <c r="E225" s="15" t="s">
        <v>1153</v>
      </c>
      <c r="F225" s="15" t="s">
        <v>1154</v>
      </c>
      <c r="G225" s="17">
        <v>1</v>
      </c>
      <c r="H225" s="1" t="str">
        <f>IF(G225=0,"Válido",IF(AND(ISNUMBER(G225),G225=1,A225&lt;&gt;"",COUNTIF($A$9:$A$3000,A225)=1,COUNTIF('Catalogo CU'!$A$9:$A$500,B225)=1,ISNUMBER(C225),C225&gt;=1,OR(D225="Principal",D225="Alternativo adicional"),E225&lt;&gt;"",F225&lt;&gt;""),"Válido","Revisar transacción"))</f>
        <v>Válido</v>
      </c>
    </row>
    <row r="226" spans="1:8" ht="43.95" customHeight="1">
      <c r="A226" s="1" t="s">
        <v>1155</v>
      </c>
      <c r="B226" s="14" t="s">
        <v>293</v>
      </c>
      <c r="C226" s="16">
        <v>1</v>
      </c>
      <c r="D226" s="15" t="s">
        <v>50</v>
      </c>
      <c r="E226" s="15" t="s">
        <v>1156</v>
      </c>
      <c r="F226" s="15" t="s">
        <v>1157</v>
      </c>
      <c r="G226" s="17">
        <v>1</v>
      </c>
      <c r="H226" s="1" t="str">
        <f>IF(G226=0,"Válido",IF(AND(ISNUMBER(G226),G226=1,A226&lt;&gt;"",COUNTIF($A$9:$A$3000,A226)=1,COUNTIF('Catalogo CU'!$A$9:$A$500,B226)=1,ISNUMBER(C226),C226&gt;=1,OR(D226="Principal",D226="Alternativo adicional"),E226&lt;&gt;"",F226&lt;&gt;""),"Válido","Revisar transacción"))</f>
        <v>Válido</v>
      </c>
    </row>
    <row r="227" spans="1:8" ht="43.95" customHeight="1">
      <c r="A227" s="1" t="s">
        <v>1158</v>
      </c>
      <c r="B227" s="14" t="s">
        <v>293</v>
      </c>
      <c r="C227" s="16">
        <v>2</v>
      </c>
      <c r="D227" s="15" t="s">
        <v>50</v>
      </c>
      <c r="E227" s="15" t="s">
        <v>1159</v>
      </c>
      <c r="F227" s="15" t="s">
        <v>1160</v>
      </c>
      <c r="G227" s="17">
        <v>1</v>
      </c>
      <c r="H227" s="1" t="str">
        <f>IF(G227=0,"Válido",IF(AND(ISNUMBER(G227),G227=1,A227&lt;&gt;"",COUNTIF($A$9:$A$3000,A227)=1,COUNTIF('Catalogo CU'!$A$9:$A$500,B227)=1,ISNUMBER(C227),C227&gt;=1,OR(D227="Principal",D227="Alternativo adicional"),E227&lt;&gt;"",F227&lt;&gt;""),"Válido","Revisar transacción"))</f>
        <v>Válido</v>
      </c>
    </row>
    <row r="228" spans="1:8" ht="43.95" customHeight="1">
      <c r="A228" s="1" t="s">
        <v>1161</v>
      </c>
      <c r="B228" s="14" t="s">
        <v>293</v>
      </c>
      <c r="C228" s="16">
        <v>3</v>
      </c>
      <c r="D228" s="15" t="s">
        <v>50</v>
      </c>
      <c r="E228" s="15" t="s">
        <v>1162</v>
      </c>
      <c r="F228" s="15" t="s">
        <v>1163</v>
      </c>
      <c r="G228" s="17">
        <v>1</v>
      </c>
      <c r="H228" s="1" t="str">
        <f>IF(G228=0,"Válido",IF(AND(ISNUMBER(G228),G228=1,A228&lt;&gt;"",COUNTIF($A$9:$A$3000,A228)=1,COUNTIF('Catalogo CU'!$A$9:$A$500,B228)=1,ISNUMBER(C228),C228&gt;=1,OR(D228="Principal",D228="Alternativo adicional"),E228&lt;&gt;"",F228&lt;&gt;""),"Válido","Revisar transacción"))</f>
        <v>Válido</v>
      </c>
    </row>
    <row r="229" spans="1:8" ht="43.95" customHeight="1">
      <c r="A229" s="1" t="s">
        <v>1164</v>
      </c>
      <c r="B229" s="14" t="s">
        <v>293</v>
      </c>
      <c r="C229" s="16">
        <v>4</v>
      </c>
      <c r="D229" s="15" t="s">
        <v>50</v>
      </c>
      <c r="E229" s="15" t="s">
        <v>1165</v>
      </c>
      <c r="F229" s="15" t="s">
        <v>1166</v>
      </c>
      <c r="G229" s="17">
        <v>1</v>
      </c>
      <c r="H229" s="1" t="str">
        <f>IF(G229=0,"Válido",IF(AND(ISNUMBER(G229),G229=1,A229&lt;&gt;"",COUNTIF($A$9:$A$3000,A229)=1,COUNTIF('Catalogo CU'!$A$9:$A$500,B229)=1,ISNUMBER(C229),C229&gt;=1,OR(D229="Principal",D229="Alternativo adicional"),E229&lt;&gt;"",F229&lt;&gt;""),"Válido","Revisar transacción"))</f>
        <v>Válido</v>
      </c>
    </row>
    <row r="230" spans="1:8" ht="43.95" customHeight="1">
      <c r="A230" s="1" t="s">
        <v>1167</v>
      </c>
      <c r="B230" s="14" t="s">
        <v>297</v>
      </c>
      <c r="C230" s="16">
        <v>1</v>
      </c>
      <c r="D230" s="15" t="s">
        <v>50</v>
      </c>
      <c r="E230" s="15" t="s">
        <v>1168</v>
      </c>
      <c r="F230" s="15" t="s">
        <v>1169</v>
      </c>
      <c r="G230" s="17">
        <v>1</v>
      </c>
      <c r="H230" s="1" t="str">
        <f>IF(G230=0,"Válido",IF(AND(ISNUMBER(G230),G230=1,A230&lt;&gt;"",COUNTIF($A$9:$A$3000,A230)=1,COUNTIF('Catalogo CU'!$A$9:$A$500,B230)=1,ISNUMBER(C230),C230&gt;=1,OR(D230="Principal",D230="Alternativo adicional"),E230&lt;&gt;"",F230&lt;&gt;""),"Válido","Revisar transacción"))</f>
        <v>Válido</v>
      </c>
    </row>
    <row r="231" spans="1:8" ht="43.95" customHeight="1">
      <c r="A231" s="1" t="s">
        <v>1170</v>
      </c>
      <c r="B231" s="14" t="s">
        <v>297</v>
      </c>
      <c r="C231" s="16">
        <v>2</v>
      </c>
      <c r="D231" s="15" t="s">
        <v>50</v>
      </c>
      <c r="E231" s="15" t="s">
        <v>1171</v>
      </c>
      <c r="F231" s="15" t="s">
        <v>1172</v>
      </c>
      <c r="G231" s="17">
        <v>1</v>
      </c>
      <c r="H231" s="1" t="str">
        <f>IF(G231=0,"Válido",IF(AND(ISNUMBER(G231),G231=1,A231&lt;&gt;"",COUNTIF($A$9:$A$3000,A231)=1,COUNTIF('Catalogo CU'!$A$9:$A$500,B231)=1,ISNUMBER(C231),C231&gt;=1,OR(D231="Principal",D231="Alternativo adicional"),E231&lt;&gt;"",F231&lt;&gt;""),"Válido","Revisar transacción"))</f>
        <v>Válido</v>
      </c>
    </row>
    <row r="232" spans="1:8" ht="43.95" customHeight="1">
      <c r="A232" s="1" t="s">
        <v>1173</v>
      </c>
      <c r="B232" s="14" t="s">
        <v>297</v>
      </c>
      <c r="C232" s="16">
        <v>3</v>
      </c>
      <c r="D232" s="15" t="s">
        <v>50</v>
      </c>
      <c r="E232" s="15" t="s">
        <v>1174</v>
      </c>
      <c r="F232" s="15" t="s">
        <v>1175</v>
      </c>
      <c r="G232" s="17">
        <v>1</v>
      </c>
      <c r="H232" s="1" t="str">
        <f>IF(G232=0,"Válido",IF(AND(ISNUMBER(G232),G232=1,A232&lt;&gt;"",COUNTIF($A$9:$A$3000,A232)=1,COUNTIF('Catalogo CU'!$A$9:$A$500,B232)=1,ISNUMBER(C232),C232&gt;=1,OR(D232="Principal",D232="Alternativo adicional"),E232&lt;&gt;"",F232&lt;&gt;""),"Válido","Revisar transacción"))</f>
        <v>Válido</v>
      </c>
    </row>
    <row r="233" spans="1:8" ht="43.95" customHeight="1">
      <c r="A233" s="1" t="s">
        <v>1176</v>
      </c>
      <c r="B233" s="14" t="s">
        <v>297</v>
      </c>
      <c r="C233" s="16">
        <v>4</v>
      </c>
      <c r="D233" s="15" t="s">
        <v>50</v>
      </c>
      <c r="E233" s="15" t="s">
        <v>1177</v>
      </c>
      <c r="F233" s="15" t="s">
        <v>1178</v>
      </c>
      <c r="G233" s="17">
        <v>1</v>
      </c>
      <c r="H233" s="1" t="str">
        <f>IF(G233=0,"Válido",IF(AND(ISNUMBER(G233),G233=1,A233&lt;&gt;"",COUNTIF($A$9:$A$3000,A233)=1,COUNTIF('Catalogo CU'!$A$9:$A$500,B233)=1,ISNUMBER(C233),C233&gt;=1,OR(D233="Principal",D233="Alternativo adicional"),E233&lt;&gt;"",F233&lt;&gt;""),"Válido","Revisar transacción"))</f>
        <v>Válido</v>
      </c>
    </row>
    <row r="234" spans="1:8" ht="43.95" customHeight="1">
      <c r="A234" s="1" t="s">
        <v>1179</v>
      </c>
      <c r="B234" s="14" t="s">
        <v>302</v>
      </c>
      <c r="C234" s="16">
        <v>1</v>
      </c>
      <c r="D234" s="15" t="s">
        <v>50</v>
      </c>
      <c r="E234" s="15" t="s">
        <v>1180</v>
      </c>
      <c r="F234" s="15" t="s">
        <v>1181</v>
      </c>
      <c r="G234" s="17">
        <v>1</v>
      </c>
      <c r="H234" s="1" t="str">
        <f>IF(G234=0,"Válido",IF(AND(ISNUMBER(G234),G234=1,A234&lt;&gt;"",COUNTIF($A$9:$A$3000,A234)=1,COUNTIF('Catalogo CU'!$A$9:$A$500,B234)=1,ISNUMBER(C234),C234&gt;=1,OR(D234="Principal",D234="Alternativo adicional"),E234&lt;&gt;"",F234&lt;&gt;""),"Válido","Revisar transacción"))</f>
        <v>Válido</v>
      </c>
    </row>
    <row r="235" spans="1:8" ht="43.95" customHeight="1">
      <c r="A235" s="1" t="s">
        <v>1182</v>
      </c>
      <c r="B235" s="14" t="s">
        <v>302</v>
      </c>
      <c r="C235" s="16">
        <v>2</v>
      </c>
      <c r="D235" s="15" t="s">
        <v>50</v>
      </c>
      <c r="E235" s="15" t="s">
        <v>1183</v>
      </c>
      <c r="F235" s="15" t="s">
        <v>1184</v>
      </c>
      <c r="G235" s="17">
        <v>1</v>
      </c>
      <c r="H235" s="1" t="str">
        <f>IF(G235=0,"Válido",IF(AND(ISNUMBER(G235),G235=1,A235&lt;&gt;"",COUNTIF($A$9:$A$3000,A235)=1,COUNTIF('Catalogo CU'!$A$9:$A$500,B235)=1,ISNUMBER(C235),C235&gt;=1,OR(D235="Principal",D235="Alternativo adicional"),E235&lt;&gt;"",F235&lt;&gt;""),"Válido","Revisar transacción"))</f>
        <v>Válido</v>
      </c>
    </row>
    <row r="236" spans="1:8" ht="43.95" customHeight="1">
      <c r="A236" s="1" t="s">
        <v>1185</v>
      </c>
      <c r="B236" s="14" t="s">
        <v>302</v>
      </c>
      <c r="C236" s="16">
        <v>3</v>
      </c>
      <c r="D236" s="15" t="s">
        <v>50</v>
      </c>
      <c r="E236" s="15" t="s">
        <v>1186</v>
      </c>
      <c r="F236" s="15" t="s">
        <v>1187</v>
      </c>
      <c r="G236" s="17">
        <v>1</v>
      </c>
      <c r="H236" s="1" t="str">
        <f>IF(G236=0,"Válido",IF(AND(ISNUMBER(G236),G236=1,A236&lt;&gt;"",COUNTIF($A$9:$A$3000,A236)=1,COUNTIF('Catalogo CU'!$A$9:$A$500,B236)=1,ISNUMBER(C236),C236&gt;=1,OR(D236="Principal",D236="Alternativo adicional"),E236&lt;&gt;"",F236&lt;&gt;""),"Válido","Revisar transacción"))</f>
        <v>Válido</v>
      </c>
    </row>
    <row r="237" spans="1:8" ht="43.95" customHeight="1">
      <c r="A237" s="1" t="s">
        <v>1188</v>
      </c>
      <c r="B237" s="14" t="s">
        <v>307</v>
      </c>
      <c r="C237" s="16">
        <v>1</v>
      </c>
      <c r="D237" s="15" t="s">
        <v>50</v>
      </c>
      <c r="E237" s="15" t="s">
        <v>1189</v>
      </c>
      <c r="F237" s="15" t="s">
        <v>1190</v>
      </c>
      <c r="G237" s="17">
        <v>1</v>
      </c>
      <c r="H237" s="1" t="str">
        <f>IF(G237=0,"Válido",IF(AND(ISNUMBER(G237),G237=1,A237&lt;&gt;"",COUNTIF($A$9:$A$3000,A237)=1,COUNTIF('Catalogo CU'!$A$9:$A$500,B237)=1,ISNUMBER(C237),C237&gt;=1,OR(D237="Principal",D237="Alternativo adicional"),E237&lt;&gt;"",F237&lt;&gt;""),"Válido","Revisar transacción"))</f>
        <v>Válido</v>
      </c>
    </row>
    <row r="238" spans="1:8" ht="43.95" customHeight="1">
      <c r="A238" s="1" t="s">
        <v>1191</v>
      </c>
      <c r="B238" s="14" t="s">
        <v>307</v>
      </c>
      <c r="C238" s="16">
        <v>2</v>
      </c>
      <c r="D238" s="15" t="s">
        <v>50</v>
      </c>
      <c r="E238" s="15" t="s">
        <v>1192</v>
      </c>
      <c r="F238" s="15" t="s">
        <v>1193</v>
      </c>
      <c r="G238" s="17">
        <v>1</v>
      </c>
      <c r="H238" s="1" t="str">
        <f>IF(G238=0,"Válido",IF(AND(ISNUMBER(G238),G238=1,A238&lt;&gt;"",COUNTIF($A$9:$A$3000,A238)=1,COUNTIF('Catalogo CU'!$A$9:$A$500,B238)=1,ISNUMBER(C238),C238&gt;=1,OR(D238="Principal",D238="Alternativo adicional"),E238&lt;&gt;"",F238&lt;&gt;""),"Válido","Revisar transacción"))</f>
        <v>Válido</v>
      </c>
    </row>
    <row r="239" spans="1:8" ht="43.95" customHeight="1">
      <c r="A239" s="1" t="s">
        <v>1194</v>
      </c>
      <c r="B239" s="14" t="s">
        <v>313</v>
      </c>
      <c r="C239" s="16">
        <v>1</v>
      </c>
      <c r="D239" s="15" t="s">
        <v>50</v>
      </c>
      <c r="E239" s="15" t="s">
        <v>1195</v>
      </c>
      <c r="F239" s="15" t="s">
        <v>1196</v>
      </c>
      <c r="G239" s="17">
        <v>1</v>
      </c>
      <c r="H239" s="1" t="str">
        <f>IF(G239=0,"Válido",IF(AND(ISNUMBER(G239),G239=1,A239&lt;&gt;"",COUNTIF($A$9:$A$3000,A239)=1,COUNTIF('Catalogo CU'!$A$9:$A$500,B239)=1,ISNUMBER(C239),C239&gt;=1,OR(D239="Principal",D239="Alternativo adicional"),E239&lt;&gt;"",F239&lt;&gt;""),"Válido","Revisar transacción"))</f>
        <v>Válido</v>
      </c>
    </row>
    <row r="240" spans="1:8" ht="43.95" customHeight="1">
      <c r="A240" s="1" t="s">
        <v>1197</v>
      </c>
      <c r="B240" s="14" t="s">
        <v>313</v>
      </c>
      <c r="C240" s="16">
        <v>2</v>
      </c>
      <c r="D240" s="15" t="s">
        <v>50</v>
      </c>
      <c r="E240" s="15" t="s">
        <v>1198</v>
      </c>
      <c r="F240" s="15" t="s">
        <v>1199</v>
      </c>
      <c r="G240" s="17">
        <v>1</v>
      </c>
      <c r="H240" s="1" t="str">
        <f>IF(G240=0,"Válido",IF(AND(ISNUMBER(G240),G240=1,A240&lt;&gt;"",COUNTIF($A$9:$A$3000,A240)=1,COUNTIF('Catalogo CU'!$A$9:$A$500,B240)=1,ISNUMBER(C240),C240&gt;=1,OR(D240="Principal",D240="Alternativo adicional"),E240&lt;&gt;"",F240&lt;&gt;""),"Válido","Revisar transacción"))</f>
        <v>Válido</v>
      </c>
    </row>
    <row r="241" spans="1:8" ht="43.95" customHeight="1">
      <c r="A241" s="1" t="s">
        <v>1200</v>
      </c>
      <c r="B241" s="14" t="s">
        <v>313</v>
      </c>
      <c r="C241" s="16">
        <v>3</v>
      </c>
      <c r="D241" s="15" t="s">
        <v>50</v>
      </c>
      <c r="E241" s="15" t="s">
        <v>1201</v>
      </c>
      <c r="F241" s="15" t="s">
        <v>1202</v>
      </c>
      <c r="G241" s="17">
        <v>1</v>
      </c>
      <c r="H241" s="1" t="str">
        <f>IF(G241=0,"Válido",IF(AND(ISNUMBER(G241),G241=1,A241&lt;&gt;"",COUNTIF($A$9:$A$3000,A241)=1,COUNTIF('Catalogo CU'!$A$9:$A$500,B241)=1,ISNUMBER(C241),C241&gt;=1,OR(D241="Principal",D241="Alternativo adicional"),E241&lt;&gt;"",F241&lt;&gt;""),"Válido","Revisar transacción"))</f>
        <v>Válido</v>
      </c>
    </row>
    <row r="242" spans="1:8" ht="43.95" customHeight="1">
      <c r="A242" s="1" t="s">
        <v>1203</v>
      </c>
      <c r="B242" s="14" t="s">
        <v>313</v>
      </c>
      <c r="C242" s="16">
        <v>4</v>
      </c>
      <c r="D242" s="15" t="s">
        <v>50</v>
      </c>
      <c r="E242" s="15" t="s">
        <v>1204</v>
      </c>
      <c r="F242" s="15" t="s">
        <v>1205</v>
      </c>
      <c r="G242" s="17">
        <v>1</v>
      </c>
      <c r="H242" s="1" t="str">
        <f>IF(G242=0,"Válido",IF(AND(ISNUMBER(G242),G242=1,A242&lt;&gt;"",COUNTIF($A$9:$A$3000,A242)=1,COUNTIF('Catalogo CU'!$A$9:$A$500,B242)=1,ISNUMBER(C242),C242&gt;=1,OR(D242="Principal",D242="Alternativo adicional"),E242&lt;&gt;"",F242&lt;&gt;""),"Válido","Revisar transacción"))</f>
        <v>Válido</v>
      </c>
    </row>
    <row r="243" spans="1:8" ht="43.95" customHeight="1">
      <c r="A243" s="1" t="s">
        <v>1206</v>
      </c>
      <c r="B243" s="14" t="s">
        <v>318</v>
      </c>
      <c r="C243" s="16">
        <v>1</v>
      </c>
      <c r="D243" s="15" t="s">
        <v>50</v>
      </c>
      <c r="E243" s="15" t="s">
        <v>1207</v>
      </c>
      <c r="F243" s="15" t="s">
        <v>1208</v>
      </c>
      <c r="G243" s="17">
        <v>1</v>
      </c>
      <c r="H243" s="1" t="str">
        <f>IF(G243=0,"Válido",IF(AND(ISNUMBER(G243),G243=1,A243&lt;&gt;"",COUNTIF($A$9:$A$3000,A243)=1,COUNTIF('Catalogo CU'!$A$9:$A$500,B243)=1,ISNUMBER(C243),C243&gt;=1,OR(D243="Principal",D243="Alternativo adicional"),E243&lt;&gt;"",F243&lt;&gt;""),"Válido","Revisar transacción"))</f>
        <v>Válido</v>
      </c>
    </row>
    <row r="244" spans="1:8" ht="43.95" customHeight="1">
      <c r="A244" s="1" t="s">
        <v>1209</v>
      </c>
      <c r="B244" s="14" t="s">
        <v>318</v>
      </c>
      <c r="C244" s="16">
        <v>2</v>
      </c>
      <c r="D244" s="15" t="s">
        <v>50</v>
      </c>
      <c r="E244" s="15" t="s">
        <v>1210</v>
      </c>
      <c r="F244" s="15" t="s">
        <v>1211</v>
      </c>
      <c r="G244" s="17">
        <v>1</v>
      </c>
      <c r="H244" s="1" t="str">
        <f>IF(G244=0,"Válido",IF(AND(ISNUMBER(G244),G244=1,A244&lt;&gt;"",COUNTIF($A$9:$A$3000,A244)=1,COUNTIF('Catalogo CU'!$A$9:$A$500,B244)=1,ISNUMBER(C244),C244&gt;=1,OR(D244="Principal",D244="Alternativo adicional"),E244&lt;&gt;"",F244&lt;&gt;""),"Válido","Revisar transacción"))</f>
        <v>Válido</v>
      </c>
    </row>
    <row r="245" spans="1:8" ht="43.95" customHeight="1">
      <c r="A245" s="1" t="s">
        <v>1212</v>
      </c>
      <c r="B245" s="14" t="s">
        <v>318</v>
      </c>
      <c r="C245" s="16">
        <v>3</v>
      </c>
      <c r="D245" s="15" t="s">
        <v>50</v>
      </c>
      <c r="E245" s="15" t="s">
        <v>1213</v>
      </c>
      <c r="F245" s="15" t="s">
        <v>1214</v>
      </c>
      <c r="G245" s="17">
        <v>1</v>
      </c>
      <c r="H245" s="1" t="str">
        <f>IF(G245=0,"Válido",IF(AND(ISNUMBER(G245),G245=1,A245&lt;&gt;"",COUNTIF($A$9:$A$3000,A245)=1,COUNTIF('Catalogo CU'!$A$9:$A$500,B245)=1,ISNUMBER(C245),C245&gt;=1,OR(D245="Principal",D245="Alternativo adicional"),E245&lt;&gt;"",F245&lt;&gt;""),"Válido","Revisar transacción"))</f>
        <v>Válido</v>
      </c>
    </row>
    <row r="246" spans="1:8" ht="43.95" customHeight="1">
      <c r="A246" s="1" t="s">
        <v>1215</v>
      </c>
      <c r="B246" s="14" t="s">
        <v>318</v>
      </c>
      <c r="C246" s="16">
        <v>4</v>
      </c>
      <c r="D246" s="15" t="s">
        <v>50</v>
      </c>
      <c r="E246" s="15" t="s">
        <v>1216</v>
      </c>
      <c r="F246" s="15" t="s">
        <v>1217</v>
      </c>
      <c r="G246" s="17">
        <v>1</v>
      </c>
      <c r="H246" s="1" t="str">
        <f>IF(G246=0,"Válido",IF(AND(ISNUMBER(G246),G246=1,A246&lt;&gt;"",COUNTIF($A$9:$A$3000,A246)=1,COUNTIF('Catalogo CU'!$A$9:$A$500,B246)=1,ISNUMBER(C246),C246&gt;=1,OR(D246="Principal",D246="Alternativo adicional"),E246&lt;&gt;"",F246&lt;&gt;""),"Válido","Revisar transacción"))</f>
        <v>Válido</v>
      </c>
    </row>
    <row r="247" spans="1:8" ht="43.95" customHeight="1">
      <c r="A247" s="1" t="s">
        <v>1218</v>
      </c>
      <c r="B247" s="14" t="s">
        <v>318</v>
      </c>
      <c r="C247" s="16">
        <v>5</v>
      </c>
      <c r="D247" s="15" t="s">
        <v>50</v>
      </c>
      <c r="E247" s="15" t="s">
        <v>722</v>
      </c>
      <c r="F247" s="15" t="s">
        <v>1219</v>
      </c>
      <c r="G247" s="17">
        <v>1</v>
      </c>
      <c r="H247" s="1" t="str">
        <f>IF(G247=0,"Válido",IF(AND(ISNUMBER(G247),G247=1,A247&lt;&gt;"",COUNTIF($A$9:$A$3000,A247)=1,COUNTIF('Catalogo CU'!$A$9:$A$500,B247)=1,ISNUMBER(C247),C247&gt;=1,OR(D247="Principal",D247="Alternativo adicional"),E247&lt;&gt;"",F247&lt;&gt;""),"Válido","Revisar transacción"))</f>
        <v>Válido</v>
      </c>
    </row>
    <row r="248" spans="1:8" ht="43.95" customHeight="1">
      <c r="A248" s="1" t="s">
        <v>1220</v>
      </c>
      <c r="B248" s="14" t="s">
        <v>322</v>
      </c>
      <c r="C248" s="16">
        <v>1</v>
      </c>
      <c r="D248" s="15" t="s">
        <v>50</v>
      </c>
      <c r="E248" s="15" t="s">
        <v>1221</v>
      </c>
      <c r="F248" s="15" t="s">
        <v>1222</v>
      </c>
      <c r="G248" s="17">
        <v>1</v>
      </c>
      <c r="H248" s="1" t="str">
        <f>IF(G248=0,"Válido",IF(AND(ISNUMBER(G248),G248=1,A248&lt;&gt;"",COUNTIF($A$9:$A$3000,A248)=1,COUNTIF('Catalogo CU'!$A$9:$A$500,B248)=1,ISNUMBER(C248),C248&gt;=1,OR(D248="Principal",D248="Alternativo adicional"),E248&lt;&gt;"",F248&lt;&gt;""),"Válido","Revisar transacción"))</f>
        <v>Válido</v>
      </c>
    </row>
    <row r="249" spans="1:8" ht="43.95" customHeight="1">
      <c r="A249" s="1" t="s">
        <v>1223</v>
      </c>
      <c r="B249" s="14" t="s">
        <v>322</v>
      </c>
      <c r="C249" s="16">
        <v>2</v>
      </c>
      <c r="D249" s="15" t="s">
        <v>50</v>
      </c>
      <c r="E249" s="15" t="s">
        <v>1224</v>
      </c>
      <c r="F249" s="15" t="s">
        <v>1225</v>
      </c>
      <c r="G249" s="17">
        <v>1</v>
      </c>
      <c r="H249" s="1" t="str">
        <f>IF(G249=0,"Válido",IF(AND(ISNUMBER(G249),G249=1,A249&lt;&gt;"",COUNTIF($A$9:$A$3000,A249)=1,COUNTIF('Catalogo CU'!$A$9:$A$500,B249)=1,ISNUMBER(C249),C249&gt;=1,OR(D249="Principal",D249="Alternativo adicional"),E249&lt;&gt;"",F249&lt;&gt;""),"Válido","Revisar transacción"))</f>
        <v>Válido</v>
      </c>
    </row>
    <row r="250" spans="1:8" ht="43.95" customHeight="1">
      <c r="A250" s="1" t="s">
        <v>1226</v>
      </c>
      <c r="B250" s="14" t="s">
        <v>322</v>
      </c>
      <c r="C250" s="16">
        <v>3</v>
      </c>
      <c r="D250" s="15" t="s">
        <v>50</v>
      </c>
      <c r="E250" s="15" t="s">
        <v>1227</v>
      </c>
      <c r="F250" s="15" t="s">
        <v>1228</v>
      </c>
      <c r="G250" s="17">
        <v>1</v>
      </c>
      <c r="H250" s="1" t="str">
        <f>IF(G250=0,"Válido",IF(AND(ISNUMBER(G250),G250=1,A250&lt;&gt;"",COUNTIF($A$9:$A$3000,A250)=1,COUNTIF('Catalogo CU'!$A$9:$A$500,B250)=1,ISNUMBER(C250),C250&gt;=1,OR(D250="Principal",D250="Alternativo adicional"),E250&lt;&gt;"",F250&lt;&gt;""),"Válido","Revisar transacción"))</f>
        <v>Válido</v>
      </c>
    </row>
    <row r="251" spans="1:8" ht="43.95" customHeight="1">
      <c r="A251" s="1" t="s">
        <v>1229</v>
      </c>
      <c r="B251" s="14" t="s">
        <v>326</v>
      </c>
      <c r="C251" s="16">
        <v>1</v>
      </c>
      <c r="D251" s="15" t="s">
        <v>50</v>
      </c>
      <c r="E251" s="15" t="s">
        <v>1230</v>
      </c>
      <c r="F251" s="15" t="s">
        <v>1231</v>
      </c>
      <c r="G251" s="17">
        <v>1</v>
      </c>
      <c r="H251" s="1" t="str">
        <f>IF(G251=0,"Válido",IF(AND(ISNUMBER(G251),G251=1,A251&lt;&gt;"",COUNTIF($A$9:$A$3000,A251)=1,COUNTIF('Catalogo CU'!$A$9:$A$500,B251)=1,ISNUMBER(C251),C251&gt;=1,OR(D251="Principal",D251="Alternativo adicional"),E251&lt;&gt;"",F251&lt;&gt;""),"Válido","Revisar transacción"))</f>
        <v>Válido</v>
      </c>
    </row>
    <row r="252" spans="1:8" ht="43.95" customHeight="1">
      <c r="A252" s="1" t="s">
        <v>1232</v>
      </c>
      <c r="B252" s="14" t="s">
        <v>326</v>
      </c>
      <c r="C252" s="16">
        <v>2</v>
      </c>
      <c r="D252" s="15" t="s">
        <v>50</v>
      </c>
      <c r="E252" s="15" t="s">
        <v>1233</v>
      </c>
      <c r="F252" s="15" t="s">
        <v>1234</v>
      </c>
      <c r="G252" s="17">
        <v>1</v>
      </c>
      <c r="H252" s="1" t="str">
        <f>IF(G252=0,"Válido",IF(AND(ISNUMBER(G252),G252=1,A252&lt;&gt;"",COUNTIF($A$9:$A$3000,A252)=1,COUNTIF('Catalogo CU'!$A$9:$A$500,B252)=1,ISNUMBER(C252),C252&gt;=1,OR(D252="Principal",D252="Alternativo adicional"),E252&lt;&gt;"",F252&lt;&gt;""),"Válido","Revisar transacción"))</f>
        <v>Válido</v>
      </c>
    </row>
    <row r="253" spans="1:8" ht="43.95" customHeight="1">
      <c r="A253" s="1" t="s">
        <v>1235</v>
      </c>
      <c r="B253" s="14" t="s">
        <v>326</v>
      </c>
      <c r="C253" s="16">
        <v>3</v>
      </c>
      <c r="D253" s="15" t="s">
        <v>50</v>
      </c>
      <c r="E253" s="15" t="s">
        <v>1236</v>
      </c>
      <c r="F253" s="15" t="s">
        <v>1237</v>
      </c>
      <c r="G253" s="17">
        <v>1</v>
      </c>
      <c r="H253" s="1" t="str">
        <f>IF(G253=0,"Válido",IF(AND(ISNUMBER(G253),G253=1,A253&lt;&gt;"",COUNTIF($A$9:$A$3000,A253)=1,COUNTIF('Catalogo CU'!$A$9:$A$500,B253)=1,ISNUMBER(C253),C253&gt;=1,OR(D253="Principal",D253="Alternativo adicional"),E253&lt;&gt;"",F253&lt;&gt;""),"Válido","Revisar transacción"))</f>
        <v>Válido</v>
      </c>
    </row>
    <row r="254" spans="1:8" ht="43.95" customHeight="1">
      <c r="A254" s="1" t="s">
        <v>1238</v>
      </c>
      <c r="B254" s="14" t="s">
        <v>330</v>
      </c>
      <c r="C254" s="16">
        <v>1</v>
      </c>
      <c r="D254" s="15" t="s">
        <v>50</v>
      </c>
      <c r="E254" s="15" t="s">
        <v>1239</v>
      </c>
      <c r="F254" s="15" t="s">
        <v>1240</v>
      </c>
      <c r="G254" s="17">
        <v>1</v>
      </c>
      <c r="H254" s="1" t="str">
        <f>IF(G254=0,"Válido",IF(AND(ISNUMBER(G254),G254=1,A254&lt;&gt;"",COUNTIF($A$9:$A$3000,A254)=1,COUNTIF('Catalogo CU'!$A$9:$A$500,B254)=1,ISNUMBER(C254),C254&gt;=1,OR(D254="Principal",D254="Alternativo adicional"),E254&lt;&gt;"",F254&lt;&gt;""),"Válido","Revisar transacción"))</f>
        <v>Válido</v>
      </c>
    </row>
    <row r="255" spans="1:8" ht="43.95" customHeight="1">
      <c r="A255" s="1" t="s">
        <v>1241</v>
      </c>
      <c r="B255" s="14" t="s">
        <v>330</v>
      </c>
      <c r="C255" s="16">
        <v>2</v>
      </c>
      <c r="D255" s="15" t="s">
        <v>50</v>
      </c>
      <c r="E255" s="15" t="s">
        <v>1242</v>
      </c>
      <c r="F255" s="15" t="s">
        <v>1243</v>
      </c>
      <c r="G255" s="17">
        <v>1</v>
      </c>
      <c r="H255" s="1" t="str">
        <f>IF(G255=0,"Válido",IF(AND(ISNUMBER(G255),G255=1,A255&lt;&gt;"",COUNTIF($A$9:$A$3000,A255)=1,COUNTIF('Catalogo CU'!$A$9:$A$500,B255)=1,ISNUMBER(C255),C255&gt;=1,OR(D255="Principal",D255="Alternativo adicional"),E255&lt;&gt;"",F255&lt;&gt;""),"Válido","Revisar transacción"))</f>
        <v>Válido</v>
      </c>
    </row>
    <row r="256" spans="1:8" ht="43.95" customHeight="1">
      <c r="A256" s="1" t="s">
        <v>1244</v>
      </c>
      <c r="B256" s="14" t="s">
        <v>330</v>
      </c>
      <c r="C256" s="16">
        <v>3</v>
      </c>
      <c r="D256" s="15" t="s">
        <v>50</v>
      </c>
      <c r="E256" s="15" t="s">
        <v>686</v>
      </c>
      <c r="F256" s="15" t="s">
        <v>1245</v>
      </c>
      <c r="G256" s="17">
        <v>1</v>
      </c>
      <c r="H256" s="1" t="str">
        <f>IF(G256=0,"Válido",IF(AND(ISNUMBER(G256),G256=1,A256&lt;&gt;"",COUNTIF($A$9:$A$3000,A256)=1,COUNTIF('Catalogo CU'!$A$9:$A$500,B256)=1,ISNUMBER(C256),C256&gt;=1,OR(D256="Principal",D256="Alternativo adicional"),E256&lt;&gt;"",F256&lt;&gt;""),"Válido","Revisar transacción"))</f>
        <v>Válido</v>
      </c>
    </row>
    <row r="257" spans="1:8" ht="43.95" customHeight="1">
      <c r="A257" s="1" t="s">
        <v>1246</v>
      </c>
      <c r="B257" s="14" t="s">
        <v>330</v>
      </c>
      <c r="C257" s="16">
        <v>4</v>
      </c>
      <c r="D257" s="15" t="s">
        <v>50</v>
      </c>
      <c r="E257" s="15" t="s">
        <v>1247</v>
      </c>
      <c r="F257" s="15" t="s">
        <v>1248</v>
      </c>
      <c r="G257" s="17">
        <v>1</v>
      </c>
      <c r="H257" s="1" t="str">
        <f>IF(G257=0,"Válido",IF(AND(ISNUMBER(G257),G257=1,A257&lt;&gt;"",COUNTIF($A$9:$A$3000,A257)=1,COUNTIF('Catalogo CU'!$A$9:$A$500,B257)=1,ISNUMBER(C257),C257&gt;=1,OR(D257="Principal",D257="Alternativo adicional"),E257&lt;&gt;"",F257&lt;&gt;""),"Válido","Revisar transacción"))</f>
        <v>Válido</v>
      </c>
    </row>
    <row r="258" spans="1:8" ht="43.95" customHeight="1">
      <c r="A258" s="1" t="s">
        <v>1249</v>
      </c>
      <c r="B258" s="14" t="s">
        <v>330</v>
      </c>
      <c r="C258" s="16">
        <v>5</v>
      </c>
      <c r="D258" s="15" t="s">
        <v>50</v>
      </c>
      <c r="E258" s="15" t="s">
        <v>695</v>
      </c>
      <c r="F258" s="15" t="s">
        <v>1250</v>
      </c>
      <c r="G258" s="17">
        <v>1</v>
      </c>
      <c r="H258" s="1" t="str">
        <f>IF(G258=0,"Válido",IF(AND(ISNUMBER(G258),G258=1,A258&lt;&gt;"",COUNTIF($A$9:$A$3000,A258)=1,COUNTIF('Catalogo CU'!$A$9:$A$500,B258)=1,ISNUMBER(C258),C258&gt;=1,OR(D258="Principal",D258="Alternativo adicional"),E258&lt;&gt;"",F258&lt;&gt;""),"Válido","Revisar transacción"))</f>
        <v>Válido</v>
      </c>
    </row>
    <row r="259" spans="1:8" ht="43.95" customHeight="1">
      <c r="A259" s="1" t="s">
        <v>1251</v>
      </c>
      <c r="B259" s="14" t="s">
        <v>330</v>
      </c>
      <c r="C259" s="16">
        <v>6</v>
      </c>
      <c r="D259" s="15" t="s">
        <v>520</v>
      </c>
      <c r="E259" s="15" t="s">
        <v>1252</v>
      </c>
      <c r="F259" s="15" t="s">
        <v>1253</v>
      </c>
      <c r="G259" s="17">
        <v>1</v>
      </c>
      <c r="H259" s="1" t="str">
        <f>IF(G259=0,"Válido",IF(AND(ISNUMBER(G259),G259=1,A259&lt;&gt;"",COUNTIF($A$9:$A$3000,A259)=1,COUNTIF('Catalogo CU'!$A$9:$A$500,B259)=1,ISNUMBER(C259),C259&gt;=1,OR(D259="Principal",D259="Alternativo adicional"),E259&lt;&gt;"",F259&lt;&gt;""),"Válido","Revisar transacción"))</f>
        <v>Válido</v>
      </c>
    </row>
    <row r="260" spans="1:8" ht="43.95" customHeight="1">
      <c r="A260" s="1" t="s">
        <v>1254</v>
      </c>
      <c r="B260" s="14" t="s">
        <v>334</v>
      </c>
      <c r="C260" s="16">
        <v>1</v>
      </c>
      <c r="D260" s="15" t="s">
        <v>50</v>
      </c>
      <c r="E260" s="15" t="s">
        <v>1255</v>
      </c>
      <c r="F260" s="15" t="s">
        <v>1256</v>
      </c>
      <c r="G260" s="17">
        <v>1</v>
      </c>
      <c r="H260" s="1" t="str">
        <f>IF(G260=0,"Válido",IF(AND(ISNUMBER(G260),G260=1,A260&lt;&gt;"",COUNTIF($A$9:$A$3000,A260)=1,COUNTIF('Catalogo CU'!$A$9:$A$500,B260)=1,ISNUMBER(C260),C260&gt;=1,OR(D260="Principal",D260="Alternativo adicional"),E260&lt;&gt;"",F260&lt;&gt;""),"Válido","Revisar transacción"))</f>
        <v>Válido</v>
      </c>
    </row>
    <row r="261" spans="1:8" ht="43.95" customHeight="1">
      <c r="A261" s="1" t="s">
        <v>1257</v>
      </c>
      <c r="B261" s="14" t="s">
        <v>334</v>
      </c>
      <c r="C261" s="16">
        <v>2</v>
      </c>
      <c r="D261" s="15" t="s">
        <v>50</v>
      </c>
      <c r="E261" s="15" t="s">
        <v>1258</v>
      </c>
      <c r="F261" s="15" t="s">
        <v>1259</v>
      </c>
      <c r="G261" s="17">
        <v>1</v>
      </c>
      <c r="H261" s="1" t="str">
        <f>IF(G261=0,"Válido",IF(AND(ISNUMBER(G261),G261=1,A261&lt;&gt;"",COUNTIF($A$9:$A$3000,A261)=1,COUNTIF('Catalogo CU'!$A$9:$A$500,B261)=1,ISNUMBER(C261),C261&gt;=1,OR(D261="Principal",D261="Alternativo adicional"),E261&lt;&gt;"",F261&lt;&gt;""),"Válido","Revisar transacción"))</f>
        <v>Válido</v>
      </c>
    </row>
    <row r="262" spans="1:8" ht="43.95" customHeight="1">
      <c r="A262" s="1" t="s">
        <v>1260</v>
      </c>
      <c r="B262" s="14" t="s">
        <v>334</v>
      </c>
      <c r="C262" s="16">
        <v>3</v>
      </c>
      <c r="D262" s="15" t="s">
        <v>50</v>
      </c>
      <c r="E262" s="15" t="s">
        <v>1261</v>
      </c>
      <c r="F262" s="15" t="s">
        <v>1262</v>
      </c>
      <c r="G262" s="17">
        <v>1</v>
      </c>
      <c r="H262" s="1" t="str">
        <f>IF(G262=0,"Válido",IF(AND(ISNUMBER(G262),G262=1,A262&lt;&gt;"",COUNTIF($A$9:$A$3000,A262)=1,COUNTIF('Catalogo CU'!$A$9:$A$500,B262)=1,ISNUMBER(C262),C262&gt;=1,OR(D262="Principal",D262="Alternativo adicional"),E262&lt;&gt;"",F262&lt;&gt;""),"Válido","Revisar transacción"))</f>
        <v>Válido</v>
      </c>
    </row>
    <row r="263" spans="1:8" ht="43.95" customHeight="1">
      <c r="A263" s="1" t="s">
        <v>1263</v>
      </c>
      <c r="B263" s="14" t="s">
        <v>334</v>
      </c>
      <c r="C263" s="16">
        <v>4</v>
      </c>
      <c r="D263" s="15" t="s">
        <v>50</v>
      </c>
      <c r="E263" s="15" t="s">
        <v>1264</v>
      </c>
      <c r="F263" s="15" t="s">
        <v>1265</v>
      </c>
      <c r="G263" s="17">
        <v>1</v>
      </c>
      <c r="H263" s="1" t="str">
        <f>IF(G263=0,"Válido",IF(AND(ISNUMBER(G263),G263=1,A263&lt;&gt;"",COUNTIF($A$9:$A$3000,A263)=1,COUNTIF('Catalogo CU'!$A$9:$A$500,B263)=1,ISNUMBER(C263),C263&gt;=1,OR(D263="Principal",D263="Alternativo adicional"),E263&lt;&gt;"",F263&lt;&gt;""),"Válido","Revisar transacción"))</f>
        <v>Válido</v>
      </c>
    </row>
    <row r="264" spans="1:8" ht="43.95" customHeight="1">
      <c r="A264" s="1" t="s">
        <v>1266</v>
      </c>
      <c r="B264" s="14" t="s">
        <v>338</v>
      </c>
      <c r="C264" s="16">
        <v>1</v>
      </c>
      <c r="D264" s="15" t="s">
        <v>50</v>
      </c>
      <c r="E264" s="15" t="s">
        <v>1267</v>
      </c>
      <c r="F264" s="15" t="s">
        <v>1268</v>
      </c>
      <c r="G264" s="17">
        <v>1</v>
      </c>
      <c r="H264" s="1" t="str">
        <f>IF(G264=0,"Válido",IF(AND(ISNUMBER(G264),G264=1,A264&lt;&gt;"",COUNTIF($A$9:$A$3000,A264)=1,COUNTIF('Catalogo CU'!$A$9:$A$500,B264)=1,ISNUMBER(C264),C264&gt;=1,OR(D264="Principal",D264="Alternativo adicional"),E264&lt;&gt;"",F264&lt;&gt;""),"Válido","Revisar transacción"))</f>
        <v>Válido</v>
      </c>
    </row>
    <row r="265" spans="1:8" ht="43.95" customHeight="1">
      <c r="A265" s="1" t="s">
        <v>1269</v>
      </c>
      <c r="B265" s="14" t="s">
        <v>338</v>
      </c>
      <c r="C265" s="16">
        <v>2</v>
      </c>
      <c r="D265" s="15" t="s">
        <v>50</v>
      </c>
      <c r="E265" s="15" t="s">
        <v>1270</v>
      </c>
      <c r="F265" s="15" t="s">
        <v>1271</v>
      </c>
      <c r="G265" s="17">
        <v>1</v>
      </c>
      <c r="H265" s="1" t="str">
        <f>IF(G265=0,"Válido",IF(AND(ISNUMBER(G265),G265=1,A265&lt;&gt;"",COUNTIF($A$9:$A$3000,A265)=1,COUNTIF('Catalogo CU'!$A$9:$A$500,B265)=1,ISNUMBER(C265),C265&gt;=1,OR(D265="Principal",D265="Alternativo adicional"),E265&lt;&gt;"",F265&lt;&gt;""),"Válido","Revisar transacción"))</f>
        <v>Válido</v>
      </c>
    </row>
    <row r="266" spans="1:8" ht="43.95" customHeight="1">
      <c r="A266" s="1" t="s">
        <v>1272</v>
      </c>
      <c r="B266" s="14" t="s">
        <v>338</v>
      </c>
      <c r="C266" s="16">
        <v>3</v>
      </c>
      <c r="D266" s="15" t="s">
        <v>50</v>
      </c>
      <c r="E266" s="15" t="s">
        <v>1273</v>
      </c>
      <c r="F266" s="15" t="s">
        <v>1274</v>
      </c>
      <c r="G266" s="17">
        <v>1</v>
      </c>
      <c r="H266" s="1" t="str">
        <f>IF(G266=0,"Válido",IF(AND(ISNUMBER(G266),G266=1,A266&lt;&gt;"",COUNTIF($A$9:$A$3000,A266)=1,COUNTIF('Catalogo CU'!$A$9:$A$500,B266)=1,ISNUMBER(C266),C266&gt;=1,OR(D266="Principal",D266="Alternativo adicional"),E266&lt;&gt;"",F266&lt;&gt;""),"Válido","Revisar transacción"))</f>
        <v>Válido</v>
      </c>
    </row>
    <row r="267" spans="1:8" ht="43.95" customHeight="1">
      <c r="A267" s="1" t="s">
        <v>1275</v>
      </c>
      <c r="B267" s="14" t="s">
        <v>342</v>
      </c>
      <c r="C267" s="16">
        <v>1</v>
      </c>
      <c r="D267" s="15" t="s">
        <v>50</v>
      </c>
      <c r="E267" s="15" t="s">
        <v>1276</v>
      </c>
      <c r="F267" s="15" t="s">
        <v>1277</v>
      </c>
      <c r="G267" s="17">
        <v>1</v>
      </c>
      <c r="H267" s="1" t="str">
        <f>IF(G267=0,"Válido",IF(AND(ISNUMBER(G267),G267=1,A267&lt;&gt;"",COUNTIF($A$9:$A$3000,A267)=1,COUNTIF('Catalogo CU'!$A$9:$A$500,B267)=1,ISNUMBER(C267),C267&gt;=1,OR(D267="Principal",D267="Alternativo adicional"),E267&lt;&gt;"",F267&lt;&gt;""),"Válido","Revisar transacción"))</f>
        <v>Válido</v>
      </c>
    </row>
    <row r="268" spans="1:8" ht="43.95" customHeight="1">
      <c r="A268" s="1" t="s">
        <v>1278</v>
      </c>
      <c r="B268" s="14" t="s">
        <v>342</v>
      </c>
      <c r="C268" s="16">
        <v>2</v>
      </c>
      <c r="D268" s="15" t="s">
        <v>50</v>
      </c>
      <c r="E268" s="15" t="s">
        <v>1279</v>
      </c>
      <c r="F268" s="15" t="s">
        <v>1280</v>
      </c>
      <c r="G268" s="17">
        <v>1</v>
      </c>
      <c r="H268" s="1" t="str">
        <f>IF(G268=0,"Válido",IF(AND(ISNUMBER(G268),G268=1,A268&lt;&gt;"",COUNTIF($A$9:$A$3000,A268)=1,COUNTIF('Catalogo CU'!$A$9:$A$500,B268)=1,ISNUMBER(C268),C268&gt;=1,OR(D268="Principal",D268="Alternativo adicional"),E268&lt;&gt;"",F268&lt;&gt;""),"Válido","Revisar transacción"))</f>
        <v>Válido</v>
      </c>
    </row>
    <row r="269" spans="1:8" ht="43.95" customHeight="1">
      <c r="A269" s="1" t="s">
        <v>1281</v>
      </c>
      <c r="B269" s="14" t="s">
        <v>342</v>
      </c>
      <c r="C269" s="16">
        <v>3</v>
      </c>
      <c r="D269" s="15" t="s">
        <v>50</v>
      </c>
      <c r="E269" s="15" t="s">
        <v>1282</v>
      </c>
      <c r="F269" s="15" t="s">
        <v>1283</v>
      </c>
      <c r="G269" s="17">
        <v>1</v>
      </c>
      <c r="H269" s="1" t="str">
        <f>IF(G269=0,"Válido",IF(AND(ISNUMBER(G269),G269=1,A269&lt;&gt;"",COUNTIF($A$9:$A$3000,A269)=1,COUNTIF('Catalogo CU'!$A$9:$A$500,B269)=1,ISNUMBER(C269),C269&gt;=1,OR(D269="Principal",D269="Alternativo adicional"),E269&lt;&gt;"",F269&lt;&gt;""),"Válido","Revisar transacción"))</f>
        <v>Válido</v>
      </c>
    </row>
    <row r="270" spans="1:8" ht="43.95" customHeight="1">
      <c r="A270" s="1" t="s">
        <v>1284</v>
      </c>
      <c r="B270" s="14" t="s">
        <v>342</v>
      </c>
      <c r="C270" s="16">
        <v>4</v>
      </c>
      <c r="D270" s="15" t="s">
        <v>50</v>
      </c>
      <c r="E270" s="15" t="s">
        <v>1285</v>
      </c>
      <c r="F270" s="15" t="s">
        <v>1286</v>
      </c>
      <c r="G270" s="17">
        <v>1</v>
      </c>
      <c r="H270" s="1" t="str">
        <f>IF(G270=0,"Válido",IF(AND(ISNUMBER(G270),G270=1,A270&lt;&gt;"",COUNTIF($A$9:$A$3000,A270)=1,COUNTIF('Catalogo CU'!$A$9:$A$500,B270)=1,ISNUMBER(C270),C270&gt;=1,OR(D270="Principal",D270="Alternativo adicional"),E270&lt;&gt;"",F270&lt;&gt;""),"Válido","Revisar transacción"))</f>
        <v>Válido</v>
      </c>
    </row>
    <row r="271" spans="1:8" ht="43.95" customHeight="1">
      <c r="A271" s="1" t="s">
        <v>1287</v>
      </c>
      <c r="B271" s="14" t="s">
        <v>347</v>
      </c>
      <c r="C271" s="16">
        <v>1</v>
      </c>
      <c r="D271" s="15" t="s">
        <v>50</v>
      </c>
      <c r="E271" s="15" t="s">
        <v>1288</v>
      </c>
      <c r="F271" s="15" t="s">
        <v>1289</v>
      </c>
      <c r="G271" s="17">
        <v>1</v>
      </c>
      <c r="H271" s="1" t="str">
        <f>IF(G271=0,"Válido",IF(AND(ISNUMBER(G271),G271=1,A271&lt;&gt;"",COUNTIF($A$9:$A$3000,A271)=1,COUNTIF('Catalogo CU'!$A$9:$A$500,B271)=1,ISNUMBER(C271),C271&gt;=1,OR(D271="Principal",D271="Alternativo adicional"),E271&lt;&gt;"",F271&lt;&gt;""),"Válido","Revisar transacción"))</f>
        <v>Válido</v>
      </c>
    </row>
    <row r="272" spans="1:8" ht="43.95" customHeight="1">
      <c r="A272" s="1" t="s">
        <v>1290</v>
      </c>
      <c r="B272" s="14" t="s">
        <v>347</v>
      </c>
      <c r="C272" s="16">
        <v>2</v>
      </c>
      <c r="D272" s="15" t="s">
        <v>50</v>
      </c>
      <c r="E272" s="15" t="s">
        <v>1291</v>
      </c>
      <c r="F272" s="15" t="s">
        <v>1292</v>
      </c>
      <c r="G272" s="17">
        <v>1</v>
      </c>
      <c r="H272" s="1" t="str">
        <f>IF(G272=0,"Válido",IF(AND(ISNUMBER(G272),G272=1,A272&lt;&gt;"",COUNTIF($A$9:$A$3000,A272)=1,COUNTIF('Catalogo CU'!$A$9:$A$500,B272)=1,ISNUMBER(C272),C272&gt;=1,OR(D272="Principal",D272="Alternativo adicional"),E272&lt;&gt;"",F272&lt;&gt;""),"Válido","Revisar transacción"))</f>
        <v>Válido</v>
      </c>
    </row>
    <row r="273" spans="1:8" ht="43.95" customHeight="1">
      <c r="A273" s="1" t="s">
        <v>1293</v>
      </c>
      <c r="B273" s="14" t="s">
        <v>347</v>
      </c>
      <c r="C273" s="16">
        <v>3</v>
      </c>
      <c r="D273" s="15" t="s">
        <v>50</v>
      </c>
      <c r="E273" s="15" t="s">
        <v>1294</v>
      </c>
      <c r="F273" s="15" t="s">
        <v>1295</v>
      </c>
      <c r="G273" s="17">
        <v>1</v>
      </c>
      <c r="H273" s="1" t="str">
        <f>IF(G273=0,"Válido",IF(AND(ISNUMBER(G273),G273=1,A273&lt;&gt;"",COUNTIF($A$9:$A$3000,A273)=1,COUNTIF('Catalogo CU'!$A$9:$A$500,B273)=1,ISNUMBER(C273),C273&gt;=1,OR(D273="Principal",D273="Alternativo adicional"),E273&lt;&gt;"",F273&lt;&gt;""),"Válido","Revisar transacción"))</f>
        <v>Válido</v>
      </c>
    </row>
    <row r="274" spans="1:8" ht="43.95" customHeight="1">
      <c r="A274" s="1" t="s">
        <v>1296</v>
      </c>
      <c r="B274" s="14" t="s">
        <v>352</v>
      </c>
      <c r="C274" s="16">
        <v>1</v>
      </c>
      <c r="D274" s="15" t="s">
        <v>50</v>
      </c>
      <c r="E274" s="15" t="s">
        <v>1297</v>
      </c>
      <c r="F274" s="15" t="s">
        <v>1298</v>
      </c>
      <c r="G274" s="17">
        <v>1</v>
      </c>
      <c r="H274" s="1" t="str">
        <f>IF(G274=0,"Válido",IF(AND(ISNUMBER(G274),G274=1,A274&lt;&gt;"",COUNTIF($A$9:$A$3000,A274)=1,COUNTIF('Catalogo CU'!$A$9:$A$500,B274)=1,ISNUMBER(C274),C274&gt;=1,OR(D274="Principal",D274="Alternativo adicional"),E274&lt;&gt;"",F274&lt;&gt;""),"Válido","Revisar transacción"))</f>
        <v>Válido</v>
      </c>
    </row>
    <row r="275" spans="1:8" ht="43.95" customHeight="1">
      <c r="A275" s="1" t="s">
        <v>1299</v>
      </c>
      <c r="B275" s="14" t="s">
        <v>352</v>
      </c>
      <c r="C275" s="16">
        <v>2</v>
      </c>
      <c r="D275" s="15" t="s">
        <v>50</v>
      </c>
      <c r="E275" s="15" t="s">
        <v>1300</v>
      </c>
      <c r="F275" s="15" t="s">
        <v>1301</v>
      </c>
      <c r="G275" s="17">
        <v>1</v>
      </c>
      <c r="H275" s="1" t="str">
        <f>IF(G275=0,"Válido",IF(AND(ISNUMBER(G275),G275=1,A275&lt;&gt;"",COUNTIF($A$9:$A$3000,A275)=1,COUNTIF('Catalogo CU'!$A$9:$A$500,B275)=1,ISNUMBER(C275),C275&gt;=1,OR(D275="Principal",D275="Alternativo adicional"),E275&lt;&gt;"",F275&lt;&gt;""),"Válido","Revisar transacción"))</f>
        <v>Válido</v>
      </c>
    </row>
    <row r="276" spans="1:8" ht="43.95" customHeight="1">
      <c r="A276" s="1" t="s">
        <v>1302</v>
      </c>
      <c r="B276" s="14" t="s">
        <v>352</v>
      </c>
      <c r="C276" s="16">
        <v>3</v>
      </c>
      <c r="D276" s="15" t="s">
        <v>50</v>
      </c>
      <c r="E276" s="15" t="s">
        <v>1303</v>
      </c>
      <c r="F276" s="15" t="s">
        <v>1304</v>
      </c>
      <c r="G276" s="17">
        <v>1</v>
      </c>
      <c r="H276" s="1" t="str">
        <f>IF(G276=0,"Válido",IF(AND(ISNUMBER(G276),G276=1,A276&lt;&gt;"",COUNTIF($A$9:$A$3000,A276)=1,COUNTIF('Catalogo CU'!$A$9:$A$500,B276)=1,ISNUMBER(C276),C276&gt;=1,OR(D276="Principal",D276="Alternativo adicional"),E276&lt;&gt;"",F276&lt;&gt;""),"Válido","Revisar transacción"))</f>
        <v>Válido</v>
      </c>
    </row>
    <row r="277" spans="1:8" ht="43.95" customHeight="1">
      <c r="A277" s="1" t="s">
        <v>1305</v>
      </c>
      <c r="B277" s="14" t="s">
        <v>356</v>
      </c>
      <c r="C277" s="16">
        <v>1</v>
      </c>
      <c r="D277" s="15" t="s">
        <v>50</v>
      </c>
      <c r="E277" s="15" t="s">
        <v>1306</v>
      </c>
      <c r="F277" s="15" t="s">
        <v>1307</v>
      </c>
      <c r="G277" s="17">
        <v>1</v>
      </c>
      <c r="H277" s="1" t="str">
        <f>IF(G277=0,"Válido",IF(AND(ISNUMBER(G277),G277=1,A277&lt;&gt;"",COUNTIF($A$9:$A$3000,A277)=1,COUNTIF('Catalogo CU'!$A$9:$A$500,B277)=1,ISNUMBER(C277),C277&gt;=1,OR(D277="Principal",D277="Alternativo adicional"),E277&lt;&gt;"",F277&lt;&gt;""),"Válido","Revisar transacción"))</f>
        <v>Válido</v>
      </c>
    </row>
    <row r="278" spans="1:8" ht="43.95" customHeight="1">
      <c r="A278" s="1" t="s">
        <v>1308</v>
      </c>
      <c r="B278" s="14" t="s">
        <v>356</v>
      </c>
      <c r="C278" s="16">
        <v>2</v>
      </c>
      <c r="D278" s="15" t="s">
        <v>520</v>
      </c>
      <c r="E278" s="15" t="s">
        <v>1309</v>
      </c>
      <c r="F278" s="15" t="s">
        <v>1310</v>
      </c>
      <c r="G278" s="17">
        <v>1</v>
      </c>
      <c r="H278" s="1" t="str">
        <f>IF(G278=0,"Válido",IF(AND(ISNUMBER(G278),G278=1,A278&lt;&gt;"",COUNTIF($A$9:$A$3000,A278)=1,COUNTIF('Catalogo CU'!$A$9:$A$500,B278)=1,ISNUMBER(C278),C278&gt;=1,OR(D278="Principal",D278="Alternativo adicional"),E278&lt;&gt;"",F278&lt;&gt;""),"Válido","Revisar transacción"))</f>
        <v>Válido</v>
      </c>
    </row>
    <row r="279" spans="1:8" ht="43.95" customHeight="1">
      <c r="A279" s="1" t="s">
        <v>1311</v>
      </c>
      <c r="B279" s="14" t="s">
        <v>356</v>
      </c>
      <c r="C279" s="16">
        <v>3</v>
      </c>
      <c r="D279" s="15" t="s">
        <v>50</v>
      </c>
      <c r="E279" s="15" t="s">
        <v>1312</v>
      </c>
      <c r="F279" s="15" t="s">
        <v>1313</v>
      </c>
      <c r="G279" s="17">
        <v>1</v>
      </c>
      <c r="H279" s="1" t="str">
        <f>IF(G279=0,"Válido",IF(AND(ISNUMBER(G279),G279=1,A279&lt;&gt;"",COUNTIF($A$9:$A$3000,A279)=1,COUNTIF('Catalogo CU'!$A$9:$A$500,B279)=1,ISNUMBER(C279),C279&gt;=1,OR(D279="Principal",D279="Alternativo adicional"),E279&lt;&gt;"",F279&lt;&gt;""),"Válido","Revisar transacción"))</f>
        <v>Válido</v>
      </c>
    </row>
    <row r="280" spans="1:8" ht="43.95" customHeight="1">
      <c r="A280" s="1" t="s">
        <v>1314</v>
      </c>
      <c r="B280" s="14" t="s">
        <v>356</v>
      </c>
      <c r="C280" s="16">
        <v>4</v>
      </c>
      <c r="D280" s="15" t="s">
        <v>50</v>
      </c>
      <c r="E280" s="15" t="s">
        <v>1315</v>
      </c>
      <c r="F280" s="15" t="s">
        <v>1316</v>
      </c>
      <c r="G280" s="17">
        <v>1</v>
      </c>
      <c r="H280" s="1" t="str">
        <f>IF(G280=0,"Válido",IF(AND(ISNUMBER(G280),G280=1,A280&lt;&gt;"",COUNTIF($A$9:$A$3000,A280)=1,COUNTIF('Catalogo CU'!$A$9:$A$500,B280)=1,ISNUMBER(C280),C280&gt;=1,OR(D280="Principal",D280="Alternativo adicional"),E280&lt;&gt;"",F280&lt;&gt;""),"Válido","Revisar transacción"))</f>
        <v>Válido</v>
      </c>
    </row>
    <row r="281" spans="1:8" ht="43.95" customHeight="1">
      <c r="A281" s="1" t="s">
        <v>1317</v>
      </c>
      <c r="B281" s="14" t="s">
        <v>361</v>
      </c>
      <c r="C281" s="16">
        <v>1</v>
      </c>
      <c r="D281" s="15" t="s">
        <v>50</v>
      </c>
      <c r="E281" s="15" t="s">
        <v>1318</v>
      </c>
      <c r="F281" s="15" t="s">
        <v>1319</v>
      </c>
      <c r="G281" s="17">
        <v>1</v>
      </c>
      <c r="H281" s="1" t="str">
        <f>IF(G281=0,"Válido",IF(AND(ISNUMBER(G281),G281=1,A281&lt;&gt;"",COUNTIF($A$9:$A$3000,A281)=1,COUNTIF('Catalogo CU'!$A$9:$A$500,B281)=1,ISNUMBER(C281),C281&gt;=1,OR(D281="Principal",D281="Alternativo adicional"),E281&lt;&gt;"",F281&lt;&gt;""),"Válido","Revisar transacción"))</f>
        <v>Válido</v>
      </c>
    </row>
    <row r="282" spans="1:8" ht="43.95" customHeight="1">
      <c r="A282" s="1" t="s">
        <v>1320</v>
      </c>
      <c r="B282" s="14" t="s">
        <v>361</v>
      </c>
      <c r="C282" s="16">
        <v>2</v>
      </c>
      <c r="D282" s="15" t="s">
        <v>50</v>
      </c>
      <c r="E282" s="15" t="s">
        <v>1321</v>
      </c>
      <c r="F282" s="15" t="s">
        <v>1322</v>
      </c>
      <c r="G282" s="17">
        <v>1</v>
      </c>
      <c r="H282" s="1" t="str">
        <f>IF(G282=0,"Válido",IF(AND(ISNUMBER(G282),G282=1,A282&lt;&gt;"",COUNTIF($A$9:$A$3000,A282)=1,COUNTIF('Catalogo CU'!$A$9:$A$500,B282)=1,ISNUMBER(C282),C282&gt;=1,OR(D282="Principal",D282="Alternativo adicional"),E282&lt;&gt;"",F282&lt;&gt;""),"Válido","Revisar transacción"))</f>
        <v>Válido</v>
      </c>
    </row>
    <row r="283" spans="1:8" ht="43.95" customHeight="1">
      <c r="A283" s="1" t="s">
        <v>1323</v>
      </c>
      <c r="B283" s="14" t="s">
        <v>361</v>
      </c>
      <c r="C283" s="16">
        <v>3</v>
      </c>
      <c r="D283" s="15" t="s">
        <v>50</v>
      </c>
      <c r="E283" s="15" t="s">
        <v>1324</v>
      </c>
      <c r="F283" s="15" t="s">
        <v>1325</v>
      </c>
      <c r="G283" s="17">
        <v>1</v>
      </c>
      <c r="H283" s="1" t="str">
        <f>IF(G283=0,"Válido",IF(AND(ISNUMBER(G283),G283=1,A283&lt;&gt;"",COUNTIF($A$9:$A$3000,A283)=1,COUNTIF('Catalogo CU'!$A$9:$A$500,B283)=1,ISNUMBER(C283),C283&gt;=1,OR(D283="Principal",D283="Alternativo adicional"),E283&lt;&gt;"",F283&lt;&gt;""),"Válido","Revisar transacción"))</f>
        <v>Válido</v>
      </c>
    </row>
    <row r="284" spans="1:8" ht="43.95" customHeight="1">
      <c r="A284" s="1" t="s">
        <v>1326</v>
      </c>
      <c r="B284" s="14" t="s">
        <v>366</v>
      </c>
      <c r="C284" s="16">
        <v>1</v>
      </c>
      <c r="D284" s="15" t="s">
        <v>50</v>
      </c>
      <c r="E284" s="15" t="s">
        <v>1327</v>
      </c>
      <c r="F284" s="15" t="s">
        <v>1328</v>
      </c>
      <c r="G284" s="17">
        <v>1</v>
      </c>
      <c r="H284" s="1" t="str">
        <f>IF(G284=0,"Válido",IF(AND(ISNUMBER(G284),G284=1,A284&lt;&gt;"",COUNTIF($A$9:$A$3000,A284)=1,COUNTIF('Catalogo CU'!$A$9:$A$500,B284)=1,ISNUMBER(C284),C284&gt;=1,OR(D284="Principal",D284="Alternativo adicional"),E284&lt;&gt;"",F284&lt;&gt;""),"Válido","Revisar transacción"))</f>
        <v>Válido</v>
      </c>
    </row>
    <row r="285" spans="1:8" ht="43.95" customHeight="1">
      <c r="A285" s="1" t="s">
        <v>1329</v>
      </c>
      <c r="B285" s="14" t="s">
        <v>366</v>
      </c>
      <c r="C285" s="16">
        <v>2</v>
      </c>
      <c r="D285" s="15" t="s">
        <v>50</v>
      </c>
      <c r="E285" s="15" t="s">
        <v>1330</v>
      </c>
      <c r="F285" s="15" t="s">
        <v>1331</v>
      </c>
      <c r="G285" s="17">
        <v>1</v>
      </c>
      <c r="H285" s="1" t="str">
        <f>IF(G285=0,"Válido",IF(AND(ISNUMBER(G285),G285=1,A285&lt;&gt;"",COUNTIF($A$9:$A$3000,A285)=1,COUNTIF('Catalogo CU'!$A$9:$A$500,B285)=1,ISNUMBER(C285),C285&gt;=1,OR(D285="Principal",D285="Alternativo adicional"),E285&lt;&gt;"",F285&lt;&gt;""),"Válido","Revisar transacción"))</f>
        <v>Válido</v>
      </c>
    </row>
    <row r="286" spans="1:8" ht="43.95" customHeight="1">
      <c r="A286" s="1" t="s">
        <v>1332</v>
      </c>
      <c r="B286" s="14" t="s">
        <v>366</v>
      </c>
      <c r="C286" s="16">
        <v>3</v>
      </c>
      <c r="D286" s="15" t="s">
        <v>50</v>
      </c>
      <c r="E286" s="15" t="s">
        <v>1333</v>
      </c>
      <c r="F286" s="15" t="s">
        <v>1334</v>
      </c>
      <c r="G286" s="17">
        <v>1</v>
      </c>
      <c r="H286" s="1" t="str">
        <f>IF(G286=0,"Válido",IF(AND(ISNUMBER(G286),G286=1,A286&lt;&gt;"",COUNTIF($A$9:$A$3000,A286)=1,COUNTIF('Catalogo CU'!$A$9:$A$500,B286)=1,ISNUMBER(C286),C286&gt;=1,OR(D286="Principal",D286="Alternativo adicional"),E286&lt;&gt;"",F286&lt;&gt;""),"Válido","Revisar transacción"))</f>
        <v>Válido</v>
      </c>
    </row>
    <row r="287" spans="1:8" ht="43.95" customHeight="1">
      <c r="A287" s="1" t="s">
        <v>1335</v>
      </c>
      <c r="B287" s="14" t="s">
        <v>371</v>
      </c>
      <c r="C287" s="16">
        <v>1</v>
      </c>
      <c r="D287" s="15" t="s">
        <v>50</v>
      </c>
      <c r="E287" s="15" t="s">
        <v>1336</v>
      </c>
      <c r="F287" s="15" t="s">
        <v>1337</v>
      </c>
      <c r="G287" s="17">
        <v>1</v>
      </c>
      <c r="H287" s="1" t="str">
        <f>IF(G287=0,"Válido",IF(AND(ISNUMBER(G287),G287=1,A287&lt;&gt;"",COUNTIF($A$9:$A$3000,A287)=1,COUNTIF('Catalogo CU'!$A$9:$A$500,B287)=1,ISNUMBER(C287),C287&gt;=1,OR(D287="Principal",D287="Alternativo adicional"),E287&lt;&gt;"",F287&lt;&gt;""),"Válido","Revisar transacción"))</f>
        <v>Válido</v>
      </c>
    </row>
    <row r="288" spans="1:8" ht="43.95" customHeight="1">
      <c r="A288" s="1" t="s">
        <v>1338</v>
      </c>
      <c r="B288" s="14" t="s">
        <v>377</v>
      </c>
      <c r="C288" s="16">
        <v>1</v>
      </c>
      <c r="D288" s="15" t="s">
        <v>50</v>
      </c>
      <c r="E288" s="15" t="s">
        <v>1339</v>
      </c>
      <c r="F288" s="15" t="s">
        <v>1340</v>
      </c>
      <c r="G288" s="17">
        <v>1</v>
      </c>
      <c r="H288" s="1" t="str">
        <f>IF(G288=0,"Válido",IF(AND(ISNUMBER(G288),G288=1,A288&lt;&gt;"",COUNTIF($A$9:$A$3000,A288)=1,COUNTIF('Catalogo CU'!$A$9:$A$500,B288)=1,ISNUMBER(C288),C288&gt;=1,OR(D288="Principal",D288="Alternativo adicional"),E288&lt;&gt;"",F288&lt;&gt;""),"Válido","Revisar transacción"))</f>
        <v>Válido</v>
      </c>
    </row>
    <row r="289" spans="1:8" ht="43.95" customHeight="1">
      <c r="A289" s="1" t="s">
        <v>1341</v>
      </c>
      <c r="B289" s="14" t="s">
        <v>377</v>
      </c>
      <c r="C289" s="16">
        <v>2</v>
      </c>
      <c r="D289" s="15" t="s">
        <v>50</v>
      </c>
      <c r="E289" s="15" t="s">
        <v>1342</v>
      </c>
      <c r="F289" s="15" t="s">
        <v>1343</v>
      </c>
      <c r="G289" s="17">
        <v>1</v>
      </c>
      <c r="H289" s="1" t="str">
        <f>IF(G289=0,"Válido",IF(AND(ISNUMBER(G289),G289=1,A289&lt;&gt;"",COUNTIF($A$9:$A$3000,A289)=1,COUNTIF('Catalogo CU'!$A$9:$A$500,B289)=1,ISNUMBER(C289),C289&gt;=1,OR(D289="Principal",D289="Alternativo adicional"),E289&lt;&gt;"",F289&lt;&gt;""),"Válido","Revisar transacción"))</f>
        <v>Válido</v>
      </c>
    </row>
    <row r="290" spans="1:8" ht="43.95" customHeight="1">
      <c r="A290" s="1" t="s">
        <v>1344</v>
      </c>
      <c r="B290" s="14" t="s">
        <v>377</v>
      </c>
      <c r="C290" s="16">
        <v>3</v>
      </c>
      <c r="D290" s="15" t="s">
        <v>50</v>
      </c>
      <c r="E290" s="15" t="s">
        <v>1345</v>
      </c>
      <c r="F290" s="15" t="s">
        <v>1346</v>
      </c>
      <c r="G290" s="17">
        <v>1</v>
      </c>
      <c r="H290" s="1" t="str">
        <f>IF(G290=0,"Válido",IF(AND(ISNUMBER(G290),G290=1,A290&lt;&gt;"",COUNTIF($A$9:$A$3000,A290)=1,COUNTIF('Catalogo CU'!$A$9:$A$500,B290)=1,ISNUMBER(C290),C290&gt;=1,OR(D290="Principal",D290="Alternativo adicional"),E290&lt;&gt;"",F290&lt;&gt;""),"Válido","Revisar transacción"))</f>
        <v>Válido</v>
      </c>
    </row>
    <row r="291" spans="1:8" ht="43.95" customHeight="1">
      <c r="A291" s="1" t="s">
        <v>1347</v>
      </c>
      <c r="B291" s="14" t="s">
        <v>377</v>
      </c>
      <c r="C291" s="16">
        <v>4</v>
      </c>
      <c r="D291" s="15" t="s">
        <v>50</v>
      </c>
      <c r="E291" s="15" t="s">
        <v>1348</v>
      </c>
      <c r="F291" s="15" t="s">
        <v>1349</v>
      </c>
      <c r="G291" s="17">
        <v>1</v>
      </c>
      <c r="H291" s="1" t="str">
        <f>IF(G291=0,"Válido",IF(AND(ISNUMBER(G291),G291=1,A291&lt;&gt;"",COUNTIF($A$9:$A$3000,A291)=1,COUNTIF('Catalogo CU'!$A$9:$A$500,B291)=1,ISNUMBER(C291),C291&gt;=1,OR(D291="Principal",D291="Alternativo adicional"),E291&lt;&gt;"",F291&lt;&gt;""),"Válido","Revisar transacción"))</f>
        <v>Válido</v>
      </c>
    </row>
    <row r="292" spans="1:8" ht="43.95" customHeight="1">
      <c r="A292" s="1" t="s">
        <v>1350</v>
      </c>
      <c r="B292" s="14" t="s">
        <v>381</v>
      </c>
      <c r="C292" s="16">
        <v>1</v>
      </c>
      <c r="D292" s="15" t="s">
        <v>50</v>
      </c>
      <c r="E292" s="15" t="s">
        <v>1351</v>
      </c>
      <c r="F292" s="15" t="s">
        <v>1352</v>
      </c>
      <c r="G292" s="17">
        <v>1</v>
      </c>
      <c r="H292" s="1" t="str">
        <f>IF(G292=0,"Válido",IF(AND(ISNUMBER(G292),G292=1,A292&lt;&gt;"",COUNTIF($A$9:$A$3000,A292)=1,COUNTIF('Catalogo CU'!$A$9:$A$500,B292)=1,ISNUMBER(C292),C292&gt;=1,OR(D292="Principal",D292="Alternativo adicional"),E292&lt;&gt;"",F292&lt;&gt;""),"Válido","Revisar transacción"))</f>
        <v>Válido</v>
      </c>
    </row>
    <row r="293" spans="1:8" ht="43.95" customHeight="1">
      <c r="A293" s="1" t="s">
        <v>1353</v>
      </c>
      <c r="B293" s="14" t="s">
        <v>381</v>
      </c>
      <c r="C293" s="16">
        <v>2</v>
      </c>
      <c r="D293" s="15" t="s">
        <v>50</v>
      </c>
      <c r="E293" s="15" t="s">
        <v>1354</v>
      </c>
      <c r="F293" s="15" t="s">
        <v>1355</v>
      </c>
      <c r="G293" s="17">
        <v>1</v>
      </c>
      <c r="H293" s="1" t="str">
        <f>IF(G293=0,"Válido",IF(AND(ISNUMBER(G293),G293=1,A293&lt;&gt;"",COUNTIF($A$9:$A$3000,A293)=1,COUNTIF('Catalogo CU'!$A$9:$A$500,B293)=1,ISNUMBER(C293),C293&gt;=1,OR(D293="Principal",D293="Alternativo adicional"),E293&lt;&gt;"",F293&lt;&gt;""),"Válido","Revisar transacción"))</f>
        <v>Válido</v>
      </c>
    </row>
    <row r="294" spans="1:8" ht="43.95" customHeight="1">
      <c r="A294" s="1" t="s">
        <v>1356</v>
      </c>
      <c r="B294" s="14" t="s">
        <v>381</v>
      </c>
      <c r="C294" s="16">
        <v>3</v>
      </c>
      <c r="D294" s="15" t="s">
        <v>50</v>
      </c>
      <c r="E294" s="15" t="s">
        <v>1357</v>
      </c>
      <c r="F294" s="15" t="s">
        <v>1358</v>
      </c>
      <c r="G294" s="17">
        <v>1</v>
      </c>
      <c r="H294" s="1" t="str">
        <f>IF(G294=0,"Válido",IF(AND(ISNUMBER(G294),G294=1,A294&lt;&gt;"",COUNTIF($A$9:$A$3000,A294)=1,COUNTIF('Catalogo CU'!$A$9:$A$500,B294)=1,ISNUMBER(C294),C294&gt;=1,OR(D294="Principal",D294="Alternativo adicional"),E294&lt;&gt;"",F294&lt;&gt;""),"Válido","Revisar transacción"))</f>
        <v>Válido</v>
      </c>
    </row>
    <row r="295" spans="1:8" ht="43.95" customHeight="1">
      <c r="A295" s="1" t="s">
        <v>1359</v>
      </c>
      <c r="B295" s="14" t="s">
        <v>385</v>
      </c>
      <c r="C295" s="16">
        <v>1</v>
      </c>
      <c r="D295" s="15" t="s">
        <v>50</v>
      </c>
      <c r="E295" s="15" t="s">
        <v>1360</v>
      </c>
      <c r="F295" s="15" t="s">
        <v>1361</v>
      </c>
      <c r="G295" s="17">
        <v>1</v>
      </c>
      <c r="H295" s="1" t="str">
        <f>IF(G295=0,"Válido",IF(AND(ISNUMBER(G295),G295=1,A295&lt;&gt;"",COUNTIF($A$9:$A$3000,A295)=1,COUNTIF('Catalogo CU'!$A$9:$A$500,B295)=1,ISNUMBER(C295),C295&gt;=1,OR(D295="Principal",D295="Alternativo adicional"),E295&lt;&gt;"",F295&lt;&gt;""),"Válido","Revisar transacción"))</f>
        <v>Válido</v>
      </c>
    </row>
    <row r="296" spans="1:8" ht="43.95" customHeight="1">
      <c r="A296" s="1" t="s">
        <v>1362</v>
      </c>
      <c r="B296" s="14" t="s">
        <v>385</v>
      </c>
      <c r="C296" s="16">
        <v>2</v>
      </c>
      <c r="D296" s="15" t="s">
        <v>50</v>
      </c>
      <c r="E296" s="15" t="s">
        <v>1363</v>
      </c>
      <c r="F296" s="15" t="s">
        <v>1364</v>
      </c>
      <c r="G296" s="17">
        <v>1</v>
      </c>
      <c r="H296" s="1" t="str">
        <f>IF(G296=0,"Válido",IF(AND(ISNUMBER(G296),G296=1,A296&lt;&gt;"",COUNTIF($A$9:$A$3000,A296)=1,COUNTIF('Catalogo CU'!$A$9:$A$500,B296)=1,ISNUMBER(C296),C296&gt;=1,OR(D296="Principal",D296="Alternativo adicional"),E296&lt;&gt;"",F296&lt;&gt;""),"Válido","Revisar transacción"))</f>
        <v>Válido</v>
      </c>
    </row>
    <row r="297" spans="1:8" ht="43.95" customHeight="1">
      <c r="A297" s="1" t="s">
        <v>1365</v>
      </c>
      <c r="B297" s="14" t="s">
        <v>385</v>
      </c>
      <c r="C297" s="16">
        <v>3</v>
      </c>
      <c r="D297" s="15" t="s">
        <v>50</v>
      </c>
      <c r="E297" s="15" t="s">
        <v>1366</v>
      </c>
      <c r="F297" s="15" t="s">
        <v>1367</v>
      </c>
      <c r="G297" s="17">
        <v>1</v>
      </c>
      <c r="H297" s="1" t="str">
        <f>IF(G297=0,"Válido",IF(AND(ISNUMBER(G297),G297=1,A297&lt;&gt;"",COUNTIF($A$9:$A$3000,A297)=1,COUNTIF('Catalogo CU'!$A$9:$A$500,B297)=1,ISNUMBER(C297),C297&gt;=1,OR(D297="Principal",D297="Alternativo adicional"),E297&lt;&gt;"",F297&lt;&gt;""),"Válido","Revisar transacción"))</f>
        <v>Válido</v>
      </c>
    </row>
    <row r="298" spans="1:8" ht="43.95" customHeight="1">
      <c r="A298" s="1" t="s">
        <v>1368</v>
      </c>
      <c r="B298" s="14" t="s">
        <v>385</v>
      </c>
      <c r="C298" s="16">
        <v>4</v>
      </c>
      <c r="D298" s="15" t="s">
        <v>50</v>
      </c>
      <c r="E298" s="15" t="s">
        <v>1369</v>
      </c>
      <c r="F298" s="15" t="s">
        <v>1370</v>
      </c>
      <c r="G298" s="17">
        <v>1</v>
      </c>
      <c r="H298" s="1" t="str">
        <f>IF(G298=0,"Válido",IF(AND(ISNUMBER(G298),G298=1,A298&lt;&gt;"",COUNTIF($A$9:$A$3000,A298)=1,COUNTIF('Catalogo CU'!$A$9:$A$500,B298)=1,ISNUMBER(C298),C298&gt;=1,OR(D298="Principal",D298="Alternativo adicional"),E298&lt;&gt;"",F298&lt;&gt;""),"Válido","Revisar transacción"))</f>
        <v>Válido</v>
      </c>
    </row>
    <row r="299" spans="1:8" ht="43.95" customHeight="1">
      <c r="A299" s="1" t="s">
        <v>1371</v>
      </c>
      <c r="B299" s="14" t="s">
        <v>385</v>
      </c>
      <c r="C299" s="16">
        <v>5</v>
      </c>
      <c r="D299" s="15" t="s">
        <v>50</v>
      </c>
      <c r="E299" s="15" t="s">
        <v>1372</v>
      </c>
      <c r="F299" s="15" t="s">
        <v>1373</v>
      </c>
      <c r="G299" s="17">
        <v>1</v>
      </c>
      <c r="H299" s="1" t="str">
        <f>IF(G299=0,"Válido",IF(AND(ISNUMBER(G299),G299=1,A299&lt;&gt;"",COUNTIF($A$9:$A$3000,A299)=1,COUNTIF('Catalogo CU'!$A$9:$A$500,B299)=1,ISNUMBER(C299),C299&gt;=1,OR(D299="Principal",D299="Alternativo adicional"),E299&lt;&gt;"",F299&lt;&gt;""),"Válido","Revisar transacción"))</f>
        <v>Válido</v>
      </c>
    </row>
    <row r="300" spans="1:8" ht="43.95" customHeight="1">
      <c r="A300" s="1" t="s">
        <v>1374</v>
      </c>
      <c r="B300" s="14" t="s">
        <v>385</v>
      </c>
      <c r="C300" s="16">
        <v>6</v>
      </c>
      <c r="D300" s="15" t="s">
        <v>50</v>
      </c>
      <c r="E300" s="15" t="s">
        <v>1375</v>
      </c>
      <c r="F300" s="15" t="s">
        <v>1376</v>
      </c>
      <c r="G300" s="17">
        <v>1</v>
      </c>
      <c r="H300" s="1" t="str">
        <f>IF(G300=0,"Válido",IF(AND(ISNUMBER(G300),G300=1,A300&lt;&gt;"",COUNTIF($A$9:$A$3000,A300)=1,COUNTIF('Catalogo CU'!$A$9:$A$500,B300)=1,ISNUMBER(C300),C300&gt;=1,OR(D300="Principal",D300="Alternativo adicional"),E300&lt;&gt;"",F300&lt;&gt;""),"Válido","Revisar transacción"))</f>
        <v>Válido</v>
      </c>
    </row>
    <row r="301" spans="1:8" ht="43.95" customHeight="1">
      <c r="A301" s="1" t="s">
        <v>1377</v>
      </c>
      <c r="B301" s="14" t="s">
        <v>390</v>
      </c>
      <c r="C301" s="16">
        <v>1</v>
      </c>
      <c r="D301" s="15" t="s">
        <v>50</v>
      </c>
      <c r="E301" s="15" t="s">
        <v>1378</v>
      </c>
      <c r="F301" s="15" t="s">
        <v>1379</v>
      </c>
      <c r="G301" s="17">
        <v>1</v>
      </c>
      <c r="H301" s="1" t="str">
        <f>IF(G301=0,"Válido",IF(AND(ISNUMBER(G301),G301=1,A301&lt;&gt;"",COUNTIF($A$9:$A$3000,A301)=1,COUNTIF('Catalogo CU'!$A$9:$A$500,B301)=1,ISNUMBER(C301),C301&gt;=1,OR(D301="Principal",D301="Alternativo adicional"),E301&lt;&gt;"",F301&lt;&gt;""),"Válido","Revisar transacción"))</f>
        <v>Válido</v>
      </c>
    </row>
    <row r="302" spans="1:8" ht="43.95" customHeight="1">
      <c r="A302" s="1" t="s">
        <v>1380</v>
      </c>
      <c r="B302" s="14" t="s">
        <v>390</v>
      </c>
      <c r="C302" s="16">
        <v>2</v>
      </c>
      <c r="D302" s="15" t="s">
        <v>50</v>
      </c>
      <c r="E302" s="15" t="s">
        <v>1381</v>
      </c>
      <c r="F302" s="15" t="s">
        <v>1382</v>
      </c>
      <c r="G302" s="17">
        <v>1</v>
      </c>
      <c r="H302" s="1" t="str">
        <f>IF(G302=0,"Válido",IF(AND(ISNUMBER(G302),G302=1,A302&lt;&gt;"",COUNTIF($A$9:$A$3000,A302)=1,COUNTIF('Catalogo CU'!$A$9:$A$500,B302)=1,ISNUMBER(C302),C302&gt;=1,OR(D302="Principal",D302="Alternativo adicional"),E302&lt;&gt;"",F302&lt;&gt;""),"Válido","Revisar transacción"))</f>
        <v>Válido</v>
      </c>
    </row>
    <row r="303" spans="1:8" ht="43.95" customHeight="1">
      <c r="A303" s="1" t="s">
        <v>1383</v>
      </c>
      <c r="B303" s="14" t="s">
        <v>390</v>
      </c>
      <c r="C303" s="16">
        <v>3</v>
      </c>
      <c r="D303" s="15" t="s">
        <v>50</v>
      </c>
      <c r="E303" s="15" t="s">
        <v>1384</v>
      </c>
      <c r="F303" s="15" t="s">
        <v>1385</v>
      </c>
      <c r="G303" s="17">
        <v>1</v>
      </c>
      <c r="H303" s="1" t="str">
        <f>IF(G303=0,"Válido",IF(AND(ISNUMBER(G303),G303=1,A303&lt;&gt;"",COUNTIF($A$9:$A$3000,A303)=1,COUNTIF('Catalogo CU'!$A$9:$A$500,B303)=1,ISNUMBER(C303),C303&gt;=1,OR(D303="Principal",D303="Alternativo adicional"),E303&lt;&gt;"",F303&lt;&gt;""),"Válido","Revisar transacción"))</f>
        <v>Válido</v>
      </c>
    </row>
    <row r="304" spans="1:8" ht="43.95" customHeight="1">
      <c r="A304" s="1" t="s">
        <v>1386</v>
      </c>
      <c r="B304" s="14" t="s">
        <v>390</v>
      </c>
      <c r="C304" s="16">
        <v>4</v>
      </c>
      <c r="D304" s="15" t="s">
        <v>50</v>
      </c>
      <c r="E304" s="15" t="s">
        <v>1387</v>
      </c>
      <c r="F304" s="15" t="s">
        <v>1388</v>
      </c>
      <c r="G304" s="17">
        <v>1</v>
      </c>
      <c r="H304" s="1" t="str">
        <f>IF(G304=0,"Válido",IF(AND(ISNUMBER(G304),G304=1,A304&lt;&gt;"",COUNTIF($A$9:$A$3000,A304)=1,COUNTIF('Catalogo CU'!$A$9:$A$500,B304)=1,ISNUMBER(C304),C304&gt;=1,OR(D304="Principal",D304="Alternativo adicional"),E304&lt;&gt;"",F304&lt;&gt;""),"Válido","Revisar transacción"))</f>
        <v>Válido</v>
      </c>
    </row>
    <row r="305" spans="1:8" ht="43.95" customHeight="1">
      <c r="A305" s="1" t="s">
        <v>1389</v>
      </c>
      <c r="B305" s="14" t="s">
        <v>390</v>
      </c>
      <c r="C305" s="16">
        <v>5</v>
      </c>
      <c r="D305" s="15" t="s">
        <v>50</v>
      </c>
      <c r="E305" s="15" t="s">
        <v>1390</v>
      </c>
      <c r="F305" s="15" t="s">
        <v>1391</v>
      </c>
      <c r="G305" s="17">
        <v>1</v>
      </c>
      <c r="H305" s="1" t="str">
        <f>IF(G305=0,"Válido",IF(AND(ISNUMBER(G305),G305=1,A305&lt;&gt;"",COUNTIF($A$9:$A$3000,A305)=1,COUNTIF('Catalogo CU'!$A$9:$A$500,B305)=1,ISNUMBER(C305),C305&gt;=1,OR(D305="Principal",D305="Alternativo adicional"),E305&lt;&gt;"",F305&lt;&gt;""),"Válido","Revisar transacción"))</f>
        <v>Válido</v>
      </c>
    </row>
    <row r="306" spans="1:8" ht="43.95" customHeight="1">
      <c r="A306" s="1" t="s">
        <v>1392</v>
      </c>
      <c r="B306" s="14" t="s">
        <v>395</v>
      </c>
      <c r="C306" s="16">
        <v>1</v>
      </c>
      <c r="D306" s="15" t="s">
        <v>50</v>
      </c>
      <c r="E306" s="15" t="s">
        <v>1393</v>
      </c>
      <c r="F306" s="15" t="s">
        <v>1394</v>
      </c>
      <c r="G306" s="17">
        <v>1</v>
      </c>
      <c r="H306" s="1" t="str">
        <f>IF(G306=0,"Válido",IF(AND(ISNUMBER(G306),G306=1,A306&lt;&gt;"",COUNTIF($A$9:$A$3000,A306)=1,COUNTIF('Catalogo CU'!$A$9:$A$500,B306)=1,ISNUMBER(C306),C306&gt;=1,OR(D306="Principal",D306="Alternativo adicional"),E306&lt;&gt;"",F306&lt;&gt;""),"Válido","Revisar transacción"))</f>
        <v>Válido</v>
      </c>
    </row>
    <row r="307" spans="1:8" ht="43.95" customHeight="1">
      <c r="A307" s="1" t="s">
        <v>1395</v>
      </c>
      <c r="B307" s="14" t="s">
        <v>395</v>
      </c>
      <c r="C307" s="16">
        <v>2</v>
      </c>
      <c r="D307" s="15" t="s">
        <v>50</v>
      </c>
      <c r="E307" s="15" t="s">
        <v>1396</v>
      </c>
      <c r="F307" s="15" t="s">
        <v>1397</v>
      </c>
      <c r="G307" s="17">
        <v>1</v>
      </c>
      <c r="H307" s="1" t="str">
        <f>IF(G307=0,"Válido",IF(AND(ISNUMBER(G307),G307=1,A307&lt;&gt;"",COUNTIF($A$9:$A$3000,A307)=1,COUNTIF('Catalogo CU'!$A$9:$A$500,B307)=1,ISNUMBER(C307),C307&gt;=1,OR(D307="Principal",D307="Alternativo adicional"),E307&lt;&gt;"",F307&lt;&gt;""),"Válido","Revisar transacción"))</f>
        <v>Válido</v>
      </c>
    </row>
    <row r="308" spans="1:8" ht="43.95" customHeight="1">
      <c r="A308" s="1" t="s">
        <v>1398</v>
      </c>
      <c r="B308" s="14" t="s">
        <v>395</v>
      </c>
      <c r="C308" s="16">
        <v>3</v>
      </c>
      <c r="D308" s="15" t="s">
        <v>50</v>
      </c>
      <c r="E308" s="15" t="s">
        <v>1399</v>
      </c>
      <c r="F308" s="15" t="s">
        <v>1400</v>
      </c>
      <c r="G308" s="17">
        <v>1</v>
      </c>
      <c r="H308" s="1" t="str">
        <f>IF(G308=0,"Válido",IF(AND(ISNUMBER(G308),G308=1,A308&lt;&gt;"",COUNTIF($A$9:$A$3000,A308)=1,COUNTIF('Catalogo CU'!$A$9:$A$500,B308)=1,ISNUMBER(C308),C308&gt;=1,OR(D308="Principal",D308="Alternativo adicional"),E308&lt;&gt;"",F308&lt;&gt;""),"Válido","Revisar transacción"))</f>
        <v>Válido</v>
      </c>
    </row>
    <row r="309" spans="1:8" ht="43.95" customHeight="1">
      <c r="A309" s="1" t="s">
        <v>1401</v>
      </c>
      <c r="B309" s="14" t="s">
        <v>395</v>
      </c>
      <c r="C309" s="16">
        <v>4</v>
      </c>
      <c r="D309" s="15" t="s">
        <v>50</v>
      </c>
      <c r="E309" s="15" t="s">
        <v>1402</v>
      </c>
      <c r="F309" s="15" t="s">
        <v>1403</v>
      </c>
      <c r="G309" s="17">
        <v>1</v>
      </c>
      <c r="H309" s="1" t="str">
        <f>IF(G309=0,"Válido",IF(AND(ISNUMBER(G309),G309=1,A309&lt;&gt;"",COUNTIF($A$9:$A$3000,A309)=1,COUNTIF('Catalogo CU'!$A$9:$A$500,B309)=1,ISNUMBER(C309),C309&gt;=1,OR(D309="Principal",D309="Alternativo adicional"),E309&lt;&gt;"",F309&lt;&gt;""),"Válido","Revisar transacción"))</f>
        <v>Válido</v>
      </c>
    </row>
    <row r="310" spans="1:8" ht="43.95" customHeight="1">
      <c r="A310" s="1" t="s">
        <v>1404</v>
      </c>
      <c r="B310" s="14" t="s">
        <v>395</v>
      </c>
      <c r="C310" s="16">
        <v>5</v>
      </c>
      <c r="D310" s="15" t="s">
        <v>50</v>
      </c>
      <c r="E310" s="15" t="s">
        <v>1405</v>
      </c>
      <c r="F310" s="15" t="s">
        <v>1406</v>
      </c>
      <c r="G310" s="17">
        <v>1</v>
      </c>
      <c r="H310" s="1" t="str">
        <f>IF(G310=0,"Válido",IF(AND(ISNUMBER(G310),G310=1,A310&lt;&gt;"",COUNTIF($A$9:$A$3000,A310)=1,COUNTIF('Catalogo CU'!$A$9:$A$500,B310)=1,ISNUMBER(C310),C310&gt;=1,OR(D310="Principal",D310="Alternativo adicional"),E310&lt;&gt;"",F310&lt;&gt;""),"Válido","Revisar transacción"))</f>
        <v>Válido</v>
      </c>
    </row>
    <row r="311" spans="1:8" ht="43.95" customHeight="1">
      <c r="A311" s="1" t="s">
        <v>1407</v>
      </c>
      <c r="B311" s="14" t="s">
        <v>400</v>
      </c>
      <c r="C311" s="16">
        <v>1</v>
      </c>
      <c r="D311" s="15" t="s">
        <v>50</v>
      </c>
      <c r="E311" s="15" t="s">
        <v>1408</v>
      </c>
      <c r="F311" s="15" t="s">
        <v>1409</v>
      </c>
      <c r="G311" s="17">
        <v>1</v>
      </c>
      <c r="H311" s="1" t="str">
        <f>IF(G311=0,"Válido",IF(AND(ISNUMBER(G311),G311=1,A311&lt;&gt;"",COUNTIF($A$9:$A$3000,A311)=1,COUNTIF('Catalogo CU'!$A$9:$A$500,B311)=1,ISNUMBER(C311),C311&gt;=1,OR(D311="Principal",D311="Alternativo adicional"),E311&lt;&gt;"",F311&lt;&gt;""),"Válido","Revisar transacción"))</f>
        <v>Válido</v>
      </c>
    </row>
    <row r="312" spans="1:8" ht="43.95" customHeight="1">
      <c r="A312" s="1" t="s">
        <v>1410</v>
      </c>
      <c r="B312" s="14" t="s">
        <v>400</v>
      </c>
      <c r="C312" s="16">
        <v>2</v>
      </c>
      <c r="D312" s="15" t="s">
        <v>50</v>
      </c>
      <c r="E312" s="15" t="s">
        <v>1411</v>
      </c>
      <c r="F312" s="15" t="s">
        <v>1412</v>
      </c>
      <c r="G312" s="17">
        <v>1</v>
      </c>
      <c r="H312" s="1" t="str">
        <f>IF(G312=0,"Válido",IF(AND(ISNUMBER(G312),G312=1,A312&lt;&gt;"",COUNTIF($A$9:$A$3000,A312)=1,COUNTIF('Catalogo CU'!$A$9:$A$500,B312)=1,ISNUMBER(C312),C312&gt;=1,OR(D312="Principal",D312="Alternativo adicional"),E312&lt;&gt;"",F312&lt;&gt;""),"Válido","Revisar transacción"))</f>
        <v>Válido</v>
      </c>
    </row>
    <row r="313" spans="1:8" ht="43.95" customHeight="1">
      <c r="A313" s="1" t="s">
        <v>1413</v>
      </c>
      <c r="B313" s="14" t="s">
        <v>400</v>
      </c>
      <c r="C313" s="16">
        <v>3</v>
      </c>
      <c r="D313" s="15" t="s">
        <v>50</v>
      </c>
      <c r="E313" s="15" t="s">
        <v>1414</v>
      </c>
      <c r="F313" s="15" t="s">
        <v>1415</v>
      </c>
      <c r="G313" s="17">
        <v>1</v>
      </c>
      <c r="H313" s="1" t="str">
        <f>IF(G313=0,"Válido",IF(AND(ISNUMBER(G313),G313=1,A313&lt;&gt;"",COUNTIF($A$9:$A$3000,A313)=1,COUNTIF('Catalogo CU'!$A$9:$A$500,B313)=1,ISNUMBER(C313),C313&gt;=1,OR(D313="Principal",D313="Alternativo adicional"),E313&lt;&gt;"",F313&lt;&gt;""),"Válido","Revisar transacción"))</f>
        <v>Válido</v>
      </c>
    </row>
    <row r="314" spans="1:8" ht="43.95" customHeight="1">
      <c r="A314" s="1" t="s">
        <v>1416</v>
      </c>
      <c r="B314" s="14" t="s">
        <v>400</v>
      </c>
      <c r="C314" s="16">
        <v>4</v>
      </c>
      <c r="D314" s="15" t="s">
        <v>50</v>
      </c>
      <c r="E314" s="15" t="s">
        <v>1417</v>
      </c>
      <c r="F314" s="15" t="s">
        <v>1418</v>
      </c>
      <c r="G314" s="17">
        <v>1</v>
      </c>
      <c r="H314" s="1" t="str">
        <f>IF(G314=0,"Válido",IF(AND(ISNUMBER(G314),G314=1,A314&lt;&gt;"",COUNTIF($A$9:$A$3000,A314)=1,COUNTIF('Catalogo CU'!$A$9:$A$500,B314)=1,ISNUMBER(C314),C314&gt;=1,OR(D314="Principal",D314="Alternativo adicional"),E314&lt;&gt;"",F314&lt;&gt;""),"Válido","Revisar transacción"))</f>
        <v>Válido</v>
      </c>
    </row>
    <row r="315" spans="1:8" ht="43.95" customHeight="1">
      <c r="A315" s="1" t="s">
        <v>1419</v>
      </c>
      <c r="B315" s="14" t="s">
        <v>400</v>
      </c>
      <c r="C315" s="16">
        <v>5</v>
      </c>
      <c r="D315" s="15" t="s">
        <v>50</v>
      </c>
      <c r="E315" s="15" t="s">
        <v>1420</v>
      </c>
      <c r="F315" s="15" t="s">
        <v>1421</v>
      </c>
      <c r="G315" s="17">
        <v>1</v>
      </c>
      <c r="H315" s="1" t="str">
        <f>IF(G315=0,"Válido",IF(AND(ISNUMBER(G315),G315=1,A315&lt;&gt;"",COUNTIF($A$9:$A$3000,A315)=1,COUNTIF('Catalogo CU'!$A$9:$A$500,B315)=1,ISNUMBER(C315),C315&gt;=1,OR(D315="Principal",D315="Alternativo adicional"),E315&lt;&gt;"",F315&lt;&gt;""),"Válido","Revisar transacción"))</f>
        <v>Válido</v>
      </c>
    </row>
    <row r="316" spans="1:8" ht="43.95" customHeight="1">
      <c r="A316" s="1" t="s">
        <v>1422</v>
      </c>
      <c r="B316" s="14" t="s">
        <v>405</v>
      </c>
      <c r="C316" s="16">
        <v>1</v>
      </c>
      <c r="D316" s="15" t="s">
        <v>50</v>
      </c>
      <c r="E316" s="15" t="s">
        <v>1423</v>
      </c>
      <c r="F316" s="15" t="s">
        <v>1424</v>
      </c>
      <c r="G316" s="17">
        <v>1</v>
      </c>
      <c r="H316" s="1" t="str">
        <f>IF(G316=0,"Válido",IF(AND(ISNUMBER(G316),G316=1,A316&lt;&gt;"",COUNTIF($A$9:$A$3000,A316)=1,COUNTIF('Catalogo CU'!$A$9:$A$500,B316)=1,ISNUMBER(C316),C316&gt;=1,OR(D316="Principal",D316="Alternativo adicional"),E316&lt;&gt;"",F316&lt;&gt;""),"Válido","Revisar transacción"))</f>
        <v>Válido</v>
      </c>
    </row>
    <row r="317" spans="1:8" ht="43.95" customHeight="1">
      <c r="A317" s="1" t="s">
        <v>1425</v>
      </c>
      <c r="B317" s="14" t="s">
        <v>405</v>
      </c>
      <c r="C317" s="16">
        <v>2</v>
      </c>
      <c r="D317" s="15" t="s">
        <v>50</v>
      </c>
      <c r="E317" s="15" t="s">
        <v>1426</v>
      </c>
      <c r="F317" s="15" t="s">
        <v>1427</v>
      </c>
      <c r="G317" s="17">
        <v>1</v>
      </c>
      <c r="H317" s="1" t="str">
        <f>IF(G317=0,"Válido",IF(AND(ISNUMBER(G317),G317=1,A317&lt;&gt;"",COUNTIF($A$9:$A$3000,A317)=1,COUNTIF('Catalogo CU'!$A$9:$A$500,B317)=1,ISNUMBER(C317),C317&gt;=1,OR(D317="Principal",D317="Alternativo adicional"),E317&lt;&gt;"",F317&lt;&gt;""),"Válido","Revisar transacción"))</f>
        <v>Válido</v>
      </c>
    </row>
    <row r="318" spans="1:8" ht="43.95" customHeight="1">
      <c r="A318" s="1" t="s">
        <v>1428</v>
      </c>
      <c r="B318" s="14" t="s">
        <v>405</v>
      </c>
      <c r="C318" s="16">
        <v>3</v>
      </c>
      <c r="D318" s="15" t="s">
        <v>50</v>
      </c>
      <c r="E318" s="15" t="s">
        <v>1429</v>
      </c>
      <c r="F318" s="15" t="s">
        <v>1430</v>
      </c>
      <c r="G318" s="17">
        <v>1</v>
      </c>
      <c r="H318" s="1" t="str">
        <f>IF(G318=0,"Válido",IF(AND(ISNUMBER(G318),G318=1,A318&lt;&gt;"",COUNTIF($A$9:$A$3000,A318)=1,COUNTIF('Catalogo CU'!$A$9:$A$500,B318)=1,ISNUMBER(C318),C318&gt;=1,OR(D318="Principal",D318="Alternativo adicional"),E318&lt;&gt;"",F318&lt;&gt;""),"Válido","Revisar transacción"))</f>
        <v>Válido</v>
      </c>
    </row>
    <row r="319" spans="1:8" ht="43.95" customHeight="1">
      <c r="A319" s="1" t="s">
        <v>1431</v>
      </c>
      <c r="B319" s="14" t="s">
        <v>409</v>
      </c>
      <c r="C319" s="16">
        <v>1</v>
      </c>
      <c r="D319" s="15" t="s">
        <v>50</v>
      </c>
      <c r="E319" s="15" t="s">
        <v>1432</v>
      </c>
      <c r="F319" s="15" t="s">
        <v>1433</v>
      </c>
      <c r="G319" s="17">
        <v>1</v>
      </c>
      <c r="H319" s="1" t="str">
        <f>IF(G319=0,"Válido",IF(AND(ISNUMBER(G319),G319=1,A319&lt;&gt;"",COUNTIF($A$9:$A$3000,A319)=1,COUNTIF('Catalogo CU'!$A$9:$A$500,B319)=1,ISNUMBER(C319),C319&gt;=1,OR(D319="Principal",D319="Alternativo adicional"),E319&lt;&gt;"",F319&lt;&gt;""),"Válido","Revisar transacción"))</f>
        <v>Válido</v>
      </c>
    </row>
    <row r="320" spans="1:8" ht="43.95" customHeight="1">
      <c r="A320" s="1" t="s">
        <v>1434</v>
      </c>
      <c r="B320" s="14" t="s">
        <v>409</v>
      </c>
      <c r="C320" s="16">
        <v>2</v>
      </c>
      <c r="D320" s="15" t="s">
        <v>50</v>
      </c>
      <c r="E320" s="15" t="s">
        <v>1435</v>
      </c>
      <c r="F320" s="15" t="s">
        <v>1436</v>
      </c>
      <c r="G320" s="17">
        <v>1</v>
      </c>
      <c r="H320" s="1" t="str">
        <f>IF(G320=0,"Válido",IF(AND(ISNUMBER(G320),G320=1,A320&lt;&gt;"",COUNTIF($A$9:$A$3000,A320)=1,COUNTIF('Catalogo CU'!$A$9:$A$500,B320)=1,ISNUMBER(C320),C320&gt;=1,OR(D320="Principal",D320="Alternativo adicional"),E320&lt;&gt;"",F320&lt;&gt;""),"Válido","Revisar transacción"))</f>
        <v>Válido</v>
      </c>
    </row>
    <row r="321" spans="1:8" ht="43.95" customHeight="1">
      <c r="A321" s="1" t="s">
        <v>1437</v>
      </c>
      <c r="B321" s="14" t="s">
        <v>409</v>
      </c>
      <c r="C321" s="16">
        <v>3</v>
      </c>
      <c r="D321" s="15" t="s">
        <v>50</v>
      </c>
      <c r="E321" s="15" t="s">
        <v>1438</v>
      </c>
      <c r="F321" s="15" t="s">
        <v>1439</v>
      </c>
      <c r="G321" s="17">
        <v>1</v>
      </c>
      <c r="H321" s="1" t="str">
        <f>IF(G321=0,"Válido",IF(AND(ISNUMBER(G321),G321=1,A321&lt;&gt;"",COUNTIF($A$9:$A$3000,A321)=1,COUNTIF('Catalogo CU'!$A$9:$A$500,B321)=1,ISNUMBER(C321),C321&gt;=1,OR(D321="Principal",D321="Alternativo adicional"),E321&lt;&gt;"",F321&lt;&gt;""),"Válido","Revisar transacción"))</f>
        <v>Válido</v>
      </c>
    </row>
    <row r="322" spans="1:8" ht="43.95" customHeight="1">
      <c r="A322" s="1" t="s">
        <v>1440</v>
      </c>
      <c r="B322" s="14" t="s">
        <v>409</v>
      </c>
      <c r="C322" s="16">
        <v>4</v>
      </c>
      <c r="D322" s="15" t="s">
        <v>50</v>
      </c>
      <c r="E322" s="15" t="s">
        <v>1441</v>
      </c>
      <c r="F322" s="15" t="s">
        <v>1442</v>
      </c>
      <c r="G322" s="17">
        <v>1</v>
      </c>
      <c r="H322" s="1" t="str">
        <f>IF(G322=0,"Válido",IF(AND(ISNUMBER(G322),G322=1,A322&lt;&gt;"",COUNTIF($A$9:$A$3000,A322)=1,COUNTIF('Catalogo CU'!$A$9:$A$500,B322)=1,ISNUMBER(C322),C322&gt;=1,OR(D322="Principal",D322="Alternativo adicional"),E322&lt;&gt;"",F322&lt;&gt;""),"Válido","Revisar transacción"))</f>
        <v>Válido</v>
      </c>
    </row>
    <row r="323" spans="1:8" ht="43.95" customHeight="1">
      <c r="A323" s="1" t="s">
        <v>1443</v>
      </c>
      <c r="B323" s="14" t="s">
        <v>409</v>
      </c>
      <c r="C323" s="16">
        <v>5</v>
      </c>
      <c r="D323" s="15" t="s">
        <v>50</v>
      </c>
      <c r="E323" s="15" t="s">
        <v>722</v>
      </c>
      <c r="F323" s="15" t="s">
        <v>1444</v>
      </c>
      <c r="G323" s="17">
        <v>1</v>
      </c>
      <c r="H323" s="1" t="str">
        <f>IF(G323=0,"Válido",IF(AND(ISNUMBER(G323),G323=1,A323&lt;&gt;"",COUNTIF($A$9:$A$3000,A323)=1,COUNTIF('Catalogo CU'!$A$9:$A$500,B323)=1,ISNUMBER(C323),C323&gt;=1,OR(D323="Principal",D323="Alternativo adicional"),E323&lt;&gt;"",F323&lt;&gt;""),"Válido","Revisar transacción"))</f>
        <v>Válido</v>
      </c>
    </row>
    <row r="324" spans="1:8" ht="43.95" customHeight="1">
      <c r="A324" s="1" t="s">
        <v>1445</v>
      </c>
      <c r="B324" s="14" t="s">
        <v>413</v>
      </c>
      <c r="C324" s="16">
        <v>1</v>
      </c>
      <c r="D324" s="15" t="s">
        <v>50</v>
      </c>
      <c r="E324" s="15" t="s">
        <v>1446</v>
      </c>
      <c r="F324" s="15" t="s">
        <v>1447</v>
      </c>
      <c r="G324" s="17">
        <v>1</v>
      </c>
      <c r="H324" s="1" t="str">
        <f>IF(G324=0,"Válido",IF(AND(ISNUMBER(G324),G324=1,A324&lt;&gt;"",COUNTIF($A$9:$A$3000,A324)=1,COUNTIF('Catalogo CU'!$A$9:$A$500,B324)=1,ISNUMBER(C324),C324&gt;=1,OR(D324="Principal",D324="Alternativo adicional"),E324&lt;&gt;"",F324&lt;&gt;""),"Válido","Revisar transacción"))</f>
        <v>Válido</v>
      </c>
    </row>
    <row r="325" spans="1:8" ht="43.95" customHeight="1">
      <c r="A325" s="1" t="s">
        <v>1448</v>
      </c>
      <c r="B325" s="14" t="s">
        <v>413</v>
      </c>
      <c r="C325" s="16">
        <v>2</v>
      </c>
      <c r="D325" s="15" t="s">
        <v>50</v>
      </c>
      <c r="E325" s="15" t="s">
        <v>1449</v>
      </c>
      <c r="F325" s="15" t="s">
        <v>1450</v>
      </c>
      <c r="G325" s="17">
        <v>1</v>
      </c>
      <c r="H325" s="1" t="str">
        <f>IF(G325=0,"Válido",IF(AND(ISNUMBER(G325),G325=1,A325&lt;&gt;"",COUNTIF($A$9:$A$3000,A325)=1,COUNTIF('Catalogo CU'!$A$9:$A$500,B325)=1,ISNUMBER(C325),C325&gt;=1,OR(D325="Principal",D325="Alternativo adicional"),E325&lt;&gt;"",F325&lt;&gt;""),"Válido","Revisar transacción"))</f>
        <v>Válido</v>
      </c>
    </row>
    <row r="326" spans="1:8" ht="43.95" customHeight="1">
      <c r="A326" s="1" t="s">
        <v>1451</v>
      </c>
      <c r="B326" s="14" t="s">
        <v>413</v>
      </c>
      <c r="C326" s="16">
        <v>3</v>
      </c>
      <c r="D326" s="15" t="s">
        <v>50</v>
      </c>
      <c r="E326" s="15" t="s">
        <v>1452</v>
      </c>
      <c r="F326" s="15" t="s">
        <v>1453</v>
      </c>
      <c r="G326" s="17">
        <v>1</v>
      </c>
      <c r="H326" s="1" t="str">
        <f>IF(G326=0,"Válido",IF(AND(ISNUMBER(G326),G326=1,A326&lt;&gt;"",COUNTIF($A$9:$A$3000,A326)=1,COUNTIF('Catalogo CU'!$A$9:$A$500,B326)=1,ISNUMBER(C326),C326&gt;=1,OR(D326="Principal",D326="Alternativo adicional"),E326&lt;&gt;"",F326&lt;&gt;""),"Válido","Revisar transacción"))</f>
        <v>Válido</v>
      </c>
    </row>
    <row r="327" spans="1:8" ht="43.95" customHeight="1">
      <c r="A327" s="1" t="s">
        <v>1454</v>
      </c>
      <c r="B327" s="14" t="s">
        <v>413</v>
      </c>
      <c r="C327" s="16">
        <v>4</v>
      </c>
      <c r="D327" s="15" t="s">
        <v>50</v>
      </c>
      <c r="E327" s="15" t="s">
        <v>976</v>
      </c>
      <c r="F327" s="15" t="s">
        <v>1455</v>
      </c>
      <c r="G327" s="17">
        <v>1</v>
      </c>
      <c r="H327" s="1" t="str">
        <f>IF(G327=0,"Válido",IF(AND(ISNUMBER(G327),G327=1,A327&lt;&gt;"",COUNTIF($A$9:$A$3000,A327)=1,COUNTIF('Catalogo CU'!$A$9:$A$500,B327)=1,ISNUMBER(C327),C327&gt;=1,OR(D327="Principal",D327="Alternativo adicional"),E327&lt;&gt;"",F327&lt;&gt;""),"Válido","Revisar transacción"))</f>
        <v>Válido</v>
      </c>
    </row>
    <row r="328" spans="1:8" ht="43.95" customHeight="1">
      <c r="A328" s="1" t="s">
        <v>1456</v>
      </c>
      <c r="B328" s="14" t="s">
        <v>418</v>
      </c>
      <c r="C328" s="16">
        <v>1</v>
      </c>
      <c r="D328" s="15" t="s">
        <v>50</v>
      </c>
      <c r="E328" s="15" t="s">
        <v>1457</v>
      </c>
      <c r="F328" s="15" t="s">
        <v>1458</v>
      </c>
      <c r="G328" s="17">
        <v>1</v>
      </c>
      <c r="H328" s="1" t="str">
        <f>IF(G328=0,"Válido",IF(AND(ISNUMBER(G328),G328=1,A328&lt;&gt;"",COUNTIF($A$9:$A$3000,A328)=1,COUNTIF('Catalogo CU'!$A$9:$A$500,B328)=1,ISNUMBER(C328),C328&gt;=1,OR(D328="Principal",D328="Alternativo adicional"),E328&lt;&gt;"",F328&lt;&gt;""),"Válido","Revisar transacción"))</f>
        <v>Válido</v>
      </c>
    </row>
    <row r="329" spans="1:8" ht="43.95" customHeight="1">
      <c r="A329" s="1" t="s">
        <v>1459</v>
      </c>
      <c r="B329" s="14" t="s">
        <v>418</v>
      </c>
      <c r="C329" s="16">
        <v>2</v>
      </c>
      <c r="D329" s="15" t="s">
        <v>50</v>
      </c>
      <c r="E329" s="15" t="s">
        <v>1460</v>
      </c>
      <c r="F329" s="15" t="s">
        <v>1461</v>
      </c>
      <c r="G329" s="17">
        <v>1</v>
      </c>
      <c r="H329" s="1" t="str">
        <f>IF(G329=0,"Válido",IF(AND(ISNUMBER(G329),G329=1,A329&lt;&gt;"",COUNTIF($A$9:$A$3000,A329)=1,COUNTIF('Catalogo CU'!$A$9:$A$500,B329)=1,ISNUMBER(C329),C329&gt;=1,OR(D329="Principal",D329="Alternativo adicional"),E329&lt;&gt;"",F329&lt;&gt;""),"Válido","Revisar transacción"))</f>
        <v>Válido</v>
      </c>
    </row>
    <row r="330" spans="1:8" ht="43.95" customHeight="1">
      <c r="A330" s="1" t="s">
        <v>1462</v>
      </c>
      <c r="B330" s="14" t="s">
        <v>418</v>
      </c>
      <c r="C330" s="16">
        <v>3</v>
      </c>
      <c r="D330" s="15" t="s">
        <v>50</v>
      </c>
      <c r="E330" s="15" t="s">
        <v>1463</v>
      </c>
      <c r="F330" s="15" t="s">
        <v>1464</v>
      </c>
      <c r="G330" s="17">
        <v>1</v>
      </c>
      <c r="H330" s="1" t="str">
        <f>IF(G330=0,"Válido",IF(AND(ISNUMBER(G330),G330=1,A330&lt;&gt;"",COUNTIF($A$9:$A$3000,A330)=1,COUNTIF('Catalogo CU'!$A$9:$A$500,B330)=1,ISNUMBER(C330),C330&gt;=1,OR(D330="Principal",D330="Alternativo adicional"),E330&lt;&gt;"",F330&lt;&gt;""),"Válido","Revisar transacción"))</f>
        <v>Válido</v>
      </c>
    </row>
    <row r="331" spans="1:8" ht="43.95" customHeight="1">
      <c r="A331" s="1" t="s">
        <v>1465</v>
      </c>
      <c r="B331" s="14" t="s">
        <v>418</v>
      </c>
      <c r="C331" s="16">
        <v>4</v>
      </c>
      <c r="D331" s="15" t="s">
        <v>50</v>
      </c>
      <c r="E331" s="15" t="s">
        <v>1466</v>
      </c>
      <c r="F331" s="15" t="s">
        <v>1467</v>
      </c>
      <c r="G331" s="17">
        <v>1</v>
      </c>
      <c r="H331" s="1" t="str">
        <f>IF(G331=0,"Válido",IF(AND(ISNUMBER(G331),G331=1,A331&lt;&gt;"",COUNTIF($A$9:$A$3000,A331)=1,COUNTIF('Catalogo CU'!$A$9:$A$500,B331)=1,ISNUMBER(C331),C331&gt;=1,OR(D331="Principal",D331="Alternativo adicional"),E331&lt;&gt;"",F331&lt;&gt;""),"Válido","Revisar transacción"))</f>
        <v>Válido</v>
      </c>
    </row>
    <row r="332" spans="1:8" ht="43.95" customHeight="1">
      <c r="A332" s="1" t="s">
        <v>1468</v>
      </c>
      <c r="B332" s="14" t="s">
        <v>418</v>
      </c>
      <c r="C332" s="16">
        <v>5</v>
      </c>
      <c r="D332" s="15" t="s">
        <v>50</v>
      </c>
      <c r="E332" s="15" t="s">
        <v>1469</v>
      </c>
      <c r="F332" s="15" t="s">
        <v>1470</v>
      </c>
      <c r="G332" s="17">
        <v>1</v>
      </c>
      <c r="H332" s="1" t="str">
        <f>IF(G332=0,"Válido",IF(AND(ISNUMBER(G332),G332=1,A332&lt;&gt;"",COUNTIF($A$9:$A$3000,A332)=1,COUNTIF('Catalogo CU'!$A$9:$A$500,B332)=1,ISNUMBER(C332),C332&gt;=1,OR(D332="Principal",D332="Alternativo adicional"),E332&lt;&gt;"",F332&lt;&gt;""),"Válido","Revisar transacción"))</f>
        <v>Válido</v>
      </c>
    </row>
    <row r="333" spans="1:8" ht="43.95" customHeight="1">
      <c r="A333" s="1" t="s">
        <v>1471</v>
      </c>
      <c r="B333" s="14" t="s">
        <v>423</v>
      </c>
      <c r="C333" s="16">
        <v>1</v>
      </c>
      <c r="D333" s="15" t="s">
        <v>50</v>
      </c>
      <c r="E333" s="15" t="s">
        <v>1472</v>
      </c>
      <c r="F333" s="15" t="s">
        <v>1473</v>
      </c>
      <c r="G333" s="17">
        <v>1</v>
      </c>
      <c r="H333" s="1" t="str">
        <f>IF(G333=0,"Válido",IF(AND(ISNUMBER(G333),G333=1,A333&lt;&gt;"",COUNTIF($A$9:$A$3000,A333)=1,COUNTIF('Catalogo CU'!$A$9:$A$500,B333)=1,ISNUMBER(C333),C333&gt;=1,OR(D333="Principal",D333="Alternativo adicional"),E333&lt;&gt;"",F333&lt;&gt;""),"Válido","Revisar transacción"))</f>
        <v>Válido</v>
      </c>
    </row>
    <row r="334" spans="1:8" ht="43.95" customHeight="1">
      <c r="A334" s="1" t="s">
        <v>1474</v>
      </c>
      <c r="B334" s="14" t="s">
        <v>423</v>
      </c>
      <c r="C334" s="16">
        <v>2</v>
      </c>
      <c r="D334" s="15" t="s">
        <v>50</v>
      </c>
      <c r="E334" s="15" t="s">
        <v>1475</v>
      </c>
      <c r="F334" s="15" t="s">
        <v>1476</v>
      </c>
      <c r="G334" s="17">
        <v>1</v>
      </c>
      <c r="H334" s="1" t="str">
        <f>IF(G334=0,"Válido",IF(AND(ISNUMBER(G334),G334=1,A334&lt;&gt;"",COUNTIF($A$9:$A$3000,A334)=1,COUNTIF('Catalogo CU'!$A$9:$A$500,B334)=1,ISNUMBER(C334),C334&gt;=1,OR(D334="Principal",D334="Alternativo adicional"),E334&lt;&gt;"",F334&lt;&gt;""),"Válido","Revisar transacción"))</f>
        <v>Válido</v>
      </c>
    </row>
    <row r="335" spans="1:8" ht="43.95" customHeight="1">
      <c r="A335" s="1" t="s">
        <v>1477</v>
      </c>
      <c r="B335" s="14" t="s">
        <v>423</v>
      </c>
      <c r="C335" s="16">
        <v>3</v>
      </c>
      <c r="D335" s="15" t="s">
        <v>50</v>
      </c>
      <c r="E335" s="15" t="s">
        <v>722</v>
      </c>
      <c r="F335" s="15" t="s">
        <v>1478</v>
      </c>
      <c r="G335" s="17">
        <v>1</v>
      </c>
      <c r="H335" s="1" t="str">
        <f>IF(G335=0,"Válido",IF(AND(ISNUMBER(G335),G335=1,A335&lt;&gt;"",COUNTIF($A$9:$A$3000,A335)=1,COUNTIF('Catalogo CU'!$A$9:$A$500,B335)=1,ISNUMBER(C335),C335&gt;=1,OR(D335="Principal",D335="Alternativo adicional"),E335&lt;&gt;"",F335&lt;&gt;""),"Válido","Revisar transacción"))</f>
        <v>Válido</v>
      </c>
    </row>
    <row r="336" spans="1:8" ht="43.95" customHeight="1">
      <c r="A336" s="1" t="s">
        <v>1479</v>
      </c>
      <c r="B336" s="14" t="s">
        <v>423</v>
      </c>
      <c r="C336" s="16">
        <v>4</v>
      </c>
      <c r="D336" s="15" t="s">
        <v>50</v>
      </c>
      <c r="E336" s="15" t="s">
        <v>1480</v>
      </c>
      <c r="F336" s="15" t="s">
        <v>1481</v>
      </c>
      <c r="G336" s="17">
        <v>1</v>
      </c>
      <c r="H336" s="1" t="str">
        <f>IF(G336=0,"Válido",IF(AND(ISNUMBER(G336),G336=1,A336&lt;&gt;"",COUNTIF($A$9:$A$3000,A336)=1,COUNTIF('Catalogo CU'!$A$9:$A$500,B336)=1,ISNUMBER(C336),C336&gt;=1,OR(D336="Principal",D336="Alternativo adicional"),E336&lt;&gt;"",F336&lt;&gt;""),"Válido","Revisar transacción"))</f>
        <v>Válido</v>
      </c>
    </row>
    <row r="337" spans="1:8" ht="43.95" customHeight="1">
      <c r="A337" s="1" t="s">
        <v>1482</v>
      </c>
      <c r="B337" s="14" t="s">
        <v>427</v>
      </c>
      <c r="C337" s="16">
        <v>1</v>
      </c>
      <c r="D337" s="15" t="s">
        <v>50</v>
      </c>
      <c r="E337" s="15" t="s">
        <v>1483</v>
      </c>
      <c r="F337" s="15" t="s">
        <v>1484</v>
      </c>
      <c r="G337" s="17">
        <v>1</v>
      </c>
      <c r="H337" s="1" t="str">
        <f>IF(G337=0,"Válido",IF(AND(ISNUMBER(G337),G337=1,A337&lt;&gt;"",COUNTIF($A$9:$A$3000,A337)=1,COUNTIF('Catalogo CU'!$A$9:$A$500,B337)=1,ISNUMBER(C337),C337&gt;=1,OR(D337="Principal",D337="Alternativo adicional"),E337&lt;&gt;"",F337&lt;&gt;""),"Válido","Revisar transacción"))</f>
        <v>Válido</v>
      </c>
    </row>
    <row r="338" spans="1:8" ht="43.95" customHeight="1">
      <c r="A338" s="1" t="s">
        <v>1485</v>
      </c>
      <c r="B338" s="14" t="s">
        <v>427</v>
      </c>
      <c r="C338" s="16">
        <v>2</v>
      </c>
      <c r="D338" s="15" t="s">
        <v>50</v>
      </c>
      <c r="E338" s="15" t="s">
        <v>1486</v>
      </c>
      <c r="F338" s="15" t="s">
        <v>1487</v>
      </c>
      <c r="G338" s="17">
        <v>1</v>
      </c>
      <c r="H338" s="1" t="str">
        <f>IF(G338=0,"Válido",IF(AND(ISNUMBER(G338),G338=1,A338&lt;&gt;"",COUNTIF($A$9:$A$3000,A338)=1,COUNTIF('Catalogo CU'!$A$9:$A$500,B338)=1,ISNUMBER(C338),C338&gt;=1,OR(D338="Principal",D338="Alternativo adicional"),E338&lt;&gt;"",F338&lt;&gt;""),"Válido","Revisar transacción"))</f>
        <v>Válido</v>
      </c>
    </row>
    <row r="339" spans="1:8" ht="43.95" customHeight="1">
      <c r="A339" s="1" t="s">
        <v>1488</v>
      </c>
      <c r="B339" s="14" t="s">
        <v>427</v>
      </c>
      <c r="C339" s="16">
        <v>3</v>
      </c>
      <c r="D339" s="15" t="s">
        <v>50</v>
      </c>
      <c r="E339" s="15" t="s">
        <v>1489</v>
      </c>
      <c r="F339" s="15" t="s">
        <v>1490</v>
      </c>
      <c r="G339" s="17">
        <v>1</v>
      </c>
      <c r="H339" s="1" t="str">
        <f>IF(G339=0,"Válido",IF(AND(ISNUMBER(G339),G339=1,A339&lt;&gt;"",COUNTIF($A$9:$A$3000,A339)=1,COUNTIF('Catalogo CU'!$A$9:$A$500,B339)=1,ISNUMBER(C339),C339&gt;=1,OR(D339="Principal",D339="Alternativo adicional"),E339&lt;&gt;"",F339&lt;&gt;""),"Válido","Revisar transacción"))</f>
        <v>Válido</v>
      </c>
    </row>
    <row r="340" spans="1:8" ht="43.95" customHeight="1">
      <c r="A340" s="1" t="s">
        <v>1491</v>
      </c>
      <c r="B340" s="14" t="s">
        <v>432</v>
      </c>
      <c r="C340" s="16">
        <v>1</v>
      </c>
      <c r="D340" s="15" t="s">
        <v>50</v>
      </c>
      <c r="E340" s="15" t="s">
        <v>1492</v>
      </c>
      <c r="F340" s="15" t="s">
        <v>1493</v>
      </c>
      <c r="G340" s="17">
        <v>1</v>
      </c>
      <c r="H340" s="1" t="str">
        <f>IF(G340=0,"Válido",IF(AND(ISNUMBER(G340),G340=1,A340&lt;&gt;"",COUNTIF($A$9:$A$3000,A340)=1,COUNTIF('Catalogo CU'!$A$9:$A$500,B340)=1,ISNUMBER(C340),C340&gt;=1,OR(D340="Principal",D340="Alternativo adicional"),E340&lt;&gt;"",F340&lt;&gt;""),"Válido","Revisar transacción"))</f>
        <v>Válido</v>
      </c>
    </row>
    <row r="341" spans="1:8" ht="43.95" customHeight="1">
      <c r="A341" s="1" t="s">
        <v>1494</v>
      </c>
      <c r="B341" s="14" t="s">
        <v>432</v>
      </c>
      <c r="C341" s="16">
        <v>2</v>
      </c>
      <c r="D341" s="15" t="s">
        <v>50</v>
      </c>
      <c r="E341" s="15" t="s">
        <v>1495</v>
      </c>
      <c r="F341" s="15" t="s">
        <v>1496</v>
      </c>
      <c r="G341" s="17">
        <v>1</v>
      </c>
      <c r="H341" s="1" t="str">
        <f>IF(G341=0,"Válido",IF(AND(ISNUMBER(G341),G341=1,A341&lt;&gt;"",COUNTIF($A$9:$A$3000,A341)=1,COUNTIF('Catalogo CU'!$A$9:$A$500,B341)=1,ISNUMBER(C341),C341&gt;=1,OR(D341="Principal",D341="Alternativo adicional"),E341&lt;&gt;"",F341&lt;&gt;""),"Válido","Revisar transacción"))</f>
        <v>Válido</v>
      </c>
    </row>
    <row r="342" spans="1:8" ht="43.95" customHeight="1">
      <c r="A342" s="1" t="s">
        <v>1497</v>
      </c>
      <c r="B342" s="14" t="s">
        <v>432</v>
      </c>
      <c r="C342" s="16">
        <v>3</v>
      </c>
      <c r="D342" s="15" t="s">
        <v>50</v>
      </c>
      <c r="E342" s="15" t="s">
        <v>1498</v>
      </c>
      <c r="F342" s="15" t="s">
        <v>1499</v>
      </c>
      <c r="G342" s="17">
        <v>1</v>
      </c>
      <c r="H342" s="1" t="str">
        <f>IF(G342=0,"Válido",IF(AND(ISNUMBER(G342),G342=1,A342&lt;&gt;"",COUNTIF($A$9:$A$3000,A342)=1,COUNTIF('Catalogo CU'!$A$9:$A$500,B342)=1,ISNUMBER(C342),C342&gt;=1,OR(D342="Principal",D342="Alternativo adicional"),E342&lt;&gt;"",F342&lt;&gt;""),"Válido","Revisar transacción"))</f>
        <v>Válido</v>
      </c>
    </row>
    <row r="343" spans="1:8" ht="43.95" customHeight="1">
      <c r="A343" s="1" t="s">
        <v>1500</v>
      </c>
      <c r="B343" s="14" t="s">
        <v>432</v>
      </c>
      <c r="C343" s="16">
        <v>4</v>
      </c>
      <c r="D343" s="15" t="s">
        <v>50</v>
      </c>
      <c r="E343" s="15" t="s">
        <v>1501</v>
      </c>
      <c r="F343" s="15" t="s">
        <v>1502</v>
      </c>
      <c r="G343" s="17">
        <v>1</v>
      </c>
      <c r="H343" s="1" t="str">
        <f>IF(G343=0,"Válido",IF(AND(ISNUMBER(G343),G343=1,A343&lt;&gt;"",COUNTIF($A$9:$A$3000,A343)=1,COUNTIF('Catalogo CU'!$A$9:$A$500,B343)=1,ISNUMBER(C343),C343&gt;=1,OR(D343="Principal",D343="Alternativo adicional"),E343&lt;&gt;"",F343&lt;&gt;""),"Válido","Revisar transacción"))</f>
        <v>Válido</v>
      </c>
    </row>
    <row r="344" spans="1:8" ht="43.95" customHeight="1">
      <c r="A344" s="1" t="s">
        <v>1503</v>
      </c>
      <c r="B344" s="14" t="s">
        <v>432</v>
      </c>
      <c r="C344" s="16">
        <v>5</v>
      </c>
      <c r="D344" s="15" t="s">
        <v>50</v>
      </c>
      <c r="E344" s="15" t="s">
        <v>1466</v>
      </c>
      <c r="F344" s="15" t="s">
        <v>1504</v>
      </c>
      <c r="G344" s="17">
        <v>1</v>
      </c>
      <c r="H344" s="1" t="str">
        <f>IF(G344=0,"Válido",IF(AND(ISNUMBER(G344),G344=1,A344&lt;&gt;"",COUNTIF($A$9:$A$3000,A344)=1,COUNTIF('Catalogo CU'!$A$9:$A$500,B344)=1,ISNUMBER(C344),C344&gt;=1,OR(D344="Principal",D344="Alternativo adicional"),E344&lt;&gt;"",F344&lt;&gt;""),"Válido","Revisar transacción"))</f>
        <v>Válido</v>
      </c>
    </row>
    <row r="345" spans="1:8" ht="43.95" customHeight="1">
      <c r="A345" s="1" t="s">
        <v>1505</v>
      </c>
      <c r="B345" s="14" t="s">
        <v>436</v>
      </c>
      <c r="C345" s="16">
        <v>1</v>
      </c>
      <c r="D345" s="15" t="s">
        <v>50</v>
      </c>
      <c r="E345" s="15" t="s">
        <v>1506</v>
      </c>
      <c r="F345" s="15" t="s">
        <v>1507</v>
      </c>
      <c r="G345" s="17">
        <v>1</v>
      </c>
      <c r="H345" s="1" t="str">
        <f>IF(G345=0,"Válido",IF(AND(ISNUMBER(G345),G345=1,A345&lt;&gt;"",COUNTIF($A$9:$A$3000,A345)=1,COUNTIF('Catalogo CU'!$A$9:$A$500,B345)=1,ISNUMBER(C345),C345&gt;=1,OR(D345="Principal",D345="Alternativo adicional"),E345&lt;&gt;"",F345&lt;&gt;""),"Válido","Revisar transacción"))</f>
        <v>Válido</v>
      </c>
    </row>
    <row r="346" spans="1:8" ht="43.95" customHeight="1">
      <c r="A346" s="1" t="s">
        <v>1508</v>
      </c>
      <c r="B346" s="14" t="s">
        <v>436</v>
      </c>
      <c r="C346" s="16">
        <v>2</v>
      </c>
      <c r="D346" s="15" t="s">
        <v>50</v>
      </c>
      <c r="E346" s="15" t="s">
        <v>1509</v>
      </c>
      <c r="F346" s="15" t="s">
        <v>1510</v>
      </c>
      <c r="G346" s="17">
        <v>1</v>
      </c>
      <c r="H346" s="1" t="str">
        <f>IF(G346=0,"Válido",IF(AND(ISNUMBER(G346),G346=1,A346&lt;&gt;"",COUNTIF($A$9:$A$3000,A346)=1,COUNTIF('Catalogo CU'!$A$9:$A$500,B346)=1,ISNUMBER(C346),C346&gt;=1,OR(D346="Principal",D346="Alternativo adicional"),E346&lt;&gt;"",F346&lt;&gt;""),"Válido","Revisar transacción"))</f>
        <v>Válido</v>
      </c>
    </row>
    <row r="347" spans="1:8" ht="43.95" customHeight="1">
      <c r="A347" s="1" t="s">
        <v>1511</v>
      </c>
      <c r="B347" s="14" t="s">
        <v>440</v>
      </c>
      <c r="C347" s="16">
        <v>1</v>
      </c>
      <c r="D347" s="15" t="s">
        <v>50</v>
      </c>
      <c r="E347" s="15" t="s">
        <v>1512</v>
      </c>
      <c r="F347" s="15" t="s">
        <v>1513</v>
      </c>
      <c r="G347" s="17">
        <v>1</v>
      </c>
      <c r="H347" s="1" t="str">
        <f>IF(G347=0,"Válido",IF(AND(ISNUMBER(G347),G347=1,A347&lt;&gt;"",COUNTIF($A$9:$A$3000,A347)=1,COUNTIF('Catalogo CU'!$A$9:$A$500,B347)=1,ISNUMBER(C347),C347&gt;=1,OR(D347="Principal",D347="Alternativo adicional"),E347&lt;&gt;"",F347&lt;&gt;""),"Válido","Revisar transacción"))</f>
        <v>Válido</v>
      </c>
    </row>
    <row r="348" spans="1:8" ht="43.95" customHeight="1">
      <c r="A348" s="1" t="s">
        <v>1514</v>
      </c>
      <c r="B348" s="14" t="s">
        <v>440</v>
      </c>
      <c r="C348" s="16">
        <v>2</v>
      </c>
      <c r="D348" s="15" t="s">
        <v>50</v>
      </c>
      <c r="E348" s="15" t="s">
        <v>1515</v>
      </c>
      <c r="F348" s="15" t="s">
        <v>1516</v>
      </c>
      <c r="G348" s="17">
        <v>1</v>
      </c>
      <c r="H348" s="1" t="str">
        <f>IF(G348=0,"Válido",IF(AND(ISNUMBER(G348),G348=1,A348&lt;&gt;"",COUNTIF($A$9:$A$3000,A348)=1,COUNTIF('Catalogo CU'!$A$9:$A$500,B348)=1,ISNUMBER(C348),C348&gt;=1,OR(D348="Principal",D348="Alternativo adicional"),E348&lt;&gt;"",F348&lt;&gt;""),"Válido","Revisar transacción"))</f>
        <v>Válido</v>
      </c>
    </row>
    <row r="349" spans="1:8" ht="43.95" customHeight="1">
      <c r="A349" s="1" t="s">
        <v>1517</v>
      </c>
      <c r="B349" s="14" t="s">
        <v>440</v>
      </c>
      <c r="C349" s="16">
        <v>3</v>
      </c>
      <c r="D349" s="15" t="s">
        <v>50</v>
      </c>
      <c r="E349" s="15" t="s">
        <v>1518</v>
      </c>
      <c r="F349" s="15" t="s">
        <v>1519</v>
      </c>
      <c r="G349" s="17">
        <v>1</v>
      </c>
      <c r="H349" s="1" t="str">
        <f>IF(G349=0,"Válido",IF(AND(ISNUMBER(G349),G349=1,A349&lt;&gt;"",COUNTIF($A$9:$A$3000,A349)=1,COUNTIF('Catalogo CU'!$A$9:$A$500,B349)=1,ISNUMBER(C349),C349&gt;=1,OR(D349="Principal",D349="Alternativo adicional"),E349&lt;&gt;"",F349&lt;&gt;""),"Válido","Revisar transacción"))</f>
        <v>Válido</v>
      </c>
    </row>
    <row r="350" spans="1:8" ht="43.95" customHeight="1">
      <c r="A350" s="1" t="s">
        <v>1520</v>
      </c>
      <c r="B350" s="14" t="s">
        <v>445</v>
      </c>
      <c r="C350" s="16">
        <v>1</v>
      </c>
      <c r="D350" s="15" t="s">
        <v>50</v>
      </c>
      <c r="E350" s="15" t="s">
        <v>1521</v>
      </c>
      <c r="F350" s="15" t="s">
        <v>1522</v>
      </c>
      <c r="G350" s="17">
        <v>1</v>
      </c>
      <c r="H350" s="1" t="str">
        <f>IF(G350=0,"Válido",IF(AND(ISNUMBER(G350),G350=1,A350&lt;&gt;"",COUNTIF($A$9:$A$3000,A350)=1,COUNTIF('Catalogo CU'!$A$9:$A$500,B350)=1,ISNUMBER(C350),C350&gt;=1,OR(D350="Principal",D350="Alternativo adicional"),E350&lt;&gt;"",F350&lt;&gt;""),"Válido","Revisar transacción"))</f>
        <v>Válido</v>
      </c>
    </row>
    <row r="351" spans="1:8" ht="43.95" customHeight="1">
      <c r="A351" s="1" t="s">
        <v>1523</v>
      </c>
      <c r="B351" s="14" t="s">
        <v>445</v>
      </c>
      <c r="C351" s="16">
        <v>2</v>
      </c>
      <c r="D351" s="15" t="s">
        <v>50</v>
      </c>
      <c r="E351" s="15" t="s">
        <v>1524</v>
      </c>
      <c r="F351" s="15" t="s">
        <v>1525</v>
      </c>
      <c r="G351" s="17">
        <v>1</v>
      </c>
      <c r="H351" s="1" t="str">
        <f>IF(G351=0,"Válido",IF(AND(ISNUMBER(G351),G351=1,A351&lt;&gt;"",COUNTIF($A$9:$A$3000,A351)=1,COUNTIF('Catalogo CU'!$A$9:$A$500,B351)=1,ISNUMBER(C351),C351&gt;=1,OR(D351="Principal",D351="Alternativo adicional"),E351&lt;&gt;"",F351&lt;&gt;""),"Válido","Revisar transacción"))</f>
        <v>Válido</v>
      </c>
    </row>
    <row r="352" spans="1:8" ht="43.95" customHeight="1">
      <c r="A352" s="1" t="s">
        <v>1526</v>
      </c>
      <c r="B352" s="14" t="s">
        <v>445</v>
      </c>
      <c r="C352" s="16">
        <v>3</v>
      </c>
      <c r="D352" s="15" t="s">
        <v>50</v>
      </c>
      <c r="E352" s="15" t="s">
        <v>1527</v>
      </c>
      <c r="F352" s="15" t="s">
        <v>1528</v>
      </c>
      <c r="G352" s="17">
        <v>1</v>
      </c>
      <c r="H352" s="1" t="str">
        <f>IF(G352=0,"Válido",IF(AND(ISNUMBER(G352),G352=1,A352&lt;&gt;"",COUNTIF($A$9:$A$3000,A352)=1,COUNTIF('Catalogo CU'!$A$9:$A$500,B352)=1,ISNUMBER(C352),C352&gt;=1,OR(D352="Principal",D352="Alternativo adicional"),E352&lt;&gt;"",F352&lt;&gt;""),"Válido","Revisar transacción"))</f>
        <v>Válido</v>
      </c>
    </row>
    <row r="353" spans="1:8" ht="43.95" customHeight="1">
      <c r="A353" s="1" t="s">
        <v>1529</v>
      </c>
      <c r="B353" s="14" t="s">
        <v>445</v>
      </c>
      <c r="C353" s="16">
        <v>4</v>
      </c>
      <c r="D353" s="15" t="s">
        <v>50</v>
      </c>
      <c r="E353" s="15" t="s">
        <v>1530</v>
      </c>
      <c r="F353" s="15" t="s">
        <v>1531</v>
      </c>
      <c r="G353" s="17">
        <v>1</v>
      </c>
      <c r="H353" s="1" t="str">
        <f>IF(G353=0,"Válido",IF(AND(ISNUMBER(G353),G353=1,A353&lt;&gt;"",COUNTIF($A$9:$A$3000,A353)=1,COUNTIF('Catalogo CU'!$A$9:$A$500,B353)=1,ISNUMBER(C353),C353&gt;=1,OR(D353="Principal",D353="Alternativo adicional"),E353&lt;&gt;"",F353&lt;&gt;""),"Válido","Revisar transacción"))</f>
        <v>Válido</v>
      </c>
    </row>
    <row r="354" spans="1:8" ht="43.95" customHeight="1">
      <c r="A354" s="1" t="s">
        <v>1532</v>
      </c>
      <c r="B354" s="14" t="s">
        <v>450</v>
      </c>
      <c r="C354" s="16">
        <v>1</v>
      </c>
      <c r="D354" s="15" t="s">
        <v>50</v>
      </c>
      <c r="E354" s="15" t="s">
        <v>1533</v>
      </c>
      <c r="F354" s="15" t="s">
        <v>1534</v>
      </c>
      <c r="G354" s="17">
        <v>1</v>
      </c>
      <c r="H354" s="1" t="str">
        <f>IF(G354=0,"Válido",IF(AND(ISNUMBER(G354),G354=1,A354&lt;&gt;"",COUNTIF($A$9:$A$3000,A354)=1,COUNTIF('Catalogo CU'!$A$9:$A$500,B354)=1,ISNUMBER(C354),C354&gt;=1,OR(D354="Principal",D354="Alternativo adicional"),E354&lt;&gt;"",F354&lt;&gt;""),"Válido","Revisar transacción"))</f>
        <v>Válido</v>
      </c>
    </row>
    <row r="355" spans="1:8" ht="43.95" customHeight="1">
      <c r="A355" s="1" t="s">
        <v>1535</v>
      </c>
      <c r="B355" s="14" t="s">
        <v>450</v>
      </c>
      <c r="C355" s="16">
        <v>2</v>
      </c>
      <c r="D355" s="15" t="s">
        <v>50</v>
      </c>
      <c r="E355" s="15" t="s">
        <v>1536</v>
      </c>
      <c r="F355" s="15" t="s">
        <v>1537</v>
      </c>
      <c r="G355" s="17">
        <v>1</v>
      </c>
      <c r="H355" s="1" t="str">
        <f>IF(G355=0,"Válido",IF(AND(ISNUMBER(G355),G355=1,A355&lt;&gt;"",COUNTIF($A$9:$A$3000,A355)=1,COUNTIF('Catalogo CU'!$A$9:$A$500,B355)=1,ISNUMBER(C355),C355&gt;=1,OR(D355="Principal",D355="Alternativo adicional"),E355&lt;&gt;"",F355&lt;&gt;""),"Válido","Revisar transacción"))</f>
        <v>Válido</v>
      </c>
    </row>
    <row r="356" spans="1:8" ht="43.95" customHeight="1">
      <c r="A356" s="1" t="s">
        <v>1538</v>
      </c>
      <c r="B356" s="14" t="s">
        <v>450</v>
      </c>
      <c r="C356" s="16">
        <v>3</v>
      </c>
      <c r="D356" s="15" t="s">
        <v>50</v>
      </c>
      <c r="E356" s="15" t="s">
        <v>1539</v>
      </c>
      <c r="F356" s="15" t="s">
        <v>1540</v>
      </c>
      <c r="G356" s="17">
        <v>1</v>
      </c>
      <c r="H356" s="1" t="str">
        <f>IF(G356=0,"Válido",IF(AND(ISNUMBER(G356),G356=1,A356&lt;&gt;"",COUNTIF($A$9:$A$3000,A356)=1,COUNTIF('Catalogo CU'!$A$9:$A$500,B356)=1,ISNUMBER(C356),C356&gt;=1,OR(D356="Principal",D356="Alternativo adicional"),E356&lt;&gt;"",F356&lt;&gt;""),"Válido","Revisar transacción"))</f>
        <v>Válido</v>
      </c>
    </row>
    <row r="357" spans="1:8" ht="43.95" customHeight="1">
      <c r="A357" s="1" t="s">
        <v>1541</v>
      </c>
      <c r="B357" s="14" t="s">
        <v>450</v>
      </c>
      <c r="C357" s="16">
        <v>4</v>
      </c>
      <c r="D357" s="15" t="s">
        <v>50</v>
      </c>
      <c r="E357" s="15" t="s">
        <v>722</v>
      </c>
      <c r="F357" s="15" t="s">
        <v>1542</v>
      </c>
      <c r="G357" s="17">
        <v>1</v>
      </c>
      <c r="H357" s="1" t="str">
        <f>IF(G357=0,"Válido",IF(AND(ISNUMBER(G357),G357=1,A357&lt;&gt;"",COUNTIF($A$9:$A$3000,A357)=1,COUNTIF('Catalogo CU'!$A$9:$A$500,B357)=1,ISNUMBER(C357),C357&gt;=1,OR(D357="Principal",D357="Alternativo adicional"),E357&lt;&gt;"",F357&lt;&gt;""),"Válido","Revisar transacción"))</f>
        <v>Válido</v>
      </c>
    </row>
    <row r="358" spans="1:8" ht="43.95" customHeight="1">
      <c r="A358" s="1" t="s">
        <v>1543</v>
      </c>
      <c r="B358" s="14" t="s">
        <v>450</v>
      </c>
      <c r="C358" s="16">
        <v>5</v>
      </c>
      <c r="D358" s="15" t="s">
        <v>50</v>
      </c>
      <c r="E358" s="15" t="s">
        <v>1544</v>
      </c>
      <c r="F358" s="15" t="s">
        <v>1545</v>
      </c>
      <c r="G358" s="17">
        <v>1</v>
      </c>
      <c r="H358" s="1" t="str">
        <f>IF(G358=0,"Válido",IF(AND(ISNUMBER(G358),G358=1,A358&lt;&gt;"",COUNTIF($A$9:$A$3000,A358)=1,COUNTIF('Catalogo CU'!$A$9:$A$500,B358)=1,ISNUMBER(C358),C358&gt;=1,OR(D358="Principal",D358="Alternativo adicional"),E358&lt;&gt;"",F358&lt;&gt;""),"Válido","Revisar transacción"))</f>
        <v>Válido</v>
      </c>
    </row>
    <row r="359" spans="1:8" ht="43.95" customHeight="1">
      <c r="A359" s="1" t="s">
        <v>1546</v>
      </c>
      <c r="B359" s="14" t="s">
        <v>454</v>
      </c>
      <c r="C359" s="16">
        <v>1</v>
      </c>
      <c r="D359" s="15" t="s">
        <v>50</v>
      </c>
      <c r="E359" s="15" t="s">
        <v>1547</v>
      </c>
      <c r="F359" s="15" t="s">
        <v>1548</v>
      </c>
      <c r="G359" s="17">
        <v>1</v>
      </c>
      <c r="H359" s="1" t="str">
        <f>IF(G359=0,"Válido",IF(AND(ISNUMBER(G359),G359=1,A359&lt;&gt;"",COUNTIF($A$9:$A$3000,A359)=1,COUNTIF('Catalogo CU'!$A$9:$A$500,B359)=1,ISNUMBER(C359),C359&gt;=1,OR(D359="Principal",D359="Alternativo adicional"),E359&lt;&gt;"",F359&lt;&gt;""),"Válido","Revisar transacción"))</f>
        <v>Válido</v>
      </c>
    </row>
    <row r="360" spans="1:8" ht="43.95" customHeight="1">
      <c r="A360" s="1" t="s">
        <v>1549</v>
      </c>
      <c r="B360" s="14" t="s">
        <v>454</v>
      </c>
      <c r="C360" s="16">
        <v>2</v>
      </c>
      <c r="D360" s="15" t="s">
        <v>50</v>
      </c>
      <c r="E360" s="15" t="s">
        <v>1550</v>
      </c>
      <c r="F360" s="15" t="s">
        <v>1551</v>
      </c>
      <c r="G360" s="17">
        <v>1</v>
      </c>
      <c r="H360" s="1" t="str">
        <f>IF(G360=0,"Válido",IF(AND(ISNUMBER(G360),G360=1,A360&lt;&gt;"",COUNTIF($A$9:$A$3000,A360)=1,COUNTIF('Catalogo CU'!$A$9:$A$500,B360)=1,ISNUMBER(C360),C360&gt;=1,OR(D360="Principal",D360="Alternativo adicional"),E360&lt;&gt;"",F360&lt;&gt;""),"Válido","Revisar transacción"))</f>
        <v>Válido</v>
      </c>
    </row>
    <row r="361" spans="1:8" ht="43.95" customHeight="1">
      <c r="A361" s="1" t="s">
        <v>1552</v>
      </c>
      <c r="B361" s="14" t="s">
        <v>454</v>
      </c>
      <c r="C361" s="16">
        <v>3</v>
      </c>
      <c r="D361" s="15" t="s">
        <v>50</v>
      </c>
      <c r="E361" s="15" t="s">
        <v>1553</v>
      </c>
      <c r="F361" s="15" t="s">
        <v>1554</v>
      </c>
      <c r="G361" s="17">
        <v>1</v>
      </c>
      <c r="H361" s="1" t="str">
        <f>IF(G361=0,"Válido",IF(AND(ISNUMBER(G361),G361=1,A361&lt;&gt;"",COUNTIF($A$9:$A$3000,A361)=1,COUNTIF('Catalogo CU'!$A$9:$A$500,B361)=1,ISNUMBER(C361),C361&gt;=1,OR(D361="Principal",D361="Alternativo adicional"),E361&lt;&gt;"",F361&lt;&gt;""),"Válido","Revisar transacción"))</f>
        <v>Válido</v>
      </c>
    </row>
    <row r="362" spans="1:8" ht="43.95" customHeight="1">
      <c r="A362" s="1" t="s">
        <v>1555</v>
      </c>
      <c r="B362" s="14" t="s">
        <v>454</v>
      </c>
      <c r="C362" s="16">
        <v>4</v>
      </c>
      <c r="D362" s="15" t="s">
        <v>50</v>
      </c>
      <c r="E362" s="15" t="s">
        <v>1556</v>
      </c>
      <c r="F362" s="15" t="s">
        <v>1557</v>
      </c>
      <c r="G362" s="17">
        <v>1</v>
      </c>
      <c r="H362" s="1" t="str">
        <f>IF(G362=0,"Válido",IF(AND(ISNUMBER(G362),G362=1,A362&lt;&gt;"",COUNTIF($A$9:$A$3000,A362)=1,COUNTIF('Catalogo CU'!$A$9:$A$500,B362)=1,ISNUMBER(C362),C362&gt;=1,OR(D362="Principal",D362="Alternativo adicional"),E362&lt;&gt;"",F362&lt;&gt;""),"Válido","Revisar transacción"))</f>
        <v>Válido</v>
      </c>
    </row>
    <row r="363" spans="1:8" ht="43.95" customHeight="1">
      <c r="A363" s="1" t="s">
        <v>1558</v>
      </c>
      <c r="B363" s="14" t="s">
        <v>454</v>
      </c>
      <c r="C363" s="16">
        <v>5</v>
      </c>
      <c r="D363" s="15" t="s">
        <v>50</v>
      </c>
      <c r="E363" s="15" t="s">
        <v>1559</v>
      </c>
      <c r="F363" s="15" t="s">
        <v>1560</v>
      </c>
      <c r="G363" s="17">
        <v>1</v>
      </c>
      <c r="H363" s="1" t="str">
        <f>IF(G363=0,"Válido",IF(AND(ISNUMBER(G363),G363=1,A363&lt;&gt;"",COUNTIF($A$9:$A$3000,A363)=1,COUNTIF('Catalogo CU'!$A$9:$A$500,B363)=1,ISNUMBER(C363),C363&gt;=1,OR(D363="Principal",D363="Alternativo adicional"),E363&lt;&gt;"",F363&lt;&gt;""),"Válido","Revisar transacción"))</f>
        <v>Válido</v>
      </c>
    </row>
    <row r="364" spans="1:8" ht="43.95" customHeight="1">
      <c r="A364" s="1" t="s">
        <v>1561</v>
      </c>
      <c r="B364" s="14" t="s">
        <v>460</v>
      </c>
      <c r="C364" s="16">
        <v>1</v>
      </c>
      <c r="D364" s="15" t="s">
        <v>50</v>
      </c>
      <c r="E364" s="15" t="s">
        <v>1562</v>
      </c>
      <c r="F364" s="15" t="s">
        <v>1563</v>
      </c>
      <c r="G364" s="17">
        <v>1</v>
      </c>
      <c r="H364" s="1" t="str">
        <f>IF(G364=0,"Válido",IF(AND(ISNUMBER(G364),G364=1,A364&lt;&gt;"",COUNTIF($A$9:$A$3000,A364)=1,COUNTIF('Catalogo CU'!$A$9:$A$500,B364)=1,ISNUMBER(C364),C364&gt;=1,OR(D364="Principal",D364="Alternativo adicional"),E364&lt;&gt;"",F364&lt;&gt;""),"Válido","Revisar transacción"))</f>
        <v>Válido</v>
      </c>
    </row>
    <row r="365" spans="1:8" ht="43.95" customHeight="1">
      <c r="A365" s="1" t="s">
        <v>1564</v>
      </c>
      <c r="B365" s="14" t="s">
        <v>460</v>
      </c>
      <c r="C365" s="16">
        <v>2</v>
      </c>
      <c r="D365" s="15" t="s">
        <v>50</v>
      </c>
      <c r="E365" s="15" t="s">
        <v>1565</v>
      </c>
      <c r="F365" s="15" t="s">
        <v>1566</v>
      </c>
      <c r="G365" s="17">
        <v>1</v>
      </c>
      <c r="H365" s="1" t="str">
        <f>IF(G365=0,"Válido",IF(AND(ISNUMBER(G365),G365=1,A365&lt;&gt;"",COUNTIF($A$9:$A$3000,A365)=1,COUNTIF('Catalogo CU'!$A$9:$A$500,B365)=1,ISNUMBER(C365),C365&gt;=1,OR(D365="Principal",D365="Alternativo adicional"),E365&lt;&gt;"",F365&lt;&gt;""),"Válido","Revisar transacción"))</f>
        <v>Válido</v>
      </c>
    </row>
    <row r="366" spans="1:8" ht="43.95" customHeight="1">
      <c r="A366" s="1" t="s">
        <v>1567</v>
      </c>
      <c r="B366" s="14" t="s">
        <v>460</v>
      </c>
      <c r="C366" s="16">
        <v>3</v>
      </c>
      <c r="D366" s="15" t="s">
        <v>50</v>
      </c>
      <c r="E366" s="15" t="s">
        <v>1568</v>
      </c>
      <c r="F366" s="15" t="s">
        <v>1569</v>
      </c>
      <c r="G366" s="17">
        <v>1</v>
      </c>
      <c r="H366" s="1" t="str">
        <f>IF(G366=0,"Válido",IF(AND(ISNUMBER(G366),G366=1,A366&lt;&gt;"",COUNTIF($A$9:$A$3000,A366)=1,COUNTIF('Catalogo CU'!$A$9:$A$500,B366)=1,ISNUMBER(C366),C366&gt;=1,OR(D366="Principal",D366="Alternativo adicional"),E366&lt;&gt;"",F366&lt;&gt;""),"Válido","Revisar transacción"))</f>
        <v>Válido</v>
      </c>
    </row>
    <row r="367" spans="1:8" ht="43.95" customHeight="1">
      <c r="A367" s="1" t="s">
        <v>1570</v>
      </c>
      <c r="B367" s="14" t="s">
        <v>460</v>
      </c>
      <c r="C367" s="16">
        <v>4</v>
      </c>
      <c r="D367" s="15" t="s">
        <v>50</v>
      </c>
      <c r="E367" s="15" t="s">
        <v>1571</v>
      </c>
      <c r="F367" s="15" t="s">
        <v>1572</v>
      </c>
      <c r="G367" s="17">
        <v>1</v>
      </c>
      <c r="H367" s="1" t="str">
        <f>IF(G367=0,"Válido",IF(AND(ISNUMBER(G367),G367=1,A367&lt;&gt;"",COUNTIF($A$9:$A$3000,A367)=1,COUNTIF('Catalogo CU'!$A$9:$A$500,B367)=1,ISNUMBER(C367),C367&gt;=1,OR(D367="Principal",D367="Alternativo adicional"),E367&lt;&gt;"",F367&lt;&gt;""),"Válido","Revisar transacción"))</f>
        <v>Válido</v>
      </c>
    </row>
    <row r="368" spans="1:8" ht="43.95" customHeight="1">
      <c r="A368" s="1" t="s">
        <v>1573</v>
      </c>
      <c r="B368" s="14" t="s">
        <v>460</v>
      </c>
      <c r="C368" s="16">
        <v>5</v>
      </c>
      <c r="D368" s="15" t="s">
        <v>50</v>
      </c>
      <c r="E368" s="15" t="s">
        <v>1574</v>
      </c>
      <c r="F368" s="15" t="s">
        <v>1575</v>
      </c>
      <c r="G368" s="17">
        <v>1</v>
      </c>
      <c r="H368" s="1" t="str">
        <f>IF(G368=0,"Válido",IF(AND(ISNUMBER(G368),G368=1,A368&lt;&gt;"",COUNTIF($A$9:$A$3000,A368)=1,COUNTIF('Catalogo CU'!$A$9:$A$500,B368)=1,ISNUMBER(C368),C368&gt;=1,OR(D368="Principal",D368="Alternativo adicional"),E368&lt;&gt;"",F368&lt;&gt;""),"Válido","Revisar transacción"))</f>
        <v>Válido</v>
      </c>
    </row>
    <row r="369" spans="1:8" ht="43.95" customHeight="1">
      <c r="A369" s="1" t="s">
        <v>1576</v>
      </c>
      <c r="B369" s="14" t="s">
        <v>460</v>
      </c>
      <c r="C369" s="16">
        <v>6</v>
      </c>
      <c r="D369" s="15" t="s">
        <v>50</v>
      </c>
      <c r="E369" s="15" t="s">
        <v>1577</v>
      </c>
      <c r="F369" s="15" t="s">
        <v>1578</v>
      </c>
      <c r="G369" s="17">
        <v>1</v>
      </c>
      <c r="H369" s="1" t="str">
        <f>IF(G369=0,"Válido",IF(AND(ISNUMBER(G369),G369=1,A369&lt;&gt;"",COUNTIF($A$9:$A$3000,A369)=1,COUNTIF('Catalogo CU'!$A$9:$A$500,B369)=1,ISNUMBER(C369),C369&gt;=1,OR(D369="Principal",D369="Alternativo adicional"),E369&lt;&gt;"",F369&lt;&gt;""),"Válido","Revisar transacción"))</f>
        <v>Válido</v>
      </c>
    </row>
    <row r="370" spans="1:8" ht="43.95" customHeight="1">
      <c r="A370" s="1" t="s">
        <v>1579</v>
      </c>
      <c r="B370" s="14" t="s">
        <v>460</v>
      </c>
      <c r="C370" s="16">
        <v>7</v>
      </c>
      <c r="D370" s="15" t="s">
        <v>50</v>
      </c>
      <c r="E370" s="15" t="s">
        <v>1580</v>
      </c>
      <c r="F370" s="15" t="s">
        <v>1581</v>
      </c>
      <c r="G370" s="17">
        <v>1</v>
      </c>
      <c r="H370" s="1" t="str">
        <f>IF(G370=0,"Válido",IF(AND(ISNUMBER(G370),G370=1,A370&lt;&gt;"",COUNTIF($A$9:$A$3000,A370)=1,COUNTIF('Catalogo CU'!$A$9:$A$500,B370)=1,ISNUMBER(C370),C370&gt;=1,OR(D370="Principal",D370="Alternativo adicional"),E370&lt;&gt;"",F370&lt;&gt;""),"Válido","Revisar transacción"))</f>
        <v>Válido</v>
      </c>
    </row>
    <row r="371" spans="1:8" ht="43.95" customHeight="1">
      <c r="A371" s="1" t="s">
        <v>1582</v>
      </c>
      <c r="B371" s="14" t="s">
        <v>465</v>
      </c>
      <c r="C371" s="16">
        <v>1</v>
      </c>
      <c r="D371" s="15" t="s">
        <v>50</v>
      </c>
      <c r="E371" s="15" t="s">
        <v>1583</v>
      </c>
      <c r="F371" s="15" t="s">
        <v>1584</v>
      </c>
      <c r="G371" s="17">
        <v>1</v>
      </c>
      <c r="H371" s="1" t="str">
        <f>IF(G371=0,"Válido",IF(AND(ISNUMBER(G371),G371=1,A371&lt;&gt;"",COUNTIF($A$9:$A$3000,A371)=1,COUNTIF('Catalogo CU'!$A$9:$A$500,B371)=1,ISNUMBER(C371),C371&gt;=1,OR(D371="Principal",D371="Alternativo adicional"),E371&lt;&gt;"",F371&lt;&gt;""),"Válido","Revisar transacción"))</f>
        <v>Válido</v>
      </c>
    </row>
    <row r="372" spans="1:8" ht="43.95" customHeight="1">
      <c r="A372" s="1" t="s">
        <v>1585</v>
      </c>
      <c r="B372" s="14" t="s">
        <v>465</v>
      </c>
      <c r="C372" s="16">
        <v>2</v>
      </c>
      <c r="D372" s="15" t="s">
        <v>50</v>
      </c>
      <c r="E372" s="15" t="s">
        <v>1586</v>
      </c>
      <c r="F372" s="15" t="s">
        <v>1587</v>
      </c>
      <c r="G372" s="17">
        <v>1</v>
      </c>
      <c r="H372" s="1" t="str">
        <f>IF(G372=0,"Válido",IF(AND(ISNUMBER(G372),G372=1,A372&lt;&gt;"",COUNTIF($A$9:$A$3000,A372)=1,COUNTIF('Catalogo CU'!$A$9:$A$500,B372)=1,ISNUMBER(C372),C372&gt;=1,OR(D372="Principal",D372="Alternativo adicional"),E372&lt;&gt;"",F372&lt;&gt;""),"Válido","Revisar transacción"))</f>
        <v>Válido</v>
      </c>
    </row>
    <row r="373" spans="1:8" ht="43.95" customHeight="1">
      <c r="A373" s="1" t="s">
        <v>1588</v>
      </c>
      <c r="B373" s="14" t="s">
        <v>465</v>
      </c>
      <c r="C373" s="16">
        <v>3</v>
      </c>
      <c r="D373" s="15" t="s">
        <v>50</v>
      </c>
      <c r="E373" s="15" t="s">
        <v>1589</v>
      </c>
      <c r="F373" s="15" t="s">
        <v>1590</v>
      </c>
      <c r="G373" s="17">
        <v>1</v>
      </c>
      <c r="H373" s="1" t="str">
        <f>IF(G373=0,"Válido",IF(AND(ISNUMBER(G373),G373=1,A373&lt;&gt;"",COUNTIF($A$9:$A$3000,A373)=1,COUNTIF('Catalogo CU'!$A$9:$A$500,B373)=1,ISNUMBER(C373),C373&gt;=1,OR(D373="Principal",D373="Alternativo adicional"),E373&lt;&gt;"",F373&lt;&gt;""),"Válido","Revisar transacción"))</f>
        <v>Válido</v>
      </c>
    </row>
    <row r="374" spans="1:8" ht="43.95" customHeight="1">
      <c r="A374" s="1" t="s">
        <v>1591</v>
      </c>
      <c r="B374" s="14" t="s">
        <v>465</v>
      </c>
      <c r="C374" s="16">
        <v>4</v>
      </c>
      <c r="D374" s="15" t="s">
        <v>50</v>
      </c>
      <c r="E374" s="15" t="s">
        <v>1592</v>
      </c>
      <c r="F374" s="15" t="s">
        <v>1593</v>
      </c>
      <c r="G374" s="17">
        <v>1</v>
      </c>
      <c r="H374" s="1" t="str">
        <f>IF(G374=0,"Válido",IF(AND(ISNUMBER(G374),G374=1,A374&lt;&gt;"",COUNTIF($A$9:$A$3000,A374)=1,COUNTIF('Catalogo CU'!$A$9:$A$500,B374)=1,ISNUMBER(C374),C374&gt;=1,OR(D374="Principal",D374="Alternativo adicional"),E374&lt;&gt;"",F374&lt;&gt;""),"Válido","Revisar transacción"))</f>
        <v>Válido</v>
      </c>
    </row>
    <row r="375" spans="1:8" ht="43.95" customHeight="1">
      <c r="A375" s="1" t="s">
        <v>1594</v>
      </c>
      <c r="B375" s="14" t="s">
        <v>465</v>
      </c>
      <c r="C375" s="16">
        <v>5</v>
      </c>
      <c r="D375" s="15" t="s">
        <v>50</v>
      </c>
      <c r="E375" s="15" t="s">
        <v>1595</v>
      </c>
      <c r="F375" s="15" t="s">
        <v>1596</v>
      </c>
      <c r="G375" s="17">
        <v>1</v>
      </c>
      <c r="H375" s="1" t="str">
        <f>IF(G375=0,"Válido",IF(AND(ISNUMBER(G375),G375=1,A375&lt;&gt;"",COUNTIF($A$9:$A$3000,A375)=1,COUNTIF('Catalogo CU'!$A$9:$A$500,B375)=1,ISNUMBER(C375),C375&gt;=1,OR(D375="Principal",D375="Alternativo adicional"),E375&lt;&gt;"",F375&lt;&gt;""),"Válido","Revisar transacción"))</f>
        <v>Válido</v>
      </c>
    </row>
    <row r="376" spans="1:8" ht="43.95" customHeight="1">
      <c r="A376" s="1" t="s">
        <v>1597</v>
      </c>
      <c r="B376" s="14" t="s">
        <v>470</v>
      </c>
      <c r="C376" s="16">
        <v>1</v>
      </c>
      <c r="D376" s="15" t="s">
        <v>50</v>
      </c>
      <c r="E376" s="15" t="s">
        <v>1598</v>
      </c>
      <c r="F376" s="15" t="s">
        <v>1599</v>
      </c>
      <c r="G376" s="17">
        <v>1</v>
      </c>
      <c r="H376" s="1" t="str">
        <f>IF(G376=0,"Válido",IF(AND(ISNUMBER(G376),G376=1,A376&lt;&gt;"",COUNTIF($A$9:$A$3000,A376)=1,COUNTIF('Catalogo CU'!$A$9:$A$500,B376)=1,ISNUMBER(C376),C376&gt;=1,OR(D376="Principal",D376="Alternativo adicional"),E376&lt;&gt;"",F376&lt;&gt;""),"Válido","Revisar transacción"))</f>
        <v>Válido</v>
      </c>
    </row>
    <row r="377" spans="1:8" ht="43.95" customHeight="1">
      <c r="A377" s="1" t="s">
        <v>1600</v>
      </c>
      <c r="B377" s="14" t="s">
        <v>470</v>
      </c>
      <c r="C377" s="16">
        <v>2</v>
      </c>
      <c r="D377" s="15" t="s">
        <v>50</v>
      </c>
      <c r="E377" s="15" t="s">
        <v>1601</v>
      </c>
      <c r="F377" s="15" t="s">
        <v>1602</v>
      </c>
      <c r="G377" s="17">
        <v>1</v>
      </c>
      <c r="H377" s="1" t="str">
        <f>IF(G377=0,"Válido",IF(AND(ISNUMBER(G377),G377=1,A377&lt;&gt;"",COUNTIF($A$9:$A$3000,A377)=1,COUNTIF('Catalogo CU'!$A$9:$A$500,B377)=1,ISNUMBER(C377),C377&gt;=1,OR(D377="Principal",D377="Alternativo adicional"),E377&lt;&gt;"",F377&lt;&gt;""),"Válido","Revisar transacción"))</f>
        <v>Válido</v>
      </c>
    </row>
    <row r="378" spans="1:8" ht="43.95" customHeight="1">
      <c r="A378" s="1" t="s">
        <v>1603</v>
      </c>
      <c r="B378" s="14" t="s">
        <v>470</v>
      </c>
      <c r="C378" s="16">
        <v>3</v>
      </c>
      <c r="D378" s="15" t="s">
        <v>50</v>
      </c>
      <c r="E378" s="15" t="s">
        <v>1604</v>
      </c>
      <c r="F378" s="15" t="s">
        <v>1605</v>
      </c>
      <c r="G378" s="17">
        <v>1</v>
      </c>
      <c r="H378" s="1" t="str">
        <f>IF(G378=0,"Válido",IF(AND(ISNUMBER(G378),G378=1,A378&lt;&gt;"",COUNTIF($A$9:$A$3000,A378)=1,COUNTIF('Catalogo CU'!$A$9:$A$500,B378)=1,ISNUMBER(C378),C378&gt;=1,OR(D378="Principal",D378="Alternativo adicional"),E378&lt;&gt;"",F378&lt;&gt;""),"Válido","Revisar transacción"))</f>
        <v>Válido</v>
      </c>
    </row>
    <row r="379" spans="1:8" ht="43.95" customHeight="1">
      <c r="A379" s="1" t="s">
        <v>1606</v>
      </c>
      <c r="B379" s="14" t="s">
        <v>470</v>
      </c>
      <c r="C379" s="16">
        <v>4</v>
      </c>
      <c r="D379" s="15" t="s">
        <v>50</v>
      </c>
      <c r="E379" s="15" t="s">
        <v>1607</v>
      </c>
      <c r="F379" s="15" t="s">
        <v>1608</v>
      </c>
      <c r="G379" s="17">
        <v>1</v>
      </c>
      <c r="H379" s="1" t="str">
        <f>IF(G379=0,"Válido",IF(AND(ISNUMBER(G379),G379=1,A379&lt;&gt;"",COUNTIF($A$9:$A$3000,A379)=1,COUNTIF('Catalogo CU'!$A$9:$A$500,B379)=1,ISNUMBER(C379),C379&gt;=1,OR(D379="Principal",D379="Alternativo adicional"),E379&lt;&gt;"",F379&lt;&gt;""),"Válido","Revisar transacción"))</f>
        <v>Válido</v>
      </c>
    </row>
    <row r="380" spans="1:8" ht="43.95" customHeight="1">
      <c r="A380" s="1" t="s">
        <v>1609</v>
      </c>
      <c r="B380" s="14" t="s">
        <v>470</v>
      </c>
      <c r="C380" s="16">
        <v>5</v>
      </c>
      <c r="D380" s="15" t="s">
        <v>50</v>
      </c>
      <c r="E380" s="15" t="s">
        <v>1610</v>
      </c>
      <c r="F380" s="15" t="s">
        <v>1611</v>
      </c>
      <c r="G380" s="17">
        <v>1</v>
      </c>
      <c r="H380" s="1" t="str">
        <f>IF(G380=0,"Válido",IF(AND(ISNUMBER(G380),G380=1,A380&lt;&gt;"",COUNTIF($A$9:$A$3000,A380)=1,COUNTIF('Catalogo CU'!$A$9:$A$500,B380)=1,ISNUMBER(C380),C380&gt;=1,OR(D380="Principal",D380="Alternativo adicional"),E380&lt;&gt;"",F380&lt;&gt;""),"Válido","Revisar transacción"))</f>
        <v>Válido</v>
      </c>
    </row>
    <row r="381" spans="1:8" ht="43.95" customHeight="1">
      <c r="A381" s="1" t="s">
        <v>1612</v>
      </c>
      <c r="B381" s="14" t="s">
        <v>476</v>
      </c>
      <c r="C381" s="16">
        <v>1</v>
      </c>
      <c r="D381" s="15" t="s">
        <v>50</v>
      </c>
      <c r="E381" s="15" t="s">
        <v>1613</v>
      </c>
      <c r="F381" s="15" t="s">
        <v>1614</v>
      </c>
      <c r="G381" s="17">
        <v>1</v>
      </c>
      <c r="H381" s="1" t="str">
        <f>IF(G381=0,"Válido",IF(AND(ISNUMBER(G381),G381=1,A381&lt;&gt;"",COUNTIF($A$9:$A$3000,A381)=1,COUNTIF('Catalogo CU'!$A$9:$A$500,B381)=1,ISNUMBER(C381),C381&gt;=1,OR(D381="Principal",D381="Alternativo adicional"),E381&lt;&gt;"",F381&lt;&gt;""),"Válido","Revisar transacción"))</f>
        <v>Válido</v>
      </c>
    </row>
    <row r="382" spans="1:8" ht="43.95" customHeight="1">
      <c r="A382" s="1" t="s">
        <v>1615</v>
      </c>
      <c r="B382" s="14" t="s">
        <v>476</v>
      </c>
      <c r="C382" s="16">
        <v>2</v>
      </c>
      <c r="D382" s="15" t="s">
        <v>50</v>
      </c>
      <c r="E382" s="15" t="s">
        <v>1616</v>
      </c>
      <c r="F382" s="15" t="s">
        <v>1617</v>
      </c>
      <c r="G382" s="17">
        <v>1</v>
      </c>
      <c r="H382" s="1" t="str">
        <f>IF(G382=0,"Válido",IF(AND(ISNUMBER(G382),G382=1,A382&lt;&gt;"",COUNTIF($A$9:$A$3000,A382)=1,COUNTIF('Catalogo CU'!$A$9:$A$500,B382)=1,ISNUMBER(C382),C382&gt;=1,OR(D382="Principal",D382="Alternativo adicional"),E382&lt;&gt;"",F382&lt;&gt;""),"Válido","Revisar transacción"))</f>
        <v>Válido</v>
      </c>
    </row>
    <row r="383" spans="1:8" ht="43.95" customHeight="1">
      <c r="A383" s="1" t="s">
        <v>1618</v>
      </c>
      <c r="B383" s="14" t="s">
        <v>476</v>
      </c>
      <c r="C383" s="16">
        <v>3</v>
      </c>
      <c r="D383" s="15" t="s">
        <v>50</v>
      </c>
      <c r="E383" s="15" t="s">
        <v>1619</v>
      </c>
      <c r="F383" s="15" t="s">
        <v>1620</v>
      </c>
      <c r="G383" s="17">
        <v>1</v>
      </c>
      <c r="H383" s="1" t="str">
        <f>IF(G383=0,"Válido",IF(AND(ISNUMBER(G383),G383=1,A383&lt;&gt;"",COUNTIF($A$9:$A$3000,A383)=1,COUNTIF('Catalogo CU'!$A$9:$A$500,B383)=1,ISNUMBER(C383),C383&gt;=1,OR(D383="Principal",D383="Alternativo adicional"),E383&lt;&gt;"",F383&lt;&gt;""),"Válido","Revisar transacción"))</f>
        <v>Válido</v>
      </c>
    </row>
    <row r="384" spans="1:8" ht="43.95" customHeight="1">
      <c r="A384" s="1" t="s">
        <v>1621</v>
      </c>
      <c r="B384" s="14" t="s">
        <v>476</v>
      </c>
      <c r="C384" s="16">
        <v>4</v>
      </c>
      <c r="D384" s="15" t="s">
        <v>50</v>
      </c>
      <c r="E384" s="15" t="s">
        <v>1622</v>
      </c>
      <c r="F384" s="15" t="s">
        <v>1623</v>
      </c>
      <c r="G384" s="17">
        <v>1</v>
      </c>
      <c r="H384" s="1" t="str">
        <f>IF(G384=0,"Válido",IF(AND(ISNUMBER(G384),G384=1,A384&lt;&gt;"",COUNTIF($A$9:$A$3000,A384)=1,COUNTIF('Catalogo CU'!$A$9:$A$500,B384)=1,ISNUMBER(C384),C384&gt;=1,OR(D384="Principal",D384="Alternativo adicional"),E384&lt;&gt;"",F384&lt;&gt;""),"Válido","Revisar transacción"))</f>
        <v>Válido</v>
      </c>
    </row>
    <row r="385" spans="1:8" ht="43.95" customHeight="1">
      <c r="A385" s="1" t="s">
        <v>1624</v>
      </c>
      <c r="B385" s="14" t="s">
        <v>476</v>
      </c>
      <c r="C385" s="16">
        <v>5</v>
      </c>
      <c r="D385" s="15" t="s">
        <v>50</v>
      </c>
      <c r="E385" s="15" t="s">
        <v>1625</v>
      </c>
      <c r="F385" s="15" t="s">
        <v>1626</v>
      </c>
      <c r="G385" s="17">
        <v>1</v>
      </c>
      <c r="H385" s="1" t="str">
        <f>IF(G385=0,"Válido",IF(AND(ISNUMBER(G385),G385=1,A385&lt;&gt;"",COUNTIF($A$9:$A$3000,A385)=1,COUNTIF('Catalogo CU'!$A$9:$A$500,B385)=1,ISNUMBER(C385),C385&gt;=1,OR(D385="Principal",D385="Alternativo adicional"),E385&lt;&gt;"",F385&lt;&gt;""),"Válido","Revisar transacción"))</f>
        <v>Válido</v>
      </c>
    </row>
    <row r="386" spans="1:8" ht="43.95" customHeight="1">
      <c r="A386" s="1" t="s">
        <v>1627</v>
      </c>
      <c r="B386" s="14" t="s">
        <v>481</v>
      </c>
      <c r="C386" s="16">
        <v>1</v>
      </c>
      <c r="D386" s="15" t="s">
        <v>50</v>
      </c>
      <c r="E386" s="15" t="s">
        <v>1628</v>
      </c>
      <c r="F386" s="15" t="s">
        <v>1629</v>
      </c>
      <c r="G386" s="17">
        <v>1</v>
      </c>
      <c r="H386" s="1" t="str">
        <f>IF(G386=0,"Válido",IF(AND(ISNUMBER(G386),G386=1,A386&lt;&gt;"",COUNTIF($A$9:$A$3000,A386)=1,COUNTIF('Catalogo CU'!$A$9:$A$500,B386)=1,ISNUMBER(C386),C386&gt;=1,OR(D386="Principal",D386="Alternativo adicional"),E386&lt;&gt;"",F386&lt;&gt;""),"Válido","Revisar transacción"))</f>
        <v>Válido</v>
      </c>
    </row>
    <row r="387" spans="1:8" ht="43.95" customHeight="1">
      <c r="A387" s="1" t="s">
        <v>1630</v>
      </c>
      <c r="B387" s="14" t="s">
        <v>481</v>
      </c>
      <c r="C387" s="16">
        <v>2</v>
      </c>
      <c r="D387" s="15" t="s">
        <v>50</v>
      </c>
      <c r="E387" s="15" t="s">
        <v>1631</v>
      </c>
      <c r="F387" s="15" t="s">
        <v>1632</v>
      </c>
      <c r="G387" s="17">
        <v>1</v>
      </c>
      <c r="H387" s="1" t="str">
        <f>IF(G387=0,"Válido",IF(AND(ISNUMBER(G387),G387=1,A387&lt;&gt;"",COUNTIF($A$9:$A$3000,A387)=1,COUNTIF('Catalogo CU'!$A$9:$A$500,B387)=1,ISNUMBER(C387),C387&gt;=1,OR(D387="Principal",D387="Alternativo adicional"),E387&lt;&gt;"",F387&lt;&gt;""),"Válido","Revisar transacción"))</f>
        <v>Válido</v>
      </c>
    </row>
    <row r="388" spans="1:8" ht="43.95" customHeight="1">
      <c r="A388" s="1" t="s">
        <v>1633</v>
      </c>
      <c r="B388" s="14" t="s">
        <v>481</v>
      </c>
      <c r="C388" s="16">
        <v>3</v>
      </c>
      <c r="D388" s="15" t="s">
        <v>50</v>
      </c>
      <c r="E388" s="15" t="s">
        <v>1634</v>
      </c>
      <c r="F388" s="15" t="s">
        <v>1635</v>
      </c>
      <c r="G388" s="17">
        <v>1</v>
      </c>
      <c r="H388" s="1" t="str">
        <f>IF(G388=0,"Válido",IF(AND(ISNUMBER(G388),G388=1,A388&lt;&gt;"",COUNTIF($A$9:$A$3000,A388)=1,COUNTIF('Catalogo CU'!$A$9:$A$500,B388)=1,ISNUMBER(C388),C388&gt;=1,OR(D388="Principal",D388="Alternativo adicional"),E388&lt;&gt;"",F388&lt;&gt;""),"Válido","Revisar transacción"))</f>
        <v>Válido</v>
      </c>
    </row>
    <row r="389" spans="1:8" ht="43.95" customHeight="1">
      <c r="A389" s="1" t="s">
        <v>1636</v>
      </c>
      <c r="B389" s="14" t="s">
        <v>481</v>
      </c>
      <c r="C389" s="16">
        <v>4</v>
      </c>
      <c r="D389" s="15" t="s">
        <v>50</v>
      </c>
      <c r="E389" s="15" t="s">
        <v>1637</v>
      </c>
      <c r="F389" s="15" t="s">
        <v>1638</v>
      </c>
      <c r="G389" s="17">
        <v>1</v>
      </c>
      <c r="H389" s="1" t="str">
        <f>IF(G389=0,"Válido",IF(AND(ISNUMBER(G389),G389=1,A389&lt;&gt;"",COUNTIF($A$9:$A$3000,A389)=1,COUNTIF('Catalogo CU'!$A$9:$A$500,B389)=1,ISNUMBER(C389),C389&gt;=1,OR(D389="Principal",D389="Alternativo adicional"),E389&lt;&gt;"",F389&lt;&gt;""),"Válido","Revisar transacción"))</f>
        <v>Válido</v>
      </c>
    </row>
    <row r="390" spans="1:8" ht="43.95" customHeight="1">
      <c r="A390" s="1" t="s">
        <v>1639</v>
      </c>
      <c r="B390" s="14" t="s">
        <v>481</v>
      </c>
      <c r="C390" s="16">
        <v>5</v>
      </c>
      <c r="D390" s="15" t="s">
        <v>50</v>
      </c>
      <c r="E390" s="15" t="s">
        <v>1640</v>
      </c>
      <c r="F390" s="15" t="s">
        <v>1641</v>
      </c>
      <c r="G390" s="17">
        <v>1</v>
      </c>
      <c r="H390" s="1" t="str">
        <f>IF(G390=0,"Válido",IF(AND(ISNUMBER(G390),G390=1,A390&lt;&gt;"",COUNTIF($A$9:$A$3000,A390)=1,COUNTIF('Catalogo CU'!$A$9:$A$500,B390)=1,ISNUMBER(C390),C390&gt;=1,OR(D390="Principal",D390="Alternativo adicional"),E390&lt;&gt;"",F390&lt;&gt;""),"Válido","Revisar transacción"))</f>
        <v>Válido</v>
      </c>
    </row>
    <row r="391" spans="1:8" ht="43.95" customHeight="1">
      <c r="A391" s="1" t="s">
        <v>1642</v>
      </c>
      <c r="B391" s="14" t="s">
        <v>487</v>
      </c>
      <c r="C391" s="16">
        <v>1</v>
      </c>
      <c r="D391" s="15" t="s">
        <v>50</v>
      </c>
      <c r="E391" s="15" t="s">
        <v>1643</v>
      </c>
      <c r="F391" s="15" t="s">
        <v>1644</v>
      </c>
      <c r="G391" s="17">
        <v>1</v>
      </c>
      <c r="H391" s="1" t="str">
        <f>IF(G391=0,"Válido",IF(AND(ISNUMBER(G391),G391=1,A391&lt;&gt;"",COUNTIF($A$9:$A$3000,A391)=1,COUNTIF('Catalogo CU'!$A$9:$A$500,B391)=1,ISNUMBER(C391),C391&gt;=1,OR(D391="Principal",D391="Alternativo adicional"),E391&lt;&gt;"",F391&lt;&gt;""),"Válido","Revisar transacción"))</f>
        <v>Válido</v>
      </c>
    </row>
    <row r="392" spans="1:8" ht="43.95" customHeight="1">
      <c r="A392" s="1" t="s">
        <v>1645</v>
      </c>
      <c r="B392" s="14" t="s">
        <v>487</v>
      </c>
      <c r="C392" s="16">
        <v>2</v>
      </c>
      <c r="D392" s="15" t="s">
        <v>50</v>
      </c>
      <c r="E392" s="15" t="s">
        <v>1646</v>
      </c>
      <c r="F392" s="15" t="s">
        <v>1647</v>
      </c>
      <c r="G392" s="17">
        <v>1</v>
      </c>
      <c r="H392" s="1" t="str">
        <f>IF(G392=0,"Válido",IF(AND(ISNUMBER(G392),G392=1,A392&lt;&gt;"",COUNTIF($A$9:$A$3000,A392)=1,COUNTIF('Catalogo CU'!$A$9:$A$500,B392)=1,ISNUMBER(C392),C392&gt;=1,OR(D392="Principal",D392="Alternativo adicional"),E392&lt;&gt;"",F392&lt;&gt;""),"Válido","Revisar transacción"))</f>
        <v>Válido</v>
      </c>
    </row>
    <row r="393" spans="1:8" ht="43.95" customHeight="1">
      <c r="A393" s="1" t="s">
        <v>1648</v>
      </c>
      <c r="B393" s="14" t="s">
        <v>487</v>
      </c>
      <c r="C393" s="16">
        <v>3</v>
      </c>
      <c r="D393" s="15" t="s">
        <v>50</v>
      </c>
      <c r="E393" s="15" t="s">
        <v>1649</v>
      </c>
      <c r="F393" s="15" t="s">
        <v>1650</v>
      </c>
      <c r="G393" s="17">
        <v>1</v>
      </c>
      <c r="H393" s="1" t="str">
        <f>IF(G393=0,"Válido",IF(AND(ISNUMBER(G393),G393=1,A393&lt;&gt;"",COUNTIF($A$9:$A$3000,A393)=1,COUNTIF('Catalogo CU'!$A$9:$A$500,B393)=1,ISNUMBER(C393),C393&gt;=1,OR(D393="Principal",D393="Alternativo adicional"),E393&lt;&gt;"",F393&lt;&gt;""),"Válido","Revisar transacción"))</f>
        <v>Válido</v>
      </c>
    </row>
    <row r="394" spans="1:8" ht="43.95" customHeight="1">
      <c r="A394" s="1" t="s">
        <v>1651</v>
      </c>
      <c r="B394" s="14" t="s">
        <v>487</v>
      </c>
      <c r="C394" s="16">
        <v>4</v>
      </c>
      <c r="D394" s="15" t="s">
        <v>50</v>
      </c>
      <c r="E394" s="15" t="s">
        <v>1652</v>
      </c>
      <c r="F394" s="15" t="s">
        <v>1653</v>
      </c>
      <c r="G394" s="17">
        <v>1</v>
      </c>
      <c r="H394" s="1" t="str">
        <f>IF(G394=0,"Válido",IF(AND(ISNUMBER(G394),G394=1,A394&lt;&gt;"",COUNTIF($A$9:$A$3000,A394)=1,COUNTIF('Catalogo CU'!$A$9:$A$500,B394)=1,ISNUMBER(C394),C394&gt;=1,OR(D394="Principal",D394="Alternativo adicional"),E394&lt;&gt;"",F394&lt;&gt;""),"Válido","Revisar transacción"))</f>
        <v>Válido</v>
      </c>
    </row>
    <row r="395" spans="1:8" ht="43.95" customHeight="1">
      <c r="A395" s="1" t="s">
        <v>1654</v>
      </c>
      <c r="B395" s="14" t="s">
        <v>492</v>
      </c>
      <c r="C395" s="16">
        <v>1</v>
      </c>
      <c r="D395" s="15" t="s">
        <v>50</v>
      </c>
      <c r="E395" s="15" t="s">
        <v>1655</v>
      </c>
      <c r="F395" s="15" t="s">
        <v>1656</v>
      </c>
      <c r="G395" s="17">
        <v>1</v>
      </c>
      <c r="H395" s="1" t="str">
        <f>IF(G395=0,"Válido",IF(AND(ISNUMBER(G395),G395=1,A395&lt;&gt;"",COUNTIF($A$9:$A$3000,A395)=1,COUNTIF('Catalogo CU'!$A$9:$A$500,B395)=1,ISNUMBER(C395),C395&gt;=1,OR(D395="Principal",D395="Alternativo adicional"),E395&lt;&gt;"",F395&lt;&gt;""),"Válido","Revisar transacción"))</f>
        <v>Válido</v>
      </c>
    </row>
    <row r="396" spans="1:8" ht="43.95" customHeight="1">
      <c r="A396" s="1" t="s">
        <v>1657</v>
      </c>
      <c r="B396" s="14" t="s">
        <v>492</v>
      </c>
      <c r="C396" s="16">
        <v>2</v>
      </c>
      <c r="D396" s="15" t="s">
        <v>50</v>
      </c>
      <c r="E396" s="15" t="s">
        <v>1658</v>
      </c>
      <c r="F396" s="15" t="s">
        <v>1659</v>
      </c>
      <c r="G396" s="17">
        <v>1</v>
      </c>
      <c r="H396" s="1" t="str">
        <f>IF(G396=0,"Válido",IF(AND(ISNUMBER(G396),G396=1,A396&lt;&gt;"",COUNTIF($A$9:$A$3000,A396)=1,COUNTIF('Catalogo CU'!$A$9:$A$500,B396)=1,ISNUMBER(C396),C396&gt;=1,OR(D396="Principal",D396="Alternativo adicional"),E396&lt;&gt;"",F396&lt;&gt;""),"Válido","Revisar transacción"))</f>
        <v>Válido</v>
      </c>
    </row>
    <row r="397" spans="1:8" ht="43.95" customHeight="1">
      <c r="A397" s="1" t="s">
        <v>1660</v>
      </c>
      <c r="B397" s="14" t="s">
        <v>492</v>
      </c>
      <c r="C397" s="16">
        <v>3</v>
      </c>
      <c r="D397" s="15" t="s">
        <v>50</v>
      </c>
      <c r="E397" s="15" t="s">
        <v>1661</v>
      </c>
      <c r="F397" s="15" t="s">
        <v>1662</v>
      </c>
      <c r="G397" s="17">
        <v>1</v>
      </c>
      <c r="H397" s="1" t="str">
        <f>IF(G397=0,"Válido",IF(AND(ISNUMBER(G397),G397=1,A397&lt;&gt;"",COUNTIF($A$9:$A$3000,A397)=1,COUNTIF('Catalogo CU'!$A$9:$A$500,B397)=1,ISNUMBER(C397),C397&gt;=1,OR(D397="Principal",D397="Alternativo adicional"),E397&lt;&gt;"",F397&lt;&gt;""),"Válido","Revisar transacción"))</f>
        <v>Válido</v>
      </c>
    </row>
    <row r="398" spans="1:8" ht="43.95" customHeight="1">
      <c r="A398" s="1" t="s">
        <v>1663</v>
      </c>
      <c r="B398" s="14" t="s">
        <v>492</v>
      </c>
      <c r="C398" s="16">
        <v>4</v>
      </c>
      <c r="D398" s="15" t="s">
        <v>50</v>
      </c>
      <c r="E398" s="15" t="s">
        <v>1664</v>
      </c>
      <c r="F398" s="15" t="s">
        <v>1665</v>
      </c>
      <c r="G398" s="17">
        <v>1</v>
      </c>
      <c r="H398" s="1" t="str">
        <f>IF(G398=0,"Válido",IF(AND(ISNUMBER(G398),G398=1,A398&lt;&gt;"",COUNTIF($A$9:$A$3000,A398)=1,COUNTIF('Catalogo CU'!$A$9:$A$500,B398)=1,ISNUMBER(C398),C398&gt;=1,OR(D398="Principal",D398="Alternativo adicional"),E398&lt;&gt;"",F398&lt;&gt;""),"Válido","Revisar transacción"))</f>
        <v>Válido</v>
      </c>
    </row>
  </sheetData>
  <conditionalFormatting sqref="H9:H398">
    <cfRule type="expression" dxfId="7" priority="1">
      <formula>LEFT($H9,7)="Revisar"</formula>
    </cfRule>
  </conditionalFormatting>
  <dataValidations count="2">
    <dataValidation type="list" sqref="D9:D398" xr:uid="{00000000-0002-0000-0200-000000000000}">
      <formula1>"Principal,Alternativo adicional"</formula1>
    </dataValidation>
    <dataValidation type="whole" sqref="G9:G398" xr:uid="{00000000-0002-0000-0200-000002000000}">
      <formula1>0</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200-000001000000}">
          <x14:formula1>
            <xm:f>'Catalogo CU'!$A$9:$A$99</xm:f>
          </x14:formula1>
          <xm:sqref>B9:B398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0"/>
  <sheetViews>
    <sheetView showGridLines="0" workbookViewId="0">
      <pane xSplit="1" ySplit="8" topLeftCell="B9" activePane="bottomRight" state="frozen"/>
      <selection pane="topRight"/>
      <selection pane="bottomLeft"/>
      <selection pane="bottomRight" activeCell="B9" sqref="B9"/>
    </sheetView>
  </sheetViews>
  <sheetFormatPr baseColWidth="10" defaultColWidth="8.796875" defaultRowHeight="13.8"/>
  <cols>
    <col min="1" max="1" width="13" customWidth="1"/>
    <col min="2" max="2" width="38" customWidth="1"/>
    <col min="3" max="3" width="17" customWidth="1"/>
    <col min="4" max="4" width="15" customWidth="1"/>
    <col min="5" max="5" width="9" customWidth="1"/>
    <col min="6" max="6" width="10" customWidth="1"/>
    <col min="7" max="7" width="12" customWidth="1"/>
    <col min="8" max="8" width="86" customWidth="1"/>
    <col min="9" max="9" width="47" customWidth="1"/>
    <col min="10" max="10" width="11" customWidth="1"/>
  </cols>
  <sheetData>
    <row r="1" spans="1:10" ht="21" customHeight="1">
      <c r="A1" s="1"/>
      <c r="B1" s="1"/>
      <c r="C1" s="1"/>
      <c r="D1" s="1"/>
      <c r="E1" s="1"/>
      <c r="F1" s="1"/>
      <c r="G1" s="1"/>
      <c r="H1" s="1"/>
      <c r="I1" s="1"/>
      <c r="J1" s="1"/>
    </row>
    <row r="2" spans="1:10" ht="21" customHeight="1">
      <c r="A2" s="2" t="s">
        <v>1666</v>
      </c>
      <c r="B2" s="1"/>
      <c r="C2" s="1"/>
      <c r="D2" s="1"/>
      <c r="E2" s="1"/>
      <c r="F2" s="1"/>
      <c r="G2" s="1"/>
      <c r="H2" s="1"/>
      <c r="I2" s="1"/>
      <c r="J2" s="1"/>
    </row>
    <row r="3" spans="1:10" ht="21" customHeight="1">
      <c r="A3" s="3"/>
      <c r="B3" s="3"/>
      <c r="C3" s="3"/>
      <c r="D3" s="3"/>
      <c r="E3" s="3"/>
      <c r="F3" s="3"/>
      <c r="G3" s="3"/>
      <c r="H3" s="3"/>
      <c r="I3" s="3"/>
      <c r="J3" s="3"/>
    </row>
    <row r="4" spans="1:10" ht="21" customHeight="1">
      <c r="A4" s="4" t="s">
        <v>1667</v>
      </c>
      <c r="B4" s="1"/>
      <c r="C4" s="1"/>
      <c r="D4" s="1"/>
      <c r="E4" s="1"/>
      <c r="F4" s="1"/>
      <c r="G4" s="1"/>
      <c r="H4" s="1"/>
      <c r="I4" s="1"/>
      <c r="J4" s="1"/>
    </row>
    <row r="5" spans="1:10" ht="21" customHeight="1">
      <c r="A5" s="1" t="s">
        <v>1668</v>
      </c>
      <c r="B5" s="19">
        <f>IF(COUNTIF(J9:J100,"Revisar*")&gt;0,"Revisar actores",SUM(G9:G100))</f>
        <v>75</v>
      </c>
      <c r="C5" s="1"/>
      <c r="D5" s="1"/>
      <c r="E5" s="1"/>
      <c r="F5" s="1"/>
      <c r="G5" s="1"/>
      <c r="H5" s="1"/>
      <c r="I5" s="1"/>
      <c r="J5" s="1"/>
    </row>
    <row r="6" spans="1:10" ht="21" customHeight="1">
      <c r="A6" s="1"/>
      <c r="B6" s="1"/>
      <c r="C6" s="1"/>
      <c r="D6" s="1"/>
      <c r="E6" s="1"/>
      <c r="F6" s="1"/>
      <c r="G6" s="1"/>
      <c r="H6" s="1"/>
      <c r="I6" s="1"/>
      <c r="J6" s="1"/>
    </row>
    <row r="7" spans="1:10" ht="21" customHeight="1">
      <c r="A7" s="1"/>
      <c r="B7" s="1"/>
      <c r="C7" s="1"/>
      <c r="D7" s="1"/>
      <c r="E7" s="1"/>
      <c r="F7" s="1"/>
      <c r="G7" s="1"/>
      <c r="H7" s="1"/>
      <c r="I7" s="1"/>
      <c r="J7" s="1"/>
    </row>
    <row r="8" spans="1:10" ht="31.95" customHeight="1">
      <c r="A8" s="8" t="s">
        <v>1669</v>
      </c>
      <c r="B8" s="11" t="s">
        <v>1670</v>
      </c>
      <c r="C8" s="11" t="s">
        <v>1671</v>
      </c>
      <c r="D8" s="11" t="s">
        <v>1672</v>
      </c>
      <c r="E8" s="11" t="s">
        <v>49</v>
      </c>
      <c r="F8" s="11" t="s">
        <v>1673</v>
      </c>
      <c r="G8" s="11" t="s">
        <v>1674</v>
      </c>
      <c r="H8" s="11" t="s">
        <v>1675</v>
      </c>
      <c r="I8" s="11" t="s">
        <v>1676</v>
      </c>
      <c r="J8" s="9" t="s">
        <v>55</v>
      </c>
    </row>
    <row r="9" spans="1:10" ht="48" customHeight="1">
      <c r="A9" s="1" t="s">
        <v>123</v>
      </c>
      <c r="B9" s="10" t="s">
        <v>1677</v>
      </c>
      <c r="C9" s="14" t="s">
        <v>1678</v>
      </c>
      <c r="D9" s="1" t="str">
        <f t="shared" ref="D9:D40" si="0">IF(C9="API","Simple",IF(C9="Protocolo","Medio",IF(C9="Gráfica","Complejo","Revisar interfaz")))</f>
        <v>Complejo</v>
      </c>
      <c r="E9" s="17">
        <v>1</v>
      </c>
      <c r="F9" s="18">
        <f>IF(D9="Simple",'Criterios y fuentes'!$B$25,IF(D9="Medio",'Criterios y fuentes'!$B$26,IF(D9="Complejo",'Criterios y fuentes'!$B$27,"Revisar")))</f>
        <v>3</v>
      </c>
      <c r="G9" s="18">
        <f t="shared" ref="G9:G40" si="1">IF(E9=0,0,IF(J9="Válido",E9*F9,"Revisar actor"))</f>
        <v>3</v>
      </c>
      <c r="H9" s="10" t="s">
        <v>1679</v>
      </c>
      <c r="I9" s="10" t="s">
        <v>1680</v>
      </c>
      <c r="J9" s="10" t="str">
        <f t="shared" ref="J9:J40" si="2">IF(AND(ISNUMBER(E9),OR(E9=0,E9=1),COUNTIF($A$9:$A$100,A9)=1,OR(C9="API",C9="Protocolo",C9="Gráfica")),"Válido","Revisar actor")</f>
        <v>Válido</v>
      </c>
    </row>
    <row r="10" spans="1:10" ht="48" customHeight="1">
      <c r="A10" s="1" t="s">
        <v>1681</v>
      </c>
      <c r="B10" s="10" t="s">
        <v>1682</v>
      </c>
      <c r="C10" s="14" t="s">
        <v>1678</v>
      </c>
      <c r="D10" s="1" t="str">
        <f t="shared" si="0"/>
        <v>Complejo</v>
      </c>
      <c r="E10" s="17">
        <v>1</v>
      </c>
      <c r="F10" s="18">
        <f>IF(D10="Simple",'Criterios y fuentes'!$B$25,IF(D10="Medio",'Criterios y fuentes'!$B$26,IF(D10="Complejo",'Criterios y fuentes'!$B$27,"Revisar")))</f>
        <v>3</v>
      </c>
      <c r="G10" s="18">
        <f t="shared" si="1"/>
        <v>3</v>
      </c>
      <c r="H10" s="10" t="s">
        <v>1683</v>
      </c>
      <c r="I10" s="10" t="s">
        <v>1684</v>
      </c>
      <c r="J10" s="10" t="str">
        <f t="shared" si="2"/>
        <v>Válido</v>
      </c>
    </row>
    <row r="11" spans="1:10" ht="48" customHeight="1">
      <c r="A11" s="1" t="s">
        <v>1685</v>
      </c>
      <c r="B11" s="10" t="s">
        <v>1686</v>
      </c>
      <c r="C11" s="14" t="s">
        <v>1678</v>
      </c>
      <c r="D11" s="1" t="str">
        <f t="shared" si="0"/>
        <v>Complejo</v>
      </c>
      <c r="E11" s="17">
        <v>1</v>
      </c>
      <c r="F11" s="18">
        <f>IF(D11="Simple",'Criterios y fuentes'!$B$25,IF(D11="Medio",'Criterios y fuentes'!$B$26,IF(D11="Complejo",'Criterios y fuentes'!$B$27,"Revisar")))</f>
        <v>3</v>
      </c>
      <c r="G11" s="18">
        <f t="shared" si="1"/>
        <v>3</v>
      </c>
      <c r="H11" s="10" t="s">
        <v>1687</v>
      </c>
      <c r="I11" s="10" t="s">
        <v>1688</v>
      </c>
      <c r="J11" s="10" t="str">
        <f t="shared" si="2"/>
        <v>Válido</v>
      </c>
    </row>
    <row r="12" spans="1:10" ht="48" customHeight="1">
      <c r="A12" s="1" t="s">
        <v>1689</v>
      </c>
      <c r="B12" s="10" t="s">
        <v>1690</v>
      </c>
      <c r="C12" s="14" t="s">
        <v>1678</v>
      </c>
      <c r="D12" s="1" t="str">
        <f t="shared" si="0"/>
        <v>Complejo</v>
      </c>
      <c r="E12" s="17">
        <v>1</v>
      </c>
      <c r="F12" s="18">
        <f>IF(D12="Simple",'Criterios y fuentes'!$B$25,IF(D12="Medio",'Criterios y fuentes'!$B$26,IF(D12="Complejo",'Criterios y fuentes'!$B$27,"Revisar")))</f>
        <v>3</v>
      </c>
      <c r="G12" s="18">
        <f t="shared" si="1"/>
        <v>3</v>
      </c>
      <c r="H12" s="10" t="s">
        <v>1691</v>
      </c>
      <c r="I12" s="10" t="s">
        <v>1684</v>
      </c>
      <c r="J12" s="10" t="str">
        <f t="shared" si="2"/>
        <v>Válido</v>
      </c>
    </row>
    <row r="13" spans="1:10" ht="48" customHeight="1">
      <c r="A13" s="1" t="s">
        <v>1692</v>
      </c>
      <c r="B13" s="10" t="s">
        <v>1693</v>
      </c>
      <c r="C13" s="14" t="s">
        <v>1678</v>
      </c>
      <c r="D13" s="1" t="str">
        <f t="shared" si="0"/>
        <v>Complejo</v>
      </c>
      <c r="E13" s="17">
        <v>1</v>
      </c>
      <c r="F13" s="18">
        <f>IF(D13="Simple",'Criterios y fuentes'!$B$25,IF(D13="Medio",'Criterios y fuentes'!$B$26,IF(D13="Complejo",'Criterios y fuentes'!$B$27,"Revisar")))</f>
        <v>3</v>
      </c>
      <c r="G13" s="18">
        <f t="shared" si="1"/>
        <v>3</v>
      </c>
      <c r="H13" s="10" t="s">
        <v>1694</v>
      </c>
      <c r="I13" s="10" t="s">
        <v>1684</v>
      </c>
      <c r="J13" s="10" t="str">
        <f t="shared" si="2"/>
        <v>Válido</v>
      </c>
    </row>
    <row r="14" spans="1:10" ht="48" customHeight="1">
      <c r="A14" s="1" t="s">
        <v>1695</v>
      </c>
      <c r="B14" s="10" t="s">
        <v>1696</v>
      </c>
      <c r="C14" s="14" t="s">
        <v>1678</v>
      </c>
      <c r="D14" s="1" t="str">
        <f t="shared" si="0"/>
        <v>Complejo</v>
      </c>
      <c r="E14" s="17">
        <v>1</v>
      </c>
      <c r="F14" s="18">
        <f>IF(D14="Simple",'Criterios y fuentes'!$B$25,IF(D14="Medio",'Criterios y fuentes'!$B$26,IF(D14="Complejo",'Criterios y fuentes'!$B$27,"Revisar")))</f>
        <v>3</v>
      </c>
      <c r="G14" s="18">
        <f t="shared" si="1"/>
        <v>3</v>
      </c>
      <c r="H14" s="10" t="s">
        <v>1697</v>
      </c>
      <c r="I14" s="10" t="s">
        <v>1684</v>
      </c>
      <c r="J14" s="10" t="str">
        <f t="shared" si="2"/>
        <v>Válido</v>
      </c>
    </row>
    <row r="15" spans="1:10" ht="48" customHeight="1">
      <c r="A15" s="1" t="s">
        <v>345</v>
      </c>
      <c r="B15" s="10" t="s">
        <v>1698</v>
      </c>
      <c r="C15" s="14" t="s">
        <v>1678</v>
      </c>
      <c r="D15" s="1" t="str">
        <f t="shared" si="0"/>
        <v>Complejo</v>
      </c>
      <c r="E15" s="17">
        <v>1</v>
      </c>
      <c r="F15" s="18">
        <f>IF(D15="Simple",'Criterios y fuentes'!$B$25,IF(D15="Medio",'Criterios y fuentes'!$B$26,IF(D15="Complejo",'Criterios y fuentes'!$B$27,"Revisar")))</f>
        <v>3</v>
      </c>
      <c r="G15" s="18">
        <f t="shared" si="1"/>
        <v>3</v>
      </c>
      <c r="H15" s="10" t="s">
        <v>1699</v>
      </c>
      <c r="I15" s="10" t="s">
        <v>1684</v>
      </c>
      <c r="J15" s="10" t="str">
        <f t="shared" si="2"/>
        <v>Válido</v>
      </c>
    </row>
    <row r="16" spans="1:10" ht="48" customHeight="1">
      <c r="A16" s="1" t="s">
        <v>350</v>
      </c>
      <c r="B16" s="10" t="s">
        <v>1700</v>
      </c>
      <c r="C16" s="14" t="s">
        <v>1678</v>
      </c>
      <c r="D16" s="1" t="str">
        <f t="shared" si="0"/>
        <v>Complejo</v>
      </c>
      <c r="E16" s="17">
        <v>1</v>
      </c>
      <c r="F16" s="18">
        <f>IF(D16="Simple",'Criterios y fuentes'!$B$25,IF(D16="Medio",'Criterios y fuentes'!$B$26,IF(D16="Complejo",'Criterios y fuentes'!$B$27,"Revisar")))</f>
        <v>3</v>
      </c>
      <c r="G16" s="18">
        <f t="shared" si="1"/>
        <v>3</v>
      </c>
      <c r="H16" s="10" t="s">
        <v>1701</v>
      </c>
      <c r="I16" s="10" t="s">
        <v>1684</v>
      </c>
      <c r="J16" s="10" t="str">
        <f t="shared" si="2"/>
        <v>Válido</v>
      </c>
    </row>
    <row r="17" spans="1:10" ht="48" customHeight="1">
      <c r="A17" s="1" t="s">
        <v>276</v>
      </c>
      <c r="B17" s="10" t="s">
        <v>1702</v>
      </c>
      <c r="C17" s="14" t="s">
        <v>1678</v>
      </c>
      <c r="D17" s="1" t="str">
        <f t="shared" si="0"/>
        <v>Complejo</v>
      </c>
      <c r="E17" s="17">
        <v>1</v>
      </c>
      <c r="F17" s="18">
        <f>IF(D17="Simple",'Criterios y fuentes'!$B$25,IF(D17="Medio",'Criterios y fuentes'!$B$26,IF(D17="Complejo",'Criterios y fuentes'!$B$27,"Revisar")))</f>
        <v>3</v>
      </c>
      <c r="G17" s="18">
        <f t="shared" si="1"/>
        <v>3</v>
      </c>
      <c r="H17" s="10" t="s">
        <v>1703</v>
      </c>
      <c r="I17" s="10" t="s">
        <v>1684</v>
      </c>
      <c r="J17" s="10" t="str">
        <f t="shared" si="2"/>
        <v>Válido</v>
      </c>
    </row>
    <row r="18" spans="1:10" ht="48" customHeight="1">
      <c r="A18" s="1" t="s">
        <v>1704</v>
      </c>
      <c r="B18" s="10" t="s">
        <v>1705</v>
      </c>
      <c r="C18" s="14" t="s">
        <v>1678</v>
      </c>
      <c r="D18" s="1" t="str">
        <f t="shared" si="0"/>
        <v>Complejo</v>
      </c>
      <c r="E18" s="17">
        <v>1</v>
      </c>
      <c r="F18" s="18">
        <f>IF(D18="Simple",'Criterios y fuentes'!$B$25,IF(D18="Medio",'Criterios y fuentes'!$B$26,IF(D18="Complejo",'Criterios y fuentes'!$B$27,"Revisar")))</f>
        <v>3</v>
      </c>
      <c r="G18" s="18">
        <f t="shared" si="1"/>
        <v>3</v>
      </c>
      <c r="H18" s="10" t="s">
        <v>1706</v>
      </c>
      <c r="I18" s="10" t="s">
        <v>1684</v>
      </c>
      <c r="J18" s="10" t="str">
        <f t="shared" si="2"/>
        <v>Válido</v>
      </c>
    </row>
    <row r="19" spans="1:10" ht="48" customHeight="1">
      <c r="A19" s="1" t="s">
        <v>128</v>
      </c>
      <c r="B19" s="10" t="s">
        <v>1707</v>
      </c>
      <c r="C19" s="14" t="s">
        <v>1678</v>
      </c>
      <c r="D19" s="1" t="str">
        <f t="shared" si="0"/>
        <v>Complejo</v>
      </c>
      <c r="E19" s="17">
        <v>1</v>
      </c>
      <c r="F19" s="18">
        <f>IF(D19="Simple",'Criterios y fuentes'!$B$25,IF(D19="Medio",'Criterios y fuentes'!$B$26,IF(D19="Complejo",'Criterios y fuentes'!$B$27,"Revisar")))</f>
        <v>3</v>
      </c>
      <c r="G19" s="18">
        <f t="shared" si="1"/>
        <v>3</v>
      </c>
      <c r="H19" s="10" t="s">
        <v>1708</v>
      </c>
      <c r="I19" s="10" t="s">
        <v>1684</v>
      </c>
      <c r="J19" s="10" t="str">
        <f t="shared" si="2"/>
        <v>Válido</v>
      </c>
    </row>
    <row r="20" spans="1:10" ht="48" customHeight="1">
      <c r="A20" s="1" t="s">
        <v>1709</v>
      </c>
      <c r="B20" s="10" t="s">
        <v>1710</v>
      </c>
      <c r="C20" s="14" t="s">
        <v>1678</v>
      </c>
      <c r="D20" s="1" t="str">
        <f t="shared" si="0"/>
        <v>Complejo</v>
      </c>
      <c r="E20" s="17">
        <v>1</v>
      </c>
      <c r="F20" s="18">
        <f>IF(D20="Simple",'Criterios y fuentes'!$B$25,IF(D20="Medio",'Criterios y fuentes'!$B$26,IF(D20="Complejo",'Criterios y fuentes'!$B$27,"Revisar")))</f>
        <v>3</v>
      </c>
      <c r="G20" s="18">
        <f t="shared" si="1"/>
        <v>3</v>
      </c>
      <c r="H20" s="10" t="s">
        <v>1711</v>
      </c>
      <c r="I20" s="10" t="s">
        <v>1684</v>
      </c>
      <c r="J20" s="10" t="str">
        <f t="shared" si="2"/>
        <v>Válido</v>
      </c>
    </row>
    <row r="21" spans="1:10" ht="48" customHeight="1">
      <c r="A21" s="1" t="s">
        <v>1712</v>
      </c>
      <c r="B21" s="10" t="s">
        <v>1713</v>
      </c>
      <c r="C21" s="14" t="s">
        <v>1678</v>
      </c>
      <c r="D21" s="1" t="str">
        <f t="shared" si="0"/>
        <v>Complejo</v>
      </c>
      <c r="E21" s="17">
        <v>1</v>
      </c>
      <c r="F21" s="18">
        <f>IF(D21="Simple",'Criterios y fuentes'!$B$25,IF(D21="Medio",'Criterios y fuentes'!$B$26,IF(D21="Complejo",'Criterios y fuentes'!$B$27,"Revisar")))</f>
        <v>3</v>
      </c>
      <c r="G21" s="18">
        <f t="shared" si="1"/>
        <v>3</v>
      </c>
      <c r="H21" s="10" t="s">
        <v>1714</v>
      </c>
      <c r="I21" s="10" t="s">
        <v>1684</v>
      </c>
      <c r="J21" s="10" t="str">
        <f t="shared" si="2"/>
        <v>Válido</v>
      </c>
    </row>
    <row r="22" spans="1:10" ht="48" customHeight="1">
      <c r="A22" s="1" t="s">
        <v>1715</v>
      </c>
      <c r="B22" s="10" t="s">
        <v>1716</v>
      </c>
      <c r="C22" s="14" t="s">
        <v>1678</v>
      </c>
      <c r="D22" s="1" t="str">
        <f t="shared" si="0"/>
        <v>Complejo</v>
      </c>
      <c r="E22" s="17">
        <v>1</v>
      </c>
      <c r="F22" s="18">
        <f>IF(D22="Simple",'Criterios y fuentes'!$B$25,IF(D22="Medio",'Criterios y fuentes'!$B$26,IF(D22="Complejo",'Criterios y fuentes'!$B$27,"Revisar")))</f>
        <v>3</v>
      </c>
      <c r="G22" s="18">
        <f t="shared" si="1"/>
        <v>3</v>
      </c>
      <c r="H22" s="10" t="s">
        <v>1717</v>
      </c>
      <c r="I22" s="10" t="s">
        <v>1684</v>
      </c>
      <c r="J22" s="10" t="str">
        <f t="shared" si="2"/>
        <v>Válido</v>
      </c>
    </row>
    <row r="23" spans="1:10" ht="48" customHeight="1">
      <c r="A23" s="1" t="s">
        <v>398</v>
      </c>
      <c r="B23" s="10" t="s">
        <v>1718</v>
      </c>
      <c r="C23" s="14" t="s">
        <v>1678</v>
      </c>
      <c r="D23" s="1" t="str">
        <f t="shared" si="0"/>
        <v>Complejo</v>
      </c>
      <c r="E23" s="17">
        <v>1</v>
      </c>
      <c r="F23" s="18">
        <f>IF(D23="Simple",'Criterios y fuentes'!$B$25,IF(D23="Medio",'Criterios y fuentes'!$B$26,IF(D23="Complejo",'Criterios y fuentes'!$B$27,"Revisar")))</f>
        <v>3</v>
      </c>
      <c r="G23" s="18">
        <f t="shared" si="1"/>
        <v>3</v>
      </c>
      <c r="H23" s="10" t="s">
        <v>1719</v>
      </c>
      <c r="I23" s="10" t="s">
        <v>1684</v>
      </c>
      <c r="J23" s="10" t="str">
        <f t="shared" si="2"/>
        <v>Válido</v>
      </c>
    </row>
    <row r="24" spans="1:10" ht="48" customHeight="1">
      <c r="A24" s="1" t="s">
        <v>1720</v>
      </c>
      <c r="B24" s="10" t="s">
        <v>1721</v>
      </c>
      <c r="C24" s="14" t="s">
        <v>1678</v>
      </c>
      <c r="D24" s="1" t="str">
        <f t="shared" si="0"/>
        <v>Complejo</v>
      </c>
      <c r="E24" s="17">
        <v>1</v>
      </c>
      <c r="F24" s="18">
        <f>IF(D24="Simple",'Criterios y fuentes'!$B$25,IF(D24="Medio",'Criterios y fuentes'!$B$26,IF(D24="Complejo",'Criterios y fuentes'!$B$27,"Revisar")))</f>
        <v>3</v>
      </c>
      <c r="G24" s="18">
        <f t="shared" si="1"/>
        <v>3</v>
      </c>
      <c r="H24" s="10" t="s">
        <v>1722</v>
      </c>
      <c r="I24" s="10" t="s">
        <v>1723</v>
      </c>
      <c r="J24" s="10" t="str">
        <f t="shared" si="2"/>
        <v>Válido</v>
      </c>
    </row>
    <row r="25" spans="1:10" ht="48" customHeight="1">
      <c r="A25" s="1" t="s">
        <v>1724</v>
      </c>
      <c r="B25" s="10" t="s">
        <v>1725</v>
      </c>
      <c r="C25" s="14" t="s">
        <v>1678</v>
      </c>
      <c r="D25" s="1" t="str">
        <f t="shared" si="0"/>
        <v>Complejo</v>
      </c>
      <c r="E25" s="17">
        <v>1</v>
      </c>
      <c r="F25" s="18">
        <f>IF(D25="Simple",'Criterios y fuentes'!$B$25,IF(D25="Medio",'Criterios y fuentes'!$B$26,IF(D25="Complejo",'Criterios y fuentes'!$B$27,"Revisar")))</f>
        <v>3</v>
      </c>
      <c r="G25" s="18">
        <f t="shared" si="1"/>
        <v>3</v>
      </c>
      <c r="H25" s="10" t="s">
        <v>1726</v>
      </c>
      <c r="I25" s="10" t="s">
        <v>1727</v>
      </c>
      <c r="J25" s="10" t="str">
        <f t="shared" si="2"/>
        <v>Válido</v>
      </c>
    </row>
    <row r="26" spans="1:10" ht="48" customHeight="1">
      <c r="A26" s="1" t="s">
        <v>1728</v>
      </c>
      <c r="B26" s="10" t="s">
        <v>1729</v>
      </c>
      <c r="C26" s="14" t="s">
        <v>1678</v>
      </c>
      <c r="D26" s="1" t="str">
        <f t="shared" si="0"/>
        <v>Complejo</v>
      </c>
      <c r="E26" s="17">
        <v>1</v>
      </c>
      <c r="F26" s="18">
        <f>IF(D26="Simple",'Criterios y fuentes'!$B$25,IF(D26="Medio",'Criterios y fuentes'!$B$26,IF(D26="Complejo",'Criterios y fuentes'!$B$27,"Revisar")))</f>
        <v>3</v>
      </c>
      <c r="G26" s="18">
        <f t="shared" si="1"/>
        <v>3</v>
      </c>
      <c r="H26" s="10" t="s">
        <v>1730</v>
      </c>
      <c r="I26" s="10" t="s">
        <v>1731</v>
      </c>
      <c r="J26" s="10" t="str">
        <f t="shared" si="2"/>
        <v>Válido</v>
      </c>
    </row>
    <row r="27" spans="1:10" ht="48" customHeight="1">
      <c r="A27" s="1" t="s">
        <v>1732</v>
      </c>
      <c r="B27" s="10" t="s">
        <v>1733</v>
      </c>
      <c r="C27" s="14" t="s">
        <v>1678</v>
      </c>
      <c r="D27" s="1" t="str">
        <f t="shared" si="0"/>
        <v>Complejo</v>
      </c>
      <c r="E27" s="17">
        <v>1</v>
      </c>
      <c r="F27" s="18">
        <f>IF(D27="Simple",'Criterios y fuentes'!$B$25,IF(D27="Medio",'Criterios y fuentes'!$B$26,IF(D27="Complejo",'Criterios y fuentes'!$B$27,"Revisar")))</f>
        <v>3</v>
      </c>
      <c r="G27" s="18">
        <f t="shared" si="1"/>
        <v>3</v>
      </c>
      <c r="H27" s="10" t="s">
        <v>1734</v>
      </c>
      <c r="I27" s="10" t="s">
        <v>1735</v>
      </c>
      <c r="J27" s="10" t="str">
        <f t="shared" si="2"/>
        <v>Válido</v>
      </c>
    </row>
    <row r="28" spans="1:10" ht="48" customHeight="1">
      <c r="A28" s="1" t="s">
        <v>174</v>
      </c>
      <c r="B28" s="10" t="s">
        <v>1736</v>
      </c>
      <c r="C28" s="14" t="s">
        <v>1737</v>
      </c>
      <c r="D28" s="1" t="str">
        <f t="shared" si="0"/>
        <v>Simple</v>
      </c>
      <c r="E28" s="17">
        <v>1</v>
      </c>
      <c r="F28" s="18">
        <f>IF(D28="Simple",'Criterios y fuentes'!$B$25,IF(D28="Medio",'Criterios y fuentes'!$B$26,IF(D28="Complejo",'Criterios y fuentes'!$B$27,"Revisar")))</f>
        <v>1</v>
      </c>
      <c r="G28" s="18">
        <f t="shared" si="1"/>
        <v>1</v>
      </c>
      <c r="H28" s="10" t="s">
        <v>1738</v>
      </c>
      <c r="I28" s="10" t="s">
        <v>1739</v>
      </c>
      <c r="J28" s="10" t="str">
        <f t="shared" si="2"/>
        <v>Válido</v>
      </c>
    </row>
    <row r="29" spans="1:10" ht="48" customHeight="1">
      <c r="A29" s="1" t="s">
        <v>311</v>
      </c>
      <c r="B29" s="10" t="s">
        <v>1740</v>
      </c>
      <c r="C29" s="14" t="s">
        <v>1741</v>
      </c>
      <c r="D29" s="1" t="str">
        <f t="shared" si="0"/>
        <v>Medio</v>
      </c>
      <c r="E29" s="17">
        <v>1</v>
      </c>
      <c r="F29" s="18">
        <f>IF(D29="Simple",'Criterios y fuentes'!$B$25,IF(D29="Medio",'Criterios y fuentes'!$B$26,IF(D29="Complejo",'Criterios y fuentes'!$B$27,"Revisar")))</f>
        <v>2</v>
      </c>
      <c r="G29" s="18">
        <f t="shared" si="1"/>
        <v>2</v>
      </c>
      <c r="H29" s="10" t="s">
        <v>1742</v>
      </c>
      <c r="I29" s="10" t="s">
        <v>1743</v>
      </c>
      <c r="J29" s="10" t="str">
        <f t="shared" si="2"/>
        <v>Válido</v>
      </c>
    </row>
    <row r="30" spans="1:10" ht="48" customHeight="1">
      <c r="A30" s="1" t="s">
        <v>1744</v>
      </c>
      <c r="B30" s="10" t="s">
        <v>1745</v>
      </c>
      <c r="C30" s="14" t="s">
        <v>1741</v>
      </c>
      <c r="D30" s="1" t="str">
        <f t="shared" si="0"/>
        <v>Medio</v>
      </c>
      <c r="E30" s="17">
        <v>1</v>
      </c>
      <c r="F30" s="18">
        <f>IF(D30="Simple",'Criterios y fuentes'!$B$25,IF(D30="Medio",'Criterios y fuentes'!$B$26,IF(D30="Complejo",'Criterios y fuentes'!$B$27,"Revisar")))</f>
        <v>2</v>
      </c>
      <c r="G30" s="18">
        <f t="shared" si="1"/>
        <v>2</v>
      </c>
      <c r="H30" s="10" t="s">
        <v>1746</v>
      </c>
      <c r="I30" s="10" t="s">
        <v>1747</v>
      </c>
      <c r="J30" s="10" t="str">
        <f t="shared" si="2"/>
        <v>Válido</v>
      </c>
    </row>
    <row r="31" spans="1:10" ht="48" customHeight="1">
      <c r="A31" s="1" t="s">
        <v>1748</v>
      </c>
      <c r="B31" s="10" t="s">
        <v>1749</v>
      </c>
      <c r="C31" s="14" t="s">
        <v>1737</v>
      </c>
      <c r="D31" s="1" t="str">
        <f t="shared" si="0"/>
        <v>Simple</v>
      </c>
      <c r="E31" s="17">
        <v>1</v>
      </c>
      <c r="F31" s="18">
        <f>IF(D31="Simple",'Criterios y fuentes'!$B$25,IF(D31="Medio",'Criterios y fuentes'!$B$26,IF(D31="Complejo",'Criterios y fuentes'!$B$27,"Revisar")))</f>
        <v>1</v>
      </c>
      <c r="G31" s="18">
        <f t="shared" si="1"/>
        <v>1</v>
      </c>
      <c r="H31" s="10" t="s">
        <v>1750</v>
      </c>
      <c r="I31" s="10" t="s">
        <v>1739</v>
      </c>
      <c r="J31" s="10" t="str">
        <f t="shared" si="2"/>
        <v>Válido</v>
      </c>
    </row>
    <row r="32" spans="1:10" ht="48" customHeight="1">
      <c r="A32" s="1" t="s">
        <v>1751</v>
      </c>
      <c r="B32" s="10" t="s">
        <v>1752</v>
      </c>
      <c r="C32" s="14" t="s">
        <v>1737</v>
      </c>
      <c r="D32" s="1" t="str">
        <f t="shared" si="0"/>
        <v>Simple</v>
      </c>
      <c r="E32" s="17">
        <v>1</v>
      </c>
      <c r="F32" s="18">
        <f>IF(D32="Simple",'Criterios y fuentes'!$B$25,IF(D32="Medio",'Criterios y fuentes'!$B$26,IF(D32="Complejo",'Criterios y fuentes'!$B$27,"Revisar")))</f>
        <v>1</v>
      </c>
      <c r="G32" s="18">
        <f t="shared" si="1"/>
        <v>1</v>
      </c>
      <c r="H32" s="10" t="s">
        <v>1753</v>
      </c>
      <c r="I32" s="10" t="s">
        <v>1739</v>
      </c>
      <c r="J32" s="10" t="str">
        <f t="shared" si="2"/>
        <v>Válido</v>
      </c>
    </row>
    <row r="33" spans="1:10" ht="48" customHeight="1">
      <c r="A33" s="1" t="s">
        <v>375</v>
      </c>
      <c r="B33" s="10" t="s">
        <v>1754</v>
      </c>
      <c r="C33" s="14" t="s">
        <v>1737</v>
      </c>
      <c r="D33" s="1" t="str">
        <f t="shared" si="0"/>
        <v>Simple</v>
      </c>
      <c r="E33" s="17">
        <v>1</v>
      </c>
      <c r="F33" s="18">
        <f>IF(D33="Simple",'Criterios y fuentes'!$B$25,IF(D33="Medio",'Criterios y fuentes'!$B$26,IF(D33="Complejo",'Criterios y fuentes'!$B$27,"Revisar")))</f>
        <v>1</v>
      </c>
      <c r="G33" s="18">
        <f t="shared" si="1"/>
        <v>1</v>
      </c>
      <c r="H33" s="10" t="s">
        <v>1755</v>
      </c>
      <c r="I33" s="10" t="s">
        <v>1756</v>
      </c>
      <c r="J33" s="10" t="str">
        <f t="shared" si="2"/>
        <v>Válido</v>
      </c>
    </row>
    <row r="34" spans="1:10" ht="48" customHeight="1">
      <c r="A34" s="1" t="s">
        <v>1757</v>
      </c>
      <c r="B34" s="10" t="s">
        <v>1758</v>
      </c>
      <c r="C34" s="14" t="s">
        <v>1741</v>
      </c>
      <c r="D34" s="1" t="str">
        <f t="shared" si="0"/>
        <v>Medio</v>
      </c>
      <c r="E34" s="17">
        <v>1</v>
      </c>
      <c r="F34" s="18">
        <f>IF(D34="Simple",'Criterios y fuentes'!$B$25,IF(D34="Medio",'Criterios y fuentes'!$B$26,IF(D34="Complejo",'Criterios y fuentes'!$B$27,"Revisar")))</f>
        <v>2</v>
      </c>
      <c r="G34" s="18">
        <f t="shared" si="1"/>
        <v>2</v>
      </c>
      <c r="H34" s="10" t="s">
        <v>1759</v>
      </c>
      <c r="I34" s="10" t="s">
        <v>1760</v>
      </c>
      <c r="J34" s="10" t="str">
        <f t="shared" si="2"/>
        <v>Válido</v>
      </c>
    </row>
    <row r="35" spans="1:10" ht="48" customHeight="1">
      <c r="A35" s="1" t="s">
        <v>1761</v>
      </c>
      <c r="B35" s="10" t="s">
        <v>1762</v>
      </c>
      <c r="C35" s="14" t="s">
        <v>1741</v>
      </c>
      <c r="D35" s="1" t="str">
        <f t="shared" si="0"/>
        <v>Medio</v>
      </c>
      <c r="E35" s="17">
        <v>1</v>
      </c>
      <c r="F35" s="18">
        <f>IF(D35="Simple",'Criterios y fuentes'!$B$25,IF(D35="Medio",'Criterios y fuentes'!$B$26,IF(D35="Complejo",'Criterios y fuentes'!$B$27,"Revisar")))</f>
        <v>2</v>
      </c>
      <c r="G35" s="18">
        <f t="shared" si="1"/>
        <v>2</v>
      </c>
      <c r="H35" s="10" t="s">
        <v>1763</v>
      </c>
      <c r="I35" s="10" t="s">
        <v>1764</v>
      </c>
      <c r="J35" s="10" t="str">
        <f t="shared" si="2"/>
        <v>Válido</v>
      </c>
    </row>
    <row r="36" spans="1:10" ht="48" customHeight="1">
      <c r="A36" s="1" t="s">
        <v>1765</v>
      </c>
      <c r="B36" s="10" t="s">
        <v>1766</v>
      </c>
      <c r="C36" s="14" t="s">
        <v>1741</v>
      </c>
      <c r="D36" s="1" t="str">
        <f t="shared" si="0"/>
        <v>Medio</v>
      </c>
      <c r="E36" s="17">
        <v>1</v>
      </c>
      <c r="F36" s="18">
        <f>IF(D36="Simple",'Criterios y fuentes'!$B$25,IF(D36="Medio",'Criterios y fuentes'!$B$26,IF(D36="Complejo",'Criterios y fuentes'!$B$27,"Revisar")))</f>
        <v>2</v>
      </c>
      <c r="G36" s="18">
        <f t="shared" si="1"/>
        <v>2</v>
      </c>
      <c r="H36" s="10" t="s">
        <v>1767</v>
      </c>
      <c r="I36" s="10" t="s">
        <v>1768</v>
      </c>
      <c r="J36" s="10" t="str">
        <f t="shared" si="2"/>
        <v>Válido</v>
      </c>
    </row>
    <row r="37" spans="1:10" ht="48" customHeight="1">
      <c r="A37" s="1" t="s">
        <v>1769</v>
      </c>
      <c r="B37" s="10" t="s">
        <v>1770</v>
      </c>
      <c r="C37" s="14" t="s">
        <v>1737</v>
      </c>
      <c r="D37" s="1" t="str">
        <f t="shared" si="0"/>
        <v>Simple</v>
      </c>
      <c r="E37" s="17">
        <v>1</v>
      </c>
      <c r="F37" s="18">
        <f>IF(D37="Simple",'Criterios y fuentes'!$B$25,IF(D37="Medio",'Criterios y fuentes'!$B$26,IF(D37="Complejo",'Criterios y fuentes'!$B$27,"Revisar")))</f>
        <v>1</v>
      </c>
      <c r="G37" s="18">
        <f t="shared" si="1"/>
        <v>1</v>
      </c>
      <c r="H37" s="10" t="s">
        <v>1771</v>
      </c>
      <c r="I37" s="10" t="s">
        <v>1772</v>
      </c>
      <c r="J37" s="10" t="str">
        <f t="shared" si="2"/>
        <v>Válido</v>
      </c>
    </row>
    <row r="38" spans="1:10" ht="48" customHeight="1">
      <c r="A38" s="1" t="s">
        <v>1773</v>
      </c>
      <c r="B38" s="10" t="s">
        <v>1774</v>
      </c>
      <c r="C38" s="14" t="s">
        <v>1737</v>
      </c>
      <c r="D38" s="1" t="str">
        <f t="shared" si="0"/>
        <v>Simple</v>
      </c>
      <c r="E38" s="17">
        <v>1</v>
      </c>
      <c r="F38" s="18">
        <f>IF(D38="Simple",'Criterios y fuentes'!$B$25,IF(D38="Medio",'Criterios y fuentes'!$B$26,IF(D38="Complejo",'Criterios y fuentes'!$B$27,"Revisar")))</f>
        <v>1</v>
      </c>
      <c r="G38" s="18">
        <f t="shared" si="1"/>
        <v>1</v>
      </c>
      <c r="H38" s="10" t="s">
        <v>1775</v>
      </c>
      <c r="I38" s="10" t="s">
        <v>1776</v>
      </c>
      <c r="J38" s="10" t="str">
        <f t="shared" si="2"/>
        <v>Válido</v>
      </c>
    </row>
    <row r="39" spans="1:10" ht="48" customHeight="1">
      <c r="A39" s="1" t="s">
        <v>1777</v>
      </c>
      <c r="B39" s="10" t="s">
        <v>1778</v>
      </c>
      <c r="C39" s="14" t="s">
        <v>1737</v>
      </c>
      <c r="D39" s="1" t="str">
        <f t="shared" si="0"/>
        <v>Simple</v>
      </c>
      <c r="E39" s="17">
        <v>1</v>
      </c>
      <c r="F39" s="18">
        <f>IF(D39="Simple",'Criterios y fuentes'!$B$25,IF(D39="Medio",'Criterios y fuentes'!$B$26,IF(D39="Complejo",'Criterios y fuentes'!$B$27,"Revisar")))</f>
        <v>1</v>
      </c>
      <c r="G39" s="18">
        <f t="shared" si="1"/>
        <v>1</v>
      </c>
      <c r="H39" s="10" t="s">
        <v>1779</v>
      </c>
      <c r="I39" s="10" t="s">
        <v>1739</v>
      </c>
      <c r="J39" s="10" t="str">
        <f t="shared" si="2"/>
        <v>Válido</v>
      </c>
    </row>
    <row r="40" spans="1:10" ht="48" customHeight="1">
      <c r="A40" s="1" t="s">
        <v>1780</v>
      </c>
      <c r="B40" s="10" t="s">
        <v>1781</v>
      </c>
      <c r="C40" s="14" t="s">
        <v>1737</v>
      </c>
      <c r="D40" s="1" t="str">
        <f t="shared" si="0"/>
        <v>Simple</v>
      </c>
      <c r="E40" s="17">
        <v>1</v>
      </c>
      <c r="F40" s="18">
        <f>IF(D40="Simple",'Criterios y fuentes'!$B$25,IF(D40="Medio",'Criterios y fuentes'!$B$26,IF(D40="Complejo",'Criterios y fuentes'!$B$27,"Revisar")))</f>
        <v>1</v>
      </c>
      <c r="G40" s="18">
        <f t="shared" si="1"/>
        <v>1</v>
      </c>
      <c r="H40" s="10" t="s">
        <v>1782</v>
      </c>
      <c r="I40" s="10" t="s">
        <v>1739</v>
      </c>
      <c r="J40" s="10" t="str">
        <f t="shared" si="2"/>
        <v>Válido</v>
      </c>
    </row>
  </sheetData>
  <conditionalFormatting sqref="J9:J40">
    <cfRule type="expression" dxfId="6" priority="1">
      <formula>LEFT($J9,7)="Revisar"</formula>
    </cfRule>
  </conditionalFormatting>
  <dataValidations count="2">
    <dataValidation type="list" sqref="C9:C40" xr:uid="{00000000-0002-0000-0300-000000000000}">
      <formula1>"API,Protocolo,Gráfica"</formula1>
    </dataValidation>
    <dataValidation type="whole" sqref="E9:E40" xr:uid="{00000000-0002-0000-0300-000001000000}">
      <formula1>0</formula1>
      <formula2>1</formula2>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99"/>
  <sheetViews>
    <sheetView showGridLines="0" workbookViewId="0">
      <pane xSplit="1" ySplit="8" topLeftCell="B9" activePane="bottomRight" state="frozen"/>
      <selection pane="topRight"/>
      <selection pane="bottomLeft"/>
      <selection pane="bottomRight" activeCell="B9" sqref="B9"/>
    </sheetView>
  </sheetViews>
  <sheetFormatPr baseColWidth="10" defaultColWidth="8.796875" defaultRowHeight="13.8"/>
  <cols>
    <col min="1" max="1" width="13" customWidth="1"/>
    <col min="2" max="2" width="51" customWidth="1"/>
    <col min="3" max="4" width="10" customWidth="1"/>
    <col min="5" max="5" width="14" customWidth="1"/>
    <col min="6" max="6" width="17" customWidth="1"/>
    <col min="7" max="7" width="12" customWidth="1"/>
    <col min="8" max="8" width="15" customWidth="1"/>
    <col min="9" max="9" width="30" customWidth="1"/>
  </cols>
  <sheetData>
    <row r="1" spans="1:9" ht="21" customHeight="1">
      <c r="A1" s="1"/>
      <c r="B1" s="1"/>
      <c r="C1" s="1"/>
      <c r="D1" s="1"/>
      <c r="E1" s="1"/>
      <c r="F1" s="1"/>
      <c r="G1" s="1"/>
      <c r="H1" s="1"/>
      <c r="I1" s="1"/>
    </row>
    <row r="2" spans="1:9" ht="21" customHeight="1">
      <c r="A2" s="2" t="s">
        <v>1783</v>
      </c>
      <c r="B2" s="1"/>
      <c r="C2" s="1"/>
      <c r="D2" s="1"/>
      <c r="E2" s="1"/>
      <c r="F2" s="1"/>
      <c r="G2" s="1"/>
      <c r="H2" s="1"/>
      <c r="I2" s="1"/>
    </row>
    <row r="3" spans="1:9" ht="21" customHeight="1">
      <c r="A3" s="3"/>
      <c r="B3" s="3"/>
      <c r="C3" s="3"/>
      <c r="D3" s="3"/>
      <c r="E3" s="3"/>
      <c r="F3" s="3"/>
      <c r="G3" s="3"/>
      <c r="H3" s="3"/>
      <c r="I3" s="3"/>
    </row>
    <row r="4" spans="1:9" ht="21" customHeight="1">
      <c r="A4" s="4" t="s">
        <v>1784</v>
      </c>
      <c r="B4" s="1"/>
      <c r="C4" s="1"/>
      <c r="D4" s="1"/>
      <c r="E4" s="1"/>
      <c r="F4" s="1"/>
      <c r="G4" s="1"/>
      <c r="H4" s="1"/>
      <c r="I4" s="1"/>
    </row>
    <row r="5" spans="1:9" ht="21" customHeight="1">
      <c r="A5" s="1" t="s">
        <v>22</v>
      </c>
      <c r="B5" s="19">
        <f>IF(OR(COUNTIF(I9:I500,"Revisar*")&gt;0,COUNTIF('Catalogo CU'!$G$9:$G$500,1)&lt;&gt;COUNTIF(D9:D500,1)),"Revisar cobertura CU",SUM(H9:H500))</f>
        <v>790</v>
      </c>
      <c r="C5" s="1"/>
      <c r="D5" s="1"/>
      <c r="E5" s="1"/>
      <c r="F5" s="1"/>
      <c r="G5" s="1"/>
      <c r="H5" s="1"/>
      <c r="I5" s="1"/>
    </row>
    <row r="6" spans="1:9" ht="21" customHeight="1">
      <c r="A6" s="1"/>
      <c r="B6" s="1"/>
      <c r="C6" s="1"/>
      <c r="D6" s="1"/>
      <c r="E6" s="1"/>
      <c r="F6" s="1"/>
      <c r="G6" s="1"/>
      <c r="H6" s="1"/>
      <c r="I6" s="1"/>
    </row>
    <row r="7" spans="1:9" ht="21" customHeight="1">
      <c r="A7" s="1"/>
      <c r="B7" s="1"/>
      <c r="C7" s="1"/>
      <c r="D7" s="1"/>
      <c r="E7" s="1"/>
      <c r="F7" s="1"/>
      <c r="G7" s="1"/>
      <c r="H7" s="1"/>
      <c r="I7" s="1"/>
    </row>
    <row r="8" spans="1:9" ht="31.95" customHeight="1">
      <c r="A8" s="8" t="s">
        <v>43</v>
      </c>
      <c r="B8" s="11" t="s">
        <v>46</v>
      </c>
      <c r="C8" s="11" t="s">
        <v>45</v>
      </c>
      <c r="D8" s="11" t="s">
        <v>49</v>
      </c>
      <c r="E8" s="11" t="s">
        <v>1785</v>
      </c>
      <c r="F8" s="11" t="s">
        <v>1786</v>
      </c>
      <c r="G8" s="11" t="s">
        <v>1673</v>
      </c>
      <c r="H8" s="11" t="s">
        <v>1787</v>
      </c>
      <c r="I8" s="9" t="s">
        <v>55</v>
      </c>
    </row>
    <row r="9" spans="1:9" ht="34.049999999999997" customHeight="1">
      <c r="A9" s="1" t="s">
        <v>56</v>
      </c>
      <c r="B9" s="10" t="str">
        <f>INDEX('Catalogo CU'!$D$9:$D$500,MATCH(A9,'Catalogo CU'!$A$9:$A$500,0))</f>
        <v>Registrar recepción de proveedor</v>
      </c>
      <c r="C9" s="1" t="str">
        <f>INDEX('Catalogo CU'!$C$9:$C$500,MATCH(A9,'Catalogo CU'!$A$9:$A$500,0))</f>
        <v>E1</v>
      </c>
      <c r="D9" s="18">
        <f>INDEX('Catalogo CU'!$G$9:$G$500,MATCH(A9,'Catalogo CU'!$A$9:$A$500,0))</f>
        <v>1</v>
      </c>
      <c r="E9" s="18">
        <f>INDEX('Catalogo CU'!$J$9:$J$500,MATCH(A9,'Catalogo CU'!$A$9:$A$500,0))</f>
        <v>6</v>
      </c>
      <c r="F9" s="18" t="str">
        <f>IF(D9=0,"Excluido",IF(I9&lt;&gt;"Válido","Revisar",IF(E9&lt;='Criterios y fuentes'!$F$25,"Simple",IF(E9&lt;='Criterios y fuentes'!$F$26,"Medio","Complejo"))))</f>
        <v>Medio</v>
      </c>
      <c r="G9" s="18">
        <f>IF(F9="Excluido",0,IF(F9="Simple",'Criterios y fuentes'!$G$25,IF(F9="Medio",'Criterios y fuentes'!$G$26,IF(F9="Complejo",'Criterios y fuentes'!$G$27,"Revisar"))))</f>
        <v>10</v>
      </c>
      <c r="H9" s="18">
        <f t="shared" ref="H9:H40" si="0">IF(D9=0,0,IF(I9="Válido",D9*G9,"Revisar CU"))</f>
        <v>10</v>
      </c>
      <c r="I9" s="1" t="str">
        <f>IF(COUNTIF('Catalogo CU'!$A$9:$A$500,A9)&lt;&gt;1,"Revisar ID",IF(COUNTIF($A$9:$A$500,A9)&lt;&gt;1,"Revisar duplicado",INDEX('Catalogo CU'!$M$9:$M$500,MATCH(A9,'Catalogo CU'!$A$9:$A$500,0))))</f>
        <v>Válido</v>
      </c>
    </row>
    <row r="10" spans="1:9" ht="34.049999999999997" customHeight="1">
      <c r="A10" s="1" t="s">
        <v>64</v>
      </c>
      <c r="B10" s="10" t="str">
        <f>INDEX('Catalogo CU'!$D$9:$D$500,MATCH(A10,'Catalogo CU'!$A$9:$A$500,0))</f>
        <v>Registrar no conformidad en recepción</v>
      </c>
      <c r="C10" s="1" t="str">
        <f>INDEX('Catalogo CU'!$C$9:$C$500,MATCH(A10,'Catalogo CU'!$A$9:$A$500,0))</f>
        <v>E1</v>
      </c>
      <c r="D10" s="18">
        <f>INDEX('Catalogo CU'!$G$9:$G$500,MATCH(A10,'Catalogo CU'!$A$9:$A$500,0))</f>
        <v>1</v>
      </c>
      <c r="E10" s="18">
        <f>INDEX('Catalogo CU'!$J$9:$J$500,MATCH(A10,'Catalogo CU'!$A$9:$A$500,0))</f>
        <v>4</v>
      </c>
      <c r="F10" s="18" t="str">
        <f>IF(D10=0,"Excluido",IF(I10&lt;&gt;"Válido","Revisar",IF(E10&lt;='Criterios y fuentes'!$F$25,"Simple",IF(E10&lt;='Criterios y fuentes'!$F$26,"Medio","Complejo"))))</f>
        <v>Medio</v>
      </c>
      <c r="G10" s="18">
        <f>IF(F10="Excluido",0,IF(F10="Simple",'Criterios y fuentes'!$G$25,IF(F10="Medio",'Criterios y fuentes'!$G$26,IF(F10="Complejo",'Criterios y fuentes'!$G$27,"Revisar"))))</f>
        <v>10</v>
      </c>
      <c r="H10" s="18">
        <f t="shared" si="0"/>
        <v>10</v>
      </c>
      <c r="I10" s="1" t="str">
        <f>IF(COUNTIF('Catalogo CU'!$A$9:$A$500,A10)&lt;&gt;1,"Revisar ID",IF(COUNTIF($A$9:$A$500,A10)&lt;&gt;1,"Revisar duplicado",INDEX('Catalogo CU'!$M$9:$M$500,MATCH(A10,'Catalogo CU'!$A$9:$A$500,0))))</f>
        <v>Válido</v>
      </c>
    </row>
    <row r="11" spans="1:9" ht="34.049999999999997" customHeight="1">
      <c r="A11" s="1" t="s">
        <v>69</v>
      </c>
      <c r="B11" s="10" t="str">
        <f>INDEX('Catalogo CU'!$D$9:$D$500,MATCH(A11,'Catalogo CU'!$A$9:$A$500,0))</f>
        <v>Identificar unidad logística con SSCC</v>
      </c>
      <c r="C11" s="1" t="str">
        <f>INDEX('Catalogo CU'!$C$9:$C$500,MATCH(A11,'Catalogo CU'!$A$9:$A$500,0))</f>
        <v>E1</v>
      </c>
      <c r="D11" s="18">
        <f>INDEX('Catalogo CU'!$G$9:$G$500,MATCH(A11,'Catalogo CU'!$A$9:$A$500,0))</f>
        <v>1</v>
      </c>
      <c r="E11" s="18">
        <f>INDEX('Catalogo CU'!$J$9:$J$500,MATCH(A11,'Catalogo CU'!$A$9:$A$500,0))</f>
        <v>3</v>
      </c>
      <c r="F11" s="18" t="str">
        <f>IF(D11=0,"Excluido",IF(I11&lt;&gt;"Válido","Revisar",IF(E11&lt;='Criterios y fuentes'!$F$25,"Simple",IF(E11&lt;='Criterios y fuentes'!$F$26,"Medio","Complejo"))))</f>
        <v>Simple</v>
      </c>
      <c r="G11" s="18">
        <f>IF(F11="Excluido",0,IF(F11="Simple",'Criterios y fuentes'!$G$25,IF(F11="Medio",'Criterios y fuentes'!$G$26,IF(F11="Complejo",'Criterios y fuentes'!$G$27,"Revisar"))))</f>
        <v>5</v>
      </c>
      <c r="H11" s="18">
        <f t="shared" si="0"/>
        <v>5</v>
      </c>
      <c r="I11" s="1" t="str">
        <f>IF(COUNTIF('Catalogo CU'!$A$9:$A$500,A11)&lt;&gt;1,"Revisar ID",IF(COUNTIF($A$9:$A$500,A11)&lt;&gt;1,"Revisar duplicado",INDEX('Catalogo CU'!$M$9:$M$500,MATCH(A11,'Catalogo CU'!$A$9:$A$500,0))))</f>
        <v>Válido</v>
      </c>
    </row>
    <row r="12" spans="1:9" ht="34.049999999999997" customHeight="1">
      <c r="A12" s="1" t="s">
        <v>73</v>
      </c>
      <c r="B12" s="10" t="str">
        <f>INDEX('Catalogo CU'!$D$9:$D$500,MATCH(A12,'Catalogo CU'!$A$9:$A$500,0))</f>
        <v>Ubicar unidad logística en bodega</v>
      </c>
      <c r="C12" s="1" t="str">
        <f>INDEX('Catalogo CU'!$C$9:$C$500,MATCH(A12,'Catalogo CU'!$A$9:$A$500,0))</f>
        <v>E1</v>
      </c>
      <c r="D12" s="18">
        <f>INDEX('Catalogo CU'!$G$9:$G$500,MATCH(A12,'Catalogo CU'!$A$9:$A$500,0))</f>
        <v>1</v>
      </c>
      <c r="E12" s="18">
        <f>INDEX('Catalogo CU'!$J$9:$J$500,MATCH(A12,'Catalogo CU'!$A$9:$A$500,0))</f>
        <v>3</v>
      </c>
      <c r="F12" s="18" t="str">
        <f>IF(D12=0,"Excluido",IF(I12&lt;&gt;"Válido","Revisar",IF(E12&lt;='Criterios y fuentes'!$F$25,"Simple",IF(E12&lt;='Criterios y fuentes'!$F$26,"Medio","Complejo"))))</f>
        <v>Simple</v>
      </c>
      <c r="G12" s="18">
        <f>IF(F12="Excluido",0,IF(F12="Simple",'Criterios y fuentes'!$G$25,IF(F12="Medio",'Criterios y fuentes'!$G$26,IF(F12="Complejo",'Criterios y fuentes'!$G$27,"Revisar"))))</f>
        <v>5</v>
      </c>
      <c r="H12" s="18">
        <f t="shared" si="0"/>
        <v>5</v>
      </c>
      <c r="I12" s="1" t="str">
        <f>IF(COUNTIF('Catalogo CU'!$A$9:$A$500,A12)&lt;&gt;1,"Revisar ID",IF(COUNTIF($A$9:$A$500,A12)&lt;&gt;1,"Revisar duplicado",INDEX('Catalogo CU'!$M$9:$M$500,MATCH(A12,'Catalogo CU'!$A$9:$A$500,0))))</f>
        <v>Válido</v>
      </c>
    </row>
    <row r="13" spans="1:9" ht="34.049999999999997" customHeight="1">
      <c r="A13" s="1" t="s">
        <v>78</v>
      </c>
      <c r="B13" s="10" t="str">
        <f>INDEX('Catalogo CU'!$D$9:$D$500,MATCH(A13,'Catalogo CU'!$A$9:$A$500,0))</f>
        <v>Mantener maestro de productos</v>
      </c>
      <c r="C13" s="1" t="str">
        <f>INDEX('Catalogo CU'!$C$9:$C$500,MATCH(A13,'Catalogo CU'!$A$9:$A$500,0))</f>
        <v>E1</v>
      </c>
      <c r="D13" s="18">
        <f>INDEX('Catalogo CU'!$G$9:$G$500,MATCH(A13,'Catalogo CU'!$A$9:$A$500,0))</f>
        <v>1</v>
      </c>
      <c r="E13" s="18">
        <f>INDEX('Catalogo CU'!$J$9:$J$500,MATCH(A13,'Catalogo CU'!$A$9:$A$500,0))</f>
        <v>5</v>
      </c>
      <c r="F13" s="18" t="str">
        <f>IF(D13=0,"Excluido",IF(I13&lt;&gt;"Válido","Revisar",IF(E13&lt;='Criterios y fuentes'!$F$25,"Simple",IF(E13&lt;='Criterios y fuentes'!$F$26,"Medio","Complejo"))))</f>
        <v>Medio</v>
      </c>
      <c r="G13" s="18">
        <f>IF(F13="Excluido",0,IF(F13="Simple",'Criterios y fuentes'!$G$25,IF(F13="Medio",'Criterios y fuentes'!$G$26,IF(F13="Complejo",'Criterios y fuentes'!$G$27,"Revisar"))))</f>
        <v>10</v>
      </c>
      <c r="H13" s="18">
        <f t="shared" si="0"/>
        <v>10</v>
      </c>
      <c r="I13" s="1" t="str">
        <f>IF(COUNTIF('Catalogo CU'!$A$9:$A$500,A13)&lt;&gt;1,"Revisar ID",IF(COUNTIF($A$9:$A$500,A13)&lt;&gt;1,"Revisar duplicado",INDEX('Catalogo CU'!$M$9:$M$500,MATCH(A13,'Catalogo CU'!$A$9:$A$500,0))))</f>
        <v>Válido</v>
      </c>
    </row>
    <row r="14" spans="1:9" ht="34.049999999999997" customHeight="1">
      <c r="A14" s="1" t="s">
        <v>83</v>
      </c>
      <c r="B14" s="10" t="str">
        <f>INDEX('Catalogo CU'!$D$9:$D$500,MATCH(A14,'Catalogo CU'!$A$9:$A$500,0))</f>
        <v>Configurar instalaciones y ubicaciones</v>
      </c>
      <c r="C14" s="1" t="str">
        <f>INDEX('Catalogo CU'!$C$9:$C$500,MATCH(A14,'Catalogo CU'!$A$9:$A$500,0))</f>
        <v>E1</v>
      </c>
      <c r="D14" s="18">
        <f>INDEX('Catalogo CU'!$G$9:$G$500,MATCH(A14,'Catalogo CU'!$A$9:$A$500,0))</f>
        <v>1</v>
      </c>
      <c r="E14" s="18">
        <f>INDEX('Catalogo CU'!$J$9:$J$500,MATCH(A14,'Catalogo CU'!$A$9:$A$500,0))</f>
        <v>5</v>
      </c>
      <c r="F14" s="18" t="str">
        <f>IF(D14=0,"Excluido",IF(I14&lt;&gt;"Válido","Revisar",IF(E14&lt;='Criterios y fuentes'!$F$25,"Simple",IF(E14&lt;='Criterios y fuentes'!$F$26,"Medio","Complejo"))))</f>
        <v>Medio</v>
      </c>
      <c r="G14" s="18">
        <f>IF(F14="Excluido",0,IF(F14="Simple",'Criterios y fuentes'!$G$25,IF(F14="Medio",'Criterios y fuentes'!$G$26,IF(F14="Complejo",'Criterios y fuentes'!$G$27,"Revisar"))))</f>
        <v>10</v>
      </c>
      <c r="H14" s="18">
        <f t="shared" si="0"/>
        <v>10</v>
      </c>
      <c r="I14" s="1" t="str">
        <f>IF(COUNTIF('Catalogo CU'!$A$9:$A$500,A14)&lt;&gt;1,"Revisar ID",IF(COUNTIF($A$9:$A$500,A14)&lt;&gt;1,"Revisar duplicado",INDEX('Catalogo CU'!$M$9:$M$500,MATCH(A14,'Catalogo CU'!$A$9:$A$500,0))))</f>
        <v>Válido</v>
      </c>
    </row>
    <row r="15" spans="1:9" ht="34.049999999999997" customHeight="1">
      <c r="A15" s="1" t="s">
        <v>89</v>
      </c>
      <c r="B15" s="10" t="str">
        <f>INDEX('Catalogo CU'!$D$9:$D$500,MATCH(A15,'Catalogo CU'!$A$9:$A$500,0))</f>
        <v>Consultar stock y disponibilidad</v>
      </c>
      <c r="C15" s="1" t="str">
        <f>INDEX('Catalogo CU'!$C$9:$C$500,MATCH(A15,'Catalogo CU'!$A$9:$A$500,0))</f>
        <v>E1</v>
      </c>
      <c r="D15" s="18">
        <f>INDEX('Catalogo CU'!$G$9:$G$500,MATCH(A15,'Catalogo CU'!$A$9:$A$500,0))</f>
        <v>1</v>
      </c>
      <c r="E15" s="18">
        <f>INDEX('Catalogo CU'!$J$9:$J$500,MATCH(A15,'Catalogo CU'!$A$9:$A$500,0))</f>
        <v>3</v>
      </c>
      <c r="F15" s="18" t="str">
        <f>IF(D15=0,"Excluido",IF(I15&lt;&gt;"Válido","Revisar",IF(E15&lt;='Criterios y fuentes'!$F$25,"Simple",IF(E15&lt;='Criterios y fuentes'!$F$26,"Medio","Complejo"))))</f>
        <v>Simple</v>
      </c>
      <c r="G15" s="18">
        <f>IF(F15="Excluido",0,IF(F15="Simple",'Criterios y fuentes'!$G$25,IF(F15="Medio",'Criterios y fuentes'!$G$26,IF(F15="Complejo",'Criterios y fuentes'!$G$27,"Revisar"))))</f>
        <v>5</v>
      </c>
      <c r="H15" s="18">
        <f t="shared" si="0"/>
        <v>5</v>
      </c>
      <c r="I15" s="1" t="str">
        <f>IF(COUNTIF('Catalogo CU'!$A$9:$A$500,A15)&lt;&gt;1,"Revisar ID",IF(COUNTIF($A$9:$A$500,A15)&lt;&gt;1,"Revisar duplicado",INDEX('Catalogo CU'!$M$9:$M$500,MATCH(A15,'Catalogo CU'!$A$9:$A$500,0))))</f>
        <v>Válido</v>
      </c>
    </row>
    <row r="16" spans="1:9" ht="34.049999999999997" customHeight="1">
      <c r="A16" s="1" t="s">
        <v>94</v>
      </c>
      <c r="B16" s="10" t="str">
        <f>INDEX('Catalogo CU'!$D$9:$D$500,MATCH(A16,'Catalogo CU'!$A$9:$A$500,0))</f>
        <v>Aprobar y ejecutar propuesta de slotting</v>
      </c>
      <c r="C16" s="1" t="str">
        <f>INDEX('Catalogo CU'!$C$9:$C$500,MATCH(A16,'Catalogo CU'!$A$9:$A$500,0))</f>
        <v>E1</v>
      </c>
      <c r="D16" s="18">
        <f>INDEX('Catalogo CU'!$G$9:$G$500,MATCH(A16,'Catalogo CU'!$A$9:$A$500,0))</f>
        <v>1</v>
      </c>
      <c r="E16" s="18">
        <f>INDEX('Catalogo CU'!$J$9:$J$500,MATCH(A16,'Catalogo CU'!$A$9:$A$500,0))</f>
        <v>5</v>
      </c>
      <c r="F16" s="18" t="str">
        <f>IF(D16=0,"Excluido",IF(I16&lt;&gt;"Válido","Revisar",IF(E16&lt;='Criterios y fuentes'!$F$25,"Simple",IF(E16&lt;='Criterios y fuentes'!$F$26,"Medio","Complejo"))))</f>
        <v>Medio</v>
      </c>
      <c r="G16" s="18">
        <f>IF(F16="Excluido",0,IF(F16="Simple",'Criterios y fuentes'!$G$25,IF(F16="Medio",'Criterios y fuentes'!$G$26,IF(F16="Complejo",'Criterios y fuentes'!$G$27,"Revisar"))))</f>
        <v>10</v>
      </c>
      <c r="H16" s="18">
        <f t="shared" si="0"/>
        <v>10</v>
      </c>
      <c r="I16" s="1" t="str">
        <f>IF(COUNTIF('Catalogo CU'!$A$9:$A$500,A16)&lt;&gt;1,"Revisar ID",IF(COUNTIF($A$9:$A$500,A16)&lt;&gt;1,"Revisar duplicado",INDEX('Catalogo CU'!$M$9:$M$500,MATCH(A16,'Catalogo CU'!$A$9:$A$500,0))))</f>
        <v>Válido</v>
      </c>
    </row>
    <row r="17" spans="1:9" ht="34.049999999999997" customHeight="1">
      <c r="A17" s="1" t="s">
        <v>98</v>
      </c>
      <c r="B17" s="10" t="str">
        <f>INDEX('Catalogo CU'!$D$9:$D$500,MATCH(A17,'Catalogo CU'!$A$9:$A$500,0))</f>
        <v>Realizar conteo cíclico y ajuste</v>
      </c>
      <c r="C17" s="1" t="str">
        <f>INDEX('Catalogo CU'!$C$9:$C$500,MATCH(A17,'Catalogo CU'!$A$9:$A$500,0))</f>
        <v>E1</v>
      </c>
      <c r="D17" s="18">
        <f>INDEX('Catalogo CU'!$G$9:$G$500,MATCH(A17,'Catalogo CU'!$A$9:$A$500,0))</f>
        <v>1</v>
      </c>
      <c r="E17" s="18">
        <f>INDEX('Catalogo CU'!$J$9:$J$500,MATCH(A17,'Catalogo CU'!$A$9:$A$500,0))</f>
        <v>6</v>
      </c>
      <c r="F17" s="18" t="str">
        <f>IF(D17=0,"Excluido",IF(I17&lt;&gt;"Válido","Revisar",IF(E17&lt;='Criterios y fuentes'!$F$25,"Simple",IF(E17&lt;='Criterios y fuentes'!$F$26,"Medio","Complejo"))))</f>
        <v>Medio</v>
      </c>
      <c r="G17" s="18">
        <f>IF(F17="Excluido",0,IF(F17="Simple",'Criterios y fuentes'!$G$25,IF(F17="Medio",'Criterios y fuentes'!$G$26,IF(F17="Complejo",'Criterios y fuentes'!$G$27,"Revisar"))))</f>
        <v>10</v>
      </c>
      <c r="H17" s="18">
        <f t="shared" si="0"/>
        <v>10</v>
      </c>
      <c r="I17" s="1" t="str">
        <f>IF(COUNTIF('Catalogo CU'!$A$9:$A$500,A17)&lt;&gt;1,"Revisar ID",IF(COUNTIF($A$9:$A$500,A17)&lt;&gt;1,"Revisar duplicado",INDEX('Catalogo CU'!$M$9:$M$500,MATCH(A17,'Catalogo CU'!$A$9:$A$500,0))))</f>
        <v>Válido</v>
      </c>
    </row>
    <row r="18" spans="1:9" ht="34.049999999999997" customHeight="1">
      <c r="A18" s="1" t="s">
        <v>102</v>
      </c>
      <c r="B18" s="10" t="str">
        <f>INDEX('Catalogo CU'!$D$9:$D$500,MATCH(A18,'Catalogo CU'!$A$9:$A$500,0))</f>
        <v>Transferir inventario entre sitios</v>
      </c>
      <c r="C18" s="1" t="str">
        <f>INDEX('Catalogo CU'!$C$9:$C$500,MATCH(A18,'Catalogo CU'!$A$9:$A$500,0))</f>
        <v>E1</v>
      </c>
      <c r="D18" s="18">
        <f>INDEX('Catalogo CU'!$G$9:$G$500,MATCH(A18,'Catalogo CU'!$A$9:$A$500,0))</f>
        <v>1</v>
      </c>
      <c r="E18" s="18">
        <f>INDEX('Catalogo CU'!$J$9:$J$500,MATCH(A18,'Catalogo CU'!$A$9:$A$500,0))</f>
        <v>6</v>
      </c>
      <c r="F18" s="18" t="str">
        <f>IF(D18=0,"Excluido",IF(I18&lt;&gt;"Válido","Revisar",IF(E18&lt;='Criterios y fuentes'!$F$25,"Simple",IF(E18&lt;='Criterios y fuentes'!$F$26,"Medio","Complejo"))))</f>
        <v>Medio</v>
      </c>
      <c r="G18" s="18">
        <f>IF(F18="Excluido",0,IF(F18="Simple",'Criterios y fuentes'!$G$25,IF(F18="Medio",'Criterios y fuentes'!$G$26,IF(F18="Complejo",'Criterios y fuentes'!$G$27,"Revisar"))))</f>
        <v>10</v>
      </c>
      <c r="H18" s="18">
        <f t="shared" si="0"/>
        <v>10</v>
      </c>
      <c r="I18" s="1" t="str">
        <f>IF(COUNTIF('Catalogo CU'!$A$9:$A$500,A18)&lt;&gt;1,"Revisar ID",IF(COUNTIF($A$9:$A$500,A18)&lt;&gt;1,"Revisar duplicado",INDEX('Catalogo CU'!$M$9:$M$500,MATCH(A18,'Catalogo CU'!$A$9:$A$500,0))))</f>
        <v>Válido</v>
      </c>
    </row>
    <row r="19" spans="1:9" ht="34.049999999999997" customHeight="1">
      <c r="A19" s="1" t="s">
        <v>106</v>
      </c>
      <c r="B19" s="10" t="str">
        <f>INDEX('Catalogo CU'!$D$9:$D$500,MATCH(A19,'Catalogo CU'!$A$9:$A$500,0))</f>
        <v>Consultar ocupación de bodegas</v>
      </c>
      <c r="C19" s="1" t="str">
        <f>INDEX('Catalogo CU'!$C$9:$C$500,MATCH(A19,'Catalogo CU'!$A$9:$A$500,0))</f>
        <v>E1</v>
      </c>
      <c r="D19" s="18">
        <f>INDEX('Catalogo CU'!$G$9:$G$500,MATCH(A19,'Catalogo CU'!$A$9:$A$500,0))</f>
        <v>1</v>
      </c>
      <c r="E19" s="18">
        <f>INDEX('Catalogo CU'!$J$9:$J$500,MATCH(A19,'Catalogo CU'!$A$9:$A$500,0))</f>
        <v>3</v>
      </c>
      <c r="F19" s="18" t="str">
        <f>IF(D19=0,"Excluido",IF(I19&lt;&gt;"Válido","Revisar",IF(E19&lt;='Criterios y fuentes'!$F$25,"Simple",IF(E19&lt;='Criterios y fuentes'!$F$26,"Medio","Complejo"))))</f>
        <v>Simple</v>
      </c>
      <c r="G19" s="18">
        <f>IF(F19="Excluido",0,IF(F19="Simple",'Criterios y fuentes'!$G$25,IF(F19="Medio",'Criterios y fuentes'!$G$26,IF(F19="Complejo",'Criterios y fuentes'!$G$27,"Revisar"))))</f>
        <v>5</v>
      </c>
      <c r="H19" s="18">
        <f t="shared" si="0"/>
        <v>5</v>
      </c>
      <c r="I19" s="1" t="str">
        <f>IF(COUNTIF('Catalogo CU'!$A$9:$A$500,A19)&lt;&gt;1,"Revisar ID",IF(COUNTIF($A$9:$A$500,A19)&lt;&gt;1,"Revisar duplicado",INDEX('Catalogo CU'!$M$9:$M$500,MATCH(A19,'Catalogo CU'!$A$9:$A$500,0))))</f>
        <v>Válido</v>
      </c>
    </row>
    <row r="20" spans="1:9" ht="34.049999999999997" customHeight="1">
      <c r="A20" s="1" t="s">
        <v>111</v>
      </c>
      <c r="B20" s="10" t="str">
        <f>INDEX('Catalogo CU'!$D$9:$D$500,MATCH(A20,'Catalogo CU'!$A$9:$A$500,0))</f>
        <v>Gestionar alertas de vencimiento en bodega</v>
      </c>
      <c r="C20" s="1" t="str">
        <f>INDEX('Catalogo CU'!$C$9:$C$500,MATCH(A20,'Catalogo CU'!$A$9:$A$500,0))</f>
        <v>E1</v>
      </c>
      <c r="D20" s="18">
        <f>INDEX('Catalogo CU'!$G$9:$G$500,MATCH(A20,'Catalogo CU'!$A$9:$A$500,0))</f>
        <v>1</v>
      </c>
      <c r="E20" s="18">
        <f>INDEX('Catalogo CU'!$J$9:$J$500,MATCH(A20,'Catalogo CU'!$A$9:$A$500,0))</f>
        <v>3</v>
      </c>
      <c r="F20" s="18" t="str">
        <f>IF(D20=0,"Excluido",IF(I20&lt;&gt;"Válido","Revisar",IF(E20&lt;='Criterios y fuentes'!$F$25,"Simple",IF(E20&lt;='Criterios y fuentes'!$F$26,"Medio","Complejo"))))</f>
        <v>Simple</v>
      </c>
      <c r="G20" s="18">
        <f>IF(F20="Excluido",0,IF(F20="Simple",'Criterios y fuentes'!$G$25,IF(F20="Medio",'Criterios y fuentes'!$G$26,IF(F20="Complejo",'Criterios y fuentes'!$G$27,"Revisar"))))</f>
        <v>5</v>
      </c>
      <c r="H20" s="18">
        <f t="shared" si="0"/>
        <v>5</v>
      </c>
      <c r="I20" s="1" t="str">
        <f>IF(COUNTIF('Catalogo CU'!$A$9:$A$500,A20)&lt;&gt;1,"Revisar ID",IF(COUNTIF($A$9:$A$500,A20)&lt;&gt;1,"Revisar duplicado",INDEX('Catalogo CU'!$M$9:$M$500,MATCH(A20,'Catalogo CU'!$A$9:$A$500,0))))</f>
        <v>Válido</v>
      </c>
    </row>
    <row r="21" spans="1:9" ht="34.049999999999997" customHeight="1">
      <c r="A21" s="1" t="s">
        <v>115</v>
      </c>
      <c r="B21" s="10" t="str">
        <f>INDEX('Catalogo CU'!$D$9:$D$500,MATCH(A21,'Catalogo CU'!$A$9:$A$500,0))</f>
        <v>Controlar paso por cross-docking</v>
      </c>
      <c r="C21" s="1" t="str">
        <f>INDEX('Catalogo CU'!$C$9:$C$500,MATCH(A21,'Catalogo CU'!$A$9:$A$500,0))</f>
        <v>E1</v>
      </c>
      <c r="D21" s="18">
        <f>INDEX('Catalogo CU'!$G$9:$G$500,MATCH(A21,'Catalogo CU'!$A$9:$A$500,0))</f>
        <v>1</v>
      </c>
      <c r="E21" s="18">
        <f>INDEX('Catalogo CU'!$J$9:$J$500,MATCH(A21,'Catalogo CU'!$A$9:$A$500,0))</f>
        <v>6</v>
      </c>
      <c r="F21" s="18" t="str">
        <f>IF(D21=0,"Excluido",IF(I21&lt;&gt;"Válido","Revisar",IF(E21&lt;='Criterios y fuentes'!$F$25,"Simple",IF(E21&lt;='Criterios y fuentes'!$F$26,"Medio","Complejo"))))</f>
        <v>Medio</v>
      </c>
      <c r="G21" s="18">
        <f>IF(F21="Excluido",0,IF(F21="Simple",'Criterios y fuentes'!$G$25,IF(F21="Medio",'Criterios y fuentes'!$G$26,IF(F21="Complejo",'Criterios y fuentes'!$G$27,"Revisar"))))</f>
        <v>10</v>
      </c>
      <c r="H21" s="18">
        <f t="shared" si="0"/>
        <v>10</v>
      </c>
      <c r="I21" s="1" t="str">
        <f>IF(COUNTIF('Catalogo CU'!$A$9:$A$500,A21)&lt;&gt;1,"Revisar ID",IF(COUNTIF($A$9:$A$500,A21)&lt;&gt;1,"Revisar duplicado",INDEX('Catalogo CU'!$M$9:$M$500,MATCH(A21,'Catalogo CU'!$A$9:$A$500,0))))</f>
        <v>Válido</v>
      </c>
    </row>
    <row r="22" spans="1:9" ht="34.049999999999997" customHeight="1">
      <c r="A22" s="1" t="s">
        <v>119</v>
      </c>
      <c r="B22" s="10" t="str">
        <f>INDEX('Catalogo CU'!$D$9:$D$500,MATCH(A22,'Catalogo CU'!$A$9:$A$500,0))</f>
        <v>Tomar y confirmar pedido de preventa</v>
      </c>
      <c r="C22" s="1" t="str">
        <f>INDEX('Catalogo CU'!$C$9:$C$500,MATCH(A22,'Catalogo CU'!$A$9:$A$500,0))</f>
        <v>E1</v>
      </c>
      <c r="D22" s="18">
        <f>INDEX('Catalogo CU'!$G$9:$G$500,MATCH(A22,'Catalogo CU'!$A$9:$A$500,0))</f>
        <v>1</v>
      </c>
      <c r="E22" s="18">
        <f>INDEX('Catalogo CU'!$J$9:$J$500,MATCH(A22,'Catalogo CU'!$A$9:$A$500,0))</f>
        <v>8</v>
      </c>
      <c r="F22" s="18" t="str">
        <f>IF(D22=0,"Excluido",IF(I22&lt;&gt;"Válido","Revisar",IF(E22&lt;='Criterios y fuentes'!$F$25,"Simple",IF(E22&lt;='Criterios y fuentes'!$F$26,"Medio","Complejo"))))</f>
        <v>Complejo</v>
      </c>
      <c r="G22" s="18">
        <f>IF(F22="Excluido",0,IF(F22="Simple",'Criterios y fuentes'!$G$25,IF(F22="Medio",'Criterios y fuentes'!$G$26,IF(F22="Complejo",'Criterios y fuentes'!$G$27,"Revisar"))))</f>
        <v>15</v>
      </c>
      <c r="H22" s="18">
        <f t="shared" si="0"/>
        <v>15</v>
      </c>
      <c r="I22" s="1" t="str">
        <f>IF(COUNTIF('Catalogo CU'!$A$9:$A$500,A22)&lt;&gt;1,"Revisar ID",IF(COUNTIF($A$9:$A$500,A22)&lt;&gt;1,"Revisar duplicado",INDEX('Catalogo CU'!$M$9:$M$500,MATCH(A22,'Catalogo CU'!$A$9:$A$500,0))))</f>
        <v>Válido</v>
      </c>
    </row>
    <row r="23" spans="1:9" ht="34.049999999999997" customHeight="1">
      <c r="A23" s="1" t="s">
        <v>125</v>
      </c>
      <c r="B23" s="10" t="str">
        <f>INDEX('Catalogo CU'!$D$9:$D$500,MATCH(A23,'Catalogo CU'!$A$9:$A$500,0))</f>
        <v>Autorizar excepción de crédito</v>
      </c>
      <c r="C23" s="1" t="str">
        <f>INDEX('Catalogo CU'!$C$9:$C$500,MATCH(A23,'Catalogo CU'!$A$9:$A$500,0))</f>
        <v>E1</v>
      </c>
      <c r="D23" s="18">
        <f>INDEX('Catalogo CU'!$G$9:$G$500,MATCH(A23,'Catalogo CU'!$A$9:$A$500,0))</f>
        <v>1</v>
      </c>
      <c r="E23" s="18">
        <f>INDEX('Catalogo CU'!$J$9:$J$500,MATCH(A23,'Catalogo CU'!$A$9:$A$500,0))</f>
        <v>4</v>
      </c>
      <c r="F23" s="18" t="str">
        <f>IF(D23=0,"Excluido",IF(I23&lt;&gt;"Válido","Revisar",IF(E23&lt;='Criterios y fuentes'!$F$25,"Simple",IF(E23&lt;='Criterios y fuentes'!$F$26,"Medio","Complejo"))))</f>
        <v>Medio</v>
      </c>
      <c r="G23" s="18">
        <f>IF(F23="Excluido",0,IF(F23="Simple",'Criterios y fuentes'!$G$25,IF(F23="Medio",'Criterios y fuentes'!$G$26,IF(F23="Complejo",'Criterios y fuentes'!$G$27,"Revisar"))))</f>
        <v>10</v>
      </c>
      <c r="H23" s="18">
        <f t="shared" si="0"/>
        <v>10</v>
      </c>
      <c r="I23" s="1" t="str">
        <f>IF(COUNTIF('Catalogo CU'!$A$9:$A$500,A23)&lt;&gt;1,"Revisar ID",IF(COUNTIF($A$9:$A$500,A23)&lt;&gt;1,"Revisar duplicado",INDEX('Catalogo CU'!$M$9:$M$500,MATCH(A23,'Catalogo CU'!$A$9:$A$500,0))))</f>
        <v>Válido</v>
      </c>
    </row>
    <row r="24" spans="1:9" ht="34.049999999999997" customHeight="1">
      <c r="A24" s="1" t="s">
        <v>130</v>
      </c>
      <c r="B24" s="10" t="str">
        <f>INDEX('Catalogo CU'!$D$9:$D$500,MATCH(A24,'Catalogo CU'!$A$9:$A$500,0))</f>
        <v>Mantener condiciones y resolver diferencias de precio</v>
      </c>
      <c r="C24" s="1" t="str">
        <f>INDEX('Catalogo CU'!$C$9:$C$500,MATCH(A24,'Catalogo CU'!$A$9:$A$500,0))</f>
        <v>E1</v>
      </c>
      <c r="D24" s="18">
        <f>INDEX('Catalogo CU'!$G$9:$G$500,MATCH(A24,'Catalogo CU'!$A$9:$A$500,0))</f>
        <v>1</v>
      </c>
      <c r="E24" s="18">
        <f>INDEX('Catalogo CU'!$J$9:$J$500,MATCH(A24,'Catalogo CU'!$A$9:$A$500,0))</f>
        <v>5</v>
      </c>
      <c r="F24" s="18" t="str">
        <f>IF(D24=0,"Excluido",IF(I24&lt;&gt;"Válido","Revisar",IF(E24&lt;='Criterios y fuentes'!$F$25,"Simple",IF(E24&lt;='Criterios y fuentes'!$F$26,"Medio","Complejo"))))</f>
        <v>Medio</v>
      </c>
      <c r="G24" s="18">
        <f>IF(F24="Excluido",0,IF(F24="Simple",'Criterios y fuentes'!$G$25,IF(F24="Medio",'Criterios y fuentes'!$G$26,IF(F24="Complejo",'Criterios y fuentes'!$G$27,"Revisar"))))</f>
        <v>10</v>
      </c>
      <c r="H24" s="18">
        <f t="shared" si="0"/>
        <v>10</v>
      </c>
      <c r="I24" s="1" t="str">
        <f>IF(COUNTIF('Catalogo CU'!$A$9:$A$500,A24)&lt;&gt;1,"Revisar ID",IF(COUNTIF($A$9:$A$500,A24)&lt;&gt;1,"Revisar duplicado",INDEX('Catalogo CU'!$M$9:$M$500,MATCH(A24,'Catalogo CU'!$A$9:$A$500,0))))</f>
        <v>Válido</v>
      </c>
    </row>
    <row r="25" spans="1:9" ht="34.049999999999997" customHeight="1">
      <c r="A25" s="1" t="s">
        <v>135</v>
      </c>
      <c r="B25" s="10" t="str">
        <f>INDEX('Catalogo CU'!$D$9:$D$500,MATCH(A25,'Catalogo CU'!$A$9:$A$500,0))</f>
        <v>Resolver excepciones de sincronización</v>
      </c>
      <c r="C25" s="1" t="str">
        <f>INDEX('Catalogo CU'!$C$9:$C$500,MATCH(A25,'Catalogo CU'!$A$9:$A$500,0))</f>
        <v>E1</v>
      </c>
      <c r="D25" s="18">
        <f>INDEX('Catalogo CU'!$G$9:$G$500,MATCH(A25,'Catalogo CU'!$A$9:$A$500,0))</f>
        <v>1</v>
      </c>
      <c r="E25" s="18">
        <f>INDEX('Catalogo CU'!$J$9:$J$500,MATCH(A25,'Catalogo CU'!$A$9:$A$500,0))</f>
        <v>4</v>
      </c>
      <c r="F25" s="18" t="str">
        <f>IF(D25=0,"Excluido",IF(I25&lt;&gt;"Válido","Revisar",IF(E25&lt;='Criterios y fuentes'!$F$25,"Simple",IF(E25&lt;='Criterios y fuentes'!$F$26,"Medio","Complejo"))))</f>
        <v>Medio</v>
      </c>
      <c r="G25" s="18">
        <f>IF(F25="Excluido",0,IF(F25="Simple",'Criterios y fuentes'!$G$25,IF(F25="Medio",'Criterios y fuentes'!$G$26,IF(F25="Complejo",'Criterios y fuentes'!$G$27,"Revisar"))))</f>
        <v>10</v>
      </c>
      <c r="H25" s="18">
        <f t="shared" si="0"/>
        <v>10</v>
      </c>
      <c r="I25" s="1" t="str">
        <f>IF(COUNTIF('Catalogo CU'!$A$9:$A$500,A25)&lt;&gt;1,"Revisar ID",IF(COUNTIF($A$9:$A$500,A25)&lt;&gt;1,"Revisar duplicado",INDEX('Catalogo CU'!$M$9:$M$500,MATCH(A25,'Catalogo CU'!$A$9:$A$500,0))))</f>
        <v>Válido</v>
      </c>
    </row>
    <row r="26" spans="1:9" ht="34.049999999999997" customHeight="1">
      <c r="A26" s="1" t="s">
        <v>141</v>
      </c>
      <c r="B26" s="10" t="str">
        <f>INDEX('Catalogo CU'!$D$9:$D$500,MATCH(A26,'Catalogo CU'!$A$9:$A$500,0))</f>
        <v>Generar y aprobar plan de rutas</v>
      </c>
      <c r="C26" s="1" t="str">
        <f>INDEX('Catalogo CU'!$C$9:$C$500,MATCH(A26,'Catalogo CU'!$A$9:$A$500,0))</f>
        <v>E1</v>
      </c>
      <c r="D26" s="18">
        <f>INDEX('Catalogo CU'!$G$9:$G$500,MATCH(A26,'Catalogo CU'!$A$9:$A$500,0))</f>
        <v>1</v>
      </c>
      <c r="E26" s="18">
        <f>INDEX('Catalogo CU'!$J$9:$J$500,MATCH(A26,'Catalogo CU'!$A$9:$A$500,0))</f>
        <v>6</v>
      </c>
      <c r="F26" s="18" t="str">
        <f>IF(D26=0,"Excluido",IF(I26&lt;&gt;"Válido","Revisar",IF(E26&lt;='Criterios y fuentes'!$F$25,"Simple",IF(E26&lt;='Criterios y fuentes'!$F$26,"Medio","Complejo"))))</f>
        <v>Medio</v>
      </c>
      <c r="G26" s="18">
        <f>IF(F26="Excluido",0,IF(F26="Simple",'Criterios y fuentes'!$G$25,IF(F26="Medio",'Criterios y fuentes'!$G$26,IF(F26="Complejo",'Criterios y fuentes'!$G$27,"Revisar"))))</f>
        <v>10</v>
      </c>
      <c r="H26" s="18">
        <f t="shared" si="0"/>
        <v>10</v>
      </c>
      <c r="I26" s="1" t="str">
        <f>IF(COUNTIF('Catalogo CU'!$A$9:$A$500,A26)&lt;&gt;1,"Revisar ID",IF(COUNTIF($A$9:$A$500,A26)&lt;&gt;1,"Revisar duplicado",INDEX('Catalogo CU'!$M$9:$M$500,MATCH(A26,'Catalogo CU'!$A$9:$A$500,0))))</f>
        <v>Válido</v>
      </c>
    </row>
    <row r="27" spans="1:9" ht="34.049999999999997" customHeight="1">
      <c r="A27" s="1" t="s">
        <v>147</v>
      </c>
      <c r="B27" s="10" t="str">
        <f>INDEX('Catalogo CU'!$D$9:$D$500,MATCH(A27,'Catalogo CU'!$A$9:$A$500,0))</f>
        <v>Modificar rutas y gestionar reentregas</v>
      </c>
      <c r="C27" s="1" t="str">
        <f>INDEX('Catalogo CU'!$C$9:$C$500,MATCH(A27,'Catalogo CU'!$A$9:$A$500,0))</f>
        <v>E1</v>
      </c>
      <c r="D27" s="18">
        <f>INDEX('Catalogo CU'!$G$9:$G$500,MATCH(A27,'Catalogo CU'!$A$9:$A$500,0))</f>
        <v>1</v>
      </c>
      <c r="E27" s="18">
        <f>INDEX('Catalogo CU'!$J$9:$J$500,MATCH(A27,'Catalogo CU'!$A$9:$A$500,0))</f>
        <v>4</v>
      </c>
      <c r="F27" s="18" t="str">
        <f>IF(D27=0,"Excluido",IF(I27&lt;&gt;"Válido","Revisar",IF(E27&lt;='Criterios y fuentes'!$F$25,"Simple",IF(E27&lt;='Criterios y fuentes'!$F$26,"Medio","Complejo"))))</f>
        <v>Medio</v>
      </c>
      <c r="G27" s="18">
        <f>IF(F27="Excluido",0,IF(F27="Simple",'Criterios y fuentes'!$G$25,IF(F27="Medio",'Criterios y fuentes'!$G$26,IF(F27="Complejo",'Criterios y fuentes'!$G$27,"Revisar"))))</f>
        <v>10</v>
      </c>
      <c r="H27" s="18">
        <f t="shared" si="0"/>
        <v>10</v>
      </c>
      <c r="I27" s="1" t="str">
        <f>IF(COUNTIF('Catalogo CU'!$A$9:$A$500,A27)&lt;&gt;1,"Revisar ID",IF(COUNTIF($A$9:$A$500,A27)&lt;&gt;1,"Revisar duplicado",INDEX('Catalogo CU'!$M$9:$M$500,MATCH(A27,'Catalogo CU'!$A$9:$A$500,0))))</f>
        <v>Válido</v>
      </c>
    </row>
    <row r="28" spans="1:9" ht="34.049999999999997" customHeight="1">
      <c r="A28" s="1" t="s">
        <v>152</v>
      </c>
      <c r="B28" s="10" t="str">
        <f>INDEX('Catalogo CU'!$D$9:$D$500,MATCH(A28,'Catalogo CU'!$A$9:$A$500,0))</f>
        <v>Mantener flota y restricciones de entrega</v>
      </c>
      <c r="C28" s="1" t="str">
        <f>INDEX('Catalogo CU'!$C$9:$C$500,MATCH(A28,'Catalogo CU'!$A$9:$A$500,0))</f>
        <v>E1</v>
      </c>
      <c r="D28" s="18">
        <f>INDEX('Catalogo CU'!$G$9:$G$500,MATCH(A28,'Catalogo CU'!$A$9:$A$500,0))</f>
        <v>1</v>
      </c>
      <c r="E28" s="18">
        <f>INDEX('Catalogo CU'!$J$9:$J$500,MATCH(A28,'Catalogo CU'!$A$9:$A$500,0))</f>
        <v>5</v>
      </c>
      <c r="F28" s="18" t="str">
        <f>IF(D28=0,"Excluido",IF(I28&lt;&gt;"Válido","Revisar",IF(E28&lt;='Criterios y fuentes'!$F$25,"Simple",IF(E28&lt;='Criterios y fuentes'!$F$26,"Medio","Complejo"))))</f>
        <v>Medio</v>
      </c>
      <c r="G28" s="18">
        <f>IF(F28="Excluido",0,IF(F28="Simple",'Criterios y fuentes'!$G$25,IF(F28="Medio",'Criterios y fuentes'!$G$26,IF(F28="Complejo",'Criterios y fuentes'!$G$27,"Revisar"))))</f>
        <v>10</v>
      </c>
      <c r="H28" s="18">
        <f t="shared" si="0"/>
        <v>10</v>
      </c>
      <c r="I28" s="1" t="str">
        <f>IF(COUNTIF('Catalogo CU'!$A$9:$A$500,A28)&lt;&gt;1,"Revisar ID",IF(COUNTIF($A$9:$A$500,A28)&lt;&gt;1,"Revisar duplicado",INDEX('Catalogo CU'!$M$9:$M$500,MATCH(A28,'Catalogo CU'!$A$9:$A$500,0))))</f>
        <v>Válido</v>
      </c>
    </row>
    <row r="29" spans="1:9" ht="34.049999999999997" customHeight="1">
      <c r="A29" s="1" t="s">
        <v>156</v>
      </c>
      <c r="B29" s="10" t="str">
        <f>INDEX('Catalogo CU'!$D$9:$D$500,MATCH(A29,'Catalogo CU'!$A$9:$A$500,0))</f>
        <v>Generar y asignar misiones de preparación</v>
      </c>
      <c r="C29" s="1" t="str">
        <f>INDEX('Catalogo CU'!$C$9:$C$500,MATCH(A29,'Catalogo CU'!$A$9:$A$500,0))</f>
        <v>E1</v>
      </c>
      <c r="D29" s="18">
        <f>INDEX('Catalogo CU'!$G$9:$G$500,MATCH(A29,'Catalogo CU'!$A$9:$A$500,0))</f>
        <v>1</v>
      </c>
      <c r="E29" s="18">
        <f>INDEX('Catalogo CU'!$J$9:$J$500,MATCH(A29,'Catalogo CU'!$A$9:$A$500,0))</f>
        <v>4</v>
      </c>
      <c r="F29" s="18" t="str">
        <f>IF(D29=0,"Excluido",IF(I29&lt;&gt;"Válido","Revisar",IF(E29&lt;='Criterios y fuentes'!$F$25,"Simple",IF(E29&lt;='Criterios y fuentes'!$F$26,"Medio","Complejo"))))</f>
        <v>Medio</v>
      </c>
      <c r="G29" s="18">
        <f>IF(F29="Excluido",0,IF(F29="Simple",'Criterios y fuentes'!$G$25,IF(F29="Medio",'Criterios y fuentes'!$G$26,IF(F29="Complejo",'Criterios y fuentes'!$G$27,"Revisar"))))</f>
        <v>10</v>
      </c>
      <c r="H29" s="18">
        <f t="shared" si="0"/>
        <v>10</v>
      </c>
      <c r="I29" s="1" t="str">
        <f>IF(COUNTIF('Catalogo CU'!$A$9:$A$500,A29)&lt;&gt;1,"Revisar ID",IF(COUNTIF($A$9:$A$500,A29)&lt;&gt;1,"Revisar duplicado",INDEX('Catalogo CU'!$M$9:$M$500,MATCH(A29,'Catalogo CU'!$A$9:$A$500,0))))</f>
        <v>Válido</v>
      </c>
    </row>
    <row r="30" spans="1:9" ht="34.049999999999997" customHeight="1">
      <c r="A30" s="1" t="s">
        <v>162</v>
      </c>
      <c r="B30" s="10" t="str">
        <f>INDEX('Catalogo CU'!$D$9:$D$500,MATCH(A30,'Catalogo CU'!$A$9:$A$500,0))</f>
        <v>Ejecutar misión de picking</v>
      </c>
      <c r="C30" s="1" t="str">
        <f>INDEX('Catalogo CU'!$C$9:$C$500,MATCH(A30,'Catalogo CU'!$A$9:$A$500,0))</f>
        <v>E1</v>
      </c>
      <c r="D30" s="18">
        <f>INDEX('Catalogo CU'!$G$9:$G$500,MATCH(A30,'Catalogo CU'!$A$9:$A$500,0))</f>
        <v>1</v>
      </c>
      <c r="E30" s="18">
        <f>INDEX('Catalogo CU'!$J$9:$J$500,MATCH(A30,'Catalogo CU'!$A$9:$A$500,0))</f>
        <v>6</v>
      </c>
      <c r="F30" s="18" t="str">
        <f>IF(D30=0,"Excluido",IF(I30&lt;&gt;"Válido","Revisar",IF(E30&lt;='Criterios y fuentes'!$F$25,"Simple",IF(E30&lt;='Criterios y fuentes'!$F$26,"Medio","Complejo"))))</f>
        <v>Medio</v>
      </c>
      <c r="G30" s="18">
        <f>IF(F30="Excluido",0,IF(F30="Simple",'Criterios y fuentes'!$G$25,IF(F30="Medio",'Criterios y fuentes'!$G$26,IF(F30="Complejo",'Criterios y fuentes'!$G$27,"Revisar"))))</f>
        <v>10</v>
      </c>
      <c r="H30" s="18">
        <f t="shared" si="0"/>
        <v>10</v>
      </c>
      <c r="I30" s="1" t="str">
        <f>IF(COUNTIF('Catalogo CU'!$A$9:$A$500,A30)&lt;&gt;1,"Revisar ID",IF(COUNTIF($A$9:$A$500,A30)&lt;&gt;1,"Revisar duplicado",INDEX('Catalogo CU'!$M$9:$M$500,MATCH(A30,'Catalogo CU'!$A$9:$A$500,0))))</f>
        <v>Válido</v>
      </c>
    </row>
    <row r="31" spans="1:9" ht="34.049999999999997" customHeight="1">
      <c r="A31" s="1" t="s">
        <v>166</v>
      </c>
      <c r="B31" s="10" t="str">
        <f>INDEX('Catalogo CU'!$D$9:$D$500,MATCH(A31,'Catalogo CU'!$A$9:$A$500,0))</f>
        <v>Cargar vehículo y liberar despacho</v>
      </c>
      <c r="C31" s="1" t="str">
        <f>INDEX('Catalogo CU'!$C$9:$C$500,MATCH(A31,'Catalogo CU'!$A$9:$A$500,0))</f>
        <v>E1</v>
      </c>
      <c r="D31" s="18">
        <f>INDEX('Catalogo CU'!$G$9:$G$500,MATCH(A31,'Catalogo CU'!$A$9:$A$500,0))</f>
        <v>1</v>
      </c>
      <c r="E31" s="18">
        <f>INDEX('Catalogo CU'!$J$9:$J$500,MATCH(A31,'Catalogo CU'!$A$9:$A$500,0))</f>
        <v>6</v>
      </c>
      <c r="F31" s="18" t="str">
        <f>IF(D31=0,"Excluido",IF(I31&lt;&gt;"Válido","Revisar",IF(E31&lt;='Criterios y fuentes'!$F$25,"Simple",IF(E31&lt;='Criterios y fuentes'!$F$26,"Medio","Complejo"))))</f>
        <v>Medio</v>
      </c>
      <c r="G31" s="18">
        <f>IF(F31="Excluido",0,IF(F31="Simple",'Criterios y fuentes'!$G$25,IF(F31="Medio",'Criterios y fuentes'!$G$26,IF(F31="Complejo",'Criterios y fuentes'!$G$27,"Revisar"))))</f>
        <v>10</v>
      </c>
      <c r="H31" s="18">
        <f t="shared" si="0"/>
        <v>10</v>
      </c>
      <c r="I31" s="1" t="str">
        <f>IF(COUNTIF('Catalogo CU'!$A$9:$A$500,A31)&lt;&gt;1,"Revisar ID",IF(COUNTIF($A$9:$A$500,A31)&lt;&gt;1,"Revisar duplicado",INDEX('Catalogo CU'!$M$9:$M$500,MATCH(A31,'Catalogo CU'!$A$9:$A$500,0))))</f>
        <v>Válido</v>
      </c>
    </row>
    <row r="32" spans="1:9" ht="34.049999999999997" customHeight="1">
      <c r="A32" s="1" t="s">
        <v>171</v>
      </c>
      <c r="B32" s="10" t="str">
        <f>INDEX('Catalogo CU'!$D$9:$D$500,MATCH(A32,'Catalogo CU'!$A$9:$A$500,0))</f>
        <v>Intercambiar documentos tributarios con ERP</v>
      </c>
      <c r="C32" s="1" t="str">
        <f>INDEX('Catalogo CU'!$C$9:$C$500,MATCH(A32,'Catalogo CU'!$A$9:$A$500,0))</f>
        <v>E1</v>
      </c>
      <c r="D32" s="18">
        <f>INDEX('Catalogo CU'!$G$9:$G$500,MATCH(A32,'Catalogo CU'!$A$9:$A$500,0))</f>
        <v>1</v>
      </c>
      <c r="E32" s="18">
        <f>INDEX('Catalogo CU'!$J$9:$J$500,MATCH(A32,'Catalogo CU'!$A$9:$A$500,0))</f>
        <v>3</v>
      </c>
      <c r="F32" s="18" t="str">
        <f>IF(D32=0,"Excluido",IF(I32&lt;&gt;"Válido","Revisar",IF(E32&lt;='Criterios y fuentes'!$F$25,"Simple",IF(E32&lt;='Criterios y fuentes'!$F$26,"Medio","Complejo"))))</f>
        <v>Simple</v>
      </c>
      <c r="G32" s="18">
        <f>IF(F32="Excluido",0,IF(F32="Simple",'Criterios y fuentes'!$G$25,IF(F32="Medio",'Criterios y fuentes'!$G$26,IF(F32="Complejo",'Criterios y fuentes'!$G$27,"Revisar"))))</f>
        <v>5</v>
      </c>
      <c r="H32" s="18">
        <f t="shared" si="0"/>
        <v>5</v>
      </c>
      <c r="I32" s="1" t="str">
        <f>IF(COUNTIF('Catalogo CU'!$A$9:$A$500,A32)&lt;&gt;1,"Revisar ID",IF(COUNTIF($A$9:$A$500,A32)&lt;&gt;1,"Revisar duplicado",INDEX('Catalogo CU'!$M$9:$M$500,MATCH(A32,'Catalogo CU'!$A$9:$A$500,0))))</f>
        <v>Válido</v>
      </c>
    </row>
    <row r="33" spans="1:9" ht="34.049999999999997" customHeight="1">
      <c r="A33" s="1" t="s">
        <v>176</v>
      </c>
      <c r="B33" s="10" t="str">
        <f>INDEX('Catalogo CU'!$D$9:$D$500,MATCH(A33,'Catalogo CU'!$A$9:$A$500,0))</f>
        <v>Habilitar jornada y conductor de ruta</v>
      </c>
      <c r="C33" s="1" t="str">
        <f>INDEX('Catalogo CU'!$C$9:$C$500,MATCH(A33,'Catalogo CU'!$A$9:$A$500,0))</f>
        <v>E1</v>
      </c>
      <c r="D33" s="18">
        <f>INDEX('Catalogo CU'!$G$9:$G$500,MATCH(A33,'Catalogo CU'!$A$9:$A$500,0))</f>
        <v>1</v>
      </c>
      <c r="E33" s="18">
        <f>INDEX('Catalogo CU'!$J$9:$J$500,MATCH(A33,'Catalogo CU'!$A$9:$A$500,0))</f>
        <v>4</v>
      </c>
      <c r="F33" s="18" t="str">
        <f>IF(D33=0,"Excluido",IF(I33&lt;&gt;"Válido","Revisar",IF(E33&lt;='Criterios y fuentes'!$F$25,"Simple",IF(E33&lt;='Criterios y fuentes'!$F$26,"Medio","Complejo"))))</f>
        <v>Medio</v>
      </c>
      <c r="G33" s="18">
        <f>IF(F33="Excluido",0,IF(F33="Simple",'Criterios y fuentes'!$G$25,IF(F33="Medio",'Criterios y fuentes'!$G$26,IF(F33="Complejo",'Criterios y fuentes'!$G$27,"Revisar"))))</f>
        <v>10</v>
      </c>
      <c r="H33" s="18">
        <f t="shared" si="0"/>
        <v>10</v>
      </c>
      <c r="I33" s="1" t="str">
        <f>IF(COUNTIF('Catalogo CU'!$A$9:$A$500,A33)&lt;&gt;1,"Revisar ID",IF(COUNTIF($A$9:$A$500,A33)&lt;&gt;1,"Revisar duplicado",INDEX('Catalogo CU'!$M$9:$M$500,MATCH(A33,'Catalogo CU'!$A$9:$A$500,0))))</f>
        <v>Válido</v>
      </c>
    </row>
    <row r="34" spans="1:9" ht="34.049999999999997" customHeight="1">
      <c r="A34" s="1" t="s">
        <v>182</v>
      </c>
      <c r="B34" s="10" t="str">
        <f>INDEX('Catalogo CU'!$D$9:$D$500,MATCH(A34,'Catalogo CU'!$A$9:$A$500,0))</f>
        <v>Registrar entrega con prueba de recepción</v>
      </c>
      <c r="C34" s="1" t="str">
        <f>INDEX('Catalogo CU'!$C$9:$C$500,MATCH(A34,'Catalogo CU'!$A$9:$A$500,0))</f>
        <v>E1</v>
      </c>
      <c r="D34" s="18">
        <f>INDEX('Catalogo CU'!$G$9:$G$500,MATCH(A34,'Catalogo CU'!$A$9:$A$500,0))</f>
        <v>1</v>
      </c>
      <c r="E34" s="18">
        <f>INDEX('Catalogo CU'!$J$9:$J$500,MATCH(A34,'Catalogo CU'!$A$9:$A$500,0))</f>
        <v>7</v>
      </c>
      <c r="F34" s="18" t="str">
        <f>IF(D34=0,"Excluido",IF(I34&lt;&gt;"Válido","Revisar",IF(E34&lt;='Criterios y fuentes'!$F$25,"Simple",IF(E34&lt;='Criterios y fuentes'!$F$26,"Medio","Complejo"))))</f>
        <v>Medio</v>
      </c>
      <c r="G34" s="18">
        <f>IF(F34="Excluido",0,IF(F34="Simple",'Criterios y fuentes'!$G$25,IF(F34="Medio",'Criterios y fuentes'!$G$26,IF(F34="Complejo",'Criterios y fuentes'!$G$27,"Revisar"))))</f>
        <v>10</v>
      </c>
      <c r="H34" s="18">
        <f t="shared" si="0"/>
        <v>10</v>
      </c>
      <c r="I34" s="1" t="str">
        <f>IF(COUNTIF('Catalogo CU'!$A$9:$A$500,A34)&lt;&gt;1,"Revisar ID",IF(COUNTIF($A$9:$A$500,A34)&lt;&gt;1,"Revisar duplicado",INDEX('Catalogo CU'!$M$9:$M$500,MATCH(A34,'Catalogo CU'!$A$9:$A$500,0))))</f>
        <v>Válido</v>
      </c>
    </row>
    <row r="35" spans="1:9" ht="34.049999999999997" customHeight="1">
      <c r="A35" s="1" t="s">
        <v>187</v>
      </c>
      <c r="B35" s="10" t="str">
        <f>INDEX('Catalogo CU'!$D$9:$D$500,MATCH(A35,'Catalogo CU'!$A$9:$A$500,0))</f>
        <v>Registrar intento fallido de entrega</v>
      </c>
      <c r="C35" s="1" t="str">
        <f>INDEX('Catalogo CU'!$C$9:$C$500,MATCH(A35,'Catalogo CU'!$A$9:$A$500,0))</f>
        <v>E1</v>
      </c>
      <c r="D35" s="18">
        <f>INDEX('Catalogo CU'!$G$9:$G$500,MATCH(A35,'Catalogo CU'!$A$9:$A$500,0))</f>
        <v>1</v>
      </c>
      <c r="E35" s="18">
        <f>INDEX('Catalogo CU'!$J$9:$J$500,MATCH(A35,'Catalogo CU'!$A$9:$A$500,0))</f>
        <v>3</v>
      </c>
      <c r="F35" s="18" t="str">
        <f>IF(D35=0,"Excluido",IF(I35&lt;&gt;"Válido","Revisar",IF(E35&lt;='Criterios y fuentes'!$F$25,"Simple",IF(E35&lt;='Criterios y fuentes'!$F$26,"Medio","Complejo"))))</f>
        <v>Simple</v>
      </c>
      <c r="G35" s="18">
        <f>IF(F35="Excluido",0,IF(F35="Simple",'Criterios y fuentes'!$G$25,IF(F35="Medio",'Criterios y fuentes'!$G$26,IF(F35="Complejo",'Criterios y fuentes'!$G$27,"Revisar"))))</f>
        <v>5</v>
      </c>
      <c r="H35" s="18">
        <f t="shared" si="0"/>
        <v>5</v>
      </c>
      <c r="I35" s="1" t="str">
        <f>IF(COUNTIF('Catalogo CU'!$A$9:$A$500,A35)&lt;&gt;1,"Revisar ID",IF(COUNTIF($A$9:$A$500,A35)&lt;&gt;1,"Revisar duplicado",INDEX('Catalogo CU'!$M$9:$M$500,MATCH(A35,'Catalogo CU'!$A$9:$A$500,0))))</f>
        <v>Válido</v>
      </c>
    </row>
    <row r="36" spans="1:9" ht="34.049999999999997" customHeight="1">
      <c r="A36" s="1" t="s">
        <v>192</v>
      </c>
      <c r="B36" s="10" t="str">
        <f>INDEX('Catalogo CU'!$D$9:$D$500,MATCH(A36,'Catalogo CU'!$A$9:$A$500,0))</f>
        <v>Cobrar entrega en efectivo o abono</v>
      </c>
      <c r="C36" s="1" t="str">
        <f>INDEX('Catalogo CU'!$C$9:$C$500,MATCH(A36,'Catalogo CU'!$A$9:$A$500,0))</f>
        <v>E1</v>
      </c>
      <c r="D36" s="18">
        <f>INDEX('Catalogo CU'!$G$9:$G$500,MATCH(A36,'Catalogo CU'!$A$9:$A$500,0))</f>
        <v>1</v>
      </c>
      <c r="E36" s="18">
        <f>INDEX('Catalogo CU'!$J$9:$J$500,MATCH(A36,'Catalogo CU'!$A$9:$A$500,0))</f>
        <v>4</v>
      </c>
      <c r="F36" s="18" t="str">
        <f>IF(D36=0,"Excluido",IF(I36&lt;&gt;"Válido","Revisar",IF(E36&lt;='Criterios y fuentes'!$F$25,"Simple",IF(E36&lt;='Criterios y fuentes'!$F$26,"Medio","Complejo"))))</f>
        <v>Medio</v>
      </c>
      <c r="G36" s="18">
        <f>IF(F36="Excluido",0,IF(F36="Simple",'Criterios y fuentes'!$G$25,IF(F36="Medio",'Criterios y fuentes'!$G$26,IF(F36="Complejo",'Criterios y fuentes'!$G$27,"Revisar"))))</f>
        <v>10</v>
      </c>
      <c r="H36" s="18">
        <f t="shared" si="0"/>
        <v>10</v>
      </c>
      <c r="I36" s="1" t="str">
        <f>IF(COUNTIF('Catalogo CU'!$A$9:$A$500,A36)&lt;&gt;1,"Revisar ID",IF(COUNTIF($A$9:$A$500,A36)&lt;&gt;1,"Revisar duplicado",INDEX('Catalogo CU'!$M$9:$M$500,MATCH(A36,'Catalogo CU'!$A$9:$A$500,0))))</f>
        <v>Válido</v>
      </c>
    </row>
    <row r="37" spans="1:9" ht="34.049999999999997" customHeight="1">
      <c r="A37" s="1" t="s">
        <v>197</v>
      </c>
      <c r="B37" s="10" t="str">
        <f>INDEX('Catalogo CU'!$D$9:$D$500,MATCH(A37,'Catalogo CU'!$A$9:$A$500,0))</f>
        <v>Cobrar con terminal POS en ruta</v>
      </c>
      <c r="C37" s="1" t="str">
        <f>INDEX('Catalogo CU'!$C$9:$C$500,MATCH(A37,'Catalogo CU'!$A$9:$A$500,0))</f>
        <v>E1</v>
      </c>
      <c r="D37" s="18">
        <f>INDEX('Catalogo CU'!$G$9:$G$500,MATCH(A37,'Catalogo CU'!$A$9:$A$500,0))</f>
        <v>1</v>
      </c>
      <c r="E37" s="18">
        <f>INDEX('Catalogo CU'!$J$9:$J$500,MATCH(A37,'Catalogo CU'!$A$9:$A$500,0))</f>
        <v>4</v>
      </c>
      <c r="F37" s="18" t="str">
        <f>IF(D37=0,"Excluido",IF(I37&lt;&gt;"Válido","Revisar",IF(E37&lt;='Criterios y fuentes'!$F$25,"Simple",IF(E37&lt;='Criterios y fuentes'!$F$26,"Medio","Complejo"))))</f>
        <v>Medio</v>
      </c>
      <c r="G37" s="18">
        <f>IF(F37="Excluido",0,IF(F37="Simple",'Criterios y fuentes'!$G$25,IF(F37="Medio",'Criterios y fuentes'!$G$26,IF(F37="Complejo",'Criterios y fuentes'!$G$27,"Revisar"))))</f>
        <v>10</v>
      </c>
      <c r="H37" s="18">
        <f t="shared" si="0"/>
        <v>10</v>
      </c>
      <c r="I37" s="1" t="str">
        <f>IF(COUNTIF('Catalogo CU'!$A$9:$A$500,A37)&lt;&gt;1,"Revisar ID",IF(COUNTIF($A$9:$A$500,A37)&lt;&gt;1,"Revisar duplicado",INDEX('Catalogo CU'!$M$9:$M$500,MATCH(A37,'Catalogo CU'!$A$9:$A$500,0))))</f>
        <v>Válido</v>
      </c>
    </row>
    <row r="38" spans="1:9" ht="34.049999999999997" customHeight="1">
      <c r="A38" s="1" t="s">
        <v>202</v>
      </c>
      <c r="B38" s="10" t="str">
        <f>INDEX('Catalogo CU'!$D$9:$D$500,MATCH(A38,'Catalogo CU'!$A$9:$A$500,0))</f>
        <v>Cobrar deuda vencida en preventa</v>
      </c>
      <c r="C38" s="1" t="str">
        <f>INDEX('Catalogo CU'!$C$9:$C$500,MATCH(A38,'Catalogo CU'!$A$9:$A$500,0))</f>
        <v>E1</v>
      </c>
      <c r="D38" s="18">
        <f>INDEX('Catalogo CU'!$G$9:$G$500,MATCH(A38,'Catalogo CU'!$A$9:$A$500,0))</f>
        <v>1</v>
      </c>
      <c r="E38" s="18">
        <f>INDEX('Catalogo CU'!$J$9:$J$500,MATCH(A38,'Catalogo CU'!$A$9:$A$500,0))</f>
        <v>4</v>
      </c>
      <c r="F38" s="18" t="str">
        <f>IF(D38=0,"Excluido",IF(I38&lt;&gt;"Válido","Revisar",IF(E38&lt;='Criterios y fuentes'!$F$25,"Simple",IF(E38&lt;='Criterios y fuentes'!$F$26,"Medio","Complejo"))))</f>
        <v>Medio</v>
      </c>
      <c r="G38" s="18">
        <f>IF(F38="Excluido",0,IF(F38="Simple",'Criterios y fuentes'!$G$25,IF(F38="Medio",'Criterios y fuentes'!$G$26,IF(F38="Complejo",'Criterios y fuentes'!$G$27,"Revisar"))))</f>
        <v>10</v>
      </c>
      <c r="H38" s="18">
        <f t="shared" si="0"/>
        <v>10</v>
      </c>
      <c r="I38" s="1" t="str">
        <f>IF(COUNTIF('Catalogo CU'!$A$9:$A$500,A38)&lt;&gt;1,"Revisar ID",IF(COUNTIF($A$9:$A$500,A38)&lt;&gt;1,"Revisar duplicado",INDEX('Catalogo CU'!$M$9:$M$500,MATCH(A38,'Catalogo CU'!$A$9:$A$500,0))))</f>
        <v>Válido</v>
      </c>
    </row>
    <row r="39" spans="1:9" ht="34.049999999999997" customHeight="1">
      <c r="A39" s="1" t="s">
        <v>206</v>
      </c>
      <c r="B39" s="10" t="str">
        <f>INDEX('Catalogo CU'!$D$9:$D$500,MATCH(A39,'Catalogo CU'!$A$9:$A$500,0))</f>
        <v>Rendir y cerrar turno comercial</v>
      </c>
      <c r="C39" s="1" t="str">
        <f>INDEX('Catalogo CU'!$C$9:$C$500,MATCH(A39,'Catalogo CU'!$A$9:$A$500,0))</f>
        <v>E1</v>
      </c>
      <c r="D39" s="18">
        <f>INDEX('Catalogo CU'!$G$9:$G$500,MATCH(A39,'Catalogo CU'!$A$9:$A$500,0))</f>
        <v>1</v>
      </c>
      <c r="E39" s="18">
        <f>INDEX('Catalogo CU'!$J$9:$J$500,MATCH(A39,'Catalogo CU'!$A$9:$A$500,0))</f>
        <v>6</v>
      </c>
      <c r="F39" s="18" t="str">
        <f>IF(D39=0,"Excluido",IF(I39&lt;&gt;"Válido","Revisar",IF(E39&lt;='Criterios y fuentes'!$F$25,"Simple",IF(E39&lt;='Criterios y fuentes'!$F$26,"Medio","Complejo"))))</f>
        <v>Medio</v>
      </c>
      <c r="G39" s="18">
        <f>IF(F39="Excluido",0,IF(F39="Simple",'Criterios y fuentes'!$G$25,IF(F39="Medio",'Criterios y fuentes'!$G$26,IF(F39="Complejo",'Criterios y fuentes'!$G$27,"Revisar"))))</f>
        <v>10</v>
      </c>
      <c r="H39" s="18">
        <f t="shared" si="0"/>
        <v>10</v>
      </c>
      <c r="I39" s="1" t="str">
        <f>IF(COUNTIF('Catalogo CU'!$A$9:$A$500,A39)&lt;&gt;1,"Revisar ID",IF(COUNTIF($A$9:$A$500,A39)&lt;&gt;1,"Revisar duplicado",INDEX('Catalogo CU'!$M$9:$M$500,MATCH(A39,'Catalogo CU'!$A$9:$A$500,0))))</f>
        <v>Válido</v>
      </c>
    </row>
    <row r="40" spans="1:9" ht="34.049999999999997" customHeight="1">
      <c r="A40" s="1" t="s">
        <v>211</v>
      </c>
      <c r="B40" s="10" t="str">
        <f>INDEX('Catalogo CU'!$D$9:$D$500,MATCH(A40,'Catalogo CU'!$A$9:$A$500,0))</f>
        <v>Gestionar cartera y compromisos de cobro</v>
      </c>
      <c r="C40" s="1" t="str">
        <f>INDEX('Catalogo CU'!$C$9:$C$500,MATCH(A40,'Catalogo CU'!$A$9:$A$500,0))</f>
        <v>E1</v>
      </c>
      <c r="D40" s="18">
        <f>INDEX('Catalogo CU'!$G$9:$G$500,MATCH(A40,'Catalogo CU'!$A$9:$A$500,0))</f>
        <v>1</v>
      </c>
      <c r="E40" s="18">
        <f>INDEX('Catalogo CU'!$J$9:$J$500,MATCH(A40,'Catalogo CU'!$A$9:$A$500,0))</f>
        <v>5</v>
      </c>
      <c r="F40" s="18" t="str">
        <f>IF(D40=0,"Excluido",IF(I40&lt;&gt;"Válido","Revisar",IF(E40&lt;='Criterios y fuentes'!$F$25,"Simple",IF(E40&lt;='Criterios y fuentes'!$F$26,"Medio","Complejo"))))</f>
        <v>Medio</v>
      </c>
      <c r="G40" s="18">
        <f>IF(F40="Excluido",0,IF(F40="Simple",'Criterios y fuentes'!$G$25,IF(F40="Medio",'Criterios y fuentes'!$G$26,IF(F40="Complejo",'Criterios y fuentes'!$G$27,"Revisar"))))</f>
        <v>10</v>
      </c>
      <c r="H40" s="18">
        <f t="shared" si="0"/>
        <v>10</v>
      </c>
      <c r="I40" s="1" t="str">
        <f>IF(COUNTIF('Catalogo CU'!$A$9:$A$500,A40)&lt;&gt;1,"Revisar ID",IF(COUNTIF($A$9:$A$500,A40)&lt;&gt;1,"Revisar duplicado",INDEX('Catalogo CU'!$M$9:$M$500,MATCH(A40,'Catalogo CU'!$A$9:$A$500,0))))</f>
        <v>Válido</v>
      </c>
    </row>
    <row r="41" spans="1:9" ht="34.049999999999997" customHeight="1">
      <c r="A41" s="1" t="s">
        <v>215</v>
      </c>
      <c r="B41" s="10" t="str">
        <f>INDEX('Catalogo CU'!$D$9:$D$500,MATCH(A41,'Catalogo CU'!$A$9:$A$500,0))</f>
        <v>Reportar transferencia en portal</v>
      </c>
      <c r="C41" s="1" t="str">
        <f>INDEX('Catalogo CU'!$C$9:$C$500,MATCH(A41,'Catalogo CU'!$A$9:$A$500,0))</f>
        <v>E2</v>
      </c>
      <c r="D41" s="18">
        <f>INDEX('Catalogo CU'!$G$9:$G$500,MATCH(A41,'Catalogo CU'!$A$9:$A$500,0))</f>
        <v>1</v>
      </c>
      <c r="E41" s="18">
        <f>INDEX('Catalogo CU'!$J$9:$J$500,MATCH(A41,'Catalogo CU'!$A$9:$A$500,0))</f>
        <v>4</v>
      </c>
      <c r="F41" s="18" t="str">
        <f>IF(D41=0,"Excluido",IF(I41&lt;&gt;"Válido","Revisar",IF(E41&lt;='Criterios y fuentes'!$F$25,"Simple",IF(E41&lt;='Criterios y fuentes'!$F$26,"Medio","Complejo"))))</f>
        <v>Medio</v>
      </c>
      <c r="G41" s="18">
        <f>IF(F41="Excluido",0,IF(F41="Simple",'Criterios y fuentes'!$G$25,IF(F41="Medio",'Criterios y fuentes'!$G$26,IF(F41="Complejo",'Criterios y fuentes'!$G$27,"Revisar"))))</f>
        <v>10</v>
      </c>
      <c r="H41" s="18">
        <f t="shared" ref="H41:H72" si="1">IF(D41=0,0,IF(I41="Válido",D41*G41,"Revisar CU"))</f>
        <v>10</v>
      </c>
      <c r="I41" s="1" t="str">
        <f>IF(COUNTIF('Catalogo CU'!$A$9:$A$500,A41)&lt;&gt;1,"Revisar ID",IF(COUNTIF($A$9:$A$500,A41)&lt;&gt;1,"Revisar duplicado",INDEX('Catalogo CU'!$M$9:$M$500,MATCH(A41,'Catalogo CU'!$A$9:$A$500,0))))</f>
        <v>Válido</v>
      </c>
    </row>
    <row r="42" spans="1:9" ht="34.049999999999997" customHeight="1">
      <c r="A42" s="1" t="s">
        <v>221</v>
      </c>
      <c r="B42" s="10" t="str">
        <f>INDEX('Catalogo CU'!$D$9:$D$500,MATCH(A42,'Catalogo CU'!$A$9:$A$500,0))</f>
        <v>Validar pagos reportados en portal</v>
      </c>
      <c r="C42" s="1" t="str">
        <f>INDEX('Catalogo CU'!$C$9:$C$500,MATCH(A42,'Catalogo CU'!$A$9:$A$500,0))</f>
        <v>E2</v>
      </c>
      <c r="D42" s="18">
        <f>INDEX('Catalogo CU'!$G$9:$G$500,MATCH(A42,'Catalogo CU'!$A$9:$A$500,0))</f>
        <v>1</v>
      </c>
      <c r="E42" s="18">
        <f>INDEX('Catalogo CU'!$J$9:$J$500,MATCH(A42,'Catalogo CU'!$A$9:$A$500,0))</f>
        <v>4</v>
      </c>
      <c r="F42" s="18" t="str">
        <f>IF(D42=0,"Excluido",IF(I42&lt;&gt;"Válido","Revisar",IF(E42&lt;='Criterios y fuentes'!$F$25,"Simple",IF(E42&lt;='Criterios y fuentes'!$F$26,"Medio","Complejo"))))</f>
        <v>Medio</v>
      </c>
      <c r="G42" s="18">
        <f>IF(F42="Excluido",0,IF(F42="Simple",'Criterios y fuentes'!$G$25,IF(F42="Medio",'Criterios y fuentes'!$G$26,IF(F42="Complejo",'Criterios y fuentes'!$G$27,"Revisar"))))</f>
        <v>10</v>
      </c>
      <c r="H42" s="18">
        <f t="shared" si="1"/>
        <v>10</v>
      </c>
      <c r="I42" s="1" t="str">
        <f>IF(COUNTIF('Catalogo CU'!$A$9:$A$500,A42)&lt;&gt;1,"Revisar ID",IF(COUNTIF($A$9:$A$500,A42)&lt;&gt;1,"Revisar duplicado",INDEX('Catalogo CU'!$M$9:$M$500,MATCH(A42,'Catalogo CU'!$A$9:$A$500,0))))</f>
        <v>Válido</v>
      </c>
    </row>
    <row r="43" spans="1:9" ht="34.049999999999997" customHeight="1">
      <c r="A43" s="1" t="s">
        <v>224</v>
      </c>
      <c r="B43" s="10" t="str">
        <f>INDEX('Catalogo CU'!$D$9:$D$500,MATCH(A43,'Catalogo CU'!$A$9:$A$500,0))</f>
        <v>Intercambiar hechos comerciales con ERP</v>
      </c>
      <c r="C43" s="1" t="str">
        <f>INDEX('Catalogo CU'!$C$9:$C$500,MATCH(A43,'Catalogo CU'!$A$9:$A$500,0))</f>
        <v>E1</v>
      </c>
      <c r="D43" s="18">
        <f>INDEX('Catalogo CU'!$G$9:$G$500,MATCH(A43,'Catalogo CU'!$A$9:$A$500,0))</f>
        <v>1</v>
      </c>
      <c r="E43" s="18">
        <f>INDEX('Catalogo CU'!$J$9:$J$500,MATCH(A43,'Catalogo CU'!$A$9:$A$500,0))</f>
        <v>3</v>
      </c>
      <c r="F43" s="18" t="str">
        <f>IF(D43=0,"Excluido",IF(I43&lt;&gt;"Válido","Revisar",IF(E43&lt;='Criterios y fuentes'!$F$25,"Simple",IF(E43&lt;='Criterios y fuentes'!$F$26,"Medio","Complejo"))))</f>
        <v>Simple</v>
      </c>
      <c r="G43" s="18">
        <f>IF(F43="Excluido",0,IF(F43="Simple",'Criterios y fuentes'!$G$25,IF(F43="Medio",'Criterios y fuentes'!$G$26,IF(F43="Complejo",'Criterios y fuentes'!$G$27,"Revisar"))))</f>
        <v>5</v>
      </c>
      <c r="H43" s="18">
        <f t="shared" si="1"/>
        <v>5</v>
      </c>
      <c r="I43" s="1" t="str">
        <f>IF(COUNTIF('Catalogo CU'!$A$9:$A$500,A43)&lt;&gt;1,"Revisar ID",IF(COUNTIF($A$9:$A$500,A43)&lt;&gt;1,"Revisar duplicado",INDEX('Catalogo CU'!$M$9:$M$500,MATCH(A43,'Catalogo CU'!$A$9:$A$500,0))))</f>
        <v>Válido</v>
      </c>
    </row>
    <row r="44" spans="1:9" ht="34.049999999999997" customHeight="1">
      <c r="A44" s="1" t="s">
        <v>228</v>
      </c>
      <c r="B44" s="10" t="str">
        <f>INDEX('Catalogo CU'!$D$9:$D$500,MATCH(A44,'Catalogo CU'!$A$9:$A$500,0))</f>
        <v>Registrar devolución en terreno</v>
      </c>
      <c r="C44" s="1" t="str">
        <f>INDEX('Catalogo CU'!$C$9:$C$500,MATCH(A44,'Catalogo CU'!$A$9:$A$500,0))</f>
        <v>E1</v>
      </c>
      <c r="D44" s="18">
        <f>INDEX('Catalogo CU'!$G$9:$G$500,MATCH(A44,'Catalogo CU'!$A$9:$A$500,0))</f>
        <v>1</v>
      </c>
      <c r="E44" s="18">
        <f>INDEX('Catalogo CU'!$J$9:$J$500,MATCH(A44,'Catalogo CU'!$A$9:$A$500,0))</f>
        <v>4</v>
      </c>
      <c r="F44" s="18" t="str">
        <f>IF(D44=0,"Excluido",IF(I44&lt;&gt;"Válido","Revisar",IF(E44&lt;='Criterios y fuentes'!$F$25,"Simple",IF(E44&lt;='Criterios y fuentes'!$F$26,"Medio","Complejo"))))</f>
        <v>Medio</v>
      </c>
      <c r="G44" s="18">
        <f>IF(F44="Excluido",0,IF(F44="Simple",'Criterios y fuentes'!$G$25,IF(F44="Medio",'Criterios y fuentes'!$G$26,IF(F44="Complejo",'Criterios y fuentes'!$G$27,"Revisar"))))</f>
        <v>10</v>
      </c>
      <c r="H44" s="18">
        <f t="shared" si="1"/>
        <v>10</v>
      </c>
      <c r="I44" s="1" t="str">
        <f>IF(COUNTIF('Catalogo CU'!$A$9:$A$500,A44)&lt;&gt;1,"Revisar ID",IF(COUNTIF($A$9:$A$500,A44)&lt;&gt;1,"Revisar duplicado",INDEX('Catalogo CU'!$M$9:$M$500,MATCH(A44,'Catalogo CU'!$A$9:$A$500,0))))</f>
        <v>Válido</v>
      </c>
    </row>
    <row r="45" spans="1:9" ht="34.049999999999997" customHeight="1">
      <c r="A45" s="1" t="s">
        <v>233</v>
      </c>
      <c r="B45" s="10" t="str">
        <f>INDEX('Catalogo CU'!$D$9:$D$500,MATCH(A45,'Catalogo CU'!$A$9:$A$500,0))</f>
        <v>Recibir retorno físico en el CD</v>
      </c>
      <c r="C45" s="1" t="str">
        <f>INDEX('Catalogo CU'!$C$9:$C$500,MATCH(A45,'Catalogo CU'!$A$9:$A$500,0))</f>
        <v>E1</v>
      </c>
      <c r="D45" s="18">
        <f>INDEX('Catalogo CU'!$G$9:$G$500,MATCH(A45,'Catalogo CU'!$A$9:$A$500,0))</f>
        <v>1</v>
      </c>
      <c r="E45" s="18">
        <f>INDEX('Catalogo CU'!$J$9:$J$500,MATCH(A45,'Catalogo CU'!$A$9:$A$500,0))</f>
        <v>5</v>
      </c>
      <c r="F45" s="18" t="str">
        <f>IF(D45=0,"Excluido",IF(I45&lt;&gt;"Válido","Revisar",IF(E45&lt;='Criterios y fuentes'!$F$25,"Simple",IF(E45&lt;='Criterios y fuentes'!$F$26,"Medio","Complejo"))))</f>
        <v>Medio</v>
      </c>
      <c r="G45" s="18">
        <f>IF(F45="Excluido",0,IF(F45="Simple",'Criterios y fuentes'!$G$25,IF(F45="Medio",'Criterios y fuentes'!$G$26,IF(F45="Complejo",'Criterios y fuentes'!$G$27,"Revisar"))))</f>
        <v>10</v>
      </c>
      <c r="H45" s="18">
        <f t="shared" si="1"/>
        <v>10</v>
      </c>
      <c r="I45" s="1" t="str">
        <f>IF(COUNTIF('Catalogo CU'!$A$9:$A$500,A45)&lt;&gt;1,"Revisar ID",IF(COUNTIF($A$9:$A$500,A45)&lt;&gt;1,"Revisar duplicado",INDEX('Catalogo CU'!$M$9:$M$500,MATCH(A45,'Catalogo CU'!$A$9:$A$500,0))))</f>
        <v>Válido</v>
      </c>
    </row>
    <row r="46" spans="1:9" ht="34.049999999999997" customHeight="1">
      <c r="A46" s="1" t="s">
        <v>238</v>
      </c>
      <c r="B46" s="10" t="str">
        <f>INDEX('Catalogo CU'!$D$9:$D$500,MATCH(A46,'Catalogo CU'!$A$9:$A$500,0))</f>
        <v>Controlar cuenta de envases retornables</v>
      </c>
      <c r="C46" s="1" t="str">
        <f>INDEX('Catalogo CU'!$C$9:$C$500,MATCH(A46,'Catalogo CU'!$A$9:$A$500,0))</f>
        <v>E1</v>
      </c>
      <c r="D46" s="18">
        <f>INDEX('Catalogo CU'!$G$9:$G$500,MATCH(A46,'Catalogo CU'!$A$9:$A$500,0))</f>
        <v>1</v>
      </c>
      <c r="E46" s="18">
        <f>INDEX('Catalogo CU'!$J$9:$J$500,MATCH(A46,'Catalogo CU'!$A$9:$A$500,0))</f>
        <v>4</v>
      </c>
      <c r="F46" s="18" t="str">
        <f>IF(D46=0,"Excluido",IF(I46&lt;&gt;"Válido","Revisar",IF(E46&lt;='Criterios y fuentes'!$F$25,"Simple",IF(E46&lt;='Criterios y fuentes'!$F$26,"Medio","Complejo"))))</f>
        <v>Medio</v>
      </c>
      <c r="G46" s="18">
        <f>IF(F46="Excluido",0,IF(F46="Simple",'Criterios y fuentes'!$G$25,IF(F46="Medio",'Criterios y fuentes'!$G$26,IF(F46="Complejo",'Criterios y fuentes'!$G$27,"Revisar"))))</f>
        <v>10</v>
      </c>
      <c r="H46" s="18">
        <f t="shared" si="1"/>
        <v>10</v>
      </c>
      <c r="I46" s="1" t="str">
        <f>IF(COUNTIF('Catalogo CU'!$A$9:$A$500,A46)&lt;&gt;1,"Revisar ID",IF(COUNTIF($A$9:$A$500,A46)&lt;&gt;1,"Revisar duplicado",INDEX('Catalogo CU'!$M$9:$M$500,MATCH(A46,'Catalogo CU'!$A$9:$A$500,0))))</f>
        <v>Válido</v>
      </c>
    </row>
    <row r="47" spans="1:9" ht="34.049999999999997" customHeight="1">
      <c r="A47" s="1" t="s">
        <v>243</v>
      </c>
      <c r="B47" s="10" t="str">
        <f>INDEX('Catalogo CU'!$D$9:$D$500,MATCH(A47,'Catalogo CU'!$A$9:$A$500,0))</f>
        <v>Registrar merma por lote</v>
      </c>
      <c r="C47" s="1" t="str">
        <f>INDEX('Catalogo CU'!$C$9:$C$500,MATCH(A47,'Catalogo CU'!$A$9:$A$500,0))</f>
        <v>E1</v>
      </c>
      <c r="D47" s="18">
        <f>INDEX('Catalogo CU'!$G$9:$G$500,MATCH(A47,'Catalogo CU'!$A$9:$A$500,0))</f>
        <v>1</v>
      </c>
      <c r="E47" s="18">
        <f>INDEX('Catalogo CU'!$J$9:$J$500,MATCH(A47,'Catalogo CU'!$A$9:$A$500,0))</f>
        <v>4</v>
      </c>
      <c r="F47" s="18" t="str">
        <f>IF(D47=0,"Excluido",IF(I47&lt;&gt;"Válido","Revisar",IF(E47&lt;='Criterios y fuentes'!$F$25,"Simple",IF(E47&lt;='Criterios y fuentes'!$F$26,"Medio","Complejo"))))</f>
        <v>Medio</v>
      </c>
      <c r="G47" s="18">
        <f>IF(F47="Excluido",0,IF(F47="Simple",'Criterios y fuentes'!$G$25,IF(F47="Medio",'Criterios y fuentes'!$G$26,IF(F47="Complejo",'Criterios y fuentes'!$G$27,"Revisar"))))</f>
        <v>10</v>
      </c>
      <c r="H47" s="18">
        <f t="shared" si="1"/>
        <v>10</v>
      </c>
      <c r="I47" s="1" t="str">
        <f>IF(COUNTIF('Catalogo CU'!$A$9:$A$500,A47)&lt;&gt;1,"Revisar ID",IF(COUNTIF($A$9:$A$500,A47)&lt;&gt;1,"Revisar duplicado",INDEX('Catalogo CU'!$M$9:$M$500,MATCH(A47,'Catalogo CU'!$A$9:$A$500,0))))</f>
        <v>Válido</v>
      </c>
    </row>
    <row r="48" spans="1:9" ht="34.049999999999997" customHeight="1">
      <c r="A48" s="1" t="s">
        <v>248</v>
      </c>
      <c r="B48" s="10" t="str">
        <f>INDEX('Catalogo CU'!$D$9:$D$500,MATCH(A48,'Catalogo CU'!$A$9:$A$500,0))</f>
        <v>Consultar trazabilidad bidireccional de lote</v>
      </c>
      <c r="C48" s="1" t="str">
        <f>INDEX('Catalogo CU'!$C$9:$C$500,MATCH(A48,'Catalogo CU'!$A$9:$A$500,0))</f>
        <v>E1</v>
      </c>
      <c r="D48" s="18">
        <f>INDEX('Catalogo CU'!$G$9:$G$500,MATCH(A48,'Catalogo CU'!$A$9:$A$500,0))</f>
        <v>1</v>
      </c>
      <c r="E48" s="18">
        <f>INDEX('Catalogo CU'!$J$9:$J$500,MATCH(A48,'Catalogo CU'!$A$9:$A$500,0))</f>
        <v>4</v>
      </c>
      <c r="F48" s="18" t="str">
        <f>IF(D48=0,"Excluido",IF(I48&lt;&gt;"Válido","Revisar",IF(E48&lt;='Criterios y fuentes'!$F$25,"Simple",IF(E48&lt;='Criterios y fuentes'!$F$26,"Medio","Complejo"))))</f>
        <v>Medio</v>
      </c>
      <c r="G48" s="18">
        <f>IF(F48="Excluido",0,IF(F48="Simple",'Criterios y fuentes'!$G$25,IF(F48="Medio",'Criterios y fuentes'!$G$26,IF(F48="Complejo",'Criterios y fuentes'!$G$27,"Revisar"))))</f>
        <v>10</v>
      </c>
      <c r="H48" s="18">
        <f t="shared" si="1"/>
        <v>10</v>
      </c>
      <c r="I48" s="1" t="str">
        <f>IF(COUNTIF('Catalogo CU'!$A$9:$A$500,A48)&lt;&gt;1,"Revisar ID",IF(COUNTIF($A$9:$A$500,A48)&lt;&gt;1,"Revisar duplicado",INDEX('Catalogo CU'!$M$9:$M$500,MATCH(A48,'Catalogo CU'!$A$9:$A$500,0))))</f>
        <v>Válido</v>
      </c>
    </row>
    <row r="49" spans="1:9" ht="34.049999999999997" customHeight="1">
      <c r="A49" s="1" t="s">
        <v>254</v>
      </c>
      <c r="B49" s="10" t="str">
        <f>INDEX('Catalogo CU'!$D$9:$D$500,MATCH(A49,'Catalogo CU'!$A$9:$A$500,0))</f>
        <v>Coordinar retiro sanitario de lote</v>
      </c>
      <c r="C49" s="1" t="str">
        <f>INDEX('Catalogo CU'!$C$9:$C$500,MATCH(A49,'Catalogo CU'!$A$9:$A$500,0))</f>
        <v>E1</v>
      </c>
      <c r="D49" s="18">
        <f>INDEX('Catalogo CU'!$G$9:$G$500,MATCH(A49,'Catalogo CU'!$A$9:$A$500,0))</f>
        <v>1</v>
      </c>
      <c r="E49" s="18">
        <f>INDEX('Catalogo CU'!$J$9:$J$500,MATCH(A49,'Catalogo CU'!$A$9:$A$500,0))</f>
        <v>6</v>
      </c>
      <c r="F49" s="18" t="str">
        <f>IF(D49=0,"Excluido",IF(I49&lt;&gt;"Válido","Revisar",IF(E49&lt;='Criterios y fuentes'!$F$25,"Simple",IF(E49&lt;='Criterios y fuentes'!$F$26,"Medio","Complejo"))))</f>
        <v>Medio</v>
      </c>
      <c r="G49" s="18">
        <f>IF(F49="Excluido",0,IF(F49="Simple",'Criterios y fuentes'!$G$25,IF(F49="Medio",'Criterios y fuentes'!$G$26,IF(F49="Complejo",'Criterios y fuentes'!$G$27,"Revisar"))))</f>
        <v>10</v>
      </c>
      <c r="H49" s="18">
        <f t="shared" si="1"/>
        <v>10</v>
      </c>
      <c r="I49" s="1" t="str">
        <f>IF(COUNTIF('Catalogo CU'!$A$9:$A$500,A49)&lt;&gt;1,"Revisar ID",IF(COUNTIF($A$9:$A$500,A49)&lt;&gt;1,"Revisar duplicado",INDEX('Catalogo CU'!$M$9:$M$500,MATCH(A49,'Catalogo CU'!$A$9:$A$500,0))))</f>
        <v>Válido</v>
      </c>
    </row>
    <row r="50" spans="1:9" ht="34.049999999999997" customHeight="1">
      <c r="A50" s="1" t="s">
        <v>259</v>
      </c>
      <c r="B50" s="10" t="str">
        <f>INDEX('Catalogo CU'!$D$9:$D$500,MATCH(A50,'Catalogo CU'!$A$9:$A$500,0))</f>
        <v>Recibir lecturas de cadena de frío</v>
      </c>
      <c r="C50" s="1" t="str">
        <f>INDEX('Catalogo CU'!$C$9:$C$500,MATCH(A50,'Catalogo CU'!$A$9:$A$500,0))</f>
        <v>E1</v>
      </c>
      <c r="D50" s="18">
        <f>INDEX('Catalogo CU'!$G$9:$G$500,MATCH(A50,'Catalogo CU'!$A$9:$A$500,0))</f>
        <v>1</v>
      </c>
      <c r="E50" s="18">
        <f>INDEX('Catalogo CU'!$J$9:$J$500,MATCH(A50,'Catalogo CU'!$A$9:$A$500,0))</f>
        <v>1</v>
      </c>
      <c r="F50" s="18" t="str">
        <f>IF(D50=0,"Excluido",IF(I50&lt;&gt;"Válido","Revisar",IF(E50&lt;='Criterios y fuentes'!$F$25,"Simple",IF(E50&lt;='Criterios y fuentes'!$F$26,"Medio","Complejo"))))</f>
        <v>Simple</v>
      </c>
      <c r="G50" s="18">
        <f>IF(F50="Excluido",0,IF(F50="Simple",'Criterios y fuentes'!$G$25,IF(F50="Medio",'Criterios y fuentes'!$G$26,IF(F50="Complejo",'Criterios y fuentes'!$G$27,"Revisar"))))</f>
        <v>5</v>
      </c>
      <c r="H50" s="18">
        <f t="shared" si="1"/>
        <v>5</v>
      </c>
      <c r="I50" s="1" t="str">
        <f>IF(COUNTIF('Catalogo CU'!$A$9:$A$500,A50)&lt;&gt;1,"Revisar ID",IF(COUNTIF($A$9:$A$500,A50)&lt;&gt;1,"Revisar duplicado",INDEX('Catalogo CU'!$M$9:$M$500,MATCH(A50,'Catalogo CU'!$A$9:$A$500,0))))</f>
        <v>Válido</v>
      </c>
    </row>
    <row r="51" spans="1:9" ht="34.049999999999997" customHeight="1">
      <c r="A51" s="1" t="s">
        <v>264</v>
      </c>
      <c r="B51" s="10" t="str">
        <f>INDEX('Catalogo CU'!$D$9:$D$500,MATCH(A51,'Catalogo CU'!$A$9:$A$500,0))</f>
        <v>Parametrizar reglas y manifiesto térmico</v>
      </c>
      <c r="C51" s="1" t="str">
        <f>INDEX('Catalogo CU'!$C$9:$C$500,MATCH(A51,'Catalogo CU'!$A$9:$A$500,0))</f>
        <v>E1</v>
      </c>
      <c r="D51" s="18">
        <f>INDEX('Catalogo CU'!$G$9:$G$500,MATCH(A51,'Catalogo CU'!$A$9:$A$500,0))</f>
        <v>1</v>
      </c>
      <c r="E51" s="18">
        <f>INDEX('Catalogo CU'!$J$9:$J$500,MATCH(A51,'Catalogo CU'!$A$9:$A$500,0))</f>
        <v>6</v>
      </c>
      <c r="F51" s="18" t="str">
        <f>IF(D51=0,"Excluido",IF(I51&lt;&gt;"Válido","Revisar",IF(E51&lt;='Criterios y fuentes'!$F$25,"Simple",IF(E51&lt;='Criterios y fuentes'!$F$26,"Medio","Complejo"))))</f>
        <v>Medio</v>
      </c>
      <c r="G51" s="18">
        <f>IF(F51="Excluido",0,IF(F51="Simple",'Criterios y fuentes'!$G$25,IF(F51="Medio",'Criterios y fuentes'!$G$26,IF(F51="Complejo",'Criterios y fuentes'!$G$27,"Revisar"))))</f>
        <v>10</v>
      </c>
      <c r="H51" s="18">
        <f t="shared" si="1"/>
        <v>10</v>
      </c>
      <c r="I51" s="1" t="str">
        <f>IF(COUNTIF('Catalogo CU'!$A$9:$A$500,A51)&lt;&gt;1,"Revisar ID",IF(COUNTIF($A$9:$A$500,A51)&lt;&gt;1,"Revisar duplicado",INDEX('Catalogo CU'!$M$9:$M$500,MATCH(A51,'Catalogo CU'!$A$9:$A$500,0))))</f>
        <v>Válido</v>
      </c>
    </row>
    <row r="52" spans="1:9" ht="34.049999999999997" customHeight="1">
      <c r="A52" s="1" t="s">
        <v>268</v>
      </c>
      <c r="B52" s="10" t="str">
        <f>INDEX('Catalogo CU'!$D$9:$D$500,MATCH(A52,'Catalogo CU'!$A$9:$A$500,0))</f>
        <v>Atender excursión y retención térmica</v>
      </c>
      <c r="C52" s="1" t="str">
        <f>INDEX('Catalogo CU'!$C$9:$C$500,MATCH(A52,'Catalogo CU'!$A$9:$A$500,0))</f>
        <v>E1</v>
      </c>
      <c r="D52" s="18">
        <f>INDEX('Catalogo CU'!$G$9:$G$500,MATCH(A52,'Catalogo CU'!$A$9:$A$500,0))</f>
        <v>1</v>
      </c>
      <c r="E52" s="18">
        <f>INDEX('Catalogo CU'!$J$9:$J$500,MATCH(A52,'Catalogo CU'!$A$9:$A$500,0))</f>
        <v>5</v>
      </c>
      <c r="F52" s="18" t="str">
        <f>IF(D52=0,"Excluido",IF(I52&lt;&gt;"Válido","Revisar",IF(E52&lt;='Criterios y fuentes'!$F$25,"Simple",IF(E52&lt;='Criterios y fuentes'!$F$26,"Medio","Complejo"))))</f>
        <v>Medio</v>
      </c>
      <c r="G52" s="18">
        <f>IF(F52="Excluido",0,IF(F52="Simple",'Criterios y fuentes'!$G$25,IF(F52="Medio",'Criterios y fuentes'!$G$26,IF(F52="Complejo",'Criterios y fuentes'!$G$27,"Revisar"))))</f>
        <v>10</v>
      </c>
      <c r="H52" s="18">
        <f t="shared" si="1"/>
        <v>10</v>
      </c>
      <c r="I52" s="1" t="str">
        <f>IF(COUNTIF('Catalogo CU'!$A$9:$A$500,A52)&lt;&gt;1,"Revisar ID",IF(COUNTIF($A$9:$A$500,A52)&lt;&gt;1,"Revisar duplicado",INDEX('Catalogo CU'!$M$9:$M$500,MATCH(A52,'Catalogo CU'!$A$9:$A$500,0))))</f>
        <v>Válido</v>
      </c>
    </row>
    <row r="53" spans="1:9" ht="34.049999999999997" customHeight="1">
      <c r="A53" s="1" t="s">
        <v>273</v>
      </c>
      <c r="B53" s="10" t="str">
        <f>INDEX('Catalogo CU'!$D$9:$D$500,MATCH(A53,'Catalogo CU'!$A$9:$A$500,0))</f>
        <v>Resolver disposición sanitaria del producto</v>
      </c>
      <c r="C53" s="1" t="str">
        <f>INDEX('Catalogo CU'!$C$9:$C$500,MATCH(A53,'Catalogo CU'!$A$9:$A$500,0))</f>
        <v>E1</v>
      </c>
      <c r="D53" s="18">
        <f>INDEX('Catalogo CU'!$G$9:$G$500,MATCH(A53,'Catalogo CU'!$A$9:$A$500,0))</f>
        <v>1</v>
      </c>
      <c r="E53" s="18">
        <f>INDEX('Catalogo CU'!$J$9:$J$500,MATCH(A53,'Catalogo CU'!$A$9:$A$500,0))</f>
        <v>5</v>
      </c>
      <c r="F53" s="18" t="str">
        <f>IF(D53=0,"Excluido",IF(I53&lt;&gt;"Válido","Revisar",IF(E53&lt;='Criterios y fuentes'!$F$25,"Simple",IF(E53&lt;='Criterios y fuentes'!$F$26,"Medio","Complejo"))))</f>
        <v>Medio</v>
      </c>
      <c r="G53" s="18">
        <f>IF(F53="Excluido",0,IF(F53="Simple",'Criterios y fuentes'!$G$25,IF(F53="Medio",'Criterios y fuentes'!$G$26,IF(F53="Complejo",'Criterios y fuentes'!$G$27,"Revisar"))))</f>
        <v>10</v>
      </c>
      <c r="H53" s="18">
        <f t="shared" si="1"/>
        <v>10</v>
      </c>
      <c r="I53" s="1" t="str">
        <f>IF(COUNTIF('Catalogo CU'!$A$9:$A$500,A53)&lt;&gt;1,"Revisar ID",IF(COUNTIF($A$9:$A$500,A53)&lt;&gt;1,"Revisar duplicado",INDEX('Catalogo CU'!$M$9:$M$500,MATCH(A53,'Catalogo CU'!$A$9:$A$500,0))))</f>
        <v>Válido</v>
      </c>
    </row>
    <row r="54" spans="1:9" ht="34.049999999999997" customHeight="1">
      <c r="A54" s="1" t="s">
        <v>278</v>
      </c>
      <c r="B54" s="10" t="str">
        <f>INDEX('Catalogo CU'!$D$9:$D$500,MATCH(A54,'Catalogo CU'!$A$9:$A$500,0))</f>
        <v>Emitir evidencia de cadena de frío</v>
      </c>
      <c r="C54" s="1" t="str">
        <f>INDEX('Catalogo CU'!$C$9:$C$500,MATCH(A54,'Catalogo CU'!$A$9:$A$500,0))</f>
        <v>E1</v>
      </c>
      <c r="D54" s="18">
        <f>INDEX('Catalogo CU'!$G$9:$G$500,MATCH(A54,'Catalogo CU'!$A$9:$A$500,0))</f>
        <v>1</v>
      </c>
      <c r="E54" s="18">
        <f>INDEX('Catalogo CU'!$J$9:$J$500,MATCH(A54,'Catalogo CU'!$A$9:$A$500,0))</f>
        <v>3</v>
      </c>
      <c r="F54" s="18" t="str">
        <f>IF(D54=0,"Excluido",IF(I54&lt;&gt;"Válido","Revisar",IF(E54&lt;='Criterios y fuentes'!$F$25,"Simple",IF(E54&lt;='Criterios y fuentes'!$F$26,"Medio","Complejo"))))</f>
        <v>Simple</v>
      </c>
      <c r="G54" s="18">
        <f>IF(F54="Excluido",0,IF(F54="Simple",'Criterios y fuentes'!$G$25,IF(F54="Medio",'Criterios y fuentes'!$G$26,IF(F54="Complejo",'Criterios y fuentes'!$G$27,"Revisar"))))</f>
        <v>5</v>
      </c>
      <c r="H54" s="18">
        <f t="shared" si="1"/>
        <v>5</v>
      </c>
      <c r="I54" s="1" t="str">
        <f>IF(COUNTIF('Catalogo CU'!$A$9:$A$500,A54)&lt;&gt;1,"Revisar ID",IF(COUNTIF($A$9:$A$500,A54)&lt;&gt;1,"Revisar duplicado",INDEX('Catalogo CU'!$M$9:$M$500,MATCH(A54,'Catalogo CU'!$A$9:$A$500,0))))</f>
        <v>Válido</v>
      </c>
    </row>
    <row r="55" spans="1:9" ht="34.049999999999997" customHeight="1">
      <c r="A55" s="1" t="s">
        <v>282</v>
      </c>
      <c r="B55" s="10" t="str">
        <f>INDEX('Catalogo CU'!$D$9:$D$500,MATCH(A55,'Catalogo CU'!$A$9:$A$500,0))</f>
        <v>Consultar indicadores operacionales</v>
      </c>
      <c r="C55" s="1" t="str">
        <f>INDEX('Catalogo CU'!$C$9:$C$500,MATCH(A55,'Catalogo CU'!$A$9:$A$500,0))</f>
        <v>E1</v>
      </c>
      <c r="D55" s="18">
        <f>INDEX('Catalogo CU'!$G$9:$G$500,MATCH(A55,'Catalogo CU'!$A$9:$A$500,0))</f>
        <v>1</v>
      </c>
      <c r="E55" s="18">
        <f>INDEX('Catalogo CU'!$J$9:$J$500,MATCH(A55,'Catalogo CU'!$A$9:$A$500,0))</f>
        <v>4</v>
      </c>
      <c r="F55" s="18" t="str">
        <f>IF(D55=0,"Excluido",IF(I55&lt;&gt;"Válido","Revisar",IF(E55&lt;='Criterios y fuentes'!$F$25,"Simple",IF(E55&lt;='Criterios y fuentes'!$F$26,"Medio","Complejo"))))</f>
        <v>Medio</v>
      </c>
      <c r="G55" s="18">
        <f>IF(F55="Excluido",0,IF(F55="Simple",'Criterios y fuentes'!$G$25,IF(F55="Medio",'Criterios y fuentes'!$G$26,IF(F55="Complejo",'Criterios y fuentes'!$G$27,"Revisar"))))</f>
        <v>10</v>
      </c>
      <c r="H55" s="18">
        <f t="shared" si="1"/>
        <v>10</v>
      </c>
      <c r="I55" s="1" t="str">
        <f>IF(COUNTIF('Catalogo CU'!$A$9:$A$500,A55)&lt;&gt;1,"Revisar ID",IF(COUNTIF($A$9:$A$500,A55)&lt;&gt;1,"Revisar duplicado",INDEX('Catalogo CU'!$M$9:$M$500,MATCH(A55,'Catalogo CU'!$A$9:$A$500,0))))</f>
        <v>Válido</v>
      </c>
    </row>
    <row r="56" spans="1:9" ht="34.049999999999997" customHeight="1">
      <c r="A56" s="1" t="s">
        <v>288</v>
      </c>
      <c r="B56" s="10" t="str">
        <f>INDEX('Catalogo CU'!$D$9:$D$500,MATCH(A56,'Catalogo CU'!$A$9:$A$500,0))</f>
        <v>Calcular y revisar costo de servir</v>
      </c>
      <c r="C56" s="1" t="str">
        <f>INDEX('Catalogo CU'!$C$9:$C$500,MATCH(A56,'Catalogo CU'!$A$9:$A$500,0))</f>
        <v>E2</v>
      </c>
      <c r="D56" s="18">
        <f>INDEX('Catalogo CU'!$G$9:$G$500,MATCH(A56,'Catalogo CU'!$A$9:$A$500,0))</f>
        <v>1</v>
      </c>
      <c r="E56" s="18">
        <f>INDEX('Catalogo CU'!$J$9:$J$500,MATCH(A56,'Catalogo CU'!$A$9:$A$500,0))</f>
        <v>5</v>
      </c>
      <c r="F56" s="18" t="str">
        <f>IF(D56=0,"Excluido",IF(I56&lt;&gt;"Válido","Revisar",IF(E56&lt;='Criterios y fuentes'!$F$25,"Simple",IF(E56&lt;='Criterios y fuentes'!$F$26,"Medio","Complejo"))))</f>
        <v>Medio</v>
      </c>
      <c r="G56" s="18">
        <f>IF(F56="Excluido",0,IF(F56="Simple",'Criterios y fuentes'!$G$25,IF(F56="Medio",'Criterios y fuentes'!$G$26,IF(F56="Complejo",'Criterios y fuentes'!$G$27,"Revisar"))))</f>
        <v>10</v>
      </c>
      <c r="H56" s="18">
        <f t="shared" si="1"/>
        <v>10</v>
      </c>
      <c r="I56" s="1" t="str">
        <f>IF(COUNTIF('Catalogo CU'!$A$9:$A$500,A56)&lt;&gt;1,"Revisar ID",IF(COUNTIF($A$9:$A$500,A56)&lt;&gt;1,"Revisar duplicado",INDEX('Catalogo CU'!$M$9:$M$500,MATCH(A56,'Catalogo CU'!$A$9:$A$500,0))))</f>
        <v>Válido</v>
      </c>
    </row>
    <row r="57" spans="1:9" ht="34.049999999999997" customHeight="1">
      <c r="A57" s="1" t="s">
        <v>293</v>
      </c>
      <c r="B57" s="10" t="str">
        <f>INDEX('Catalogo CU'!$D$9:$D$500,MATCH(A57,'Catalogo CU'!$A$9:$A$500,0))</f>
        <v>Analizar rentabilidad de clientes</v>
      </c>
      <c r="C57" s="1" t="str">
        <f>INDEX('Catalogo CU'!$C$9:$C$500,MATCH(A57,'Catalogo CU'!$A$9:$A$500,0))</f>
        <v>E2</v>
      </c>
      <c r="D57" s="18">
        <f>INDEX('Catalogo CU'!$G$9:$G$500,MATCH(A57,'Catalogo CU'!$A$9:$A$500,0))</f>
        <v>1</v>
      </c>
      <c r="E57" s="18">
        <f>INDEX('Catalogo CU'!$J$9:$J$500,MATCH(A57,'Catalogo CU'!$A$9:$A$500,0))</f>
        <v>4</v>
      </c>
      <c r="F57" s="18" t="str">
        <f>IF(D57=0,"Excluido",IF(I57&lt;&gt;"Válido","Revisar",IF(E57&lt;='Criterios y fuentes'!$F$25,"Simple",IF(E57&lt;='Criterios y fuentes'!$F$26,"Medio","Complejo"))))</f>
        <v>Medio</v>
      </c>
      <c r="G57" s="18">
        <f>IF(F57="Excluido",0,IF(F57="Simple",'Criterios y fuentes'!$G$25,IF(F57="Medio",'Criterios y fuentes'!$G$26,IF(F57="Complejo",'Criterios y fuentes'!$G$27,"Revisar"))))</f>
        <v>10</v>
      </c>
      <c r="H57" s="18">
        <f t="shared" si="1"/>
        <v>10</v>
      </c>
      <c r="I57" s="1" t="str">
        <f>IF(COUNTIF('Catalogo CU'!$A$9:$A$500,A57)&lt;&gt;1,"Revisar ID",IF(COUNTIF($A$9:$A$500,A57)&lt;&gt;1,"Revisar duplicado",INDEX('Catalogo CU'!$M$9:$M$500,MATCH(A57,'Catalogo CU'!$A$9:$A$500,0))))</f>
        <v>Válido</v>
      </c>
    </row>
    <row r="58" spans="1:9" ht="34.049999999999997" customHeight="1">
      <c r="A58" s="1" t="s">
        <v>297</v>
      </c>
      <c r="B58" s="10" t="str">
        <f>INDEX('Catalogo CU'!$D$9:$D$500,MATCH(A58,'Catalogo CU'!$A$9:$A$500,0))</f>
        <v>Programar y distribuir reportes ejecutivos</v>
      </c>
      <c r="C58" s="1" t="str">
        <f>INDEX('Catalogo CU'!$C$9:$C$500,MATCH(A58,'Catalogo CU'!$A$9:$A$500,0))</f>
        <v>E2</v>
      </c>
      <c r="D58" s="18">
        <f>INDEX('Catalogo CU'!$G$9:$G$500,MATCH(A58,'Catalogo CU'!$A$9:$A$500,0))</f>
        <v>1</v>
      </c>
      <c r="E58" s="18">
        <f>INDEX('Catalogo CU'!$J$9:$J$500,MATCH(A58,'Catalogo CU'!$A$9:$A$500,0))</f>
        <v>4</v>
      </c>
      <c r="F58" s="18" t="str">
        <f>IF(D58=0,"Excluido",IF(I58&lt;&gt;"Válido","Revisar",IF(E58&lt;='Criterios y fuentes'!$F$25,"Simple",IF(E58&lt;='Criterios y fuentes'!$F$26,"Medio","Complejo"))))</f>
        <v>Medio</v>
      </c>
      <c r="G58" s="18">
        <f>IF(F58="Excluido",0,IF(F58="Simple",'Criterios y fuentes'!$G$25,IF(F58="Medio",'Criterios y fuentes'!$G$26,IF(F58="Complejo",'Criterios y fuentes'!$G$27,"Revisar"))))</f>
        <v>10</v>
      </c>
      <c r="H58" s="18">
        <f t="shared" si="1"/>
        <v>10</v>
      </c>
      <c r="I58" s="1" t="str">
        <f>IF(COUNTIF('Catalogo CU'!$A$9:$A$500,A58)&lt;&gt;1,"Revisar ID",IF(COUNTIF($A$9:$A$500,A58)&lt;&gt;1,"Revisar duplicado",INDEX('Catalogo CU'!$M$9:$M$500,MATCH(A58,'Catalogo CU'!$A$9:$A$500,0))))</f>
        <v>Válido</v>
      </c>
    </row>
    <row r="59" spans="1:9" ht="34.049999999999997" customHeight="1">
      <c r="A59" s="1" t="s">
        <v>302</v>
      </c>
      <c r="B59" s="10" t="str">
        <f>INDEX('Catalogo CU'!$D$9:$D$500,MATCH(A59,'Catalogo CU'!$A$9:$A$500,0))</f>
        <v>Supervisar tablero de operación</v>
      </c>
      <c r="C59" s="1" t="str">
        <f>INDEX('Catalogo CU'!$C$9:$C$500,MATCH(A59,'Catalogo CU'!$A$9:$A$500,0))</f>
        <v>E1</v>
      </c>
      <c r="D59" s="18">
        <f>INDEX('Catalogo CU'!$G$9:$G$500,MATCH(A59,'Catalogo CU'!$A$9:$A$500,0))</f>
        <v>1</v>
      </c>
      <c r="E59" s="18">
        <f>INDEX('Catalogo CU'!$J$9:$J$500,MATCH(A59,'Catalogo CU'!$A$9:$A$500,0))</f>
        <v>3</v>
      </c>
      <c r="F59" s="18" t="str">
        <f>IF(D59=0,"Excluido",IF(I59&lt;&gt;"Válido","Revisar",IF(E59&lt;='Criterios y fuentes'!$F$25,"Simple",IF(E59&lt;='Criterios y fuentes'!$F$26,"Medio","Complejo"))))</f>
        <v>Simple</v>
      </c>
      <c r="G59" s="18">
        <f>IF(F59="Excluido",0,IF(F59="Simple",'Criterios y fuentes'!$G$25,IF(F59="Medio",'Criterios y fuentes'!$G$26,IF(F59="Complejo",'Criterios y fuentes'!$G$27,"Revisar"))))</f>
        <v>5</v>
      </c>
      <c r="H59" s="18">
        <f t="shared" si="1"/>
        <v>5</v>
      </c>
      <c r="I59" s="1" t="str">
        <f>IF(COUNTIF('Catalogo CU'!$A$9:$A$500,A59)&lt;&gt;1,"Revisar ID",IF(COUNTIF($A$9:$A$500,A59)&lt;&gt;1,"Revisar duplicado",INDEX('Catalogo CU'!$M$9:$M$500,MATCH(A59,'Catalogo CU'!$A$9:$A$500,0))))</f>
        <v>Válido</v>
      </c>
    </row>
    <row r="60" spans="1:9" ht="34.049999999999997" customHeight="1">
      <c r="A60" s="1" t="s">
        <v>307</v>
      </c>
      <c r="B60" s="10" t="str">
        <f>INDEX('Catalogo CU'!$D$9:$D$500,MATCH(A60,'Catalogo CU'!$A$9:$A$500,0))</f>
        <v>Recibir y responder pedido electrónico EDI</v>
      </c>
      <c r="C60" s="1" t="str">
        <f>INDEX('Catalogo CU'!$C$9:$C$500,MATCH(A60,'Catalogo CU'!$A$9:$A$500,0))</f>
        <v>E2</v>
      </c>
      <c r="D60" s="18">
        <f>INDEX('Catalogo CU'!$G$9:$G$500,MATCH(A60,'Catalogo CU'!$A$9:$A$500,0))</f>
        <v>1</v>
      </c>
      <c r="E60" s="18">
        <f>INDEX('Catalogo CU'!$J$9:$J$500,MATCH(A60,'Catalogo CU'!$A$9:$A$500,0))</f>
        <v>2</v>
      </c>
      <c r="F60" s="18" t="str">
        <f>IF(D60=0,"Excluido",IF(I60&lt;&gt;"Válido","Revisar",IF(E60&lt;='Criterios y fuentes'!$F$25,"Simple",IF(E60&lt;='Criterios y fuentes'!$F$26,"Medio","Complejo"))))</f>
        <v>Simple</v>
      </c>
      <c r="G60" s="18">
        <f>IF(F60="Excluido",0,IF(F60="Simple",'Criterios y fuentes'!$G$25,IF(F60="Medio",'Criterios y fuentes'!$G$26,IF(F60="Complejo",'Criterios y fuentes'!$G$27,"Revisar"))))</f>
        <v>5</v>
      </c>
      <c r="H60" s="18">
        <f t="shared" si="1"/>
        <v>5</v>
      </c>
      <c r="I60" s="1" t="str">
        <f>IF(COUNTIF('Catalogo CU'!$A$9:$A$500,A60)&lt;&gt;1,"Revisar ID",IF(COUNTIF($A$9:$A$500,A60)&lt;&gt;1,"Revisar duplicado",INDEX('Catalogo CU'!$M$9:$M$500,MATCH(A60,'Catalogo CU'!$A$9:$A$500,0))))</f>
        <v>Válido</v>
      </c>
    </row>
    <row r="61" spans="1:9" ht="34.049999999999997" customHeight="1">
      <c r="A61" s="1" t="s">
        <v>313</v>
      </c>
      <c r="B61" s="10" t="str">
        <f>INDEX('Catalogo CU'!$D$9:$D$500,MATCH(A61,'Catalogo CU'!$A$9:$A$500,0))</f>
        <v>Resolver excepción de pedido EDI</v>
      </c>
      <c r="C61" s="1" t="str">
        <f>INDEX('Catalogo CU'!$C$9:$C$500,MATCH(A61,'Catalogo CU'!$A$9:$A$500,0))</f>
        <v>E2</v>
      </c>
      <c r="D61" s="18">
        <f>INDEX('Catalogo CU'!$G$9:$G$500,MATCH(A61,'Catalogo CU'!$A$9:$A$500,0))</f>
        <v>1</v>
      </c>
      <c r="E61" s="18">
        <f>INDEX('Catalogo CU'!$J$9:$J$500,MATCH(A61,'Catalogo CU'!$A$9:$A$500,0))</f>
        <v>4</v>
      </c>
      <c r="F61" s="18" t="str">
        <f>IF(D61=0,"Excluido",IF(I61&lt;&gt;"Válido","Revisar",IF(E61&lt;='Criterios y fuentes'!$F$25,"Simple",IF(E61&lt;='Criterios y fuentes'!$F$26,"Medio","Complejo"))))</f>
        <v>Medio</v>
      </c>
      <c r="G61" s="18">
        <f>IF(F61="Excluido",0,IF(F61="Simple",'Criterios y fuentes'!$G$25,IF(F61="Medio",'Criterios y fuentes'!$G$26,IF(F61="Complejo",'Criterios y fuentes'!$G$27,"Revisar"))))</f>
        <v>10</v>
      </c>
      <c r="H61" s="18">
        <f t="shared" si="1"/>
        <v>10</v>
      </c>
      <c r="I61" s="1" t="str">
        <f>IF(COUNTIF('Catalogo CU'!$A$9:$A$500,A61)&lt;&gt;1,"Revisar ID",IF(COUNTIF($A$9:$A$500,A61)&lt;&gt;1,"Revisar duplicado",INDEX('Catalogo CU'!$M$9:$M$500,MATCH(A61,'Catalogo CU'!$A$9:$A$500,0))))</f>
        <v>Válido</v>
      </c>
    </row>
    <row r="62" spans="1:9" ht="34.049999999999997" customHeight="1">
      <c r="A62" s="1" t="s">
        <v>318</v>
      </c>
      <c r="B62" s="10" t="str">
        <f>INDEX('Catalogo CU'!$D$9:$D$500,MATCH(A62,'Catalogo CU'!$A$9:$A$500,0))</f>
        <v>Mantener perfil y equivalencias por cadena</v>
      </c>
      <c r="C62" s="1" t="str">
        <f>INDEX('Catalogo CU'!$C$9:$C$500,MATCH(A62,'Catalogo CU'!$A$9:$A$500,0))</f>
        <v>E2</v>
      </c>
      <c r="D62" s="18">
        <f>INDEX('Catalogo CU'!$G$9:$G$500,MATCH(A62,'Catalogo CU'!$A$9:$A$500,0))</f>
        <v>1</v>
      </c>
      <c r="E62" s="18">
        <f>INDEX('Catalogo CU'!$J$9:$J$500,MATCH(A62,'Catalogo CU'!$A$9:$A$500,0))</f>
        <v>5</v>
      </c>
      <c r="F62" s="18" t="str">
        <f>IF(D62=0,"Excluido",IF(I62&lt;&gt;"Válido","Revisar",IF(E62&lt;='Criterios y fuentes'!$F$25,"Simple",IF(E62&lt;='Criterios y fuentes'!$F$26,"Medio","Complejo"))))</f>
        <v>Medio</v>
      </c>
      <c r="G62" s="18">
        <f>IF(F62="Excluido",0,IF(F62="Simple",'Criterios y fuentes'!$G$25,IF(F62="Medio",'Criterios y fuentes'!$G$26,IF(F62="Complejo",'Criterios y fuentes'!$G$27,"Revisar"))))</f>
        <v>10</v>
      </c>
      <c r="H62" s="18">
        <f t="shared" si="1"/>
        <v>10</v>
      </c>
      <c r="I62" s="1" t="str">
        <f>IF(COUNTIF('Catalogo CU'!$A$9:$A$500,A62)&lt;&gt;1,"Revisar ID",IF(COUNTIF($A$9:$A$500,A62)&lt;&gt;1,"Revisar duplicado",INDEX('Catalogo CU'!$M$9:$M$500,MATCH(A62,'Catalogo CU'!$A$9:$A$500,0))))</f>
        <v>Válido</v>
      </c>
    </row>
    <row r="63" spans="1:9" ht="34.049999999999997" customHeight="1">
      <c r="A63" s="1" t="s">
        <v>322</v>
      </c>
      <c r="B63" s="10" t="str">
        <f>INDEX('Catalogo CU'!$D$9:$D$500,MATCH(A63,'Catalogo CU'!$A$9:$A$500,0))</f>
        <v>Intercambiar ASN y acuse digital con cadena</v>
      </c>
      <c r="C63" s="1" t="str">
        <f>INDEX('Catalogo CU'!$C$9:$C$500,MATCH(A63,'Catalogo CU'!$A$9:$A$500,0))</f>
        <v>E2</v>
      </c>
      <c r="D63" s="18">
        <f>INDEX('Catalogo CU'!$G$9:$G$500,MATCH(A63,'Catalogo CU'!$A$9:$A$500,0))</f>
        <v>1</v>
      </c>
      <c r="E63" s="18">
        <f>INDEX('Catalogo CU'!$J$9:$J$500,MATCH(A63,'Catalogo CU'!$A$9:$A$500,0))</f>
        <v>3</v>
      </c>
      <c r="F63" s="18" t="str">
        <f>IF(D63=0,"Excluido",IF(I63&lt;&gt;"Válido","Revisar",IF(E63&lt;='Criterios y fuentes'!$F$25,"Simple",IF(E63&lt;='Criterios y fuentes'!$F$26,"Medio","Complejo"))))</f>
        <v>Simple</v>
      </c>
      <c r="G63" s="18">
        <f>IF(F63="Excluido",0,IF(F63="Simple",'Criterios y fuentes'!$G$25,IF(F63="Medio",'Criterios y fuentes'!$G$26,IF(F63="Complejo",'Criterios y fuentes'!$G$27,"Revisar"))))</f>
        <v>5</v>
      </c>
      <c r="H63" s="18">
        <f t="shared" si="1"/>
        <v>5</v>
      </c>
      <c r="I63" s="1" t="str">
        <f>IF(COUNTIF('Catalogo CU'!$A$9:$A$500,A63)&lt;&gt;1,"Revisar ID",IF(COUNTIF($A$9:$A$500,A63)&lt;&gt;1,"Revisar duplicado",INDEX('Catalogo CU'!$M$9:$M$500,MATCH(A63,'Catalogo CU'!$A$9:$A$500,0))))</f>
        <v>Válido</v>
      </c>
    </row>
    <row r="64" spans="1:9" ht="34.049999999999997" customHeight="1">
      <c r="A64" s="1" t="s">
        <v>326</v>
      </c>
      <c r="B64" s="10" t="str">
        <f>INDEX('Catalogo CU'!$D$9:$D$500,MATCH(A64,'Catalogo CU'!$A$9:$A$500,0))</f>
        <v>Consultar catálogo público y contacto</v>
      </c>
      <c r="C64" s="1" t="str">
        <f>INDEX('Catalogo CU'!$C$9:$C$500,MATCH(A64,'Catalogo CU'!$A$9:$A$500,0))</f>
        <v>E2</v>
      </c>
      <c r="D64" s="18">
        <f>INDEX('Catalogo CU'!$G$9:$G$500,MATCH(A64,'Catalogo CU'!$A$9:$A$500,0))</f>
        <v>1</v>
      </c>
      <c r="E64" s="18">
        <f>INDEX('Catalogo CU'!$J$9:$J$500,MATCH(A64,'Catalogo CU'!$A$9:$A$500,0))</f>
        <v>3</v>
      </c>
      <c r="F64" s="18" t="str">
        <f>IF(D64=0,"Excluido",IF(I64&lt;&gt;"Válido","Revisar",IF(E64&lt;='Criterios y fuentes'!$F$25,"Simple",IF(E64&lt;='Criterios y fuentes'!$F$26,"Medio","Complejo"))))</f>
        <v>Simple</v>
      </c>
      <c r="G64" s="18">
        <f>IF(F64="Excluido",0,IF(F64="Simple",'Criterios y fuentes'!$G$25,IF(F64="Medio",'Criterios y fuentes'!$G$26,IF(F64="Complejo",'Criterios y fuentes'!$G$27,"Revisar"))))</f>
        <v>5</v>
      </c>
      <c r="H64" s="18">
        <f t="shared" si="1"/>
        <v>5</v>
      </c>
      <c r="I64" s="1" t="str">
        <f>IF(COUNTIF('Catalogo CU'!$A$9:$A$500,A64)&lt;&gt;1,"Revisar ID",IF(COUNTIF($A$9:$A$500,A64)&lt;&gt;1,"Revisar duplicado",INDEX('Catalogo CU'!$M$9:$M$500,MATCH(A64,'Catalogo CU'!$A$9:$A$500,0))))</f>
        <v>Válido</v>
      </c>
    </row>
    <row r="65" spans="1:9" ht="34.049999999999997" customHeight="1">
      <c r="A65" s="1" t="s">
        <v>330</v>
      </c>
      <c r="B65" s="10" t="str">
        <f>INDEX('Catalogo CU'!$D$9:$D$500,MATCH(A65,'Catalogo CU'!$A$9:$A$500,0))</f>
        <v>Generar pedido en autoservicio</v>
      </c>
      <c r="C65" s="1" t="str">
        <f>INDEX('Catalogo CU'!$C$9:$C$500,MATCH(A65,'Catalogo CU'!$A$9:$A$500,0))</f>
        <v>E2</v>
      </c>
      <c r="D65" s="18">
        <f>INDEX('Catalogo CU'!$G$9:$G$500,MATCH(A65,'Catalogo CU'!$A$9:$A$500,0))</f>
        <v>1</v>
      </c>
      <c r="E65" s="18">
        <f>INDEX('Catalogo CU'!$J$9:$J$500,MATCH(A65,'Catalogo CU'!$A$9:$A$500,0))</f>
        <v>6</v>
      </c>
      <c r="F65" s="18" t="str">
        <f>IF(D65=0,"Excluido",IF(I65&lt;&gt;"Válido","Revisar",IF(E65&lt;='Criterios y fuentes'!$F$25,"Simple",IF(E65&lt;='Criterios y fuentes'!$F$26,"Medio","Complejo"))))</f>
        <v>Medio</v>
      </c>
      <c r="G65" s="18">
        <f>IF(F65="Excluido",0,IF(F65="Simple",'Criterios y fuentes'!$G$25,IF(F65="Medio",'Criterios y fuentes'!$G$26,IF(F65="Complejo",'Criterios y fuentes'!$G$27,"Revisar"))))</f>
        <v>10</v>
      </c>
      <c r="H65" s="18">
        <f t="shared" si="1"/>
        <v>10</v>
      </c>
      <c r="I65" s="1" t="str">
        <f>IF(COUNTIF('Catalogo CU'!$A$9:$A$500,A65)&lt;&gt;1,"Revisar ID",IF(COUNTIF($A$9:$A$500,A65)&lt;&gt;1,"Revisar duplicado",INDEX('Catalogo CU'!$M$9:$M$500,MATCH(A65,'Catalogo CU'!$A$9:$A$500,0))))</f>
        <v>Válido</v>
      </c>
    </row>
    <row r="66" spans="1:9" ht="34.049999999999997" customHeight="1">
      <c r="A66" s="1" t="s">
        <v>334</v>
      </c>
      <c r="B66" s="10" t="str">
        <f>INDEX('Catalogo CU'!$D$9:$D$500,MATCH(A66,'Catalogo CU'!$A$9:$A$500,0))</f>
        <v>Consultar entregas y documentos propios</v>
      </c>
      <c r="C66" s="1" t="str">
        <f>INDEX('Catalogo CU'!$C$9:$C$500,MATCH(A66,'Catalogo CU'!$A$9:$A$500,0))</f>
        <v>E2</v>
      </c>
      <c r="D66" s="18">
        <f>INDEX('Catalogo CU'!$G$9:$G$500,MATCH(A66,'Catalogo CU'!$A$9:$A$500,0))</f>
        <v>1</v>
      </c>
      <c r="E66" s="18">
        <f>INDEX('Catalogo CU'!$J$9:$J$500,MATCH(A66,'Catalogo CU'!$A$9:$A$500,0))</f>
        <v>4</v>
      </c>
      <c r="F66" s="18" t="str">
        <f>IF(D66=0,"Excluido",IF(I66&lt;&gt;"Válido","Revisar",IF(E66&lt;='Criterios y fuentes'!$F$25,"Simple",IF(E66&lt;='Criterios y fuentes'!$F$26,"Medio","Complejo"))))</f>
        <v>Medio</v>
      </c>
      <c r="G66" s="18">
        <f>IF(F66="Excluido",0,IF(F66="Simple",'Criterios y fuentes'!$G$25,IF(F66="Medio",'Criterios y fuentes'!$G$26,IF(F66="Complejo",'Criterios y fuentes'!$G$27,"Revisar"))))</f>
        <v>10</v>
      </c>
      <c r="H66" s="18">
        <f t="shared" si="1"/>
        <v>10</v>
      </c>
      <c r="I66" s="1" t="str">
        <f>IF(COUNTIF('Catalogo CU'!$A$9:$A$500,A66)&lt;&gt;1,"Revisar ID",IF(COUNTIF($A$9:$A$500,A66)&lt;&gt;1,"Revisar duplicado",INDEX('Catalogo CU'!$M$9:$M$500,MATCH(A66,'Catalogo CU'!$A$9:$A$500,0))))</f>
        <v>Válido</v>
      </c>
    </row>
    <row r="67" spans="1:9" ht="34.049999999999997" customHeight="1">
      <c r="A67" s="1" t="s">
        <v>338</v>
      </c>
      <c r="B67" s="10" t="str">
        <f>INDEX('Catalogo CU'!$D$9:$D$500,MATCH(A67,'Catalogo CU'!$A$9:$A$500,0))</f>
        <v>Consultar estado de cuenta propio</v>
      </c>
      <c r="C67" s="1" t="str">
        <f>INDEX('Catalogo CU'!$C$9:$C$500,MATCH(A67,'Catalogo CU'!$A$9:$A$500,0))</f>
        <v>E2</v>
      </c>
      <c r="D67" s="18">
        <f>INDEX('Catalogo CU'!$G$9:$G$500,MATCH(A67,'Catalogo CU'!$A$9:$A$500,0))</f>
        <v>1</v>
      </c>
      <c r="E67" s="18">
        <f>INDEX('Catalogo CU'!$J$9:$J$500,MATCH(A67,'Catalogo CU'!$A$9:$A$500,0))</f>
        <v>3</v>
      </c>
      <c r="F67" s="18" t="str">
        <f>IF(D67=0,"Excluido",IF(I67&lt;&gt;"Válido","Revisar",IF(E67&lt;='Criterios y fuentes'!$F$25,"Simple",IF(E67&lt;='Criterios y fuentes'!$F$26,"Medio","Complejo"))))</f>
        <v>Simple</v>
      </c>
      <c r="G67" s="18">
        <f>IF(F67="Excluido",0,IF(F67="Simple",'Criterios y fuentes'!$G$25,IF(F67="Medio",'Criterios y fuentes'!$G$26,IF(F67="Complejo",'Criterios y fuentes'!$G$27,"Revisar"))))</f>
        <v>5</v>
      </c>
      <c r="H67" s="18">
        <f t="shared" si="1"/>
        <v>5</v>
      </c>
      <c r="I67" s="1" t="str">
        <f>IF(COUNTIF('Catalogo CU'!$A$9:$A$500,A67)&lt;&gt;1,"Revisar ID",IF(COUNTIF($A$9:$A$500,A67)&lt;&gt;1,"Revisar duplicado",INDEX('Catalogo CU'!$M$9:$M$500,MATCH(A67,'Catalogo CU'!$A$9:$A$500,0))))</f>
        <v>Válido</v>
      </c>
    </row>
    <row r="68" spans="1:9" ht="34.049999999999997" customHeight="1">
      <c r="A68" s="1" t="s">
        <v>342</v>
      </c>
      <c r="B68" s="10" t="str">
        <f>INDEX('Catalogo CU'!$D$9:$D$500,MATCH(A68,'Catalogo CU'!$A$9:$A$500,0))</f>
        <v>Gestionar asignación desde portal transportista</v>
      </c>
      <c r="C68" s="1" t="str">
        <f>INDEX('Catalogo CU'!$C$9:$C$500,MATCH(A68,'Catalogo CU'!$A$9:$A$500,0))</f>
        <v>E2</v>
      </c>
      <c r="D68" s="18">
        <f>INDEX('Catalogo CU'!$G$9:$G$500,MATCH(A68,'Catalogo CU'!$A$9:$A$500,0))</f>
        <v>1</v>
      </c>
      <c r="E68" s="18">
        <f>INDEX('Catalogo CU'!$J$9:$J$500,MATCH(A68,'Catalogo CU'!$A$9:$A$500,0))</f>
        <v>4</v>
      </c>
      <c r="F68" s="18" t="str">
        <f>IF(D68=0,"Excluido",IF(I68&lt;&gt;"Válido","Revisar",IF(E68&lt;='Criterios y fuentes'!$F$25,"Simple",IF(E68&lt;='Criterios y fuentes'!$F$26,"Medio","Complejo"))))</f>
        <v>Medio</v>
      </c>
      <c r="G68" s="18">
        <f>IF(F68="Excluido",0,IF(F68="Simple",'Criterios y fuentes'!$G$25,IF(F68="Medio",'Criterios y fuentes'!$G$26,IF(F68="Complejo",'Criterios y fuentes'!$G$27,"Revisar"))))</f>
        <v>10</v>
      </c>
      <c r="H68" s="18">
        <f t="shared" si="1"/>
        <v>10</v>
      </c>
      <c r="I68" s="1" t="str">
        <f>IF(COUNTIF('Catalogo CU'!$A$9:$A$500,A68)&lt;&gt;1,"Revisar ID",IF(COUNTIF($A$9:$A$500,A68)&lt;&gt;1,"Revisar duplicado",INDEX('Catalogo CU'!$M$9:$M$500,MATCH(A68,'Catalogo CU'!$A$9:$A$500,0))))</f>
        <v>Válido</v>
      </c>
    </row>
    <row r="69" spans="1:9" ht="34.049999999999997" customHeight="1">
      <c r="A69" s="1" t="s">
        <v>347</v>
      </c>
      <c r="B69" s="10" t="str">
        <f>INDEX('Catalogo CU'!$D$9:$D$500,MATCH(A69,'Catalogo CU'!$A$9:$A$500,0))</f>
        <v>Consultar operaciones desde portal proveedor</v>
      </c>
      <c r="C69" s="1" t="str">
        <f>INDEX('Catalogo CU'!$C$9:$C$500,MATCH(A69,'Catalogo CU'!$A$9:$A$500,0))</f>
        <v>E2</v>
      </c>
      <c r="D69" s="18">
        <f>INDEX('Catalogo CU'!$G$9:$G$500,MATCH(A69,'Catalogo CU'!$A$9:$A$500,0))</f>
        <v>1</v>
      </c>
      <c r="E69" s="18">
        <f>INDEX('Catalogo CU'!$J$9:$J$500,MATCH(A69,'Catalogo CU'!$A$9:$A$500,0))</f>
        <v>3</v>
      </c>
      <c r="F69" s="18" t="str">
        <f>IF(D69=0,"Excluido",IF(I69&lt;&gt;"Válido","Revisar",IF(E69&lt;='Criterios y fuentes'!$F$25,"Simple",IF(E69&lt;='Criterios y fuentes'!$F$26,"Medio","Complejo"))))</f>
        <v>Simple</v>
      </c>
      <c r="G69" s="18">
        <f>IF(F69="Excluido",0,IF(F69="Simple",'Criterios y fuentes'!$G$25,IF(F69="Medio",'Criterios y fuentes'!$G$26,IF(F69="Complejo",'Criterios y fuentes'!$G$27,"Revisar"))))</f>
        <v>5</v>
      </c>
      <c r="H69" s="18">
        <f t="shared" si="1"/>
        <v>5</v>
      </c>
      <c r="I69" s="1" t="str">
        <f>IF(COUNTIF('Catalogo CU'!$A$9:$A$500,A69)&lt;&gt;1,"Revisar ID",IF(COUNTIF($A$9:$A$500,A69)&lt;&gt;1,"Revisar duplicado",INDEX('Catalogo CU'!$M$9:$M$500,MATCH(A69,'Catalogo CU'!$A$9:$A$500,0))))</f>
        <v>Válido</v>
      </c>
    </row>
    <row r="70" spans="1:9" ht="34.049999999999997" customHeight="1">
      <c r="A70" s="1" t="s">
        <v>352</v>
      </c>
      <c r="B70" s="10" t="str">
        <f>INDEX('Catalogo CU'!$D$9:$D$500,MATCH(A70,'Catalogo CU'!$A$9:$A$500,0))</f>
        <v>Registrar cuenta externa habilitada</v>
      </c>
      <c r="C70" s="1" t="str">
        <f>INDEX('Catalogo CU'!$C$9:$C$500,MATCH(A70,'Catalogo CU'!$A$9:$A$500,0))</f>
        <v>E2</v>
      </c>
      <c r="D70" s="18">
        <f>INDEX('Catalogo CU'!$G$9:$G$500,MATCH(A70,'Catalogo CU'!$A$9:$A$500,0))</f>
        <v>1</v>
      </c>
      <c r="E70" s="18">
        <f>INDEX('Catalogo CU'!$J$9:$J$500,MATCH(A70,'Catalogo CU'!$A$9:$A$500,0))</f>
        <v>3</v>
      </c>
      <c r="F70" s="18" t="str">
        <f>IF(D70=0,"Excluido",IF(I70&lt;&gt;"Válido","Revisar",IF(E70&lt;='Criterios y fuentes'!$F$25,"Simple",IF(E70&lt;='Criterios y fuentes'!$F$26,"Medio","Complejo"))))</f>
        <v>Simple</v>
      </c>
      <c r="G70" s="18">
        <f>IF(F70="Excluido",0,IF(F70="Simple",'Criterios y fuentes'!$G$25,IF(F70="Medio",'Criterios y fuentes'!$G$26,IF(F70="Complejo",'Criterios y fuentes'!$G$27,"Revisar"))))</f>
        <v>5</v>
      </c>
      <c r="H70" s="18">
        <f t="shared" si="1"/>
        <v>5</v>
      </c>
      <c r="I70" s="1" t="str">
        <f>IF(COUNTIF('Catalogo CU'!$A$9:$A$500,A70)&lt;&gt;1,"Revisar ID",IF(COUNTIF($A$9:$A$500,A70)&lt;&gt;1,"Revisar duplicado",INDEX('Catalogo CU'!$M$9:$M$500,MATCH(A70,'Catalogo CU'!$A$9:$A$500,0))))</f>
        <v>Válido</v>
      </c>
    </row>
    <row r="71" spans="1:9" ht="34.049999999999997" customHeight="1">
      <c r="A71" s="1" t="s">
        <v>356</v>
      </c>
      <c r="B71" s="10" t="str">
        <f>INDEX('Catalogo CU'!$D$9:$D$500,MATCH(A71,'Catalogo CU'!$A$9:$A$500,0))</f>
        <v>Autenticarse y gestionar sesión común</v>
      </c>
      <c r="C71" s="1" t="str">
        <f>INDEX('Catalogo CU'!$C$9:$C$500,MATCH(A71,'Catalogo CU'!$A$9:$A$500,0))</f>
        <v>E1</v>
      </c>
      <c r="D71" s="18">
        <f>INDEX('Catalogo CU'!$G$9:$G$500,MATCH(A71,'Catalogo CU'!$A$9:$A$500,0))</f>
        <v>1</v>
      </c>
      <c r="E71" s="18">
        <f>INDEX('Catalogo CU'!$J$9:$J$500,MATCH(A71,'Catalogo CU'!$A$9:$A$500,0))</f>
        <v>4</v>
      </c>
      <c r="F71" s="18" t="str">
        <f>IF(D71=0,"Excluido",IF(I71&lt;&gt;"Válido","Revisar",IF(E71&lt;='Criterios y fuentes'!$F$25,"Simple",IF(E71&lt;='Criterios y fuentes'!$F$26,"Medio","Complejo"))))</f>
        <v>Medio</v>
      </c>
      <c r="G71" s="18">
        <f>IF(F71="Excluido",0,IF(F71="Simple",'Criterios y fuentes'!$G$25,IF(F71="Medio",'Criterios y fuentes'!$G$26,IF(F71="Complejo",'Criterios y fuentes'!$G$27,"Revisar"))))</f>
        <v>10</v>
      </c>
      <c r="H71" s="18">
        <f t="shared" si="1"/>
        <v>10</v>
      </c>
      <c r="I71" s="1" t="str">
        <f>IF(COUNTIF('Catalogo CU'!$A$9:$A$500,A71)&lt;&gt;1,"Revisar ID",IF(COUNTIF($A$9:$A$500,A71)&lt;&gt;1,"Revisar duplicado",INDEX('Catalogo CU'!$M$9:$M$500,MATCH(A71,'Catalogo CU'!$A$9:$A$500,0))))</f>
        <v>Válido</v>
      </c>
    </row>
    <row r="72" spans="1:9" ht="34.049999999999997" customHeight="1">
      <c r="A72" s="1" t="s">
        <v>361</v>
      </c>
      <c r="B72" s="10" t="str">
        <f>INDEX('Catalogo CU'!$D$9:$D$500,MATCH(A72,'Catalogo CU'!$A$9:$A$500,0))</f>
        <v>Recuperar contraseña de cuenta externa</v>
      </c>
      <c r="C72" s="1" t="str">
        <f>INDEX('Catalogo CU'!$C$9:$C$500,MATCH(A72,'Catalogo CU'!$A$9:$A$500,0))</f>
        <v>E2</v>
      </c>
      <c r="D72" s="18">
        <f>INDEX('Catalogo CU'!$G$9:$G$500,MATCH(A72,'Catalogo CU'!$A$9:$A$500,0))</f>
        <v>1</v>
      </c>
      <c r="E72" s="18">
        <f>INDEX('Catalogo CU'!$J$9:$J$500,MATCH(A72,'Catalogo CU'!$A$9:$A$500,0))</f>
        <v>3</v>
      </c>
      <c r="F72" s="18" t="str">
        <f>IF(D72=0,"Excluido",IF(I72&lt;&gt;"Válido","Revisar",IF(E72&lt;='Criterios y fuentes'!$F$25,"Simple",IF(E72&lt;='Criterios y fuentes'!$F$26,"Medio","Complejo"))))</f>
        <v>Simple</v>
      </c>
      <c r="G72" s="18">
        <f>IF(F72="Excluido",0,IF(F72="Simple",'Criterios y fuentes'!$G$25,IF(F72="Medio",'Criterios y fuentes'!$G$26,IF(F72="Complejo",'Criterios y fuentes'!$G$27,"Revisar"))))</f>
        <v>5</v>
      </c>
      <c r="H72" s="18">
        <f t="shared" si="1"/>
        <v>5</v>
      </c>
      <c r="I72" s="1" t="str">
        <f>IF(COUNTIF('Catalogo CU'!$A$9:$A$500,A72)&lt;&gt;1,"Revisar ID",IF(COUNTIF($A$9:$A$500,A72)&lt;&gt;1,"Revisar duplicado",INDEX('Catalogo CU'!$M$9:$M$500,MATCH(A72,'Catalogo CU'!$A$9:$A$500,0))))</f>
        <v>Válido</v>
      </c>
    </row>
    <row r="73" spans="1:9" ht="34.049999999999997" customHeight="1">
      <c r="A73" s="1" t="s">
        <v>366</v>
      </c>
      <c r="B73" s="10" t="str">
        <f>INDEX('Catalogo CU'!$D$9:$D$500,MATCH(A73,'Catalogo CU'!$A$9:$A$500,0))</f>
        <v>Pagar pedido de portal mediante pasarela</v>
      </c>
      <c r="C73" s="1" t="str">
        <f>INDEX('Catalogo CU'!$C$9:$C$500,MATCH(A73,'Catalogo CU'!$A$9:$A$500,0))</f>
        <v>E2</v>
      </c>
      <c r="D73" s="18">
        <f>INDEX('Catalogo CU'!$G$9:$G$500,MATCH(A73,'Catalogo CU'!$A$9:$A$500,0))</f>
        <v>1</v>
      </c>
      <c r="E73" s="18">
        <f>INDEX('Catalogo CU'!$J$9:$J$500,MATCH(A73,'Catalogo CU'!$A$9:$A$500,0))</f>
        <v>3</v>
      </c>
      <c r="F73" s="18" t="str">
        <f>IF(D73=0,"Excluido",IF(I73&lt;&gt;"Válido","Revisar",IF(E73&lt;='Criterios y fuentes'!$F$25,"Simple",IF(E73&lt;='Criterios y fuentes'!$F$26,"Medio","Complejo"))))</f>
        <v>Simple</v>
      </c>
      <c r="G73" s="18">
        <f>IF(F73="Excluido",0,IF(F73="Simple",'Criterios y fuentes'!$G$25,IF(F73="Medio",'Criterios y fuentes'!$G$26,IF(F73="Complejo",'Criterios y fuentes'!$G$27,"Revisar"))))</f>
        <v>5</v>
      </c>
      <c r="H73" s="18">
        <f t="shared" ref="H73:H104" si="2">IF(D73=0,0,IF(I73="Válido",D73*G73,"Revisar CU"))</f>
        <v>5</v>
      </c>
      <c r="I73" s="1" t="str">
        <f>IF(COUNTIF('Catalogo CU'!$A$9:$A$500,A73)&lt;&gt;1,"Revisar ID",IF(COUNTIF($A$9:$A$500,A73)&lt;&gt;1,"Revisar duplicado",INDEX('Catalogo CU'!$M$9:$M$500,MATCH(A73,'Catalogo CU'!$A$9:$A$500,0))))</f>
        <v>Válido</v>
      </c>
    </row>
    <row r="74" spans="1:9" ht="34.049999999999997" customHeight="1">
      <c r="A74" s="1" t="s">
        <v>371</v>
      </c>
      <c r="B74" s="10" t="str">
        <f>INDEX('Catalogo CU'!$D$9:$D$500,MATCH(A74,'Catalogo CU'!$A$9:$A$500,0))</f>
        <v>Incorporar telemetría de flota existente</v>
      </c>
      <c r="C74" s="1" t="str">
        <f>INDEX('Catalogo CU'!$C$9:$C$500,MATCH(A74,'Catalogo CU'!$A$9:$A$500,0))</f>
        <v>E1</v>
      </c>
      <c r="D74" s="18">
        <f>INDEX('Catalogo CU'!$G$9:$G$500,MATCH(A74,'Catalogo CU'!$A$9:$A$500,0))</f>
        <v>1</v>
      </c>
      <c r="E74" s="18">
        <f>INDEX('Catalogo CU'!$J$9:$J$500,MATCH(A74,'Catalogo CU'!$A$9:$A$500,0))</f>
        <v>1</v>
      </c>
      <c r="F74" s="18" t="str">
        <f>IF(D74=0,"Excluido",IF(I74&lt;&gt;"Válido","Revisar",IF(E74&lt;='Criterios y fuentes'!$F$25,"Simple",IF(E74&lt;='Criterios y fuentes'!$F$26,"Medio","Complejo"))))</f>
        <v>Simple</v>
      </c>
      <c r="G74" s="18">
        <f>IF(F74="Excluido",0,IF(F74="Simple",'Criterios y fuentes'!$G$25,IF(F74="Medio",'Criterios y fuentes'!$G$26,IF(F74="Complejo",'Criterios y fuentes'!$G$27,"Revisar"))))</f>
        <v>5</v>
      </c>
      <c r="H74" s="18">
        <f t="shared" si="2"/>
        <v>5</v>
      </c>
      <c r="I74" s="1" t="str">
        <f>IF(COUNTIF('Catalogo CU'!$A$9:$A$500,A74)&lt;&gt;1,"Revisar ID",IF(COUNTIF($A$9:$A$500,A74)&lt;&gt;1,"Revisar duplicado",INDEX('Catalogo CU'!$M$9:$M$500,MATCH(A74,'Catalogo CU'!$A$9:$A$500,0))))</f>
        <v>Válido</v>
      </c>
    </row>
    <row r="75" spans="1:9" ht="34.049999999999997" customHeight="1">
      <c r="A75" s="1" t="s">
        <v>377</v>
      </c>
      <c r="B75" s="10" t="str">
        <f>INDEX('Catalogo CU'!$D$9:$D$500,MATCH(A75,'Catalogo CU'!$A$9:$A$500,0))</f>
        <v>Supervisar ruta real y desvíos</v>
      </c>
      <c r="C75" s="1" t="str">
        <f>INDEX('Catalogo CU'!$C$9:$C$500,MATCH(A75,'Catalogo CU'!$A$9:$A$500,0))</f>
        <v>E1</v>
      </c>
      <c r="D75" s="18">
        <f>INDEX('Catalogo CU'!$G$9:$G$500,MATCH(A75,'Catalogo CU'!$A$9:$A$500,0))</f>
        <v>1</v>
      </c>
      <c r="E75" s="18">
        <f>INDEX('Catalogo CU'!$J$9:$J$500,MATCH(A75,'Catalogo CU'!$A$9:$A$500,0))</f>
        <v>4</v>
      </c>
      <c r="F75" s="18" t="str">
        <f>IF(D75=0,"Excluido",IF(I75&lt;&gt;"Válido","Revisar",IF(E75&lt;='Criterios y fuentes'!$F$25,"Simple",IF(E75&lt;='Criterios y fuentes'!$F$26,"Medio","Complejo"))))</f>
        <v>Medio</v>
      </c>
      <c r="G75" s="18">
        <f>IF(F75="Excluido",0,IF(F75="Simple",'Criterios y fuentes'!$G$25,IF(F75="Medio",'Criterios y fuentes'!$G$26,IF(F75="Complejo",'Criterios y fuentes'!$G$27,"Revisar"))))</f>
        <v>10</v>
      </c>
      <c r="H75" s="18">
        <f t="shared" si="2"/>
        <v>10</v>
      </c>
      <c r="I75" s="1" t="str">
        <f>IF(COUNTIF('Catalogo CU'!$A$9:$A$500,A75)&lt;&gt;1,"Revisar ID",IF(COUNTIF($A$9:$A$500,A75)&lt;&gt;1,"Revisar duplicado",INDEX('Catalogo CU'!$M$9:$M$500,MATCH(A75,'Catalogo CU'!$A$9:$A$500,0))))</f>
        <v>Válido</v>
      </c>
    </row>
    <row r="76" spans="1:9" ht="34.049999999999997" customHeight="1">
      <c r="A76" s="1" t="s">
        <v>381</v>
      </c>
      <c r="B76" s="10" t="str">
        <f>INDEX('Catalogo CU'!$D$9:$D$500,MATCH(A76,'Catalogo CU'!$A$9:$A$500,0))</f>
        <v>Mantener geocercas operacionales</v>
      </c>
      <c r="C76" s="1" t="str">
        <f>INDEX('Catalogo CU'!$C$9:$C$500,MATCH(A76,'Catalogo CU'!$A$9:$A$500,0))</f>
        <v>E1</v>
      </c>
      <c r="D76" s="18">
        <f>INDEX('Catalogo CU'!$G$9:$G$500,MATCH(A76,'Catalogo CU'!$A$9:$A$500,0))</f>
        <v>1</v>
      </c>
      <c r="E76" s="18">
        <f>INDEX('Catalogo CU'!$J$9:$J$500,MATCH(A76,'Catalogo CU'!$A$9:$A$500,0))</f>
        <v>3</v>
      </c>
      <c r="F76" s="18" t="str">
        <f>IF(D76=0,"Excluido",IF(I76&lt;&gt;"Válido","Revisar",IF(E76&lt;='Criterios y fuentes'!$F$25,"Simple",IF(E76&lt;='Criterios y fuentes'!$F$26,"Medio","Complejo"))))</f>
        <v>Simple</v>
      </c>
      <c r="G76" s="18">
        <f>IF(F76="Excluido",0,IF(F76="Simple",'Criterios y fuentes'!$G$25,IF(F76="Medio",'Criterios y fuentes'!$G$26,IF(F76="Complejo",'Criterios y fuentes'!$G$27,"Revisar"))))</f>
        <v>5</v>
      </c>
      <c r="H76" s="18">
        <f t="shared" si="2"/>
        <v>5</v>
      </c>
      <c r="I76" s="1" t="str">
        <f>IF(COUNTIF('Catalogo CU'!$A$9:$A$500,A76)&lt;&gt;1,"Revisar ID",IF(COUNTIF($A$9:$A$500,A76)&lt;&gt;1,"Revisar duplicado",INDEX('Catalogo CU'!$M$9:$M$500,MATCH(A76,'Catalogo CU'!$A$9:$A$500,0))))</f>
        <v>Válido</v>
      </c>
    </row>
    <row r="77" spans="1:9" ht="34.049999999999997" customHeight="1">
      <c r="A77" s="1" t="s">
        <v>385</v>
      </c>
      <c r="B77" s="10" t="str">
        <f>INDEX('Catalogo CU'!$D$9:$D$500,MATCH(A77,'Catalogo CU'!$A$9:$A$500,0))</f>
        <v>Revisar y aprobar sugerencia de reposición</v>
      </c>
      <c r="C77" s="1" t="str">
        <f>INDEX('Catalogo CU'!$C$9:$C$500,MATCH(A77,'Catalogo CU'!$A$9:$A$500,0))</f>
        <v>E1</v>
      </c>
      <c r="D77" s="18">
        <f>INDEX('Catalogo CU'!$G$9:$G$500,MATCH(A77,'Catalogo CU'!$A$9:$A$500,0))</f>
        <v>1</v>
      </c>
      <c r="E77" s="18">
        <f>INDEX('Catalogo CU'!$J$9:$J$500,MATCH(A77,'Catalogo CU'!$A$9:$A$500,0))</f>
        <v>6</v>
      </c>
      <c r="F77" s="18" t="str">
        <f>IF(D77=0,"Excluido",IF(I77&lt;&gt;"Válido","Revisar",IF(E77&lt;='Criterios y fuentes'!$F$25,"Simple",IF(E77&lt;='Criterios y fuentes'!$F$26,"Medio","Complejo"))))</f>
        <v>Medio</v>
      </c>
      <c r="G77" s="18">
        <f>IF(F77="Excluido",0,IF(F77="Simple",'Criterios y fuentes'!$G$25,IF(F77="Medio",'Criterios y fuentes'!$G$26,IF(F77="Complejo",'Criterios y fuentes'!$G$27,"Revisar"))))</f>
        <v>10</v>
      </c>
      <c r="H77" s="18">
        <f t="shared" si="2"/>
        <v>10</v>
      </c>
      <c r="I77" s="1" t="str">
        <f>IF(COUNTIF('Catalogo CU'!$A$9:$A$500,A77)&lt;&gt;1,"Revisar ID",IF(COUNTIF($A$9:$A$500,A77)&lt;&gt;1,"Revisar duplicado",INDEX('Catalogo CU'!$M$9:$M$500,MATCH(A77,'Catalogo CU'!$A$9:$A$500,0))))</f>
        <v>Válido</v>
      </c>
    </row>
    <row r="78" spans="1:9" ht="34.049999999999997" customHeight="1">
      <c r="A78" s="1" t="s">
        <v>390</v>
      </c>
      <c r="B78" s="10" t="str">
        <f>INDEX('Catalogo CU'!$D$9:$D$500,MATCH(A78,'Catalogo CU'!$A$9:$A$500,0))</f>
        <v>Administrar cuentas y ciclo de identidad</v>
      </c>
      <c r="C78" s="1" t="str">
        <f>INDEX('Catalogo CU'!$C$9:$C$500,MATCH(A78,'Catalogo CU'!$A$9:$A$500,0))</f>
        <v>E1</v>
      </c>
      <c r="D78" s="18">
        <f>INDEX('Catalogo CU'!$G$9:$G$500,MATCH(A78,'Catalogo CU'!$A$9:$A$500,0))</f>
        <v>1</v>
      </c>
      <c r="E78" s="18">
        <f>INDEX('Catalogo CU'!$J$9:$J$500,MATCH(A78,'Catalogo CU'!$A$9:$A$500,0))</f>
        <v>5</v>
      </c>
      <c r="F78" s="18" t="str">
        <f>IF(D78=0,"Excluido",IF(I78&lt;&gt;"Válido","Revisar",IF(E78&lt;='Criterios y fuentes'!$F$25,"Simple",IF(E78&lt;='Criterios y fuentes'!$F$26,"Medio","Complejo"))))</f>
        <v>Medio</v>
      </c>
      <c r="G78" s="18">
        <f>IF(F78="Excluido",0,IF(F78="Simple",'Criterios y fuentes'!$G$25,IF(F78="Medio",'Criterios y fuentes'!$G$26,IF(F78="Complejo",'Criterios y fuentes'!$G$27,"Revisar"))))</f>
        <v>10</v>
      </c>
      <c r="H78" s="18">
        <f t="shared" si="2"/>
        <v>10</v>
      </c>
      <c r="I78" s="1" t="str">
        <f>IF(COUNTIF('Catalogo CU'!$A$9:$A$500,A78)&lt;&gt;1,"Revisar ID",IF(COUNTIF($A$9:$A$500,A78)&lt;&gt;1,"Revisar duplicado",INDEX('Catalogo CU'!$M$9:$M$500,MATCH(A78,'Catalogo CU'!$A$9:$A$500,0))))</f>
        <v>Válido</v>
      </c>
    </row>
    <row r="79" spans="1:9" ht="34.049999999999997" customHeight="1">
      <c r="A79" s="1" t="s">
        <v>395</v>
      </c>
      <c r="B79" s="10" t="str">
        <f>INDEX('Catalogo CU'!$D$9:$D$500,MATCH(A79,'Catalogo CU'!$A$9:$A$500,0))</f>
        <v>Administrar roles y segregación de funciones</v>
      </c>
      <c r="C79" s="1" t="str">
        <f>INDEX('Catalogo CU'!$C$9:$C$500,MATCH(A79,'Catalogo CU'!$A$9:$A$500,0))</f>
        <v>E1</v>
      </c>
      <c r="D79" s="18">
        <f>INDEX('Catalogo CU'!$G$9:$G$500,MATCH(A79,'Catalogo CU'!$A$9:$A$500,0))</f>
        <v>1</v>
      </c>
      <c r="E79" s="18">
        <f>INDEX('Catalogo CU'!$J$9:$J$500,MATCH(A79,'Catalogo CU'!$A$9:$A$500,0))</f>
        <v>5</v>
      </c>
      <c r="F79" s="18" t="str">
        <f>IF(D79=0,"Excluido",IF(I79&lt;&gt;"Válido","Revisar",IF(E79&lt;='Criterios y fuentes'!$F$25,"Simple",IF(E79&lt;='Criterios y fuentes'!$F$26,"Medio","Complejo"))))</f>
        <v>Medio</v>
      </c>
      <c r="G79" s="18">
        <f>IF(F79="Excluido",0,IF(F79="Simple",'Criterios y fuentes'!$G$25,IF(F79="Medio",'Criterios y fuentes'!$G$26,IF(F79="Complejo",'Criterios y fuentes'!$G$27,"Revisar"))))</f>
        <v>10</v>
      </c>
      <c r="H79" s="18">
        <f t="shared" si="2"/>
        <v>10</v>
      </c>
      <c r="I79" s="1" t="str">
        <f>IF(COUNTIF('Catalogo CU'!$A$9:$A$500,A79)&lt;&gt;1,"Revisar ID",IF(COUNTIF($A$9:$A$500,A79)&lt;&gt;1,"Revisar duplicado",INDEX('Catalogo CU'!$M$9:$M$500,MATCH(A79,'Catalogo CU'!$A$9:$A$500,0))))</f>
        <v>Válido</v>
      </c>
    </row>
    <row r="80" spans="1:9" ht="34.049999999999997" customHeight="1">
      <c r="A80" s="1" t="s">
        <v>400</v>
      </c>
      <c r="B80" s="10" t="str">
        <f>INDEX('Catalogo CU'!$D$9:$D$500,MATCH(A80,'Catalogo CU'!$A$9:$A$500,0))</f>
        <v>Versionar parámetros con doble aprobación</v>
      </c>
      <c r="C80" s="1" t="str">
        <f>INDEX('Catalogo CU'!$C$9:$C$500,MATCH(A80,'Catalogo CU'!$A$9:$A$500,0))</f>
        <v>E1</v>
      </c>
      <c r="D80" s="18">
        <f>INDEX('Catalogo CU'!$G$9:$G$500,MATCH(A80,'Catalogo CU'!$A$9:$A$500,0))</f>
        <v>1</v>
      </c>
      <c r="E80" s="18">
        <f>INDEX('Catalogo CU'!$J$9:$J$500,MATCH(A80,'Catalogo CU'!$A$9:$A$500,0))</f>
        <v>5</v>
      </c>
      <c r="F80" s="18" t="str">
        <f>IF(D80=0,"Excluido",IF(I80&lt;&gt;"Válido","Revisar",IF(E80&lt;='Criterios y fuentes'!$F$25,"Simple",IF(E80&lt;='Criterios y fuentes'!$F$26,"Medio","Complejo"))))</f>
        <v>Medio</v>
      </c>
      <c r="G80" s="18">
        <f>IF(F80="Excluido",0,IF(F80="Simple",'Criterios y fuentes'!$G$25,IF(F80="Medio",'Criterios y fuentes'!$G$26,IF(F80="Complejo",'Criterios y fuentes'!$G$27,"Revisar"))))</f>
        <v>10</v>
      </c>
      <c r="H80" s="18">
        <f t="shared" si="2"/>
        <v>10</v>
      </c>
      <c r="I80" s="1" t="str">
        <f>IF(COUNTIF('Catalogo CU'!$A$9:$A$500,A80)&lt;&gt;1,"Revisar ID",IF(COUNTIF($A$9:$A$500,A80)&lt;&gt;1,"Revisar duplicado",INDEX('Catalogo CU'!$M$9:$M$500,MATCH(A80,'Catalogo CU'!$A$9:$A$500,0))))</f>
        <v>Válido</v>
      </c>
    </row>
    <row r="81" spans="1:9" ht="34.049999999999997" customHeight="1">
      <c r="A81" s="1" t="s">
        <v>405</v>
      </c>
      <c r="B81" s="10" t="str">
        <f>INDEX('Catalogo CU'!$D$9:$D$500,MATCH(A81,'Catalogo CU'!$A$9:$A$500,0))</f>
        <v>Consultar y exportar auditoría</v>
      </c>
      <c r="C81" s="1" t="str">
        <f>INDEX('Catalogo CU'!$C$9:$C$500,MATCH(A81,'Catalogo CU'!$A$9:$A$500,0))</f>
        <v>E1</v>
      </c>
      <c r="D81" s="18">
        <f>INDEX('Catalogo CU'!$G$9:$G$500,MATCH(A81,'Catalogo CU'!$A$9:$A$500,0))</f>
        <v>1</v>
      </c>
      <c r="E81" s="18">
        <f>INDEX('Catalogo CU'!$J$9:$J$500,MATCH(A81,'Catalogo CU'!$A$9:$A$500,0))</f>
        <v>3</v>
      </c>
      <c r="F81" s="18" t="str">
        <f>IF(D81=0,"Excluido",IF(I81&lt;&gt;"Válido","Revisar",IF(E81&lt;='Criterios y fuentes'!$F$25,"Simple",IF(E81&lt;='Criterios y fuentes'!$F$26,"Medio","Complejo"))))</f>
        <v>Simple</v>
      </c>
      <c r="G81" s="18">
        <f>IF(F81="Excluido",0,IF(F81="Simple",'Criterios y fuentes'!$G$25,IF(F81="Medio",'Criterios y fuentes'!$G$26,IF(F81="Complejo",'Criterios y fuentes'!$G$27,"Revisar"))))</f>
        <v>5</v>
      </c>
      <c r="H81" s="18">
        <f t="shared" si="2"/>
        <v>5</v>
      </c>
      <c r="I81" s="1" t="str">
        <f>IF(COUNTIF('Catalogo CU'!$A$9:$A$500,A81)&lt;&gt;1,"Revisar ID",IF(COUNTIF($A$9:$A$500,A81)&lt;&gt;1,"Revisar duplicado",INDEX('Catalogo CU'!$M$9:$M$500,MATCH(A81,'Catalogo CU'!$A$9:$A$500,0))))</f>
        <v>Válido</v>
      </c>
    </row>
    <row r="82" spans="1:9" ht="34.049999999999997" customHeight="1">
      <c r="A82" s="1" t="s">
        <v>409</v>
      </c>
      <c r="B82" s="10" t="str">
        <f>INDEX('Catalogo CU'!$D$9:$D$500,MATCH(A82,'Catalogo CU'!$A$9:$A$500,0))</f>
        <v>Configurar flujos de trabajo y delegación</v>
      </c>
      <c r="C82" s="1" t="str">
        <f>INDEX('Catalogo CU'!$C$9:$C$500,MATCH(A82,'Catalogo CU'!$A$9:$A$500,0))</f>
        <v>E1</v>
      </c>
      <c r="D82" s="18">
        <f>INDEX('Catalogo CU'!$G$9:$G$500,MATCH(A82,'Catalogo CU'!$A$9:$A$500,0))</f>
        <v>1</v>
      </c>
      <c r="E82" s="18">
        <f>INDEX('Catalogo CU'!$J$9:$J$500,MATCH(A82,'Catalogo CU'!$A$9:$A$500,0))</f>
        <v>5</v>
      </c>
      <c r="F82" s="18" t="str">
        <f>IF(D82=0,"Excluido",IF(I82&lt;&gt;"Válido","Revisar",IF(E82&lt;='Criterios y fuentes'!$F$25,"Simple",IF(E82&lt;='Criterios y fuentes'!$F$26,"Medio","Complejo"))))</f>
        <v>Medio</v>
      </c>
      <c r="G82" s="18">
        <f>IF(F82="Excluido",0,IF(F82="Simple",'Criterios y fuentes'!$G$25,IF(F82="Medio",'Criterios y fuentes'!$G$26,IF(F82="Complejo",'Criterios y fuentes'!$G$27,"Revisar"))))</f>
        <v>10</v>
      </c>
      <c r="H82" s="18">
        <f t="shared" si="2"/>
        <v>10</v>
      </c>
      <c r="I82" s="1" t="str">
        <f>IF(COUNTIF('Catalogo CU'!$A$9:$A$500,A82)&lt;&gt;1,"Revisar ID",IF(COUNTIF($A$9:$A$500,A82)&lt;&gt;1,"Revisar duplicado",INDEX('Catalogo CU'!$M$9:$M$500,MATCH(A82,'Catalogo CU'!$A$9:$A$500,0))))</f>
        <v>Válido</v>
      </c>
    </row>
    <row r="83" spans="1:9" ht="34.049999999999997" customHeight="1">
      <c r="A83" s="1" t="s">
        <v>413</v>
      </c>
      <c r="B83" s="10" t="str">
        <f>INDEX('Catalogo CU'!$D$9:$D$500,MATCH(A83,'Catalogo CU'!$A$9:$A$500,0))</f>
        <v>Gestionar tareas de bandeja unificada</v>
      </c>
      <c r="C83" s="1" t="str">
        <f>INDEX('Catalogo CU'!$C$9:$C$500,MATCH(A83,'Catalogo CU'!$A$9:$A$500,0))</f>
        <v>E1</v>
      </c>
      <c r="D83" s="18">
        <f>INDEX('Catalogo CU'!$G$9:$G$500,MATCH(A83,'Catalogo CU'!$A$9:$A$500,0))</f>
        <v>1</v>
      </c>
      <c r="E83" s="18">
        <f>INDEX('Catalogo CU'!$J$9:$J$500,MATCH(A83,'Catalogo CU'!$A$9:$A$500,0))</f>
        <v>4</v>
      </c>
      <c r="F83" s="18" t="str">
        <f>IF(D83=0,"Excluido",IF(I83&lt;&gt;"Válido","Revisar",IF(E83&lt;='Criterios y fuentes'!$F$25,"Simple",IF(E83&lt;='Criterios y fuentes'!$F$26,"Medio","Complejo"))))</f>
        <v>Medio</v>
      </c>
      <c r="G83" s="18">
        <f>IF(F83="Excluido",0,IF(F83="Simple",'Criterios y fuentes'!$G$25,IF(F83="Medio",'Criterios y fuentes'!$G$26,IF(F83="Complejo",'Criterios y fuentes'!$G$27,"Revisar"))))</f>
        <v>10</v>
      </c>
      <c r="H83" s="18">
        <f t="shared" si="2"/>
        <v>10</v>
      </c>
      <c r="I83" s="1" t="str">
        <f>IF(COUNTIF('Catalogo CU'!$A$9:$A$500,A83)&lt;&gt;1,"Revisar ID",IF(COUNTIF($A$9:$A$500,A83)&lt;&gt;1,"Revisar duplicado",INDEX('Catalogo CU'!$M$9:$M$500,MATCH(A83,'Catalogo CU'!$A$9:$A$500,0))))</f>
        <v>Válido</v>
      </c>
    </row>
    <row r="84" spans="1:9" ht="34.049999999999997" customHeight="1">
      <c r="A84" s="1" t="s">
        <v>418</v>
      </c>
      <c r="B84" s="10" t="str">
        <f>INDEX('Catalogo CU'!$D$9:$D$500,MATCH(A84,'Catalogo CU'!$A$9:$A$500,0))</f>
        <v>Gestionar documentos y versiones</v>
      </c>
      <c r="C84" s="1" t="str">
        <f>INDEX('Catalogo CU'!$C$9:$C$500,MATCH(A84,'Catalogo CU'!$A$9:$A$500,0))</f>
        <v>E1</v>
      </c>
      <c r="D84" s="18">
        <f>INDEX('Catalogo CU'!$G$9:$G$500,MATCH(A84,'Catalogo CU'!$A$9:$A$500,0))</f>
        <v>1</v>
      </c>
      <c r="E84" s="18">
        <f>INDEX('Catalogo CU'!$J$9:$J$500,MATCH(A84,'Catalogo CU'!$A$9:$A$500,0))</f>
        <v>5</v>
      </c>
      <c r="F84" s="18" t="str">
        <f>IF(D84=0,"Excluido",IF(I84&lt;&gt;"Válido","Revisar",IF(E84&lt;='Criterios y fuentes'!$F$25,"Simple",IF(E84&lt;='Criterios y fuentes'!$F$26,"Medio","Complejo"))))</f>
        <v>Medio</v>
      </c>
      <c r="G84" s="18">
        <f>IF(F84="Excluido",0,IF(F84="Simple",'Criterios y fuentes'!$G$25,IF(F84="Medio",'Criterios y fuentes'!$G$26,IF(F84="Complejo",'Criterios y fuentes'!$G$27,"Revisar"))))</f>
        <v>10</v>
      </c>
      <c r="H84" s="18">
        <f t="shared" si="2"/>
        <v>10</v>
      </c>
      <c r="I84" s="1" t="str">
        <f>IF(COUNTIF('Catalogo CU'!$A$9:$A$500,A84)&lt;&gt;1,"Revisar ID",IF(COUNTIF($A$9:$A$500,A84)&lt;&gt;1,"Revisar duplicado",INDEX('Catalogo CU'!$M$9:$M$500,MATCH(A84,'Catalogo CU'!$A$9:$A$500,0))))</f>
        <v>Válido</v>
      </c>
    </row>
    <row r="85" spans="1:9" ht="34.049999999999997" customHeight="1">
      <c r="A85" s="1" t="s">
        <v>423</v>
      </c>
      <c r="B85" s="10" t="str">
        <f>INDEX('Catalogo CU'!$D$9:$D$500,MATCH(A85,'Catalogo CU'!$A$9:$A$500,0))</f>
        <v>Administrar plantillas y generar documentos</v>
      </c>
      <c r="C85" s="1" t="str">
        <f>INDEX('Catalogo CU'!$C$9:$C$500,MATCH(A85,'Catalogo CU'!$A$9:$A$500,0))</f>
        <v>E1</v>
      </c>
      <c r="D85" s="18">
        <f>INDEX('Catalogo CU'!$G$9:$G$500,MATCH(A85,'Catalogo CU'!$A$9:$A$500,0))</f>
        <v>1</v>
      </c>
      <c r="E85" s="18">
        <f>INDEX('Catalogo CU'!$J$9:$J$500,MATCH(A85,'Catalogo CU'!$A$9:$A$500,0))</f>
        <v>4</v>
      </c>
      <c r="F85" s="18" t="str">
        <f>IF(D85=0,"Excluido",IF(I85&lt;&gt;"Válido","Revisar",IF(E85&lt;='Criterios y fuentes'!$F$25,"Simple",IF(E85&lt;='Criterios y fuentes'!$F$26,"Medio","Complejo"))))</f>
        <v>Medio</v>
      </c>
      <c r="G85" s="18">
        <f>IF(F85="Excluido",0,IF(F85="Simple",'Criterios y fuentes'!$G$25,IF(F85="Medio",'Criterios y fuentes'!$G$26,IF(F85="Complejo",'Criterios y fuentes'!$G$27,"Revisar"))))</f>
        <v>10</v>
      </c>
      <c r="H85" s="18">
        <f t="shared" si="2"/>
        <v>10</v>
      </c>
      <c r="I85" s="1" t="str">
        <f>IF(COUNTIF('Catalogo CU'!$A$9:$A$500,A85)&lt;&gt;1,"Revisar ID",IF(COUNTIF($A$9:$A$500,A85)&lt;&gt;1,"Revisar duplicado",INDEX('Catalogo CU'!$M$9:$M$500,MATCH(A85,'Catalogo CU'!$A$9:$A$500,0))))</f>
        <v>Válido</v>
      </c>
    </row>
    <row r="86" spans="1:9" ht="34.049999999999997" customHeight="1">
      <c r="A86" s="1" t="s">
        <v>427</v>
      </c>
      <c r="B86" s="10" t="str">
        <f>INDEX('Catalogo CU'!$D$9:$D$500,MATCH(A86,'Catalogo CU'!$A$9:$A$500,0))</f>
        <v>Configurar preferencias y baja comercial</v>
      </c>
      <c r="C86" s="1" t="str">
        <f>INDEX('Catalogo CU'!$C$9:$C$500,MATCH(A86,'Catalogo CU'!$A$9:$A$500,0))</f>
        <v>E1</v>
      </c>
      <c r="D86" s="18">
        <f>INDEX('Catalogo CU'!$G$9:$G$500,MATCH(A86,'Catalogo CU'!$A$9:$A$500,0))</f>
        <v>1</v>
      </c>
      <c r="E86" s="18">
        <f>INDEX('Catalogo CU'!$J$9:$J$500,MATCH(A86,'Catalogo CU'!$A$9:$A$500,0))</f>
        <v>3</v>
      </c>
      <c r="F86" s="18" t="str">
        <f>IF(D86=0,"Excluido",IF(I86&lt;&gt;"Válido","Revisar",IF(E86&lt;='Criterios y fuentes'!$F$25,"Simple",IF(E86&lt;='Criterios y fuentes'!$F$26,"Medio","Complejo"))))</f>
        <v>Simple</v>
      </c>
      <c r="G86" s="18">
        <f>IF(F86="Excluido",0,IF(F86="Simple",'Criterios y fuentes'!$G$25,IF(F86="Medio",'Criterios y fuentes'!$G$26,IF(F86="Complejo",'Criterios y fuentes'!$G$27,"Revisar"))))</f>
        <v>5</v>
      </c>
      <c r="H86" s="18">
        <f t="shared" si="2"/>
        <v>5</v>
      </c>
      <c r="I86" s="1" t="str">
        <f>IF(COUNTIF('Catalogo CU'!$A$9:$A$500,A86)&lt;&gt;1,"Revisar ID",IF(COUNTIF($A$9:$A$500,A86)&lt;&gt;1,"Revisar duplicado",INDEX('Catalogo CU'!$M$9:$M$500,MATCH(A86,'Catalogo CU'!$A$9:$A$500,0))))</f>
        <v>Válido</v>
      </c>
    </row>
    <row r="87" spans="1:9" ht="34.049999999999997" customHeight="1">
      <c r="A87" s="1" t="s">
        <v>432</v>
      </c>
      <c r="B87" s="10" t="str">
        <f>INDEX('Catalogo CU'!$D$9:$D$500,MATCH(A87,'Catalogo CU'!$A$9:$A$500,0))</f>
        <v>Configurar notificaciones multicanal</v>
      </c>
      <c r="C87" s="1" t="str">
        <f>INDEX('Catalogo CU'!$C$9:$C$500,MATCH(A87,'Catalogo CU'!$A$9:$A$500,0))</f>
        <v>E1</v>
      </c>
      <c r="D87" s="18">
        <f>INDEX('Catalogo CU'!$G$9:$G$500,MATCH(A87,'Catalogo CU'!$A$9:$A$500,0))</f>
        <v>1</v>
      </c>
      <c r="E87" s="18">
        <f>INDEX('Catalogo CU'!$J$9:$J$500,MATCH(A87,'Catalogo CU'!$A$9:$A$500,0))</f>
        <v>5</v>
      </c>
      <c r="F87" s="18" t="str">
        <f>IF(D87=0,"Excluido",IF(I87&lt;&gt;"Válido","Revisar",IF(E87&lt;='Criterios y fuentes'!$F$25,"Simple",IF(E87&lt;='Criterios y fuentes'!$F$26,"Medio","Complejo"))))</f>
        <v>Medio</v>
      </c>
      <c r="G87" s="18">
        <f>IF(F87="Excluido",0,IF(F87="Simple",'Criterios y fuentes'!$G$25,IF(F87="Medio",'Criterios y fuentes'!$G$26,IF(F87="Complejo",'Criterios y fuentes'!$G$27,"Revisar"))))</f>
        <v>10</v>
      </c>
      <c r="H87" s="18">
        <f t="shared" si="2"/>
        <v>10</v>
      </c>
      <c r="I87" s="1" t="str">
        <f>IF(COUNTIF('Catalogo CU'!$A$9:$A$500,A87)&lt;&gt;1,"Revisar ID",IF(COUNTIF($A$9:$A$500,A87)&lt;&gt;1,"Revisar duplicado",INDEX('Catalogo CU'!$M$9:$M$500,MATCH(A87,'Catalogo CU'!$A$9:$A$500,0))))</f>
        <v>Válido</v>
      </c>
    </row>
    <row r="88" spans="1:9" ht="34.049999999999997" customHeight="1">
      <c r="A88" s="1" t="s">
        <v>436</v>
      </c>
      <c r="B88" s="10" t="str">
        <f>INDEX('Catalogo CU'!$D$9:$D$500,MATCH(A88,'Catalogo CU'!$A$9:$A$500,0))</f>
        <v>Intercambiar notificaciones y estados de entrega</v>
      </c>
      <c r="C88" s="1" t="str">
        <f>INDEX('Catalogo CU'!$C$9:$C$500,MATCH(A88,'Catalogo CU'!$A$9:$A$500,0))</f>
        <v>E1</v>
      </c>
      <c r="D88" s="18">
        <f>INDEX('Catalogo CU'!$G$9:$G$500,MATCH(A88,'Catalogo CU'!$A$9:$A$500,0))</f>
        <v>1</v>
      </c>
      <c r="E88" s="18">
        <f>INDEX('Catalogo CU'!$J$9:$J$500,MATCH(A88,'Catalogo CU'!$A$9:$A$500,0))</f>
        <v>2</v>
      </c>
      <c r="F88" s="18" t="str">
        <f>IF(D88=0,"Excluido",IF(I88&lt;&gt;"Válido","Revisar",IF(E88&lt;='Criterios y fuentes'!$F$25,"Simple",IF(E88&lt;='Criterios y fuentes'!$F$26,"Medio","Complejo"))))</f>
        <v>Simple</v>
      </c>
      <c r="G88" s="18">
        <f>IF(F88="Excluido",0,IF(F88="Simple",'Criterios y fuentes'!$G$25,IF(F88="Medio",'Criterios y fuentes'!$G$26,IF(F88="Complejo",'Criterios y fuentes'!$G$27,"Revisar"))))</f>
        <v>5</v>
      </c>
      <c r="H88" s="18">
        <f t="shared" si="2"/>
        <v>5</v>
      </c>
      <c r="I88" s="1" t="str">
        <f>IF(COUNTIF('Catalogo CU'!$A$9:$A$500,A88)&lt;&gt;1,"Revisar ID",IF(COUNTIF($A$9:$A$500,A88)&lt;&gt;1,"Revisar duplicado",INDEX('Catalogo CU'!$M$9:$M$500,MATCH(A88,'Catalogo CU'!$A$9:$A$500,0))))</f>
        <v>Válido</v>
      </c>
    </row>
    <row r="89" spans="1:9" ht="34.049999999999997" customHeight="1">
      <c r="A89" s="1" t="s">
        <v>440</v>
      </c>
      <c r="B89" s="10" t="str">
        <f>INDEX('Catalogo CU'!$D$9:$D$500,MATCH(A89,'Catalogo CU'!$A$9:$A$500,0))</f>
        <v>Buscar información autorizada</v>
      </c>
      <c r="C89" s="1" t="str">
        <f>INDEX('Catalogo CU'!$C$9:$C$500,MATCH(A89,'Catalogo CU'!$A$9:$A$500,0))</f>
        <v>E1</v>
      </c>
      <c r="D89" s="18">
        <f>INDEX('Catalogo CU'!$G$9:$G$500,MATCH(A89,'Catalogo CU'!$A$9:$A$500,0))</f>
        <v>1</v>
      </c>
      <c r="E89" s="18">
        <f>INDEX('Catalogo CU'!$J$9:$J$500,MATCH(A89,'Catalogo CU'!$A$9:$A$500,0))</f>
        <v>3</v>
      </c>
      <c r="F89" s="18" t="str">
        <f>IF(D89=0,"Excluido",IF(I89&lt;&gt;"Válido","Revisar",IF(E89&lt;='Criterios y fuentes'!$F$25,"Simple",IF(E89&lt;='Criterios y fuentes'!$F$26,"Medio","Complejo"))))</f>
        <v>Simple</v>
      </c>
      <c r="G89" s="18">
        <f>IF(F89="Excluido",0,IF(F89="Simple",'Criterios y fuentes'!$G$25,IF(F89="Medio",'Criterios y fuentes'!$G$26,IF(F89="Complejo",'Criterios y fuentes'!$G$27,"Revisar"))))</f>
        <v>5</v>
      </c>
      <c r="H89" s="18">
        <f t="shared" si="2"/>
        <v>5</v>
      </c>
      <c r="I89" s="1" t="str">
        <f>IF(COUNTIF('Catalogo CU'!$A$9:$A$500,A89)&lt;&gt;1,"Revisar ID",IF(COUNTIF($A$9:$A$500,A89)&lt;&gt;1,"Revisar duplicado",INDEX('Catalogo CU'!$M$9:$M$500,MATCH(A89,'Catalogo CU'!$A$9:$A$500,0))))</f>
        <v>Válido</v>
      </c>
    </row>
    <row r="90" spans="1:9" ht="34.049999999999997" customHeight="1">
      <c r="A90" s="1" t="s">
        <v>445</v>
      </c>
      <c r="B90" s="10" t="str">
        <f>INDEX('Catalogo CU'!$D$9:$D$500,MATCH(A90,'Catalogo CU'!$A$9:$A$500,0))</f>
        <v>Supervisar salud y alertas de plataforma</v>
      </c>
      <c r="C90" s="1" t="str">
        <f>INDEX('Catalogo CU'!$C$9:$C$500,MATCH(A90,'Catalogo CU'!$A$9:$A$500,0))</f>
        <v>E1</v>
      </c>
      <c r="D90" s="18">
        <f>INDEX('Catalogo CU'!$G$9:$G$500,MATCH(A90,'Catalogo CU'!$A$9:$A$500,0))</f>
        <v>1</v>
      </c>
      <c r="E90" s="18">
        <f>INDEX('Catalogo CU'!$J$9:$J$500,MATCH(A90,'Catalogo CU'!$A$9:$A$500,0))</f>
        <v>4</v>
      </c>
      <c r="F90" s="18" t="str">
        <f>IF(D90=0,"Excluido",IF(I90&lt;&gt;"Válido","Revisar",IF(E90&lt;='Criterios y fuentes'!$F$25,"Simple",IF(E90&lt;='Criterios y fuentes'!$F$26,"Medio","Complejo"))))</f>
        <v>Medio</v>
      </c>
      <c r="G90" s="18">
        <f>IF(F90="Excluido",0,IF(F90="Simple",'Criterios y fuentes'!$G$25,IF(F90="Medio",'Criterios y fuentes'!$G$26,IF(F90="Complejo",'Criterios y fuentes'!$G$27,"Revisar"))))</f>
        <v>10</v>
      </c>
      <c r="H90" s="18">
        <f t="shared" si="2"/>
        <v>10</v>
      </c>
      <c r="I90" s="1" t="str">
        <f>IF(COUNTIF('Catalogo CU'!$A$9:$A$500,A90)&lt;&gt;1,"Revisar ID",IF(COUNTIF($A$9:$A$500,A90)&lt;&gt;1,"Revisar duplicado",INDEX('Catalogo CU'!$M$9:$M$500,MATCH(A90,'Catalogo CU'!$A$9:$A$500,0))))</f>
        <v>Válido</v>
      </c>
    </row>
    <row r="91" spans="1:9" ht="34.049999999999997" customHeight="1">
      <c r="A91" s="1" t="s">
        <v>450</v>
      </c>
      <c r="B91" s="10" t="str">
        <f>INDEX('Catalogo CU'!$D$9:$D$500,MATCH(A91,'Catalogo CU'!$A$9:$A$500,0))</f>
        <v>Administrar contratos e interfaces de integración</v>
      </c>
      <c r="C91" s="1" t="str">
        <f>INDEX('Catalogo CU'!$C$9:$C$500,MATCH(A91,'Catalogo CU'!$A$9:$A$500,0))</f>
        <v>E1</v>
      </c>
      <c r="D91" s="18">
        <f>INDEX('Catalogo CU'!$G$9:$G$500,MATCH(A91,'Catalogo CU'!$A$9:$A$500,0))</f>
        <v>1</v>
      </c>
      <c r="E91" s="18">
        <f>INDEX('Catalogo CU'!$J$9:$J$500,MATCH(A91,'Catalogo CU'!$A$9:$A$500,0))</f>
        <v>5</v>
      </c>
      <c r="F91" s="18" t="str">
        <f>IF(D91=0,"Excluido",IF(I91&lt;&gt;"Válido","Revisar",IF(E91&lt;='Criterios y fuentes'!$F$25,"Simple",IF(E91&lt;='Criterios y fuentes'!$F$26,"Medio","Complejo"))))</f>
        <v>Medio</v>
      </c>
      <c r="G91" s="18">
        <f>IF(F91="Excluido",0,IF(F91="Simple",'Criterios y fuentes'!$G$25,IF(F91="Medio",'Criterios y fuentes'!$G$26,IF(F91="Complejo",'Criterios y fuentes'!$G$27,"Revisar"))))</f>
        <v>10</v>
      </c>
      <c r="H91" s="18">
        <f t="shared" si="2"/>
        <v>10</v>
      </c>
      <c r="I91" s="1" t="str">
        <f>IF(COUNTIF('Catalogo CU'!$A$9:$A$500,A91)&lt;&gt;1,"Revisar ID",IF(COUNTIF($A$9:$A$500,A91)&lt;&gt;1,"Revisar duplicado",INDEX('Catalogo CU'!$M$9:$M$500,MATCH(A91,'Catalogo CU'!$A$9:$A$500,0))))</f>
        <v>Válido</v>
      </c>
    </row>
    <row r="92" spans="1:9" ht="34.049999999999997" customHeight="1">
      <c r="A92" s="1" t="s">
        <v>454</v>
      </c>
      <c r="B92" s="10" t="str">
        <f>INDEX('Catalogo CU'!$D$9:$D$500,MATCH(A92,'Catalogo CU'!$A$9:$A$500,0))</f>
        <v>Capturar y admitir incidente reproducible</v>
      </c>
      <c r="C92" s="1" t="str">
        <f>INDEX('Catalogo CU'!$C$9:$C$500,MATCH(A92,'Catalogo CU'!$A$9:$A$500,0))</f>
        <v>E1</v>
      </c>
      <c r="D92" s="18">
        <f>INDEX('Catalogo CU'!$G$9:$G$500,MATCH(A92,'Catalogo CU'!$A$9:$A$500,0))</f>
        <v>1</v>
      </c>
      <c r="E92" s="18">
        <f>INDEX('Catalogo CU'!$J$9:$J$500,MATCH(A92,'Catalogo CU'!$A$9:$A$500,0))</f>
        <v>5</v>
      </c>
      <c r="F92" s="18" t="str">
        <f>IF(D92=0,"Excluido",IF(I92&lt;&gt;"Válido","Revisar",IF(E92&lt;='Criterios y fuentes'!$F$25,"Simple",IF(E92&lt;='Criterios y fuentes'!$F$26,"Medio","Complejo"))))</f>
        <v>Medio</v>
      </c>
      <c r="G92" s="18">
        <f>IF(F92="Excluido",0,IF(F92="Simple",'Criterios y fuentes'!$G$25,IF(F92="Medio",'Criterios y fuentes'!$G$26,IF(F92="Complejo",'Criterios y fuentes'!$G$27,"Revisar"))))</f>
        <v>10</v>
      </c>
      <c r="H92" s="18">
        <f t="shared" si="2"/>
        <v>10</v>
      </c>
      <c r="I92" s="1" t="str">
        <f>IF(COUNTIF('Catalogo CU'!$A$9:$A$500,A92)&lt;&gt;1,"Revisar ID",IF(COUNTIF($A$9:$A$500,A92)&lt;&gt;1,"Revisar duplicado",INDEX('Catalogo CU'!$M$9:$M$500,MATCH(A92,'Catalogo CU'!$A$9:$A$500,0))))</f>
        <v>Válido</v>
      </c>
    </row>
    <row r="93" spans="1:9" ht="34.049999999999997" customHeight="1">
      <c r="A93" s="1" t="s">
        <v>460</v>
      </c>
      <c r="B93" s="10" t="str">
        <f>INDEX('Catalogo CU'!$D$9:$D$500,MATCH(A93,'Catalogo CU'!$A$9:$A$500,0))</f>
        <v>Reproducir incidente y conservar regresión sintética</v>
      </c>
      <c r="C93" s="1" t="str">
        <f>INDEX('Catalogo CU'!$C$9:$C$500,MATCH(A93,'Catalogo CU'!$A$9:$A$500,0))</f>
        <v>E1</v>
      </c>
      <c r="D93" s="18">
        <f>INDEX('Catalogo CU'!$G$9:$G$500,MATCH(A93,'Catalogo CU'!$A$9:$A$500,0))</f>
        <v>1</v>
      </c>
      <c r="E93" s="18">
        <f>INDEX('Catalogo CU'!$J$9:$J$500,MATCH(A93,'Catalogo CU'!$A$9:$A$500,0))</f>
        <v>7</v>
      </c>
      <c r="F93" s="18" t="str">
        <f>IF(D93=0,"Excluido",IF(I93&lt;&gt;"Válido","Revisar",IF(E93&lt;='Criterios y fuentes'!$F$25,"Simple",IF(E93&lt;='Criterios y fuentes'!$F$26,"Medio","Complejo"))))</f>
        <v>Medio</v>
      </c>
      <c r="G93" s="18">
        <f>IF(F93="Excluido",0,IF(F93="Simple",'Criterios y fuentes'!$G$25,IF(F93="Medio",'Criterios y fuentes'!$G$26,IF(F93="Complejo",'Criterios y fuentes'!$G$27,"Revisar"))))</f>
        <v>10</v>
      </c>
      <c r="H93" s="18">
        <f t="shared" si="2"/>
        <v>10</v>
      </c>
      <c r="I93" s="1" t="str">
        <f>IF(COUNTIF('Catalogo CU'!$A$9:$A$500,A93)&lt;&gt;1,"Revisar ID",IF(COUNTIF($A$9:$A$500,A93)&lt;&gt;1,"Revisar duplicado",INDEX('Catalogo CU'!$M$9:$M$500,MATCH(A93,'Catalogo CU'!$A$9:$A$500,0))))</f>
        <v>Válido</v>
      </c>
    </row>
    <row r="94" spans="1:9" ht="34.049999999999997" customHeight="1">
      <c r="A94" s="1" t="s">
        <v>465</v>
      </c>
      <c r="B94" s="10" t="str">
        <f>INDEX('Catalogo CU'!$D$9:$D$500,MATCH(A94,'Catalogo CU'!$A$9:$A$500,0))</f>
        <v>Evaluar vida útil por historia térmica</v>
      </c>
      <c r="C94" s="1" t="str">
        <f>INDEX('Catalogo CU'!$C$9:$C$500,MATCH(A94,'Catalogo CU'!$A$9:$A$500,0))</f>
        <v>E1</v>
      </c>
      <c r="D94" s="18">
        <f>INDEX('Catalogo CU'!$G$9:$G$500,MATCH(A94,'Catalogo CU'!$A$9:$A$500,0))</f>
        <v>1</v>
      </c>
      <c r="E94" s="18">
        <f>INDEX('Catalogo CU'!$J$9:$J$500,MATCH(A94,'Catalogo CU'!$A$9:$A$500,0))</f>
        <v>5</v>
      </c>
      <c r="F94" s="18" t="str">
        <f>IF(D94=0,"Excluido",IF(I94&lt;&gt;"Válido","Revisar",IF(E94&lt;='Criterios y fuentes'!$F$25,"Simple",IF(E94&lt;='Criterios y fuentes'!$F$26,"Medio","Complejo"))))</f>
        <v>Medio</v>
      </c>
      <c r="G94" s="18">
        <f>IF(F94="Excluido",0,IF(F94="Simple",'Criterios y fuentes'!$G$25,IF(F94="Medio",'Criterios y fuentes'!$G$26,IF(F94="Complejo",'Criterios y fuentes'!$G$27,"Revisar"))))</f>
        <v>10</v>
      </c>
      <c r="H94" s="18">
        <f t="shared" si="2"/>
        <v>10</v>
      </c>
      <c r="I94" s="1" t="str">
        <f>IF(COUNTIF('Catalogo CU'!$A$9:$A$500,A94)&lt;&gt;1,"Revisar ID",IF(COUNTIF($A$9:$A$500,A94)&lt;&gt;1,"Revisar duplicado",INDEX('Catalogo CU'!$M$9:$M$500,MATCH(A94,'Catalogo CU'!$A$9:$A$500,0))))</f>
        <v>Válido</v>
      </c>
    </row>
    <row r="95" spans="1:9" ht="34.049999999999997" customHeight="1">
      <c r="A95" s="1" t="s">
        <v>470</v>
      </c>
      <c r="B95" s="10" t="str">
        <f>INDEX('Catalogo CU'!$D$9:$D$500,MATCH(A95,'Catalogo CU'!$A$9:$A$500,0))</f>
        <v>Gestionar vencimiento posentrega en el local</v>
      </c>
      <c r="C95" s="1" t="str">
        <f>INDEX('Catalogo CU'!$C$9:$C$500,MATCH(A95,'Catalogo CU'!$A$9:$A$500,0))</f>
        <v>E1</v>
      </c>
      <c r="D95" s="18">
        <f>INDEX('Catalogo CU'!$G$9:$G$500,MATCH(A95,'Catalogo CU'!$A$9:$A$500,0))</f>
        <v>1</v>
      </c>
      <c r="E95" s="18">
        <f>INDEX('Catalogo CU'!$J$9:$J$500,MATCH(A95,'Catalogo CU'!$A$9:$A$500,0))</f>
        <v>5</v>
      </c>
      <c r="F95" s="18" t="str">
        <f>IF(D95=0,"Excluido",IF(I95&lt;&gt;"Válido","Revisar",IF(E95&lt;='Criterios y fuentes'!$F$25,"Simple",IF(E95&lt;='Criterios y fuentes'!$F$26,"Medio","Complejo"))))</f>
        <v>Medio</v>
      </c>
      <c r="G95" s="18">
        <f>IF(F95="Excluido",0,IF(F95="Simple",'Criterios y fuentes'!$G$25,IF(F95="Medio",'Criterios y fuentes'!$G$26,IF(F95="Complejo",'Criterios y fuentes'!$G$27,"Revisar"))))</f>
        <v>10</v>
      </c>
      <c r="H95" s="18">
        <f t="shared" si="2"/>
        <v>10</v>
      </c>
      <c r="I95" s="1" t="str">
        <f>IF(COUNTIF('Catalogo CU'!$A$9:$A$500,A95)&lt;&gt;1,"Revisar ID",IF(COUNTIF($A$9:$A$500,A95)&lt;&gt;1,"Revisar duplicado",INDEX('Catalogo CU'!$M$9:$M$500,MATCH(A95,'Catalogo CU'!$A$9:$A$500,0))))</f>
        <v>Válido</v>
      </c>
    </row>
    <row r="96" spans="1:9" ht="34.049999999999997" customHeight="1">
      <c r="A96" s="1" t="s">
        <v>476</v>
      </c>
      <c r="B96" s="10" t="str">
        <f>INDEX('Catalogo CU'!$D$9:$D$500,MATCH(A96,'Catalogo CU'!$A$9:$A$500,0))</f>
        <v>Revisar liquidación variable ligada al costo de servir</v>
      </c>
      <c r="C96" s="1" t="str">
        <f>INDEX('Catalogo CU'!$C$9:$C$500,MATCH(A96,'Catalogo CU'!$A$9:$A$500,0))</f>
        <v>E2</v>
      </c>
      <c r="D96" s="18">
        <f>INDEX('Catalogo CU'!$G$9:$G$500,MATCH(A96,'Catalogo CU'!$A$9:$A$500,0))</f>
        <v>1</v>
      </c>
      <c r="E96" s="18">
        <f>INDEX('Catalogo CU'!$J$9:$J$500,MATCH(A96,'Catalogo CU'!$A$9:$A$500,0))</f>
        <v>5</v>
      </c>
      <c r="F96" s="18" t="str">
        <f>IF(D96=0,"Excluido",IF(I96&lt;&gt;"Válido","Revisar",IF(E96&lt;='Criterios y fuentes'!$F$25,"Simple",IF(E96&lt;='Criterios y fuentes'!$F$26,"Medio","Complejo"))))</f>
        <v>Medio</v>
      </c>
      <c r="G96" s="18">
        <f>IF(F96="Excluido",0,IF(F96="Simple",'Criterios y fuentes'!$G$25,IF(F96="Medio",'Criterios y fuentes'!$G$26,IF(F96="Complejo",'Criterios y fuentes'!$G$27,"Revisar"))))</f>
        <v>10</v>
      </c>
      <c r="H96" s="18">
        <f t="shared" si="2"/>
        <v>10</v>
      </c>
      <c r="I96" s="1" t="str">
        <f>IF(COUNTIF('Catalogo CU'!$A$9:$A$500,A96)&lt;&gt;1,"Revisar ID",IF(COUNTIF($A$9:$A$500,A96)&lt;&gt;1,"Revisar duplicado",INDEX('Catalogo CU'!$M$9:$M$500,MATCH(A96,'Catalogo CU'!$A$9:$A$500,0))))</f>
        <v>Válido</v>
      </c>
    </row>
    <row r="97" spans="1:9" ht="34.049999999999997" customHeight="1">
      <c r="A97" s="1" t="s">
        <v>481</v>
      </c>
      <c r="B97" s="10" t="str">
        <f>INDEX('Catalogo CU'!$D$9:$D$500,MATCH(A97,'Catalogo CU'!$A$9:$A$500,0))</f>
        <v>Generar y entregar hoja de negocio del almacenero</v>
      </c>
      <c r="C97" s="1" t="str">
        <f>INDEX('Catalogo CU'!$C$9:$C$500,MATCH(A97,'Catalogo CU'!$A$9:$A$500,0))</f>
        <v>E2</v>
      </c>
      <c r="D97" s="18">
        <f>INDEX('Catalogo CU'!$G$9:$G$500,MATCH(A97,'Catalogo CU'!$A$9:$A$500,0))</f>
        <v>1</v>
      </c>
      <c r="E97" s="18">
        <f>INDEX('Catalogo CU'!$J$9:$J$500,MATCH(A97,'Catalogo CU'!$A$9:$A$500,0))</f>
        <v>5</v>
      </c>
      <c r="F97" s="18" t="str">
        <f>IF(D97=0,"Excluido",IF(I97&lt;&gt;"Válido","Revisar",IF(E97&lt;='Criterios y fuentes'!$F$25,"Simple",IF(E97&lt;='Criterios y fuentes'!$F$26,"Medio","Complejo"))))</f>
        <v>Medio</v>
      </c>
      <c r="G97" s="18">
        <f>IF(F97="Excluido",0,IF(F97="Simple",'Criterios y fuentes'!$G$25,IF(F97="Medio",'Criterios y fuentes'!$G$26,IF(F97="Complejo",'Criterios y fuentes'!$G$27,"Revisar"))))</f>
        <v>10</v>
      </c>
      <c r="H97" s="18">
        <f t="shared" si="2"/>
        <v>10</v>
      </c>
      <c r="I97" s="1" t="str">
        <f>IF(COUNTIF('Catalogo CU'!$A$9:$A$500,A97)&lt;&gt;1,"Revisar ID",IF(COUNTIF($A$9:$A$500,A97)&lt;&gt;1,"Revisar duplicado",INDEX('Catalogo CU'!$M$9:$M$500,MATCH(A97,'Catalogo CU'!$A$9:$A$500,0))))</f>
        <v>Válido</v>
      </c>
    </row>
    <row r="98" spans="1:9" ht="34.049999999999997" customHeight="1">
      <c r="A98" s="1" t="s">
        <v>487</v>
      </c>
      <c r="B98" s="10" t="str">
        <f>INDEX('Catalogo CU'!$D$9:$D$500,MATCH(A98,'Catalogo CU'!$A$9:$A$500,0))</f>
        <v>Firmar documento con evidencia verificable</v>
      </c>
      <c r="C98" s="1" t="str">
        <f>INDEX('Catalogo CU'!$C$9:$C$500,MATCH(A98,'Catalogo CU'!$A$9:$A$500,0))</f>
        <v>E1</v>
      </c>
      <c r="D98" s="18">
        <f>INDEX('Catalogo CU'!$G$9:$G$500,MATCH(A98,'Catalogo CU'!$A$9:$A$500,0))</f>
        <v>1</v>
      </c>
      <c r="E98" s="18">
        <f>INDEX('Catalogo CU'!$J$9:$J$500,MATCH(A98,'Catalogo CU'!$A$9:$A$500,0))</f>
        <v>4</v>
      </c>
      <c r="F98" s="18" t="str">
        <f>IF(D98=0,"Excluido",IF(I98&lt;&gt;"Válido","Revisar",IF(E98&lt;='Criterios y fuentes'!$F$25,"Simple",IF(E98&lt;='Criterios y fuentes'!$F$26,"Medio","Complejo"))))</f>
        <v>Medio</v>
      </c>
      <c r="G98" s="18">
        <f>IF(F98="Excluido",0,IF(F98="Simple",'Criterios y fuentes'!$G$25,IF(F98="Medio",'Criterios y fuentes'!$G$26,IF(F98="Complejo",'Criterios y fuentes'!$G$27,"Revisar"))))</f>
        <v>10</v>
      </c>
      <c r="H98" s="18">
        <f t="shared" si="2"/>
        <v>10</v>
      </c>
      <c r="I98" s="1" t="str">
        <f>IF(COUNTIF('Catalogo CU'!$A$9:$A$500,A98)&lt;&gt;1,"Revisar ID",IF(COUNTIF($A$9:$A$500,A98)&lt;&gt;1,"Revisar duplicado",INDEX('Catalogo CU'!$M$9:$M$500,MATCH(A98,'Catalogo CU'!$A$9:$A$500,0))))</f>
        <v>Válido</v>
      </c>
    </row>
    <row r="99" spans="1:9" ht="34.049999999999997" customHeight="1">
      <c r="A99" s="1" t="s">
        <v>492</v>
      </c>
      <c r="B99" s="10" t="str">
        <f>INDEX('Catalogo CU'!$D$9:$D$500,MATCH(A99,'Catalogo CU'!$A$9:$A$500,0))</f>
        <v>Clasificar información y aplicar acceso</v>
      </c>
      <c r="C99" s="1" t="str">
        <f>INDEX('Catalogo CU'!$C$9:$C$500,MATCH(A99,'Catalogo CU'!$A$9:$A$500,0))</f>
        <v>E1</v>
      </c>
      <c r="D99" s="18">
        <f>INDEX('Catalogo CU'!$G$9:$G$500,MATCH(A99,'Catalogo CU'!$A$9:$A$500,0))</f>
        <v>1</v>
      </c>
      <c r="E99" s="18">
        <f>INDEX('Catalogo CU'!$J$9:$J$500,MATCH(A99,'Catalogo CU'!$A$9:$A$500,0))</f>
        <v>4</v>
      </c>
      <c r="F99" s="18" t="str">
        <f>IF(D99=0,"Excluido",IF(I99&lt;&gt;"Válido","Revisar",IF(E99&lt;='Criterios y fuentes'!$F$25,"Simple",IF(E99&lt;='Criterios y fuentes'!$F$26,"Medio","Complejo"))))</f>
        <v>Medio</v>
      </c>
      <c r="G99" s="18">
        <f>IF(F99="Excluido",0,IF(F99="Simple",'Criterios y fuentes'!$G$25,IF(F99="Medio",'Criterios y fuentes'!$G$26,IF(F99="Complejo",'Criterios y fuentes'!$G$27,"Revisar"))))</f>
        <v>10</v>
      </c>
      <c r="H99" s="18">
        <f t="shared" si="2"/>
        <v>10</v>
      </c>
      <c r="I99" s="1" t="str">
        <f>IF(COUNTIF('Catalogo CU'!$A$9:$A$500,A99)&lt;&gt;1,"Revisar ID",IF(COUNTIF($A$9:$A$500,A99)&lt;&gt;1,"Revisar duplicado",INDEX('Catalogo CU'!$M$9:$M$500,MATCH(A99,'Catalogo CU'!$A$9:$A$500,0))))</f>
        <v>Válido</v>
      </c>
    </row>
  </sheetData>
  <conditionalFormatting sqref="I9:I99">
    <cfRule type="expression" dxfId="5" priority="1">
      <formula>LEFT($I9,7)="Revisar"</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0"/>
  <sheetViews>
    <sheetView showGridLines="0" workbookViewId="0"/>
  </sheetViews>
  <sheetFormatPr baseColWidth="10" defaultColWidth="8.796875" defaultRowHeight="13.8"/>
  <cols>
    <col min="1" max="1" width="36" customWidth="1"/>
    <col min="2" max="4" width="20" customWidth="1"/>
    <col min="5" max="5" width="95" customWidth="1"/>
  </cols>
  <sheetData>
    <row r="1" spans="1:5" ht="21" customHeight="1">
      <c r="A1" s="1"/>
      <c r="B1" s="1"/>
      <c r="C1" s="1"/>
      <c r="D1" s="1"/>
      <c r="E1" s="1"/>
    </row>
    <row r="2" spans="1:5" ht="21" customHeight="1">
      <c r="A2" s="2" t="s">
        <v>1788</v>
      </c>
      <c r="B2" s="1"/>
      <c r="C2" s="1"/>
      <c r="D2" s="1"/>
      <c r="E2" s="1"/>
    </row>
    <row r="3" spans="1:5" ht="21" customHeight="1">
      <c r="A3" s="3"/>
      <c r="B3" s="3"/>
      <c r="C3" s="3"/>
      <c r="D3" s="3"/>
      <c r="E3" s="3"/>
    </row>
    <row r="4" spans="1:5" ht="21" customHeight="1">
      <c r="A4" s="4" t="s">
        <v>1789</v>
      </c>
      <c r="B4" s="1"/>
      <c r="C4" s="1"/>
      <c r="D4" s="1"/>
      <c r="E4" s="1"/>
    </row>
    <row r="5" spans="1:5" ht="21" customHeight="1">
      <c r="A5" s="1"/>
      <c r="B5" s="1"/>
      <c r="C5" s="1"/>
      <c r="D5" s="1"/>
      <c r="E5" s="1"/>
    </row>
    <row r="6" spans="1:5" ht="21" customHeight="1">
      <c r="A6" s="1"/>
      <c r="B6" s="1"/>
      <c r="C6" s="1"/>
      <c r="D6" s="1"/>
      <c r="E6" s="1"/>
    </row>
    <row r="7" spans="1:5" ht="21" customHeight="1">
      <c r="A7" s="1"/>
      <c r="B7" s="1"/>
      <c r="C7" s="1"/>
      <c r="D7" s="1"/>
      <c r="E7" s="1"/>
    </row>
    <row r="8" spans="1:5" ht="31.95" customHeight="1">
      <c r="A8" s="8" t="s">
        <v>1790</v>
      </c>
      <c r="B8" s="11" t="s">
        <v>1791</v>
      </c>
      <c r="C8" s="11" t="s">
        <v>25</v>
      </c>
      <c r="D8" s="11" t="s">
        <v>28</v>
      </c>
      <c r="E8" s="9" t="s">
        <v>1792</v>
      </c>
    </row>
    <row r="9" spans="1:5" ht="48" customHeight="1">
      <c r="A9" s="1" t="s">
        <v>1668</v>
      </c>
      <c r="B9" s="24">
        <f>'Actores UAW'!B5</f>
        <v>75</v>
      </c>
      <c r="C9" s="24">
        <f>IF(AND(ISNUMBER(B9),ISNUMBER(B10),B10&gt;0),B9*C10/B10,"Revisar alcance")</f>
        <v>59.810126582278478</v>
      </c>
      <c r="D9" s="24">
        <f>IF(AND(ISNUMBER(B9),ISNUMBER(C9)),B9-C9,"Revisar alcance")</f>
        <v>15.189873417721522</v>
      </c>
      <c r="E9" s="10" t="s">
        <v>1793</v>
      </c>
    </row>
    <row r="10" spans="1:5" ht="48" customHeight="1">
      <c r="A10" s="1" t="s">
        <v>22</v>
      </c>
      <c r="B10" s="24">
        <f>'Casos UUCW'!B5</f>
        <v>790</v>
      </c>
      <c r="C10" s="24">
        <f>IF(ISNUMBER(B10),SUMIFS('Casos UUCW'!$H$9:$H$500,'Casos UUCW'!$C$9:$C$500,"E1"),"Revisar casos")</f>
        <v>630</v>
      </c>
      <c r="D10" s="24">
        <f>IF(ISNUMBER(B10),SUMIFS('Casos UUCW'!$H$9:$H$500,'Casos UUCW'!$C$9:$C$500,"E2"),"Revisar casos")</f>
        <v>160</v>
      </c>
      <c r="E10" s="10" t="s">
        <v>1794</v>
      </c>
    </row>
    <row r="11" spans="1:5" ht="48" customHeight="1">
      <c r="A11" s="25" t="s">
        <v>1795</v>
      </c>
      <c r="B11" s="26">
        <f>IF(AND(ISNUMBER(B9),ISNUMBER(B10)),SUM(B9:B10),"Revisar conteo")</f>
        <v>865</v>
      </c>
      <c r="C11" s="26">
        <f>IF(AND(ISNUMBER(C9),ISNUMBER(C10)),SUM(C9:C10),"Revisar conteo")</f>
        <v>689.81012658227849</v>
      </c>
      <c r="D11" s="26">
        <f>IF(AND(ISNUMBER(D9),ISNUMBER(D10)),SUM(D9:D10),"Revisar conteo")</f>
        <v>175.18987341772151</v>
      </c>
      <c r="E11" s="27" t="s">
        <v>1796</v>
      </c>
    </row>
    <row r="12" spans="1:5" ht="21" customHeight="1">
      <c r="A12" s="1"/>
      <c r="B12" s="1"/>
      <c r="C12" s="1"/>
      <c r="D12" s="1"/>
      <c r="E12" s="1"/>
    </row>
    <row r="13" spans="1:5" ht="21" customHeight="1">
      <c r="A13" s="1"/>
      <c r="B13" s="1"/>
      <c r="C13" s="1"/>
      <c r="D13" s="1"/>
      <c r="E13" s="1"/>
    </row>
    <row r="14" spans="1:5" ht="21" customHeight="1">
      <c r="A14" s="1"/>
      <c r="B14" s="1"/>
      <c r="C14" s="1"/>
      <c r="D14" s="1"/>
      <c r="E14" s="1"/>
    </row>
    <row r="15" spans="1:5" ht="21" customHeight="1">
      <c r="A15" s="1"/>
      <c r="B15" s="1"/>
      <c r="C15" s="1"/>
      <c r="D15" s="1"/>
      <c r="E15" s="1"/>
    </row>
    <row r="16" spans="1:5" ht="21" customHeight="1">
      <c r="A16" s="1"/>
      <c r="B16" s="1"/>
      <c r="C16" s="1"/>
      <c r="D16" s="1"/>
      <c r="E16" s="1"/>
    </row>
    <row r="17" spans="1:5" ht="21" customHeight="1">
      <c r="A17" s="1"/>
      <c r="B17" s="1"/>
      <c r="C17" s="1"/>
      <c r="D17" s="1"/>
      <c r="E17" s="1"/>
    </row>
    <row r="18" spans="1:5" ht="21" customHeight="1">
      <c r="A18" s="1"/>
      <c r="B18" s="1"/>
      <c r="C18" s="1"/>
      <c r="D18" s="1"/>
      <c r="E18" s="1"/>
    </row>
    <row r="19" spans="1:5" ht="21" customHeight="1">
      <c r="A19" s="1"/>
      <c r="B19" s="1"/>
      <c r="C19" s="1"/>
      <c r="D19" s="1"/>
      <c r="E19" s="1"/>
    </row>
    <row r="20" spans="1:5" ht="21" customHeight="1">
      <c r="A20" s="1"/>
      <c r="B20" s="1"/>
      <c r="C20" s="1"/>
      <c r="D20" s="1"/>
      <c r="E20"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1A2AF"/>
  </sheetPr>
  <dimension ref="A1:I21"/>
  <sheetViews>
    <sheetView showGridLines="0" workbookViewId="0">
      <pane xSplit="1" ySplit="8" topLeftCell="B9" activePane="bottomRight" state="frozen"/>
      <selection pane="topRight"/>
      <selection pane="bottomLeft"/>
      <selection pane="bottomRight" activeCell="B9" sqref="B9"/>
    </sheetView>
  </sheetViews>
  <sheetFormatPr baseColWidth="10" defaultColWidth="8.796875" defaultRowHeight="13.8"/>
  <cols>
    <col min="1" max="1" width="10" customWidth="1"/>
    <col min="2" max="2" width="43" customWidth="1"/>
    <col min="3" max="3" width="12" customWidth="1"/>
    <col min="4" max="4" width="13" customWidth="1"/>
    <col min="5" max="5" width="16" customWidth="1"/>
    <col min="6" max="6" width="105" customWidth="1"/>
    <col min="7" max="7" width="60" customWidth="1"/>
    <col min="8" max="8" width="18" customWidth="1"/>
    <col min="9" max="9" width="25" customWidth="1"/>
  </cols>
  <sheetData>
    <row r="1" spans="1:9" ht="21" customHeight="1">
      <c r="A1" s="1"/>
      <c r="B1" s="1"/>
      <c r="C1" s="1"/>
      <c r="D1" s="1"/>
      <c r="E1" s="1"/>
      <c r="F1" s="1"/>
      <c r="G1" s="1"/>
      <c r="H1" s="1"/>
      <c r="I1" s="1"/>
    </row>
    <row r="2" spans="1:9" ht="21" customHeight="1">
      <c r="A2" s="2" t="s">
        <v>1797</v>
      </c>
      <c r="B2" s="1"/>
      <c r="C2" s="1"/>
      <c r="D2" s="1"/>
      <c r="E2" s="1"/>
      <c r="F2" s="1"/>
      <c r="G2" s="1"/>
      <c r="H2" s="1"/>
      <c r="I2" s="1"/>
    </row>
    <row r="3" spans="1:9" ht="21" customHeight="1">
      <c r="A3" s="3"/>
      <c r="B3" s="3"/>
      <c r="C3" s="3"/>
      <c r="D3" s="3"/>
      <c r="E3" s="3"/>
      <c r="F3" s="3"/>
      <c r="G3" s="3"/>
      <c r="H3" s="3"/>
      <c r="I3" s="3"/>
    </row>
    <row r="4" spans="1:9" ht="21" customHeight="1">
      <c r="A4" s="4" t="s">
        <v>1798</v>
      </c>
      <c r="B4" s="1"/>
      <c r="C4" s="1"/>
      <c r="D4" s="1"/>
      <c r="E4" s="1"/>
      <c r="F4" s="1"/>
      <c r="G4" s="1"/>
      <c r="H4" s="1"/>
      <c r="I4" s="1"/>
    </row>
    <row r="5" spans="1:9" ht="21" customHeight="1">
      <c r="A5" s="1" t="s">
        <v>1799</v>
      </c>
      <c r="B5" s="21">
        <f>IF(ISNUMBER(E5),'Criterios y fuentes'!$B$31+'Criterios y fuentes'!$B$32*E5,"Revisar puntuaciones")</f>
        <v>1.2549999999999999</v>
      </c>
      <c r="C5" s="1"/>
      <c r="D5" s="1" t="s">
        <v>1800</v>
      </c>
      <c r="E5" s="12">
        <f>IF(COUNTIF(H9:H21,"&lt;&gt;Válido")&gt;0,"Revisar factores",SUM(E9:E21))</f>
        <v>65.5</v>
      </c>
      <c r="F5" s="1"/>
      <c r="G5" s="1"/>
      <c r="H5" s="1"/>
      <c r="I5" s="1"/>
    </row>
    <row r="6" spans="1:9" ht="21" customHeight="1">
      <c r="A6" s="1"/>
      <c r="B6" s="1"/>
      <c r="C6" s="1"/>
      <c r="D6" s="1"/>
      <c r="E6" s="1"/>
      <c r="F6" s="1"/>
      <c r="G6" s="1"/>
      <c r="H6" s="1"/>
      <c r="I6" s="1"/>
    </row>
    <row r="7" spans="1:9" ht="21" customHeight="1">
      <c r="A7" s="1"/>
      <c r="B7" s="1"/>
      <c r="C7" s="1"/>
      <c r="D7" s="1"/>
      <c r="E7" s="1"/>
      <c r="F7" s="1"/>
      <c r="G7" s="1"/>
      <c r="H7" s="1"/>
      <c r="I7" s="1"/>
    </row>
    <row r="8" spans="1:9" ht="31.95" customHeight="1">
      <c r="A8" s="8" t="s">
        <v>1801</v>
      </c>
      <c r="B8" s="11" t="s">
        <v>1802</v>
      </c>
      <c r="C8" s="11" t="s">
        <v>1673</v>
      </c>
      <c r="D8" s="11" t="s">
        <v>1803</v>
      </c>
      <c r="E8" s="11" t="s">
        <v>1804</v>
      </c>
      <c r="F8" s="11" t="s">
        <v>1805</v>
      </c>
      <c r="G8" s="11" t="s">
        <v>1806</v>
      </c>
      <c r="H8" s="9" t="s">
        <v>55</v>
      </c>
      <c r="I8" s="1"/>
    </row>
    <row r="9" spans="1:9" ht="57" customHeight="1">
      <c r="A9" s="1" t="s">
        <v>1807</v>
      </c>
      <c r="B9" s="10" t="s">
        <v>1808</v>
      </c>
      <c r="C9" s="22">
        <v>2</v>
      </c>
      <c r="D9" s="23">
        <v>5</v>
      </c>
      <c r="E9" s="22">
        <f t="shared" ref="E9:E21" si="0">IF(H9="Válido",C9*D9,"Revisar valor")</f>
        <v>10</v>
      </c>
      <c r="F9" s="10" t="s">
        <v>1809</v>
      </c>
      <c r="G9" s="10" t="s">
        <v>1810</v>
      </c>
      <c r="H9" s="10" t="str">
        <f t="shared" ref="H9:H21" si="1">IF(AND(ISNUMBER(D9),D9&gt;=0,D9&lt;=5,MOD(D9,1)=0),"Válido","Revisar puntuación")</f>
        <v>Válido</v>
      </c>
      <c r="I9" s="10"/>
    </row>
    <row r="10" spans="1:9" ht="57" customHeight="1">
      <c r="A10" s="1" t="s">
        <v>1811</v>
      </c>
      <c r="B10" s="10" t="s">
        <v>1812</v>
      </c>
      <c r="C10" s="22">
        <v>1</v>
      </c>
      <c r="D10" s="23">
        <v>5</v>
      </c>
      <c r="E10" s="22">
        <f t="shared" si="0"/>
        <v>5</v>
      </c>
      <c r="F10" s="10" t="s">
        <v>1813</v>
      </c>
      <c r="G10" s="10" t="s">
        <v>1814</v>
      </c>
      <c r="H10" s="10" t="str">
        <f t="shared" si="1"/>
        <v>Válido</v>
      </c>
      <c r="I10" s="10"/>
    </row>
    <row r="11" spans="1:9" ht="57" customHeight="1">
      <c r="A11" s="1" t="s">
        <v>1815</v>
      </c>
      <c r="B11" s="10" t="s">
        <v>1816</v>
      </c>
      <c r="C11" s="22">
        <v>1</v>
      </c>
      <c r="D11" s="23">
        <v>5</v>
      </c>
      <c r="E11" s="22">
        <f t="shared" si="0"/>
        <v>5</v>
      </c>
      <c r="F11" s="10" t="s">
        <v>1817</v>
      </c>
      <c r="G11" s="10" t="s">
        <v>1818</v>
      </c>
      <c r="H11" s="10" t="str">
        <f t="shared" si="1"/>
        <v>Válido</v>
      </c>
      <c r="I11" s="10"/>
    </row>
    <row r="12" spans="1:9" ht="57" customHeight="1">
      <c r="A12" s="1" t="s">
        <v>1819</v>
      </c>
      <c r="B12" s="10" t="s">
        <v>1820</v>
      </c>
      <c r="C12" s="22">
        <v>1</v>
      </c>
      <c r="D12" s="23">
        <v>5</v>
      </c>
      <c r="E12" s="22">
        <f t="shared" si="0"/>
        <v>5</v>
      </c>
      <c r="F12" s="10" t="s">
        <v>1821</v>
      </c>
      <c r="G12" s="10" t="s">
        <v>1822</v>
      </c>
      <c r="H12" s="10" t="str">
        <f t="shared" si="1"/>
        <v>Válido</v>
      </c>
      <c r="I12" s="10"/>
    </row>
    <row r="13" spans="1:9" ht="57" customHeight="1">
      <c r="A13" s="1" t="s">
        <v>1823</v>
      </c>
      <c r="B13" s="10" t="s">
        <v>1824</v>
      </c>
      <c r="C13" s="22">
        <v>1</v>
      </c>
      <c r="D13" s="23">
        <v>3</v>
      </c>
      <c r="E13" s="22">
        <f t="shared" si="0"/>
        <v>3</v>
      </c>
      <c r="F13" s="10" t="s">
        <v>1825</v>
      </c>
      <c r="G13" s="10" t="s">
        <v>1826</v>
      </c>
      <c r="H13" s="10" t="str">
        <f t="shared" si="1"/>
        <v>Válido</v>
      </c>
      <c r="I13" s="10"/>
    </row>
    <row r="14" spans="1:9" ht="57" customHeight="1">
      <c r="A14" s="1" t="s">
        <v>1827</v>
      </c>
      <c r="B14" s="10" t="s">
        <v>1828</v>
      </c>
      <c r="C14" s="22">
        <v>0.5</v>
      </c>
      <c r="D14" s="23">
        <v>4</v>
      </c>
      <c r="E14" s="22">
        <f t="shared" si="0"/>
        <v>2</v>
      </c>
      <c r="F14" s="10" t="s">
        <v>1829</v>
      </c>
      <c r="G14" s="10" t="s">
        <v>1830</v>
      </c>
      <c r="H14" s="10" t="str">
        <f t="shared" si="1"/>
        <v>Válido</v>
      </c>
      <c r="I14" s="10"/>
    </row>
    <row r="15" spans="1:9" ht="57" customHeight="1">
      <c r="A15" s="1" t="s">
        <v>1831</v>
      </c>
      <c r="B15" s="10" t="s">
        <v>1832</v>
      </c>
      <c r="C15" s="22">
        <v>0.5</v>
      </c>
      <c r="D15" s="23">
        <v>5</v>
      </c>
      <c r="E15" s="22">
        <f t="shared" si="0"/>
        <v>2.5</v>
      </c>
      <c r="F15" s="10" t="s">
        <v>1833</v>
      </c>
      <c r="G15" s="10" t="s">
        <v>1834</v>
      </c>
      <c r="H15" s="10" t="str">
        <f t="shared" si="1"/>
        <v>Válido</v>
      </c>
      <c r="I15" s="10"/>
    </row>
    <row r="16" spans="1:9" ht="57" customHeight="1">
      <c r="A16" s="1" t="s">
        <v>1835</v>
      </c>
      <c r="B16" s="10" t="s">
        <v>1836</v>
      </c>
      <c r="C16" s="22">
        <v>2</v>
      </c>
      <c r="D16" s="23">
        <v>4</v>
      </c>
      <c r="E16" s="22">
        <f t="shared" si="0"/>
        <v>8</v>
      </c>
      <c r="F16" s="10" t="s">
        <v>1837</v>
      </c>
      <c r="G16" s="10" t="s">
        <v>1838</v>
      </c>
      <c r="H16" s="10" t="str">
        <f t="shared" si="1"/>
        <v>Válido</v>
      </c>
      <c r="I16" s="10"/>
    </row>
    <row r="17" spans="1:9" ht="57" customHeight="1">
      <c r="A17" s="1" t="s">
        <v>1839</v>
      </c>
      <c r="B17" s="10" t="s">
        <v>1840</v>
      </c>
      <c r="C17" s="22">
        <v>1</v>
      </c>
      <c r="D17" s="23">
        <v>5</v>
      </c>
      <c r="E17" s="22">
        <f t="shared" si="0"/>
        <v>5</v>
      </c>
      <c r="F17" s="10" t="s">
        <v>1841</v>
      </c>
      <c r="G17" s="10" t="s">
        <v>1842</v>
      </c>
      <c r="H17" s="10" t="str">
        <f t="shared" si="1"/>
        <v>Válido</v>
      </c>
      <c r="I17" s="10"/>
    </row>
    <row r="18" spans="1:9" ht="57" customHeight="1">
      <c r="A18" s="1" t="s">
        <v>1843</v>
      </c>
      <c r="B18" s="10" t="s">
        <v>1844</v>
      </c>
      <c r="C18" s="22">
        <v>1</v>
      </c>
      <c r="D18" s="23">
        <v>5</v>
      </c>
      <c r="E18" s="22">
        <f t="shared" si="0"/>
        <v>5</v>
      </c>
      <c r="F18" s="10" t="s">
        <v>1845</v>
      </c>
      <c r="G18" s="10" t="s">
        <v>1846</v>
      </c>
      <c r="H18" s="10" t="str">
        <f t="shared" si="1"/>
        <v>Válido</v>
      </c>
      <c r="I18" s="10"/>
    </row>
    <row r="19" spans="1:9" ht="57" customHeight="1">
      <c r="A19" s="1" t="s">
        <v>1847</v>
      </c>
      <c r="B19" s="10" t="s">
        <v>1848</v>
      </c>
      <c r="C19" s="22">
        <v>1</v>
      </c>
      <c r="D19" s="23">
        <v>5</v>
      </c>
      <c r="E19" s="22">
        <f t="shared" si="0"/>
        <v>5</v>
      </c>
      <c r="F19" s="10" t="s">
        <v>1849</v>
      </c>
      <c r="G19" s="10" t="s">
        <v>1850</v>
      </c>
      <c r="H19" s="10" t="str">
        <f t="shared" si="1"/>
        <v>Válido</v>
      </c>
      <c r="I19" s="10"/>
    </row>
    <row r="20" spans="1:9" ht="57" customHeight="1">
      <c r="A20" s="1" t="s">
        <v>1851</v>
      </c>
      <c r="B20" s="10" t="s">
        <v>1852</v>
      </c>
      <c r="C20" s="22">
        <v>1</v>
      </c>
      <c r="D20" s="23">
        <v>5</v>
      </c>
      <c r="E20" s="22">
        <f t="shared" si="0"/>
        <v>5</v>
      </c>
      <c r="F20" s="10" t="s">
        <v>1853</v>
      </c>
      <c r="G20" s="10" t="s">
        <v>1854</v>
      </c>
      <c r="H20" s="10" t="str">
        <f t="shared" si="1"/>
        <v>Válido</v>
      </c>
      <c r="I20" s="10"/>
    </row>
    <row r="21" spans="1:9" ht="57" customHeight="1">
      <c r="A21" s="1" t="s">
        <v>1855</v>
      </c>
      <c r="B21" s="10" t="s">
        <v>1856</v>
      </c>
      <c r="C21" s="22">
        <v>1</v>
      </c>
      <c r="D21" s="23">
        <v>5</v>
      </c>
      <c r="E21" s="22">
        <f t="shared" si="0"/>
        <v>5</v>
      </c>
      <c r="F21" s="10" t="s">
        <v>1857</v>
      </c>
      <c r="G21" s="10" t="s">
        <v>1858</v>
      </c>
      <c r="H21" s="10" t="str">
        <f t="shared" si="1"/>
        <v>Válido</v>
      </c>
      <c r="I21" s="10"/>
    </row>
  </sheetData>
  <conditionalFormatting sqref="H9:H21">
    <cfRule type="expression" dxfId="4" priority="1">
      <formula>LEFT($H9,7)="Revisar"</formula>
    </cfRule>
  </conditionalFormatting>
  <dataValidations count="1">
    <dataValidation type="whole" sqref="D9:D21" xr:uid="{00000000-0002-0000-0600-000000000000}">
      <formula1>0</formula1>
      <formula2>5</formula2>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B58A45"/>
  </sheetPr>
  <dimension ref="A1:I16"/>
  <sheetViews>
    <sheetView showGridLines="0" workbookViewId="0">
      <pane xSplit="1" ySplit="8" topLeftCell="B9" activePane="bottomRight" state="frozen"/>
      <selection pane="topRight"/>
      <selection pane="bottomLeft"/>
      <selection pane="bottomRight" activeCell="B9" sqref="B9"/>
    </sheetView>
  </sheetViews>
  <sheetFormatPr baseColWidth="10" defaultColWidth="8.796875" defaultRowHeight="13.8"/>
  <cols>
    <col min="1" max="1" width="10" customWidth="1"/>
    <col min="2" max="2" width="43" customWidth="1"/>
    <col min="3" max="3" width="12" customWidth="1"/>
    <col min="4" max="4" width="13" customWidth="1"/>
    <col min="5" max="5" width="16" customWidth="1"/>
    <col min="6" max="6" width="105" customWidth="1"/>
    <col min="7" max="7" width="60" customWidth="1"/>
    <col min="8" max="8" width="18" customWidth="1"/>
    <col min="9" max="9" width="25" customWidth="1"/>
  </cols>
  <sheetData>
    <row r="1" spans="1:9" ht="21" customHeight="1">
      <c r="A1" s="1"/>
      <c r="B1" s="1"/>
      <c r="C1" s="1"/>
      <c r="D1" s="1"/>
      <c r="E1" s="1"/>
      <c r="F1" s="1"/>
      <c r="G1" s="1"/>
      <c r="H1" s="1"/>
      <c r="I1" s="1"/>
    </row>
    <row r="2" spans="1:9" ht="21" customHeight="1">
      <c r="A2" s="2" t="s">
        <v>1859</v>
      </c>
      <c r="B2" s="1"/>
      <c r="C2" s="1"/>
      <c r="D2" s="1"/>
      <c r="E2" s="1"/>
      <c r="F2" s="1"/>
      <c r="G2" s="1"/>
      <c r="H2" s="1"/>
      <c r="I2" s="1"/>
    </row>
    <row r="3" spans="1:9" ht="21" customHeight="1">
      <c r="A3" s="3"/>
      <c r="B3" s="3"/>
      <c r="C3" s="3"/>
      <c r="D3" s="3"/>
      <c r="E3" s="3"/>
      <c r="F3" s="3"/>
      <c r="G3" s="3"/>
      <c r="H3" s="3"/>
      <c r="I3" s="3"/>
    </row>
    <row r="4" spans="1:9" ht="21" customHeight="1">
      <c r="A4" s="4" t="s">
        <v>1860</v>
      </c>
      <c r="B4" s="1"/>
      <c r="C4" s="1"/>
      <c r="D4" s="1"/>
      <c r="E4" s="1"/>
      <c r="F4" s="1"/>
      <c r="G4" s="1"/>
      <c r="H4" s="1"/>
      <c r="I4" s="1"/>
    </row>
    <row r="5" spans="1:9" ht="21" customHeight="1">
      <c r="A5" s="1" t="s">
        <v>1861</v>
      </c>
      <c r="B5" s="21">
        <f>IF(ISNUMBER(E5),'Criterios y fuentes'!$B$33-'Criterios y fuentes'!$B$34*E5,"Revisar puntuaciones")</f>
        <v>0.87499999999999989</v>
      </c>
      <c r="C5" s="1"/>
      <c r="D5" s="1" t="s">
        <v>1800</v>
      </c>
      <c r="E5" s="12">
        <f>IF(COUNTIF(I9:I16,"&lt;&gt;Válido")&gt;0,"Revisar factores",SUM(E9:E16))</f>
        <v>17.5</v>
      </c>
      <c r="F5" s="1"/>
      <c r="G5" s="1"/>
      <c r="H5" s="1"/>
      <c r="I5" s="1"/>
    </row>
    <row r="6" spans="1:9" ht="21" customHeight="1">
      <c r="A6" s="1" t="s">
        <v>1862</v>
      </c>
      <c r="B6" s="18">
        <f>IF(COUNTIF(I9:I16,"&lt;&gt;Válido")&gt;0,"Revisar ambiente",SUM(H9:H16))</f>
        <v>1</v>
      </c>
      <c r="C6" s="1"/>
      <c r="D6" s="1"/>
      <c r="E6" s="1"/>
      <c r="F6" s="1"/>
      <c r="G6" s="1"/>
      <c r="H6" s="1"/>
      <c r="I6" s="1"/>
    </row>
    <row r="7" spans="1:9" ht="21" customHeight="1">
      <c r="A7" s="1"/>
      <c r="B7" s="1"/>
      <c r="C7" s="1"/>
      <c r="D7" s="1"/>
      <c r="E7" s="1"/>
      <c r="F7" s="1"/>
      <c r="G7" s="1"/>
      <c r="H7" s="1"/>
      <c r="I7" s="1"/>
    </row>
    <row r="8" spans="1:9" ht="31.95" customHeight="1">
      <c r="A8" s="8" t="s">
        <v>1801</v>
      </c>
      <c r="B8" s="11" t="s">
        <v>1863</v>
      </c>
      <c r="C8" s="11" t="s">
        <v>1673</v>
      </c>
      <c r="D8" s="11" t="s">
        <v>1803</v>
      </c>
      <c r="E8" s="11" t="s">
        <v>1804</v>
      </c>
      <c r="F8" s="11" t="s">
        <v>1805</v>
      </c>
      <c r="G8" s="11" t="s">
        <v>1806</v>
      </c>
      <c r="H8" s="11" t="s">
        <v>1864</v>
      </c>
      <c r="I8" s="9" t="s">
        <v>55</v>
      </c>
    </row>
    <row r="9" spans="1:9" ht="57" customHeight="1">
      <c r="A9" s="1" t="s">
        <v>58</v>
      </c>
      <c r="B9" s="10" t="s">
        <v>1865</v>
      </c>
      <c r="C9" s="22">
        <v>1.5</v>
      </c>
      <c r="D9" s="23">
        <v>4</v>
      </c>
      <c r="E9" s="22">
        <f t="shared" ref="E9:E16" si="0">IF(I9="Válido",C9*D9,"Revisar valor")</f>
        <v>6</v>
      </c>
      <c r="F9" s="10" t="s">
        <v>1866</v>
      </c>
      <c r="G9" s="10" t="s">
        <v>1867</v>
      </c>
      <c r="H9" s="10">
        <f t="shared" ref="H9:H16" si="1">IF(I9&lt;&gt;"Válido","Revisar",IF(C9&gt;0,IF(D9&lt;3,1,0),IF(D9&gt;3,1,0)))</f>
        <v>0</v>
      </c>
      <c r="I9" s="10" t="str">
        <f t="shared" ref="I9:I16" si="2">IF(AND(ISNUMBER(D9),D9&gt;=0,D9&lt;=5,MOD(D9,1)=0),"Válido","Revisar puntuación")</f>
        <v>Válido</v>
      </c>
    </row>
    <row r="10" spans="1:9" ht="57" customHeight="1">
      <c r="A10" s="1" t="s">
        <v>216</v>
      </c>
      <c r="B10" s="10" t="s">
        <v>1868</v>
      </c>
      <c r="C10" s="22">
        <v>0.5</v>
      </c>
      <c r="D10" s="23">
        <v>3</v>
      </c>
      <c r="E10" s="22">
        <f t="shared" si="0"/>
        <v>1.5</v>
      </c>
      <c r="F10" s="10" t="s">
        <v>1869</v>
      </c>
      <c r="G10" s="10" t="s">
        <v>1870</v>
      </c>
      <c r="H10" s="10">
        <f t="shared" si="1"/>
        <v>0</v>
      </c>
      <c r="I10" s="10" t="str">
        <f t="shared" si="2"/>
        <v>Válido</v>
      </c>
    </row>
    <row r="11" spans="1:9" ht="57" customHeight="1">
      <c r="A11" s="1" t="s">
        <v>1871</v>
      </c>
      <c r="B11" s="10" t="s">
        <v>1872</v>
      </c>
      <c r="C11" s="22">
        <v>1</v>
      </c>
      <c r="D11" s="23">
        <v>4</v>
      </c>
      <c r="E11" s="22">
        <f t="shared" si="0"/>
        <v>4</v>
      </c>
      <c r="F11" s="10" t="s">
        <v>1873</v>
      </c>
      <c r="G11" s="10" t="s">
        <v>1874</v>
      </c>
      <c r="H11" s="10">
        <f t="shared" si="1"/>
        <v>0</v>
      </c>
      <c r="I11" s="10" t="str">
        <f t="shared" si="2"/>
        <v>Válido</v>
      </c>
    </row>
    <row r="12" spans="1:9" ht="57" customHeight="1">
      <c r="A12" s="1" t="s">
        <v>1875</v>
      </c>
      <c r="B12" s="10" t="s">
        <v>1876</v>
      </c>
      <c r="C12" s="22">
        <v>0.5</v>
      </c>
      <c r="D12" s="23">
        <v>4</v>
      </c>
      <c r="E12" s="22">
        <f t="shared" si="0"/>
        <v>2</v>
      </c>
      <c r="F12" s="10" t="s">
        <v>1877</v>
      </c>
      <c r="G12" s="10" t="s">
        <v>1878</v>
      </c>
      <c r="H12" s="10">
        <f t="shared" si="1"/>
        <v>0</v>
      </c>
      <c r="I12" s="10" t="str">
        <f t="shared" si="2"/>
        <v>Válido</v>
      </c>
    </row>
    <row r="13" spans="1:9" ht="57" customHeight="1">
      <c r="A13" s="1" t="s">
        <v>1879</v>
      </c>
      <c r="B13" s="10" t="s">
        <v>1880</v>
      </c>
      <c r="C13" s="22">
        <v>1</v>
      </c>
      <c r="D13" s="23">
        <v>4</v>
      </c>
      <c r="E13" s="22">
        <f t="shared" si="0"/>
        <v>4</v>
      </c>
      <c r="F13" s="10" t="s">
        <v>1881</v>
      </c>
      <c r="G13" s="10" t="s">
        <v>1882</v>
      </c>
      <c r="H13" s="10">
        <f t="shared" si="1"/>
        <v>0</v>
      </c>
      <c r="I13" s="10" t="str">
        <f t="shared" si="2"/>
        <v>Válido</v>
      </c>
    </row>
    <row r="14" spans="1:9" ht="57" customHeight="1">
      <c r="A14" s="1" t="s">
        <v>1883</v>
      </c>
      <c r="B14" s="10" t="s">
        <v>1884</v>
      </c>
      <c r="C14" s="22">
        <v>2</v>
      </c>
      <c r="D14" s="23">
        <v>2</v>
      </c>
      <c r="E14" s="22">
        <f t="shared" si="0"/>
        <v>4</v>
      </c>
      <c r="F14" s="10" t="s">
        <v>1885</v>
      </c>
      <c r="G14" s="10" t="s">
        <v>1886</v>
      </c>
      <c r="H14" s="10">
        <f t="shared" si="1"/>
        <v>1</v>
      </c>
      <c r="I14" s="10" t="str">
        <f t="shared" si="2"/>
        <v>Válido</v>
      </c>
    </row>
    <row r="15" spans="1:9" ht="57" customHeight="1">
      <c r="A15" s="1" t="s">
        <v>1887</v>
      </c>
      <c r="B15" s="10" t="s">
        <v>1888</v>
      </c>
      <c r="C15" s="22">
        <v>-1</v>
      </c>
      <c r="D15" s="23">
        <v>2</v>
      </c>
      <c r="E15" s="22">
        <f t="shared" si="0"/>
        <v>-2</v>
      </c>
      <c r="F15" s="10" t="s">
        <v>1889</v>
      </c>
      <c r="G15" s="10" t="s">
        <v>1890</v>
      </c>
      <c r="H15" s="10">
        <f t="shared" si="1"/>
        <v>0</v>
      </c>
      <c r="I15" s="10" t="str">
        <f t="shared" si="2"/>
        <v>Válido</v>
      </c>
    </row>
    <row r="16" spans="1:9" ht="57" customHeight="1">
      <c r="A16" s="1" t="s">
        <v>1891</v>
      </c>
      <c r="B16" s="10" t="s">
        <v>1892</v>
      </c>
      <c r="C16" s="22">
        <v>-1</v>
      </c>
      <c r="D16" s="23">
        <v>2</v>
      </c>
      <c r="E16" s="22">
        <f t="shared" si="0"/>
        <v>-2</v>
      </c>
      <c r="F16" s="10" t="s">
        <v>1893</v>
      </c>
      <c r="G16" s="10" t="s">
        <v>1894</v>
      </c>
      <c r="H16" s="10">
        <f t="shared" si="1"/>
        <v>0</v>
      </c>
      <c r="I16" s="10" t="str">
        <f t="shared" si="2"/>
        <v>Válido</v>
      </c>
    </row>
  </sheetData>
  <conditionalFormatting sqref="I9:I16">
    <cfRule type="expression" dxfId="3" priority="1">
      <formula>LEFT($I9,7)="Revisar"</formula>
    </cfRule>
  </conditionalFormatting>
  <dataValidations count="1">
    <dataValidation type="whole" sqref="D9:D16" xr:uid="{00000000-0002-0000-0700-000000000000}">
      <formula1>0</formula1>
      <formula2>5</formula2>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0"/>
  <sheetViews>
    <sheetView showGridLines="0" workbookViewId="0"/>
  </sheetViews>
  <sheetFormatPr baseColWidth="10" defaultColWidth="8.796875" defaultRowHeight="13.8"/>
  <cols>
    <col min="1" max="1" width="36" customWidth="1"/>
    <col min="2" max="4" width="20" customWidth="1"/>
    <col min="5" max="5" width="78" customWidth="1"/>
  </cols>
  <sheetData>
    <row r="1" spans="1:5" ht="21" customHeight="1">
      <c r="A1" s="1"/>
      <c r="B1" s="1"/>
      <c r="C1" s="1"/>
      <c r="D1" s="1"/>
      <c r="E1" s="1"/>
    </row>
    <row r="2" spans="1:5" ht="21" customHeight="1">
      <c r="A2" s="2" t="s">
        <v>1895</v>
      </c>
      <c r="B2" s="1"/>
      <c r="C2" s="1"/>
      <c r="D2" s="1"/>
      <c r="E2" s="1"/>
    </row>
    <row r="3" spans="1:5" ht="21" customHeight="1">
      <c r="A3" s="3"/>
      <c r="B3" s="3"/>
      <c r="C3" s="3"/>
      <c r="D3" s="3"/>
      <c r="E3" s="3"/>
    </row>
    <row r="4" spans="1:5" ht="21" customHeight="1">
      <c r="A4" s="4" t="s">
        <v>1896</v>
      </c>
      <c r="B4" s="1"/>
      <c r="C4" s="1"/>
      <c r="D4" s="1"/>
      <c r="E4" s="1"/>
    </row>
    <row r="5" spans="1:5" ht="21" customHeight="1">
      <c r="A5" s="1"/>
      <c r="B5" s="1"/>
      <c r="C5" s="1"/>
      <c r="D5" s="1"/>
      <c r="E5" s="1"/>
    </row>
    <row r="6" spans="1:5" ht="21" customHeight="1">
      <c r="A6" s="1"/>
      <c r="B6" s="1"/>
      <c r="C6" s="1"/>
      <c r="D6" s="1"/>
      <c r="E6" s="1"/>
    </row>
    <row r="7" spans="1:5" ht="21" customHeight="1">
      <c r="A7" s="1"/>
      <c r="B7" s="1"/>
      <c r="C7" s="1"/>
      <c r="D7" s="1"/>
      <c r="E7" s="1"/>
    </row>
    <row r="8" spans="1:5" ht="31.95" customHeight="1">
      <c r="A8" s="8" t="s">
        <v>1790</v>
      </c>
      <c r="B8" s="11" t="s">
        <v>1791</v>
      </c>
      <c r="C8" s="11" t="s">
        <v>25</v>
      </c>
      <c r="D8" s="11" t="s">
        <v>28</v>
      </c>
      <c r="E8" s="9" t="s">
        <v>1897</v>
      </c>
    </row>
    <row r="9" spans="1:5" ht="36" customHeight="1">
      <c r="A9" s="1" t="s">
        <v>1795</v>
      </c>
      <c r="B9" s="28">
        <f>'Puntos sin ajustar'!B11</f>
        <v>865</v>
      </c>
      <c r="C9" s="28">
        <f>'Puntos sin ajustar'!C11</f>
        <v>689.81012658227849</v>
      </c>
      <c r="D9" s="28">
        <f>'Puntos sin ajustar'!D11</f>
        <v>175.18987341772151</v>
      </c>
      <c r="E9" s="10" t="s">
        <v>1898</v>
      </c>
    </row>
    <row r="10" spans="1:5" ht="36" customHeight="1">
      <c r="A10" s="1" t="s">
        <v>1799</v>
      </c>
      <c r="B10" s="28">
        <f>'Factores tecnicos'!B5</f>
        <v>1.2549999999999999</v>
      </c>
      <c r="C10" s="28">
        <f>'Factores tecnicos'!B5</f>
        <v>1.2549999999999999</v>
      </c>
      <c r="D10" s="28">
        <f>'Factores tecnicos'!B5</f>
        <v>1.2549999999999999</v>
      </c>
      <c r="E10" s="10" t="s">
        <v>1899</v>
      </c>
    </row>
    <row r="11" spans="1:5" ht="36" customHeight="1">
      <c r="A11" s="1" t="s">
        <v>1861</v>
      </c>
      <c r="B11" s="28">
        <f>'Factores ambiente'!B5</f>
        <v>0.87499999999999989</v>
      </c>
      <c r="C11" s="28">
        <f>'Factores ambiente'!B5</f>
        <v>0.87499999999999989</v>
      </c>
      <c r="D11" s="28">
        <f>'Factores ambiente'!B5</f>
        <v>0.87499999999999989</v>
      </c>
      <c r="E11" s="10" t="s">
        <v>1900</v>
      </c>
    </row>
    <row r="12" spans="1:5" ht="36" customHeight="1">
      <c r="A12" s="25" t="s">
        <v>24</v>
      </c>
      <c r="B12" s="29">
        <f>IF(AND(ISNUMBER(B9),ISNUMBER(B10),ISNUMBER(B11)),B9*B10*B11,"Revisar factores o conteo")</f>
        <v>949.87812499999973</v>
      </c>
      <c r="C12" s="29">
        <f>IF(AND(ISNUMBER(C9),ISNUMBER(C10),ISNUMBER(C11)),C9*C10*C11,"Revisar factores o conteo")</f>
        <v>757.49774525316445</v>
      </c>
      <c r="D12" s="29">
        <f>IF(AND(ISNUMBER(D9),ISNUMBER(D10),ISNUMBER(D11)),D9*D10*D11,"Revisar factores o conteo")</f>
        <v>192.38037974683542</v>
      </c>
      <c r="E12" s="27" t="s">
        <v>1901</v>
      </c>
    </row>
    <row r="13" spans="1:5" ht="21" customHeight="1">
      <c r="A13" s="1"/>
      <c r="B13" s="1"/>
      <c r="C13" s="1"/>
      <c r="D13" s="1"/>
      <c r="E13" s="1"/>
    </row>
    <row r="14" spans="1:5" ht="21" customHeight="1">
      <c r="A14" s="1"/>
      <c r="B14" s="1"/>
      <c r="C14" s="1"/>
      <c r="D14" s="1"/>
      <c r="E14" s="1"/>
    </row>
    <row r="15" spans="1:5" ht="21" customHeight="1">
      <c r="A15" s="1"/>
      <c r="B15" s="1"/>
      <c r="C15" s="1"/>
      <c r="D15" s="1"/>
      <c r="E15" s="1"/>
    </row>
    <row r="16" spans="1:5" ht="21" customHeight="1">
      <c r="A16" s="1"/>
      <c r="B16" s="1"/>
      <c r="C16" s="1"/>
      <c r="D16" s="1"/>
      <c r="E16" s="1"/>
    </row>
    <row r="17" spans="1:5" ht="21" customHeight="1">
      <c r="A17" s="1"/>
      <c r="B17" s="1"/>
      <c r="C17" s="1"/>
      <c r="D17" s="1"/>
      <c r="E17" s="1"/>
    </row>
    <row r="18" spans="1:5" ht="21" customHeight="1">
      <c r="A18" s="1"/>
      <c r="B18" s="1"/>
      <c r="C18" s="1"/>
      <c r="D18" s="1"/>
      <c r="E18" s="1"/>
    </row>
    <row r="19" spans="1:5" ht="21" customHeight="1">
      <c r="A19" s="1"/>
      <c r="B19" s="1"/>
      <c r="C19" s="1"/>
      <c r="D19" s="1"/>
      <c r="E19" s="1"/>
    </row>
    <row r="20" spans="1:5" ht="21" customHeight="1">
      <c r="A20" s="1"/>
      <c r="B20" s="1"/>
      <c r="C20" s="1"/>
      <c r="D20" s="1"/>
      <c r="E20"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3"/>
  <sheetViews>
    <sheetView showGridLines="0" workbookViewId="0"/>
  </sheetViews>
  <sheetFormatPr baseColWidth="10" defaultColWidth="8.796875" defaultRowHeight="13.8"/>
  <cols>
    <col min="1" max="1" width="47" customWidth="1"/>
    <col min="2" max="2" width="23" customWidth="1"/>
    <col min="3" max="3" width="19" customWidth="1"/>
    <col min="4" max="5" width="23" customWidth="1"/>
    <col min="6" max="6" width="88" customWidth="1"/>
  </cols>
  <sheetData>
    <row r="1" spans="1:6" ht="21" customHeight="1">
      <c r="A1" s="1"/>
      <c r="B1" s="1"/>
      <c r="C1" s="1"/>
      <c r="D1" s="1"/>
      <c r="E1" s="1"/>
      <c r="F1" s="1"/>
    </row>
    <row r="2" spans="1:6" ht="21" customHeight="1">
      <c r="A2" s="2" t="s">
        <v>1902</v>
      </c>
      <c r="B2" s="1"/>
      <c r="C2" s="1"/>
      <c r="D2" s="1"/>
      <c r="E2" s="1"/>
      <c r="F2" s="1"/>
    </row>
    <row r="3" spans="1:6" ht="21" customHeight="1">
      <c r="A3" s="3"/>
      <c r="B3" s="3"/>
      <c r="C3" s="3"/>
      <c r="D3" s="3"/>
      <c r="E3" s="3"/>
      <c r="F3" s="3"/>
    </row>
    <row r="4" spans="1:6" ht="21" customHeight="1">
      <c r="A4" s="4" t="s">
        <v>1903</v>
      </c>
      <c r="B4" s="1"/>
      <c r="C4" s="1"/>
      <c r="D4" s="1"/>
      <c r="E4" s="1"/>
      <c r="F4" s="1"/>
    </row>
    <row r="5" spans="1:6" ht="21" customHeight="1">
      <c r="A5" s="1" t="s">
        <v>1904</v>
      </c>
      <c r="B5" s="30">
        <f>B14</f>
        <v>47493.906249999978</v>
      </c>
      <c r="C5" s="1"/>
      <c r="D5" s="1"/>
      <c r="E5" s="1"/>
      <c r="F5" s="1"/>
    </row>
    <row r="6" spans="1:6" ht="21" customHeight="1">
      <c r="A6" s="1"/>
      <c r="B6" s="1"/>
      <c r="C6" s="1"/>
      <c r="D6" s="1"/>
      <c r="E6" s="1"/>
      <c r="F6" s="1"/>
    </row>
    <row r="7" spans="1:6" ht="21" customHeight="1">
      <c r="A7" s="1"/>
      <c r="B7" s="1"/>
      <c r="C7" s="1"/>
      <c r="D7" s="1"/>
      <c r="E7" s="1"/>
      <c r="F7" s="1"/>
    </row>
    <row r="8" spans="1:6" ht="31.95" customHeight="1">
      <c r="A8" s="8" t="s">
        <v>1905</v>
      </c>
      <c r="B8" s="11" t="s">
        <v>1906</v>
      </c>
      <c r="C8" s="11" t="s">
        <v>1907</v>
      </c>
      <c r="D8" s="11" t="s">
        <v>25</v>
      </c>
      <c r="E8" s="11" t="s">
        <v>28</v>
      </c>
      <c r="F8" s="9" t="s">
        <v>1792</v>
      </c>
    </row>
    <row r="9" spans="1:6" ht="43.05" customHeight="1">
      <c r="A9" s="1" t="s">
        <v>1908</v>
      </c>
      <c r="B9" s="24">
        <f>'Puntos ajustados'!B12</f>
        <v>949.87812499999973</v>
      </c>
      <c r="C9" s="1" t="s">
        <v>24</v>
      </c>
      <c r="D9" s="24">
        <f>'Puntos ajustados'!C12</f>
        <v>757.49774525316445</v>
      </c>
      <c r="E9" s="24">
        <f>'Puntos ajustados'!D12</f>
        <v>192.38037974683542</v>
      </c>
      <c r="F9" s="10" t="s">
        <v>1909</v>
      </c>
    </row>
    <row r="10" spans="1:6" ht="43.05" customHeight="1">
      <c r="A10" s="1" t="s">
        <v>1910</v>
      </c>
      <c r="B10" s="31">
        <f>'Factores ambiente'!B6</f>
        <v>1</v>
      </c>
      <c r="C10" s="1" t="s">
        <v>1911</v>
      </c>
      <c r="D10" s="24"/>
      <c r="E10" s="24"/>
      <c r="F10" s="10" t="s">
        <v>1912</v>
      </c>
    </row>
    <row r="11" spans="1:6" ht="43.05" customHeight="1">
      <c r="A11" s="1" t="s">
        <v>26</v>
      </c>
      <c r="B11" s="24">
        <f>IF(ISNUMBER(B10),IF(B10&gt;='Criterios y fuentes'!$E$33,"Replantear",IF(B10&lt;='Criterios y fuentes'!$E$31,'Criterios y fuentes'!$F$31,'Criterios y fuentes'!$F$32)),"Revisar ambiente")</f>
        <v>20</v>
      </c>
      <c r="C11" s="1" t="s">
        <v>1913</v>
      </c>
      <c r="D11" s="24"/>
      <c r="E11" s="24"/>
      <c r="F11" s="10" t="s">
        <v>1914</v>
      </c>
    </row>
    <row r="12" spans="1:6" ht="43.05" customHeight="1">
      <c r="A12" s="1" t="s">
        <v>1915</v>
      </c>
      <c r="B12" s="24">
        <f>IF(AND(ISNUMBER(B9),ISNUMBER(B11)),B9*B11,IF(B11="Replantear","Replantear","Revisar entradas"))</f>
        <v>18997.562499999993</v>
      </c>
      <c r="C12" s="1" t="s">
        <v>30</v>
      </c>
      <c r="D12" s="24">
        <f>IF(AND(ISNUMBER(D9),ISNUMBER($B$11)),D9*$B$11,$B$12)</f>
        <v>15149.954905063289</v>
      </c>
      <c r="E12" s="24">
        <f>IF(AND(ISNUMBER(E9),ISNUMBER($B$11)),E9*$B$11,$B$12)</f>
        <v>3847.6075949367082</v>
      </c>
      <c r="F12" s="10" t="s">
        <v>1916</v>
      </c>
    </row>
    <row r="13" spans="1:6" ht="43.05" customHeight="1">
      <c r="A13" s="1" t="s">
        <v>1917</v>
      </c>
      <c r="B13" s="32">
        <f>B22</f>
        <v>0.4</v>
      </c>
      <c r="C13" s="1" t="s">
        <v>1918</v>
      </c>
      <c r="D13" s="24"/>
      <c r="E13" s="24"/>
      <c r="F13" s="10" t="s">
        <v>1919</v>
      </c>
    </row>
    <row r="14" spans="1:6" ht="43.05" customHeight="1">
      <c r="A14" s="1" t="s">
        <v>1920</v>
      </c>
      <c r="B14" s="24">
        <f>IF(B11="Replantear","Replantear",IF(NOT(ISNUMBER(B12)),"Revisar entradas",IF(AND(COUNT(B20:B24)=5,MIN(B20:B24)&gt;=0,MAX(B20:B24)&lt;=1,ABS(SUM(B20:B24)-1)&lt;0.000000001,B22&gt;0),B12/B22,"Revisar porcentajes")))</f>
        <v>47493.906249999978</v>
      </c>
      <c r="C14" s="1" t="s">
        <v>30</v>
      </c>
      <c r="D14" s="24">
        <f>IF(AND(ISNUMBER(D12),ISNUMBER($B$14)),D12/$B$22,$B$14)</f>
        <v>37874.887262658216</v>
      </c>
      <c r="E14" s="24">
        <f>IF(AND(ISNUMBER(E12),ISNUMBER($B$14)),E12/$B$22,$B$14)</f>
        <v>9619.0189873417694</v>
      </c>
      <c r="F14" s="10" t="s">
        <v>1921</v>
      </c>
    </row>
    <row r="15" spans="1:6" ht="43.05" customHeight="1">
      <c r="A15" s="1" t="s">
        <v>1922</v>
      </c>
      <c r="B15" s="1" t="str">
        <f>IF(B11="Replantear","Replantear: 5 o más factores desfavorables",IF(ISNUMBER(B14),"Calculado con valores propuestos",B14))</f>
        <v>Calculado con valores propuestos</v>
      </c>
      <c r="C15" s="1"/>
      <c r="D15" s="1"/>
      <c r="E15" s="1"/>
      <c r="F15" s="10" t="s">
        <v>1923</v>
      </c>
    </row>
    <row r="16" spans="1:6" ht="21" customHeight="1">
      <c r="A16" s="1"/>
      <c r="B16" s="1"/>
      <c r="C16" s="1"/>
      <c r="D16" s="1"/>
      <c r="E16" s="1"/>
      <c r="F16" s="10"/>
    </row>
    <row r="17" spans="1:6" ht="21" customHeight="1">
      <c r="A17" s="1"/>
      <c r="B17" s="1"/>
      <c r="C17" s="1"/>
      <c r="D17" s="1"/>
      <c r="E17" s="1"/>
      <c r="F17" s="10"/>
    </row>
    <row r="18" spans="1:6" ht="21" customHeight="1">
      <c r="A18" s="1"/>
      <c r="B18" s="1"/>
      <c r="C18" s="1"/>
      <c r="D18" s="1"/>
      <c r="E18" s="1"/>
      <c r="F18" s="10"/>
    </row>
    <row r="19" spans="1:6" ht="31.95" customHeight="1">
      <c r="A19" s="8" t="s">
        <v>5</v>
      </c>
      <c r="B19" s="11" t="s">
        <v>6</v>
      </c>
      <c r="C19" s="11" t="s">
        <v>1924</v>
      </c>
      <c r="D19" s="11" t="s">
        <v>1925</v>
      </c>
      <c r="E19" s="11" t="s">
        <v>1926</v>
      </c>
      <c r="F19" s="9" t="s">
        <v>1927</v>
      </c>
    </row>
    <row r="20" spans="1:6" ht="37.049999999999997" customHeight="1">
      <c r="A20" s="1" t="s">
        <v>1928</v>
      </c>
      <c r="B20" s="33">
        <v>0.1</v>
      </c>
      <c r="C20" s="24">
        <f>IF(ISNUMBER($B$14),$B$14*$B20,$B$14)</f>
        <v>4749.3906249999982</v>
      </c>
      <c r="D20" s="24">
        <f>IF(ISNUMBER($D$14),$D$14*$B20,$D$14)</f>
        <v>3787.4887262658217</v>
      </c>
      <c r="E20" s="24">
        <f>IF(ISNUMBER($E$14),$E$14*$B20,$E$14)</f>
        <v>961.90189873417694</v>
      </c>
      <c r="F20" s="10" t="s">
        <v>1929</v>
      </c>
    </row>
    <row r="21" spans="1:6" ht="37.049999999999997" customHeight="1">
      <c r="A21" s="1" t="s">
        <v>1930</v>
      </c>
      <c r="B21" s="33">
        <v>0.2</v>
      </c>
      <c r="C21" s="24">
        <f>IF(ISNUMBER($B$14),$B$14*$B21,$B$14)</f>
        <v>9498.7812499999964</v>
      </c>
      <c r="D21" s="24">
        <f>IF(ISNUMBER($D$14),$D$14*$B21,$D$14)</f>
        <v>7574.9774525316434</v>
      </c>
      <c r="E21" s="24">
        <f>IF(ISNUMBER($E$14),$E$14*$B21,$E$14)</f>
        <v>1923.8037974683539</v>
      </c>
      <c r="F21" s="10" t="s">
        <v>1931</v>
      </c>
    </row>
    <row r="22" spans="1:6" ht="37.049999999999997" customHeight="1">
      <c r="A22" s="1" t="s">
        <v>1932</v>
      </c>
      <c r="B22" s="33">
        <v>0.4</v>
      </c>
      <c r="C22" s="24">
        <f>IF(ISNUMBER($B$14),$B$14*$B22,$B$14)</f>
        <v>18997.562499999993</v>
      </c>
      <c r="D22" s="24">
        <f>IF(ISNUMBER($D$14),$D$14*$B22,$D$14)</f>
        <v>15149.954905063287</v>
      </c>
      <c r="E22" s="24">
        <f>IF(ISNUMBER($E$14),$E$14*$B22,$E$14)</f>
        <v>3847.6075949367078</v>
      </c>
      <c r="F22" s="10" t="s">
        <v>1933</v>
      </c>
    </row>
    <row r="23" spans="1:6" ht="37.049999999999997" customHeight="1">
      <c r="A23" s="1" t="s">
        <v>1934</v>
      </c>
      <c r="B23" s="33">
        <v>0.15</v>
      </c>
      <c r="C23" s="24">
        <f>IF(ISNUMBER($B$14),$B$14*$B23,$B$14)</f>
        <v>7124.0859374999964</v>
      </c>
      <c r="D23" s="24">
        <f>IF(ISNUMBER($D$14),$D$14*$B23,$D$14)</f>
        <v>5681.2330893987319</v>
      </c>
      <c r="E23" s="24">
        <f>IF(ISNUMBER($E$14),$E$14*$B23,$E$14)</f>
        <v>1442.8528481012654</v>
      </c>
      <c r="F23" s="10" t="s">
        <v>1935</v>
      </c>
    </row>
    <row r="24" spans="1:6" ht="37.049999999999997" customHeight="1">
      <c r="A24" s="1" t="s">
        <v>1936</v>
      </c>
      <c r="B24" s="33">
        <v>0.15</v>
      </c>
      <c r="C24" s="24">
        <f>IF(ISNUMBER($B$14),$B$14*$B24,$B$14)</f>
        <v>7124.0859374999964</v>
      </c>
      <c r="D24" s="24">
        <f>IF(ISNUMBER($D$14),$D$14*$B24,$D$14)</f>
        <v>5681.2330893987319</v>
      </c>
      <c r="E24" s="24">
        <f>IF(ISNUMBER($E$14),$E$14*$B24,$E$14)</f>
        <v>1442.8528481012654</v>
      </c>
      <c r="F24" s="10" t="s">
        <v>1937</v>
      </c>
    </row>
    <row r="25" spans="1:6" ht="37.049999999999997" customHeight="1">
      <c r="A25" s="25" t="s">
        <v>1791</v>
      </c>
      <c r="B25" s="34">
        <f>SUM(B20:B24)</f>
        <v>1</v>
      </c>
      <c r="C25" s="26">
        <f>IF(ISNUMBER($B$14),SUM(C20:C24),$B$14)</f>
        <v>47493.906249999985</v>
      </c>
      <c r="D25" s="26">
        <f>IF(ISNUMBER($B$14),SUM(D20:D24),$B$14)</f>
        <v>37874.887262658216</v>
      </c>
      <c r="E25" s="26">
        <f>IF(ISNUMBER($B$14),SUM(E20:E24),$B$14)</f>
        <v>9619.0189873417694</v>
      </c>
      <c r="F25" s="27" t="s">
        <v>1938</v>
      </c>
    </row>
    <row r="26" spans="1:6" ht="21" customHeight="1">
      <c r="A26" s="1"/>
      <c r="B26" s="1"/>
      <c r="C26" s="1"/>
      <c r="D26" s="1"/>
      <c r="E26" s="1"/>
      <c r="F26" s="1"/>
    </row>
    <row r="27" spans="1:6" ht="21" customHeight="1">
      <c r="A27" s="1"/>
      <c r="B27" s="1"/>
      <c r="C27" s="1"/>
      <c r="D27" s="1"/>
      <c r="E27" s="1"/>
      <c r="F27" s="1"/>
    </row>
    <row r="28" spans="1:6" ht="21" customHeight="1">
      <c r="A28" s="1" t="s">
        <v>1939</v>
      </c>
      <c r="B28" s="1"/>
      <c r="C28" s="1"/>
      <c r="D28" s="1"/>
      <c r="E28" s="1"/>
      <c r="F28" s="1"/>
    </row>
    <row r="29" spans="1:6" ht="21" customHeight="1">
      <c r="A29" s="1"/>
      <c r="B29" s="1"/>
      <c r="C29" s="1"/>
      <c r="D29" s="1"/>
      <c r="E29" s="1"/>
      <c r="F29" s="1"/>
    </row>
    <row r="30" spans="1:6" ht="21" customHeight="1">
      <c r="A30" s="1" t="s">
        <v>1940</v>
      </c>
      <c r="B30" s="1"/>
      <c r="C30" s="1"/>
      <c r="D30" s="1"/>
      <c r="E30" s="1"/>
      <c r="F30" s="1"/>
    </row>
    <row r="31" spans="1:6" ht="21" customHeight="1">
      <c r="A31" s="1"/>
      <c r="B31" s="1"/>
      <c r="C31" s="1"/>
      <c r="D31" s="1"/>
      <c r="E31" s="1"/>
      <c r="F31" s="1"/>
    </row>
    <row r="32" spans="1:6" ht="21" customHeight="1">
      <c r="A32" s="1" t="s">
        <v>1941</v>
      </c>
      <c r="B32" s="1"/>
      <c r="C32" s="1"/>
      <c r="D32" s="1"/>
      <c r="E32" s="1"/>
      <c r="F32" s="1"/>
    </row>
    <row r="33" spans="1:6" ht="21" customHeight="1">
      <c r="A33" s="1"/>
      <c r="B33" s="1"/>
      <c r="C33" s="1"/>
      <c r="D33" s="1"/>
      <c r="E33" s="1"/>
      <c r="F33" s="1"/>
    </row>
  </sheetData>
  <conditionalFormatting sqref="B14">
    <cfRule type="expression" dxfId="2" priority="2">
      <formula>NOT(ISNUMBER($B$14))</formula>
    </cfRule>
  </conditionalFormatting>
  <conditionalFormatting sqref="B25">
    <cfRule type="expression" dxfId="1" priority="1">
      <formula>ABS($B$25-1)&gt;0.000000001</formula>
    </cfRule>
  </conditionalFormatting>
  <dataValidations count="1">
    <dataValidation type="decimal" sqref="B20:B24" xr:uid="{00000000-0002-0000-0900-000000000000}">
      <formula1>0</formula1>
      <formula2>1</formula2>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93"/>
  <sheetViews>
    <sheetView showGridLines="0" workbookViewId="0">
      <pane xSplit="1" ySplit="8" topLeftCell="B9" activePane="bottomRight" state="frozen"/>
      <selection pane="topRight"/>
      <selection pane="bottomLeft"/>
      <selection pane="bottomRight" activeCell="B9" sqref="B9"/>
    </sheetView>
  </sheetViews>
  <sheetFormatPr baseColWidth="10" defaultColWidth="8.796875" defaultRowHeight="13.8"/>
  <cols>
    <col min="1" max="1" width="20" customWidth="1"/>
    <col min="2" max="2" width="112" customWidth="1"/>
    <col min="3" max="3" width="22" customWidth="1"/>
    <col min="4" max="4" width="39" customWidth="1"/>
    <col min="5" max="5" width="25" customWidth="1"/>
    <col min="6" max="6" width="30" customWidth="1"/>
    <col min="7" max="7" width="104" customWidth="1"/>
  </cols>
  <sheetData>
    <row r="1" spans="1:7" ht="21" customHeight="1">
      <c r="A1" s="1"/>
      <c r="B1" s="1"/>
      <c r="C1" s="1"/>
      <c r="D1" s="1"/>
      <c r="E1" s="1"/>
      <c r="F1" s="1"/>
      <c r="G1" s="1"/>
    </row>
    <row r="2" spans="1:7" ht="21" customHeight="1">
      <c r="A2" s="2" t="s">
        <v>1942</v>
      </c>
      <c r="B2" s="1"/>
      <c r="C2" s="1"/>
      <c r="D2" s="1"/>
      <c r="E2" s="1"/>
      <c r="F2" s="1"/>
      <c r="G2" s="1"/>
    </row>
    <row r="3" spans="1:7" ht="21" customHeight="1">
      <c r="A3" s="3"/>
      <c r="B3" s="3"/>
      <c r="C3" s="3"/>
      <c r="D3" s="3"/>
      <c r="E3" s="3"/>
      <c r="F3" s="3"/>
      <c r="G3" s="3"/>
    </row>
    <row r="4" spans="1:7" ht="21" customHeight="1">
      <c r="A4" s="4" t="s">
        <v>1943</v>
      </c>
      <c r="B4" s="1"/>
      <c r="C4" s="1"/>
      <c r="D4" s="1"/>
      <c r="E4" s="1"/>
      <c r="F4" s="1"/>
      <c r="G4" s="1"/>
    </row>
    <row r="5" spans="1:7" ht="21" customHeight="1">
      <c r="A5" s="1"/>
      <c r="B5" s="1"/>
      <c r="C5" s="1"/>
      <c r="D5" s="1"/>
      <c r="E5" s="1"/>
      <c r="F5" s="1"/>
      <c r="G5" s="1"/>
    </row>
    <row r="6" spans="1:7" ht="21" customHeight="1">
      <c r="A6" s="1"/>
      <c r="B6" s="1"/>
      <c r="C6" s="1"/>
      <c r="D6" s="1"/>
      <c r="E6" s="1"/>
      <c r="F6" s="1"/>
      <c r="G6" s="1"/>
    </row>
    <row r="7" spans="1:7" ht="21" customHeight="1">
      <c r="A7" s="1"/>
      <c r="B7" s="1"/>
      <c r="C7" s="1"/>
      <c r="D7" s="1"/>
      <c r="E7" s="1"/>
      <c r="F7" s="1"/>
      <c r="G7" s="1"/>
    </row>
    <row r="8" spans="1:7" ht="31.95" customHeight="1">
      <c r="A8" s="8" t="s">
        <v>1944</v>
      </c>
      <c r="B8" s="11" t="s">
        <v>1945</v>
      </c>
      <c r="C8" s="11" t="s">
        <v>1946</v>
      </c>
      <c r="D8" s="11" t="s">
        <v>1947</v>
      </c>
      <c r="E8" s="11" t="s">
        <v>1948</v>
      </c>
      <c r="F8" s="11" t="s">
        <v>1949</v>
      </c>
      <c r="G8" s="9" t="s">
        <v>1950</v>
      </c>
    </row>
    <row r="9" spans="1:7" ht="42" customHeight="1">
      <c r="A9" s="1" t="s">
        <v>1951</v>
      </c>
      <c r="B9" s="10" t="s">
        <v>1952</v>
      </c>
      <c r="C9" s="10" t="s">
        <v>1953</v>
      </c>
      <c r="D9" s="10" t="s">
        <v>56</v>
      </c>
      <c r="E9" s="10" t="s">
        <v>1954</v>
      </c>
      <c r="F9" s="10" t="str">
        <f>IF(AND(COUNTIF('Catalogo CU'!$A$9:$A$500,"CU-001")=1),IF(SUMIF('Catalogo CU'!$A$9:$A$500,"CU-001",'Catalogo CU'!$G$9:$G$500)=1,"Incluido",IF(SUMIF('Catalogo CU'!$A$9:$A$500,"CU-001",'Catalogo CU'!$G$9:$G$500)&gt;0,"Parcial por selección","Fuera por selección")),"Revisar vínculo")</f>
        <v>Incluido</v>
      </c>
      <c r="G9" s="10" t="s">
        <v>1955</v>
      </c>
    </row>
    <row r="10" spans="1:7" ht="57" customHeight="1">
      <c r="A10" s="1" t="s">
        <v>1956</v>
      </c>
      <c r="B10" s="10" t="s">
        <v>1957</v>
      </c>
      <c r="C10" s="10" t="s">
        <v>1953</v>
      </c>
      <c r="D10" s="10" t="s">
        <v>56</v>
      </c>
      <c r="E10" s="10" t="s">
        <v>1954</v>
      </c>
      <c r="F10" s="10" t="str">
        <f>IF(AND(COUNTIF('Catalogo CU'!$A$9:$A$500,"CU-001")=1),IF(SUMIF('Catalogo CU'!$A$9:$A$500,"CU-001",'Catalogo CU'!$G$9:$G$500)=1,"Incluido",IF(SUMIF('Catalogo CU'!$A$9:$A$500,"CU-001",'Catalogo CU'!$G$9:$G$500)&gt;0,"Parcial por selección","Fuera por selección")),"Revisar vínculo")</f>
        <v>Incluido</v>
      </c>
      <c r="G10" s="10" t="s">
        <v>1955</v>
      </c>
    </row>
    <row r="11" spans="1:7" ht="42" customHeight="1">
      <c r="A11" s="1" t="s">
        <v>1958</v>
      </c>
      <c r="B11" s="10" t="s">
        <v>1959</v>
      </c>
      <c r="C11" s="10" t="s">
        <v>1953</v>
      </c>
      <c r="D11" s="10" t="s">
        <v>56</v>
      </c>
      <c r="E11" s="10" t="s">
        <v>1954</v>
      </c>
      <c r="F11" s="10" t="str">
        <f>IF(AND(COUNTIF('Catalogo CU'!$A$9:$A$500,"CU-001")=1),IF(SUMIF('Catalogo CU'!$A$9:$A$500,"CU-001",'Catalogo CU'!$G$9:$G$500)=1,"Incluido",IF(SUMIF('Catalogo CU'!$A$9:$A$500,"CU-001",'Catalogo CU'!$G$9:$G$500)&gt;0,"Parcial por selección","Fuera por selección")),"Revisar vínculo")</f>
        <v>Incluido</v>
      </c>
      <c r="G11" s="10" t="s">
        <v>1955</v>
      </c>
    </row>
    <row r="12" spans="1:7" ht="57" customHeight="1">
      <c r="A12" s="1" t="s">
        <v>1960</v>
      </c>
      <c r="B12" s="10" t="s">
        <v>1961</v>
      </c>
      <c r="C12" s="10" t="s">
        <v>1962</v>
      </c>
      <c r="D12" s="10" t="s">
        <v>64</v>
      </c>
      <c r="E12" s="10" t="s">
        <v>1954</v>
      </c>
      <c r="F12" s="10" t="str">
        <f>IF(AND(COUNTIF('Catalogo CU'!$A$9:$A$500,"CU-002")=1),IF(SUMIF('Catalogo CU'!$A$9:$A$500,"CU-002",'Catalogo CU'!$G$9:$G$500)=1,"Incluido",IF(SUMIF('Catalogo CU'!$A$9:$A$500,"CU-002",'Catalogo CU'!$G$9:$G$500)&gt;0,"Parcial por selección","Fuera por selección")),"Revisar vínculo")</f>
        <v>Incluido</v>
      </c>
      <c r="G12" s="10" t="s">
        <v>1955</v>
      </c>
    </row>
    <row r="13" spans="1:7" ht="57" customHeight="1">
      <c r="A13" s="1" t="s">
        <v>1963</v>
      </c>
      <c r="B13" s="10" t="s">
        <v>1964</v>
      </c>
      <c r="C13" s="10" t="s">
        <v>1962</v>
      </c>
      <c r="D13" s="10" t="s">
        <v>64</v>
      </c>
      <c r="E13" s="10" t="s">
        <v>1954</v>
      </c>
      <c r="F13" s="10" t="str">
        <f>IF(AND(COUNTIF('Catalogo CU'!$A$9:$A$500,"CU-002")=1),IF(SUMIF('Catalogo CU'!$A$9:$A$500,"CU-002",'Catalogo CU'!$G$9:$G$500)=1,"Incluido",IF(SUMIF('Catalogo CU'!$A$9:$A$500,"CU-002",'Catalogo CU'!$G$9:$G$500)&gt;0,"Parcial por selección","Fuera por selección")),"Revisar vínculo")</f>
        <v>Incluido</v>
      </c>
      <c r="G13" s="10" t="s">
        <v>1955</v>
      </c>
    </row>
    <row r="14" spans="1:7" ht="57" customHeight="1">
      <c r="A14" s="1" t="s">
        <v>1965</v>
      </c>
      <c r="B14" s="10" t="s">
        <v>1966</v>
      </c>
      <c r="C14" s="10" t="s">
        <v>1962</v>
      </c>
      <c r="D14" s="10" t="s">
        <v>56</v>
      </c>
      <c r="E14" s="10" t="s">
        <v>1954</v>
      </c>
      <c r="F14" s="10" t="str">
        <f>IF(AND(COUNTIF('Catalogo CU'!$A$9:$A$500,"CU-001")=1),IF(SUMIF('Catalogo CU'!$A$9:$A$500,"CU-001",'Catalogo CU'!$G$9:$G$500)=1,"Incluido",IF(SUMIF('Catalogo CU'!$A$9:$A$500,"CU-001",'Catalogo CU'!$G$9:$G$500)&gt;0,"Parcial por selección","Fuera por selección")),"Revisar vínculo")</f>
        <v>Incluido</v>
      </c>
      <c r="G14" s="10" t="s">
        <v>1955</v>
      </c>
    </row>
    <row r="15" spans="1:7" ht="57" customHeight="1">
      <c r="A15" s="1" t="s">
        <v>72</v>
      </c>
      <c r="B15" s="10" t="s">
        <v>1967</v>
      </c>
      <c r="C15" s="10" t="s">
        <v>1968</v>
      </c>
      <c r="D15" s="10" t="s">
        <v>69</v>
      </c>
      <c r="E15" s="10" t="s">
        <v>1954</v>
      </c>
      <c r="F15" s="10" t="str">
        <f>IF(AND(COUNTIF('Catalogo CU'!$A$9:$A$500,"CU-003")=1),IF(SUMIF('Catalogo CU'!$A$9:$A$500,"CU-003",'Catalogo CU'!$G$9:$G$500)=1,"Incluido",IF(SUMIF('Catalogo CU'!$A$9:$A$500,"CU-003",'Catalogo CU'!$G$9:$G$500)&gt;0,"Parcial por selección","Fuera por selección")),"Revisar vínculo")</f>
        <v>Incluido</v>
      </c>
      <c r="G15" s="10" t="s">
        <v>1955</v>
      </c>
    </row>
    <row r="16" spans="1:7" ht="42" customHeight="1">
      <c r="A16" s="1" t="s">
        <v>1969</v>
      </c>
      <c r="B16" s="10" t="s">
        <v>1970</v>
      </c>
      <c r="C16" s="10" t="s">
        <v>1968</v>
      </c>
      <c r="D16" s="10" t="s">
        <v>73</v>
      </c>
      <c r="E16" s="10" t="s">
        <v>1954</v>
      </c>
      <c r="F16" s="10" t="str">
        <f>IF(AND(COUNTIF('Catalogo CU'!$A$9:$A$500,"CU-004")=1),IF(SUMIF('Catalogo CU'!$A$9:$A$500,"CU-004",'Catalogo CU'!$G$9:$G$500)=1,"Incluido",IF(SUMIF('Catalogo CU'!$A$9:$A$500,"CU-004",'Catalogo CU'!$G$9:$G$500)&gt;0,"Parcial por selección","Fuera por selección")),"Revisar vínculo")</f>
        <v>Incluido</v>
      </c>
      <c r="G16" s="10" t="s">
        <v>1955</v>
      </c>
    </row>
    <row r="17" spans="1:7" ht="57" customHeight="1">
      <c r="A17" s="1" t="s">
        <v>1971</v>
      </c>
      <c r="B17" s="10" t="s">
        <v>1972</v>
      </c>
      <c r="C17" s="10" t="s">
        <v>1953</v>
      </c>
      <c r="D17" s="10" t="s">
        <v>1973</v>
      </c>
      <c r="E17" s="10" t="s">
        <v>1954</v>
      </c>
      <c r="F17" s="10" t="str">
        <f>IF(AND(COUNTIF('Catalogo CU'!$A$9:$A$500,"CU-001")=1,COUNTIF('Catalogo CU'!$A$9:$A$500,"CU-035")=1),IF(SUMIF('Catalogo CU'!$A$9:$A$500,"CU-001",'Catalogo CU'!$G$9:$G$500)+SUMIF('Catalogo CU'!$A$9:$A$500,"CU-035",'Catalogo CU'!$G$9:$G$500)=2,"Incluido",IF(SUMIF('Catalogo CU'!$A$9:$A$500,"CU-001",'Catalogo CU'!$G$9:$G$500)+SUMIF('Catalogo CU'!$A$9:$A$500,"CU-035",'Catalogo CU'!$G$9:$G$500)&gt;0,"Parcial por selección","Fuera por selección")),"Revisar vínculo")</f>
        <v>Incluido</v>
      </c>
      <c r="G17" s="10" t="s">
        <v>1955</v>
      </c>
    </row>
    <row r="18" spans="1:7" ht="72" customHeight="1">
      <c r="A18" s="1" t="s">
        <v>82</v>
      </c>
      <c r="B18" s="10" t="s">
        <v>1974</v>
      </c>
      <c r="C18" s="10" t="s">
        <v>1953</v>
      </c>
      <c r="D18" s="10" t="s">
        <v>78</v>
      </c>
      <c r="E18" s="10" t="s">
        <v>1954</v>
      </c>
      <c r="F18" s="10" t="str">
        <f>IF(AND(COUNTIF('Catalogo CU'!$A$9:$A$500,"CU-005")=1),IF(SUMIF('Catalogo CU'!$A$9:$A$500,"CU-005",'Catalogo CU'!$G$9:$G$500)=1,"Incluido",IF(SUMIF('Catalogo CU'!$A$9:$A$500,"CU-005",'Catalogo CU'!$G$9:$G$500)&gt;0,"Parcial por selección","Fuera por selección")),"Revisar vínculo")</f>
        <v>Incluido</v>
      </c>
      <c r="G18" s="10" t="s">
        <v>1955</v>
      </c>
    </row>
    <row r="19" spans="1:7" ht="42" customHeight="1">
      <c r="A19" s="1" t="s">
        <v>1975</v>
      </c>
      <c r="B19" s="10" t="s">
        <v>1976</v>
      </c>
      <c r="C19" s="10" t="s">
        <v>1953</v>
      </c>
      <c r="D19" s="10" t="s">
        <v>73</v>
      </c>
      <c r="E19" s="10" t="s">
        <v>1954</v>
      </c>
      <c r="F19" s="10" t="str">
        <f>IF(AND(COUNTIF('Catalogo CU'!$A$9:$A$500,"CU-004")=1),IF(SUMIF('Catalogo CU'!$A$9:$A$500,"CU-004",'Catalogo CU'!$G$9:$G$500)=1,"Incluido",IF(SUMIF('Catalogo CU'!$A$9:$A$500,"CU-004",'Catalogo CU'!$G$9:$G$500)&gt;0,"Parcial por selección","Fuera por selección")),"Revisar vínculo")</f>
        <v>Incluido</v>
      </c>
      <c r="G19" s="10" t="s">
        <v>1955</v>
      </c>
    </row>
    <row r="20" spans="1:7" ht="72" customHeight="1">
      <c r="A20" s="1" t="s">
        <v>88</v>
      </c>
      <c r="B20" s="10" t="s">
        <v>1977</v>
      </c>
      <c r="C20" s="10" t="s">
        <v>1962</v>
      </c>
      <c r="D20" s="10" t="s">
        <v>83</v>
      </c>
      <c r="E20" s="10" t="s">
        <v>1954</v>
      </c>
      <c r="F20" s="10" t="str">
        <f>IF(AND(COUNTIF('Catalogo CU'!$A$9:$A$500,"CU-006")=1),IF(SUMIF('Catalogo CU'!$A$9:$A$500,"CU-006",'Catalogo CU'!$G$9:$G$500)=1,"Incluido",IF(SUMIF('Catalogo CU'!$A$9:$A$500,"CU-006",'Catalogo CU'!$G$9:$G$500)&gt;0,"Parcial por selección","Fuera por selección")),"Revisar vínculo")</f>
        <v>Incluido</v>
      </c>
      <c r="G20" s="10" t="s">
        <v>1955</v>
      </c>
    </row>
    <row r="21" spans="1:7" ht="40.049999999999997" customHeight="1">
      <c r="A21" s="1" t="s">
        <v>1978</v>
      </c>
      <c r="B21" s="10" t="s">
        <v>1979</v>
      </c>
      <c r="C21" s="10" t="s">
        <v>1962</v>
      </c>
      <c r="D21" s="10" t="s">
        <v>89</v>
      </c>
      <c r="E21" s="10" t="s">
        <v>1954</v>
      </c>
      <c r="F21" s="10" t="str">
        <f>IF(AND(COUNTIF('Catalogo CU'!$A$9:$A$500,"CU-007")=1),IF(SUMIF('Catalogo CU'!$A$9:$A$500,"CU-007",'Catalogo CU'!$G$9:$G$500)=1,"Incluido",IF(SUMIF('Catalogo CU'!$A$9:$A$500,"CU-007",'Catalogo CU'!$G$9:$G$500)&gt;0,"Parcial por selección","Fuera por selección")),"Revisar vínculo")</f>
        <v>Incluido</v>
      </c>
      <c r="G21" s="10" t="s">
        <v>1955</v>
      </c>
    </row>
    <row r="22" spans="1:7" ht="72" customHeight="1">
      <c r="A22" s="1" t="s">
        <v>97</v>
      </c>
      <c r="B22" s="10" t="s">
        <v>1980</v>
      </c>
      <c r="C22" s="10" t="s">
        <v>1962</v>
      </c>
      <c r="D22" s="10" t="s">
        <v>94</v>
      </c>
      <c r="E22" s="10" t="s">
        <v>1954</v>
      </c>
      <c r="F22" s="10" t="str">
        <f>IF(AND(COUNTIF('Catalogo CU'!$A$9:$A$500,"CU-008")=1),IF(SUMIF('Catalogo CU'!$A$9:$A$500,"CU-008",'Catalogo CU'!$G$9:$G$500)=1,"Incluido",IF(SUMIF('Catalogo CU'!$A$9:$A$500,"CU-008",'Catalogo CU'!$G$9:$G$500)&gt;0,"Parcial por selección","Fuera por selección")),"Revisar vínculo")</f>
        <v>Incluido</v>
      </c>
      <c r="G22" s="10" t="s">
        <v>1955</v>
      </c>
    </row>
    <row r="23" spans="1:7" ht="87" customHeight="1">
      <c r="A23" s="1" t="s">
        <v>101</v>
      </c>
      <c r="B23" s="10" t="s">
        <v>1981</v>
      </c>
      <c r="C23" s="10" t="s">
        <v>1962</v>
      </c>
      <c r="D23" s="10" t="s">
        <v>98</v>
      </c>
      <c r="E23" s="10" t="s">
        <v>1954</v>
      </c>
      <c r="F23" s="10" t="str">
        <f>IF(AND(COUNTIF('Catalogo CU'!$A$9:$A$500,"CU-009")=1),IF(SUMIF('Catalogo CU'!$A$9:$A$500,"CU-009",'Catalogo CU'!$G$9:$G$500)=1,"Incluido",IF(SUMIF('Catalogo CU'!$A$9:$A$500,"CU-009",'Catalogo CU'!$G$9:$G$500)&gt;0,"Parcial por selección","Fuera por selección")),"Revisar vínculo")</f>
        <v>Incluido</v>
      </c>
      <c r="G23" s="10" t="s">
        <v>1955</v>
      </c>
    </row>
    <row r="24" spans="1:7" ht="72" customHeight="1">
      <c r="A24" s="1" t="s">
        <v>1982</v>
      </c>
      <c r="B24" s="10" t="s">
        <v>1983</v>
      </c>
      <c r="C24" s="10" t="s">
        <v>1962</v>
      </c>
      <c r="D24" s="10" t="s">
        <v>89</v>
      </c>
      <c r="E24" s="10" t="s">
        <v>1954</v>
      </c>
      <c r="F24" s="10" t="str">
        <f>IF(AND(COUNTIF('Catalogo CU'!$A$9:$A$500,"CU-007")=1),IF(SUMIF('Catalogo CU'!$A$9:$A$500,"CU-007",'Catalogo CU'!$G$9:$G$500)=1,"Incluido",IF(SUMIF('Catalogo CU'!$A$9:$A$500,"CU-007",'Catalogo CU'!$G$9:$G$500)&gt;0,"Parcial por selección","Fuera por selección")),"Revisar vínculo")</f>
        <v>Incluido</v>
      </c>
      <c r="G24" s="10" t="s">
        <v>1955</v>
      </c>
    </row>
    <row r="25" spans="1:7" ht="57" customHeight="1">
      <c r="A25" s="1" t="s">
        <v>105</v>
      </c>
      <c r="B25" s="10" t="s">
        <v>1984</v>
      </c>
      <c r="C25" s="10" t="s">
        <v>1968</v>
      </c>
      <c r="D25" s="10" t="s">
        <v>1985</v>
      </c>
      <c r="E25" s="10" t="s">
        <v>1954</v>
      </c>
      <c r="F25" s="10" t="str">
        <f>IF(AND(COUNTIF('Catalogo CU'!$A$9:$A$500,"CU-010")=1,COUNTIF('Catalogo CU'!$A$9:$A$500,"CU-035")=1),IF(SUMIF('Catalogo CU'!$A$9:$A$500,"CU-010",'Catalogo CU'!$G$9:$G$500)+SUMIF('Catalogo CU'!$A$9:$A$500,"CU-035",'Catalogo CU'!$G$9:$G$500)=2,"Incluido",IF(SUMIF('Catalogo CU'!$A$9:$A$500,"CU-010",'Catalogo CU'!$G$9:$G$500)+SUMIF('Catalogo CU'!$A$9:$A$500,"CU-035",'Catalogo CU'!$G$9:$G$500)&gt;0,"Parcial por selección","Fuera por selección")),"Revisar vínculo")</f>
        <v>Incluido</v>
      </c>
      <c r="G25" s="10" t="s">
        <v>1955</v>
      </c>
    </row>
    <row r="26" spans="1:7" ht="57" customHeight="1">
      <c r="A26" s="1" t="s">
        <v>110</v>
      </c>
      <c r="B26" s="10" t="s">
        <v>1986</v>
      </c>
      <c r="C26" s="10" t="s">
        <v>1962</v>
      </c>
      <c r="D26" s="10" t="s">
        <v>106</v>
      </c>
      <c r="E26" s="10" t="s">
        <v>1954</v>
      </c>
      <c r="F26" s="10" t="str">
        <f>IF(AND(COUNTIF('Catalogo CU'!$A$9:$A$500,"CU-011")=1),IF(SUMIF('Catalogo CU'!$A$9:$A$500,"CU-011",'Catalogo CU'!$G$9:$G$500)=1,"Incluido",IF(SUMIF('Catalogo CU'!$A$9:$A$500,"CU-011",'Catalogo CU'!$G$9:$G$500)&gt;0,"Parcial por selección","Fuera por selección")),"Revisar vínculo")</f>
        <v>Incluido</v>
      </c>
      <c r="G26" s="10" t="s">
        <v>1955</v>
      </c>
    </row>
    <row r="27" spans="1:7" ht="87" customHeight="1">
      <c r="A27" s="1" t="s">
        <v>1987</v>
      </c>
      <c r="B27" s="10" t="s">
        <v>1988</v>
      </c>
      <c r="C27" s="10" t="s">
        <v>1962</v>
      </c>
      <c r="D27" s="10" t="s">
        <v>162</v>
      </c>
      <c r="E27" s="10" t="s">
        <v>1954</v>
      </c>
      <c r="F27" s="10" t="str">
        <f>IF(AND(COUNTIF('Catalogo CU'!$A$9:$A$500,"CU-022")=1),IF(SUMIF('Catalogo CU'!$A$9:$A$500,"CU-022",'Catalogo CU'!$G$9:$G$500)=1,"Incluido",IF(SUMIF('Catalogo CU'!$A$9:$A$500,"CU-022",'Catalogo CU'!$G$9:$G$500)&gt;0,"Parcial por selección","Fuera por selección")),"Revisar vínculo")</f>
        <v>Incluido</v>
      </c>
      <c r="G27" s="10" t="s">
        <v>1955</v>
      </c>
    </row>
    <row r="28" spans="1:7" ht="72" customHeight="1">
      <c r="A28" s="1" t="s">
        <v>114</v>
      </c>
      <c r="B28" s="10" t="s">
        <v>1989</v>
      </c>
      <c r="C28" s="10" t="s">
        <v>1962</v>
      </c>
      <c r="D28" s="10" t="s">
        <v>111</v>
      </c>
      <c r="E28" s="10" t="s">
        <v>1954</v>
      </c>
      <c r="F28" s="10" t="str">
        <f>IF(AND(COUNTIF('Catalogo CU'!$A$9:$A$500,"CU-012")=1),IF(SUMIF('Catalogo CU'!$A$9:$A$500,"CU-012",'Catalogo CU'!$G$9:$G$500)=1,"Incluido",IF(SUMIF('Catalogo CU'!$A$9:$A$500,"CU-012",'Catalogo CU'!$G$9:$G$500)&gt;0,"Parcial por selección","Fuera por selección")),"Revisar vínculo")</f>
        <v>Incluido</v>
      </c>
      <c r="G28" s="10" t="s">
        <v>1955</v>
      </c>
    </row>
    <row r="29" spans="1:7" ht="57" customHeight="1">
      <c r="A29" s="1" t="s">
        <v>1990</v>
      </c>
      <c r="B29" s="10" t="s">
        <v>1991</v>
      </c>
      <c r="C29" s="10" t="s">
        <v>1962</v>
      </c>
      <c r="D29" s="10" t="s">
        <v>248</v>
      </c>
      <c r="E29" s="10" t="s">
        <v>1954</v>
      </c>
      <c r="F29" s="10" t="str">
        <f>IF(AND(COUNTIF('Catalogo CU'!$A$9:$A$500,"CU-040")=1),IF(SUMIF('Catalogo CU'!$A$9:$A$500,"CU-040",'Catalogo CU'!$G$9:$G$500)=1,"Incluido",IF(SUMIF('Catalogo CU'!$A$9:$A$500,"CU-040",'Catalogo CU'!$G$9:$G$500)&gt;0,"Parcial por selección","Fuera por selección")),"Revisar vínculo")</f>
        <v>Incluido</v>
      </c>
      <c r="G29" s="10" t="s">
        <v>1955</v>
      </c>
    </row>
    <row r="30" spans="1:7" ht="40.049999999999997" customHeight="1">
      <c r="A30" s="1" t="s">
        <v>1992</v>
      </c>
      <c r="B30" s="10" t="s">
        <v>1993</v>
      </c>
      <c r="C30" s="10" t="s">
        <v>1953</v>
      </c>
      <c r="D30" s="10" t="s">
        <v>89</v>
      </c>
      <c r="E30" s="10" t="s">
        <v>1954</v>
      </c>
      <c r="F30" s="10" t="str">
        <f>IF(AND(COUNTIF('Catalogo CU'!$A$9:$A$500,"CU-007")=1),IF(SUMIF('Catalogo CU'!$A$9:$A$500,"CU-007",'Catalogo CU'!$G$9:$G$500)=1,"Incluido",IF(SUMIF('Catalogo CU'!$A$9:$A$500,"CU-007",'Catalogo CU'!$G$9:$G$500)&gt;0,"Parcial por selección","Fuera por selección")),"Revisar vínculo")</f>
        <v>Incluido</v>
      </c>
      <c r="G30" s="10" t="s">
        <v>1955</v>
      </c>
    </row>
    <row r="31" spans="1:7" ht="42" customHeight="1">
      <c r="A31" s="1" t="s">
        <v>1994</v>
      </c>
      <c r="B31" s="10" t="s">
        <v>1995</v>
      </c>
      <c r="C31" s="10" t="s">
        <v>1953</v>
      </c>
      <c r="D31" s="10" t="s">
        <v>89</v>
      </c>
      <c r="E31" s="10" t="s">
        <v>1954</v>
      </c>
      <c r="F31" s="10" t="str">
        <f>IF(AND(COUNTIF('Catalogo CU'!$A$9:$A$500,"CU-007")=1),IF(SUMIF('Catalogo CU'!$A$9:$A$500,"CU-007",'Catalogo CU'!$G$9:$G$500)=1,"Incluido",IF(SUMIF('Catalogo CU'!$A$9:$A$500,"CU-007",'Catalogo CU'!$G$9:$G$500)&gt;0,"Parcial por selección","Fuera por selección")),"Revisar vínculo")</f>
        <v>Incluido</v>
      </c>
      <c r="G31" s="10" t="s">
        <v>1955</v>
      </c>
    </row>
    <row r="32" spans="1:7" ht="57" customHeight="1">
      <c r="A32" s="1" t="s">
        <v>1996</v>
      </c>
      <c r="B32" s="10" t="s">
        <v>1997</v>
      </c>
      <c r="C32" s="10" t="s">
        <v>1962</v>
      </c>
      <c r="D32" s="10" t="s">
        <v>119</v>
      </c>
      <c r="E32" s="10" t="s">
        <v>1954</v>
      </c>
      <c r="F32" s="10" t="str">
        <f>IF(AND(COUNTIF('Catalogo CU'!$A$9:$A$500,"CU-014")=1),IF(SUMIF('Catalogo CU'!$A$9:$A$500,"CU-014",'Catalogo CU'!$G$9:$G$500)=1,"Incluido",IF(SUMIF('Catalogo CU'!$A$9:$A$500,"CU-014",'Catalogo CU'!$G$9:$G$500)&gt;0,"Parcial por selección","Fuera por selección")),"Revisar vínculo")</f>
        <v>Incluido</v>
      </c>
      <c r="G32" s="10" t="s">
        <v>1955</v>
      </c>
    </row>
    <row r="33" spans="1:7" ht="42" customHeight="1">
      <c r="A33" s="1" t="s">
        <v>1998</v>
      </c>
      <c r="B33" s="10" t="s">
        <v>1999</v>
      </c>
      <c r="C33" s="10" t="s">
        <v>1953</v>
      </c>
      <c r="D33" s="10" t="s">
        <v>119</v>
      </c>
      <c r="E33" s="10" t="s">
        <v>1954</v>
      </c>
      <c r="F33" s="10" t="str">
        <f>IF(AND(COUNTIF('Catalogo CU'!$A$9:$A$500,"CU-014")=1),IF(SUMIF('Catalogo CU'!$A$9:$A$500,"CU-014",'Catalogo CU'!$G$9:$G$500)=1,"Incluido",IF(SUMIF('Catalogo CU'!$A$9:$A$500,"CU-014",'Catalogo CU'!$G$9:$G$500)&gt;0,"Parcial por selección","Fuera por selección")),"Revisar vínculo")</f>
        <v>Incluido</v>
      </c>
      <c r="G33" s="10" t="s">
        <v>1955</v>
      </c>
    </row>
    <row r="34" spans="1:7" ht="42" customHeight="1">
      <c r="A34" s="1" t="s">
        <v>2000</v>
      </c>
      <c r="B34" s="10" t="s">
        <v>2001</v>
      </c>
      <c r="C34" s="10" t="s">
        <v>1953</v>
      </c>
      <c r="D34" s="10" t="s">
        <v>119</v>
      </c>
      <c r="E34" s="10" t="s">
        <v>1954</v>
      </c>
      <c r="F34" s="10" t="str">
        <f>IF(AND(COUNTIF('Catalogo CU'!$A$9:$A$500,"CU-014")=1),IF(SUMIF('Catalogo CU'!$A$9:$A$500,"CU-014",'Catalogo CU'!$G$9:$G$500)=1,"Incluido",IF(SUMIF('Catalogo CU'!$A$9:$A$500,"CU-014",'Catalogo CU'!$G$9:$G$500)&gt;0,"Parcial por selección","Fuera por selección")),"Revisar vínculo")</f>
        <v>Incluido</v>
      </c>
      <c r="G34" s="10" t="s">
        <v>1955</v>
      </c>
    </row>
    <row r="35" spans="1:7" ht="40.049999999999997" customHeight="1">
      <c r="A35" s="1" t="s">
        <v>2002</v>
      </c>
      <c r="B35" s="10" t="s">
        <v>2003</v>
      </c>
      <c r="C35" s="10" t="s">
        <v>1962</v>
      </c>
      <c r="D35" s="10" t="s">
        <v>119</v>
      </c>
      <c r="E35" s="10" t="s">
        <v>1954</v>
      </c>
      <c r="F35" s="10" t="str">
        <f>IF(AND(COUNTIF('Catalogo CU'!$A$9:$A$500,"CU-014")=1),IF(SUMIF('Catalogo CU'!$A$9:$A$500,"CU-014",'Catalogo CU'!$G$9:$G$500)=1,"Incluido",IF(SUMIF('Catalogo CU'!$A$9:$A$500,"CU-014",'Catalogo CU'!$G$9:$G$500)&gt;0,"Parcial por selección","Fuera por selección")),"Revisar vínculo")</f>
        <v>Incluido</v>
      </c>
      <c r="G35" s="10" t="s">
        <v>1955</v>
      </c>
    </row>
    <row r="36" spans="1:7" ht="42" customHeight="1">
      <c r="A36" s="1" t="s">
        <v>2004</v>
      </c>
      <c r="B36" s="10" t="s">
        <v>2005</v>
      </c>
      <c r="C36" s="10" t="s">
        <v>1962</v>
      </c>
      <c r="D36" s="10" t="s">
        <v>119</v>
      </c>
      <c r="E36" s="10" t="s">
        <v>1954</v>
      </c>
      <c r="F36" s="10" t="str">
        <f>IF(AND(COUNTIF('Catalogo CU'!$A$9:$A$500,"CU-014")=1),IF(SUMIF('Catalogo CU'!$A$9:$A$500,"CU-014",'Catalogo CU'!$G$9:$G$500)=1,"Incluido",IF(SUMIF('Catalogo CU'!$A$9:$A$500,"CU-014",'Catalogo CU'!$G$9:$G$500)&gt;0,"Parcial por selección","Fuera por selección")),"Revisar vínculo")</f>
        <v>Incluido</v>
      </c>
      <c r="G36" s="10" t="s">
        <v>1955</v>
      </c>
    </row>
    <row r="37" spans="1:7" ht="42" customHeight="1">
      <c r="A37" s="1" t="s">
        <v>2006</v>
      </c>
      <c r="B37" s="10" t="s">
        <v>2007</v>
      </c>
      <c r="C37" s="10" t="s">
        <v>1953</v>
      </c>
      <c r="D37" s="10" t="s">
        <v>119</v>
      </c>
      <c r="E37" s="10" t="s">
        <v>1954</v>
      </c>
      <c r="F37" s="10" t="str">
        <f>IF(AND(COUNTIF('Catalogo CU'!$A$9:$A$500,"CU-014")=1),IF(SUMIF('Catalogo CU'!$A$9:$A$500,"CU-014",'Catalogo CU'!$G$9:$G$500)=1,"Incluido",IF(SUMIF('Catalogo CU'!$A$9:$A$500,"CU-014",'Catalogo CU'!$G$9:$G$500)&gt;0,"Parcial por selección","Fuera por selección")),"Revisar vínculo")</f>
        <v>Incluido</v>
      </c>
      <c r="G37" s="10" t="s">
        <v>1955</v>
      </c>
    </row>
    <row r="38" spans="1:7" ht="42" customHeight="1">
      <c r="A38" s="1" t="s">
        <v>2008</v>
      </c>
      <c r="B38" s="10" t="s">
        <v>2009</v>
      </c>
      <c r="C38" s="10" t="s">
        <v>1953</v>
      </c>
      <c r="D38" s="10" t="s">
        <v>119</v>
      </c>
      <c r="E38" s="10" t="s">
        <v>1954</v>
      </c>
      <c r="F38" s="10" t="str">
        <f>IF(AND(COUNTIF('Catalogo CU'!$A$9:$A$500,"CU-014")=1),IF(SUMIF('Catalogo CU'!$A$9:$A$500,"CU-014",'Catalogo CU'!$G$9:$G$500)=1,"Incluido",IF(SUMIF('Catalogo CU'!$A$9:$A$500,"CU-014",'Catalogo CU'!$G$9:$G$500)&gt;0,"Parcial por selección","Fuera por selección")),"Revisar vínculo")</f>
        <v>Incluido</v>
      </c>
      <c r="G38" s="10" t="s">
        <v>1955</v>
      </c>
    </row>
    <row r="39" spans="1:7" ht="40.049999999999997" customHeight="1">
      <c r="A39" s="1" t="s">
        <v>129</v>
      </c>
      <c r="B39" s="10" t="s">
        <v>2010</v>
      </c>
      <c r="C39" s="10" t="s">
        <v>1962</v>
      </c>
      <c r="D39" s="10" t="s">
        <v>125</v>
      </c>
      <c r="E39" s="10" t="s">
        <v>1954</v>
      </c>
      <c r="F39" s="10" t="str">
        <f>IF(AND(COUNTIF('Catalogo CU'!$A$9:$A$500,"CU-015")=1),IF(SUMIF('Catalogo CU'!$A$9:$A$500,"CU-015",'Catalogo CU'!$G$9:$G$500)=1,"Incluido",IF(SUMIF('Catalogo CU'!$A$9:$A$500,"CU-015",'Catalogo CU'!$G$9:$G$500)&gt;0,"Parcial por selección","Fuera por selección")),"Revisar vínculo")</f>
        <v>Incluido</v>
      </c>
      <c r="G39" s="10" t="s">
        <v>1955</v>
      </c>
    </row>
    <row r="40" spans="1:7" ht="57" customHeight="1">
      <c r="A40" s="1" t="s">
        <v>2011</v>
      </c>
      <c r="B40" s="10" t="s">
        <v>2012</v>
      </c>
      <c r="C40" s="10" t="s">
        <v>1968</v>
      </c>
      <c r="D40" s="10" t="s">
        <v>2013</v>
      </c>
      <c r="E40" s="10" t="s">
        <v>1954</v>
      </c>
      <c r="F40" s="10" t="str">
        <f>IF(AND(COUNTIF('Catalogo CU'!$A$9:$A$500,"CU-014")=1,COUNTIF('Catalogo CU'!$A$9:$A$500,"CU-016")=1),IF(SUMIF('Catalogo CU'!$A$9:$A$500,"CU-014",'Catalogo CU'!$G$9:$G$500)+SUMIF('Catalogo CU'!$A$9:$A$500,"CU-016",'Catalogo CU'!$G$9:$G$500)=2,"Incluido",IF(SUMIF('Catalogo CU'!$A$9:$A$500,"CU-014",'Catalogo CU'!$G$9:$G$500)+SUMIF('Catalogo CU'!$A$9:$A$500,"CU-016",'Catalogo CU'!$G$9:$G$500)&gt;0,"Parcial por selección","Fuera por selección")),"Revisar vínculo")</f>
        <v>Incluido</v>
      </c>
      <c r="G40" s="10" t="s">
        <v>1955</v>
      </c>
    </row>
    <row r="41" spans="1:7" ht="57" customHeight="1">
      <c r="A41" s="1" t="s">
        <v>2014</v>
      </c>
      <c r="B41" s="10" t="s">
        <v>2015</v>
      </c>
      <c r="C41" s="10" t="s">
        <v>1968</v>
      </c>
      <c r="D41" s="10" t="s">
        <v>130</v>
      </c>
      <c r="E41" s="10" t="s">
        <v>1954</v>
      </c>
      <c r="F41" s="10" t="str">
        <f>IF(AND(COUNTIF('Catalogo CU'!$A$9:$A$500,"CU-016")=1),IF(SUMIF('Catalogo CU'!$A$9:$A$500,"CU-016",'Catalogo CU'!$G$9:$G$500)=1,"Incluido",IF(SUMIF('Catalogo CU'!$A$9:$A$500,"CU-016",'Catalogo CU'!$G$9:$G$500)&gt;0,"Parcial por selección","Fuera por selección")),"Revisar vínculo")</f>
        <v>Incluido</v>
      </c>
      <c r="G41" s="10" t="s">
        <v>1955</v>
      </c>
    </row>
    <row r="42" spans="1:7" ht="42" customHeight="1">
      <c r="A42" s="1" t="s">
        <v>2016</v>
      </c>
      <c r="B42" s="10" t="s">
        <v>2017</v>
      </c>
      <c r="C42" s="10" t="s">
        <v>1953</v>
      </c>
      <c r="D42" s="10" t="s">
        <v>119</v>
      </c>
      <c r="E42" s="10" t="s">
        <v>1954</v>
      </c>
      <c r="F42" s="10" t="str">
        <f>IF(AND(COUNTIF('Catalogo CU'!$A$9:$A$500,"CU-014")=1),IF(SUMIF('Catalogo CU'!$A$9:$A$500,"CU-014",'Catalogo CU'!$G$9:$G$500)=1,"Incluido",IF(SUMIF('Catalogo CU'!$A$9:$A$500,"CU-014",'Catalogo CU'!$G$9:$G$500)&gt;0,"Parcial por selección","Fuera por selección")),"Revisar vínculo")</f>
        <v>Incluido</v>
      </c>
      <c r="G42" s="10" t="s">
        <v>1955</v>
      </c>
    </row>
    <row r="43" spans="1:7" ht="42" customHeight="1">
      <c r="A43" s="1" t="s">
        <v>2018</v>
      </c>
      <c r="B43" s="10" t="s">
        <v>2019</v>
      </c>
      <c r="C43" s="10" t="s">
        <v>1962</v>
      </c>
      <c r="D43" s="10" t="s">
        <v>119</v>
      </c>
      <c r="E43" s="10" t="s">
        <v>1954</v>
      </c>
      <c r="F43" s="10" t="str">
        <f>IF(AND(COUNTIF('Catalogo CU'!$A$9:$A$500,"CU-014")=1),IF(SUMIF('Catalogo CU'!$A$9:$A$500,"CU-014",'Catalogo CU'!$G$9:$G$500)=1,"Incluido",IF(SUMIF('Catalogo CU'!$A$9:$A$500,"CU-014",'Catalogo CU'!$G$9:$G$500)&gt;0,"Parcial por selección","Fuera por selección")),"Revisar vínculo")</f>
        <v>Incluido</v>
      </c>
      <c r="G43" s="10" t="s">
        <v>1955</v>
      </c>
    </row>
    <row r="44" spans="1:7" ht="40.049999999999997" customHeight="1">
      <c r="A44" s="1" t="s">
        <v>2020</v>
      </c>
      <c r="B44" s="10" t="s">
        <v>2021</v>
      </c>
      <c r="C44" s="10" t="s">
        <v>1953</v>
      </c>
      <c r="D44" s="10" t="s">
        <v>119</v>
      </c>
      <c r="E44" s="10" t="s">
        <v>1954</v>
      </c>
      <c r="F44" s="10" t="str">
        <f>IF(AND(COUNTIF('Catalogo CU'!$A$9:$A$500,"CU-014")=1),IF(SUMIF('Catalogo CU'!$A$9:$A$500,"CU-014",'Catalogo CU'!$G$9:$G$500)=1,"Incluido",IF(SUMIF('Catalogo CU'!$A$9:$A$500,"CU-014",'Catalogo CU'!$G$9:$G$500)&gt;0,"Parcial por selección","Fuera por selección")),"Revisar vínculo")</f>
        <v>Incluido</v>
      </c>
      <c r="G44" s="10" t="s">
        <v>1955</v>
      </c>
    </row>
    <row r="45" spans="1:7" ht="42" customHeight="1">
      <c r="A45" s="1" t="s">
        <v>2022</v>
      </c>
      <c r="B45" s="10" t="s">
        <v>2023</v>
      </c>
      <c r="C45" s="10" t="s">
        <v>1953</v>
      </c>
      <c r="D45" s="10" t="s">
        <v>2024</v>
      </c>
      <c r="E45" s="10" t="s">
        <v>1954</v>
      </c>
      <c r="F45" s="10" t="str">
        <f>IF(AND(COUNTIF('Catalogo CU'!$A$9:$A$500,"CU-014")=1,COUNTIF('Catalogo CU'!$A$9:$A$500,"CU-017")=1),IF(SUMIF('Catalogo CU'!$A$9:$A$500,"CU-014",'Catalogo CU'!$G$9:$G$500)+SUMIF('Catalogo CU'!$A$9:$A$500,"CU-017",'Catalogo CU'!$G$9:$G$500)=2,"Incluido",IF(SUMIF('Catalogo CU'!$A$9:$A$500,"CU-014",'Catalogo CU'!$G$9:$G$500)+SUMIF('Catalogo CU'!$A$9:$A$500,"CU-017",'Catalogo CU'!$G$9:$G$500)&gt;0,"Parcial por selección","Fuera por selección")),"Revisar vínculo")</f>
        <v>Incluido</v>
      </c>
      <c r="G45" s="10" t="s">
        <v>1955</v>
      </c>
    </row>
    <row r="46" spans="1:7" ht="42" customHeight="1">
      <c r="A46" s="1" t="s">
        <v>2025</v>
      </c>
      <c r="B46" s="10" t="s">
        <v>2026</v>
      </c>
      <c r="C46" s="10" t="s">
        <v>1962</v>
      </c>
      <c r="D46" s="10" t="s">
        <v>141</v>
      </c>
      <c r="E46" s="10" t="s">
        <v>1954</v>
      </c>
      <c r="F46" s="10" t="str">
        <f>IF(AND(COUNTIF('Catalogo CU'!$A$9:$A$500,"CU-018")=1),IF(SUMIF('Catalogo CU'!$A$9:$A$500,"CU-018",'Catalogo CU'!$G$9:$G$500)=1,"Incluido",IF(SUMIF('Catalogo CU'!$A$9:$A$500,"CU-018",'Catalogo CU'!$G$9:$G$500)&gt;0,"Parcial por selección","Fuera por selección")),"Revisar vínculo")</f>
        <v>Incluido</v>
      </c>
      <c r="G46" s="10" t="s">
        <v>1955</v>
      </c>
    </row>
    <row r="47" spans="1:7" ht="40.049999999999997" customHeight="1">
      <c r="A47" s="1" t="s">
        <v>2027</v>
      </c>
      <c r="B47" s="10" t="s">
        <v>2028</v>
      </c>
      <c r="C47" s="10" t="s">
        <v>1968</v>
      </c>
      <c r="D47" s="10" t="s">
        <v>147</v>
      </c>
      <c r="E47" s="10" t="s">
        <v>1954</v>
      </c>
      <c r="F47" s="10" t="str">
        <f>IF(AND(COUNTIF('Catalogo CU'!$A$9:$A$500,"CU-019")=1),IF(SUMIF('Catalogo CU'!$A$9:$A$500,"CU-019",'Catalogo CU'!$G$9:$G$500)=1,"Incluido",IF(SUMIF('Catalogo CU'!$A$9:$A$500,"CU-019",'Catalogo CU'!$G$9:$G$500)&gt;0,"Parcial por selección","Fuera por selección")),"Revisar vínculo")</f>
        <v>Incluido</v>
      </c>
      <c r="G47" s="10" t="s">
        <v>1955</v>
      </c>
    </row>
    <row r="48" spans="1:7" ht="42" customHeight="1">
      <c r="A48" s="1" t="s">
        <v>2029</v>
      </c>
      <c r="B48" s="10" t="s">
        <v>2030</v>
      </c>
      <c r="C48" s="10" t="s">
        <v>1962</v>
      </c>
      <c r="D48" s="10" t="s">
        <v>2031</v>
      </c>
      <c r="E48" s="10" t="s">
        <v>1954</v>
      </c>
      <c r="F48" s="10" t="str">
        <f>IF(AND(COUNTIF('Catalogo CU'!$A$9:$A$500,"CU-018")=1,COUNTIF('Catalogo CU'!$A$9:$A$500,"CU-019")=1),IF(SUMIF('Catalogo CU'!$A$9:$A$500,"CU-018",'Catalogo CU'!$G$9:$G$500)+SUMIF('Catalogo CU'!$A$9:$A$500,"CU-019",'Catalogo CU'!$G$9:$G$500)=2,"Incluido",IF(SUMIF('Catalogo CU'!$A$9:$A$500,"CU-018",'Catalogo CU'!$G$9:$G$500)+SUMIF('Catalogo CU'!$A$9:$A$500,"CU-019",'Catalogo CU'!$G$9:$G$500)&gt;0,"Parcial por selección","Fuera por selección")),"Revisar vínculo")</f>
        <v>Incluido</v>
      </c>
      <c r="G48" s="10" t="s">
        <v>1955</v>
      </c>
    </row>
    <row r="49" spans="1:7" ht="42" customHeight="1">
      <c r="A49" s="1" t="s">
        <v>2032</v>
      </c>
      <c r="B49" s="10" t="s">
        <v>2033</v>
      </c>
      <c r="C49" s="10" t="s">
        <v>1962</v>
      </c>
      <c r="D49" s="10" t="s">
        <v>2034</v>
      </c>
      <c r="E49" s="10" t="s">
        <v>1954</v>
      </c>
      <c r="F49" s="10" t="str">
        <f>IF(AND(COUNTIF('Catalogo CU'!$A$9:$A$500,"CU-018")=1,COUNTIF('Catalogo CU'!$A$9:$A$500,"CU-020")=1),IF(SUMIF('Catalogo CU'!$A$9:$A$500,"CU-018",'Catalogo CU'!$G$9:$G$500)+SUMIF('Catalogo CU'!$A$9:$A$500,"CU-020",'Catalogo CU'!$G$9:$G$500)=2,"Incluido",IF(SUMIF('Catalogo CU'!$A$9:$A$500,"CU-018",'Catalogo CU'!$G$9:$G$500)+SUMIF('Catalogo CU'!$A$9:$A$500,"CU-020",'Catalogo CU'!$G$9:$G$500)&gt;0,"Parcial por selección","Fuera por selección")),"Revisar vínculo")</f>
        <v>Incluido</v>
      </c>
      <c r="G49" s="10" t="s">
        <v>1955</v>
      </c>
    </row>
    <row r="50" spans="1:7" ht="42" customHeight="1">
      <c r="A50" s="1" t="s">
        <v>2035</v>
      </c>
      <c r="B50" s="10" t="s">
        <v>2036</v>
      </c>
      <c r="C50" s="10" t="s">
        <v>1962</v>
      </c>
      <c r="D50" s="10" t="s">
        <v>2037</v>
      </c>
      <c r="E50" s="10" t="s">
        <v>1954</v>
      </c>
      <c r="F50" s="10" t="str">
        <f>IF(AND(COUNTIF('Catalogo CU'!$A$9:$A$500,"CU-018")=1,COUNTIF('Catalogo CU'!$A$9:$A$500,"CU-019")=1,COUNTIF('Catalogo CU'!$A$9:$A$500,"CU-020")=1),IF(SUMIF('Catalogo CU'!$A$9:$A$500,"CU-018",'Catalogo CU'!$G$9:$G$500)+SUMIF('Catalogo CU'!$A$9:$A$500,"CU-019",'Catalogo CU'!$G$9:$G$500)+SUMIF('Catalogo CU'!$A$9:$A$500,"CU-020",'Catalogo CU'!$G$9:$G$500)=3,"Incluido",IF(SUMIF('Catalogo CU'!$A$9:$A$500,"CU-018",'Catalogo CU'!$G$9:$G$500)+SUMIF('Catalogo CU'!$A$9:$A$500,"CU-019",'Catalogo CU'!$G$9:$G$500)+SUMIF('Catalogo CU'!$A$9:$A$500,"CU-020",'Catalogo CU'!$G$9:$G$500)&gt;0,"Parcial por selección","Fuera por selección")),"Revisar vínculo")</f>
        <v>Incluido</v>
      </c>
      <c r="G50" s="10" t="s">
        <v>1955</v>
      </c>
    </row>
    <row r="51" spans="1:7" ht="42" customHeight="1">
      <c r="A51" s="1" t="s">
        <v>2038</v>
      </c>
      <c r="B51" s="10" t="s">
        <v>2039</v>
      </c>
      <c r="C51" s="10" t="s">
        <v>1968</v>
      </c>
      <c r="D51" s="10" t="s">
        <v>2040</v>
      </c>
      <c r="E51" s="10" t="s">
        <v>1954</v>
      </c>
      <c r="F51" s="10" t="str">
        <f>IF(AND(COUNTIF('Catalogo CU'!$A$9:$A$500,"CU-079")=1,COUNTIF('Catalogo CU'!$A$9:$A$500,"CU-080")=1),IF(SUMIF('Catalogo CU'!$A$9:$A$500,"CU-079",'Catalogo CU'!$G$9:$G$500)+SUMIF('Catalogo CU'!$A$9:$A$500,"CU-080",'Catalogo CU'!$G$9:$G$500)=2,"Incluido",IF(SUMIF('Catalogo CU'!$A$9:$A$500,"CU-079",'Catalogo CU'!$G$9:$G$500)+SUMIF('Catalogo CU'!$A$9:$A$500,"CU-080",'Catalogo CU'!$G$9:$G$500)&gt;0,"Parcial por selección","Fuera por selección")),"Revisar vínculo")</f>
        <v>Incluido</v>
      </c>
      <c r="G51" s="10" t="s">
        <v>1955</v>
      </c>
    </row>
    <row r="52" spans="1:7" ht="42" customHeight="1">
      <c r="A52" s="1" t="s">
        <v>2041</v>
      </c>
      <c r="B52" s="10" t="s">
        <v>2042</v>
      </c>
      <c r="C52" s="10" t="s">
        <v>1962</v>
      </c>
      <c r="D52" s="10" t="s">
        <v>152</v>
      </c>
      <c r="E52" s="10" t="s">
        <v>1954</v>
      </c>
      <c r="F52" s="10" t="str">
        <f>IF(AND(COUNTIF('Catalogo CU'!$A$9:$A$500,"CU-020")=1),IF(SUMIF('Catalogo CU'!$A$9:$A$500,"CU-020",'Catalogo CU'!$G$9:$G$500)=1,"Incluido",IF(SUMIF('Catalogo CU'!$A$9:$A$500,"CU-020",'Catalogo CU'!$G$9:$G$500)&gt;0,"Parcial por selección","Fuera por selección")),"Revisar vínculo")</f>
        <v>Incluido</v>
      </c>
      <c r="G52" s="10" t="s">
        <v>1955</v>
      </c>
    </row>
    <row r="53" spans="1:7" ht="40.049999999999997" customHeight="1">
      <c r="A53" s="1" t="s">
        <v>2043</v>
      </c>
      <c r="B53" s="10" t="s">
        <v>2044</v>
      </c>
      <c r="C53" s="10" t="s">
        <v>2045</v>
      </c>
      <c r="D53" s="10" t="s">
        <v>288</v>
      </c>
      <c r="E53" s="10" t="s">
        <v>1954</v>
      </c>
      <c r="F53" s="10" t="str">
        <f>IF(AND(COUNTIF('Catalogo CU'!$A$9:$A$500,"CU-048")=1),IF(SUMIF('Catalogo CU'!$A$9:$A$500,"CU-048",'Catalogo CU'!$G$9:$G$500)=1,"Incluido",IF(SUMIF('Catalogo CU'!$A$9:$A$500,"CU-048",'Catalogo CU'!$G$9:$G$500)&gt;0,"Parcial por selección","Fuera por selección")),"Revisar vínculo")</f>
        <v>Incluido</v>
      </c>
      <c r="G53" s="10" t="s">
        <v>1955</v>
      </c>
    </row>
    <row r="54" spans="1:7" ht="57" customHeight="1">
      <c r="A54" s="1" t="s">
        <v>2046</v>
      </c>
      <c r="B54" s="10" t="s">
        <v>2047</v>
      </c>
      <c r="C54" s="10" t="s">
        <v>1962</v>
      </c>
      <c r="D54" s="10" t="s">
        <v>156</v>
      </c>
      <c r="E54" s="10" t="s">
        <v>1954</v>
      </c>
      <c r="F54" s="10" t="str">
        <f>IF(AND(COUNTIF('Catalogo CU'!$A$9:$A$500,"CU-021")=1),IF(SUMIF('Catalogo CU'!$A$9:$A$500,"CU-021",'Catalogo CU'!$G$9:$G$500)=1,"Incluido",IF(SUMIF('Catalogo CU'!$A$9:$A$500,"CU-021",'Catalogo CU'!$G$9:$G$500)&gt;0,"Parcial por selección","Fuera por selección")),"Revisar vínculo")</f>
        <v>Incluido</v>
      </c>
      <c r="G54" s="10" t="s">
        <v>1955</v>
      </c>
    </row>
    <row r="55" spans="1:7" ht="42" customHeight="1">
      <c r="A55" s="1" t="s">
        <v>2048</v>
      </c>
      <c r="B55" s="10" t="s">
        <v>2049</v>
      </c>
      <c r="C55" s="10" t="s">
        <v>1962</v>
      </c>
      <c r="D55" s="10" t="s">
        <v>162</v>
      </c>
      <c r="E55" s="10" t="s">
        <v>1954</v>
      </c>
      <c r="F55" s="10" t="str">
        <f>IF(AND(COUNTIF('Catalogo CU'!$A$9:$A$500,"CU-022")=1),IF(SUMIF('Catalogo CU'!$A$9:$A$500,"CU-022",'Catalogo CU'!$G$9:$G$500)=1,"Incluido",IF(SUMIF('Catalogo CU'!$A$9:$A$500,"CU-022",'Catalogo CU'!$G$9:$G$500)&gt;0,"Parcial por selección","Fuera por selección")),"Revisar vínculo")</f>
        <v>Incluido</v>
      </c>
      <c r="G55" s="10" t="s">
        <v>1955</v>
      </c>
    </row>
    <row r="56" spans="1:7" ht="42" customHeight="1">
      <c r="A56" s="1" t="s">
        <v>2050</v>
      </c>
      <c r="B56" s="10" t="s">
        <v>2051</v>
      </c>
      <c r="C56" s="10" t="s">
        <v>1962</v>
      </c>
      <c r="D56" s="10" t="s">
        <v>162</v>
      </c>
      <c r="E56" s="10" t="s">
        <v>1954</v>
      </c>
      <c r="F56" s="10" t="str">
        <f>IF(AND(COUNTIF('Catalogo CU'!$A$9:$A$500,"CU-022")=1),IF(SUMIF('Catalogo CU'!$A$9:$A$500,"CU-022",'Catalogo CU'!$G$9:$G$500)=1,"Incluido",IF(SUMIF('Catalogo CU'!$A$9:$A$500,"CU-022",'Catalogo CU'!$G$9:$G$500)&gt;0,"Parcial por selección","Fuera por selección")),"Revisar vínculo")</f>
        <v>Incluido</v>
      </c>
      <c r="G56" s="10" t="s">
        <v>1955</v>
      </c>
    </row>
    <row r="57" spans="1:7" ht="57" customHeight="1">
      <c r="A57" s="1" t="s">
        <v>2052</v>
      </c>
      <c r="B57" s="10" t="s">
        <v>2053</v>
      </c>
      <c r="C57" s="10" t="s">
        <v>1962</v>
      </c>
      <c r="D57" s="10" t="s">
        <v>2054</v>
      </c>
      <c r="E57" s="10" t="s">
        <v>1954</v>
      </c>
      <c r="F57" s="10" t="str">
        <f>IF(AND(COUNTIF('Catalogo CU'!$A$9:$A$500,"CU-021")=1,COUNTIF('Catalogo CU'!$A$9:$A$500,"CU-022")=1),IF(SUMIF('Catalogo CU'!$A$9:$A$500,"CU-021",'Catalogo CU'!$G$9:$G$500)+SUMIF('Catalogo CU'!$A$9:$A$500,"CU-022",'Catalogo CU'!$G$9:$G$500)=2,"Incluido",IF(SUMIF('Catalogo CU'!$A$9:$A$500,"CU-021",'Catalogo CU'!$G$9:$G$500)+SUMIF('Catalogo CU'!$A$9:$A$500,"CU-022",'Catalogo CU'!$G$9:$G$500)&gt;0,"Parcial por selección","Fuera por selección")),"Revisar vínculo")</f>
        <v>Incluido</v>
      </c>
      <c r="G57" s="10" t="s">
        <v>1955</v>
      </c>
    </row>
    <row r="58" spans="1:7" ht="42" customHeight="1">
      <c r="A58" s="1" t="s">
        <v>2055</v>
      </c>
      <c r="B58" s="10" t="s">
        <v>2056</v>
      </c>
      <c r="C58" s="10" t="s">
        <v>1962</v>
      </c>
      <c r="D58" s="10" t="s">
        <v>2054</v>
      </c>
      <c r="E58" s="10" t="s">
        <v>1954</v>
      </c>
      <c r="F58" s="10" t="str">
        <f>IF(AND(COUNTIF('Catalogo CU'!$A$9:$A$500,"CU-021")=1,COUNTIF('Catalogo CU'!$A$9:$A$500,"CU-022")=1),IF(SUMIF('Catalogo CU'!$A$9:$A$500,"CU-021",'Catalogo CU'!$G$9:$G$500)+SUMIF('Catalogo CU'!$A$9:$A$500,"CU-022",'Catalogo CU'!$G$9:$G$500)=2,"Incluido",IF(SUMIF('Catalogo CU'!$A$9:$A$500,"CU-021",'Catalogo CU'!$G$9:$G$500)+SUMIF('Catalogo CU'!$A$9:$A$500,"CU-022",'Catalogo CU'!$G$9:$G$500)&gt;0,"Parcial por selección","Fuera por selección")),"Revisar vínculo")</f>
        <v>Incluido</v>
      </c>
      <c r="G58" s="10" t="s">
        <v>1955</v>
      </c>
    </row>
    <row r="59" spans="1:7" ht="42" customHeight="1">
      <c r="A59" s="1" t="s">
        <v>2057</v>
      </c>
      <c r="B59" s="10" t="s">
        <v>2058</v>
      </c>
      <c r="C59" s="10" t="s">
        <v>1962</v>
      </c>
      <c r="D59" s="10" t="s">
        <v>2059</v>
      </c>
      <c r="E59" s="10" t="s">
        <v>1954</v>
      </c>
      <c r="F59" s="10" t="str">
        <f>IF(AND(COUNTIF('Catalogo CU'!$A$9:$A$500,"CU-022")=1,COUNTIF('Catalogo CU'!$A$9:$A$500,"CU-024")=1),IF(SUMIF('Catalogo CU'!$A$9:$A$500,"CU-022",'Catalogo CU'!$G$9:$G$500)+SUMIF('Catalogo CU'!$A$9:$A$500,"CU-024",'Catalogo CU'!$G$9:$G$500)=2,"Incluido",IF(SUMIF('Catalogo CU'!$A$9:$A$500,"CU-022",'Catalogo CU'!$G$9:$G$500)+SUMIF('Catalogo CU'!$A$9:$A$500,"CU-024",'Catalogo CU'!$G$9:$G$500)&gt;0,"Parcial por selección","Fuera por selección")),"Revisar vínculo")</f>
        <v>Incluido</v>
      </c>
      <c r="G59" s="10" t="s">
        <v>1955</v>
      </c>
    </row>
    <row r="60" spans="1:7" ht="57" customHeight="1">
      <c r="A60" s="1" t="s">
        <v>2060</v>
      </c>
      <c r="B60" s="10" t="s">
        <v>2061</v>
      </c>
      <c r="C60" s="10" t="s">
        <v>1962</v>
      </c>
      <c r="D60" s="10" t="s">
        <v>166</v>
      </c>
      <c r="E60" s="10" t="s">
        <v>1954</v>
      </c>
      <c r="F60" s="10" t="str">
        <f>IF(AND(COUNTIF('Catalogo CU'!$A$9:$A$500,"CU-023")=1),IF(SUMIF('Catalogo CU'!$A$9:$A$500,"CU-023",'Catalogo CU'!$G$9:$G$500)=1,"Incluido",IF(SUMIF('Catalogo CU'!$A$9:$A$500,"CU-023",'Catalogo CU'!$G$9:$G$500)&gt;0,"Parcial por selección","Fuera por selección")),"Revisar vínculo")</f>
        <v>Incluido</v>
      </c>
      <c r="G60" s="10" t="s">
        <v>1955</v>
      </c>
    </row>
    <row r="61" spans="1:7" ht="42" customHeight="1">
      <c r="A61" s="1" t="s">
        <v>2062</v>
      </c>
      <c r="B61" s="10" t="s">
        <v>2063</v>
      </c>
      <c r="C61" s="10" t="s">
        <v>1962</v>
      </c>
      <c r="D61" s="10" t="s">
        <v>182</v>
      </c>
      <c r="E61" s="10" t="s">
        <v>1954</v>
      </c>
      <c r="F61" s="10" t="str">
        <f>IF(AND(COUNTIF('Catalogo CU'!$A$9:$A$500,"CU-026")=1),IF(SUMIF('Catalogo CU'!$A$9:$A$500,"CU-026",'Catalogo CU'!$G$9:$G$500)=1,"Incluido",IF(SUMIF('Catalogo CU'!$A$9:$A$500,"CU-026",'Catalogo CU'!$G$9:$G$500)&gt;0,"Parcial por selección","Fuera por selección")),"Revisar vínculo")</f>
        <v>Incluido</v>
      </c>
      <c r="G61" s="10" t="s">
        <v>1955</v>
      </c>
    </row>
    <row r="62" spans="1:7" ht="42" customHeight="1">
      <c r="A62" s="1" t="s">
        <v>2064</v>
      </c>
      <c r="B62" s="10" t="s">
        <v>2065</v>
      </c>
      <c r="C62" s="10" t="s">
        <v>1953</v>
      </c>
      <c r="D62" s="10" t="s">
        <v>182</v>
      </c>
      <c r="E62" s="10" t="s">
        <v>1954</v>
      </c>
      <c r="F62" s="10" t="str">
        <f>IF(AND(COUNTIF('Catalogo CU'!$A$9:$A$500,"CU-026")=1),IF(SUMIF('Catalogo CU'!$A$9:$A$500,"CU-026",'Catalogo CU'!$G$9:$G$500)=1,"Incluido",IF(SUMIF('Catalogo CU'!$A$9:$A$500,"CU-026",'Catalogo CU'!$G$9:$G$500)&gt;0,"Parcial por selección","Fuera por selección")),"Revisar vínculo")</f>
        <v>Incluido</v>
      </c>
      <c r="G62" s="10" t="s">
        <v>1955</v>
      </c>
    </row>
    <row r="63" spans="1:7" ht="42" customHeight="1">
      <c r="A63" s="1" t="s">
        <v>2066</v>
      </c>
      <c r="B63" s="10" t="s">
        <v>2067</v>
      </c>
      <c r="C63" s="10" t="s">
        <v>1968</v>
      </c>
      <c r="D63" s="10" t="s">
        <v>182</v>
      </c>
      <c r="E63" s="10" t="s">
        <v>1954</v>
      </c>
      <c r="F63" s="10" t="str">
        <f>IF(AND(COUNTIF('Catalogo CU'!$A$9:$A$500,"CU-026")=1),IF(SUMIF('Catalogo CU'!$A$9:$A$500,"CU-026",'Catalogo CU'!$G$9:$G$500)=1,"Incluido",IF(SUMIF('Catalogo CU'!$A$9:$A$500,"CU-026",'Catalogo CU'!$G$9:$G$500)&gt;0,"Parcial por selección","Fuera por selección")),"Revisar vínculo")</f>
        <v>Incluido</v>
      </c>
      <c r="G63" s="10" t="s">
        <v>1955</v>
      </c>
    </row>
    <row r="64" spans="1:7" ht="40.049999999999997" customHeight="1">
      <c r="A64" s="1" t="s">
        <v>191</v>
      </c>
      <c r="B64" s="10" t="s">
        <v>2068</v>
      </c>
      <c r="C64" s="10" t="s">
        <v>1968</v>
      </c>
      <c r="D64" s="10" t="s">
        <v>187</v>
      </c>
      <c r="E64" s="10" t="s">
        <v>1954</v>
      </c>
      <c r="F64" s="10" t="str">
        <f>IF(AND(COUNTIF('Catalogo CU'!$A$9:$A$500,"CU-027")=1),IF(SUMIF('Catalogo CU'!$A$9:$A$500,"CU-027",'Catalogo CU'!$G$9:$G$500)=1,"Incluido",IF(SUMIF('Catalogo CU'!$A$9:$A$500,"CU-027",'Catalogo CU'!$G$9:$G$500)&gt;0,"Parcial por selección","Fuera por selección")),"Revisar vínculo")</f>
        <v>Incluido</v>
      </c>
      <c r="G64" s="10" t="s">
        <v>1955</v>
      </c>
    </row>
    <row r="65" spans="1:7" ht="40.049999999999997" customHeight="1">
      <c r="A65" s="1" t="s">
        <v>2069</v>
      </c>
      <c r="B65" s="10" t="s">
        <v>2070</v>
      </c>
      <c r="C65" s="10" t="s">
        <v>1953</v>
      </c>
      <c r="D65" s="10" t="s">
        <v>192</v>
      </c>
      <c r="E65" s="10" t="s">
        <v>1954</v>
      </c>
      <c r="F65" s="10" t="str">
        <f>IF(AND(COUNTIF('Catalogo CU'!$A$9:$A$500,"CU-028")=1),IF(SUMIF('Catalogo CU'!$A$9:$A$500,"CU-028",'Catalogo CU'!$G$9:$G$500)=1,"Incluido",IF(SUMIF('Catalogo CU'!$A$9:$A$500,"CU-028",'Catalogo CU'!$G$9:$G$500)&gt;0,"Parcial por selección","Fuera por selección")),"Revisar vínculo")</f>
        <v>Incluido</v>
      </c>
      <c r="G65" s="10" t="s">
        <v>1955</v>
      </c>
    </row>
    <row r="66" spans="1:7" ht="57" customHeight="1">
      <c r="A66" s="1" t="s">
        <v>2071</v>
      </c>
      <c r="B66" s="10" t="s">
        <v>2072</v>
      </c>
      <c r="C66" s="10" t="s">
        <v>1953</v>
      </c>
      <c r="D66" s="10" t="s">
        <v>135</v>
      </c>
      <c r="E66" s="10" t="s">
        <v>1954</v>
      </c>
      <c r="F66" s="10" t="str">
        <f>IF(AND(COUNTIF('Catalogo CU'!$A$9:$A$500,"CU-017")=1),IF(SUMIF('Catalogo CU'!$A$9:$A$500,"CU-017",'Catalogo CU'!$G$9:$G$500)=1,"Incluido",IF(SUMIF('Catalogo CU'!$A$9:$A$500,"CU-017",'Catalogo CU'!$G$9:$G$500)&gt;0,"Parcial por selección","Fuera por selección")),"Revisar vínculo")</f>
        <v>Incluido</v>
      </c>
      <c r="G66" s="10" t="s">
        <v>1955</v>
      </c>
    </row>
    <row r="67" spans="1:7" ht="57" customHeight="1">
      <c r="A67" s="1" t="s">
        <v>2073</v>
      </c>
      <c r="B67" s="10" t="s">
        <v>2074</v>
      </c>
      <c r="C67" s="10" t="s">
        <v>1962</v>
      </c>
      <c r="D67" s="10" t="s">
        <v>176</v>
      </c>
      <c r="E67" s="10" t="s">
        <v>1954</v>
      </c>
      <c r="F67" s="10" t="str">
        <f>IF(AND(COUNTIF('Catalogo CU'!$A$9:$A$500,"CU-025")=1),IF(SUMIF('Catalogo CU'!$A$9:$A$500,"CU-025",'Catalogo CU'!$G$9:$G$500)=1,"Incluido",IF(SUMIF('Catalogo CU'!$A$9:$A$500,"CU-025",'Catalogo CU'!$G$9:$G$500)&gt;0,"Parcial por selección","Fuera por selección")),"Revisar vínculo")</f>
        <v>Incluido</v>
      </c>
      <c r="G67" s="10" t="s">
        <v>1955</v>
      </c>
    </row>
    <row r="68" spans="1:7" ht="42" customHeight="1">
      <c r="A68" s="1" t="s">
        <v>2075</v>
      </c>
      <c r="B68" s="10" t="s">
        <v>2076</v>
      </c>
      <c r="C68" s="10" t="s">
        <v>1962</v>
      </c>
      <c r="D68" s="10" t="s">
        <v>238</v>
      </c>
      <c r="E68" s="10" t="s">
        <v>1954</v>
      </c>
      <c r="F68" s="10" t="str">
        <f>IF(AND(COUNTIF('Catalogo CU'!$A$9:$A$500,"CU-038")=1),IF(SUMIF('Catalogo CU'!$A$9:$A$500,"CU-038",'Catalogo CU'!$G$9:$G$500)=1,"Incluido",IF(SUMIF('Catalogo CU'!$A$9:$A$500,"CU-038",'Catalogo CU'!$G$9:$G$500)&gt;0,"Parcial por selección","Fuera por selección")),"Revisar vínculo")</f>
        <v>Incluido</v>
      </c>
      <c r="G68" s="10" t="s">
        <v>1955</v>
      </c>
    </row>
    <row r="69" spans="1:7" ht="42" customHeight="1">
      <c r="A69" s="1" t="s">
        <v>2077</v>
      </c>
      <c r="B69" s="10" t="s">
        <v>2078</v>
      </c>
      <c r="C69" s="10" t="s">
        <v>1962</v>
      </c>
      <c r="D69" s="10" t="s">
        <v>238</v>
      </c>
      <c r="E69" s="10" t="s">
        <v>1954</v>
      </c>
      <c r="F69" s="10" t="str">
        <f>IF(AND(COUNTIF('Catalogo CU'!$A$9:$A$500,"CU-038")=1),IF(SUMIF('Catalogo CU'!$A$9:$A$500,"CU-038",'Catalogo CU'!$G$9:$G$500)=1,"Incluido",IF(SUMIF('Catalogo CU'!$A$9:$A$500,"CU-038",'Catalogo CU'!$G$9:$G$500)&gt;0,"Parcial por selección","Fuera por selección")),"Revisar vínculo")</f>
        <v>Incluido</v>
      </c>
      <c r="G69" s="10" t="s">
        <v>1955</v>
      </c>
    </row>
    <row r="70" spans="1:7" ht="42" customHeight="1">
      <c r="A70" s="1" t="s">
        <v>2079</v>
      </c>
      <c r="B70" s="10" t="s">
        <v>2080</v>
      </c>
      <c r="C70" s="10" t="s">
        <v>1968</v>
      </c>
      <c r="D70" s="10" t="s">
        <v>182</v>
      </c>
      <c r="E70" s="10" t="s">
        <v>1954</v>
      </c>
      <c r="F70" s="10" t="str">
        <f>IF(AND(COUNTIF('Catalogo CU'!$A$9:$A$500,"CU-026")=1),IF(SUMIF('Catalogo CU'!$A$9:$A$500,"CU-026",'Catalogo CU'!$G$9:$G$500)=1,"Incluido",IF(SUMIF('Catalogo CU'!$A$9:$A$500,"CU-026",'Catalogo CU'!$G$9:$G$500)&gt;0,"Parcial por selección","Fuera por selección")),"Revisar vínculo")</f>
        <v>Incluido</v>
      </c>
      <c r="G70" s="10" t="s">
        <v>1955</v>
      </c>
    </row>
    <row r="71" spans="1:7" ht="57" customHeight="1">
      <c r="A71" s="1" t="s">
        <v>2081</v>
      </c>
      <c r="B71" s="10" t="s">
        <v>2082</v>
      </c>
      <c r="C71" s="10" t="s">
        <v>1968</v>
      </c>
      <c r="D71" s="10" t="s">
        <v>182</v>
      </c>
      <c r="E71" s="10" t="s">
        <v>1954</v>
      </c>
      <c r="F71" s="10" t="str">
        <f>IF(AND(COUNTIF('Catalogo CU'!$A$9:$A$500,"CU-026")=1),IF(SUMIF('Catalogo CU'!$A$9:$A$500,"CU-026",'Catalogo CU'!$G$9:$G$500)=1,"Incluido",IF(SUMIF('Catalogo CU'!$A$9:$A$500,"CU-026",'Catalogo CU'!$G$9:$G$500)&gt;0,"Parcial por selección","Fuera por selección")),"Revisar vínculo")</f>
        <v>Incluido</v>
      </c>
      <c r="G71" s="10" t="s">
        <v>1955</v>
      </c>
    </row>
    <row r="72" spans="1:7" ht="42" customHeight="1">
      <c r="A72" s="1" t="s">
        <v>2083</v>
      </c>
      <c r="B72" s="10" t="s">
        <v>2084</v>
      </c>
      <c r="C72" s="10" t="s">
        <v>1968</v>
      </c>
      <c r="D72" s="10" t="s">
        <v>182</v>
      </c>
      <c r="E72" s="10" t="s">
        <v>1954</v>
      </c>
      <c r="F72" s="10" t="str">
        <f>IF(AND(COUNTIF('Catalogo CU'!$A$9:$A$500,"CU-026")=1),IF(SUMIF('Catalogo CU'!$A$9:$A$500,"CU-026",'Catalogo CU'!$G$9:$G$500)=1,"Incluido",IF(SUMIF('Catalogo CU'!$A$9:$A$500,"CU-026",'Catalogo CU'!$G$9:$G$500)&gt;0,"Parcial por selección","Fuera por selección")),"Revisar vínculo")</f>
        <v>Incluido</v>
      </c>
      <c r="G72" s="10" t="s">
        <v>1955</v>
      </c>
    </row>
    <row r="73" spans="1:7" ht="57" customHeight="1">
      <c r="A73" s="1" t="s">
        <v>2085</v>
      </c>
      <c r="B73" s="10" t="s">
        <v>2086</v>
      </c>
      <c r="C73" s="10" t="s">
        <v>1962</v>
      </c>
      <c r="D73" s="10" t="s">
        <v>206</v>
      </c>
      <c r="E73" s="10" t="s">
        <v>1954</v>
      </c>
      <c r="F73" s="10" t="str">
        <f>IF(AND(COUNTIF('Catalogo CU'!$A$9:$A$500,"CU-031")=1),IF(SUMIF('Catalogo CU'!$A$9:$A$500,"CU-031",'Catalogo CU'!$G$9:$G$500)=1,"Incluido",IF(SUMIF('Catalogo CU'!$A$9:$A$500,"CU-031",'Catalogo CU'!$G$9:$G$500)&gt;0,"Parcial por selección","Fuera por selección")),"Revisar vínculo")</f>
        <v>Incluido</v>
      </c>
      <c r="G73" s="10" t="s">
        <v>1955</v>
      </c>
    </row>
    <row r="74" spans="1:7" ht="57" customHeight="1">
      <c r="A74" s="1" t="s">
        <v>2087</v>
      </c>
      <c r="B74" s="10" t="s">
        <v>2088</v>
      </c>
      <c r="C74" s="10" t="s">
        <v>1962</v>
      </c>
      <c r="D74" s="10" t="s">
        <v>206</v>
      </c>
      <c r="E74" s="10" t="s">
        <v>1954</v>
      </c>
      <c r="F74" s="10" t="str">
        <f>IF(AND(COUNTIF('Catalogo CU'!$A$9:$A$500,"CU-031")=1),IF(SUMIF('Catalogo CU'!$A$9:$A$500,"CU-031",'Catalogo CU'!$G$9:$G$500)=1,"Incluido",IF(SUMIF('Catalogo CU'!$A$9:$A$500,"CU-031",'Catalogo CU'!$G$9:$G$500)&gt;0,"Parcial por selección","Fuera por selección")),"Revisar vínculo")</f>
        <v>Incluido</v>
      </c>
      <c r="G74" s="10" t="s">
        <v>1955</v>
      </c>
    </row>
    <row r="75" spans="1:7" ht="57" customHeight="1">
      <c r="A75" s="1" t="s">
        <v>214</v>
      </c>
      <c r="B75" s="10" t="s">
        <v>2089</v>
      </c>
      <c r="C75" s="10" t="s">
        <v>1962</v>
      </c>
      <c r="D75" s="10" t="s">
        <v>211</v>
      </c>
      <c r="E75" s="10" t="s">
        <v>1954</v>
      </c>
      <c r="F75" s="10" t="str">
        <f>IF(AND(COUNTIF('Catalogo CU'!$A$9:$A$500,"CU-032")=1),IF(SUMIF('Catalogo CU'!$A$9:$A$500,"CU-032",'Catalogo CU'!$G$9:$G$500)=1,"Incluido",IF(SUMIF('Catalogo CU'!$A$9:$A$500,"CU-032",'Catalogo CU'!$G$9:$G$500)&gt;0,"Parcial por selección","Fuera por selección")),"Revisar vínculo")</f>
        <v>Incluido</v>
      </c>
      <c r="G75" s="10" t="s">
        <v>1955</v>
      </c>
    </row>
    <row r="76" spans="1:7" ht="57" customHeight="1">
      <c r="A76" s="1" t="s">
        <v>2090</v>
      </c>
      <c r="B76" s="10" t="s">
        <v>2091</v>
      </c>
      <c r="C76" s="10" t="s">
        <v>1962</v>
      </c>
      <c r="D76" s="10" t="s">
        <v>119</v>
      </c>
      <c r="E76" s="10" t="s">
        <v>1954</v>
      </c>
      <c r="F76" s="10" t="str">
        <f>IF(AND(COUNTIF('Catalogo CU'!$A$9:$A$500,"CU-014")=1),IF(SUMIF('Catalogo CU'!$A$9:$A$500,"CU-014",'Catalogo CU'!$G$9:$G$500)=1,"Incluido",IF(SUMIF('Catalogo CU'!$A$9:$A$500,"CU-014",'Catalogo CU'!$G$9:$G$500)&gt;0,"Parcial por selección","Fuera por selección")),"Revisar vínculo")</f>
        <v>Incluido</v>
      </c>
      <c r="G76" s="10" t="s">
        <v>1955</v>
      </c>
    </row>
    <row r="77" spans="1:7" ht="57" customHeight="1">
      <c r="A77" s="1" t="s">
        <v>201</v>
      </c>
      <c r="B77" s="10" t="s">
        <v>2092</v>
      </c>
      <c r="C77" s="10" t="s">
        <v>1962</v>
      </c>
      <c r="D77" s="10" t="s">
        <v>197</v>
      </c>
      <c r="E77" s="10" t="s">
        <v>1954</v>
      </c>
      <c r="F77" s="10" t="str">
        <f>IF(AND(COUNTIF('Catalogo CU'!$A$9:$A$500,"CU-029")=1),IF(SUMIF('Catalogo CU'!$A$9:$A$500,"CU-029",'Catalogo CU'!$G$9:$G$500)=1,"Incluido",IF(SUMIF('Catalogo CU'!$A$9:$A$500,"CU-029",'Catalogo CU'!$G$9:$G$500)&gt;0,"Parcial por selección","Fuera por selección")),"Revisar vínculo")</f>
        <v>Incluido</v>
      </c>
      <c r="G77" s="10" t="s">
        <v>1955</v>
      </c>
    </row>
    <row r="78" spans="1:7" ht="42" customHeight="1">
      <c r="A78" s="1" t="s">
        <v>2093</v>
      </c>
      <c r="B78" s="10" t="s">
        <v>2094</v>
      </c>
      <c r="C78" s="10" t="s">
        <v>2045</v>
      </c>
      <c r="D78" s="10" t="s">
        <v>338</v>
      </c>
      <c r="E78" s="10" t="s">
        <v>1954</v>
      </c>
      <c r="F78" s="10" t="str">
        <f>IF(AND(COUNTIF('Catalogo CU'!$A$9:$A$500,"CU-059")=1),IF(SUMIF('Catalogo CU'!$A$9:$A$500,"CU-059",'Catalogo CU'!$G$9:$G$500)=1,"Incluido",IF(SUMIF('Catalogo CU'!$A$9:$A$500,"CU-059",'Catalogo CU'!$G$9:$G$500)&gt;0,"Parcial por selección","Fuera por selección")),"Revisar vínculo")</f>
        <v>Incluido</v>
      </c>
      <c r="G78" s="10" t="s">
        <v>1955</v>
      </c>
    </row>
    <row r="79" spans="1:7" ht="42" customHeight="1">
      <c r="A79" s="1" t="s">
        <v>220</v>
      </c>
      <c r="B79" s="10" t="s">
        <v>2095</v>
      </c>
      <c r="C79" s="10" t="s">
        <v>2045</v>
      </c>
      <c r="D79" s="10" t="s">
        <v>2096</v>
      </c>
      <c r="E79" s="10" t="s">
        <v>1954</v>
      </c>
      <c r="F79" s="10" t="str">
        <f>IF(AND(COUNTIF('Catalogo CU'!$A$9:$A$500,"CU-033")=1,COUNTIF('Catalogo CU'!$A$9:$A$500,"CU-034")=1),IF(SUMIF('Catalogo CU'!$A$9:$A$500,"CU-033",'Catalogo CU'!$G$9:$G$500)+SUMIF('Catalogo CU'!$A$9:$A$500,"CU-034",'Catalogo CU'!$G$9:$G$500)=2,"Incluido",IF(SUMIF('Catalogo CU'!$A$9:$A$500,"CU-033",'Catalogo CU'!$G$9:$G$500)+SUMIF('Catalogo CU'!$A$9:$A$500,"CU-034",'Catalogo CU'!$G$9:$G$500)&gt;0,"Parcial por selección","Fuera por selección")),"Revisar vínculo")</f>
        <v>Incluido</v>
      </c>
      <c r="G79" s="10" t="s">
        <v>1955</v>
      </c>
    </row>
    <row r="80" spans="1:7" ht="42" customHeight="1">
      <c r="A80" s="1" t="s">
        <v>2097</v>
      </c>
      <c r="B80" s="10" t="s">
        <v>2098</v>
      </c>
      <c r="C80" s="10" t="s">
        <v>1962</v>
      </c>
      <c r="D80" s="10" t="s">
        <v>224</v>
      </c>
      <c r="E80" s="10" t="s">
        <v>1954</v>
      </c>
      <c r="F80" s="10" t="str">
        <f>IF(AND(COUNTIF('Catalogo CU'!$A$9:$A$500,"CU-035")=1),IF(SUMIF('Catalogo CU'!$A$9:$A$500,"CU-035",'Catalogo CU'!$G$9:$G$500)=1,"Incluido",IF(SUMIF('Catalogo CU'!$A$9:$A$500,"CU-035",'Catalogo CU'!$G$9:$G$500)&gt;0,"Parcial por selección","Fuera por selección")),"Revisar vínculo")</f>
        <v>Incluido</v>
      </c>
      <c r="G80" s="10" t="s">
        <v>1955</v>
      </c>
    </row>
    <row r="81" spans="1:7" ht="57" customHeight="1">
      <c r="A81" s="1" t="s">
        <v>2099</v>
      </c>
      <c r="B81" s="10" t="s">
        <v>2100</v>
      </c>
      <c r="C81" s="10" t="s">
        <v>1962</v>
      </c>
      <c r="D81" s="10" t="s">
        <v>192</v>
      </c>
      <c r="E81" s="10" t="s">
        <v>1954</v>
      </c>
      <c r="F81" s="10" t="str">
        <f>IF(AND(COUNTIF('Catalogo CU'!$A$9:$A$500,"CU-028")=1),IF(SUMIF('Catalogo CU'!$A$9:$A$500,"CU-028",'Catalogo CU'!$G$9:$G$500)=1,"Incluido",IF(SUMIF('Catalogo CU'!$A$9:$A$500,"CU-028",'Catalogo CU'!$G$9:$G$500)&gt;0,"Parcial por selección","Fuera por selección")),"Revisar vínculo")</f>
        <v>Incluido</v>
      </c>
      <c r="G81" s="10" t="s">
        <v>1955</v>
      </c>
    </row>
    <row r="82" spans="1:7" ht="57" customHeight="1">
      <c r="A82" s="1" t="s">
        <v>205</v>
      </c>
      <c r="B82" s="10" t="s">
        <v>2101</v>
      </c>
      <c r="C82" s="10" t="s">
        <v>1962</v>
      </c>
      <c r="D82" s="10" t="s">
        <v>202</v>
      </c>
      <c r="E82" s="10" t="s">
        <v>1954</v>
      </c>
      <c r="F82" s="10" t="str">
        <f>IF(AND(COUNTIF('Catalogo CU'!$A$9:$A$500,"CU-030")=1),IF(SUMIF('Catalogo CU'!$A$9:$A$500,"CU-030",'Catalogo CU'!$G$9:$G$500)=1,"Incluido",IF(SUMIF('Catalogo CU'!$A$9:$A$500,"CU-030",'Catalogo CU'!$G$9:$G$500)&gt;0,"Parcial por selección","Fuera por selección")),"Revisar vínculo")</f>
        <v>Incluido</v>
      </c>
      <c r="G82" s="10" t="s">
        <v>1955</v>
      </c>
    </row>
    <row r="83" spans="1:7" ht="42" customHeight="1">
      <c r="A83" s="1" t="s">
        <v>2102</v>
      </c>
      <c r="B83" s="10" t="s">
        <v>2103</v>
      </c>
      <c r="C83" s="10" t="s">
        <v>1953</v>
      </c>
      <c r="D83" s="10" t="s">
        <v>228</v>
      </c>
      <c r="E83" s="10" t="s">
        <v>1954</v>
      </c>
      <c r="F83" s="10" t="str">
        <f>IF(AND(COUNTIF('Catalogo CU'!$A$9:$A$500,"CU-036")=1),IF(SUMIF('Catalogo CU'!$A$9:$A$500,"CU-036",'Catalogo CU'!$G$9:$G$500)=1,"Incluido",IF(SUMIF('Catalogo CU'!$A$9:$A$500,"CU-036",'Catalogo CU'!$G$9:$G$500)&gt;0,"Parcial por selección","Fuera por selección")),"Revisar vínculo")</f>
        <v>Incluido</v>
      </c>
      <c r="G83" s="10" t="s">
        <v>1955</v>
      </c>
    </row>
    <row r="84" spans="1:7" ht="57" customHeight="1">
      <c r="A84" s="1" t="s">
        <v>237</v>
      </c>
      <c r="B84" s="10" t="s">
        <v>2104</v>
      </c>
      <c r="C84" s="10" t="s">
        <v>1953</v>
      </c>
      <c r="D84" s="10" t="s">
        <v>2105</v>
      </c>
      <c r="E84" s="10" t="s">
        <v>1954</v>
      </c>
      <c r="F84" s="10" t="str">
        <f>IF(AND(COUNTIF('Catalogo CU'!$A$9:$A$500,"CU-037")=1,COUNTIF('Catalogo CU'!$A$9:$A$500,"CU-045")=1),IF(SUMIF('Catalogo CU'!$A$9:$A$500,"CU-037",'Catalogo CU'!$G$9:$G$500)+SUMIF('Catalogo CU'!$A$9:$A$500,"CU-045",'Catalogo CU'!$G$9:$G$500)=2,"Incluido",IF(SUMIF('Catalogo CU'!$A$9:$A$500,"CU-037",'Catalogo CU'!$G$9:$G$500)+SUMIF('Catalogo CU'!$A$9:$A$500,"CU-045",'Catalogo CU'!$G$9:$G$500)&gt;0,"Parcial por selección","Fuera por selección")),"Revisar vínculo")</f>
        <v>Incluido</v>
      </c>
      <c r="G84" s="10" t="s">
        <v>1955</v>
      </c>
    </row>
    <row r="85" spans="1:7" ht="42" customHeight="1">
      <c r="A85" s="1" t="s">
        <v>2106</v>
      </c>
      <c r="B85" s="10" t="s">
        <v>2107</v>
      </c>
      <c r="C85" s="10" t="s">
        <v>1962</v>
      </c>
      <c r="D85" s="10" t="s">
        <v>238</v>
      </c>
      <c r="E85" s="10" t="s">
        <v>1954</v>
      </c>
      <c r="F85" s="10" t="str">
        <f>IF(AND(COUNTIF('Catalogo CU'!$A$9:$A$500,"CU-038")=1),IF(SUMIF('Catalogo CU'!$A$9:$A$500,"CU-038",'Catalogo CU'!$G$9:$G$500)=1,"Incluido",IF(SUMIF('Catalogo CU'!$A$9:$A$500,"CU-038",'Catalogo CU'!$G$9:$G$500)&gt;0,"Parcial por selección","Fuera por selección")),"Revisar vínculo")</f>
        <v>Incluido</v>
      </c>
      <c r="G85" s="10" t="s">
        <v>1955</v>
      </c>
    </row>
    <row r="86" spans="1:7" ht="42" customHeight="1">
      <c r="A86" s="1" t="s">
        <v>2108</v>
      </c>
      <c r="B86" s="10" t="s">
        <v>2109</v>
      </c>
      <c r="C86" s="10" t="s">
        <v>1962</v>
      </c>
      <c r="D86" s="10" t="s">
        <v>238</v>
      </c>
      <c r="E86" s="10" t="s">
        <v>1954</v>
      </c>
      <c r="F86" s="10" t="str">
        <f>IF(AND(COUNTIF('Catalogo CU'!$A$9:$A$500,"CU-038")=1),IF(SUMIF('Catalogo CU'!$A$9:$A$500,"CU-038",'Catalogo CU'!$G$9:$G$500)=1,"Incluido",IF(SUMIF('Catalogo CU'!$A$9:$A$500,"CU-038",'Catalogo CU'!$G$9:$G$500)&gt;0,"Parcial por selección","Fuera por selección")),"Revisar vínculo")</f>
        <v>Incluido</v>
      </c>
      <c r="G86" s="10" t="s">
        <v>1955</v>
      </c>
    </row>
    <row r="87" spans="1:7" ht="42" customHeight="1">
      <c r="A87" s="1" t="s">
        <v>247</v>
      </c>
      <c r="B87" s="10" t="s">
        <v>2110</v>
      </c>
      <c r="C87" s="10" t="s">
        <v>1962</v>
      </c>
      <c r="D87" s="10" t="s">
        <v>243</v>
      </c>
      <c r="E87" s="10" t="s">
        <v>1954</v>
      </c>
      <c r="F87" s="10" t="str">
        <f>IF(AND(COUNTIF('Catalogo CU'!$A$9:$A$500,"CU-039")=1),IF(SUMIF('Catalogo CU'!$A$9:$A$500,"CU-039",'Catalogo CU'!$G$9:$G$500)=1,"Incluido",IF(SUMIF('Catalogo CU'!$A$9:$A$500,"CU-039",'Catalogo CU'!$G$9:$G$500)&gt;0,"Parcial por selección","Fuera por selección")),"Revisar vínculo")</f>
        <v>Incluido</v>
      </c>
      <c r="G87" s="10" t="s">
        <v>1955</v>
      </c>
    </row>
    <row r="88" spans="1:7" ht="42" customHeight="1">
      <c r="A88" s="1" t="s">
        <v>2111</v>
      </c>
      <c r="B88" s="10" t="s">
        <v>2112</v>
      </c>
      <c r="C88" s="10" t="s">
        <v>1962</v>
      </c>
      <c r="D88" s="10" t="s">
        <v>238</v>
      </c>
      <c r="E88" s="10" t="s">
        <v>1954</v>
      </c>
      <c r="F88" s="10" t="str">
        <f>IF(AND(COUNTIF('Catalogo CU'!$A$9:$A$500,"CU-038")=1),IF(SUMIF('Catalogo CU'!$A$9:$A$500,"CU-038",'Catalogo CU'!$G$9:$G$500)=1,"Incluido",IF(SUMIF('Catalogo CU'!$A$9:$A$500,"CU-038",'Catalogo CU'!$G$9:$G$500)&gt;0,"Parcial por selección","Fuera por selección")),"Revisar vínculo")</f>
        <v>Incluido</v>
      </c>
      <c r="G88" s="10" t="s">
        <v>1955</v>
      </c>
    </row>
    <row r="89" spans="1:7" ht="42" customHeight="1">
      <c r="A89" s="1" t="s">
        <v>2113</v>
      </c>
      <c r="B89" s="10" t="s">
        <v>2114</v>
      </c>
      <c r="C89" s="10" t="s">
        <v>2045</v>
      </c>
      <c r="D89" s="10" t="s">
        <v>288</v>
      </c>
      <c r="E89" s="10" t="s">
        <v>1954</v>
      </c>
      <c r="F89" s="10" t="str">
        <f>IF(AND(COUNTIF('Catalogo CU'!$A$9:$A$500,"CU-048")=1),IF(SUMIF('Catalogo CU'!$A$9:$A$500,"CU-048",'Catalogo CU'!$G$9:$G$500)=1,"Incluido",IF(SUMIF('Catalogo CU'!$A$9:$A$500,"CU-048",'Catalogo CU'!$G$9:$G$500)&gt;0,"Parcial por selección","Fuera por selección")),"Revisar vínculo")</f>
        <v>Incluido</v>
      </c>
      <c r="G89" s="10" t="s">
        <v>1955</v>
      </c>
    </row>
    <row r="90" spans="1:7" ht="42" customHeight="1">
      <c r="A90" s="1" t="s">
        <v>2115</v>
      </c>
      <c r="B90" s="10" t="s">
        <v>2116</v>
      </c>
      <c r="C90" s="10" t="s">
        <v>1953</v>
      </c>
      <c r="D90" s="10" t="s">
        <v>2117</v>
      </c>
      <c r="E90" s="10" t="s">
        <v>1954</v>
      </c>
      <c r="F90" s="10" t="str">
        <f>IF(AND(COUNTIF('Catalogo CU'!$A$9:$A$500,"CU-040")=1,COUNTIF('Catalogo CU'!$A$9:$A$500,"CU-041")=1),IF(SUMIF('Catalogo CU'!$A$9:$A$500,"CU-040",'Catalogo CU'!$G$9:$G$500)+SUMIF('Catalogo CU'!$A$9:$A$500,"CU-041",'Catalogo CU'!$G$9:$G$500)=2,"Incluido",IF(SUMIF('Catalogo CU'!$A$9:$A$500,"CU-040",'Catalogo CU'!$G$9:$G$500)+SUMIF('Catalogo CU'!$A$9:$A$500,"CU-041",'Catalogo CU'!$G$9:$G$500)&gt;0,"Parcial por selección","Fuera por selección")),"Revisar vínculo")</f>
        <v>Incluido</v>
      </c>
      <c r="G90" s="10" t="s">
        <v>1955</v>
      </c>
    </row>
    <row r="91" spans="1:7" ht="42" customHeight="1">
      <c r="A91" s="1" t="s">
        <v>2118</v>
      </c>
      <c r="B91" s="10" t="s">
        <v>2119</v>
      </c>
      <c r="C91" s="10" t="s">
        <v>1953</v>
      </c>
      <c r="D91" s="10" t="s">
        <v>2117</v>
      </c>
      <c r="E91" s="10" t="s">
        <v>1954</v>
      </c>
      <c r="F91" s="10" t="str">
        <f>IF(AND(COUNTIF('Catalogo CU'!$A$9:$A$500,"CU-040")=1,COUNTIF('Catalogo CU'!$A$9:$A$500,"CU-041")=1),IF(SUMIF('Catalogo CU'!$A$9:$A$500,"CU-040",'Catalogo CU'!$G$9:$G$500)+SUMIF('Catalogo CU'!$A$9:$A$500,"CU-041",'Catalogo CU'!$G$9:$G$500)=2,"Incluido",IF(SUMIF('Catalogo CU'!$A$9:$A$500,"CU-040",'Catalogo CU'!$G$9:$G$500)+SUMIF('Catalogo CU'!$A$9:$A$500,"CU-041",'Catalogo CU'!$G$9:$G$500)&gt;0,"Parcial por selección","Fuera por selección")),"Revisar vínculo")</f>
        <v>Incluido</v>
      </c>
      <c r="G91" s="10" t="s">
        <v>1955</v>
      </c>
    </row>
    <row r="92" spans="1:7" ht="42" customHeight="1">
      <c r="A92" s="1" t="s">
        <v>2120</v>
      </c>
      <c r="B92" s="10" t="s">
        <v>2121</v>
      </c>
      <c r="C92" s="10" t="s">
        <v>1953</v>
      </c>
      <c r="D92" s="10" t="s">
        <v>259</v>
      </c>
      <c r="E92" s="10" t="s">
        <v>1954</v>
      </c>
      <c r="F92" s="10" t="str">
        <f>IF(AND(COUNTIF('Catalogo CU'!$A$9:$A$500,"CU-042")=1),IF(SUMIF('Catalogo CU'!$A$9:$A$500,"CU-042",'Catalogo CU'!$G$9:$G$500)=1,"Incluido",IF(SUMIF('Catalogo CU'!$A$9:$A$500,"CU-042",'Catalogo CU'!$G$9:$G$500)&gt;0,"Parcial por selección","Fuera por selección")),"Revisar vínculo")</f>
        <v>Incluido</v>
      </c>
      <c r="G92" s="10" t="s">
        <v>1955</v>
      </c>
    </row>
    <row r="93" spans="1:7" ht="57" customHeight="1">
      <c r="A93" s="1" t="s">
        <v>2122</v>
      </c>
      <c r="B93" s="10" t="s">
        <v>2123</v>
      </c>
      <c r="C93" s="10" t="s">
        <v>1953</v>
      </c>
      <c r="D93" s="10" t="s">
        <v>259</v>
      </c>
      <c r="E93" s="10" t="s">
        <v>1954</v>
      </c>
      <c r="F93" s="10" t="str">
        <f>IF(AND(COUNTIF('Catalogo CU'!$A$9:$A$500,"CU-042")=1),IF(SUMIF('Catalogo CU'!$A$9:$A$500,"CU-042",'Catalogo CU'!$G$9:$G$500)=1,"Incluido",IF(SUMIF('Catalogo CU'!$A$9:$A$500,"CU-042",'Catalogo CU'!$G$9:$G$500)&gt;0,"Parcial por selección","Fuera por selección")),"Revisar vínculo")</f>
        <v>Incluido</v>
      </c>
      <c r="G93" s="10" t="s">
        <v>1955</v>
      </c>
    </row>
    <row r="94" spans="1:7" ht="57" customHeight="1">
      <c r="A94" s="1" t="s">
        <v>2124</v>
      </c>
      <c r="B94" s="10" t="s">
        <v>2125</v>
      </c>
      <c r="C94" s="10" t="s">
        <v>1953</v>
      </c>
      <c r="D94" s="10" t="s">
        <v>268</v>
      </c>
      <c r="E94" s="10" t="s">
        <v>1954</v>
      </c>
      <c r="F94" s="10" t="str">
        <f>IF(AND(COUNTIF('Catalogo CU'!$A$9:$A$500,"CU-044")=1),IF(SUMIF('Catalogo CU'!$A$9:$A$500,"CU-044",'Catalogo CU'!$G$9:$G$500)=1,"Incluido",IF(SUMIF('Catalogo CU'!$A$9:$A$500,"CU-044",'Catalogo CU'!$G$9:$G$500)&gt;0,"Parcial por selección","Fuera por selección")),"Revisar vínculo")</f>
        <v>Incluido</v>
      </c>
      <c r="G94" s="10" t="s">
        <v>1955</v>
      </c>
    </row>
    <row r="95" spans="1:7" ht="87" customHeight="1">
      <c r="A95" s="1" t="s">
        <v>2126</v>
      </c>
      <c r="B95" s="10" t="s">
        <v>2127</v>
      </c>
      <c r="C95" s="10" t="s">
        <v>1968</v>
      </c>
      <c r="D95" s="10" t="s">
        <v>268</v>
      </c>
      <c r="E95" s="10" t="s">
        <v>1954</v>
      </c>
      <c r="F95" s="10" t="str">
        <f>IF(AND(COUNTIF('Catalogo CU'!$A$9:$A$500,"CU-044")=1),IF(SUMIF('Catalogo CU'!$A$9:$A$500,"CU-044",'Catalogo CU'!$G$9:$G$500)=1,"Incluido",IF(SUMIF('Catalogo CU'!$A$9:$A$500,"CU-044",'Catalogo CU'!$G$9:$G$500)&gt;0,"Parcial por selección","Fuera por selección")),"Revisar vínculo")</f>
        <v>Incluido</v>
      </c>
      <c r="G95" s="10" t="s">
        <v>1955</v>
      </c>
    </row>
    <row r="96" spans="1:7" ht="42" customHeight="1">
      <c r="A96" s="1" t="s">
        <v>2128</v>
      </c>
      <c r="B96" s="10" t="s">
        <v>2129</v>
      </c>
      <c r="C96" s="10" t="s">
        <v>1953</v>
      </c>
      <c r="D96" s="10" t="s">
        <v>228</v>
      </c>
      <c r="E96" s="10" t="s">
        <v>1954</v>
      </c>
      <c r="F96" s="10" t="str">
        <f>IF(AND(COUNTIF('Catalogo CU'!$A$9:$A$500,"CU-036")=1),IF(SUMIF('Catalogo CU'!$A$9:$A$500,"CU-036",'Catalogo CU'!$G$9:$G$500)=1,"Incluido",IF(SUMIF('Catalogo CU'!$A$9:$A$500,"CU-036",'Catalogo CU'!$G$9:$G$500)&gt;0,"Parcial por selección","Fuera por selección")),"Revisar vínculo")</f>
        <v>Incluido</v>
      </c>
      <c r="G96" s="10" t="s">
        <v>1955</v>
      </c>
    </row>
    <row r="97" spans="1:7" ht="42" customHeight="1">
      <c r="A97" s="1" t="s">
        <v>2130</v>
      </c>
      <c r="B97" s="10" t="s">
        <v>2131</v>
      </c>
      <c r="C97" s="10" t="s">
        <v>1953</v>
      </c>
      <c r="D97" s="10" t="s">
        <v>162</v>
      </c>
      <c r="E97" s="10" t="s">
        <v>1954</v>
      </c>
      <c r="F97" s="10" t="str">
        <f>IF(AND(COUNTIF('Catalogo CU'!$A$9:$A$500,"CU-022")=1),IF(SUMIF('Catalogo CU'!$A$9:$A$500,"CU-022",'Catalogo CU'!$G$9:$G$500)=1,"Incluido",IF(SUMIF('Catalogo CU'!$A$9:$A$500,"CU-022",'Catalogo CU'!$G$9:$G$500)&gt;0,"Parcial por selección","Fuera por selección")),"Revisar vínculo")</f>
        <v>Incluido</v>
      </c>
      <c r="G97" s="10" t="s">
        <v>1955</v>
      </c>
    </row>
    <row r="98" spans="1:7" ht="42" customHeight="1">
      <c r="A98" s="1" t="s">
        <v>281</v>
      </c>
      <c r="B98" s="10" t="s">
        <v>2132</v>
      </c>
      <c r="C98" s="10" t="s">
        <v>1953</v>
      </c>
      <c r="D98" s="10" t="s">
        <v>278</v>
      </c>
      <c r="E98" s="10" t="s">
        <v>1954</v>
      </c>
      <c r="F98" s="10" t="str">
        <f>IF(AND(COUNTIF('Catalogo CU'!$A$9:$A$500,"CU-046")=1),IF(SUMIF('Catalogo CU'!$A$9:$A$500,"CU-046",'Catalogo CU'!$G$9:$G$500)=1,"Incluido",IF(SUMIF('Catalogo CU'!$A$9:$A$500,"CU-046",'Catalogo CU'!$G$9:$G$500)&gt;0,"Parcial por selección","Fuera por selección")),"Revisar vínculo")</f>
        <v>Incluido</v>
      </c>
      <c r="G98" s="10" t="s">
        <v>1955</v>
      </c>
    </row>
    <row r="99" spans="1:7" ht="57" customHeight="1">
      <c r="A99" s="1" t="s">
        <v>301</v>
      </c>
      <c r="B99" s="10" t="s">
        <v>2133</v>
      </c>
      <c r="C99" s="10" t="s">
        <v>2134</v>
      </c>
      <c r="D99" s="10" t="s">
        <v>297</v>
      </c>
      <c r="E99" s="10" t="s">
        <v>1954</v>
      </c>
      <c r="F99" s="10" t="str">
        <f>IF(AND(COUNTIF('Catalogo CU'!$A$9:$A$500,"CU-050")=1),IF(SUMIF('Catalogo CU'!$A$9:$A$500,"CU-050",'Catalogo CU'!$G$9:$G$500)=1,"Incluido",IF(SUMIF('Catalogo CU'!$A$9:$A$500,"CU-050",'Catalogo CU'!$G$9:$G$500)&gt;0,"Parcial por selección","Fuera por selección")),"Revisar vínculo")</f>
        <v>Incluido</v>
      </c>
      <c r="G99" s="10" t="s">
        <v>1955</v>
      </c>
    </row>
    <row r="100" spans="1:7" ht="57" customHeight="1">
      <c r="A100" s="1" t="s">
        <v>2135</v>
      </c>
      <c r="B100" s="10" t="s">
        <v>2136</v>
      </c>
      <c r="C100" s="10" t="s">
        <v>2134</v>
      </c>
      <c r="D100" s="10" t="s">
        <v>288</v>
      </c>
      <c r="E100" s="10" t="s">
        <v>1954</v>
      </c>
      <c r="F100" s="10" t="str">
        <f>IF(AND(COUNTIF('Catalogo CU'!$A$9:$A$500,"CU-048")=1),IF(SUMIF('Catalogo CU'!$A$9:$A$500,"CU-048",'Catalogo CU'!$G$9:$G$500)=1,"Incluido",IF(SUMIF('Catalogo CU'!$A$9:$A$500,"CU-048",'Catalogo CU'!$G$9:$G$500)&gt;0,"Parcial por selección","Fuera por selección")),"Revisar vínculo")</f>
        <v>Incluido</v>
      </c>
      <c r="G100" s="10" t="s">
        <v>1955</v>
      </c>
    </row>
    <row r="101" spans="1:7" ht="57" customHeight="1">
      <c r="A101" s="1" t="s">
        <v>2137</v>
      </c>
      <c r="B101" s="10" t="s">
        <v>2138</v>
      </c>
      <c r="C101" s="10" t="s">
        <v>1962</v>
      </c>
      <c r="D101" s="10" t="s">
        <v>282</v>
      </c>
      <c r="E101" s="10" t="s">
        <v>1954</v>
      </c>
      <c r="F101" s="10" t="str">
        <f>IF(AND(COUNTIF('Catalogo CU'!$A$9:$A$500,"CU-047")=1),IF(SUMIF('Catalogo CU'!$A$9:$A$500,"CU-047",'Catalogo CU'!$G$9:$G$500)=1,"Incluido",IF(SUMIF('Catalogo CU'!$A$9:$A$500,"CU-047",'Catalogo CU'!$G$9:$G$500)&gt;0,"Parcial por selección","Fuera por selección")),"Revisar vínculo")</f>
        <v>Incluido</v>
      </c>
      <c r="G101" s="10" t="s">
        <v>1955</v>
      </c>
    </row>
    <row r="102" spans="1:7" ht="57" customHeight="1">
      <c r="A102" s="1" t="s">
        <v>2139</v>
      </c>
      <c r="B102" s="10" t="s">
        <v>2140</v>
      </c>
      <c r="C102" s="10" t="s">
        <v>1962</v>
      </c>
      <c r="D102" s="10" t="s">
        <v>282</v>
      </c>
      <c r="E102" s="10" t="s">
        <v>1954</v>
      </c>
      <c r="F102" s="10" t="str">
        <f>IF(AND(COUNTIF('Catalogo CU'!$A$9:$A$500,"CU-047")=1),IF(SUMIF('Catalogo CU'!$A$9:$A$500,"CU-047",'Catalogo CU'!$G$9:$G$500)=1,"Incluido",IF(SUMIF('Catalogo CU'!$A$9:$A$500,"CU-047",'Catalogo CU'!$G$9:$G$500)&gt;0,"Parcial por selección","Fuera por selección")),"Revisar vínculo")</f>
        <v>Incluido</v>
      </c>
      <c r="G102" s="10" t="s">
        <v>1955</v>
      </c>
    </row>
    <row r="103" spans="1:7" ht="57" customHeight="1">
      <c r="A103" s="1" t="s">
        <v>2141</v>
      </c>
      <c r="B103" s="10" t="s">
        <v>2142</v>
      </c>
      <c r="C103" s="10" t="s">
        <v>1962</v>
      </c>
      <c r="D103" s="10" t="s">
        <v>282</v>
      </c>
      <c r="E103" s="10" t="s">
        <v>1954</v>
      </c>
      <c r="F103" s="10" t="str">
        <f>IF(AND(COUNTIF('Catalogo CU'!$A$9:$A$500,"CU-047")=1),IF(SUMIF('Catalogo CU'!$A$9:$A$500,"CU-047",'Catalogo CU'!$G$9:$G$500)=1,"Incluido",IF(SUMIF('Catalogo CU'!$A$9:$A$500,"CU-047",'Catalogo CU'!$G$9:$G$500)&gt;0,"Parcial por selección","Fuera por selección")),"Revisar vínculo")</f>
        <v>Incluido</v>
      </c>
      <c r="G103" s="10" t="s">
        <v>1955</v>
      </c>
    </row>
    <row r="104" spans="1:7" ht="57" customHeight="1">
      <c r="A104" s="1" t="s">
        <v>2143</v>
      </c>
      <c r="B104" s="10" t="s">
        <v>2144</v>
      </c>
      <c r="C104" s="10" t="s">
        <v>1962</v>
      </c>
      <c r="D104" s="10" t="s">
        <v>302</v>
      </c>
      <c r="E104" s="10" t="s">
        <v>1954</v>
      </c>
      <c r="F104" s="10" t="str">
        <f>IF(AND(COUNTIF('Catalogo CU'!$A$9:$A$500,"CU-051")=1),IF(SUMIF('Catalogo CU'!$A$9:$A$500,"CU-051",'Catalogo CU'!$G$9:$G$500)=1,"Incluido",IF(SUMIF('Catalogo CU'!$A$9:$A$500,"CU-051",'Catalogo CU'!$G$9:$G$500)&gt;0,"Parcial por selección","Fuera por selección")),"Revisar vínculo")</f>
        <v>Incluido</v>
      </c>
      <c r="G104" s="10" t="s">
        <v>1955</v>
      </c>
    </row>
    <row r="105" spans="1:7" ht="57" customHeight="1">
      <c r="A105" s="1" t="s">
        <v>2145</v>
      </c>
      <c r="B105" s="10" t="s">
        <v>2146</v>
      </c>
      <c r="C105" s="10" t="s">
        <v>1962</v>
      </c>
      <c r="D105" s="10" t="s">
        <v>206</v>
      </c>
      <c r="E105" s="10" t="s">
        <v>1954</v>
      </c>
      <c r="F105" s="10" t="str">
        <f>IF(AND(COUNTIF('Catalogo CU'!$A$9:$A$500,"CU-031")=1),IF(SUMIF('Catalogo CU'!$A$9:$A$500,"CU-031",'Catalogo CU'!$G$9:$G$500)=1,"Incluido",IF(SUMIF('Catalogo CU'!$A$9:$A$500,"CU-031",'Catalogo CU'!$G$9:$G$500)&gt;0,"Parcial por selección","Fuera por selección")),"Revisar vínculo")</f>
        <v>Incluido</v>
      </c>
      <c r="G105" s="10" t="s">
        <v>1955</v>
      </c>
    </row>
    <row r="106" spans="1:7" ht="57" customHeight="1">
      <c r="A106" s="1" t="s">
        <v>296</v>
      </c>
      <c r="B106" s="10" t="s">
        <v>2147</v>
      </c>
      <c r="C106" s="10" t="s">
        <v>2134</v>
      </c>
      <c r="D106" s="10" t="s">
        <v>293</v>
      </c>
      <c r="E106" s="10" t="s">
        <v>1954</v>
      </c>
      <c r="F106" s="10" t="str">
        <f>IF(AND(COUNTIF('Catalogo CU'!$A$9:$A$500,"CU-049")=1),IF(SUMIF('Catalogo CU'!$A$9:$A$500,"CU-049",'Catalogo CU'!$G$9:$G$500)=1,"Incluido",IF(SUMIF('Catalogo CU'!$A$9:$A$500,"CU-049",'Catalogo CU'!$G$9:$G$500)&gt;0,"Parcial por selección","Fuera por selección")),"Revisar vínculo")</f>
        <v>Incluido</v>
      </c>
      <c r="G106" s="10" t="s">
        <v>1955</v>
      </c>
    </row>
    <row r="107" spans="1:7" ht="42" customHeight="1">
      <c r="A107" s="1" t="s">
        <v>2148</v>
      </c>
      <c r="B107" s="10" t="s">
        <v>2149</v>
      </c>
      <c r="C107" s="10" t="s">
        <v>2045</v>
      </c>
      <c r="D107" s="10" t="s">
        <v>307</v>
      </c>
      <c r="E107" s="10" t="s">
        <v>1954</v>
      </c>
      <c r="F107" s="10" t="str">
        <f>IF(AND(COUNTIF('Catalogo CU'!$A$9:$A$500,"CU-052")=1),IF(SUMIF('Catalogo CU'!$A$9:$A$500,"CU-052",'Catalogo CU'!$G$9:$G$500)=1,"Incluido",IF(SUMIF('Catalogo CU'!$A$9:$A$500,"CU-052",'Catalogo CU'!$G$9:$G$500)&gt;0,"Parcial por selección","Fuera por selección")),"Revisar vínculo")</f>
        <v>Incluido</v>
      </c>
      <c r="G107" s="10" t="s">
        <v>1955</v>
      </c>
    </row>
    <row r="108" spans="1:7" ht="42" customHeight="1">
      <c r="A108" s="1" t="s">
        <v>2150</v>
      </c>
      <c r="B108" s="10" t="s">
        <v>2151</v>
      </c>
      <c r="C108" s="10" t="s">
        <v>2045</v>
      </c>
      <c r="D108" s="10" t="s">
        <v>2152</v>
      </c>
      <c r="E108" s="10" t="s">
        <v>1954</v>
      </c>
      <c r="F108" s="10" t="str">
        <f>IF(AND(COUNTIF('Catalogo CU'!$A$9:$A$500,"CU-052")=1,COUNTIF('Catalogo CU'!$A$9:$A$500,"CU-054")=1),IF(SUMIF('Catalogo CU'!$A$9:$A$500,"CU-052",'Catalogo CU'!$G$9:$G$500)+SUMIF('Catalogo CU'!$A$9:$A$500,"CU-054",'Catalogo CU'!$G$9:$G$500)=2,"Incluido",IF(SUMIF('Catalogo CU'!$A$9:$A$500,"CU-052",'Catalogo CU'!$G$9:$G$500)+SUMIF('Catalogo CU'!$A$9:$A$500,"CU-054",'Catalogo CU'!$G$9:$G$500)&gt;0,"Parcial por selección","Fuera por selección")),"Revisar vínculo")</f>
        <v>Incluido</v>
      </c>
      <c r="G108" s="10" t="s">
        <v>1955</v>
      </c>
    </row>
    <row r="109" spans="1:7" ht="42" customHeight="1">
      <c r="A109" s="1" t="s">
        <v>2153</v>
      </c>
      <c r="B109" s="10" t="s">
        <v>2154</v>
      </c>
      <c r="C109" s="10" t="s">
        <v>2045</v>
      </c>
      <c r="D109" s="10" t="s">
        <v>2152</v>
      </c>
      <c r="E109" s="10" t="s">
        <v>1954</v>
      </c>
      <c r="F109" s="10" t="str">
        <f>IF(AND(COUNTIF('Catalogo CU'!$A$9:$A$500,"CU-052")=1,COUNTIF('Catalogo CU'!$A$9:$A$500,"CU-054")=1),IF(SUMIF('Catalogo CU'!$A$9:$A$500,"CU-052",'Catalogo CU'!$G$9:$G$500)+SUMIF('Catalogo CU'!$A$9:$A$500,"CU-054",'Catalogo CU'!$G$9:$G$500)=2,"Incluido",IF(SUMIF('Catalogo CU'!$A$9:$A$500,"CU-052",'Catalogo CU'!$G$9:$G$500)+SUMIF('Catalogo CU'!$A$9:$A$500,"CU-054",'Catalogo CU'!$G$9:$G$500)&gt;0,"Parcial por selección","Fuera por selección")),"Revisar vínculo")</f>
        <v>Incluido</v>
      </c>
      <c r="G109" s="10" t="s">
        <v>1955</v>
      </c>
    </row>
    <row r="110" spans="1:7" ht="42" customHeight="1">
      <c r="A110" s="1" t="s">
        <v>2155</v>
      </c>
      <c r="B110" s="10" t="s">
        <v>2156</v>
      </c>
      <c r="C110" s="10" t="s">
        <v>2045</v>
      </c>
      <c r="D110" s="10" t="s">
        <v>307</v>
      </c>
      <c r="E110" s="10" t="s">
        <v>1954</v>
      </c>
      <c r="F110" s="10" t="str">
        <f>IF(AND(COUNTIF('Catalogo CU'!$A$9:$A$500,"CU-052")=1),IF(SUMIF('Catalogo CU'!$A$9:$A$500,"CU-052",'Catalogo CU'!$G$9:$G$500)=1,"Incluido",IF(SUMIF('Catalogo CU'!$A$9:$A$500,"CU-052",'Catalogo CU'!$G$9:$G$500)&gt;0,"Parcial por selección","Fuera por selección")),"Revisar vínculo")</f>
        <v>Incluido</v>
      </c>
      <c r="G110" s="10" t="s">
        <v>1955</v>
      </c>
    </row>
    <row r="111" spans="1:7" ht="42" customHeight="1">
      <c r="A111" s="1" t="s">
        <v>2157</v>
      </c>
      <c r="B111" s="10" t="s">
        <v>2158</v>
      </c>
      <c r="C111" s="10" t="s">
        <v>2045</v>
      </c>
      <c r="D111" s="10" t="s">
        <v>307</v>
      </c>
      <c r="E111" s="10" t="s">
        <v>1954</v>
      </c>
      <c r="F111" s="10" t="str">
        <f>IF(AND(COUNTIF('Catalogo CU'!$A$9:$A$500,"CU-052")=1),IF(SUMIF('Catalogo CU'!$A$9:$A$500,"CU-052",'Catalogo CU'!$G$9:$G$500)=1,"Incluido",IF(SUMIF('Catalogo CU'!$A$9:$A$500,"CU-052",'Catalogo CU'!$G$9:$G$500)&gt;0,"Parcial por selección","Fuera por selección")),"Revisar vínculo")</f>
        <v>Incluido</v>
      </c>
      <c r="G111" s="10" t="s">
        <v>1955</v>
      </c>
    </row>
    <row r="112" spans="1:7" ht="57" customHeight="1">
      <c r="A112" s="1" t="s">
        <v>317</v>
      </c>
      <c r="B112" s="10" t="s">
        <v>2159</v>
      </c>
      <c r="C112" s="10" t="s">
        <v>2045</v>
      </c>
      <c r="D112" s="10" t="s">
        <v>313</v>
      </c>
      <c r="E112" s="10" t="s">
        <v>1954</v>
      </c>
      <c r="F112" s="10" t="str">
        <f>IF(AND(COUNTIF('Catalogo CU'!$A$9:$A$500,"CU-053")=1),IF(SUMIF('Catalogo CU'!$A$9:$A$500,"CU-053",'Catalogo CU'!$G$9:$G$500)=1,"Incluido",IF(SUMIF('Catalogo CU'!$A$9:$A$500,"CU-053",'Catalogo CU'!$G$9:$G$500)&gt;0,"Parcial por selección","Fuera por selección")),"Revisar vínculo")</f>
        <v>Incluido</v>
      </c>
      <c r="G112" s="10" t="s">
        <v>1955</v>
      </c>
    </row>
    <row r="113" spans="1:7" ht="42" customHeight="1">
      <c r="A113" s="1" t="s">
        <v>2160</v>
      </c>
      <c r="B113" s="10" t="s">
        <v>2161</v>
      </c>
      <c r="C113" s="10" t="s">
        <v>2045</v>
      </c>
      <c r="D113" s="10" t="s">
        <v>307</v>
      </c>
      <c r="E113" s="10" t="s">
        <v>1954</v>
      </c>
      <c r="F113" s="10" t="str">
        <f>IF(AND(COUNTIF('Catalogo CU'!$A$9:$A$500,"CU-052")=1),IF(SUMIF('Catalogo CU'!$A$9:$A$500,"CU-052",'Catalogo CU'!$G$9:$G$500)=1,"Incluido",IF(SUMIF('Catalogo CU'!$A$9:$A$500,"CU-052",'Catalogo CU'!$G$9:$G$500)&gt;0,"Parcial por selección","Fuera por selección")),"Revisar vínculo")</f>
        <v>Incluido</v>
      </c>
      <c r="G113" s="10" t="s">
        <v>1955</v>
      </c>
    </row>
    <row r="114" spans="1:7" ht="42" customHeight="1">
      <c r="A114" s="1" t="s">
        <v>2162</v>
      </c>
      <c r="B114" s="10" t="s">
        <v>2163</v>
      </c>
      <c r="C114" s="10" t="s">
        <v>2045</v>
      </c>
      <c r="D114" s="10" t="s">
        <v>307</v>
      </c>
      <c r="E114" s="10" t="s">
        <v>1954</v>
      </c>
      <c r="F114" s="10" t="str">
        <f>IF(AND(COUNTIF('Catalogo CU'!$A$9:$A$500,"CU-052")=1),IF(SUMIF('Catalogo CU'!$A$9:$A$500,"CU-052",'Catalogo CU'!$G$9:$G$500)=1,"Incluido",IF(SUMIF('Catalogo CU'!$A$9:$A$500,"CU-052",'Catalogo CU'!$G$9:$G$500)&gt;0,"Parcial por selección","Fuera por selección")),"Revisar vínculo")</f>
        <v>Incluido</v>
      </c>
      <c r="G114" s="10" t="s">
        <v>1955</v>
      </c>
    </row>
    <row r="115" spans="1:7" ht="57" customHeight="1">
      <c r="A115" s="1" t="s">
        <v>2164</v>
      </c>
      <c r="B115" s="10" t="s">
        <v>2165</v>
      </c>
      <c r="C115" s="10" t="s">
        <v>2045</v>
      </c>
      <c r="D115" s="10" t="s">
        <v>322</v>
      </c>
      <c r="E115" s="10" t="s">
        <v>1954</v>
      </c>
      <c r="F115" s="10" t="str">
        <f>IF(AND(COUNTIF('Catalogo CU'!$A$9:$A$500,"CU-055")=1),IF(SUMIF('Catalogo CU'!$A$9:$A$500,"CU-055",'Catalogo CU'!$G$9:$G$500)=1,"Incluido",IF(SUMIF('Catalogo CU'!$A$9:$A$500,"CU-055",'Catalogo CU'!$G$9:$G$500)&gt;0,"Parcial por selección","Fuera por selección")),"Revisar vínculo")</f>
        <v>Incluido</v>
      </c>
      <c r="G115" s="10" t="s">
        <v>1955</v>
      </c>
    </row>
    <row r="116" spans="1:7" ht="42" customHeight="1">
      <c r="A116" s="1" t="s">
        <v>2166</v>
      </c>
      <c r="B116" s="10" t="s">
        <v>2167</v>
      </c>
      <c r="C116" s="10" t="s">
        <v>2045</v>
      </c>
      <c r="D116" s="10" t="s">
        <v>141</v>
      </c>
      <c r="E116" s="10" t="s">
        <v>1954</v>
      </c>
      <c r="F116" s="10" t="str">
        <f>IF(AND(COUNTIF('Catalogo CU'!$A$9:$A$500,"CU-018")=1),IF(SUMIF('Catalogo CU'!$A$9:$A$500,"CU-018",'Catalogo CU'!$G$9:$G$500)=1,"Incluido",IF(SUMIF('Catalogo CU'!$A$9:$A$500,"CU-018",'Catalogo CU'!$G$9:$G$500)&gt;0,"Parcial por selección","Fuera por selección")),"Revisar vínculo")</f>
        <v>Incluido</v>
      </c>
      <c r="G116" s="10" t="s">
        <v>1955</v>
      </c>
    </row>
    <row r="117" spans="1:7" ht="42" customHeight="1">
      <c r="A117" s="1" t="s">
        <v>2168</v>
      </c>
      <c r="B117" s="10" t="s">
        <v>2169</v>
      </c>
      <c r="C117" s="10" t="s">
        <v>2045</v>
      </c>
      <c r="D117" s="10" t="s">
        <v>182</v>
      </c>
      <c r="E117" s="10" t="s">
        <v>1954</v>
      </c>
      <c r="F117" s="10" t="str">
        <f>IF(AND(COUNTIF('Catalogo CU'!$A$9:$A$500,"CU-026")=1),IF(SUMIF('Catalogo CU'!$A$9:$A$500,"CU-026",'Catalogo CU'!$G$9:$G$500)=1,"Incluido",IF(SUMIF('Catalogo CU'!$A$9:$A$500,"CU-026",'Catalogo CU'!$G$9:$G$500)&gt;0,"Parcial por selección","Fuera por selección")),"Revisar vínculo")</f>
        <v>Incluido</v>
      </c>
      <c r="G117" s="10" t="s">
        <v>1955</v>
      </c>
    </row>
    <row r="118" spans="1:7" ht="57" customHeight="1">
      <c r="A118" s="1" t="s">
        <v>2170</v>
      </c>
      <c r="B118" s="10" t="s">
        <v>2171</v>
      </c>
      <c r="C118" s="10" t="s">
        <v>2045</v>
      </c>
      <c r="D118" s="10" t="s">
        <v>182</v>
      </c>
      <c r="E118" s="10" t="s">
        <v>1954</v>
      </c>
      <c r="F118" s="10" t="str">
        <f>IF(AND(COUNTIF('Catalogo CU'!$A$9:$A$500,"CU-026")=1),IF(SUMIF('Catalogo CU'!$A$9:$A$500,"CU-026",'Catalogo CU'!$G$9:$G$500)=1,"Incluido",IF(SUMIF('Catalogo CU'!$A$9:$A$500,"CU-026",'Catalogo CU'!$G$9:$G$500)&gt;0,"Parcial por selección","Fuera por selección")),"Revisar vínculo")</f>
        <v>Incluido</v>
      </c>
      <c r="G118" s="10" t="s">
        <v>1955</v>
      </c>
    </row>
    <row r="119" spans="1:7" ht="42" customHeight="1">
      <c r="A119" s="1" t="s">
        <v>2172</v>
      </c>
      <c r="B119" s="10" t="s">
        <v>2173</v>
      </c>
      <c r="C119" s="10" t="s">
        <v>2045</v>
      </c>
      <c r="D119" s="10" t="s">
        <v>322</v>
      </c>
      <c r="E119" s="10" t="s">
        <v>1954</v>
      </c>
      <c r="F119" s="10" t="str">
        <f>IF(AND(COUNTIF('Catalogo CU'!$A$9:$A$500,"CU-055")=1),IF(SUMIF('Catalogo CU'!$A$9:$A$500,"CU-055",'Catalogo CU'!$G$9:$G$500)=1,"Incluido",IF(SUMIF('Catalogo CU'!$A$9:$A$500,"CU-055",'Catalogo CU'!$G$9:$G$500)&gt;0,"Parcial por selección","Fuera por selección")),"Revisar vínculo")</f>
        <v>Incluido</v>
      </c>
      <c r="G119" s="10" t="s">
        <v>1955</v>
      </c>
    </row>
    <row r="120" spans="1:7" ht="42" customHeight="1">
      <c r="A120" s="1" t="s">
        <v>2174</v>
      </c>
      <c r="B120" s="10" t="s">
        <v>2175</v>
      </c>
      <c r="C120" s="10" t="s">
        <v>2134</v>
      </c>
      <c r="D120" s="10" t="s">
        <v>326</v>
      </c>
      <c r="E120" s="10" t="s">
        <v>1954</v>
      </c>
      <c r="F120" s="10" t="str">
        <f>IF(AND(COUNTIF('Catalogo CU'!$A$9:$A$500,"CU-056")=1),IF(SUMIF('Catalogo CU'!$A$9:$A$500,"CU-056",'Catalogo CU'!$G$9:$G$500)=1,"Incluido",IF(SUMIF('Catalogo CU'!$A$9:$A$500,"CU-056",'Catalogo CU'!$G$9:$G$500)&gt;0,"Parcial por selección","Fuera por selección")),"Revisar vínculo")</f>
        <v>Incluido</v>
      </c>
      <c r="G120" s="10" t="s">
        <v>1955</v>
      </c>
    </row>
    <row r="121" spans="1:7" ht="42" customHeight="1">
      <c r="A121" s="1" t="s">
        <v>333</v>
      </c>
      <c r="B121" s="10" t="s">
        <v>2176</v>
      </c>
      <c r="C121" s="10" t="s">
        <v>2134</v>
      </c>
      <c r="D121" s="10" t="s">
        <v>330</v>
      </c>
      <c r="E121" s="10" t="s">
        <v>1954</v>
      </c>
      <c r="F121" s="10" t="str">
        <f>IF(AND(COUNTIF('Catalogo CU'!$A$9:$A$500,"CU-057")=1),IF(SUMIF('Catalogo CU'!$A$9:$A$500,"CU-057",'Catalogo CU'!$G$9:$G$500)=1,"Incluido",IF(SUMIF('Catalogo CU'!$A$9:$A$500,"CU-057",'Catalogo CU'!$G$9:$G$500)&gt;0,"Parcial por selección","Fuera por selección")),"Revisar vínculo")</f>
        <v>Incluido</v>
      </c>
      <c r="G121" s="10" t="s">
        <v>1955</v>
      </c>
    </row>
    <row r="122" spans="1:7" ht="42" customHeight="1">
      <c r="A122" s="1" t="s">
        <v>2177</v>
      </c>
      <c r="B122" s="10" t="s">
        <v>2178</v>
      </c>
      <c r="C122" s="10" t="s">
        <v>2134</v>
      </c>
      <c r="D122" s="10" t="s">
        <v>334</v>
      </c>
      <c r="E122" s="10" t="s">
        <v>1954</v>
      </c>
      <c r="F122" s="10" t="str">
        <f>IF(AND(COUNTIF('Catalogo CU'!$A$9:$A$500,"CU-058")=1),IF(SUMIF('Catalogo CU'!$A$9:$A$500,"CU-058",'Catalogo CU'!$G$9:$G$500)=1,"Incluido",IF(SUMIF('Catalogo CU'!$A$9:$A$500,"CU-058",'Catalogo CU'!$G$9:$G$500)&gt;0,"Parcial por selección","Fuera por selección")),"Revisar vínculo")</f>
        <v>Incluido</v>
      </c>
      <c r="G122" s="10" t="s">
        <v>1955</v>
      </c>
    </row>
    <row r="123" spans="1:7" ht="42" customHeight="1">
      <c r="A123" s="1" t="s">
        <v>2179</v>
      </c>
      <c r="B123" s="10" t="s">
        <v>2180</v>
      </c>
      <c r="C123" s="10" t="s">
        <v>2134</v>
      </c>
      <c r="D123" s="10" t="s">
        <v>334</v>
      </c>
      <c r="E123" s="10" t="s">
        <v>1954</v>
      </c>
      <c r="F123" s="10" t="str">
        <f>IF(AND(COUNTIF('Catalogo CU'!$A$9:$A$500,"CU-058")=1),IF(SUMIF('Catalogo CU'!$A$9:$A$500,"CU-058",'Catalogo CU'!$G$9:$G$500)=1,"Incluido",IF(SUMIF('Catalogo CU'!$A$9:$A$500,"CU-058",'Catalogo CU'!$G$9:$G$500)&gt;0,"Parcial por selección","Fuera por selección")),"Revisar vínculo")</f>
        <v>Incluido</v>
      </c>
      <c r="G123" s="10" t="s">
        <v>1955</v>
      </c>
    </row>
    <row r="124" spans="1:7" ht="42" customHeight="1">
      <c r="A124" s="1" t="s">
        <v>2181</v>
      </c>
      <c r="B124" s="10" t="s">
        <v>2182</v>
      </c>
      <c r="C124" s="10" t="s">
        <v>2134</v>
      </c>
      <c r="D124" s="10" t="s">
        <v>338</v>
      </c>
      <c r="E124" s="10" t="s">
        <v>1954</v>
      </c>
      <c r="F124" s="10" t="str">
        <f>IF(AND(COUNTIF('Catalogo CU'!$A$9:$A$500,"CU-059")=1),IF(SUMIF('Catalogo CU'!$A$9:$A$500,"CU-059",'Catalogo CU'!$G$9:$G$500)=1,"Incluido",IF(SUMIF('Catalogo CU'!$A$9:$A$500,"CU-059",'Catalogo CU'!$G$9:$G$500)&gt;0,"Parcial por selección","Fuera por selección")),"Revisar vínculo")</f>
        <v>Incluido</v>
      </c>
      <c r="G124" s="10" t="s">
        <v>1955</v>
      </c>
    </row>
    <row r="125" spans="1:7" ht="40.049999999999997" customHeight="1">
      <c r="A125" s="1" t="s">
        <v>2183</v>
      </c>
      <c r="B125" s="10" t="s">
        <v>2184</v>
      </c>
      <c r="C125" s="10" t="s">
        <v>2134</v>
      </c>
      <c r="D125" s="10" t="s">
        <v>342</v>
      </c>
      <c r="E125" s="10" t="s">
        <v>1954</v>
      </c>
      <c r="F125" s="10" t="str">
        <f>IF(AND(COUNTIF('Catalogo CU'!$A$9:$A$500,"CU-060")=1),IF(SUMIF('Catalogo CU'!$A$9:$A$500,"CU-060",'Catalogo CU'!$G$9:$G$500)=1,"Incluido",IF(SUMIF('Catalogo CU'!$A$9:$A$500,"CU-060",'Catalogo CU'!$G$9:$G$500)&gt;0,"Parcial por selección","Fuera por selección")),"Revisar vínculo")</f>
        <v>Incluido</v>
      </c>
      <c r="G125" s="10" t="s">
        <v>1955</v>
      </c>
    </row>
    <row r="126" spans="1:7" ht="40.049999999999997" customHeight="1">
      <c r="A126" s="1" t="s">
        <v>2185</v>
      </c>
      <c r="B126" s="10" t="s">
        <v>2186</v>
      </c>
      <c r="C126" s="10" t="s">
        <v>2134</v>
      </c>
      <c r="D126" s="10" t="s">
        <v>342</v>
      </c>
      <c r="E126" s="10" t="s">
        <v>1954</v>
      </c>
      <c r="F126" s="10" t="str">
        <f>IF(AND(COUNTIF('Catalogo CU'!$A$9:$A$500,"CU-060")=1),IF(SUMIF('Catalogo CU'!$A$9:$A$500,"CU-060",'Catalogo CU'!$G$9:$G$500)=1,"Incluido",IF(SUMIF('Catalogo CU'!$A$9:$A$500,"CU-060",'Catalogo CU'!$G$9:$G$500)&gt;0,"Parcial por selección","Fuera por selección")),"Revisar vínculo")</f>
        <v>Incluido</v>
      </c>
      <c r="G126" s="10" t="s">
        <v>1955</v>
      </c>
    </row>
    <row r="127" spans="1:7" ht="42" customHeight="1">
      <c r="A127" s="1" t="s">
        <v>2187</v>
      </c>
      <c r="B127" s="10" t="s">
        <v>2188</v>
      </c>
      <c r="C127" s="10" t="s">
        <v>2134</v>
      </c>
      <c r="D127" s="10" t="s">
        <v>342</v>
      </c>
      <c r="E127" s="10" t="s">
        <v>1954</v>
      </c>
      <c r="F127" s="10" t="str">
        <f>IF(AND(COUNTIF('Catalogo CU'!$A$9:$A$500,"CU-060")=1),IF(SUMIF('Catalogo CU'!$A$9:$A$500,"CU-060",'Catalogo CU'!$G$9:$G$500)=1,"Incluido",IF(SUMIF('Catalogo CU'!$A$9:$A$500,"CU-060",'Catalogo CU'!$G$9:$G$500)&gt;0,"Parcial por selección","Fuera por selección")),"Revisar vínculo")</f>
        <v>Incluido</v>
      </c>
      <c r="G127" s="10" t="s">
        <v>1955</v>
      </c>
    </row>
    <row r="128" spans="1:7" ht="42" customHeight="1">
      <c r="A128" s="1" t="s">
        <v>2189</v>
      </c>
      <c r="B128" s="10" t="s">
        <v>2190</v>
      </c>
      <c r="C128" s="10" t="s">
        <v>2134</v>
      </c>
      <c r="D128" s="10" t="s">
        <v>347</v>
      </c>
      <c r="E128" s="10" t="s">
        <v>1954</v>
      </c>
      <c r="F128" s="10" t="str">
        <f>IF(AND(COUNTIF('Catalogo CU'!$A$9:$A$500,"CU-061")=1),IF(SUMIF('Catalogo CU'!$A$9:$A$500,"CU-061",'Catalogo CU'!$G$9:$G$500)=1,"Incluido",IF(SUMIF('Catalogo CU'!$A$9:$A$500,"CU-061",'Catalogo CU'!$G$9:$G$500)&gt;0,"Parcial por selección","Fuera por selección")),"Revisar vínculo")</f>
        <v>Incluido</v>
      </c>
      <c r="G128" s="10" t="s">
        <v>1955</v>
      </c>
    </row>
    <row r="129" spans="1:7" ht="42" customHeight="1">
      <c r="A129" s="1" t="s">
        <v>2191</v>
      </c>
      <c r="B129" s="10" t="s">
        <v>2192</v>
      </c>
      <c r="C129" s="10" t="s">
        <v>2134</v>
      </c>
      <c r="D129" s="10" t="s">
        <v>347</v>
      </c>
      <c r="E129" s="10" t="s">
        <v>1954</v>
      </c>
      <c r="F129" s="10" t="str">
        <f>IF(AND(COUNTIF('Catalogo CU'!$A$9:$A$500,"CU-061")=1),IF(SUMIF('Catalogo CU'!$A$9:$A$500,"CU-061",'Catalogo CU'!$G$9:$G$500)=1,"Incluido",IF(SUMIF('Catalogo CU'!$A$9:$A$500,"CU-061",'Catalogo CU'!$G$9:$G$500)&gt;0,"Parcial por selección","Fuera por selección")),"Revisar vínculo")</f>
        <v>Incluido</v>
      </c>
      <c r="G129" s="10" t="s">
        <v>1955</v>
      </c>
    </row>
    <row r="130" spans="1:7" ht="42" customHeight="1">
      <c r="A130" s="1" t="s">
        <v>2193</v>
      </c>
      <c r="B130" s="10" t="s">
        <v>2194</v>
      </c>
      <c r="C130" s="10" t="s">
        <v>2134</v>
      </c>
      <c r="D130" s="10" t="s">
        <v>347</v>
      </c>
      <c r="E130" s="10" t="s">
        <v>1954</v>
      </c>
      <c r="F130" s="10" t="str">
        <f>IF(AND(COUNTIF('Catalogo CU'!$A$9:$A$500,"CU-061")=1),IF(SUMIF('Catalogo CU'!$A$9:$A$500,"CU-061",'Catalogo CU'!$G$9:$G$500)=1,"Incluido",IF(SUMIF('Catalogo CU'!$A$9:$A$500,"CU-061",'Catalogo CU'!$G$9:$G$500)&gt;0,"Parcial por selección","Fuera por selección")),"Revisar vínculo")</f>
        <v>Incluido</v>
      </c>
      <c r="G130" s="10" t="s">
        <v>1955</v>
      </c>
    </row>
    <row r="131" spans="1:7" ht="57" customHeight="1">
      <c r="A131" s="1" t="s">
        <v>355</v>
      </c>
      <c r="B131" s="10" t="s">
        <v>2195</v>
      </c>
      <c r="C131" s="10" t="s">
        <v>2134</v>
      </c>
      <c r="D131" s="10" t="s">
        <v>352</v>
      </c>
      <c r="E131" s="10" t="s">
        <v>1954</v>
      </c>
      <c r="F131" s="10" t="str">
        <f>IF(AND(COUNTIF('Catalogo CU'!$A$9:$A$500,"CU-062")=1),IF(SUMIF('Catalogo CU'!$A$9:$A$500,"CU-062",'Catalogo CU'!$G$9:$G$500)=1,"Incluido",IF(SUMIF('Catalogo CU'!$A$9:$A$500,"CU-062",'Catalogo CU'!$G$9:$G$500)&gt;0,"Parcial por selección","Fuera por selección")),"Revisar vínculo")</f>
        <v>Incluido</v>
      </c>
      <c r="G131" s="10" t="s">
        <v>1955</v>
      </c>
    </row>
    <row r="132" spans="1:7" ht="40.049999999999997" customHeight="1">
      <c r="A132" s="1" t="s">
        <v>2196</v>
      </c>
      <c r="B132" s="10" t="s">
        <v>2197</v>
      </c>
      <c r="C132" s="10" t="s">
        <v>2134</v>
      </c>
      <c r="D132" s="10" t="s">
        <v>356</v>
      </c>
      <c r="E132" s="10" t="s">
        <v>1954</v>
      </c>
      <c r="F132" s="10" t="str">
        <f>IF(AND(COUNTIF('Catalogo CU'!$A$9:$A$500,"CU-063")=1),IF(SUMIF('Catalogo CU'!$A$9:$A$500,"CU-063",'Catalogo CU'!$G$9:$G$500)=1,"Incluido",IF(SUMIF('Catalogo CU'!$A$9:$A$500,"CU-063",'Catalogo CU'!$G$9:$G$500)&gt;0,"Parcial por selección","Fuera por selección")),"Revisar vínculo")</f>
        <v>Incluido</v>
      </c>
      <c r="G132" s="10" t="s">
        <v>1955</v>
      </c>
    </row>
    <row r="133" spans="1:7" ht="42" customHeight="1">
      <c r="A133" s="1" t="s">
        <v>365</v>
      </c>
      <c r="B133" s="10" t="s">
        <v>2198</v>
      </c>
      <c r="C133" s="10" t="s">
        <v>2134</v>
      </c>
      <c r="D133" s="10" t="s">
        <v>361</v>
      </c>
      <c r="E133" s="10" t="s">
        <v>1954</v>
      </c>
      <c r="F133" s="10" t="str">
        <f>IF(AND(COUNTIF('Catalogo CU'!$A$9:$A$500,"CU-064")=1),IF(SUMIF('Catalogo CU'!$A$9:$A$500,"CU-064",'Catalogo CU'!$G$9:$G$500)=1,"Incluido",IF(SUMIF('Catalogo CU'!$A$9:$A$500,"CU-064",'Catalogo CU'!$G$9:$G$500)&gt;0,"Parcial por selección","Fuera por selección")),"Revisar vínculo")</f>
        <v>Incluido</v>
      </c>
      <c r="G133" s="10" t="s">
        <v>1955</v>
      </c>
    </row>
    <row r="134" spans="1:7" ht="42" customHeight="1">
      <c r="A134" s="1" t="s">
        <v>2199</v>
      </c>
      <c r="B134" s="10" t="s">
        <v>2200</v>
      </c>
      <c r="C134" s="10" t="s">
        <v>2134</v>
      </c>
      <c r="D134" s="10" t="s">
        <v>356</v>
      </c>
      <c r="E134" s="10" t="s">
        <v>1954</v>
      </c>
      <c r="F134" s="10" t="str">
        <f>IF(AND(COUNTIF('Catalogo CU'!$A$9:$A$500,"CU-063")=1),IF(SUMIF('Catalogo CU'!$A$9:$A$500,"CU-063",'Catalogo CU'!$G$9:$G$500)=1,"Incluido",IF(SUMIF('Catalogo CU'!$A$9:$A$500,"CU-063",'Catalogo CU'!$G$9:$G$500)&gt;0,"Parcial por selección","Fuera por selección")),"Revisar vínculo")</f>
        <v>Incluido</v>
      </c>
      <c r="G134" s="10" t="s">
        <v>1955</v>
      </c>
    </row>
    <row r="135" spans="1:7" ht="42" customHeight="1">
      <c r="A135" s="1" t="s">
        <v>2201</v>
      </c>
      <c r="B135" s="10" t="s">
        <v>2202</v>
      </c>
      <c r="C135" s="10" t="s">
        <v>2134</v>
      </c>
      <c r="D135" s="10" t="s">
        <v>356</v>
      </c>
      <c r="E135" s="10" t="s">
        <v>1954</v>
      </c>
      <c r="F135" s="10" t="str">
        <f>IF(AND(COUNTIF('Catalogo CU'!$A$9:$A$500,"CU-063")=1),IF(SUMIF('Catalogo CU'!$A$9:$A$500,"CU-063",'Catalogo CU'!$G$9:$G$500)=1,"Incluido",IF(SUMIF('Catalogo CU'!$A$9:$A$500,"CU-063",'Catalogo CU'!$G$9:$G$500)&gt;0,"Parcial por selección","Fuera por selección")),"Revisar vínculo")</f>
        <v>Incluido</v>
      </c>
      <c r="G135" s="10" t="s">
        <v>1955</v>
      </c>
    </row>
    <row r="136" spans="1:7" ht="42" customHeight="1">
      <c r="A136" s="1" t="s">
        <v>370</v>
      </c>
      <c r="B136" s="10" t="s">
        <v>2203</v>
      </c>
      <c r="C136" s="10" t="s">
        <v>2134</v>
      </c>
      <c r="D136" s="10" t="s">
        <v>366</v>
      </c>
      <c r="E136" s="10" t="s">
        <v>1954</v>
      </c>
      <c r="F136" s="10" t="str">
        <f>IF(AND(COUNTIF('Catalogo CU'!$A$9:$A$500,"CU-065")=1),IF(SUMIF('Catalogo CU'!$A$9:$A$500,"CU-065",'Catalogo CU'!$G$9:$G$500)=1,"Incluido",IF(SUMIF('Catalogo CU'!$A$9:$A$500,"CU-065",'Catalogo CU'!$G$9:$G$500)&gt;0,"Parcial por selección","Fuera por selección")),"Revisar vínculo")</f>
        <v>Incluido</v>
      </c>
      <c r="G136" s="10" t="s">
        <v>1955</v>
      </c>
    </row>
    <row r="137" spans="1:7" ht="42" customHeight="1">
      <c r="A137" s="1" t="s">
        <v>376</v>
      </c>
      <c r="B137" s="10" t="s">
        <v>2204</v>
      </c>
      <c r="C137" s="10" t="s">
        <v>1953</v>
      </c>
      <c r="D137" s="10" t="s">
        <v>371</v>
      </c>
      <c r="E137" s="10" t="s">
        <v>1954</v>
      </c>
      <c r="F137" s="10" t="str">
        <f>IF(AND(COUNTIF('Catalogo CU'!$A$9:$A$500,"CU-066")=1),IF(SUMIF('Catalogo CU'!$A$9:$A$500,"CU-066",'Catalogo CU'!$G$9:$G$500)=1,"Incluido",IF(SUMIF('Catalogo CU'!$A$9:$A$500,"CU-066",'Catalogo CU'!$G$9:$G$500)&gt;0,"Parcial por selección","Fuera por selección")),"Revisar vínculo")</f>
        <v>Incluido</v>
      </c>
      <c r="G137" s="10" t="s">
        <v>1955</v>
      </c>
    </row>
    <row r="138" spans="1:7" ht="42" customHeight="1">
      <c r="A138" s="1" t="s">
        <v>2205</v>
      </c>
      <c r="B138" s="10" t="s">
        <v>2206</v>
      </c>
      <c r="C138" s="10" t="s">
        <v>1962</v>
      </c>
      <c r="D138" s="10" t="s">
        <v>377</v>
      </c>
      <c r="E138" s="10" t="s">
        <v>1954</v>
      </c>
      <c r="F138" s="10" t="str">
        <f>IF(AND(COUNTIF('Catalogo CU'!$A$9:$A$500,"CU-067")=1),IF(SUMIF('Catalogo CU'!$A$9:$A$500,"CU-067",'Catalogo CU'!$G$9:$G$500)=1,"Incluido",IF(SUMIF('Catalogo CU'!$A$9:$A$500,"CU-067",'Catalogo CU'!$G$9:$G$500)&gt;0,"Parcial por selección","Fuera por selección")),"Revisar vínculo")</f>
        <v>Incluido</v>
      </c>
      <c r="G138" s="10" t="s">
        <v>1955</v>
      </c>
    </row>
    <row r="139" spans="1:7" ht="42" customHeight="1">
      <c r="A139" s="1" t="s">
        <v>2207</v>
      </c>
      <c r="B139" s="10" t="s">
        <v>2208</v>
      </c>
      <c r="C139" s="10" t="s">
        <v>1962</v>
      </c>
      <c r="D139" s="10" t="s">
        <v>377</v>
      </c>
      <c r="E139" s="10" t="s">
        <v>1954</v>
      </c>
      <c r="F139" s="10" t="str">
        <f>IF(AND(COUNTIF('Catalogo CU'!$A$9:$A$500,"CU-067")=1),IF(SUMIF('Catalogo CU'!$A$9:$A$500,"CU-067",'Catalogo CU'!$G$9:$G$500)=1,"Incluido",IF(SUMIF('Catalogo CU'!$A$9:$A$500,"CU-067",'Catalogo CU'!$G$9:$G$500)&gt;0,"Parcial por selección","Fuera por selección")),"Revisar vínculo")</f>
        <v>Incluido</v>
      </c>
      <c r="G139" s="10" t="s">
        <v>1955</v>
      </c>
    </row>
    <row r="140" spans="1:7" ht="42" customHeight="1">
      <c r="A140" s="1" t="s">
        <v>2209</v>
      </c>
      <c r="B140" s="10" t="s">
        <v>2210</v>
      </c>
      <c r="C140" s="10" t="s">
        <v>2211</v>
      </c>
      <c r="D140" s="10" t="s">
        <v>288</v>
      </c>
      <c r="E140" s="10" t="s">
        <v>1954</v>
      </c>
      <c r="F140" s="10" t="str">
        <f>IF(AND(COUNTIF('Catalogo CU'!$A$9:$A$500,"CU-048")=1),IF(SUMIF('Catalogo CU'!$A$9:$A$500,"CU-048",'Catalogo CU'!$G$9:$G$500)=1,"Incluido",IF(SUMIF('Catalogo CU'!$A$9:$A$500,"CU-048",'Catalogo CU'!$G$9:$G$500)&gt;0,"Parcial por selección","Fuera por selección")),"Revisar vínculo")</f>
        <v>Incluido</v>
      </c>
      <c r="G140" s="10" t="s">
        <v>1955</v>
      </c>
    </row>
    <row r="141" spans="1:7" ht="72" customHeight="1">
      <c r="A141" s="1" t="s">
        <v>2212</v>
      </c>
      <c r="B141" s="10" t="s">
        <v>2213</v>
      </c>
      <c r="C141" s="10" t="s">
        <v>1962</v>
      </c>
      <c r="D141" s="10" t="s">
        <v>176</v>
      </c>
      <c r="E141" s="10" t="s">
        <v>1954</v>
      </c>
      <c r="F141" s="10" t="str">
        <f>IF(AND(COUNTIF('Catalogo CU'!$A$9:$A$500,"CU-025")=1),IF(SUMIF('Catalogo CU'!$A$9:$A$500,"CU-025",'Catalogo CU'!$G$9:$G$500)=1,"Incluido",IF(SUMIF('Catalogo CU'!$A$9:$A$500,"CU-025",'Catalogo CU'!$G$9:$G$500)&gt;0,"Parcial por selección","Fuera por selección")),"Revisar vínculo")</f>
        <v>Incluido</v>
      </c>
      <c r="G141" s="10" t="s">
        <v>1955</v>
      </c>
    </row>
    <row r="142" spans="1:7" ht="42" customHeight="1">
      <c r="A142" s="1" t="s">
        <v>384</v>
      </c>
      <c r="B142" s="10" t="s">
        <v>2214</v>
      </c>
      <c r="C142" s="10" t="s">
        <v>1968</v>
      </c>
      <c r="D142" s="10" t="s">
        <v>381</v>
      </c>
      <c r="E142" s="10" t="s">
        <v>1954</v>
      </c>
      <c r="F142" s="10" t="str">
        <f>IF(AND(COUNTIF('Catalogo CU'!$A$9:$A$500,"CU-068")=1),IF(SUMIF('Catalogo CU'!$A$9:$A$500,"CU-068",'Catalogo CU'!$G$9:$G$500)=1,"Incluido",IF(SUMIF('Catalogo CU'!$A$9:$A$500,"CU-068",'Catalogo CU'!$G$9:$G$500)&gt;0,"Parcial por selección","Fuera por selección")),"Revisar vínculo")</f>
        <v>Incluido</v>
      </c>
      <c r="G142" s="10" t="s">
        <v>1955</v>
      </c>
    </row>
    <row r="143" spans="1:7" ht="57" customHeight="1">
      <c r="A143" s="1" t="s">
        <v>118</v>
      </c>
      <c r="B143" s="10" t="s">
        <v>2215</v>
      </c>
      <c r="C143" s="10" t="s">
        <v>1962</v>
      </c>
      <c r="D143" s="10" t="s">
        <v>115</v>
      </c>
      <c r="E143" s="10" t="s">
        <v>1954</v>
      </c>
      <c r="F143" s="10" t="str">
        <f>IF(AND(COUNTIF('Catalogo CU'!$A$9:$A$500,"CU-013")=1),IF(SUMIF('Catalogo CU'!$A$9:$A$500,"CU-013",'Catalogo CU'!$G$9:$G$500)=1,"Incluido",IF(SUMIF('Catalogo CU'!$A$9:$A$500,"CU-013",'Catalogo CU'!$G$9:$G$500)&gt;0,"Parcial por selección","Fuera por selección")),"Revisar vínculo")</f>
        <v>Incluido</v>
      </c>
      <c r="G143" s="10" t="s">
        <v>1955</v>
      </c>
    </row>
    <row r="144" spans="1:7" ht="57" customHeight="1">
      <c r="A144" s="1" t="s">
        <v>2216</v>
      </c>
      <c r="B144" s="10" t="s">
        <v>2217</v>
      </c>
      <c r="C144" s="10" t="s">
        <v>1962</v>
      </c>
      <c r="D144" s="10" t="s">
        <v>171</v>
      </c>
      <c r="E144" s="10" t="s">
        <v>1954</v>
      </c>
      <c r="F144" s="10" t="str">
        <f>IF(AND(COUNTIF('Catalogo CU'!$A$9:$A$500,"CU-024")=1),IF(SUMIF('Catalogo CU'!$A$9:$A$500,"CU-024",'Catalogo CU'!$G$9:$G$500)=1,"Incluido",IF(SUMIF('Catalogo CU'!$A$9:$A$500,"CU-024",'Catalogo CU'!$G$9:$G$500)&gt;0,"Parcial por selección","Fuera por selección")),"Revisar vínculo")</f>
        <v>Incluido</v>
      </c>
      <c r="G144" s="10" t="s">
        <v>1955</v>
      </c>
    </row>
    <row r="145" spans="1:7" ht="40.049999999999997" customHeight="1">
      <c r="A145" s="1" t="s">
        <v>2218</v>
      </c>
      <c r="B145" s="10" t="s">
        <v>2219</v>
      </c>
      <c r="C145" s="10" t="s">
        <v>1962</v>
      </c>
      <c r="D145" s="10" t="s">
        <v>182</v>
      </c>
      <c r="E145" s="10" t="s">
        <v>1954</v>
      </c>
      <c r="F145" s="10" t="str">
        <f>IF(AND(COUNTIF('Catalogo CU'!$A$9:$A$500,"CU-026")=1),IF(SUMIF('Catalogo CU'!$A$9:$A$500,"CU-026",'Catalogo CU'!$G$9:$G$500)=1,"Incluido",IF(SUMIF('Catalogo CU'!$A$9:$A$500,"CU-026",'Catalogo CU'!$G$9:$G$500)&gt;0,"Parcial por selección","Fuera por selección")),"Revisar vínculo")</f>
        <v>Incluido</v>
      </c>
      <c r="G145" s="10" t="s">
        <v>1955</v>
      </c>
    </row>
    <row r="146" spans="1:7" ht="42" customHeight="1">
      <c r="A146" s="1" t="s">
        <v>2220</v>
      </c>
      <c r="B146" s="10" t="s">
        <v>2221</v>
      </c>
      <c r="C146" s="10" t="s">
        <v>1962</v>
      </c>
      <c r="D146" s="10" t="s">
        <v>206</v>
      </c>
      <c r="E146" s="10" t="s">
        <v>1954</v>
      </c>
      <c r="F146" s="10" t="str">
        <f>IF(AND(COUNTIF('Catalogo CU'!$A$9:$A$500,"CU-031")=1),IF(SUMIF('Catalogo CU'!$A$9:$A$500,"CU-031",'Catalogo CU'!$G$9:$G$500)=1,"Incluido",IF(SUMIF('Catalogo CU'!$A$9:$A$500,"CU-031",'Catalogo CU'!$G$9:$G$500)&gt;0,"Parcial por selección","Fuera por selección")),"Revisar vínculo")</f>
        <v>Incluido</v>
      </c>
      <c r="G146" s="10" t="s">
        <v>1955</v>
      </c>
    </row>
    <row r="147" spans="1:7" ht="42" customHeight="1">
      <c r="A147" s="1" t="s">
        <v>267</v>
      </c>
      <c r="B147" s="10" t="s">
        <v>2222</v>
      </c>
      <c r="C147" s="10" t="s">
        <v>1968</v>
      </c>
      <c r="D147" s="10" t="s">
        <v>264</v>
      </c>
      <c r="E147" s="10" t="s">
        <v>1954</v>
      </c>
      <c r="F147" s="10" t="str">
        <f>IF(AND(COUNTIF('Catalogo CU'!$A$9:$A$500,"CU-043")=1),IF(SUMIF('Catalogo CU'!$A$9:$A$500,"CU-043",'Catalogo CU'!$G$9:$G$500)=1,"Incluido",IF(SUMIF('Catalogo CU'!$A$9:$A$500,"CU-043",'Catalogo CU'!$G$9:$G$500)&gt;0,"Parcial por selección","Fuera por selección")),"Revisar vínculo")</f>
        <v>Incluido</v>
      </c>
      <c r="G147" s="10" t="s">
        <v>1955</v>
      </c>
    </row>
    <row r="148" spans="1:7" ht="42" customHeight="1">
      <c r="A148" s="1" t="s">
        <v>2223</v>
      </c>
      <c r="B148" s="10" t="s">
        <v>2224</v>
      </c>
      <c r="C148" s="10" t="s">
        <v>1953</v>
      </c>
      <c r="D148" s="10" t="s">
        <v>166</v>
      </c>
      <c r="E148" s="10" t="s">
        <v>1954</v>
      </c>
      <c r="F148" s="10" t="str">
        <f>IF(AND(COUNTIF('Catalogo CU'!$A$9:$A$500,"CU-023")=1),IF(SUMIF('Catalogo CU'!$A$9:$A$500,"CU-023",'Catalogo CU'!$G$9:$G$500)=1,"Incluido",IF(SUMIF('Catalogo CU'!$A$9:$A$500,"CU-023",'Catalogo CU'!$G$9:$G$500)&gt;0,"Parcial por selección","Fuera por selección")),"Revisar vínculo")</f>
        <v>Incluido</v>
      </c>
      <c r="G148" s="10" t="s">
        <v>1955</v>
      </c>
    </row>
    <row r="149" spans="1:7" ht="42" customHeight="1">
      <c r="A149" s="1" t="s">
        <v>2225</v>
      </c>
      <c r="B149" s="10" t="s">
        <v>2226</v>
      </c>
      <c r="C149" s="10" t="s">
        <v>1953</v>
      </c>
      <c r="D149" s="10" t="s">
        <v>182</v>
      </c>
      <c r="E149" s="10" t="s">
        <v>1954</v>
      </c>
      <c r="F149" s="10" t="str">
        <f>IF(AND(COUNTIF('Catalogo CU'!$A$9:$A$500,"CU-026")=1),IF(SUMIF('Catalogo CU'!$A$9:$A$500,"CU-026",'Catalogo CU'!$G$9:$G$500)=1,"Incluido",IF(SUMIF('Catalogo CU'!$A$9:$A$500,"CU-026",'Catalogo CU'!$G$9:$G$500)&gt;0,"Parcial por selección","Fuera por selección")),"Revisar vínculo")</f>
        <v>Incluido</v>
      </c>
      <c r="G149" s="10" t="s">
        <v>1955</v>
      </c>
    </row>
    <row r="150" spans="1:7" ht="42" customHeight="1">
      <c r="A150" s="1" t="s">
        <v>2227</v>
      </c>
      <c r="B150" s="10" t="s">
        <v>2228</v>
      </c>
      <c r="C150" s="10" t="s">
        <v>1953</v>
      </c>
      <c r="D150" s="10" t="s">
        <v>2229</v>
      </c>
      <c r="E150" s="10" t="s">
        <v>1954</v>
      </c>
      <c r="F150" s="10" t="str">
        <f>IF(AND(COUNTIF('Catalogo CU'!$A$9:$A$500,"CU-026")=1,COUNTIF('Catalogo CU'!$A$9:$A$500,"CU-044")=1),IF(SUMIF('Catalogo CU'!$A$9:$A$500,"CU-026",'Catalogo CU'!$G$9:$G$500)+SUMIF('Catalogo CU'!$A$9:$A$500,"CU-044",'Catalogo CU'!$G$9:$G$500)=2,"Incluido",IF(SUMIF('Catalogo CU'!$A$9:$A$500,"CU-026",'Catalogo CU'!$G$9:$G$500)+SUMIF('Catalogo CU'!$A$9:$A$500,"CU-044",'Catalogo CU'!$G$9:$G$500)&gt;0,"Parcial por selección","Fuera por selección")),"Revisar vínculo")</f>
        <v>Incluido</v>
      </c>
      <c r="G150" s="10" t="s">
        <v>1955</v>
      </c>
    </row>
    <row r="151" spans="1:7" ht="42" customHeight="1">
      <c r="A151" s="1" t="s">
        <v>2230</v>
      </c>
      <c r="B151" s="10" t="s">
        <v>2231</v>
      </c>
      <c r="C151" s="10" t="s">
        <v>1953</v>
      </c>
      <c r="D151" s="10" t="s">
        <v>273</v>
      </c>
      <c r="E151" s="10" t="s">
        <v>1954</v>
      </c>
      <c r="F151" s="10" t="str">
        <f>IF(AND(COUNTIF('Catalogo CU'!$A$9:$A$500,"CU-045")=1),IF(SUMIF('Catalogo CU'!$A$9:$A$500,"CU-045",'Catalogo CU'!$G$9:$G$500)=1,"Incluido",IF(SUMIF('Catalogo CU'!$A$9:$A$500,"CU-045",'Catalogo CU'!$G$9:$G$500)&gt;0,"Parcial por selección","Fuera por selección")),"Revisar vínculo")</f>
        <v>Incluido</v>
      </c>
      <c r="G151" s="10" t="s">
        <v>1955</v>
      </c>
    </row>
    <row r="152" spans="1:7" ht="42" customHeight="1">
      <c r="A152" s="1" t="s">
        <v>2232</v>
      </c>
      <c r="B152" s="10" t="s">
        <v>2233</v>
      </c>
      <c r="C152" s="10" t="s">
        <v>1968</v>
      </c>
      <c r="D152" s="10" t="s">
        <v>385</v>
      </c>
      <c r="E152" s="10" t="s">
        <v>1954</v>
      </c>
      <c r="F152" s="10" t="str">
        <f>IF(AND(COUNTIF('Catalogo CU'!$A$9:$A$500,"CU-069")=1),IF(SUMIF('Catalogo CU'!$A$9:$A$500,"CU-069",'Catalogo CU'!$G$9:$G$500)=1,"Incluido",IF(SUMIF('Catalogo CU'!$A$9:$A$500,"CU-069",'Catalogo CU'!$G$9:$G$500)&gt;0,"Parcial por selección","Fuera por selección")),"Revisar vínculo")</f>
        <v>Incluido</v>
      </c>
      <c r="G152" s="10" t="s">
        <v>1955</v>
      </c>
    </row>
    <row r="153" spans="1:7" ht="40.049999999999997" customHeight="1">
      <c r="A153" s="1" t="s">
        <v>2234</v>
      </c>
      <c r="B153" s="10" t="s">
        <v>2235</v>
      </c>
      <c r="C153" s="10" t="s">
        <v>1968</v>
      </c>
      <c r="D153" s="10" t="s">
        <v>385</v>
      </c>
      <c r="E153" s="10" t="s">
        <v>1954</v>
      </c>
      <c r="F153" s="10" t="str">
        <f>IF(AND(COUNTIF('Catalogo CU'!$A$9:$A$500,"CU-069")=1),IF(SUMIF('Catalogo CU'!$A$9:$A$500,"CU-069",'Catalogo CU'!$G$9:$G$500)=1,"Incluido",IF(SUMIF('Catalogo CU'!$A$9:$A$500,"CU-069",'Catalogo CU'!$G$9:$G$500)&gt;0,"Parcial por selección","Fuera por selección")),"Revisar vínculo")</f>
        <v>Incluido</v>
      </c>
      <c r="G153" s="10" t="s">
        <v>1955</v>
      </c>
    </row>
    <row r="154" spans="1:7" ht="40.049999999999997" customHeight="1">
      <c r="A154" s="1" t="s">
        <v>2236</v>
      </c>
      <c r="B154" s="10" t="s">
        <v>2237</v>
      </c>
      <c r="C154" s="10" t="s">
        <v>1968</v>
      </c>
      <c r="D154" s="10" t="s">
        <v>2238</v>
      </c>
      <c r="E154" s="10" t="s">
        <v>1954</v>
      </c>
      <c r="F154" s="10" t="str">
        <f>IF(AND(COUNTIF('Catalogo CU'!$A$9:$A$500,"CU-035")=1,COUNTIF('Catalogo CU'!$A$9:$A$500,"CU-069")=1),IF(SUMIF('Catalogo CU'!$A$9:$A$500,"CU-035",'Catalogo CU'!$G$9:$G$500)+SUMIF('Catalogo CU'!$A$9:$A$500,"CU-069",'Catalogo CU'!$G$9:$G$500)=2,"Incluido",IF(SUMIF('Catalogo CU'!$A$9:$A$500,"CU-035",'Catalogo CU'!$G$9:$G$500)+SUMIF('Catalogo CU'!$A$9:$A$500,"CU-069",'Catalogo CU'!$G$9:$G$500)&gt;0,"Parcial por selección","Fuera por selección")),"Revisar vínculo")</f>
        <v>Incluido</v>
      </c>
      <c r="G154" s="10" t="s">
        <v>1955</v>
      </c>
    </row>
    <row r="155" spans="1:7" ht="57" customHeight="1">
      <c r="A155" s="1" t="s">
        <v>2239</v>
      </c>
      <c r="B155" s="10" t="s">
        <v>2240</v>
      </c>
      <c r="C155" s="10" t="s">
        <v>2241</v>
      </c>
      <c r="D155" s="10"/>
      <c r="E155" s="10" t="s">
        <v>2242</v>
      </c>
      <c r="F155" s="10" t="str">
        <f>"Fuera del conteo funcional"</f>
        <v>Fuera del conteo funcional</v>
      </c>
      <c r="G155" s="10" t="s">
        <v>2243</v>
      </c>
    </row>
    <row r="156" spans="1:7" ht="57" customHeight="1">
      <c r="A156" s="1" t="s">
        <v>2244</v>
      </c>
      <c r="B156" s="10" t="s">
        <v>2245</v>
      </c>
      <c r="C156" s="10" t="s">
        <v>2241</v>
      </c>
      <c r="D156" s="10"/>
      <c r="E156" s="10" t="s">
        <v>2242</v>
      </c>
      <c r="F156" s="10" t="str">
        <f>"Fuera del conteo funcional"</f>
        <v>Fuera del conteo funcional</v>
      </c>
      <c r="G156" s="10" t="s">
        <v>2246</v>
      </c>
    </row>
    <row r="157" spans="1:7" ht="42" customHeight="1">
      <c r="A157" s="1" t="s">
        <v>2247</v>
      </c>
      <c r="B157" s="10" t="s">
        <v>2248</v>
      </c>
      <c r="C157" s="10" t="s">
        <v>2241</v>
      </c>
      <c r="D157" s="10"/>
      <c r="E157" s="10" t="s">
        <v>2242</v>
      </c>
      <c r="F157" s="10" t="str">
        <f>"Fuera del conteo funcional"</f>
        <v>Fuera del conteo funcional</v>
      </c>
      <c r="G157" s="10" t="s">
        <v>2249</v>
      </c>
    </row>
    <row r="158" spans="1:7" ht="42" customHeight="1">
      <c r="A158" s="1" t="s">
        <v>2250</v>
      </c>
      <c r="B158" s="10" t="s">
        <v>2251</v>
      </c>
      <c r="C158" s="10" t="s">
        <v>2241</v>
      </c>
      <c r="D158" s="10"/>
      <c r="E158" s="10" t="s">
        <v>2242</v>
      </c>
      <c r="F158" s="10" t="str">
        <f>"Fuera del conteo funcional"</f>
        <v>Fuera del conteo funcional</v>
      </c>
      <c r="G158" s="10" t="s">
        <v>2252</v>
      </c>
    </row>
    <row r="159" spans="1:7" ht="42" customHeight="1">
      <c r="A159" s="1" t="s">
        <v>495</v>
      </c>
      <c r="B159" s="10" t="s">
        <v>2253</v>
      </c>
      <c r="C159" s="10" t="s">
        <v>2241</v>
      </c>
      <c r="D159" s="10" t="s">
        <v>492</v>
      </c>
      <c r="E159" s="10" t="s">
        <v>1954</v>
      </c>
      <c r="F159" s="10" t="str">
        <f>IF(AND(COUNTIF('Catalogo CU'!$A$9:$A$500,"CU-091")=1),IF(SUMIF('Catalogo CU'!$A$9:$A$500,"CU-091",'Catalogo CU'!$G$9:$G$500)=1,"Incluido",IF(SUMIF('Catalogo CU'!$A$9:$A$500,"CU-091",'Catalogo CU'!$G$9:$G$500)&gt;0,"Parcial por selección","Fuera por selección")),"Revisar vínculo")</f>
        <v>Incluido</v>
      </c>
      <c r="G159" s="10" t="s">
        <v>1955</v>
      </c>
    </row>
    <row r="160" spans="1:7" ht="42" customHeight="1">
      <c r="A160" s="1" t="s">
        <v>2254</v>
      </c>
      <c r="B160" s="10" t="s">
        <v>2255</v>
      </c>
      <c r="C160" s="10" t="s">
        <v>2241</v>
      </c>
      <c r="D160" s="10"/>
      <c r="E160" s="10" t="s">
        <v>2242</v>
      </c>
      <c r="F160" s="10" t="str">
        <f>"Fuera del conteo funcional"</f>
        <v>Fuera del conteo funcional</v>
      </c>
      <c r="G160" s="10" t="s">
        <v>2256</v>
      </c>
    </row>
    <row r="161" spans="1:7" ht="42" customHeight="1">
      <c r="A161" s="1" t="s">
        <v>2257</v>
      </c>
      <c r="B161" s="10" t="s">
        <v>2258</v>
      </c>
      <c r="C161" s="10" t="s">
        <v>2241</v>
      </c>
      <c r="D161" s="10"/>
      <c r="E161" s="10" t="s">
        <v>2242</v>
      </c>
      <c r="F161" s="10" t="str">
        <f>"Fuera del conteo funcional"</f>
        <v>Fuera del conteo funcional</v>
      </c>
      <c r="G161" s="10" t="s">
        <v>2259</v>
      </c>
    </row>
    <row r="162" spans="1:7" ht="57" customHeight="1">
      <c r="A162" s="1" t="s">
        <v>2260</v>
      </c>
      <c r="B162" s="10" t="s">
        <v>2261</v>
      </c>
      <c r="C162" s="10" t="s">
        <v>2241</v>
      </c>
      <c r="D162" s="10"/>
      <c r="E162" s="10" t="s">
        <v>2242</v>
      </c>
      <c r="F162" s="10" t="str">
        <f>"Fuera del conteo funcional"</f>
        <v>Fuera del conteo funcional</v>
      </c>
      <c r="G162" s="10" t="s">
        <v>2262</v>
      </c>
    </row>
    <row r="163" spans="1:7" ht="57" customHeight="1">
      <c r="A163" s="1" t="s">
        <v>2263</v>
      </c>
      <c r="B163" s="10" t="s">
        <v>2264</v>
      </c>
      <c r="C163" s="10" t="s">
        <v>2241</v>
      </c>
      <c r="D163" s="10"/>
      <c r="E163" s="10" t="s">
        <v>2242</v>
      </c>
      <c r="F163" s="10" t="str">
        <f>"Fuera del conteo funcional"</f>
        <v>Fuera del conteo funcional</v>
      </c>
      <c r="G163" s="10" t="s">
        <v>2265</v>
      </c>
    </row>
    <row r="164" spans="1:7" ht="57" customHeight="1">
      <c r="A164" s="1" t="s">
        <v>2266</v>
      </c>
      <c r="B164" s="10" t="s">
        <v>2267</v>
      </c>
      <c r="C164" s="10" t="s">
        <v>2241</v>
      </c>
      <c r="D164" s="10" t="s">
        <v>2268</v>
      </c>
      <c r="E164" s="10" t="s">
        <v>1954</v>
      </c>
      <c r="F164" s="10" t="str">
        <f>IF(AND(COUNTIF('Catalogo CU'!$A$9:$A$500,"CU-063")=1,COUNTIF('Catalogo CU'!$A$9:$A$500,"CU-070")=1,COUNTIF('Catalogo CU'!$A$9:$A$500,"CU-083")=1),IF(SUMIF('Catalogo CU'!$A$9:$A$500,"CU-063",'Catalogo CU'!$G$9:$G$500)+SUMIF('Catalogo CU'!$A$9:$A$500,"CU-070",'Catalogo CU'!$G$9:$G$500)+SUMIF('Catalogo CU'!$A$9:$A$500,"CU-083",'Catalogo CU'!$G$9:$G$500)=3,"Incluido",IF(SUMIF('Catalogo CU'!$A$9:$A$500,"CU-063",'Catalogo CU'!$G$9:$G$500)+SUMIF('Catalogo CU'!$A$9:$A$500,"CU-070",'Catalogo CU'!$G$9:$G$500)+SUMIF('Catalogo CU'!$A$9:$A$500,"CU-083",'Catalogo CU'!$G$9:$G$500)&gt;0,"Parcial por selección","Fuera por selección")),"Revisar vínculo")</f>
        <v>Incluido</v>
      </c>
      <c r="G164" s="10" t="s">
        <v>1955</v>
      </c>
    </row>
    <row r="165" spans="1:7" ht="42" customHeight="1">
      <c r="A165" s="1" t="s">
        <v>2269</v>
      </c>
      <c r="B165" s="10" t="s">
        <v>2270</v>
      </c>
      <c r="C165" s="10" t="s">
        <v>2241</v>
      </c>
      <c r="D165" s="10" t="s">
        <v>356</v>
      </c>
      <c r="E165" s="10" t="s">
        <v>1954</v>
      </c>
      <c r="F165" s="10" t="str">
        <f>IF(AND(COUNTIF('Catalogo CU'!$A$9:$A$500,"CU-063")=1),IF(SUMIF('Catalogo CU'!$A$9:$A$500,"CU-063",'Catalogo CU'!$G$9:$G$500)=1,"Incluido",IF(SUMIF('Catalogo CU'!$A$9:$A$500,"CU-063",'Catalogo CU'!$G$9:$G$500)&gt;0,"Parcial por selección","Fuera por selección")),"Revisar vínculo")</f>
        <v>Incluido</v>
      </c>
      <c r="G165" s="10" t="s">
        <v>1955</v>
      </c>
    </row>
    <row r="166" spans="1:7" ht="57" customHeight="1">
      <c r="A166" s="1" t="s">
        <v>2271</v>
      </c>
      <c r="B166" s="10" t="s">
        <v>2272</v>
      </c>
      <c r="C166" s="10" t="s">
        <v>2241</v>
      </c>
      <c r="D166" s="10" t="s">
        <v>356</v>
      </c>
      <c r="E166" s="10" t="s">
        <v>1954</v>
      </c>
      <c r="F166" s="10" t="str">
        <f>IF(AND(COUNTIF('Catalogo CU'!$A$9:$A$500,"CU-063")=1),IF(SUMIF('Catalogo CU'!$A$9:$A$500,"CU-063",'Catalogo CU'!$G$9:$G$500)=1,"Incluido",IF(SUMIF('Catalogo CU'!$A$9:$A$500,"CU-063",'Catalogo CU'!$G$9:$G$500)&gt;0,"Parcial por selección","Fuera por selección")),"Revisar vínculo")</f>
        <v>Incluido</v>
      </c>
      <c r="G166" s="10" t="s">
        <v>1955</v>
      </c>
    </row>
    <row r="167" spans="1:7" ht="42" customHeight="1">
      <c r="A167" s="1" t="s">
        <v>2273</v>
      </c>
      <c r="B167" s="10" t="s">
        <v>2274</v>
      </c>
      <c r="C167" s="10" t="s">
        <v>2241</v>
      </c>
      <c r="D167" s="10" t="s">
        <v>395</v>
      </c>
      <c r="E167" s="10" t="s">
        <v>1954</v>
      </c>
      <c r="F167" s="10" t="str">
        <f>IF(AND(COUNTIF('Catalogo CU'!$A$9:$A$500,"CU-071")=1),IF(SUMIF('Catalogo CU'!$A$9:$A$500,"CU-071",'Catalogo CU'!$G$9:$G$500)=1,"Incluido",IF(SUMIF('Catalogo CU'!$A$9:$A$500,"CU-071",'Catalogo CU'!$G$9:$G$500)&gt;0,"Parcial por selección","Fuera por selección")),"Revisar vínculo")</f>
        <v>Incluido</v>
      </c>
      <c r="G167" s="10" t="s">
        <v>1955</v>
      </c>
    </row>
    <row r="168" spans="1:7" ht="42" customHeight="1">
      <c r="A168" s="1" t="s">
        <v>2275</v>
      </c>
      <c r="B168" s="10" t="s">
        <v>2276</v>
      </c>
      <c r="C168" s="10" t="s">
        <v>2241</v>
      </c>
      <c r="D168" s="10" t="s">
        <v>390</v>
      </c>
      <c r="E168" s="10" t="s">
        <v>1954</v>
      </c>
      <c r="F168" s="10" t="str">
        <f>IF(AND(COUNTIF('Catalogo CU'!$A$9:$A$500,"CU-070")=1),IF(SUMIF('Catalogo CU'!$A$9:$A$500,"CU-070",'Catalogo CU'!$G$9:$G$500)=1,"Incluido",IF(SUMIF('Catalogo CU'!$A$9:$A$500,"CU-070",'Catalogo CU'!$G$9:$G$500)&gt;0,"Parcial por selección","Fuera por selección")),"Revisar vínculo")</f>
        <v>Incluido</v>
      </c>
      <c r="G168" s="10" t="s">
        <v>1955</v>
      </c>
    </row>
    <row r="169" spans="1:7" ht="57" customHeight="1">
      <c r="A169" s="1" t="s">
        <v>2277</v>
      </c>
      <c r="B169" s="10" t="s">
        <v>2278</v>
      </c>
      <c r="C169" s="10" t="s">
        <v>2241</v>
      </c>
      <c r="D169" s="10" t="s">
        <v>445</v>
      </c>
      <c r="E169" s="10" t="s">
        <v>1954</v>
      </c>
      <c r="F169" s="10" t="str">
        <f>IF(AND(COUNTIF('Catalogo CU'!$A$9:$A$500,"CU-082")=1),IF(SUMIF('Catalogo CU'!$A$9:$A$500,"CU-082",'Catalogo CU'!$G$9:$G$500)=1,"Incluido",IF(SUMIF('Catalogo CU'!$A$9:$A$500,"CU-082",'Catalogo CU'!$G$9:$G$500)&gt;0,"Parcial por selección","Fuera por selección")),"Revisar vínculo")</f>
        <v>Incluido</v>
      </c>
      <c r="G169" s="10" t="s">
        <v>1955</v>
      </c>
    </row>
    <row r="170" spans="1:7" ht="42" customHeight="1">
      <c r="A170" s="1" t="s">
        <v>2279</v>
      </c>
      <c r="B170" s="10" t="s">
        <v>2280</v>
      </c>
      <c r="C170" s="10" t="s">
        <v>2241</v>
      </c>
      <c r="D170" s="10" t="s">
        <v>302</v>
      </c>
      <c r="E170" s="10" t="s">
        <v>1954</v>
      </c>
      <c r="F170" s="10" t="str">
        <f>IF(AND(COUNTIF('Catalogo CU'!$A$9:$A$500,"CU-051")=1),IF(SUMIF('Catalogo CU'!$A$9:$A$500,"CU-051",'Catalogo CU'!$G$9:$G$500)=1,"Incluido",IF(SUMIF('Catalogo CU'!$A$9:$A$500,"CU-051",'Catalogo CU'!$G$9:$G$500)&gt;0,"Parcial por selección","Fuera por selección")),"Revisar vínculo")</f>
        <v>Incluido</v>
      </c>
      <c r="G170" s="10" t="s">
        <v>1955</v>
      </c>
    </row>
    <row r="171" spans="1:7" ht="42" customHeight="1">
      <c r="A171" s="1" t="s">
        <v>2281</v>
      </c>
      <c r="B171" s="10" t="s">
        <v>2282</v>
      </c>
      <c r="C171" s="10" t="s">
        <v>2241</v>
      </c>
      <c r="D171" s="10" t="s">
        <v>445</v>
      </c>
      <c r="E171" s="10" t="s">
        <v>1954</v>
      </c>
      <c r="F171" s="10" t="str">
        <f>IF(AND(COUNTIF('Catalogo CU'!$A$9:$A$500,"CU-082")=1),IF(SUMIF('Catalogo CU'!$A$9:$A$500,"CU-082",'Catalogo CU'!$G$9:$G$500)=1,"Incluido",IF(SUMIF('Catalogo CU'!$A$9:$A$500,"CU-082",'Catalogo CU'!$G$9:$G$500)&gt;0,"Parcial por selección","Fuera por selección")),"Revisar vínculo")</f>
        <v>Incluido</v>
      </c>
      <c r="G171" s="10" t="s">
        <v>1955</v>
      </c>
    </row>
    <row r="172" spans="1:7" ht="57" customHeight="1">
      <c r="A172" s="1" t="s">
        <v>2283</v>
      </c>
      <c r="B172" s="10" t="s">
        <v>2284</v>
      </c>
      <c r="C172" s="10" t="s">
        <v>2241</v>
      </c>
      <c r="D172" s="10"/>
      <c r="E172" s="10" t="s">
        <v>2242</v>
      </c>
      <c r="F172" s="10" t="str">
        <f>"Fuera del conteo funcional"</f>
        <v>Fuera del conteo funcional</v>
      </c>
      <c r="G172" s="10" t="s">
        <v>2285</v>
      </c>
    </row>
    <row r="173" spans="1:7" ht="42" customHeight="1">
      <c r="A173" s="1" t="s">
        <v>2286</v>
      </c>
      <c r="B173" s="10" t="s">
        <v>2287</v>
      </c>
      <c r="C173" s="10" t="s">
        <v>2241</v>
      </c>
      <c r="D173" s="10" t="s">
        <v>2288</v>
      </c>
      <c r="E173" s="10" t="s">
        <v>1954</v>
      </c>
      <c r="F173" s="10" t="str">
        <f>IF(AND(COUNTIF('Catalogo CU'!$A$9:$A$500,"CU-070")=1,COUNTIF('Catalogo CU'!$A$9:$A$500,"CU-071")=1),IF(SUMIF('Catalogo CU'!$A$9:$A$500,"CU-070",'Catalogo CU'!$G$9:$G$500)+SUMIF('Catalogo CU'!$A$9:$A$500,"CU-071",'Catalogo CU'!$G$9:$G$500)=2,"Incluido",IF(SUMIF('Catalogo CU'!$A$9:$A$500,"CU-070",'Catalogo CU'!$G$9:$G$500)+SUMIF('Catalogo CU'!$A$9:$A$500,"CU-071",'Catalogo CU'!$G$9:$G$500)&gt;0,"Parcial por selección","Fuera por selección")),"Revisar vínculo")</f>
        <v>Incluido</v>
      </c>
      <c r="G173" s="10" t="s">
        <v>1955</v>
      </c>
    </row>
    <row r="174" spans="1:7" ht="57" customHeight="1">
      <c r="A174" s="1" t="s">
        <v>2289</v>
      </c>
      <c r="B174" s="10" t="s">
        <v>2290</v>
      </c>
      <c r="C174" s="10" t="s">
        <v>2241</v>
      </c>
      <c r="D174" s="10" t="s">
        <v>2291</v>
      </c>
      <c r="E174" s="10" t="s">
        <v>1954</v>
      </c>
      <c r="F174" s="10" t="str">
        <f>IF(AND(COUNTIF('Catalogo CU'!$A$9:$A$500,"CU-072")=1,COUNTIF('Catalogo CU'!$A$9:$A$500,"CU-083")=1),IF(SUMIF('Catalogo CU'!$A$9:$A$500,"CU-072",'Catalogo CU'!$G$9:$G$500)+SUMIF('Catalogo CU'!$A$9:$A$500,"CU-083",'Catalogo CU'!$G$9:$G$500)=2,"Incluido",IF(SUMIF('Catalogo CU'!$A$9:$A$500,"CU-072",'Catalogo CU'!$G$9:$G$500)+SUMIF('Catalogo CU'!$A$9:$A$500,"CU-083",'Catalogo CU'!$G$9:$G$500)&gt;0,"Parcial por selección","Fuera por selección")),"Revisar vínculo")</f>
        <v>Incluido</v>
      </c>
      <c r="G174" s="10" t="s">
        <v>1955</v>
      </c>
    </row>
    <row r="175" spans="1:7" ht="42" customHeight="1">
      <c r="A175" s="1" t="s">
        <v>2292</v>
      </c>
      <c r="B175" s="10" t="s">
        <v>2293</v>
      </c>
      <c r="C175" s="10" t="s">
        <v>2241</v>
      </c>
      <c r="D175" s="10" t="s">
        <v>400</v>
      </c>
      <c r="E175" s="10" t="s">
        <v>1954</v>
      </c>
      <c r="F175" s="10" t="str">
        <f>IF(AND(COUNTIF('Catalogo CU'!$A$9:$A$500,"CU-072")=1),IF(SUMIF('Catalogo CU'!$A$9:$A$500,"CU-072",'Catalogo CU'!$G$9:$G$500)=1,"Incluido",IF(SUMIF('Catalogo CU'!$A$9:$A$500,"CU-072",'Catalogo CU'!$G$9:$G$500)&gt;0,"Parcial por selección","Fuera por selección")),"Revisar vínculo")</f>
        <v>Incluido</v>
      </c>
      <c r="G175" s="10" t="s">
        <v>1955</v>
      </c>
    </row>
    <row r="176" spans="1:7" ht="57" customHeight="1">
      <c r="A176" s="1" t="s">
        <v>2294</v>
      </c>
      <c r="B176" s="10" t="s">
        <v>2295</v>
      </c>
      <c r="C176" s="10" t="s">
        <v>2241</v>
      </c>
      <c r="D176" s="10" t="s">
        <v>405</v>
      </c>
      <c r="E176" s="10" t="s">
        <v>1954</v>
      </c>
      <c r="F176" s="10" t="str">
        <f>IF(AND(COUNTIF('Catalogo CU'!$A$9:$A$500,"CU-073")=1),IF(SUMIF('Catalogo CU'!$A$9:$A$500,"CU-073",'Catalogo CU'!$G$9:$G$500)=1,"Incluido",IF(SUMIF('Catalogo CU'!$A$9:$A$500,"CU-073",'Catalogo CU'!$G$9:$G$500)&gt;0,"Parcial por selección","Fuera por selección")),"Revisar vínculo")</f>
        <v>Incluido</v>
      </c>
      <c r="G176" s="10" t="s">
        <v>1955</v>
      </c>
    </row>
    <row r="177" spans="1:7" ht="42" customHeight="1">
      <c r="A177" s="1" t="s">
        <v>2296</v>
      </c>
      <c r="B177" s="10" t="s">
        <v>2297</v>
      </c>
      <c r="C177" s="10" t="s">
        <v>2241</v>
      </c>
      <c r="D177" s="10" t="s">
        <v>405</v>
      </c>
      <c r="E177" s="10" t="s">
        <v>1954</v>
      </c>
      <c r="F177" s="10" t="str">
        <f>IF(AND(COUNTIF('Catalogo CU'!$A$9:$A$500,"CU-073")=1),IF(SUMIF('Catalogo CU'!$A$9:$A$500,"CU-073",'Catalogo CU'!$G$9:$G$500)=1,"Incluido",IF(SUMIF('Catalogo CU'!$A$9:$A$500,"CU-073",'Catalogo CU'!$G$9:$G$500)&gt;0,"Parcial por selección","Fuera por selección")),"Revisar vínculo")</f>
        <v>Incluido</v>
      </c>
      <c r="G177" s="10" t="s">
        <v>1955</v>
      </c>
    </row>
    <row r="178" spans="1:7" ht="57" customHeight="1">
      <c r="A178" s="1" t="s">
        <v>412</v>
      </c>
      <c r="B178" s="10" t="s">
        <v>2298</v>
      </c>
      <c r="C178" s="10" t="s">
        <v>2241</v>
      </c>
      <c r="D178" s="10" t="s">
        <v>409</v>
      </c>
      <c r="E178" s="10" t="s">
        <v>1954</v>
      </c>
      <c r="F178" s="10" t="str">
        <f>IF(AND(COUNTIF('Catalogo CU'!$A$9:$A$500,"CU-074")=1),IF(SUMIF('Catalogo CU'!$A$9:$A$500,"CU-074",'Catalogo CU'!$G$9:$G$500)=1,"Incluido",IF(SUMIF('Catalogo CU'!$A$9:$A$500,"CU-074",'Catalogo CU'!$G$9:$G$500)&gt;0,"Parcial por selección","Fuera por selección")),"Revisar vínculo")</f>
        <v>Incluido</v>
      </c>
      <c r="G178" s="10" t="s">
        <v>1955</v>
      </c>
    </row>
    <row r="179" spans="1:7" ht="42" customHeight="1">
      <c r="A179" s="1" t="s">
        <v>417</v>
      </c>
      <c r="B179" s="10" t="s">
        <v>2299</v>
      </c>
      <c r="C179" s="10" t="s">
        <v>2241</v>
      </c>
      <c r="D179" s="10" t="s">
        <v>413</v>
      </c>
      <c r="E179" s="10" t="s">
        <v>1954</v>
      </c>
      <c r="F179" s="10" t="str">
        <f>IF(AND(COUNTIF('Catalogo CU'!$A$9:$A$500,"CU-075")=1),IF(SUMIF('Catalogo CU'!$A$9:$A$500,"CU-075",'Catalogo CU'!$G$9:$G$500)=1,"Incluido",IF(SUMIF('Catalogo CU'!$A$9:$A$500,"CU-075",'Catalogo CU'!$G$9:$G$500)&gt;0,"Parcial por selección","Fuera por selección")),"Revisar vínculo")</f>
        <v>Incluido</v>
      </c>
      <c r="G179" s="10" t="s">
        <v>1955</v>
      </c>
    </row>
    <row r="180" spans="1:7" ht="57" customHeight="1">
      <c r="A180" s="1" t="s">
        <v>422</v>
      </c>
      <c r="B180" s="10" t="s">
        <v>2300</v>
      </c>
      <c r="C180" s="10" t="s">
        <v>2241</v>
      </c>
      <c r="D180" s="10" t="s">
        <v>418</v>
      </c>
      <c r="E180" s="10" t="s">
        <v>1954</v>
      </c>
      <c r="F180" s="10" t="str">
        <f>IF(AND(COUNTIF('Catalogo CU'!$A$9:$A$500,"CU-076")=1),IF(SUMIF('Catalogo CU'!$A$9:$A$500,"CU-076",'Catalogo CU'!$G$9:$G$500)=1,"Incluido",IF(SUMIF('Catalogo CU'!$A$9:$A$500,"CU-076",'Catalogo CU'!$G$9:$G$500)&gt;0,"Parcial por selección","Fuera por selección")),"Revisar vínculo")</f>
        <v>Incluido</v>
      </c>
      <c r="G180" s="10" t="s">
        <v>1955</v>
      </c>
    </row>
    <row r="181" spans="1:7" ht="42" customHeight="1">
      <c r="A181" s="1" t="s">
        <v>426</v>
      </c>
      <c r="B181" s="10" t="s">
        <v>2301</v>
      </c>
      <c r="C181" s="10" t="s">
        <v>2302</v>
      </c>
      <c r="D181" s="10" t="s">
        <v>423</v>
      </c>
      <c r="E181" s="10" t="s">
        <v>1954</v>
      </c>
      <c r="F181" s="10" t="str">
        <f>IF(AND(COUNTIF('Catalogo CU'!$A$9:$A$500,"CU-077")=1),IF(SUMIF('Catalogo CU'!$A$9:$A$500,"CU-077",'Catalogo CU'!$G$9:$G$500)=1,"Incluido",IF(SUMIF('Catalogo CU'!$A$9:$A$500,"CU-077",'Catalogo CU'!$G$9:$G$500)&gt;0,"Parcial por selección","Fuera por selección")),"Revisar vínculo")</f>
        <v>Incluido</v>
      </c>
      <c r="G181" s="10" t="s">
        <v>1955</v>
      </c>
    </row>
    <row r="182" spans="1:7" ht="42" customHeight="1">
      <c r="A182" s="1" t="s">
        <v>2303</v>
      </c>
      <c r="B182" s="10" t="s">
        <v>2304</v>
      </c>
      <c r="C182" s="10" t="s">
        <v>2241</v>
      </c>
      <c r="D182" s="10" t="s">
        <v>2040</v>
      </c>
      <c r="E182" s="10" t="s">
        <v>1954</v>
      </c>
      <c r="F182" s="10" t="str">
        <f>IF(AND(COUNTIF('Catalogo CU'!$A$9:$A$500,"CU-079")=1,COUNTIF('Catalogo CU'!$A$9:$A$500,"CU-080")=1),IF(SUMIF('Catalogo CU'!$A$9:$A$500,"CU-079",'Catalogo CU'!$G$9:$G$500)+SUMIF('Catalogo CU'!$A$9:$A$500,"CU-080",'Catalogo CU'!$G$9:$G$500)=2,"Incluido",IF(SUMIF('Catalogo CU'!$A$9:$A$500,"CU-079",'Catalogo CU'!$G$9:$G$500)+SUMIF('Catalogo CU'!$A$9:$A$500,"CU-080",'Catalogo CU'!$G$9:$G$500)&gt;0,"Parcial por selección","Fuera por selección")),"Revisar vínculo")</f>
        <v>Incluido</v>
      </c>
      <c r="G182" s="10" t="s">
        <v>1955</v>
      </c>
    </row>
    <row r="183" spans="1:7" ht="42" customHeight="1">
      <c r="A183" s="1" t="s">
        <v>2305</v>
      </c>
      <c r="B183" s="10" t="s">
        <v>2306</v>
      </c>
      <c r="C183" s="10" t="s">
        <v>2241</v>
      </c>
      <c r="D183" s="10" t="s">
        <v>440</v>
      </c>
      <c r="E183" s="10" t="s">
        <v>1954</v>
      </c>
      <c r="F183" s="10" t="str">
        <f>IF(AND(COUNTIF('Catalogo CU'!$A$9:$A$500,"CU-081")=1),IF(SUMIF('Catalogo CU'!$A$9:$A$500,"CU-081",'Catalogo CU'!$G$9:$G$500)=1,"Incluido",IF(SUMIF('Catalogo CU'!$A$9:$A$500,"CU-081",'Catalogo CU'!$G$9:$G$500)&gt;0,"Parcial por selección","Fuera por selección")),"Revisar vínculo")</f>
        <v>Incluido</v>
      </c>
      <c r="G183" s="10" t="s">
        <v>1955</v>
      </c>
    </row>
    <row r="184" spans="1:7" ht="42" customHeight="1">
      <c r="A184" s="1" t="s">
        <v>2307</v>
      </c>
      <c r="B184" s="10" t="s">
        <v>2308</v>
      </c>
      <c r="C184" s="10" t="s">
        <v>2241</v>
      </c>
      <c r="D184" s="10" t="s">
        <v>440</v>
      </c>
      <c r="E184" s="10" t="s">
        <v>1954</v>
      </c>
      <c r="F184" s="10" t="str">
        <f>IF(AND(COUNTIF('Catalogo CU'!$A$9:$A$500,"CU-081")=1),IF(SUMIF('Catalogo CU'!$A$9:$A$500,"CU-081",'Catalogo CU'!$G$9:$G$500)=1,"Incluido",IF(SUMIF('Catalogo CU'!$A$9:$A$500,"CU-081",'Catalogo CU'!$G$9:$G$500)&gt;0,"Parcial por selección","Fuera por selección")),"Revisar vínculo")</f>
        <v>Incluido</v>
      </c>
      <c r="G184" s="10" t="s">
        <v>1955</v>
      </c>
    </row>
    <row r="185" spans="1:7" ht="57" customHeight="1">
      <c r="A185" s="1" t="s">
        <v>2309</v>
      </c>
      <c r="B185" s="10" t="s">
        <v>2310</v>
      </c>
      <c r="C185" s="10" t="s">
        <v>2302</v>
      </c>
      <c r="D185" s="10" t="s">
        <v>326</v>
      </c>
      <c r="E185" s="10" t="s">
        <v>1954</v>
      </c>
      <c r="F185" s="10" t="str">
        <f>IF(AND(COUNTIF('Catalogo CU'!$A$9:$A$500,"CU-056")=1),IF(SUMIF('Catalogo CU'!$A$9:$A$500,"CU-056",'Catalogo CU'!$G$9:$G$500)=1,"Incluido",IF(SUMIF('Catalogo CU'!$A$9:$A$500,"CU-056",'Catalogo CU'!$G$9:$G$500)&gt;0,"Parcial por selección","Fuera por selección")),"Revisar vínculo")</f>
        <v>Incluido</v>
      </c>
      <c r="G185" s="10" t="s">
        <v>1955</v>
      </c>
    </row>
    <row r="186" spans="1:7" ht="72" customHeight="1">
      <c r="A186" s="1" t="s">
        <v>491</v>
      </c>
      <c r="B186" s="10" t="s">
        <v>2311</v>
      </c>
      <c r="C186" s="10" t="s">
        <v>2241</v>
      </c>
      <c r="D186" s="10" t="s">
        <v>487</v>
      </c>
      <c r="E186" s="10" t="s">
        <v>1954</v>
      </c>
      <c r="F186" s="10" t="str">
        <f>IF(AND(COUNTIF('Catalogo CU'!$A$9:$A$500,"CU-090")=1),IF(SUMIF('Catalogo CU'!$A$9:$A$500,"CU-090",'Catalogo CU'!$G$9:$G$500)=1,"Incluido",IF(SUMIF('Catalogo CU'!$A$9:$A$500,"CU-090",'Catalogo CU'!$G$9:$G$500)&gt;0,"Parcial por selección","Fuera por selección")),"Revisar vínculo")</f>
        <v>Incluido</v>
      </c>
      <c r="G186" s="10" t="s">
        <v>1955</v>
      </c>
    </row>
    <row r="187" spans="1:7" ht="42" customHeight="1">
      <c r="A187" s="1" t="s">
        <v>431</v>
      </c>
      <c r="B187" s="10" t="s">
        <v>2312</v>
      </c>
      <c r="C187" s="10" t="s">
        <v>2302</v>
      </c>
      <c r="D187" s="10" t="s">
        <v>427</v>
      </c>
      <c r="E187" s="10" t="s">
        <v>1954</v>
      </c>
      <c r="F187" s="10" t="str">
        <f>IF(AND(COUNTIF('Catalogo CU'!$A$9:$A$500,"CU-078")=1),IF(SUMIF('Catalogo CU'!$A$9:$A$500,"CU-078",'Catalogo CU'!$G$9:$G$500)=1,"Incluido",IF(SUMIF('Catalogo CU'!$A$9:$A$500,"CU-078",'Catalogo CU'!$G$9:$G$500)&gt;0,"Parcial por selección","Fuera por selección")),"Revisar vínculo")</f>
        <v>Incluido</v>
      </c>
      <c r="G187" s="10" t="s">
        <v>1955</v>
      </c>
    </row>
    <row r="188" spans="1:7" ht="42" customHeight="1">
      <c r="A188" s="1" t="s">
        <v>2313</v>
      </c>
      <c r="B188" s="10" t="s">
        <v>2314</v>
      </c>
      <c r="C188" s="10" t="s">
        <v>2241</v>
      </c>
      <c r="D188" s="10" t="s">
        <v>2040</v>
      </c>
      <c r="E188" s="10" t="s">
        <v>1954</v>
      </c>
      <c r="F188" s="10" t="str">
        <f>IF(AND(COUNTIF('Catalogo CU'!$A$9:$A$500,"CU-079")=1,COUNTIF('Catalogo CU'!$A$9:$A$500,"CU-080")=1),IF(SUMIF('Catalogo CU'!$A$9:$A$500,"CU-079",'Catalogo CU'!$G$9:$G$500)+SUMIF('Catalogo CU'!$A$9:$A$500,"CU-080",'Catalogo CU'!$G$9:$G$500)=2,"Incluido",IF(SUMIF('Catalogo CU'!$A$9:$A$500,"CU-079",'Catalogo CU'!$G$9:$G$500)+SUMIF('Catalogo CU'!$A$9:$A$500,"CU-080",'Catalogo CU'!$G$9:$G$500)&gt;0,"Parcial por selección","Fuera por selección")),"Revisar vínculo")</f>
        <v>Incluido</v>
      </c>
      <c r="G188" s="10" t="s">
        <v>1955</v>
      </c>
    </row>
    <row r="189" spans="1:7" ht="42" customHeight="1">
      <c r="A189" s="1" t="s">
        <v>474</v>
      </c>
      <c r="B189" s="10" t="s">
        <v>472</v>
      </c>
      <c r="C189" s="10" t="s">
        <v>58</v>
      </c>
      <c r="D189" s="10" t="s">
        <v>470</v>
      </c>
      <c r="E189" s="10" t="s">
        <v>1954</v>
      </c>
      <c r="F189" s="10" t="str">
        <f>IF(AND(COUNTIF('Catalogo CU'!$A$9:$A$500,"CU-087")=1),IF(SUMIF('Catalogo CU'!$A$9:$A$500,"CU-087",'Catalogo CU'!$G$9:$G$500)=1,"Incluido",IF(SUMIF('Catalogo CU'!$A$9:$A$500,"CU-087",'Catalogo CU'!$G$9:$G$500)&gt;0,"Parcial por selección","Fuera por selección")),"Revisar vínculo")</f>
        <v>Incluido</v>
      </c>
      <c r="G189" s="10" t="s">
        <v>2315</v>
      </c>
    </row>
    <row r="190" spans="1:7" ht="42" customHeight="1">
      <c r="A190" s="1" t="s">
        <v>458</v>
      </c>
      <c r="B190" s="10" t="s">
        <v>2316</v>
      </c>
      <c r="C190" s="10" t="s">
        <v>58</v>
      </c>
      <c r="D190" s="10" t="s">
        <v>2317</v>
      </c>
      <c r="E190" s="10" t="s">
        <v>1954</v>
      </c>
      <c r="F190" s="10" t="str">
        <f>IF(AND(COUNTIF('Catalogo CU'!$A$9:$A$500,"CU-084")=1,COUNTIF('Catalogo CU'!$A$9:$A$500,"CU-085")=1),IF(SUMIF('Catalogo CU'!$A$9:$A$500,"CU-084",'Catalogo CU'!$G$9:$G$500)+SUMIF('Catalogo CU'!$A$9:$A$500,"CU-085",'Catalogo CU'!$G$9:$G$500)=2,"Incluido",IF(SUMIF('Catalogo CU'!$A$9:$A$500,"CU-084",'Catalogo CU'!$G$9:$G$500)+SUMIF('Catalogo CU'!$A$9:$A$500,"CU-085",'Catalogo CU'!$G$9:$G$500)&gt;0,"Parcial por selección","Fuera por selección")),"Revisar vínculo")</f>
        <v>Incluido</v>
      </c>
      <c r="G190" s="10" t="s">
        <v>2315</v>
      </c>
    </row>
    <row r="191" spans="1:7" ht="42" customHeight="1">
      <c r="A191" s="1" t="s">
        <v>468</v>
      </c>
      <c r="B191" s="10" t="s">
        <v>467</v>
      </c>
      <c r="C191" s="10" t="s">
        <v>58</v>
      </c>
      <c r="D191" s="10" t="s">
        <v>465</v>
      </c>
      <c r="E191" s="10" t="s">
        <v>1954</v>
      </c>
      <c r="F191" s="10" t="str">
        <f>IF(AND(COUNTIF('Catalogo CU'!$A$9:$A$500,"CU-086")=1),IF(SUMIF('Catalogo CU'!$A$9:$A$500,"CU-086",'Catalogo CU'!$G$9:$G$500)=1,"Incluido",IF(SUMIF('Catalogo CU'!$A$9:$A$500,"CU-086",'Catalogo CU'!$G$9:$G$500)&gt;0,"Parcial por selección","Fuera por selección")),"Revisar vínculo")</f>
        <v>Incluido</v>
      </c>
      <c r="G191" s="10" t="s">
        <v>2315</v>
      </c>
    </row>
    <row r="192" spans="1:7" ht="42" customHeight="1">
      <c r="A192" s="1" t="s">
        <v>479</v>
      </c>
      <c r="B192" s="10" t="s">
        <v>478</v>
      </c>
      <c r="C192" s="10" t="s">
        <v>216</v>
      </c>
      <c r="D192" s="10" t="s">
        <v>476</v>
      </c>
      <c r="E192" s="10" t="s">
        <v>1954</v>
      </c>
      <c r="F192" s="10" t="str">
        <f>IF(AND(COUNTIF('Catalogo CU'!$A$9:$A$500,"CU-088")=1),IF(SUMIF('Catalogo CU'!$A$9:$A$500,"CU-088",'Catalogo CU'!$G$9:$G$500)=1,"Incluido",IF(SUMIF('Catalogo CU'!$A$9:$A$500,"CU-088",'Catalogo CU'!$G$9:$G$500)&gt;0,"Parcial por selección","Fuera por selección")),"Revisar vínculo")</f>
        <v>Incluido</v>
      </c>
      <c r="G192" s="10" t="s">
        <v>2315</v>
      </c>
    </row>
    <row r="193" spans="1:7" ht="42" customHeight="1">
      <c r="A193" s="1" t="s">
        <v>485</v>
      </c>
      <c r="B193" s="10" t="s">
        <v>483</v>
      </c>
      <c r="C193" s="10" t="s">
        <v>216</v>
      </c>
      <c r="D193" s="10" t="s">
        <v>481</v>
      </c>
      <c r="E193" s="10" t="s">
        <v>1954</v>
      </c>
      <c r="F193" s="10" t="str">
        <f>IF(AND(COUNTIF('Catalogo CU'!$A$9:$A$500,"CU-089")=1),IF(SUMIF('Catalogo CU'!$A$9:$A$500,"CU-089",'Catalogo CU'!$G$9:$G$500)=1,"Incluido",IF(SUMIF('Catalogo CU'!$A$9:$A$500,"CU-089",'Catalogo CU'!$G$9:$G$500)&gt;0,"Parcial por selección","Fuera por selección")),"Revisar vínculo")</f>
        <v>Incluido</v>
      </c>
      <c r="G193" s="10" t="s">
        <v>2315</v>
      </c>
    </row>
  </sheetData>
  <conditionalFormatting sqref="F9:F193">
    <cfRule type="expression" dxfId="0" priority="1">
      <formula>LEFT($F9,7)="Revisar"</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3A0A9"/>
  </sheetPr>
  <dimension ref="A1:G65"/>
  <sheetViews>
    <sheetView showGridLines="0" workbookViewId="0"/>
  </sheetViews>
  <sheetFormatPr baseColWidth="10" defaultColWidth="8.796875" defaultRowHeight="13.8"/>
  <cols>
    <col min="1" max="1" width="34" customWidth="1"/>
    <col min="2" max="2" width="104" customWidth="1"/>
    <col min="3" max="5" width="42" customWidth="1"/>
    <col min="6" max="6" width="20" customWidth="1"/>
    <col min="7" max="7" width="18" customWidth="1"/>
  </cols>
  <sheetData>
    <row r="1" spans="1:7" ht="21" customHeight="1">
      <c r="A1" s="1"/>
      <c r="B1" s="1"/>
      <c r="C1" s="1"/>
      <c r="D1" s="1"/>
      <c r="E1" s="1"/>
      <c r="F1" s="1"/>
      <c r="G1" s="1"/>
    </row>
    <row r="2" spans="1:7" ht="21" customHeight="1">
      <c r="A2" s="2" t="s">
        <v>2318</v>
      </c>
      <c r="B2" s="1"/>
      <c r="C2" s="1"/>
      <c r="D2" s="1"/>
      <c r="E2" s="1"/>
      <c r="F2" s="1"/>
      <c r="G2" s="1"/>
    </row>
    <row r="3" spans="1:7" ht="21" customHeight="1">
      <c r="A3" s="3"/>
      <c r="B3" s="3"/>
      <c r="C3" s="3"/>
      <c r="D3" s="3"/>
      <c r="E3" s="3"/>
      <c r="F3" s="3"/>
      <c r="G3" s="3"/>
    </row>
    <row r="4" spans="1:7" ht="21" customHeight="1">
      <c r="A4" s="4" t="s">
        <v>2319</v>
      </c>
      <c r="B4" s="1"/>
      <c r="C4" s="1"/>
      <c r="D4" s="1"/>
      <c r="E4" s="1"/>
      <c r="F4" s="1"/>
      <c r="G4" s="1"/>
    </row>
    <row r="5" spans="1:7" ht="21" customHeight="1">
      <c r="A5" s="1"/>
      <c r="B5" s="1"/>
      <c r="C5" s="1"/>
      <c r="D5" s="1"/>
      <c r="E5" s="1"/>
      <c r="F5" s="1"/>
      <c r="G5" s="1"/>
    </row>
    <row r="6" spans="1:7" ht="21" customHeight="1">
      <c r="A6" s="1"/>
      <c r="B6" s="1"/>
      <c r="C6" s="1"/>
      <c r="D6" s="1"/>
      <c r="E6" s="1"/>
      <c r="F6" s="1"/>
      <c r="G6" s="1"/>
    </row>
    <row r="7" spans="1:7" ht="21" customHeight="1">
      <c r="A7" s="1"/>
      <c r="B7" s="1"/>
      <c r="C7" s="1"/>
      <c r="D7" s="1"/>
      <c r="E7" s="1"/>
      <c r="F7" s="1"/>
      <c r="G7" s="1"/>
    </row>
    <row r="8" spans="1:7" ht="31.95" customHeight="1">
      <c r="A8" s="8" t="s">
        <v>1792</v>
      </c>
      <c r="B8" s="9" t="s">
        <v>2320</v>
      </c>
      <c r="C8" s="1"/>
      <c r="D8" s="1"/>
      <c r="E8" s="1"/>
      <c r="F8" s="1"/>
      <c r="G8" s="1"/>
    </row>
    <row r="9" spans="1:7" ht="48" customHeight="1">
      <c r="A9" s="10" t="s">
        <v>2321</v>
      </c>
      <c r="B9" s="10" t="s">
        <v>2322</v>
      </c>
      <c r="C9" s="1"/>
      <c r="D9" s="1"/>
      <c r="E9" s="1"/>
      <c r="F9" s="1"/>
      <c r="G9" s="1"/>
    </row>
    <row r="10" spans="1:7" ht="48" customHeight="1">
      <c r="A10" s="10" t="s">
        <v>2323</v>
      </c>
      <c r="B10" s="10" t="s">
        <v>2324</v>
      </c>
      <c r="C10" s="1"/>
      <c r="D10" s="1"/>
      <c r="E10" s="1"/>
      <c r="F10" s="1"/>
      <c r="G10" s="1"/>
    </row>
    <row r="11" spans="1:7" ht="48" customHeight="1">
      <c r="A11" s="10" t="s">
        <v>2325</v>
      </c>
      <c r="B11" s="10" t="s">
        <v>2326</v>
      </c>
      <c r="C11" s="1"/>
      <c r="D11" s="1"/>
      <c r="E11" s="1"/>
      <c r="F11" s="1"/>
      <c r="G11" s="1"/>
    </row>
    <row r="12" spans="1:7" ht="48" customHeight="1">
      <c r="A12" s="10" t="s">
        <v>2327</v>
      </c>
      <c r="B12" s="10" t="s">
        <v>2328</v>
      </c>
      <c r="C12" s="1"/>
      <c r="D12" s="1"/>
      <c r="E12" s="1"/>
      <c r="F12" s="1"/>
      <c r="G12" s="1"/>
    </row>
    <row r="13" spans="1:7" ht="48" customHeight="1">
      <c r="A13" s="10" t="s">
        <v>2329</v>
      </c>
      <c r="B13" s="10" t="s">
        <v>2330</v>
      </c>
      <c r="C13" s="1"/>
      <c r="D13" s="1"/>
      <c r="E13" s="1"/>
      <c r="F13" s="1"/>
      <c r="G13" s="1"/>
    </row>
    <row r="14" spans="1:7" ht="48" customHeight="1">
      <c r="A14" s="10" t="s">
        <v>2331</v>
      </c>
      <c r="B14" s="10" t="s">
        <v>2332</v>
      </c>
      <c r="C14" s="1"/>
      <c r="D14" s="1"/>
      <c r="E14" s="1"/>
      <c r="F14" s="1"/>
      <c r="G14" s="1"/>
    </row>
    <row r="15" spans="1:7" ht="48" customHeight="1">
      <c r="A15" s="10" t="s">
        <v>2333</v>
      </c>
      <c r="B15" s="10" t="s">
        <v>2334</v>
      </c>
      <c r="C15" s="1"/>
      <c r="D15" s="1"/>
      <c r="E15" s="1"/>
      <c r="F15" s="1"/>
      <c r="G15" s="1"/>
    </row>
    <row r="16" spans="1:7" ht="48" customHeight="1">
      <c r="A16" s="10" t="s">
        <v>2335</v>
      </c>
      <c r="B16" s="10" t="s">
        <v>2336</v>
      </c>
      <c r="C16" s="1"/>
      <c r="D16" s="1"/>
      <c r="E16" s="1"/>
      <c r="F16" s="1"/>
      <c r="G16" s="1"/>
    </row>
    <row r="17" spans="1:7" ht="48" customHeight="1">
      <c r="A17" s="10" t="s">
        <v>2337</v>
      </c>
      <c r="B17" s="10" t="s">
        <v>2338</v>
      </c>
      <c r="C17" s="1"/>
      <c r="D17" s="1"/>
      <c r="E17" s="1"/>
      <c r="F17" s="1"/>
      <c r="G17" s="1"/>
    </row>
    <row r="18" spans="1:7" ht="48" customHeight="1">
      <c r="A18" s="10" t="s">
        <v>2339</v>
      </c>
      <c r="B18" s="10" t="s">
        <v>2340</v>
      </c>
      <c r="C18" s="1"/>
      <c r="D18" s="1"/>
      <c r="E18" s="1"/>
      <c r="F18" s="1"/>
      <c r="G18" s="1"/>
    </row>
    <row r="19" spans="1:7" ht="48" customHeight="1">
      <c r="A19" s="10" t="s">
        <v>2341</v>
      </c>
      <c r="B19" s="10" t="s">
        <v>2342</v>
      </c>
      <c r="C19" s="1"/>
      <c r="D19" s="1"/>
      <c r="E19" s="1"/>
      <c r="F19" s="1"/>
      <c r="G19" s="1"/>
    </row>
    <row r="20" spans="1:7" ht="48" customHeight="1">
      <c r="A20" s="10" t="s">
        <v>2343</v>
      </c>
      <c r="B20" s="10" t="s">
        <v>2344</v>
      </c>
      <c r="C20" s="1"/>
      <c r="D20" s="1"/>
      <c r="E20" s="1"/>
      <c r="F20" s="1"/>
      <c r="G20" s="1"/>
    </row>
    <row r="21" spans="1:7" ht="48" customHeight="1">
      <c r="A21" s="10" t="s">
        <v>2345</v>
      </c>
      <c r="B21" s="10" t="s">
        <v>2346</v>
      </c>
      <c r="C21" s="1"/>
      <c r="D21" s="1"/>
      <c r="E21" s="1"/>
      <c r="F21" s="1"/>
      <c r="G21" s="1"/>
    </row>
    <row r="22" spans="1:7" ht="48" customHeight="1">
      <c r="A22" s="10" t="s">
        <v>2347</v>
      </c>
      <c r="B22" s="10" t="s">
        <v>2348</v>
      </c>
      <c r="C22" s="1"/>
      <c r="D22" s="1"/>
      <c r="E22" s="1"/>
      <c r="F22" s="1"/>
      <c r="G22" s="1"/>
    </row>
    <row r="23" spans="1:7" ht="21" customHeight="1">
      <c r="A23" s="1"/>
      <c r="B23" s="1"/>
      <c r="C23" s="1"/>
      <c r="D23" s="1"/>
      <c r="E23" s="1"/>
      <c r="F23" s="1"/>
      <c r="G23" s="1"/>
    </row>
    <row r="24" spans="1:7" ht="31.95" customHeight="1">
      <c r="A24" s="8" t="s">
        <v>2349</v>
      </c>
      <c r="B24" s="9" t="s">
        <v>2350</v>
      </c>
      <c r="C24" s="1"/>
      <c r="D24" s="6" t="s">
        <v>2351</v>
      </c>
      <c r="E24" s="6" t="s">
        <v>2352</v>
      </c>
      <c r="F24" s="6" t="s">
        <v>2353</v>
      </c>
      <c r="G24" s="6" t="s">
        <v>1673</v>
      </c>
    </row>
    <row r="25" spans="1:7" ht="21" customHeight="1">
      <c r="A25" s="1" t="s">
        <v>2354</v>
      </c>
      <c r="B25" s="12">
        <v>1</v>
      </c>
      <c r="C25" s="1"/>
      <c r="D25" s="1" t="s">
        <v>2354</v>
      </c>
      <c r="E25" s="1">
        <v>1</v>
      </c>
      <c r="F25" s="1">
        <v>3</v>
      </c>
      <c r="G25" s="1">
        <v>5</v>
      </c>
    </row>
    <row r="26" spans="1:7" ht="21" customHeight="1">
      <c r="A26" s="1" t="s">
        <v>2355</v>
      </c>
      <c r="B26" s="12">
        <v>2</v>
      </c>
      <c r="C26" s="1"/>
      <c r="D26" s="1" t="s">
        <v>2355</v>
      </c>
      <c r="E26" s="1">
        <v>4</v>
      </c>
      <c r="F26" s="1">
        <v>7</v>
      </c>
      <c r="G26" s="1">
        <v>10</v>
      </c>
    </row>
    <row r="27" spans="1:7" ht="21" customHeight="1">
      <c r="A27" s="1" t="s">
        <v>2356</v>
      </c>
      <c r="B27" s="12">
        <v>3</v>
      </c>
      <c r="C27" s="1"/>
      <c r="D27" s="1" t="s">
        <v>2356</v>
      </c>
      <c r="E27" s="1">
        <v>8</v>
      </c>
      <c r="F27" s="1" t="s">
        <v>2357</v>
      </c>
      <c r="G27" s="1">
        <v>15</v>
      </c>
    </row>
    <row r="28" spans="1:7" ht="21" customHeight="1">
      <c r="A28" s="1"/>
      <c r="B28" s="12"/>
      <c r="C28" s="1"/>
      <c r="D28" s="1"/>
      <c r="E28" s="1"/>
      <c r="F28" s="1"/>
      <c r="G28" s="1"/>
    </row>
    <row r="29" spans="1:7" ht="21" customHeight="1">
      <c r="A29" s="1"/>
      <c r="B29" s="12"/>
      <c r="C29" s="1"/>
      <c r="D29" s="1"/>
      <c r="E29" s="1"/>
      <c r="F29" s="1"/>
      <c r="G29" s="1"/>
    </row>
    <row r="30" spans="1:7" ht="21" customHeight="1">
      <c r="A30" s="5" t="s">
        <v>2358</v>
      </c>
      <c r="B30" s="13" t="s">
        <v>2359</v>
      </c>
      <c r="C30" s="1"/>
      <c r="D30" s="6" t="s">
        <v>2360</v>
      </c>
      <c r="E30" s="6" t="s">
        <v>2361</v>
      </c>
      <c r="F30" s="6" t="s">
        <v>2362</v>
      </c>
      <c r="G30" s="1"/>
    </row>
    <row r="31" spans="1:7" ht="21" customHeight="1">
      <c r="A31" s="1" t="s">
        <v>2363</v>
      </c>
      <c r="B31" s="12">
        <v>0.6</v>
      </c>
      <c r="C31" s="1"/>
      <c r="D31" s="1" t="s">
        <v>2364</v>
      </c>
      <c r="E31" s="1">
        <v>2</v>
      </c>
      <c r="F31" s="1">
        <v>20</v>
      </c>
      <c r="G31" s="1"/>
    </row>
    <row r="32" spans="1:7" ht="21" customHeight="1">
      <c r="A32" s="1" t="s">
        <v>2365</v>
      </c>
      <c r="B32" s="12">
        <v>0.01</v>
      </c>
      <c r="C32" s="1"/>
      <c r="D32" s="1" t="s">
        <v>2366</v>
      </c>
      <c r="E32" s="1">
        <v>4</v>
      </c>
      <c r="F32" s="1">
        <v>28</v>
      </c>
      <c r="G32" s="1"/>
    </row>
    <row r="33" spans="1:7" ht="21" customHeight="1">
      <c r="A33" s="1" t="s">
        <v>2367</v>
      </c>
      <c r="B33" s="12">
        <v>1.4</v>
      </c>
      <c r="C33" s="1"/>
      <c r="D33" s="1" t="s">
        <v>2368</v>
      </c>
      <c r="E33" s="1">
        <v>5</v>
      </c>
      <c r="F33" s="1" t="s">
        <v>2369</v>
      </c>
      <c r="G33" s="1"/>
    </row>
    <row r="34" spans="1:7" ht="21" customHeight="1">
      <c r="A34" s="1" t="s">
        <v>2370</v>
      </c>
      <c r="B34" s="12">
        <v>0.03</v>
      </c>
      <c r="C34" s="1"/>
      <c r="D34" s="1"/>
      <c r="E34" s="1"/>
      <c r="F34" s="1"/>
      <c r="G34" s="1"/>
    </row>
    <row r="35" spans="1:7" ht="21" customHeight="1">
      <c r="A35" s="1"/>
      <c r="B35" s="1"/>
      <c r="C35" s="1"/>
      <c r="D35" s="1"/>
      <c r="E35" s="1"/>
      <c r="F35" s="1"/>
      <c r="G35" s="1"/>
    </row>
    <row r="36" spans="1:7" ht="21" customHeight="1">
      <c r="A36" s="1" t="s">
        <v>2371</v>
      </c>
      <c r="B36" s="1"/>
      <c r="C36" s="1"/>
      <c r="D36" s="1"/>
      <c r="E36" s="1"/>
      <c r="F36" s="1"/>
      <c r="G36" s="1"/>
    </row>
    <row r="37" spans="1:7" ht="21" customHeight="1">
      <c r="A37" s="1"/>
      <c r="B37" s="1"/>
      <c r="C37" s="1"/>
      <c r="D37" s="1"/>
      <c r="E37" s="1"/>
      <c r="F37" s="1"/>
      <c r="G37" s="1"/>
    </row>
    <row r="38" spans="1:7" ht="21" customHeight="1">
      <c r="A38" s="1"/>
      <c r="B38" s="1"/>
      <c r="C38" s="1"/>
      <c r="D38" s="1"/>
      <c r="E38" s="1"/>
      <c r="F38" s="1"/>
      <c r="G38" s="1"/>
    </row>
    <row r="39" spans="1:7" ht="31.95" customHeight="1">
      <c r="A39" s="8" t="s">
        <v>2372</v>
      </c>
      <c r="B39" s="11" t="s">
        <v>1806</v>
      </c>
      <c r="C39" s="11" t="s">
        <v>2373</v>
      </c>
      <c r="D39" s="11" t="s">
        <v>2374</v>
      </c>
      <c r="E39" s="9" t="s">
        <v>2375</v>
      </c>
      <c r="F39" s="1"/>
      <c r="G39" s="1"/>
    </row>
    <row r="40" spans="1:7" ht="64.05" customHeight="1">
      <c r="A40" s="10" t="s">
        <v>2376</v>
      </c>
      <c r="B40" s="10" t="s">
        <v>2377</v>
      </c>
      <c r="C40" s="10" t="s">
        <v>2378</v>
      </c>
      <c r="D40" s="10" t="s">
        <v>2379</v>
      </c>
      <c r="E40" s="10" t="s">
        <v>2380</v>
      </c>
      <c r="F40" s="1"/>
      <c r="G40" s="1"/>
    </row>
    <row r="41" spans="1:7" ht="64.05" customHeight="1">
      <c r="A41" s="10" t="s">
        <v>2381</v>
      </c>
      <c r="B41" s="10" t="s">
        <v>2382</v>
      </c>
      <c r="C41" s="10" t="s">
        <v>2383</v>
      </c>
      <c r="D41" s="10" t="s">
        <v>2384</v>
      </c>
      <c r="E41" s="10" t="s">
        <v>2385</v>
      </c>
      <c r="F41" s="1"/>
      <c r="G41" s="1"/>
    </row>
    <row r="42" spans="1:7" ht="64.05" customHeight="1">
      <c r="A42" s="10" t="s">
        <v>2386</v>
      </c>
      <c r="B42" s="10" t="s">
        <v>2387</v>
      </c>
      <c r="C42" s="10" t="s">
        <v>2388</v>
      </c>
      <c r="D42" s="10" t="s">
        <v>2389</v>
      </c>
      <c r="E42" s="10" t="s">
        <v>2385</v>
      </c>
      <c r="F42" s="1"/>
      <c r="G42" s="1"/>
    </row>
    <row r="43" spans="1:7" ht="64.05" customHeight="1">
      <c r="A43" s="10" t="s">
        <v>2390</v>
      </c>
      <c r="B43" s="10" t="s">
        <v>2391</v>
      </c>
      <c r="C43" s="10" t="s">
        <v>2392</v>
      </c>
      <c r="D43" s="10" t="s">
        <v>2393</v>
      </c>
      <c r="E43" s="10" t="s">
        <v>2385</v>
      </c>
      <c r="F43" s="1"/>
      <c r="G43" s="1"/>
    </row>
    <row r="44" spans="1:7" ht="64.05" customHeight="1">
      <c r="A44" s="10" t="s">
        <v>2394</v>
      </c>
      <c r="B44" s="10" t="s">
        <v>2395</v>
      </c>
      <c r="C44" s="10" t="s">
        <v>2396</v>
      </c>
      <c r="D44" s="10" t="s">
        <v>2397</v>
      </c>
      <c r="E44" s="10" t="s">
        <v>2385</v>
      </c>
      <c r="F44" s="1"/>
      <c r="G44" s="1"/>
    </row>
    <row r="45" spans="1:7" ht="64.05" customHeight="1">
      <c r="A45" s="10" t="s">
        <v>2398</v>
      </c>
      <c r="B45" s="10" t="s">
        <v>2399</v>
      </c>
      <c r="C45" s="10" t="s">
        <v>2400</v>
      </c>
      <c r="D45" s="10" t="s">
        <v>2401</v>
      </c>
      <c r="E45" s="10" t="s">
        <v>2385</v>
      </c>
      <c r="F45" s="1"/>
      <c r="G45" s="1"/>
    </row>
    <row r="46" spans="1:7" ht="64.05" customHeight="1">
      <c r="A46" s="10" t="s">
        <v>2402</v>
      </c>
      <c r="B46" s="10" t="s">
        <v>2403</v>
      </c>
      <c r="C46" s="10" t="s">
        <v>2404</v>
      </c>
      <c r="D46" s="10" t="s">
        <v>2405</v>
      </c>
      <c r="E46" s="10" t="s">
        <v>2385</v>
      </c>
      <c r="F46" s="1"/>
      <c r="G46" s="1"/>
    </row>
    <row r="47" spans="1:7" ht="64.05" customHeight="1">
      <c r="A47" s="10" t="s">
        <v>2406</v>
      </c>
      <c r="B47" s="10" t="s">
        <v>2407</v>
      </c>
      <c r="C47" s="10" t="s">
        <v>2408</v>
      </c>
      <c r="D47" s="10" t="s">
        <v>2409</v>
      </c>
      <c r="E47" s="10" t="s">
        <v>2385</v>
      </c>
      <c r="F47" s="1"/>
      <c r="G47" s="1"/>
    </row>
    <row r="48" spans="1:7" ht="64.05" customHeight="1">
      <c r="A48" s="10" t="s">
        <v>2410</v>
      </c>
      <c r="B48" s="10" t="s">
        <v>2411</v>
      </c>
      <c r="C48" s="10" t="s">
        <v>2412</v>
      </c>
      <c r="D48" s="10" t="s">
        <v>2413</v>
      </c>
      <c r="E48" s="10" t="s">
        <v>2385</v>
      </c>
      <c r="F48" s="1"/>
      <c r="G48" s="1"/>
    </row>
    <row r="49" spans="1:7" ht="64.05" customHeight="1">
      <c r="A49" s="10" t="s">
        <v>2414</v>
      </c>
      <c r="B49" s="10" t="s">
        <v>2415</v>
      </c>
      <c r="C49" s="10" t="s">
        <v>2416</v>
      </c>
      <c r="D49" s="10" t="s">
        <v>2417</v>
      </c>
      <c r="E49" s="10" t="s">
        <v>2385</v>
      </c>
      <c r="F49" s="1"/>
      <c r="G49" s="1"/>
    </row>
    <row r="50" spans="1:7" ht="64.05" customHeight="1">
      <c r="A50" s="10" t="s">
        <v>2418</v>
      </c>
      <c r="B50" s="10" t="s">
        <v>2419</v>
      </c>
      <c r="C50" s="10" t="s">
        <v>2420</v>
      </c>
      <c r="D50" s="10" t="s">
        <v>2421</v>
      </c>
      <c r="E50" s="10" t="s">
        <v>2422</v>
      </c>
      <c r="F50" s="1"/>
      <c r="G50" s="1"/>
    </row>
    <row r="51" spans="1:7" ht="64.05" customHeight="1">
      <c r="A51" s="10" t="s">
        <v>2423</v>
      </c>
      <c r="B51" s="10" t="s">
        <v>2424</v>
      </c>
      <c r="C51" s="10" t="s">
        <v>2425</v>
      </c>
      <c r="D51" s="10" t="s">
        <v>2426</v>
      </c>
      <c r="E51" s="10" t="s">
        <v>2385</v>
      </c>
      <c r="F51" s="1"/>
      <c r="G51" s="1"/>
    </row>
    <row r="52" spans="1:7" ht="64.05" customHeight="1">
      <c r="A52" s="10" t="s">
        <v>2427</v>
      </c>
      <c r="B52" s="10" t="s">
        <v>2428</v>
      </c>
      <c r="C52" s="10" t="s">
        <v>2429</v>
      </c>
      <c r="D52" s="10" t="s">
        <v>2430</v>
      </c>
      <c r="E52" s="10" t="s">
        <v>2422</v>
      </c>
      <c r="F52" s="1"/>
      <c r="G52" s="1"/>
    </row>
    <row r="53" spans="1:7" ht="64.05" customHeight="1">
      <c r="A53" s="10" t="s">
        <v>2431</v>
      </c>
      <c r="B53" s="10" t="s">
        <v>2432</v>
      </c>
      <c r="C53" s="10" t="s">
        <v>2433</v>
      </c>
      <c r="D53" s="10" t="s">
        <v>2434</v>
      </c>
      <c r="E53" s="10" t="s">
        <v>2435</v>
      </c>
      <c r="F53" s="1"/>
      <c r="G53" s="1"/>
    </row>
    <row r="54" spans="1:7" ht="21" customHeight="1">
      <c r="A54" s="1"/>
      <c r="B54" s="1"/>
      <c r="C54" s="1"/>
      <c r="D54" s="1"/>
      <c r="E54" s="1"/>
      <c r="F54" s="1"/>
      <c r="G54" s="1"/>
    </row>
    <row r="55" spans="1:7" ht="21" customHeight="1">
      <c r="A55" s="1"/>
      <c r="B55" s="1"/>
      <c r="C55" s="1"/>
      <c r="D55" s="1"/>
      <c r="E55" s="1"/>
      <c r="F55" s="1"/>
      <c r="G55" s="1"/>
    </row>
    <row r="56" spans="1:7" ht="21" customHeight="1">
      <c r="A56" s="1"/>
      <c r="B56" s="1"/>
      <c r="C56" s="1"/>
      <c r="D56" s="1"/>
      <c r="E56" s="1"/>
      <c r="F56" s="1"/>
      <c r="G56" s="1"/>
    </row>
    <row r="57" spans="1:7" ht="21" customHeight="1">
      <c r="A57" s="1"/>
      <c r="B57" s="1"/>
      <c r="C57" s="1"/>
      <c r="D57" s="1"/>
      <c r="E57" s="1"/>
      <c r="F57" s="1"/>
      <c r="G57" s="1"/>
    </row>
    <row r="58" spans="1:7" ht="21" customHeight="1">
      <c r="A58" s="1"/>
      <c r="B58" s="1"/>
      <c r="C58" s="1"/>
      <c r="D58" s="1"/>
      <c r="E58" s="1"/>
      <c r="F58" s="1"/>
      <c r="G58" s="1"/>
    </row>
    <row r="59" spans="1:7" ht="21" customHeight="1">
      <c r="A59" s="1"/>
      <c r="B59" s="1"/>
      <c r="C59" s="1"/>
      <c r="D59" s="1"/>
      <c r="E59" s="1"/>
      <c r="F59" s="1"/>
      <c r="G59" s="1"/>
    </row>
    <row r="60" spans="1:7" ht="21" customHeight="1">
      <c r="A60" s="1"/>
      <c r="B60" s="1"/>
      <c r="C60" s="1"/>
      <c r="D60" s="1"/>
      <c r="E60" s="1"/>
      <c r="F60" s="1"/>
      <c r="G60" s="1"/>
    </row>
    <row r="61" spans="1:7" ht="21" customHeight="1">
      <c r="A61" s="1"/>
      <c r="B61" s="1"/>
      <c r="C61" s="1"/>
      <c r="D61" s="1"/>
      <c r="E61" s="1"/>
      <c r="F61" s="1"/>
      <c r="G61" s="1"/>
    </row>
    <row r="62" spans="1:7" ht="21" customHeight="1">
      <c r="A62" s="1"/>
      <c r="B62" s="1"/>
      <c r="C62" s="1"/>
      <c r="D62" s="1"/>
      <c r="E62" s="1"/>
      <c r="F62" s="1"/>
      <c r="G62" s="1"/>
    </row>
    <row r="63" spans="1:7" ht="21" customHeight="1">
      <c r="A63" s="1"/>
      <c r="B63" s="1"/>
      <c r="C63" s="1"/>
      <c r="D63" s="1"/>
      <c r="E63" s="1"/>
      <c r="F63" s="1"/>
      <c r="G63" s="1"/>
    </row>
    <row r="64" spans="1:7" ht="21" customHeight="1">
      <c r="A64" s="1"/>
      <c r="B64" s="1"/>
      <c r="C64" s="1"/>
      <c r="D64" s="1"/>
      <c r="E64" s="1"/>
      <c r="F64" s="1"/>
      <c r="G64" s="1"/>
    </row>
    <row r="65" spans="1:7" ht="21" customHeight="1">
      <c r="A65" s="1"/>
      <c r="B65" s="1"/>
      <c r="C65" s="1"/>
      <c r="D65" s="1"/>
      <c r="E65" s="1"/>
      <c r="F65" s="1"/>
      <c r="G6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Resumen</vt:lpstr>
      <vt:lpstr>Catalogo CU</vt:lpstr>
      <vt:lpstr>Transacciones</vt:lpstr>
      <vt:lpstr>Actores UAW</vt:lpstr>
      <vt:lpstr>Casos UUCW</vt:lpstr>
      <vt:lpstr>Puntos sin ajustar</vt:lpstr>
      <vt:lpstr>Factores tecnicos</vt:lpstr>
      <vt:lpstr>Factores ambiente</vt:lpstr>
      <vt:lpstr>Puntos ajustados</vt:lpstr>
      <vt:lpstr>Esfuerzo</vt:lpstr>
      <vt:lpstr>Cobertura</vt:lpstr>
      <vt:lpstr>Criterios y fuentes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dobleaa dobleaa</cp:lastModifiedBy>
  <dcterms:modified xsi:type="dcterms:W3CDTF">2026-10-30T23:29:38Z</dcterms:modified>
</cp:coreProperties>
</file>