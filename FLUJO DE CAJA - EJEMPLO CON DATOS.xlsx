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ersonal\Universidad\ICI-5444 - TALLER DE FORMULACION PROYECTOS TI\ICI-5444-2026 - TALLER DE FORMULACION DE PROYECTOS\"/>
    </mc:Choice>
  </mc:AlternateContent>
  <xr:revisionPtr revIDLastSave="0" documentId="8_{A8C866A2-7C7F-4EB2-A499-FA425D2B919A}" xr6:coauthVersionLast="47" xr6:coauthVersionMax="47" xr10:uidLastSave="{00000000-0000-0000-0000-000000000000}"/>
  <bookViews>
    <workbookView xWindow="20370" yWindow="-2790" windowWidth="29040" windowHeight="15720" tabRatio="753" firstSheet="5" activeTab="11" xr2:uid="{00000000-000D-0000-FFFF-FFFF00000000}"/>
  </bookViews>
  <sheets>
    <sheet name="RESUMEN" sheetId="1" r:id="rId1"/>
    <sheet name="PARÁMETROS" sheetId="2" r:id="rId2"/>
    <sheet name="CURVA S" sheetId="3" r:id="rId3"/>
    <sheet name="FINANCIAMIENTO" sheetId="4" r:id="rId4"/>
    <sheet name="PCUESFUERZO" sheetId="5" r:id="rId5"/>
    <sheet name="Costos HH - Sueldos" sheetId="6" r:id="rId6"/>
    <sheet name="Costos HH por MES" sheetId="7" r:id="rId7"/>
    <sheet name="COSTOS DE OPERACION" sheetId="8" r:id="rId8"/>
    <sheet name="TARIFAS DE OPERACION" sheetId="9" r:id="rId9"/>
    <sheet name="FLUJO DE CAJA NETO" sheetId="10" r:id="rId10"/>
    <sheet name="FLUJO DE CAJA COMPLETO" sheetId="11" r:id="rId11"/>
    <sheet name="ADQUISICION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FusxQczV86h0dtC2KErP5U8Qa1x2QDFFaHixsMgD2Kw="/>
    </ext>
  </extLst>
</workbook>
</file>

<file path=xl/calcChain.xml><?xml version="1.0" encoding="utf-8"?>
<calcChain xmlns="http://schemas.openxmlformats.org/spreadsheetml/2006/main">
  <c r="M9" i="1" l="1"/>
  <c r="N9" i="1"/>
  <c r="L9" i="1"/>
  <c r="L7" i="1"/>
  <c r="M7" i="1" s="1"/>
  <c r="N7" i="1" s="1"/>
  <c r="L6" i="1"/>
  <c r="M6" i="1" s="1"/>
  <c r="L8" i="1" l="1"/>
  <c r="M8" i="1"/>
  <c r="N6" i="1"/>
  <c r="N8" i="1" s="1"/>
  <c r="D71" i="12" l="1"/>
  <c r="E71" i="12" s="1"/>
  <c r="G71" i="12" s="1"/>
  <c r="D67" i="12"/>
  <c r="E67" i="12" s="1"/>
  <c r="G67" i="12" s="1"/>
  <c r="D62" i="12"/>
  <c r="E62" i="12" s="1"/>
  <c r="G62" i="12" s="1"/>
  <c r="D57" i="12"/>
  <c r="E57" i="12" s="1"/>
  <c r="G57" i="12" s="1"/>
  <c r="D53" i="12"/>
  <c r="E53" i="12" s="1"/>
  <c r="G53" i="12" s="1"/>
  <c r="D48" i="12"/>
  <c r="E48" i="12" s="1"/>
  <c r="G48" i="12" s="1"/>
  <c r="I48" i="12" s="1"/>
  <c r="D47" i="12"/>
  <c r="D45" i="12"/>
  <c r="E45" i="12" s="1"/>
  <c r="G45" i="12" s="1"/>
  <c r="I45" i="12" s="1"/>
  <c r="D44" i="12"/>
  <c r="D41" i="12"/>
  <c r="E41" i="12" s="1"/>
  <c r="G41" i="12" s="1"/>
  <c r="I41" i="12" s="1"/>
  <c r="D40" i="12"/>
  <c r="D38" i="12"/>
  <c r="E38" i="12" s="1"/>
  <c r="G38" i="12" s="1"/>
  <c r="I38" i="12" s="1"/>
  <c r="D37" i="12"/>
  <c r="D35" i="12"/>
  <c r="E35" i="12" s="1"/>
  <c r="G35" i="12" s="1"/>
  <c r="I35" i="12" s="1"/>
  <c r="D33" i="12"/>
  <c r="D31" i="12"/>
  <c r="E31" i="12" s="1"/>
  <c r="G31" i="12" s="1"/>
  <c r="I31" i="12" s="1"/>
  <c r="D30" i="12"/>
  <c r="D28" i="12"/>
  <c r="E28" i="12" s="1"/>
  <c r="G28" i="12" s="1"/>
  <c r="I28" i="12" s="1"/>
  <c r="D26" i="12"/>
  <c r="D24" i="12"/>
  <c r="E24" i="12" s="1"/>
  <c r="G24" i="12" s="1"/>
  <c r="I24" i="12" s="1"/>
  <c r="D23" i="12"/>
  <c r="D21" i="12"/>
  <c r="E21" i="12" s="1"/>
  <c r="G21" i="12" s="1"/>
  <c r="I21" i="12" s="1"/>
  <c r="D20" i="12"/>
  <c r="D18" i="12"/>
  <c r="E18" i="12" s="1"/>
  <c r="G18" i="12" s="1"/>
  <c r="I18" i="12" s="1"/>
  <c r="D17" i="12"/>
  <c r="D15" i="12"/>
  <c r="E15" i="12" s="1"/>
  <c r="G15" i="12" s="1"/>
  <c r="I15" i="12" s="1"/>
  <c r="D14" i="12"/>
  <c r="D12" i="12"/>
  <c r="E12" i="12" s="1"/>
  <c r="G12" i="12" s="1"/>
  <c r="I12" i="12" s="1"/>
  <c r="D11" i="12"/>
  <c r="D9" i="12"/>
  <c r="E9" i="12" s="1"/>
  <c r="G9" i="12" s="1"/>
  <c r="B5" i="12"/>
  <c r="B4" i="12"/>
  <c r="E47" i="12" s="1"/>
  <c r="G47" i="12" s="1"/>
  <c r="I47" i="12" s="1"/>
  <c r="B3" i="12"/>
  <c r="B2" i="12"/>
  <c r="D70" i="12" s="1"/>
  <c r="E70" i="12" s="1"/>
  <c r="G70" i="12" s="1"/>
  <c r="G43" i="11"/>
  <c r="F43" i="11"/>
  <c r="E43" i="11"/>
  <c r="D43" i="11"/>
  <c r="C43" i="11"/>
  <c r="C44" i="11" s="1"/>
  <c r="D44" i="11" s="1"/>
  <c r="E44" i="11" s="1"/>
  <c r="F44" i="11" s="1"/>
  <c r="G44" i="11" s="1"/>
  <c r="BJ15" i="11"/>
  <c r="BI15" i="11"/>
  <c r="BH15" i="11"/>
  <c r="BG15" i="11"/>
  <c r="BF15" i="11"/>
  <c r="BE15" i="11"/>
  <c r="BD15" i="11"/>
  <c r="BB15" i="11"/>
  <c r="BA15" i="11"/>
  <c r="AZ15" i="11"/>
  <c r="AY15" i="11"/>
  <c r="AX15" i="11"/>
  <c r="AW15" i="11"/>
  <c r="AV15" i="11"/>
  <c r="AU15" i="11"/>
  <c r="AT15" i="11"/>
  <c r="AS15" i="11"/>
  <c r="AR15" i="11"/>
  <c r="AP15" i="11"/>
  <c r="AO15" i="11"/>
  <c r="AN15" i="11"/>
  <c r="AM15" i="11"/>
  <c r="AL15" i="11"/>
  <c r="AK15" i="11"/>
  <c r="AJ15" i="11"/>
  <c r="AI15" i="11"/>
  <c r="AH15" i="11"/>
  <c r="AG15" i="11"/>
  <c r="AF15" i="11"/>
  <c r="AD15" i="11"/>
  <c r="AC15" i="11"/>
  <c r="AB15" i="11"/>
  <c r="AA15" i="11"/>
  <c r="Z15" i="11"/>
  <c r="Y15" i="11"/>
  <c r="X15" i="11"/>
  <c r="W15" i="11"/>
  <c r="V15" i="11"/>
  <c r="U15" i="11"/>
  <c r="T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G7" i="11"/>
  <c r="E7" i="11"/>
  <c r="D7" i="11"/>
  <c r="C7" i="11"/>
  <c r="AM4" i="11"/>
  <c r="AN4" i="11" s="1"/>
  <c r="AO4" i="11" s="1"/>
  <c r="AP4" i="11" s="1"/>
  <c r="AQ4" i="11" s="1"/>
  <c r="AR4" i="11" s="1"/>
  <c r="AS4" i="11" s="1"/>
  <c r="AT4" i="11" s="1"/>
  <c r="AU4" i="11" s="1"/>
  <c r="AV4" i="11" s="1"/>
  <c r="AW4" i="11" s="1"/>
  <c r="AX4" i="11" s="1"/>
  <c r="AY4" i="11" s="1"/>
  <c r="AZ4" i="11" s="1"/>
  <c r="BA4" i="11" s="1"/>
  <c r="BB4" i="11" s="1"/>
  <c r="BC4" i="11" s="1"/>
  <c r="BD4" i="11" s="1"/>
  <c r="BE4" i="11" s="1"/>
  <c r="BF4" i="11" s="1"/>
  <c r="BG4" i="11" s="1"/>
  <c r="BH4" i="11" s="1"/>
  <c r="BI4" i="11" s="1"/>
  <c r="BJ4" i="11" s="1"/>
  <c r="AL4" i="11"/>
  <c r="AN3" i="11"/>
  <c r="AO3" i="11" s="1"/>
  <c r="AP3" i="11" s="1"/>
  <c r="AQ3" i="11" s="1"/>
  <c r="AR3" i="11" s="1"/>
  <c r="AS3" i="11" s="1"/>
  <c r="AT3" i="11" s="1"/>
  <c r="AU3" i="11" s="1"/>
  <c r="AV3" i="11" s="1"/>
  <c r="AW3" i="11" s="1"/>
  <c r="AX3" i="11" s="1"/>
  <c r="AY3" i="11" s="1"/>
  <c r="AZ3" i="11" s="1"/>
  <c r="BA3" i="11" s="1"/>
  <c r="BB3" i="11" s="1"/>
  <c r="BC3" i="11" s="1"/>
  <c r="BD3" i="11" s="1"/>
  <c r="BE3" i="11" s="1"/>
  <c r="BF3" i="11" s="1"/>
  <c r="BG3" i="11" s="1"/>
  <c r="BH3" i="11" s="1"/>
  <c r="BI3" i="11" s="1"/>
  <c r="BJ3" i="11" s="1"/>
  <c r="AL3" i="11"/>
  <c r="AM3" i="11" s="1"/>
  <c r="A44" i="10"/>
  <c r="A43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A42" i="10"/>
  <c r="A41" i="10"/>
  <c r="A40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A39" i="10"/>
  <c r="A38" i="10"/>
  <c r="A37" i="10"/>
  <c r="A36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A35" i="10"/>
  <c r="A34" i="10"/>
  <c r="A33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M13" i="10"/>
  <c r="M5" i="11" s="1"/>
  <c r="K13" i="10"/>
  <c r="K5" i="11" s="1"/>
  <c r="J13" i="10"/>
  <c r="H13" i="10"/>
  <c r="H5" i="11" s="1"/>
  <c r="G13" i="10"/>
  <c r="G5" i="11" s="1"/>
  <c r="F13" i="10"/>
  <c r="F5" i="11" s="1"/>
  <c r="E13" i="10"/>
  <c r="E5" i="11" s="1"/>
  <c r="C13" i="10"/>
  <c r="C5" i="11" s="1"/>
  <c r="AZ3" i="10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AO3" i="10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V2" i="10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J2" i="10" s="1"/>
  <c r="AL2" i="10"/>
  <c r="AM2" i="10" s="1"/>
  <c r="AN2" i="10" s="1"/>
  <c r="AO2" i="10" s="1"/>
  <c r="AP2" i="10" s="1"/>
  <c r="AQ2" i="10" s="1"/>
  <c r="AR2" i="10" s="1"/>
  <c r="AS2" i="10" s="1"/>
  <c r="AT2" i="10" s="1"/>
  <c r="AU2" i="10" s="1"/>
  <c r="N59" i="9"/>
  <c r="M59" i="9"/>
  <c r="L59" i="9"/>
  <c r="K59" i="9"/>
  <c r="G59" i="9"/>
  <c r="F59" i="9"/>
  <c r="E59" i="9"/>
  <c r="D59" i="9"/>
  <c r="C5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M30" i="9"/>
  <c r="A30" i="9"/>
  <c r="A29" i="9"/>
  <c r="A28" i="9"/>
  <c r="AS27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F5" i="9"/>
  <c r="G5" i="9" s="1"/>
  <c r="H5" i="9" s="1"/>
  <c r="I5" i="9" s="1"/>
  <c r="J5" i="9" s="1"/>
  <c r="K5" i="9" s="1"/>
  <c r="L5" i="9" s="1"/>
  <c r="M5" i="9" s="1"/>
  <c r="N5" i="9" s="1"/>
  <c r="A5" i="9"/>
  <c r="A4" i="9"/>
  <c r="A3" i="9"/>
  <c r="BJ59" i="8"/>
  <c r="BI59" i="8"/>
  <c r="BH59" i="8"/>
  <c r="BG59" i="8"/>
  <c r="BF59" i="8"/>
  <c r="BE59" i="8"/>
  <c r="BD59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G59" i="8"/>
  <c r="F59" i="8"/>
  <c r="E59" i="8"/>
  <c r="D59" i="8"/>
  <c r="C59" i="8"/>
  <c r="BB47" i="8"/>
  <c r="R46" i="8"/>
  <c r="B37" i="8"/>
  <c r="AW30" i="8"/>
  <c r="AH30" i="8"/>
  <c r="P30" i="8"/>
  <c r="M30" i="8"/>
  <c r="AZ23" i="8"/>
  <c r="H5" i="8"/>
  <c r="I5" i="8" s="1"/>
  <c r="J5" i="8" s="1"/>
  <c r="K5" i="8" s="1"/>
  <c r="L5" i="8" s="1"/>
  <c r="M5" i="8" s="1"/>
  <c r="N5" i="8" s="1"/>
  <c r="G5" i="8"/>
  <c r="F5" i="8"/>
  <c r="A41" i="7"/>
  <c r="B40" i="7"/>
  <c r="A40" i="7"/>
  <c r="B39" i="7"/>
  <c r="A39" i="7"/>
  <c r="B38" i="7"/>
  <c r="A38" i="7"/>
  <c r="D37" i="7"/>
  <c r="B37" i="7"/>
  <c r="A37" i="7"/>
  <c r="E36" i="7"/>
  <c r="D36" i="7"/>
  <c r="B36" i="7"/>
  <c r="A36" i="7"/>
  <c r="E35" i="7"/>
  <c r="D35" i="7"/>
  <c r="B35" i="7"/>
  <c r="A35" i="7"/>
  <c r="E34" i="7"/>
  <c r="D34" i="7"/>
  <c r="B34" i="7"/>
  <c r="A34" i="7"/>
  <c r="H33" i="7"/>
  <c r="B45" i="9" s="1"/>
  <c r="E33" i="7"/>
  <c r="D33" i="7"/>
  <c r="B33" i="7"/>
  <c r="A33" i="7"/>
  <c r="E32" i="7"/>
  <c r="D32" i="7"/>
  <c r="B32" i="7"/>
  <c r="A32" i="7"/>
  <c r="E31" i="7"/>
  <c r="D31" i="7"/>
  <c r="B31" i="7"/>
  <c r="A31" i="7"/>
  <c r="E30" i="7"/>
  <c r="D30" i="7"/>
  <c r="B30" i="7"/>
  <c r="A30" i="7"/>
  <c r="E29" i="7"/>
  <c r="D29" i="7"/>
  <c r="B29" i="7"/>
  <c r="A29" i="7"/>
  <c r="E28" i="7"/>
  <c r="D28" i="7"/>
  <c r="B28" i="7"/>
  <c r="A28" i="7"/>
  <c r="H27" i="7"/>
  <c r="B37" i="9" s="1"/>
  <c r="E27" i="7"/>
  <c r="D27" i="7"/>
  <c r="B27" i="7"/>
  <c r="A27" i="7"/>
  <c r="E26" i="7"/>
  <c r="D26" i="7"/>
  <c r="B26" i="7"/>
  <c r="A26" i="7"/>
  <c r="F25" i="7"/>
  <c r="B35" i="8" s="1"/>
  <c r="E25" i="7"/>
  <c r="D25" i="7"/>
  <c r="B25" i="7"/>
  <c r="A25" i="7"/>
  <c r="H24" i="7"/>
  <c r="B34" i="9" s="1"/>
  <c r="E24" i="7"/>
  <c r="D24" i="7"/>
  <c r="B24" i="7"/>
  <c r="A24" i="7"/>
  <c r="E23" i="7"/>
  <c r="D23" i="7"/>
  <c r="B23" i="7"/>
  <c r="A23" i="7"/>
  <c r="F22" i="7"/>
  <c r="B32" i="8" s="1"/>
  <c r="E32" i="8" s="1"/>
  <c r="E22" i="7"/>
  <c r="D22" i="7"/>
  <c r="B22" i="7"/>
  <c r="A22" i="7"/>
  <c r="E21" i="7"/>
  <c r="D21" i="7"/>
  <c r="B21" i="7"/>
  <c r="A21" i="7"/>
  <c r="F20" i="7"/>
  <c r="B30" i="8" s="1"/>
  <c r="AX30" i="8" s="1"/>
  <c r="E20" i="7"/>
  <c r="D20" i="7"/>
  <c r="B20" i="7"/>
  <c r="A20" i="7"/>
  <c r="E19" i="7"/>
  <c r="D19" i="7"/>
  <c r="H18" i="7"/>
  <c r="B27" i="9" s="1"/>
  <c r="E18" i="7"/>
  <c r="D18" i="7"/>
  <c r="B18" i="7"/>
  <c r="A18" i="7"/>
  <c r="H17" i="7"/>
  <c r="B26" i="9" s="1"/>
  <c r="E17" i="7"/>
  <c r="D17" i="7"/>
  <c r="B17" i="7"/>
  <c r="A17" i="7"/>
  <c r="E16" i="7"/>
  <c r="D16" i="7"/>
  <c r="B16" i="7"/>
  <c r="A16" i="7"/>
  <c r="H15" i="7"/>
  <c r="F15" i="7"/>
  <c r="B21" i="8" s="1"/>
  <c r="E15" i="7"/>
  <c r="D15" i="7"/>
  <c r="B15" i="7"/>
  <c r="A15" i="7"/>
  <c r="H14" i="7"/>
  <c r="B20" i="9" s="1"/>
  <c r="E14" i="7"/>
  <c r="D14" i="7"/>
  <c r="B14" i="7"/>
  <c r="A14" i="7"/>
  <c r="E13" i="7"/>
  <c r="D13" i="7"/>
  <c r="A13" i="7"/>
  <c r="H12" i="7"/>
  <c r="F12" i="7"/>
  <c r="B17" i="8" s="1"/>
  <c r="E12" i="7"/>
  <c r="D12" i="7"/>
  <c r="B12" i="7"/>
  <c r="A12" i="7"/>
  <c r="H11" i="7"/>
  <c r="E11" i="7"/>
  <c r="D11" i="7"/>
  <c r="B11" i="7"/>
  <c r="A11" i="7"/>
  <c r="E10" i="7"/>
  <c r="D10" i="7"/>
  <c r="B10" i="7"/>
  <c r="A10" i="7"/>
  <c r="E9" i="7"/>
  <c r="D9" i="7"/>
  <c r="F8" i="7"/>
  <c r="B8" i="8" s="1"/>
  <c r="E8" i="7"/>
  <c r="D8" i="7"/>
  <c r="H7" i="7"/>
  <c r="B6" i="9" s="1"/>
  <c r="F7" i="7"/>
  <c r="B6" i="8" s="1"/>
  <c r="E7" i="7"/>
  <c r="D7" i="7"/>
  <c r="E6" i="7"/>
  <c r="D6" i="7"/>
  <c r="B6" i="7"/>
  <c r="E5" i="7"/>
  <c r="D5" i="7"/>
  <c r="B5" i="7"/>
  <c r="B4" i="7"/>
  <c r="E84" i="6"/>
  <c r="H36" i="7" s="1"/>
  <c r="B48" i="9" s="1"/>
  <c r="C84" i="6"/>
  <c r="F36" i="7" s="1"/>
  <c r="B48" i="8" s="1"/>
  <c r="E83" i="6"/>
  <c r="C83" i="6"/>
  <c r="E82" i="6"/>
  <c r="D82" i="6"/>
  <c r="G34" i="7" s="1"/>
  <c r="C82" i="6"/>
  <c r="F34" i="7" s="1"/>
  <c r="B46" i="8" s="1"/>
  <c r="E81" i="6"/>
  <c r="C81" i="6"/>
  <c r="F33" i="7" s="1"/>
  <c r="B45" i="8" s="1"/>
  <c r="E80" i="6"/>
  <c r="C80" i="6"/>
  <c r="E79" i="6"/>
  <c r="C79" i="6"/>
  <c r="F31" i="7" s="1"/>
  <c r="E78" i="6"/>
  <c r="D78" i="6"/>
  <c r="G30" i="7" s="1"/>
  <c r="C78" i="6"/>
  <c r="F30" i="7" s="1"/>
  <c r="B40" i="8" s="1"/>
  <c r="E77" i="6"/>
  <c r="C77" i="6"/>
  <c r="B77" i="6"/>
  <c r="E76" i="6"/>
  <c r="H28" i="7" s="1"/>
  <c r="B38" i="9" s="1"/>
  <c r="C76" i="6"/>
  <c r="F28" i="7" s="1"/>
  <c r="B38" i="8" s="1"/>
  <c r="BD38" i="8" s="1"/>
  <c r="B76" i="6"/>
  <c r="E75" i="6"/>
  <c r="C75" i="6"/>
  <c r="F27" i="7" s="1"/>
  <c r="B75" i="6"/>
  <c r="E74" i="6"/>
  <c r="H26" i="7" s="1"/>
  <c r="B36" i="9" s="1"/>
  <c r="C74" i="6"/>
  <c r="F26" i="7" s="1"/>
  <c r="B36" i="8" s="1"/>
  <c r="B74" i="6"/>
  <c r="E73" i="6"/>
  <c r="C73" i="6"/>
  <c r="B73" i="6"/>
  <c r="E72" i="6"/>
  <c r="D72" i="6"/>
  <c r="G24" i="7" s="1"/>
  <c r="C72" i="6"/>
  <c r="F24" i="7" s="1"/>
  <c r="B34" i="8" s="1"/>
  <c r="B72" i="6"/>
  <c r="E71" i="6"/>
  <c r="H23" i="7" s="1"/>
  <c r="B33" i="9" s="1"/>
  <c r="C71" i="6"/>
  <c r="B71" i="6"/>
  <c r="E70" i="6"/>
  <c r="H22" i="7" s="1"/>
  <c r="B32" i="9" s="1"/>
  <c r="C70" i="6"/>
  <c r="B70" i="6"/>
  <c r="E69" i="6"/>
  <c r="H21" i="7" s="1"/>
  <c r="B31" i="9" s="1"/>
  <c r="C69" i="6"/>
  <c r="F21" i="7" s="1"/>
  <c r="B31" i="8" s="1"/>
  <c r="B69" i="6"/>
  <c r="E68" i="6"/>
  <c r="H20" i="7" s="1"/>
  <c r="B30" i="9" s="1"/>
  <c r="BA30" i="9" s="1"/>
  <c r="C68" i="6"/>
  <c r="B68" i="6"/>
  <c r="E67" i="6"/>
  <c r="C67" i="6"/>
  <c r="B67" i="6"/>
  <c r="E66" i="6"/>
  <c r="C66" i="6"/>
  <c r="B66" i="6"/>
  <c r="E65" i="6"/>
  <c r="C65" i="6"/>
  <c r="B65" i="6"/>
  <c r="E64" i="6"/>
  <c r="H16" i="7" s="1"/>
  <c r="C64" i="6"/>
  <c r="F16" i="7" s="1"/>
  <c r="B23" i="8" s="1"/>
  <c r="B64" i="6"/>
  <c r="E63" i="6"/>
  <c r="C63" i="6"/>
  <c r="D63" i="6" s="1"/>
  <c r="G15" i="7" s="1"/>
  <c r="B63" i="6"/>
  <c r="E62" i="6"/>
  <c r="C62" i="6"/>
  <c r="F14" i="7" s="1"/>
  <c r="B20" i="8" s="1"/>
  <c r="B62" i="6"/>
  <c r="E61" i="6"/>
  <c r="C61" i="6"/>
  <c r="F13" i="7" s="1"/>
  <c r="B19" i="8" s="1"/>
  <c r="B61" i="6"/>
  <c r="E60" i="6"/>
  <c r="D60" i="6"/>
  <c r="G12" i="7" s="1"/>
  <c r="C60" i="6"/>
  <c r="B60" i="6"/>
  <c r="E59" i="6"/>
  <c r="F59" i="6" s="1"/>
  <c r="I11" i="7" s="1"/>
  <c r="C59" i="6"/>
  <c r="B59" i="6"/>
  <c r="E58" i="6"/>
  <c r="H10" i="7" s="1"/>
  <c r="B13" i="9" s="1"/>
  <c r="C58" i="6"/>
  <c r="F10" i="7" s="1"/>
  <c r="B13" i="8" s="1"/>
  <c r="B58" i="6"/>
  <c r="E57" i="6"/>
  <c r="C57" i="6"/>
  <c r="B57" i="6"/>
  <c r="E56" i="6"/>
  <c r="H8" i="7" s="1"/>
  <c r="B8" i="9" s="1"/>
  <c r="O8" i="9" s="1"/>
  <c r="C56" i="6"/>
  <c r="B56" i="6"/>
  <c r="E55" i="6"/>
  <c r="C55" i="6"/>
  <c r="B55" i="6"/>
  <c r="B85" i="6" s="1"/>
  <c r="E54" i="6"/>
  <c r="H6" i="7" s="1"/>
  <c r="B4" i="9" s="1"/>
  <c r="C54" i="6"/>
  <c r="B54" i="6"/>
  <c r="E53" i="6"/>
  <c r="C53" i="6"/>
  <c r="F5" i="7" s="1"/>
  <c r="B3" i="8" s="1"/>
  <c r="B53" i="6"/>
  <c r="H42" i="6"/>
  <c r="I41" i="6"/>
  <c r="G41" i="6"/>
  <c r="F41" i="6"/>
  <c r="I40" i="6"/>
  <c r="G40" i="6"/>
  <c r="F40" i="6"/>
  <c r="I39" i="6"/>
  <c r="G39" i="6"/>
  <c r="F39" i="6"/>
  <c r="I38" i="6"/>
  <c r="G38" i="6"/>
  <c r="F38" i="6"/>
  <c r="I37" i="6"/>
  <c r="G37" i="6"/>
  <c r="F37" i="6"/>
  <c r="I36" i="6"/>
  <c r="G36" i="6"/>
  <c r="F36" i="6"/>
  <c r="I35" i="6"/>
  <c r="G35" i="6"/>
  <c r="F35" i="6"/>
  <c r="I34" i="6"/>
  <c r="G34" i="6"/>
  <c r="F34" i="6"/>
  <c r="I33" i="6"/>
  <c r="G33" i="6"/>
  <c r="F33" i="6"/>
  <c r="I32" i="6"/>
  <c r="G32" i="6"/>
  <c r="F32" i="6"/>
  <c r="I31" i="6"/>
  <c r="G31" i="6"/>
  <c r="F31" i="6"/>
  <c r="I30" i="6"/>
  <c r="G30" i="6"/>
  <c r="F30" i="6"/>
  <c r="J29" i="6"/>
  <c r="L29" i="6" s="1"/>
  <c r="I29" i="6"/>
  <c r="G29" i="6"/>
  <c r="F29" i="6"/>
  <c r="I28" i="6"/>
  <c r="G28" i="6"/>
  <c r="F28" i="6"/>
  <c r="K27" i="6"/>
  <c r="M27" i="6" s="1"/>
  <c r="I27" i="6"/>
  <c r="G27" i="6"/>
  <c r="F27" i="6"/>
  <c r="I26" i="6"/>
  <c r="G26" i="6"/>
  <c r="F26" i="6"/>
  <c r="I25" i="6"/>
  <c r="G25" i="6"/>
  <c r="F25" i="6"/>
  <c r="I24" i="6"/>
  <c r="G24" i="6"/>
  <c r="F24" i="6"/>
  <c r="I23" i="6"/>
  <c r="G23" i="6"/>
  <c r="F23" i="6"/>
  <c r="J22" i="6"/>
  <c r="L22" i="6" s="1"/>
  <c r="I22" i="6"/>
  <c r="G22" i="6"/>
  <c r="F22" i="6"/>
  <c r="I21" i="6"/>
  <c r="G21" i="6"/>
  <c r="F21" i="6"/>
  <c r="K20" i="6"/>
  <c r="M20" i="6" s="1"/>
  <c r="I20" i="6"/>
  <c r="G20" i="6"/>
  <c r="F20" i="6"/>
  <c r="I19" i="6"/>
  <c r="G19" i="6"/>
  <c r="F19" i="6"/>
  <c r="I18" i="6"/>
  <c r="G18" i="6"/>
  <c r="F18" i="6"/>
  <c r="I17" i="6"/>
  <c r="G17" i="6"/>
  <c r="F17" i="6"/>
  <c r="I16" i="6"/>
  <c r="G16" i="6"/>
  <c r="F16" i="6"/>
  <c r="K15" i="6"/>
  <c r="M15" i="6" s="1"/>
  <c r="J15" i="6"/>
  <c r="L15" i="6" s="1"/>
  <c r="I15" i="6"/>
  <c r="G15" i="6"/>
  <c r="F15" i="6"/>
  <c r="I14" i="6"/>
  <c r="G14" i="6"/>
  <c r="F14" i="6"/>
  <c r="I13" i="6"/>
  <c r="G13" i="6"/>
  <c r="F13" i="6"/>
  <c r="B13" i="6"/>
  <c r="I12" i="6"/>
  <c r="G12" i="6"/>
  <c r="F12" i="6"/>
  <c r="I11" i="6"/>
  <c r="G11" i="6"/>
  <c r="F11" i="6"/>
  <c r="K10" i="6"/>
  <c r="J10" i="6"/>
  <c r="I10" i="6"/>
  <c r="G10" i="6"/>
  <c r="F10" i="6"/>
  <c r="B5" i="6"/>
  <c r="K21" i="6" s="1"/>
  <c r="M21" i="6" s="1"/>
  <c r="B4" i="6"/>
  <c r="B3" i="6"/>
  <c r="C188" i="5"/>
  <c r="C185" i="5"/>
  <c r="A181" i="5"/>
  <c r="A182" i="5" s="1"/>
  <c r="A183" i="5" s="1"/>
  <c r="A184" i="5" s="1"/>
  <c r="A175" i="5"/>
  <c r="A176" i="5" s="1"/>
  <c r="A177" i="5" s="1"/>
  <c r="A178" i="5" s="1"/>
  <c r="A179" i="5" s="1"/>
  <c r="A180" i="5" s="1"/>
  <c r="A174" i="5"/>
  <c r="C169" i="5"/>
  <c r="Q51" i="5"/>
  <c r="Q50" i="5"/>
  <c r="Q52" i="5" s="1"/>
  <c r="I32" i="5"/>
  <c r="G34" i="5" s="1"/>
  <c r="G37" i="5" s="1"/>
  <c r="I31" i="5"/>
  <c r="M25" i="5" s="1"/>
  <c r="I30" i="5"/>
  <c r="I29" i="5"/>
  <c r="I28" i="5"/>
  <c r="I27" i="5"/>
  <c r="I26" i="5"/>
  <c r="I25" i="5"/>
  <c r="I24" i="5"/>
  <c r="M24" i="5" s="1"/>
  <c r="M26" i="5" s="1"/>
  <c r="G35" i="5" s="1"/>
  <c r="I15" i="5"/>
  <c r="I14" i="5"/>
  <c r="I13" i="5"/>
  <c r="I12" i="5"/>
  <c r="I11" i="5"/>
  <c r="I10" i="5"/>
  <c r="I9" i="5"/>
  <c r="I8" i="5"/>
  <c r="I7" i="5"/>
  <c r="I6" i="5"/>
  <c r="I5" i="5"/>
  <c r="I4" i="5"/>
  <c r="I16" i="5" s="1"/>
  <c r="G19" i="5" s="1"/>
  <c r="I3" i="5"/>
  <c r="G32" i="4"/>
  <c r="G33" i="4" s="1"/>
  <c r="G34" i="4" s="1"/>
  <c r="G35" i="4" s="1"/>
  <c r="G36" i="4" s="1"/>
  <c r="G37" i="4" s="1"/>
  <c r="G38" i="4" s="1"/>
  <c r="G39" i="4" s="1"/>
  <c r="G40" i="4" s="1"/>
  <c r="G41" i="4" s="1"/>
  <c r="G31" i="4"/>
  <c r="G30" i="4"/>
  <c r="A29" i="4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B12" i="4"/>
  <c r="B11" i="4"/>
  <c r="B10" i="4"/>
  <c r="B9" i="4"/>
  <c r="B8" i="4"/>
  <c r="B3" i="4"/>
  <c r="B2" i="4"/>
  <c r="AO33" i="3"/>
  <c r="AP33" i="3" s="1"/>
  <c r="AQ33" i="3" s="1"/>
  <c r="AR33" i="3" s="1"/>
  <c r="AS33" i="3" s="1"/>
  <c r="AT33" i="3" s="1"/>
  <c r="AU33" i="3" s="1"/>
  <c r="AV33" i="3" s="1"/>
  <c r="AW33" i="3" s="1"/>
  <c r="AX33" i="3" s="1"/>
  <c r="AY33" i="3" s="1"/>
  <c r="AZ33" i="3" s="1"/>
  <c r="BA33" i="3" s="1"/>
  <c r="BB33" i="3" s="1"/>
  <c r="BC33" i="3" s="1"/>
  <c r="BD33" i="3" s="1"/>
  <c r="BE33" i="3" s="1"/>
  <c r="BF33" i="3" s="1"/>
  <c r="BG33" i="3" s="1"/>
  <c r="BH33" i="3" s="1"/>
  <c r="BI33" i="3" s="1"/>
  <c r="BJ33" i="3" s="1"/>
  <c r="AN33" i="3"/>
  <c r="AL33" i="3"/>
  <c r="AM33" i="3" s="1"/>
  <c r="AK33" i="3"/>
  <c r="AQ32" i="3"/>
  <c r="AR32" i="3" s="1"/>
  <c r="AS32" i="3" s="1"/>
  <c r="AT32" i="3" s="1"/>
  <c r="AU32" i="3" s="1"/>
  <c r="AV32" i="3" s="1"/>
  <c r="AW32" i="3" s="1"/>
  <c r="AX32" i="3" s="1"/>
  <c r="AY32" i="3" s="1"/>
  <c r="AZ32" i="3" s="1"/>
  <c r="BA32" i="3" s="1"/>
  <c r="BB32" i="3" s="1"/>
  <c r="BC32" i="3" s="1"/>
  <c r="BD32" i="3" s="1"/>
  <c r="BE32" i="3" s="1"/>
  <c r="BF32" i="3" s="1"/>
  <c r="BG32" i="3" s="1"/>
  <c r="BH32" i="3" s="1"/>
  <c r="BI32" i="3" s="1"/>
  <c r="BJ32" i="3" s="1"/>
  <c r="AP32" i="3"/>
  <c r="AL32" i="3"/>
  <c r="AM32" i="3" s="1"/>
  <c r="AN32" i="3" s="1"/>
  <c r="AO32" i="3" s="1"/>
  <c r="B13" i="2"/>
  <c r="C4" i="2"/>
  <c r="C3" i="2"/>
  <c r="C2" i="2"/>
  <c r="B25" i="1" l="1"/>
  <c r="G38" i="5"/>
  <c r="G39" i="5" s="1"/>
  <c r="BB3" i="8"/>
  <c r="AP3" i="8"/>
  <c r="AD3" i="8"/>
  <c r="R3" i="8"/>
  <c r="F3" i="8"/>
  <c r="BA3" i="8"/>
  <c r="AO3" i="8"/>
  <c r="AC3" i="8"/>
  <c r="Q3" i="8"/>
  <c r="E3" i="8"/>
  <c r="AZ3" i="8"/>
  <c r="AN3" i="8"/>
  <c r="AB3" i="8"/>
  <c r="P3" i="8"/>
  <c r="D3" i="8"/>
  <c r="AY3" i="8"/>
  <c r="AM3" i="8"/>
  <c r="AA3" i="8"/>
  <c r="O3" i="8"/>
  <c r="C3" i="8"/>
  <c r="BJ3" i="8"/>
  <c r="AX3" i="8"/>
  <c r="AL3" i="8"/>
  <c r="Z3" i="8"/>
  <c r="N3" i="8"/>
  <c r="BI3" i="8"/>
  <c r="AW3" i="8"/>
  <c r="AK3" i="8"/>
  <c r="Y3" i="8"/>
  <c r="M3" i="8"/>
  <c r="BH3" i="8"/>
  <c r="AV3" i="8"/>
  <c r="AJ3" i="8"/>
  <c r="X3" i="8"/>
  <c r="L3" i="8"/>
  <c r="BG3" i="8"/>
  <c r="AU3" i="8"/>
  <c r="AI3" i="8"/>
  <c r="W3" i="8"/>
  <c r="K3" i="8"/>
  <c r="BF3" i="8"/>
  <c r="AT3" i="8"/>
  <c r="AH3" i="8"/>
  <c r="V3" i="8"/>
  <c r="J3" i="8"/>
  <c r="BE3" i="8"/>
  <c r="AS3" i="8"/>
  <c r="AG3" i="8"/>
  <c r="U3" i="8"/>
  <c r="I3" i="8"/>
  <c r="BD3" i="8"/>
  <c r="BC3" i="8"/>
  <c r="AR3" i="8"/>
  <c r="AQ3" i="8"/>
  <c r="AF3" i="8"/>
  <c r="AE3" i="8"/>
  <c r="T3" i="8"/>
  <c r="S3" i="8"/>
  <c r="H3" i="8"/>
  <c r="G3" i="8"/>
  <c r="F9" i="7"/>
  <c r="B9" i="8" s="1"/>
  <c r="D57" i="6"/>
  <c r="G9" i="7" s="1"/>
  <c r="C31" i="9"/>
  <c r="E31" i="9"/>
  <c r="D31" i="9"/>
  <c r="F6" i="7"/>
  <c r="B4" i="8" s="1"/>
  <c r="C85" i="6"/>
  <c r="F37" i="7" s="1"/>
  <c r="D54" i="6"/>
  <c r="G6" i="7" s="1"/>
  <c r="F18" i="7"/>
  <c r="D66" i="6"/>
  <c r="G18" i="7" s="1"/>
  <c r="BJ40" i="8"/>
  <c r="AX40" i="8"/>
  <c r="AL40" i="8"/>
  <c r="Z40" i="8"/>
  <c r="BI40" i="8"/>
  <c r="AW40" i="8"/>
  <c r="AK40" i="8"/>
  <c r="Y40" i="8"/>
  <c r="BH40" i="8"/>
  <c r="AV40" i="8"/>
  <c r="AJ40" i="8"/>
  <c r="X40" i="8"/>
  <c r="BA40" i="8"/>
  <c r="AI40" i="8"/>
  <c r="T40" i="8"/>
  <c r="AZ40" i="8"/>
  <c r="AH40" i="8"/>
  <c r="S40" i="8"/>
  <c r="AY40" i="8"/>
  <c r="AG40" i="8"/>
  <c r="R40" i="8"/>
  <c r="AU40" i="8"/>
  <c r="AF40" i="8"/>
  <c r="Q40" i="8"/>
  <c r="AT40" i="8"/>
  <c r="AE40" i="8"/>
  <c r="P40" i="8"/>
  <c r="AS40" i="8"/>
  <c r="AD40" i="8"/>
  <c r="O40" i="8"/>
  <c r="BG40" i="8"/>
  <c r="AR40" i="8"/>
  <c r="AC40" i="8"/>
  <c r="BF40" i="8"/>
  <c r="AQ40" i="8"/>
  <c r="AB40" i="8"/>
  <c r="BE40" i="8"/>
  <c r="AP40" i="8"/>
  <c r="AA40" i="8"/>
  <c r="BD40" i="8"/>
  <c r="AO40" i="8"/>
  <c r="W40" i="8"/>
  <c r="BC40" i="8"/>
  <c r="AN40" i="8"/>
  <c r="V40" i="8"/>
  <c r="BB40" i="8"/>
  <c r="AM40" i="8"/>
  <c r="U40" i="8"/>
  <c r="L10" i="6"/>
  <c r="B7" i="8"/>
  <c r="C7" i="8" s="1"/>
  <c r="D7" i="8" s="1"/>
  <c r="C6" i="8"/>
  <c r="D6" i="8" s="1"/>
  <c r="M10" i="6"/>
  <c r="L48" i="9"/>
  <c r="K48" i="9"/>
  <c r="J48" i="9"/>
  <c r="H34" i="8"/>
  <c r="G34" i="8"/>
  <c r="F34" i="8"/>
  <c r="H56" i="8"/>
  <c r="E34" i="8"/>
  <c r="J56" i="8"/>
  <c r="N34" i="8"/>
  <c r="I34" i="8"/>
  <c r="I56" i="8"/>
  <c r="D20" i="9"/>
  <c r="C20" i="9"/>
  <c r="E20" i="9"/>
  <c r="I37" i="8"/>
  <c r="H37" i="8"/>
  <c r="G37" i="8"/>
  <c r="N37" i="8" s="1"/>
  <c r="F37" i="8"/>
  <c r="E31" i="8"/>
  <c r="D31" i="8"/>
  <c r="H34" i="7"/>
  <c r="B46" i="9" s="1"/>
  <c r="F82" i="6"/>
  <c r="I34" i="7" s="1"/>
  <c r="B7" i="9"/>
  <c r="C7" i="9" s="1"/>
  <c r="D7" i="9" s="1"/>
  <c r="C6" i="9"/>
  <c r="D6" i="9" s="1"/>
  <c r="H17" i="8"/>
  <c r="G17" i="8"/>
  <c r="E17" i="8"/>
  <c r="D17" i="8"/>
  <c r="C17" i="8"/>
  <c r="B18" i="8"/>
  <c r="M17" i="8"/>
  <c r="L17" i="8"/>
  <c r="W38" i="8"/>
  <c r="J12" i="6"/>
  <c r="L12" i="6" s="1"/>
  <c r="J17" i="6"/>
  <c r="L17" i="6" s="1"/>
  <c r="K22" i="6"/>
  <c r="M22" i="6" s="1"/>
  <c r="D69" i="6"/>
  <c r="G21" i="7" s="1"/>
  <c r="F78" i="6"/>
  <c r="I30" i="7" s="1"/>
  <c r="D83" i="6"/>
  <c r="G35" i="7" s="1"/>
  <c r="F35" i="7"/>
  <c r="B47" i="8" s="1"/>
  <c r="E37" i="7"/>
  <c r="B18" i="9"/>
  <c r="B17" i="9"/>
  <c r="AO38" i="8"/>
  <c r="K12" i="6"/>
  <c r="M12" i="6" s="1"/>
  <c r="K17" i="6"/>
  <c r="M17" i="6" s="1"/>
  <c r="J24" i="6"/>
  <c r="L24" i="6" s="1"/>
  <c r="J41" i="6"/>
  <c r="L41" i="6" s="1"/>
  <c r="B5" i="9"/>
  <c r="C5" i="9" s="1"/>
  <c r="D5" i="9" s="1"/>
  <c r="D4" i="9"/>
  <c r="C4" i="9"/>
  <c r="F57" i="6"/>
  <c r="I9" i="7" s="1"/>
  <c r="F63" i="6"/>
  <c r="I15" i="7" s="1"/>
  <c r="F69" i="6"/>
  <c r="I21" i="7" s="1"/>
  <c r="F75" i="6"/>
  <c r="I27" i="7" s="1"/>
  <c r="B42" i="8"/>
  <c r="B41" i="8"/>
  <c r="F83" i="6"/>
  <c r="I35" i="7" s="1"/>
  <c r="B4" i="4"/>
  <c r="C2" i="4" s="1"/>
  <c r="J19" i="6"/>
  <c r="L19" i="6" s="1"/>
  <c r="K24" i="6"/>
  <c r="M24" i="6" s="1"/>
  <c r="J32" i="6"/>
  <c r="L32" i="6" s="1"/>
  <c r="K34" i="6"/>
  <c r="M34" i="6" s="1"/>
  <c r="J39" i="6"/>
  <c r="L39" i="6" s="1"/>
  <c r="F54" i="6"/>
  <c r="I6" i="7" s="1"/>
  <c r="E19" i="8"/>
  <c r="D19" i="8"/>
  <c r="C19" i="8"/>
  <c r="F66" i="6"/>
  <c r="I18" i="7" s="1"/>
  <c r="D79" i="6"/>
  <c r="G31" i="7" s="1"/>
  <c r="L48" i="8"/>
  <c r="K48" i="8"/>
  <c r="J48" i="8"/>
  <c r="J14" i="6"/>
  <c r="L14" i="6" s="1"/>
  <c r="K19" i="6"/>
  <c r="M19" i="6" s="1"/>
  <c r="K26" i="6"/>
  <c r="M26" i="6" s="1"/>
  <c r="J28" i="6"/>
  <c r="L28" i="6" s="1"/>
  <c r="J30" i="6"/>
  <c r="L30" i="6" s="1"/>
  <c r="K32" i="6"/>
  <c r="M32" i="6" s="1"/>
  <c r="J37" i="6"/>
  <c r="L37" i="6" s="1"/>
  <c r="B14" i="8"/>
  <c r="E13" i="8"/>
  <c r="D13" i="8"/>
  <c r="C13" i="8"/>
  <c r="D61" i="6"/>
  <c r="G13" i="7" s="1"/>
  <c r="BE23" i="8"/>
  <c r="AS23" i="8"/>
  <c r="AG23" i="8"/>
  <c r="U23" i="8"/>
  <c r="BD23" i="8"/>
  <c r="AR23" i="8"/>
  <c r="AF23" i="8"/>
  <c r="T23" i="8"/>
  <c r="BC23" i="8"/>
  <c r="AQ23" i="8"/>
  <c r="AE23" i="8"/>
  <c r="S23" i="8"/>
  <c r="AY23" i="8"/>
  <c r="AJ23" i="8"/>
  <c r="R23" i="8"/>
  <c r="AX23" i="8"/>
  <c r="AI23" i="8"/>
  <c r="Q23" i="8"/>
  <c r="AW23" i="8"/>
  <c r="AH23" i="8"/>
  <c r="P23" i="8"/>
  <c r="B24" i="8"/>
  <c r="AV23" i="8"/>
  <c r="AD23" i="8"/>
  <c r="O23" i="8"/>
  <c r="BJ23" i="8"/>
  <c r="AU23" i="8"/>
  <c r="AC23" i="8"/>
  <c r="I23" i="8"/>
  <c r="BI23" i="8"/>
  <c r="AT23" i="8"/>
  <c r="AB23" i="8"/>
  <c r="H23" i="8"/>
  <c r="BH23" i="8"/>
  <c r="AP23" i="8"/>
  <c r="AA23" i="8"/>
  <c r="G23" i="8"/>
  <c r="BG23" i="8"/>
  <c r="AO23" i="8"/>
  <c r="Z23" i="8"/>
  <c r="F23" i="8"/>
  <c r="BF23" i="8"/>
  <c r="AN23" i="8"/>
  <c r="Y23" i="8"/>
  <c r="BB23" i="8"/>
  <c r="AM23" i="8"/>
  <c r="X23" i="8"/>
  <c r="BA23" i="8"/>
  <c r="AL23" i="8"/>
  <c r="W23" i="8"/>
  <c r="D73" i="6"/>
  <c r="G25" i="7" s="1"/>
  <c r="AZ38" i="8"/>
  <c r="AN38" i="8"/>
  <c r="AB38" i="8"/>
  <c r="P38" i="8"/>
  <c r="AY38" i="8"/>
  <c r="AM38" i="8"/>
  <c r="AA38" i="8"/>
  <c r="O38" i="8"/>
  <c r="BJ38" i="8"/>
  <c r="AX38" i="8"/>
  <c r="AL38" i="8"/>
  <c r="Z38" i="8"/>
  <c r="J57" i="8"/>
  <c r="BC38" i="8"/>
  <c r="AK38" i="8"/>
  <c r="V38" i="8"/>
  <c r="BB38" i="8"/>
  <c r="AJ38" i="8"/>
  <c r="U38" i="8"/>
  <c r="BA38" i="8"/>
  <c r="AI38" i="8"/>
  <c r="T38" i="8"/>
  <c r="AW38" i="8"/>
  <c r="AH38" i="8"/>
  <c r="S38" i="8"/>
  <c r="AV38" i="8"/>
  <c r="AG38" i="8"/>
  <c r="R38" i="8"/>
  <c r="AU38" i="8"/>
  <c r="AF38" i="8"/>
  <c r="Q38" i="8"/>
  <c r="BI38" i="8"/>
  <c r="AT38" i="8"/>
  <c r="AE38" i="8"/>
  <c r="BH38" i="8"/>
  <c r="AS38" i="8"/>
  <c r="AD38" i="8"/>
  <c r="I57" i="8"/>
  <c r="BG38" i="8"/>
  <c r="AR38" i="8"/>
  <c r="AC38" i="8"/>
  <c r="H57" i="8"/>
  <c r="BF38" i="8"/>
  <c r="AQ38" i="8"/>
  <c r="Y38" i="8"/>
  <c r="BE38" i="8"/>
  <c r="AP38" i="8"/>
  <c r="X38" i="8"/>
  <c r="H31" i="7"/>
  <c r="F79" i="6"/>
  <c r="I31" i="7" s="1"/>
  <c r="D84" i="6"/>
  <c r="G36" i="7" s="1"/>
  <c r="H8" i="8"/>
  <c r="G8" i="8"/>
  <c r="R8" i="8"/>
  <c r="F8" i="8"/>
  <c r="Q8" i="8"/>
  <c r="E8" i="8"/>
  <c r="P8" i="8"/>
  <c r="D8" i="8"/>
  <c r="O8" i="8"/>
  <c r="C8" i="8"/>
  <c r="N8" i="8"/>
  <c r="M8" i="8"/>
  <c r="L8" i="8"/>
  <c r="K8" i="8"/>
  <c r="G21" i="8"/>
  <c r="F21" i="8"/>
  <c r="B22" i="8"/>
  <c r="J17" i="8"/>
  <c r="B42" i="6"/>
  <c r="B13" i="7"/>
  <c r="K14" i="6"/>
  <c r="M14" i="6" s="1"/>
  <c r="J21" i="6"/>
  <c r="L21" i="6" s="1"/>
  <c r="K28" i="6"/>
  <c r="M28" i="6" s="1"/>
  <c r="K30" i="6"/>
  <c r="M30" i="6" s="1"/>
  <c r="K37" i="6"/>
  <c r="M37" i="6" s="1"/>
  <c r="D55" i="6"/>
  <c r="G7" i="7" s="1"/>
  <c r="B14" i="9"/>
  <c r="E13" i="9"/>
  <c r="C13" i="9"/>
  <c r="D13" i="9"/>
  <c r="H13" i="7"/>
  <c r="B19" i="9" s="1"/>
  <c r="F61" i="6"/>
  <c r="I13" i="7" s="1"/>
  <c r="D64" i="6"/>
  <c r="G16" i="7" s="1"/>
  <c r="F19" i="7"/>
  <c r="D67" i="6"/>
  <c r="G19" i="7" s="1"/>
  <c r="E32" i="9"/>
  <c r="D32" i="9"/>
  <c r="C32" i="9"/>
  <c r="H25" i="7"/>
  <c r="B35" i="9" s="1"/>
  <c r="F73" i="6"/>
  <c r="I25" i="7" s="1"/>
  <c r="D76" i="6"/>
  <c r="G28" i="7" s="1"/>
  <c r="D80" i="6"/>
  <c r="G32" i="7" s="1"/>
  <c r="F32" i="7"/>
  <c r="F84" i="6"/>
  <c r="I36" i="7" s="1"/>
  <c r="G34" i="9"/>
  <c r="F34" i="9"/>
  <c r="E34" i="9"/>
  <c r="J56" i="9"/>
  <c r="I56" i="9"/>
  <c r="H56" i="9"/>
  <c r="H34" i="9"/>
  <c r="N34" i="9"/>
  <c r="I34" i="9"/>
  <c r="K17" i="8"/>
  <c r="BF17" i="11"/>
  <c r="BF18" i="11" s="1"/>
  <c r="AT17" i="11"/>
  <c r="AT18" i="11" s="1"/>
  <c r="AH17" i="11"/>
  <c r="AH18" i="11" s="1"/>
  <c r="V17" i="11"/>
  <c r="V18" i="11" s="1"/>
  <c r="J17" i="11"/>
  <c r="J18" i="11" s="1"/>
  <c r="BC17" i="11"/>
  <c r="BC18" i="11" s="1"/>
  <c r="AQ17" i="11"/>
  <c r="AQ18" i="11" s="1"/>
  <c r="AE17" i="11"/>
  <c r="AE18" i="11" s="1"/>
  <c r="S17" i="11"/>
  <c r="S18" i="11" s="1"/>
  <c r="G17" i="11"/>
  <c r="G18" i="11" s="1"/>
  <c r="BB17" i="11"/>
  <c r="BB18" i="11" s="1"/>
  <c r="AP17" i="11"/>
  <c r="AP18" i="11" s="1"/>
  <c r="AD17" i="11"/>
  <c r="AD18" i="11" s="1"/>
  <c r="R17" i="11"/>
  <c r="R18" i="11" s="1"/>
  <c r="F17" i="11"/>
  <c r="F18" i="11" s="1"/>
  <c r="BD17" i="11"/>
  <c r="BD18" i="11" s="1"/>
  <c r="AM17" i="11"/>
  <c r="AM18" i="11" s="1"/>
  <c r="X17" i="11"/>
  <c r="X18" i="11" s="1"/>
  <c r="H17" i="11"/>
  <c r="H18" i="11" s="1"/>
  <c r="BA17" i="11"/>
  <c r="BA18" i="11" s="1"/>
  <c r="AL17" i="11"/>
  <c r="AL18" i="11" s="1"/>
  <c r="W17" i="11"/>
  <c r="W18" i="11" s="1"/>
  <c r="E17" i="11"/>
  <c r="E18" i="11" s="1"/>
  <c r="AZ17" i="11"/>
  <c r="AZ18" i="11" s="1"/>
  <c r="AK17" i="11"/>
  <c r="AK18" i="11" s="1"/>
  <c r="U17" i="11"/>
  <c r="U18" i="11" s="1"/>
  <c r="D17" i="11"/>
  <c r="D18" i="11" s="1"/>
  <c r="AY17" i="11"/>
  <c r="AY18" i="11" s="1"/>
  <c r="AJ17" i="11"/>
  <c r="AJ18" i="11" s="1"/>
  <c r="T17" i="11"/>
  <c r="T18" i="11" s="1"/>
  <c r="C17" i="11"/>
  <c r="C18" i="11" s="1"/>
  <c r="C19" i="11" s="1"/>
  <c r="AX17" i="11"/>
  <c r="AX18" i="11" s="1"/>
  <c r="AI17" i="11"/>
  <c r="AI18" i="11" s="1"/>
  <c r="Q17" i="11"/>
  <c r="Q18" i="11" s="1"/>
  <c r="AW17" i="11"/>
  <c r="AW18" i="11" s="1"/>
  <c r="AG17" i="11"/>
  <c r="AG18" i="11" s="1"/>
  <c r="P17" i="11"/>
  <c r="P18" i="11" s="1"/>
  <c r="AV17" i="11"/>
  <c r="AV18" i="11" s="1"/>
  <c r="AF17" i="11"/>
  <c r="AF18" i="11" s="1"/>
  <c r="O17" i="11"/>
  <c r="O18" i="11" s="1"/>
  <c r="BJ17" i="11"/>
  <c r="BJ18" i="11" s="1"/>
  <c r="AU17" i="11"/>
  <c r="AU18" i="11" s="1"/>
  <c r="AC17" i="11"/>
  <c r="AC18" i="11" s="1"/>
  <c r="N17" i="11"/>
  <c r="N18" i="11" s="1"/>
  <c r="BI17" i="11"/>
  <c r="BI18" i="11" s="1"/>
  <c r="AS17" i="11"/>
  <c r="AS18" i="11" s="1"/>
  <c r="AB17" i="11"/>
  <c r="AB18" i="11" s="1"/>
  <c r="M17" i="11"/>
  <c r="M18" i="11" s="1"/>
  <c r="BH17" i="11"/>
  <c r="BH18" i="11" s="1"/>
  <c r="AR17" i="11"/>
  <c r="AR18" i="11" s="1"/>
  <c r="AA17" i="11"/>
  <c r="AA18" i="11" s="1"/>
  <c r="L17" i="11"/>
  <c r="L18" i="11" s="1"/>
  <c r="BG17" i="11"/>
  <c r="BG18" i="11" s="1"/>
  <c r="AO17" i="11"/>
  <c r="AO18" i="11" s="1"/>
  <c r="Z17" i="11"/>
  <c r="Z18" i="11" s="1"/>
  <c r="K17" i="11"/>
  <c r="K18" i="11" s="1"/>
  <c r="Y17" i="11"/>
  <c r="Y18" i="11" s="1"/>
  <c r="I17" i="11"/>
  <c r="I18" i="11" s="1"/>
  <c r="BE17" i="11"/>
  <c r="BE18" i="11" s="1"/>
  <c r="AN17" i="11"/>
  <c r="AN18" i="11" s="1"/>
  <c r="J11" i="6"/>
  <c r="L11" i="6" s="1"/>
  <c r="J16" i="6"/>
  <c r="L16" i="6" s="1"/>
  <c r="F55" i="6"/>
  <c r="I7" i="7" s="1"/>
  <c r="B24" i="9"/>
  <c r="B23" i="9"/>
  <c r="H19" i="7"/>
  <c r="B29" i="9" s="1"/>
  <c r="F67" i="6"/>
  <c r="I19" i="7" s="1"/>
  <c r="BG38" i="9"/>
  <c r="AU38" i="9"/>
  <c r="AI38" i="9"/>
  <c r="W38" i="9"/>
  <c r="BF38" i="9"/>
  <c r="AT38" i="9"/>
  <c r="AH38" i="9"/>
  <c r="V38" i="9"/>
  <c r="J57" i="9"/>
  <c r="BE38" i="9"/>
  <c r="AS38" i="9"/>
  <c r="AG38" i="9"/>
  <c r="U38" i="9"/>
  <c r="I57" i="9"/>
  <c r="BD38" i="9"/>
  <c r="AR38" i="9"/>
  <c r="AF38" i="9"/>
  <c r="T38" i="9"/>
  <c r="H57" i="9"/>
  <c r="BA38" i="9"/>
  <c r="AO38" i="9"/>
  <c r="AC38" i="9"/>
  <c r="Q38" i="9"/>
  <c r="AZ38" i="9"/>
  <c r="AN38" i="9"/>
  <c r="AW38" i="9"/>
  <c r="Z38" i="9"/>
  <c r="AV38" i="9"/>
  <c r="Y38" i="9"/>
  <c r="AQ38" i="9"/>
  <c r="X38" i="9"/>
  <c r="AM38" i="9"/>
  <c r="R38" i="9"/>
  <c r="BI38" i="9"/>
  <c r="AK38" i="9"/>
  <c r="O38" i="9"/>
  <c r="BH38" i="9"/>
  <c r="AJ38" i="9"/>
  <c r="BB38" i="9"/>
  <c r="AD38" i="9"/>
  <c r="AY38" i="9"/>
  <c r="AB38" i="9"/>
  <c r="AX38" i="9"/>
  <c r="AP38" i="9"/>
  <c r="AL38" i="9"/>
  <c r="AE38" i="9"/>
  <c r="AA38" i="9"/>
  <c r="S38" i="9"/>
  <c r="P38" i="9"/>
  <c r="BJ38" i="9"/>
  <c r="F80" i="6"/>
  <c r="I32" i="7" s="1"/>
  <c r="I8" i="8"/>
  <c r="BC38" i="9"/>
  <c r="F70" i="6"/>
  <c r="I22" i="7" s="1"/>
  <c r="D68" i="6"/>
  <c r="G20" i="7" s="1"/>
  <c r="F58" i="6"/>
  <c r="I10" i="7" s="1"/>
  <c r="D56" i="6"/>
  <c r="G8" i="7" s="1"/>
  <c r="K38" i="6"/>
  <c r="M38" i="6" s="1"/>
  <c r="J33" i="6"/>
  <c r="L33" i="6" s="1"/>
  <c r="J38" i="6"/>
  <c r="L38" i="6" s="1"/>
  <c r="K31" i="6"/>
  <c r="M31" i="6" s="1"/>
  <c r="J26" i="6"/>
  <c r="L26" i="6" s="1"/>
  <c r="F72" i="6"/>
  <c r="I24" i="7" s="1"/>
  <c r="D70" i="6"/>
  <c r="G22" i="7" s="1"/>
  <c r="F60" i="6"/>
  <c r="I12" i="7" s="1"/>
  <c r="D58" i="6"/>
  <c r="G10" i="7" s="1"/>
  <c r="K36" i="6"/>
  <c r="M36" i="6" s="1"/>
  <c r="J31" i="6"/>
  <c r="L31" i="6" s="1"/>
  <c r="K41" i="6"/>
  <c r="M41" i="6" s="1"/>
  <c r="J36" i="6"/>
  <c r="L36" i="6" s="1"/>
  <c r="K29" i="6"/>
  <c r="M29" i="6" s="1"/>
  <c r="K39" i="6"/>
  <c r="M39" i="6" s="1"/>
  <c r="J34" i="6"/>
  <c r="L34" i="6" s="1"/>
  <c r="K35" i="6"/>
  <c r="M35" i="6" s="1"/>
  <c r="K11" i="6"/>
  <c r="M11" i="6" s="1"/>
  <c r="K16" i="6"/>
  <c r="M16" i="6" s="1"/>
  <c r="J23" i="6"/>
  <c r="L23" i="6" s="1"/>
  <c r="J35" i="6"/>
  <c r="L35" i="6" s="1"/>
  <c r="F11" i="7"/>
  <c r="B15" i="8" s="1"/>
  <c r="D59" i="6"/>
  <c r="G11" i="7" s="1"/>
  <c r="E20" i="8"/>
  <c r="D20" i="8"/>
  <c r="C20" i="8"/>
  <c r="F64" i="6"/>
  <c r="I16" i="7" s="1"/>
  <c r="F23" i="7"/>
  <c r="B33" i="8" s="1"/>
  <c r="D71" i="6"/>
  <c r="G23" i="7" s="1"/>
  <c r="G36" i="8"/>
  <c r="N36" i="8" s="1"/>
  <c r="F36" i="8"/>
  <c r="I36" i="8"/>
  <c r="H36" i="8"/>
  <c r="F76" i="6"/>
  <c r="I28" i="7" s="1"/>
  <c r="B16" i="9"/>
  <c r="B15" i="9"/>
  <c r="J8" i="8"/>
  <c r="J18" i="6"/>
  <c r="L18" i="6" s="1"/>
  <c r="K23" i="6"/>
  <c r="M23" i="6" s="1"/>
  <c r="J40" i="6"/>
  <c r="L40" i="6" s="1"/>
  <c r="D62" i="6"/>
  <c r="G14" i="7" s="1"/>
  <c r="N33" i="9"/>
  <c r="H33" i="9"/>
  <c r="F33" i="9"/>
  <c r="I33" i="9"/>
  <c r="G33" i="9"/>
  <c r="D74" i="6"/>
  <c r="G26" i="7" s="1"/>
  <c r="D81" i="6"/>
  <c r="G33" i="7" s="1"/>
  <c r="H9" i="7"/>
  <c r="B9" i="9" s="1"/>
  <c r="I37" i="9"/>
  <c r="H37" i="9"/>
  <c r="G37" i="9"/>
  <c r="N37" i="9" s="1"/>
  <c r="F37" i="9"/>
  <c r="H21" i="8"/>
  <c r="J13" i="6"/>
  <c r="L13" i="6" s="1"/>
  <c r="K18" i="6"/>
  <c r="M18" i="6" s="1"/>
  <c r="J25" i="6"/>
  <c r="L25" i="6" s="1"/>
  <c r="K33" i="6"/>
  <c r="M33" i="6" s="1"/>
  <c r="K40" i="6"/>
  <c r="M40" i="6" s="1"/>
  <c r="D53" i="6"/>
  <c r="K8" i="9"/>
  <c r="J8" i="9"/>
  <c r="I8" i="9"/>
  <c r="G8" i="9"/>
  <c r="Q8" i="9"/>
  <c r="E8" i="9"/>
  <c r="P8" i="9"/>
  <c r="D8" i="9"/>
  <c r="M8" i="9"/>
  <c r="N8" i="9"/>
  <c r="L8" i="9"/>
  <c r="H8" i="9"/>
  <c r="F8" i="9"/>
  <c r="C8" i="9"/>
  <c r="R8" i="9"/>
  <c r="D65" i="6"/>
  <c r="G17" i="7" s="1"/>
  <c r="F17" i="7"/>
  <c r="B25" i="8" s="1"/>
  <c r="BH30" i="9"/>
  <c r="AV30" i="9"/>
  <c r="AJ30" i="9"/>
  <c r="X30" i="9"/>
  <c r="H30" i="9"/>
  <c r="BG30" i="9"/>
  <c r="AU30" i="9"/>
  <c r="AI30" i="9"/>
  <c r="W30" i="9"/>
  <c r="G30" i="9"/>
  <c r="BF30" i="9"/>
  <c r="AT30" i="9"/>
  <c r="AH30" i="9"/>
  <c r="V30" i="9"/>
  <c r="F30" i="9"/>
  <c r="BE30" i="9"/>
  <c r="AS30" i="9"/>
  <c r="AG30" i="9"/>
  <c r="U30" i="9"/>
  <c r="AW30" i="9"/>
  <c r="AC30" i="9"/>
  <c r="I30" i="9"/>
  <c r="AR30" i="9"/>
  <c r="AB30" i="9"/>
  <c r="AQ30" i="9"/>
  <c r="AA30" i="9"/>
  <c r="BI30" i="9"/>
  <c r="AO30" i="9"/>
  <c r="Y30" i="9"/>
  <c r="BC30" i="9"/>
  <c r="AM30" i="9"/>
  <c r="S30" i="9"/>
  <c r="BB30" i="9"/>
  <c r="AL30" i="9"/>
  <c r="R30" i="9"/>
  <c r="AY30" i="9"/>
  <c r="AE30" i="9"/>
  <c r="O30" i="9"/>
  <c r="AZ30" i="9"/>
  <c r="AX30" i="9"/>
  <c r="AP30" i="9"/>
  <c r="AN30" i="9"/>
  <c r="AK30" i="9"/>
  <c r="AF30" i="9"/>
  <c r="AD30" i="9"/>
  <c r="Z30" i="9"/>
  <c r="T30" i="9"/>
  <c r="BJ30" i="9"/>
  <c r="Q30" i="9"/>
  <c r="BD30" i="9"/>
  <c r="P30" i="9"/>
  <c r="F71" i="6"/>
  <c r="I23" i="7" s="1"/>
  <c r="I36" i="9"/>
  <c r="H36" i="9"/>
  <c r="G36" i="9"/>
  <c r="N36" i="9" s="1"/>
  <c r="F36" i="9"/>
  <c r="D77" i="6"/>
  <c r="G29" i="7" s="1"/>
  <c r="F29" i="7"/>
  <c r="B39" i="8" s="1"/>
  <c r="F81" i="6"/>
  <c r="I33" i="7" s="1"/>
  <c r="V23" i="8"/>
  <c r="C31" i="8"/>
  <c r="K13" i="6"/>
  <c r="M13" i="6" s="1"/>
  <c r="J20" i="6"/>
  <c r="L20" i="6" s="1"/>
  <c r="K25" i="6"/>
  <c r="M25" i="6" s="1"/>
  <c r="J27" i="6"/>
  <c r="L27" i="6" s="1"/>
  <c r="F53" i="6"/>
  <c r="F56" i="6"/>
  <c r="I8" i="7" s="1"/>
  <c r="F62" i="6"/>
  <c r="I14" i="7" s="1"/>
  <c r="F65" i="6"/>
  <c r="I17" i="7" s="1"/>
  <c r="F68" i="6"/>
  <c r="I20" i="7" s="1"/>
  <c r="F74" i="6"/>
  <c r="I26" i="7" s="1"/>
  <c r="F77" i="6"/>
  <c r="I29" i="7" s="1"/>
  <c r="AY47" i="8"/>
  <c r="O47" i="8"/>
  <c r="AP46" i="8"/>
  <c r="AV47" i="8"/>
  <c r="AM46" i="8"/>
  <c r="AS47" i="8"/>
  <c r="AJ46" i="8"/>
  <c r="AP47" i="8"/>
  <c r="BH46" i="8"/>
  <c r="O46" i="8"/>
  <c r="AM47" i="8"/>
  <c r="BE46" i="8"/>
  <c r="AJ47" i="8"/>
  <c r="BB46" i="8"/>
  <c r="AG47" i="8"/>
  <c r="AY46" i="8"/>
  <c r="AD47" i="8"/>
  <c r="AV46" i="8"/>
  <c r="AA47" i="8"/>
  <c r="AS46" i="8"/>
  <c r="X47" i="8"/>
  <c r="AG46" i="8"/>
  <c r="U47" i="8"/>
  <c r="AD46" i="8"/>
  <c r="R47" i="8"/>
  <c r="AA46" i="8"/>
  <c r="BH47" i="8"/>
  <c r="X46" i="8"/>
  <c r="BE47" i="8"/>
  <c r="U46" i="8"/>
  <c r="BC27" i="9"/>
  <c r="AQ27" i="9"/>
  <c r="AE27" i="9"/>
  <c r="S27" i="9"/>
  <c r="BB27" i="9"/>
  <c r="AP27" i="9"/>
  <c r="AD27" i="9"/>
  <c r="R27" i="9"/>
  <c r="BA27" i="9"/>
  <c r="AO27" i="9"/>
  <c r="AC27" i="9"/>
  <c r="B28" i="9"/>
  <c r="AZ27" i="9"/>
  <c r="AN27" i="9"/>
  <c r="AB27" i="9"/>
  <c r="P27" i="9"/>
  <c r="BH27" i="9"/>
  <c r="AR27" i="9"/>
  <c r="X27" i="9"/>
  <c r="BG27" i="9"/>
  <c r="AM27" i="9"/>
  <c r="W27" i="9"/>
  <c r="BF27" i="9"/>
  <c r="AL27" i="9"/>
  <c r="V27" i="9"/>
  <c r="BD27" i="9"/>
  <c r="AJ27" i="9"/>
  <c r="T27" i="9"/>
  <c r="AX27" i="9"/>
  <c r="AH27" i="9"/>
  <c r="O27" i="9"/>
  <c r="AW27" i="9"/>
  <c r="AG27" i="9"/>
  <c r="I27" i="9"/>
  <c r="BJ27" i="9"/>
  <c r="AT27" i="9"/>
  <c r="Z27" i="9"/>
  <c r="F27" i="9"/>
  <c r="AK27" i="9"/>
  <c r="AI27" i="9"/>
  <c r="AF27" i="9"/>
  <c r="AA27" i="9"/>
  <c r="Y27" i="9"/>
  <c r="U27" i="9"/>
  <c r="BI27" i="9"/>
  <c r="Q27" i="9"/>
  <c r="BE27" i="9"/>
  <c r="H27" i="9"/>
  <c r="AY27" i="9"/>
  <c r="G27" i="9"/>
  <c r="AV27" i="9"/>
  <c r="AU27" i="9"/>
  <c r="N35" i="8"/>
  <c r="I35" i="8"/>
  <c r="H35" i="8"/>
  <c r="G35" i="8"/>
  <c r="F35" i="8"/>
  <c r="E35" i="8"/>
  <c r="H30" i="7"/>
  <c r="B40" i="9" s="1"/>
  <c r="AK23" i="8"/>
  <c r="H5" i="7"/>
  <c r="B3" i="9" s="1"/>
  <c r="Q30" i="8"/>
  <c r="AI30" i="8"/>
  <c r="BE30" i="8"/>
  <c r="AS30" i="8"/>
  <c r="AG30" i="8"/>
  <c r="U30" i="8"/>
  <c r="BD30" i="8"/>
  <c r="AR30" i="8"/>
  <c r="AF30" i="8"/>
  <c r="T30" i="8"/>
  <c r="BC30" i="8"/>
  <c r="AQ30" i="8"/>
  <c r="AE30" i="8"/>
  <c r="S30" i="8"/>
  <c r="R30" i="8"/>
  <c r="AJ30" i="8"/>
  <c r="AY30" i="8"/>
  <c r="V30" i="8"/>
  <c r="AK30" i="8"/>
  <c r="AZ30" i="8"/>
  <c r="H29" i="7"/>
  <c r="B39" i="9" s="1"/>
  <c r="H32" i="7"/>
  <c r="H35" i="7"/>
  <c r="B47" i="9" s="1"/>
  <c r="W30" i="8"/>
  <c r="AL30" i="8"/>
  <c r="BA30" i="8"/>
  <c r="E85" i="6"/>
  <c r="H37" i="7" s="1"/>
  <c r="X30" i="8"/>
  <c r="AM30" i="8"/>
  <c r="BB30" i="8"/>
  <c r="H26" i="9"/>
  <c r="G26" i="9"/>
  <c r="I26" i="9"/>
  <c r="F26" i="9"/>
  <c r="D32" i="8"/>
  <c r="C32" i="8"/>
  <c r="F30" i="8"/>
  <c r="Y30" i="8"/>
  <c r="AN30" i="8"/>
  <c r="BF30" i="8"/>
  <c r="G30" i="8"/>
  <c r="Z30" i="8"/>
  <c r="AO30" i="8"/>
  <c r="BG30" i="8"/>
  <c r="H30" i="8"/>
  <c r="AA30" i="8"/>
  <c r="AP30" i="8"/>
  <c r="BH30" i="8"/>
  <c r="J5" i="11"/>
  <c r="D75" i="6"/>
  <c r="G27" i="7" s="1"/>
  <c r="I30" i="8"/>
  <c r="AB30" i="8"/>
  <c r="AT30" i="8"/>
  <c r="BI30" i="8"/>
  <c r="AC30" i="8"/>
  <c r="AU30" i="8"/>
  <c r="BJ30" i="8"/>
  <c r="B25" i="9"/>
  <c r="O30" i="8"/>
  <c r="AD30" i="8"/>
  <c r="AV30" i="8"/>
  <c r="F33" i="11"/>
  <c r="G33" i="11"/>
  <c r="C40" i="11"/>
  <c r="I9" i="12"/>
  <c r="D33" i="11"/>
  <c r="E33" i="11"/>
  <c r="E11" i="12"/>
  <c r="G11" i="12" s="1"/>
  <c r="I11" i="12" s="1"/>
  <c r="E14" i="12"/>
  <c r="G14" i="12" s="1"/>
  <c r="I14" i="12" s="1"/>
  <c r="E17" i="12"/>
  <c r="G17" i="12" s="1"/>
  <c r="I17" i="12" s="1"/>
  <c r="E20" i="12"/>
  <c r="G20" i="12" s="1"/>
  <c r="I20" i="12" s="1"/>
  <c r="E23" i="12"/>
  <c r="G23" i="12" s="1"/>
  <c r="I23" i="12" s="1"/>
  <c r="E26" i="12"/>
  <c r="G26" i="12" s="1"/>
  <c r="I26" i="12" s="1"/>
  <c r="E30" i="12"/>
  <c r="G30" i="12" s="1"/>
  <c r="I30" i="12" s="1"/>
  <c r="E33" i="12"/>
  <c r="G33" i="12" s="1"/>
  <c r="I33" i="12" s="1"/>
  <c r="E37" i="12"/>
  <c r="G37" i="12" s="1"/>
  <c r="I37" i="12" s="1"/>
  <c r="E40" i="12"/>
  <c r="G40" i="12" s="1"/>
  <c r="I40" i="12" s="1"/>
  <c r="E44" i="12"/>
  <c r="G44" i="12" s="1"/>
  <c r="I44" i="12" s="1"/>
  <c r="D54" i="12"/>
  <c r="E54" i="12" s="1"/>
  <c r="G54" i="12" s="1"/>
  <c r="D58" i="12"/>
  <c r="E58" i="12" s="1"/>
  <c r="G58" i="12" s="1"/>
  <c r="D63" i="12"/>
  <c r="E63" i="12" s="1"/>
  <c r="G63" i="12" s="1"/>
  <c r="D68" i="12"/>
  <c r="E68" i="12" s="1"/>
  <c r="G68" i="12" s="1"/>
  <c r="D72" i="12"/>
  <c r="E72" i="12" s="1"/>
  <c r="G72" i="12" s="1"/>
  <c r="D10" i="12"/>
  <c r="E10" i="12" s="1"/>
  <c r="G10" i="12" s="1"/>
  <c r="I10" i="12" s="1"/>
  <c r="D13" i="12"/>
  <c r="E13" i="12" s="1"/>
  <c r="G13" i="12" s="1"/>
  <c r="I13" i="12" s="1"/>
  <c r="D16" i="12"/>
  <c r="E16" i="12" s="1"/>
  <c r="G16" i="12" s="1"/>
  <c r="I16" i="12" s="1"/>
  <c r="D19" i="12"/>
  <c r="E19" i="12" s="1"/>
  <c r="G19" i="12" s="1"/>
  <c r="I19" i="12" s="1"/>
  <c r="D22" i="12"/>
  <c r="E22" i="12" s="1"/>
  <c r="G22" i="12" s="1"/>
  <c r="I22" i="12" s="1"/>
  <c r="D25" i="12"/>
  <c r="E25" i="12" s="1"/>
  <c r="G25" i="12" s="1"/>
  <c r="I25" i="12" s="1"/>
  <c r="D29" i="12"/>
  <c r="E29" i="12" s="1"/>
  <c r="G29" i="12" s="1"/>
  <c r="I29" i="12" s="1"/>
  <c r="D32" i="12"/>
  <c r="E32" i="12" s="1"/>
  <c r="G32" i="12" s="1"/>
  <c r="I32" i="12" s="1"/>
  <c r="D36" i="12"/>
  <c r="E36" i="12" s="1"/>
  <c r="G36" i="12" s="1"/>
  <c r="I36" i="12" s="1"/>
  <c r="D39" i="12"/>
  <c r="E39" i="12" s="1"/>
  <c r="G39" i="12" s="1"/>
  <c r="I39" i="12" s="1"/>
  <c r="D43" i="12"/>
  <c r="E43" i="12" s="1"/>
  <c r="G43" i="12" s="1"/>
  <c r="I43" i="12" s="1"/>
  <c r="D46" i="12"/>
  <c r="E46" i="12" s="1"/>
  <c r="G46" i="12" s="1"/>
  <c r="I46" i="12" s="1"/>
  <c r="D50" i="12"/>
  <c r="E50" i="12" s="1"/>
  <c r="G50" i="12" s="1"/>
  <c r="D55" i="12"/>
  <c r="E55" i="12" s="1"/>
  <c r="G55" i="12" s="1"/>
  <c r="D60" i="12"/>
  <c r="E60" i="12" s="1"/>
  <c r="G60" i="12" s="1"/>
  <c r="D64" i="12"/>
  <c r="E64" i="12" s="1"/>
  <c r="G64" i="12" s="1"/>
  <c r="D69" i="12"/>
  <c r="E69" i="12" s="1"/>
  <c r="G69" i="12" s="1"/>
  <c r="D73" i="12"/>
  <c r="E73" i="12" s="1"/>
  <c r="G73" i="12" s="1"/>
  <c r="D51" i="12"/>
  <c r="E51" i="12" s="1"/>
  <c r="G51" i="12" s="1"/>
  <c r="D56" i="12"/>
  <c r="E56" i="12" s="1"/>
  <c r="G56" i="12" s="1"/>
  <c r="D61" i="12"/>
  <c r="E61" i="12" s="1"/>
  <c r="G61" i="12" s="1"/>
  <c r="D65" i="12"/>
  <c r="E65" i="12" s="1"/>
  <c r="G65" i="12" s="1"/>
  <c r="K46" i="8" l="1"/>
  <c r="M47" i="8"/>
  <c r="J46" i="8"/>
  <c r="M43" i="8"/>
  <c r="L47" i="8"/>
  <c r="L43" i="8"/>
  <c r="K43" i="8"/>
  <c r="M46" i="8"/>
  <c r="J43" i="8"/>
  <c r="L46" i="8"/>
  <c r="M45" i="8"/>
  <c r="L45" i="8"/>
  <c r="K45" i="8"/>
  <c r="J45" i="8"/>
  <c r="M44" i="8"/>
  <c r="K47" i="8"/>
  <c r="L44" i="8"/>
  <c r="J47" i="8"/>
  <c r="K44" i="8"/>
  <c r="J44" i="8"/>
  <c r="D85" i="6"/>
  <c r="G37" i="7" s="1"/>
  <c r="G5" i="7"/>
  <c r="BA41" i="10"/>
  <c r="AO41" i="10"/>
  <c r="AC41" i="10"/>
  <c r="Q41" i="10"/>
  <c r="AZ41" i="10"/>
  <c r="AN41" i="10"/>
  <c r="AB41" i="10"/>
  <c r="P41" i="10"/>
  <c r="AY41" i="10"/>
  <c r="AM41" i="10"/>
  <c r="AA41" i="10"/>
  <c r="O41" i="10"/>
  <c r="BI41" i="10"/>
  <c r="AW41" i="10"/>
  <c r="AK41" i="10"/>
  <c r="Y41" i="10"/>
  <c r="M41" i="10"/>
  <c r="BG41" i="10"/>
  <c r="AU41" i="10"/>
  <c r="AI41" i="10"/>
  <c r="W41" i="10"/>
  <c r="K41" i="10"/>
  <c r="BF41" i="10"/>
  <c r="AT41" i="10"/>
  <c r="AH41" i="10"/>
  <c r="V41" i="10"/>
  <c r="J41" i="10"/>
  <c r="BE41" i="10"/>
  <c r="AS41" i="10"/>
  <c r="AG41" i="10"/>
  <c r="U41" i="10"/>
  <c r="I41" i="10"/>
  <c r="BD41" i="10"/>
  <c r="AD41" i="10"/>
  <c r="BC41" i="10"/>
  <c r="Z41" i="10"/>
  <c r="BB41" i="10"/>
  <c r="X41" i="10"/>
  <c r="AX41" i="10"/>
  <c r="T41" i="10"/>
  <c r="AV41" i="10"/>
  <c r="S41" i="10"/>
  <c r="AR41" i="10"/>
  <c r="R41" i="10"/>
  <c r="AQ41" i="10"/>
  <c r="N41" i="10"/>
  <c r="AP41" i="10"/>
  <c r="L41" i="10"/>
  <c r="AJ41" i="10"/>
  <c r="G41" i="10"/>
  <c r="BJ41" i="10"/>
  <c r="AF41" i="10"/>
  <c r="BH41" i="10"/>
  <c r="AL41" i="10"/>
  <c r="AE41" i="10"/>
  <c r="H41" i="10"/>
  <c r="B44" i="9"/>
  <c r="B43" i="9"/>
  <c r="BC40" i="9"/>
  <c r="AQ40" i="9"/>
  <c r="AE40" i="9"/>
  <c r="S40" i="9"/>
  <c r="BB40" i="9"/>
  <c r="AP40" i="9"/>
  <c r="AD40" i="9"/>
  <c r="R40" i="9"/>
  <c r="BA40" i="9"/>
  <c r="AO40" i="9"/>
  <c r="AC40" i="9"/>
  <c r="Q40" i="9"/>
  <c r="AZ40" i="9"/>
  <c r="AN40" i="9"/>
  <c r="AB40" i="9"/>
  <c r="P40" i="9"/>
  <c r="BJ40" i="9"/>
  <c r="AX40" i="9"/>
  <c r="AL40" i="9"/>
  <c r="Z40" i="9"/>
  <c r="BI40" i="9"/>
  <c r="AW40" i="9"/>
  <c r="AK40" i="9"/>
  <c r="Y40" i="9"/>
  <c r="BH40" i="9"/>
  <c r="AV40" i="9"/>
  <c r="AJ40" i="9"/>
  <c r="X40" i="9"/>
  <c r="BE40" i="9"/>
  <c r="AA40" i="9"/>
  <c r="BD40" i="9"/>
  <c r="W40" i="9"/>
  <c r="AY40" i="9"/>
  <c r="V40" i="9"/>
  <c r="AT40" i="9"/>
  <c r="T40" i="9"/>
  <c r="AR40" i="9"/>
  <c r="AM40" i="9"/>
  <c r="AH40" i="9"/>
  <c r="BG40" i="9"/>
  <c r="AG40" i="9"/>
  <c r="O40" i="9"/>
  <c r="BF40" i="9"/>
  <c r="AU40" i="9"/>
  <c r="AS40" i="9"/>
  <c r="AI40" i="9"/>
  <c r="AF40" i="9"/>
  <c r="U40" i="9"/>
  <c r="J55" i="8"/>
  <c r="I55" i="8"/>
  <c r="H55" i="8"/>
  <c r="C15" i="8"/>
  <c r="B16" i="8"/>
  <c r="M15" i="8"/>
  <c r="L15" i="8"/>
  <c r="K15" i="8"/>
  <c r="J15" i="8"/>
  <c r="H15" i="8"/>
  <c r="G15" i="8"/>
  <c r="E15" i="8"/>
  <c r="D15" i="8"/>
  <c r="B41" i="7"/>
  <c r="B43" i="6"/>
  <c r="L47" i="9"/>
  <c r="J46" i="9"/>
  <c r="J44" i="9"/>
  <c r="K47" i="9"/>
  <c r="J47" i="9"/>
  <c r="M45" i="9"/>
  <c r="M43" i="9"/>
  <c r="K45" i="9"/>
  <c r="K43" i="9"/>
  <c r="J45" i="9"/>
  <c r="J43" i="9"/>
  <c r="M46" i="9"/>
  <c r="L46" i="9"/>
  <c r="K46" i="9"/>
  <c r="L45" i="9"/>
  <c r="M47" i="9"/>
  <c r="M44" i="9"/>
  <c r="L44" i="9"/>
  <c r="L43" i="9"/>
  <c r="K44" i="9"/>
  <c r="F85" i="6"/>
  <c r="I37" i="7" s="1"/>
  <c r="I5" i="7"/>
  <c r="M16" i="9"/>
  <c r="L16" i="9"/>
  <c r="J16" i="9"/>
  <c r="G16" i="9"/>
  <c r="E16" i="9"/>
  <c r="B22" i="9"/>
  <c r="C16" i="9"/>
  <c r="B21" i="9"/>
  <c r="K16" i="9"/>
  <c r="H16" i="9"/>
  <c r="D16" i="9"/>
  <c r="BJ40" i="10"/>
  <c r="AX40" i="10"/>
  <c r="AL40" i="10"/>
  <c r="Z40" i="10"/>
  <c r="N40" i="10"/>
  <c r="BI40" i="10"/>
  <c r="AW40" i="10"/>
  <c r="AK40" i="10"/>
  <c r="Y40" i="10"/>
  <c r="M40" i="10"/>
  <c r="BH40" i="10"/>
  <c r="AV40" i="10"/>
  <c r="AJ40" i="10"/>
  <c r="X40" i="10"/>
  <c r="L40" i="10"/>
  <c r="BF40" i="10"/>
  <c r="AT40" i="10"/>
  <c r="AH40" i="10"/>
  <c r="V40" i="10"/>
  <c r="J40" i="10"/>
  <c r="BD40" i="10"/>
  <c r="AR40" i="10"/>
  <c r="AF40" i="10"/>
  <c r="T40" i="10"/>
  <c r="BC40" i="10"/>
  <c r="AQ40" i="10"/>
  <c r="AE40" i="10"/>
  <c r="S40" i="10"/>
  <c r="BB40" i="10"/>
  <c r="BE40" i="10"/>
  <c r="AD40" i="10"/>
  <c r="BA40" i="10"/>
  <c r="AC40" i="10"/>
  <c r="AZ40" i="10"/>
  <c r="AB40" i="10"/>
  <c r="AY40" i="10"/>
  <c r="AA40" i="10"/>
  <c r="AU40" i="10"/>
  <c r="W40" i="10"/>
  <c r="AS40" i="10"/>
  <c r="U40" i="10"/>
  <c r="AP40" i="10"/>
  <c r="R40" i="10"/>
  <c r="AO40" i="10"/>
  <c r="Q40" i="10"/>
  <c r="AM40" i="10"/>
  <c r="O40" i="10"/>
  <c r="AI40" i="10"/>
  <c r="K40" i="10"/>
  <c r="BG40" i="10"/>
  <c r="AN40" i="10"/>
  <c r="AG40" i="10"/>
  <c r="P40" i="10"/>
  <c r="I40" i="10"/>
  <c r="I58" i="9"/>
  <c r="BE39" i="9"/>
  <c r="AS39" i="9"/>
  <c r="AG39" i="9"/>
  <c r="U39" i="9"/>
  <c r="H58" i="9"/>
  <c r="BD39" i="9"/>
  <c r="AR39" i="9"/>
  <c r="AF39" i="9"/>
  <c r="T39" i="9"/>
  <c r="BC39" i="9"/>
  <c r="AQ39" i="9"/>
  <c r="AE39" i="9"/>
  <c r="S39" i="9"/>
  <c r="BB39" i="9"/>
  <c r="AP39" i="9"/>
  <c r="AD39" i="9"/>
  <c r="R39" i="9"/>
  <c r="AZ39" i="9"/>
  <c r="AN39" i="9"/>
  <c r="AB39" i="9"/>
  <c r="AY39" i="9"/>
  <c r="AM39" i="9"/>
  <c r="AA39" i="9"/>
  <c r="O39" i="9"/>
  <c r="BJ39" i="9"/>
  <c r="AX39" i="9"/>
  <c r="AL39" i="9"/>
  <c r="Z39" i="9"/>
  <c r="AW39" i="9"/>
  <c r="W39" i="9"/>
  <c r="AV39" i="9"/>
  <c r="V39" i="9"/>
  <c r="AU39" i="9"/>
  <c r="Q39" i="9"/>
  <c r="AO39" i="9"/>
  <c r="AJ39" i="9"/>
  <c r="BI39" i="9"/>
  <c r="AI39" i="9"/>
  <c r="BG39" i="9"/>
  <c r="AC39" i="9"/>
  <c r="BF39" i="9"/>
  <c r="Y39" i="9"/>
  <c r="BH39" i="9"/>
  <c r="BA39" i="9"/>
  <c r="AT39" i="9"/>
  <c r="AK39" i="9"/>
  <c r="AH39" i="9"/>
  <c r="J58" i="9"/>
  <c r="X39" i="9"/>
  <c r="P39" i="9"/>
  <c r="B44" i="8"/>
  <c r="B43" i="8"/>
  <c r="C19" i="9"/>
  <c r="E19" i="9"/>
  <c r="D19" i="9"/>
  <c r="BB38" i="10"/>
  <c r="AP38" i="10"/>
  <c r="AD38" i="10"/>
  <c r="R38" i="10"/>
  <c r="BA38" i="10"/>
  <c r="AO38" i="10"/>
  <c r="AC38" i="10"/>
  <c r="Q38" i="10"/>
  <c r="BJ38" i="10"/>
  <c r="AX38" i="10"/>
  <c r="AL38" i="10"/>
  <c r="Z38" i="10"/>
  <c r="BG38" i="10"/>
  <c r="AU38" i="10"/>
  <c r="AI38" i="10"/>
  <c r="BF38" i="10"/>
  <c r="AN38" i="10"/>
  <c r="W38" i="10"/>
  <c r="I38" i="10"/>
  <c r="BE38" i="10"/>
  <c r="AM38" i="10"/>
  <c r="V38" i="10"/>
  <c r="H38" i="10"/>
  <c r="BD38" i="10"/>
  <c r="AK38" i="10"/>
  <c r="U38" i="10"/>
  <c r="G38" i="10"/>
  <c r="BC38" i="10"/>
  <c r="AJ38" i="10"/>
  <c r="T38" i="10"/>
  <c r="AZ38" i="10"/>
  <c r="AH38" i="10"/>
  <c r="S38" i="10"/>
  <c r="AY38" i="10"/>
  <c r="AG38" i="10"/>
  <c r="P38" i="10"/>
  <c r="AW38" i="10"/>
  <c r="AF38" i="10"/>
  <c r="O38" i="10"/>
  <c r="AV38" i="10"/>
  <c r="AE38" i="10"/>
  <c r="N38" i="10"/>
  <c r="AS38" i="10"/>
  <c r="AA38" i="10"/>
  <c r="L38" i="10"/>
  <c r="BI38" i="10"/>
  <c r="AR38" i="10"/>
  <c r="Y38" i="10"/>
  <c r="K38" i="10"/>
  <c r="AB38" i="10"/>
  <c r="X38" i="10"/>
  <c r="M38" i="10"/>
  <c r="J38" i="10"/>
  <c r="BH38" i="10"/>
  <c r="AT38" i="10"/>
  <c r="AQ38" i="10"/>
  <c r="BJ36" i="10"/>
  <c r="AX36" i="10"/>
  <c r="AL36" i="10"/>
  <c r="Z36" i="10"/>
  <c r="N36" i="10"/>
  <c r="BI36" i="10"/>
  <c r="AW36" i="10"/>
  <c r="AK36" i="10"/>
  <c r="Y36" i="10"/>
  <c r="M36" i="10"/>
  <c r="BH36" i="10"/>
  <c r="AV36" i="10"/>
  <c r="AJ36" i="10"/>
  <c r="X36" i="10"/>
  <c r="L36" i="10"/>
  <c r="BG36" i="10"/>
  <c r="AU36" i="10"/>
  <c r="AI36" i="10"/>
  <c r="W36" i="10"/>
  <c r="K36" i="10"/>
  <c r="BF36" i="10"/>
  <c r="AT36" i="10"/>
  <c r="AH36" i="10"/>
  <c r="V36" i="10"/>
  <c r="J36" i="10"/>
  <c r="BE36" i="10"/>
  <c r="AS36" i="10"/>
  <c r="AG36" i="10"/>
  <c r="U36" i="10"/>
  <c r="I36" i="10"/>
  <c r="BD36" i="10"/>
  <c r="AR36" i="10"/>
  <c r="AF36" i="10"/>
  <c r="T36" i="10"/>
  <c r="AZ36" i="10"/>
  <c r="AN36" i="10"/>
  <c r="AB36" i="10"/>
  <c r="P36" i="10"/>
  <c r="AE36" i="10"/>
  <c r="AD36" i="10"/>
  <c r="AC36" i="10"/>
  <c r="AA36" i="10"/>
  <c r="BC36" i="10"/>
  <c r="S36" i="10"/>
  <c r="BB36" i="10"/>
  <c r="R36" i="10"/>
  <c r="BA36" i="10"/>
  <c r="Q36" i="10"/>
  <c r="AY36" i="10"/>
  <c r="O36" i="10"/>
  <c r="AQ36" i="10"/>
  <c r="AP36" i="10"/>
  <c r="AO36" i="10"/>
  <c r="AM36" i="10"/>
  <c r="B41" i="9"/>
  <c r="B42" i="9"/>
  <c r="H28" i="9"/>
  <c r="G28" i="9"/>
  <c r="F28" i="9"/>
  <c r="I28" i="9"/>
  <c r="G22" i="8"/>
  <c r="F22" i="8"/>
  <c r="H22" i="8"/>
  <c r="M42" i="6"/>
  <c r="BG43" i="10"/>
  <c r="AU43" i="10"/>
  <c r="AI43" i="10"/>
  <c r="W43" i="10"/>
  <c r="K43" i="10"/>
  <c r="BF43" i="10"/>
  <c r="AT43" i="10"/>
  <c r="AH43" i="10"/>
  <c r="V43" i="10"/>
  <c r="J43" i="10"/>
  <c r="BE43" i="10"/>
  <c r="AS43" i="10"/>
  <c r="AG43" i="10"/>
  <c r="U43" i="10"/>
  <c r="I43" i="10"/>
  <c r="BC43" i="10"/>
  <c r="AQ43" i="10"/>
  <c r="AE43" i="10"/>
  <c r="S43" i="10"/>
  <c r="G43" i="10"/>
  <c r="BA43" i="10"/>
  <c r="AO43" i="10"/>
  <c r="AC43" i="10"/>
  <c r="Q43" i="10"/>
  <c r="AZ43" i="10"/>
  <c r="AN43" i="10"/>
  <c r="AB43" i="10"/>
  <c r="P43" i="10"/>
  <c r="AY43" i="10"/>
  <c r="AM43" i="10"/>
  <c r="AA43" i="10"/>
  <c r="O43" i="10"/>
  <c r="BI43" i="10"/>
  <c r="AW43" i="10"/>
  <c r="AK43" i="10"/>
  <c r="Y43" i="10"/>
  <c r="M43" i="10"/>
  <c r="AP43" i="10"/>
  <c r="AL43" i="10"/>
  <c r="AJ43" i="10"/>
  <c r="AF43" i="10"/>
  <c r="AD43" i="10"/>
  <c r="BJ43" i="10"/>
  <c r="Z43" i="10"/>
  <c r="BH43" i="10"/>
  <c r="X43" i="10"/>
  <c r="BD43" i="10"/>
  <c r="T43" i="10"/>
  <c r="AX43" i="10"/>
  <c r="N43" i="10"/>
  <c r="AV43" i="10"/>
  <c r="L43" i="10"/>
  <c r="AR43" i="10"/>
  <c r="R43" i="10"/>
  <c r="H43" i="10"/>
  <c r="BB43" i="10"/>
  <c r="BJ3" i="9"/>
  <c r="AX3" i="9"/>
  <c r="AX49" i="9" s="1"/>
  <c r="AL3" i="9"/>
  <c r="Z3" i="9"/>
  <c r="N3" i="9"/>
  <c r="N49" i="9" s="1"/>
  <c r="BI3" i="9"/>
  <c r="AW3" i="9"/>
  <c r="AK3" i="9"/>
  <c r="Y3" i="9"/>
  <c r="Y49" i="9" s="1"/>
  <c r="M3" i="9"/>
  <c r="BH3" i="9"/>
  <c r="BH49" i="9" s="1"/>
  <c r="AV3" i="9"/>
  <c r="AJ3" i="9"/>
  <c r="X3" i="9"/>
  <c r="L3" i="9"/>
  <c r="BF3" i="9"/>
  <c r="AT3" i="9"/>
  <c r="AT49" i="9" s="1"/>
  <c r="AH3" i="9"/>
  <c r="V3" i="9"/>
  <c r="J3" i="9"/>
  <c r="BD3" i="9"/>
  <c r="AR3" i="9"/>
  <c r="AF3" i="9"/>
  <c r="AF49" i="9" s="1"/>
  <c r="T3" i="9"/>
  <c r="H3" i="9"/>
  <c r="BC3" i="9"/>
  <c r="AQ3" i="9"/>
  <c r="AE3" i="9"/>
  <c r="S3" i="9"/>
  <c r="S49" i="9" s="1"/>
  <c r="G3" i="9"/>
  <c r="BE3" i="9"/>
  <c r="AG3" i="9"/>
  <c r="I3" i="9"/>
  <c r="BB3" i="9"/>
  <c r="AD3" i="9"/>
  <c r="AD49" i="9" s="1"/>
  <c r="F3" i="9"/>
  <c r="BA3" i="9"/>
  <c r="AC3" i="9"/>
  <c r="AC49" i="9" s="1"/>
  <c r="E3" i="9"/>
  <c r="AZ3" i="9"/>
  <c r="AB3" i="9"/>
  <c r="D3" i="9"/>
  <c r="AY3" i="9"/>
  <c r="AA3" i="9"/>
  <c r="C3" i="9"/>
  <c r="AU3" i="9"/>
  <c r="W3" i="9"/>
  <c r="W49" i="9" s="1"/>
  <c r="AS3" i="9"/>
  <c r="U3" i="9"/>
  <c r="AP3" i="9"/>
  <c r="R3" i="9"/>
  <c r="AO3" i="9"/>
  <c r="Q3" i="9"/>
  <c r="AN3" i="9"/>
  <c r="P3" i="9"/>
  <c r="AM3" i="9"/>
  <c r="O3" i="9"/>
  <c r="BG3" i="9"/>
  <c r="AI3" i="9"/>
  <c r="AI49" i="9" s="1"/>
  <c r="K3" i="9"/>
  <c r="I25" i="9"/>
  <c r="G25" i="9"/>
  <c r="F25" i="9"/>
  <c r="H25" i="9"/>
  <c r="J8" i="12"/>
  <c r="F25" i="8"/>
  <c r="B26" i="8"/>
  <c r="I25" i="8"/>
  <c r="H25" i="8"/>
  <c r="G25" i="8"/>
  <c r="N35" i="9"/>
  <c r="I35" i="9"/>
  <c r="H35" i="9"/>
  <c r="E35" i="9"/>
  <c r="G35" i="9"/>
  <c r="F35" i="9"/>
  <c r="D14" i="9"/>
  <c r="C14" i="9"/>
  <c r="E14" i="9"/>
  <c r="C9" i="8"/>
  <c r="B10" i="8"/>
  <c r="E9" i="8"/>
  <c r="D9" i="8"/>
  <c r="N49" i="8"/>
  <c r="AZ44" i="10"/>
  <c r="AN44" i="10"/>
  <c r="AB44" i="10"/>
  <c r="P44" i="10"/>
  <c r="AY44" i="10"/>
  <c r="AM44" i="10"/>
  <c r="AA44" i="10"/>
  <c r="O44" i="10"/>
  <c r="BJ44" i="10"/>
  <c r="AX44" i="10"/>
  <c r="AL44" i="10"/>
  <c r="Z44" i="10"/>
  <c r="N44" i="10"/>
  <c r="BH44" i="10"/>
  <c r="AV44" i="10"/>
  <c r="AJ44" i="10"/>
  <c r="X44" i="10"/>
  <c r="L44" i="10"/>
  <c r="BF44" i="10"/>
  <c r="AT44" i="10"/>
  <c r="AH44" i="10"/>
  <c r="V44" i="10"/>
  <c r="J44" i="10"/>
  <c r="BE44" i="10"/>
  <c r="AS44" i="10"/>
  <c r="AG44" i="10"/>
  <c r="U44" i="10"/>
  <c r="I44" i="10"/>
  <c r="BD44" i="10"/>
  <c r="AR44" i="10"/>
  <c r="AF44" i="10"/>
  <c r="T44" i="10"/>
  <c r="BB44" i="10"/>
  <c r="AP44" i="10"/>
  <c r="AD44" i="10"/>
  <c r="R44" i="10"/>
  <c r="BC44" i="10"/>
  <c r="S44" i="10"/>
  <c r="BA44" i="10"/>
  <c r="Q44" i="10"/>
  <c r="AW44" i="10"/>
  <c r="M44" i="10"/>
  <c r="AU44" i="10"/>
  <c r="K44" i="10"/>
  <c r="AQ44" i="10"/>
  <c r="AO44" i="10"/>
  <c r="AK44" i="10"/>
  <c r="AI44" i="10"/>
  <c r="AC44" i="10"/>
  <c r="BI44" i="10"/>
  <c r="Y44" i="10"/>
  <c r="BG44" i="10"/>
  <c r="AE44" i="10"/>
  <c r="W44" i="10"/>
  <c r="N33" i="8"/>
  <c r="I33" i="8"/>
  <c r="H33" i="8"/>
  <c r="G33" i="8"/>
  <c r="F33" i="8"/>
  <c r="E14" i="8"/>
  <c r="D14" i="8"/>
  <c r="C14" i="8"/>
  <c r="D42" i="8"/>
  <c r="C42" i="8"/>
  <c r="G41" i="8"/>
  <c r="F41" i="8"/>
  <c r="E41" i="8"/>
  <c r="J42" i="8"/>
  <c r="D41" i="8"/>
  <c r="I42" i="8"/>
  <c r="C41" i="8"/>
  <c r="H42" i="8"/>
  <c r="G42" i="8"/>
  <c r="F42" i="8"/>
  <c r="E42" i="8"/>
  <c r="J41" i="8"/>
  <c r="I41" i="8"/>
  <c r="H41" i="8"/>
  <c r="AS47" i="9"/>
  <c r="AM46" i="9"/>
  <c r="AP47" i="9"/>
  <c r="AJ46" i="9"/>
  <c r="AM47" i="9"/>
  <c r="AG46" i="9"/>
  <c r="AJ47" i="9"/>
  <c r="AD46" i="9"/>
  <c r="AG47" i="9"/>
  <c r="AD47" i="9"/>
  <c r="BH46" i="9"/>
  <c r="X46" i="9"/>
  <c r="AA47" i="9"/>
  <c r="BE46" i="9"/>
  <c r="U46" i="9"/>
  <c r="BH47" i="9"/>
  <c r="X47" i="9"/>
  <c r="BB46" i="9"/>
  <c r="R46" i="9"/>
  <c r="BE47" i="9"/>
  <c r="U47" i="9"/>
  <c r="AY46" i="9"/>
  <c r="O46" i="9"/>
  <c r="BB47" i="9"/>
  <c r="AY47" i="9"/>
  <c r="R47" i="9"/>
  <c r="AS46" i="9"/>
  <c r="AP46" i="9"/>
  <c r="AV47" i="9"/>
  <c r="O47" i="9"/>
  <c r="AV46" i="9"/>
  <c r="AA46" i="9"/>
  <c r="C3" i="4"/>
  <c r="C4" i="4"/>
  <c r="C78" i="12"/>
  <c r="AY39" i="8"/>
  <c r="AM39" i="8"/>
  <c r="AA39" i="8"/>
  <c r="O39" i="8"/>
  <c r="BJ39" i="8"/>
  <c r="AX39" i="8"/>
  <c r="AL39" i="8"/>
  <c r="Z39" i="8"/>
  <c r="BI39" i="8"/>
  <c r="AW39" i="8"/>
  <c r="AK39" i="8"/>
  <c r="Y39" i="8"/>
  <c r="I58" i="8"/>
  <c r="BB39" i="8"/>
  <c r="AJ39" i="8"/>
  <c r="U39" i="8"/>
  <c r="BA39" i="8"/>
  <c r="AI39" i="8"/>
  <c r="T39" i="8"/>
  <c r="AZ39" i="8"/>
  <c r="AH39" i="8"/>
  <c r="S39" i="8"/>
  <c r="AV39" i="8"/>
  <c r="AG39" i="8"/>
  <c r="R39" i="8"/>
  <c r="AU39" i="8"/>
  <c r="AF39" i="8"/>
  <c r="Q39" i="8"/>
  <c r="AT39" i="8"/>
  <c r="AE39" i="8"/>
  <c r="P39" i="8"/>
  <c r="J58" i="8"/>
  <c r="BH39" i="8"/>
  <c r="AS39" i="8"/>
  <c r="AD39" i="8"/>
  <c r="H58" i="8"/>
  <c r="BG39" i="8"/>
  <c r="AR39" i="8"/>
  <c r="AC39" i="8"/>
  <c r="BF39" i="8"/>
  <c r="AQ39" i="8"/>
  <c r="AB39" i="8"/>
  <c r="BE39" i="8"/>
  <c r="AP39" i="8"/>
  <c r="X39" i="8"/>
  <c r="BD39" i="8"/>
  <c r="AO39" i="8"/>
  <c r="W39" i="8"/>
  <c r="BC39" i="8"/>
  <c r="AN39" i="8"/>
  <c r="V39" i="8"/>
  <c r="D19" i="11"/>
  <c r="E19" i="11" s="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Y19" i="11" s="1"/>
  <c r="Z19" i="11" s="1"/>
  <c r="AA19" i="11" s="1"/>
  <c r="AB19" i="11" s="1"/>
  <c r="AC19" i="11" s="1"/>
  <c r="AD19" i="11" s="1"/>
  <c r="AE19" i="11" s="1"/>
  <c r="AF19" i="11" s="1"/>
  <c r="AG19" i="11" s="1"/>
  <c r="AH19" i="11" s="1"/>
  <c r="AI19" i="11" s="1"/>
  <c r="AJ19" i="11" s="1"/>
  <c r="AK19" i="11" s="1"/>
  <c r="AL19" i="11" s="1"/>
  <c r="AM19" i="11" s="1"/>
  <c r="AN19" i="11" s="1"/>
  <c r="AO19" i="11" s="1"/>
  <c r="AP19" i="11" s="1"/>
  <c r="AQ19" i="11" s="1"/>
  <c r="AR19" i="11" s="1"/>
  <c r="AS19" i="11" s="1"/>
  <c r="AT19" i="11" s="1"/>
  <c r="AU19" i="11" s="1"/>
  <c r="AV19" i="11" s="1"/>
  <c r="AW19" i="11" s="1"/>
  <c r="AX19" i="11" s="1"/>
  <c r="AY19" i="11" s="1"/>
  <c r="AZ19" i="11" s="1"/>
  <c r="BA19" i="11" s="1"/>
  <c r="BB19" i="11" s="1"/>
  <c r="BC19" i="11" s="1"/>
  <c r="BD19" i="11" s="1"/>
  <c r="BE19" i="11" s="1"/>
  <c r="BF19" i="11" s="1"/>
  <c r="BG19" i="11" s="1"/>
  <c r="BH19" i="11" s="1"/>
  <c r="BI19" i="11" s="1"/>
  <c r="BJ19" i="11" s="1"/>
  <c r="L42" i="6"/>
  <c r="J55" i="9"/>
  <c r="J59" i="9" s="1"/>
  <c r="M15" i="9"/>
  <c r="L15" i="9"/>
  <c r="K15" i="9"/>
  <c r="H15" i="9"/>
  <c r="I55" i="9"/>
  <c r="I59" i="9" s="1"/>
  <c r="E15" i="9"/>
  <c r="H55" i="9"/>
  <c r="H59" i="9" s="1"/>
  <c r="N60" i="9" s="1"/>
  <c r="G14" i="1" s="1"/>
  <c r="H14" i="1" s="1"/>
  <c r="I14" i="1" s="1"/>
  <c r="D15" i="9"/>
  <c r="J15" i="9"/>
  <c r="G15" i="9"/>
  <c r="C15" i="9"/>
  <c r="B27" i="8"/>
  <c r="B29" i="8"/>
  <c r="I24" i="8"/>
  <c r="H24" i="8"/>
  <c r="G24" i="8"/>
  <c r="F24" i="8"/>
  <c r="K42" i="6"/>
  <c r="BJ37" i="10"/>
  <c r="BA37" i="10"/>
  <c r="AO37" i="10"/>
  <c r="AC37" i="10"/>
  <c r="Q37" i="10"/>
  <c r="AZ37" i="10"/>
  <c r="AN37" i="10"/>
  <c r="AB37" i="10"/>
  <c r="P37" i="10"/>
  <c r="AY37" i="10"/>
  <c r="AM37" i="10"/>
  <c r="AA37" i="10"/>
  <c r="O37" i="10"/>
  <c r="AX37" i="10"/>
  <c r="AL37" i="10"/>
  <c r="Z37" i="10"/>
  <c r="N37" i="10"/>
  <c r="BI37" i="10"/>
  <c r="AW37" i="10"/>
  <c r="AK37" i="10"/>
  <c r="Y37" i="10"/>
  <c r="M37" i="10"/>
  <c r="BH37" i="10"/>
  <c r="AV37" i="10"/>
  <c r="AJ37" i="10"/>
  <c r="X37" i="10"/>
  <c r="L37" i="10"/>
  <c r="BG37" i="10"/>
  <c r="AU37" i="10"/>
  <c r="AI37" i="10"/>
  <c r="W37" i="10"/>
  <c r="K37" i="10"/>
  <c r="BF37" i="10"/>
  <c r="AT37" i="10"/>
  <c r="AH37" i="10"/>
  <c r="V37" i="10"/>
  <c r="BD37" i="10"/>
  <c r="AR37" i="10"/>
  <c r="AF37" i="10"/>
  <c r="T37" i="10"/>
  <c r="H37" i="10"/>
  <c r="H8" i="11" s="1"/>
  <c r="BC37" i="10"/>
  <c r="AQ37" i="10"/>
  <c r="AE37" i="10"/>
  <c r="S37" i="10"/>
  <c r="G37" i="10"/>
  <c r="G8" i="11" s="1"/>
  <c r="R37" i="10"/>
  <c r="J37" i="10"/>
  <c r="I37" i="10"/>
  <c r="BE37" i="10"/>
  <c r="BB37" i="10"/>
  <c r="AS37" i="10"/>
  <c r="AP37" i="10"/>
  <c r="AG37" i="10"/>
  <c r="AD37" i="10"/>
  <c r="U37" i="10"/>
  <c r="I29" i="9"/>
  <c r="G29" i="9"/>
  <c r="H29" i="9"/>
  <c r="F29" i="9"/>
  <c r="M17" i="9"/>
  <c r="K17" i="9"/>
  <c r="H17" i="9"/>
  <c r="G17" i="9"/>
  <c r="C17" i="9"/>
  <c r="L17" i="9"/>
  <c r="J17" i="9"/>
  <c r="E17" i="9"/>
  <c r="D17" i="9"/>
  <c r="J42" i="6"/>
  <c r="H46" i="5"/>
  <c r="H45" i="5"/>
  <c r="H44" i="5"/>
  <c r="B27" i="1" s="1"/>
  <c r="H43" i="5"/>
  <c r="H42" i="5"/>
  <c r="H24" i="9"/>
  <c r="G24" i="9"/>
  <c r="I24" i="9"/>
  <c r="F24" i="9"/>
  <c r="B5" i="8"/>
  <c r="C5" i="8" s="1"/>
  <c r="D5" i="8" s="1"/>
  <c r="D4" i="8"/>
  <c r="C4" i="8"/>
  <c r="BG33" i="10"/>
  <c r="AU33" i="10"/>
  <c r="AI33" i="10"/>
  <c r="W33" i="10"/>
  <c r="K33" i="10"/>
  <c r="K8" i="11" s="1"/>
  <c r="BF33" i="10"/>
  <c r="BF8" i="11" s="1"/>
  <c r="AT33" i="10"/>
  <c r="AH33" i="10"/>
  <c r="AH8" i="11" s="1"/>
  <c r="V33" i="10"/>
  <c r="V8" i="11" s="1"/>
  <c r="J33" i="10"/>
  <c r="BE33" i="10"/>
  <c r="AS33" i="10"/>
  <c r="AG33" i="10"/>
  <c r="U33" i="10"/>
  <c r="U8" i="11" s="1"/>
  <c r="I33" i="10"/>
  <c r="BD33" i="10"/>
  <c r="AR33" i="10"/>
  <c r="AF33" i="10"/>
  <c r="AF8" i="11" s="1"/>
  <c r="T33" i="10"/>
  <c r="BC33" i="10"/>
  <c r="BC8" i="11" s="1"/>
  <c r="AQ33" i="10"/>
  <c r="AQ8" i="11" s="1"/>
  <c r="AE33" i="10"/>
  <c r="AE8" i="11" s="1"/>
  <c r="S33" i="10"/>
  <c r="BB33" i="10"/>
  <c r="AP33" i="10"/>
  <c r="AD33" i="10"/>
  <c r="R33" i="10"/>
  <c r="BA33" i="10"/>
  <c r="AO33" i="10"/>
  <c r="AC33" i="10"/>
  <c r="AC8" i="11" s="1"/>
  <c r="Q33" i="10"/>
  <c r="BI33" i="10"/>
  <c r="AZ33" i="10"/>
  <c r="AZ8" i="11" s="1"/>
  <c r="Z33" i="10"/>
  <c r="AY33" i="10"/>
  <c r="AY8" i="11" s="1"/>
  <c r="Y33" i="10"/>
  <c r="AX33" i="10"/>
  <c r="X33" i="10"/>
  <c r="AW33" i="10"/>
  <c r="P33" i="10"/>
  <c r="AV33" i="10"/>
  <c r="O33" i="10"/>
  <c r="AN33" i="10"/>
  <c r="N33" i="10"/>
  <c r="AM33" i="10"/>
  <c r="AM8" i="11" s="1"/>
  <c r="M33" i="10"/>
  <c r="M8" i="11" s="1"/>
  <c r="AL33" i="10"/>
  <c r="AL8" i="11" s="1"/>
  <c r="L33" i="10"/>
  <c r="AK33" i="10"/>
  <c r="AK8" i="11" s="1"/>
  <c r="AJ33" i="10"/>
  <c r="AJ8" i="11" s="1"/>
  <c r="BJ33" i="10"/>
  <c r="BJ8" i="11" s="1"/>
  <c r="AB33" i="10"/>
  <c r="AA33" i="10"/>
  <c r="BH33" i="10"/>
  <c r="B77" i="12"/>
  <c r="AZ34" i="10"/>
  <c r="AN34" i="10"/>
  <c r="AB34" i="10"/>
  <c r="P34" i="10"/>
  <c r="AY34" i="10"/>
  <c r="AM34" i="10"/>
  <c r="AA34" i="10"/>
  <c r="O34" i="10"/>
  <c r="BJ34" i="10"/>
  <c r="AX34" i="10"/>
  <c r="AL34" i="10"/>
  <c r="Z34" i="10"/>
  <c r="N34" i="10"/>
  <c r="BI34" i="10"/>
  <c r="AW34" i="10"/>
  <c r="AK34" i="10"/>
  <c r="Y34" i="10"/>
  <c r="M34" i="10"/>
  <c r="BH34" i="10"/>
  <c r="AV34" i="10"/>
  <c r="AJ34" i="10"/>
  <c r="X34" i="10"/>
  <c r="L34" i="10"/>
  <c r="BG34" i="10"/>
  <c r="AU34" i="10"/>
  <c r="AI34" i="10"/>
  <c r="W34" i="10"/>
  <c r="K34" i="10"/>
  <c r="BF34" i="10"/>
  <c r="AT34" i="10"/>
  <c r="AH34" i="10"/>
  <c r="V34" i="10"/>
  <c r="J34" i="10"/>
  <c r="BB34" i="10"/>
  <c r="AP34" i="10"/>
  <c r="AD34" i="10"/>
  <c r="R34" i="10"/>
  <c r="AG34" i="10"/>
  <c r="AF34" i="10"/>
  <c r="AE34" i="10"/>
  <c r="AC34" i="10"/>
  <c r="BE34" i="10"/>
  <c r="U34" i="10"/>
  <c r="BD34" i="10"/>
  <c r="T34" i="10"/>
  <c r="BC34" i="10"/>
  <c r="S34" i="10"/>
  <c r="BA34" i="10"/>
  <c r="Q34" i="10"/>
  <c r="AS34" i="10"/>
  <c r="I34" i="10"/>
  <c r="I8" i="11" s="1"/>
  <c r="AR34" i="10"/>
  <c r="AQ34" i="10"/>
  <c r="AO34" i="10"/>
  <c r="B12" i="9"/>
  <c r="E9" i="9"/>
  <c r="D9" i="9"/>
  <c r="C9" i="9"/>
  <c r="B10" i="9"/>
  <c r="B11" i="9"/>
  <c r="BC23" i="9"/>
  <c r="AQ23" i="9"/>
  <c r="AE23" i="9"/>
  <c r="S23" i="9"/>
  <c r="BB23" i="9"/>
  <c r="AP23" i="9"/>
  <c r="AD23" i="9"/>
  <c r="AZ23" i="9"/>
  <c r="AN23" i="9"/>
  <c r="AB23" i="9"/>
  <c r="P23" i="9"/>
  <c r="AV23" i="9"/>
  <c r="AG23" i="9"/>
  <c r="Q23" i="9"/>
  <c r="BJ23" i="9"/>
  <c r="AU23" i="9"/>
  <c r="AF23" i="9"/>
  <c r="O23" i="9"/>
  <c r="BI23" i="9"/>
  <c r="AT23" i="9"/>
  <c r="AC23" i="9"/>
  <c r="I23" i="9"/>
  <c r="BG23" i="9"/>
  <c r="AR23" i="9"/>
  <c r="Z23" i="9"/>
  <c r="G23" i="9"/>
  <c r="BE23" i="9"/>
  <c r="AM23" i="9"/>
  <c r="X23" i="9"/>
  <c r="BD23" i="9"/>
  <c r="AL23" i="9"/>
  <c r="W23" i="9"/>
  <c r="AX23" i="9"/>
  <c r="AI23" i="9"/>
  <c r="T23" i="9"/>
  <c r="AK23" i="9"/>
  <c r="AJ23" i="9"/>
  <c r="AH23" i="9"/>
  <c r="AA23" i="9"/>
  <c r="Y23" i="9"/>
  <c r="BH23" i="9"/>
  <c r="V23" i="9"/>
  <c r="BF23" i="9"/>
  <c r="U23" i="9"/>
  <c r="BA23" i="9"/>
  <c r="R23" i="9"/>
  <c r="AY23" i="9"/>
  <c r="H23" i="9"/>
  <c r="AW23" i="9"/>
  <c r="F23" i="9"/>
  <c r="AS23" i="9"/>
  <c r="AO23" i="9"/>
  <c r="L18" i="9"/>
  <c r="J18" i="9"/>
  <c r="H18" i="9"/>
  <c r="D18" i="9"/>
  <c r="E18" i="9"/>
  <c r="C18" i="9"/>
  <c r="M18" i="9"/>
  <c r="K18" i="9"/>
  <c r="G18" i="9"/>
  <c r="K18" i="8"/>
  <c r="J18" i="8"/>
  <c r="H18" i="8"/>
  <c r="G18" i="8"/>
  <c r="E18" i="8"/>
  <c r="D18" i="8"/>
  <c r="C18" i="8"/>
  <c r="M18" i="8"/>
  <c r="L18" i="8"/>
  <c r="K31" i="10" l="1"/>
  <c r="K7" i="11" s="1"/>
  <c r="J31" i="10"/>
  <c r="J7" i="11" s="1"/>
  <c r="I31" i="10"/>
  <c r="E10" i="9"/>
  <c r="D10" i="9"/>
  <c r="D49" i="9" s="1"/>
  <c r="C10" i="9"/>
  <c r="C49" i="9" s="1"/>
  <c r="AN8" i="11"/>
  <c r="F34" i="11" s="1"/>
  <c r="Q8" i="11"/>
  <c r="T8" i="11"/>
  <c r="AT8" i="11"/>
  <c r="BG49" i="9"/>
  <c r="AU49" i="9"/>
  <c r="BB49" i="9"/>
  <c r="AR49" i="9"/>
  <c r="M49" i="9"/>
  <c r="H21" i="9"/>
  <c r="H49" i="9" s="1"/>
  <c r="G21" i="9"/>
  <c r="G49" i="9" s="1"/>
  <c r="F21" i="9"/>
  <c r="F49" i="9" s="1"/>
  <c r="AA8" i="11"/>
  <c r="AV8" i="11"/>
  <c r="AO8" i="11"/>
  <c r="AR8" i="11"/>
  <c r="H47" i="5"/>
  <c r="B28" i="1" s="1"/>
  <c r="AM49" i="9"/>
  <c r="AA49" i="9"/>
  <c r="AG49" i="9"/>
  <c r="J49" i="9"/>
  <c r="AK49" i="9"/>
  <c r="G22" i="9"/>
  <c r="F22" i="9"/>
  <c r="H22" i="9"/>
  <c r="E11" i="9"/>
  <c r="C11" i="9"/>
  <c r="D11" i="9"/>
  <c r="BI8" i="11"/>
  <c r="G42" i="9"/>
  <c r="E41" i="9"/>
  <c r="F42" i="9"/>
  <c r="D41" i="9"/>
  <c r="E42" i="9"/>
  <c r="C41" i="9"/>
  <c r="D42" i="9"/>
  <c r="J41" i="9"/>
  <c r="J42" i="9"/>
  <c r="I42" i="9"/>
  <c r="H42" i="9"/>
  <c r="H41" i="9"/>
  <c r="G41" i="9"/>
  <c r="C42" i="9"/>
  <c r="I41" i="9"/>
  <c r="I49" i="9" s="1"/>
  <c r="F41" i="9"/>
  <c r="BH8" i="11"/>
  <c r="O8" i="11"/>
  <c r="D34" i="11" s="1"/>
  <c r="B17" i="1"/>
  <c r="C17" i="1" s="1"/>
  <c r="D17" i="1" s="1"/>
  <c r="G17" i="1"/>
  <c r="H17" i="1" s="1"/>
  <c r="I17" i="1" s="1"/>
  <c r="I26" i="8"/>
  <c r="H26" i="8"/>
  <c r="G26" i="8"/>
  <c r="F26" i="8"/>
  <c r="O49" i="9"/>
  <c r="BD49" i="9"/>
  <c r="AB8" i="11"/>
  <c r="P8" i="11"/>
  <c r="BA8" i="11"/>
  <c r="G34" i="11" s="1"/>
  <c r="BD8" i="11"/>
  <c r="W8" i="11"/>
  <c r="BC10" i="11"/>
  <c r="AQ10" i="11"/>
  <c r="AE10" i="11"/>
  <c r="S10" i="11"/>
  <c r="P49" i="9"/>
  <c r="AY49" i="9"/>
  <c r="BE49" i="9"/>
  <c r="V49" i="9"/>
  <c r="AW49" i="9"/>
  <c r="E16" i="8"/>
  <c r="D16" i="8"/>
  <c r="C16" i="8"/>
  <c r="M16" i="8"/>
  <c r="M49" i="8" s="1"/>
  <c r="L16" i="8"/>
  <c r="L49" i="8" s="1"/>
  <c r="K16" i="8"/>
  <c r="K49" i="8" s="1"/>
  <c r="J16" i="8"/>
  <c r="J49" i="8" s="1"/>
  <c r="H16" i="8"/>
  <c r="G16" i="8"/>
  <c r="N8" i="11"/>
  <c r="D12" i="9"/>
  <c r="C12" i="9"/>
  <c r="E12" i="9"/>
  <c r="E49" i="9" s="1"/>
  <c r="AW8" i="11"/>
  <c r="R8" i="11"/>
  <c r="B15" i="1"/>
  <c r="C15" i="1" s="1"/>
  <c r="D15" i="1" s="1"/>
  <c r="G15" i="1"/>
  <c r="H15" i="1" s="1"/>
  <c r="I15" i="1" s="1"/>
  <c r="AI8" i="11"/>
  <c r="AN49" i="9"/>
  <c r="AH49" i="9"/>
  <c r="BI49" i="9"/>
  <c r="B11" i="8"/>
  <c r="E10" i="8"/>
  <c r="D10" i="8"/>
  <c r="C10" i="8"/>
  <c r="Q49" i="9"/>
  <c r="H59" i="8"/>
  <c r="AD8" i="11"/>
  <c r="I29" i="8"/>
  <c r="H29" i="8"/>
  <c r="G29" i="8"/>
  <c r="F29" i="8"/>
  <c r="N6" i="11"/>
  <c r="N30" i="10"/>
  <c r="AO49" i="9"/>
  <c r="AZ49" i="9"/>
  <c r="AE49" i="9"/>
  <c r="BF49" i="9"/>
  <c r="Z49" i="9"/>
  <c r="I59" i="8"/>
  <c r="X8" i="11"/>
  <c r="AU8" i="11"/>
  <c r="AB49" i="9"/>
  <c r="AX8" i="11"/>
  <c r="AP8" i="11"/>
  <c r="AG8" i="11"/>
  <c r="BG8" i="11"/>
  <c r="BI27" i="8"/>
  <c r="BI49" i="8" s="1"/>
  <c r="AW27" i="8"/>
  <c r="AW49" i="8" s="1"/>
  <c r="AK27" i="8"/>
  <c r="AK49" i="8" s="1"/>
  <c r="Y27" i="8"/>
  <c r="Y49" i="8" s="1"/>
  <c r="H27" i="8"/>
  <c r="BH27" i="8"/>
  <c r="BH49" i="8" s="1"/>
  <c r="AV27" i="8"/>
  <c r="AV49" i="8" s="1"/>
  <c r="AJ27" i="8"/>
  <c r="AJ49" i="8" s="1"/>
  <c r="X27" i="8"/>
  <c r="X49" i="8" s="1"/>
  <c r="G27" i="8"/>
  <c r="BG27" i="8"/>
  <c r="BG49" i="8" s="1"/>
  <c r="AU27" i="8"/>
  <c r="AU49" i="8" s="1"/>
  <c r="AI27" i="8"/>
  <c r="AI49" i="8" s="1"/>
  <c r="W27" i="8"/>
  <c r="W49" i="8" s="1"/>
  <c r="F27" i="8"/>
  <c r="AT27" i="8"/>
  <c r="AT49" i="8" s="1"/>
  <c r="AE27" i="8"/>
  <c r="AE49" i="8" s="1"/>
  <c r="P27" i="8"/>
  <c r="P49" i="8" s="1"/>
  <c r="B28" i="8"/>
  <c r="AS27" i="8"/>
  <c r="AS49" i="8" s="1"/>
  <c r="AD27" i="8"/>
  <c r="AD49" i="8" s="1"/>
  <c r="O27" i="8"/>
  <c r="O49" i="8" s="1"/>
  <c r="BJ27" i="8"/>
  <c r="BJ49" i="8" s="1"/>
  <c r="AR27" i="8"/>
  <c r="AR49" i="8" s="1"/>
  <c r="AC27" i="8"/>
  <c r="AC49" i="8" s="1"/>
  <c r="I27" i="8"/>
  <c r="BF27" i="8"/>
  <c r="BF49" i="8" s="1"/>
  <c r="AQ27" i="8"/>
  <c r="AQ49" i="8" s="1"/>
  <c r="AB27" i="8"/>
  <c r="AB49" i="8" s="1"/>
  <c r="BE27" i="8"/>
  <c r="BE49" i="8" s="1"/>
  <c r="AP27" i="8"/>
  <c r="AP49" i="8" s="1"/>
  <c r="AA27" i="8"/>
  <c r="AA49" i="8" s="1"/>
  <c r="BD27" i="8"/>
  <c r="BD49" i="8" s="1"/>
  <c r="AO27" i="8"/>
  <c r="AO49" i="8" s="1"/>
  <c r="Z27" i="8"/>
  <c r="Z49" i="8" s="1"/>
  <c r="BC27" i="8"/>
  <c r="BC49" i="8" s="1"/>
  <c r="AN27" i="8"/>
  <c r="AN49" i="8" s="1"/>
  <c r="V27" i="8"/>
  <c r="V49" i="8" s="1"/>
  <c r="BB27" i="8"/>
  <c r="BB49" i="8" s="1"/>
  <c r="AM27" i="8"/>
  <c r="AM49" i="8" s="1"/>
  <c r="U27" i="8"/>
  <c r="U49" i="8" s="1"/>
  <c r="BA27" i="8"/>
  <c r="BA49" i="8" s="1"/>
  <c r="AL27" i="8"/>
  <c r="AL49" i="8" s="1"/>
  <c r="T27" i="8"/>
  <c r="T49" i="8" s="1"/>
  <c r="AZ27" i="8"/>
  <c r="AZ49" i="8" s="1"/>
  <c r="AH27" i="8"/>
  <c r="AH49" i="8" s="1"/>
  <c r="S27" i="8"/>
  <c r="S49" i="8" s="1"/>
  <c r="AY27" i="8"/>
  <c r="AY49" i="8" s="1"/>
  <c r="AG27" i="8"/>
  <c r="AG49" i="8" s="1"/>
  <c r="R27" i="8"/>
  <c r="R49" i="8" s="1"/>
  <c r="AX27" i="8"/>
  <c r="AX49" i="8" s="1"/>
  <c r="AF27" i="8"/>
  <c r="AF49" i="8" s="1"/>
  <c r="Q27" i="8"/>
  <c r="Q49" i="8" s="1"/>
  <c r="L8" i="11"/>
  <c r="Y8" i="11"/>
  <c r="BB8" i="11"/>
  <c r="AS8" i="11"/>
  <c r="R49" i="9"/>
  <c r="AQ49" i="9"/>
  <c r="L49" i="9"/>
  <c r="AL49" i="9"/>
  <c r="J59" i="8"/>
  <c r="S8" i="11"/>
  <c r="BE8" i="11"/>
  <c r="AP49" i="9"/>
  <c r="BC49" i="9"/>
  <c r="X49" i="9"/>
  <c r="Z8" i="11"/>
  <c r="J8" i="11"/>
  <c r="C34" i="11" s="1"/>
  <c r="U49" i="9"/>
  <c r="BA49" i="9"/>
  <c r="AJ49" i="9"/>
  <c r="BJ49" i="9"/>
  <c r="K49" i="9"/>
  <c r="AS49" i="9"/>
  <c r="T49" i="9"/>
  <c r="AV49" i="9"/>
  <c r="B49" i="9"/>
  <c r="L6" i="11" l="1"/>
  <c r="L30" i="10"/>
  <c r="K6" i="11"/>
  <c r="K30" i="10"/>
  <c r="F49" i="8"/>
  <c r="AY6" i="11"/>
  <c r="AY30" i="10"/>
  <c r="AY25" i="10" s="1"/>
  <c r="AH6" i="11"/>
  <c r="AH30" i="10"/>
  <c r="AH25" i="10" s="1"/>
  <c r="AZ6" i="11"/>
  <c r="AZ30" i="10"/>
  <c r="AZ25" i="10" s="1"/>
  <c r="BD30" i="10"/>
  <c r="BD25" i="10" s="1"/>
  <c r="BD6" i="11"/>
  <c r="AD6" i="11"/>
  <c r="AD30" i="10"/>
  <c r="AD25" i="10" s="1"/>
  <c r="X6" i="11"/>
  <c r="X30" i="10"/>
  <c r="X25" i="10" s="1"/>
  <c r="AR6" i="11"/>
  <c r="AR30" i="10"/>
  <c r="AR25" i="10" s="1"/>
  <c r="T6" i="11"/>
  <c r="T30" i="10"/>
  <c r="T25" i="10" s="1"/>
  <c r="AA6" i="11"/>
  <c r="E32" i="11" s="1"/>
  <c r="AA30" i="10"/>
  <c r="AA25" i="10" s="1"/>
  <c r="AS6" i="11"/>
  <c r="AS30" i="10"/>
  <c r="AS25" i="10" s="1"/>
  <c r="AJ6" i="11"/>
  <c r="AJ30" i="10"/>
  <c r="AJ25" i="10" s="1"/>
  <c r="I7" i="11"/>
  <c r="C33" i="11" s="1"/>
  <c r="B13" i="1"/>
  <c r="O6" i="11"/>
  <c r="O30" i="10"/>
  <c r="O25" i="10" s="1"/>
  <c r="BJ50" i="8"/>
  <c r="B16" i="1" s="1"/>
  <c r="AL6" i="11"/>
  <c r="AL30" i="10"/>
  <c r="AL25" i="10" s="1"/>
  <c r="AP30" i="10"/>
  <c r="AP25" i="10" s="1"/>
  <c r="AP6" i="11"/>
  <c r="F28" i="8"/>
  <c r="I28" i="8"/>
  <c r="H28" i="8"/>
  <c r="H49" i="8" s="1"/>
  <c r="G28" i="8"/>
  <c r="AV6" i="11"/>
  <c r="AV30" i="10"/>
  <c r="AV25" i="10" s="1"/>
  <c r="G49" i="8"/>
  <c r="BJ50" i="9"/>
  <c r="G16" i="1" s="1"/>
  <c r="BC6" i="11"/>
  <c r="BC30" i="10"/>
  <c r="BC25" i="10" s="1"/>
  <c r="BH6" i="11"/>
  <c r="BH30" i="10"/>
  <c r="BH25" i="10" s="1"/>
  <c r="Q6" i="11"/>
  <c r="Q30" i="10"/>
  <c r="Q25" i="10" s="1"/>
  <c r="U6" i="11"/>
  <c r="U30" i="10"/>
  <c r="U25" i="10" s="1"/>
  <c r="AB30" i="10"/>
  <c r="AB25" i="10" s="1"/>
  <c r="AB6" i="11"/>
  <c r="AE6" i="11"/>
  <c r="AE30" i="10"/>
  <c r="AE25" i="10" s="1"/>
  <c r="J6" i="11"/>
  <c r="J30" i="10"/>
  <c r="S15" i="11"/>
  <c r="D40" i="11" s="1"/>
  <c r="D35" i="11"/>
  <c r="C35" i="11"/>
  <c r="AU6" i="11"/>
  <c r="AU30" i="10"/>
  <c r="AU25" i="10" s="1"/>
  <c r="S6" i="11"/>
  <c r="S30" i="10"/>
  <c r="S25" i="10" s="1"/>
  <c r="BG6" i="11"/>
  <c r="BG30" i="10"/>
  <c r="BG25" i="10" s="1"/>
  <c r="B12" i="8"/>
  <c r="E11" i="8"/>
  <c r="D11" i="8"/>
  <c r="C11" i="8"/>
  <c r="P6" i="11"/>
  <c r="P30" i="10"/>
  <c r="P25" i="10" s="1"/>
  <c r="AM30" i="10"/>
  <c r="AM25" i="10" s="1"/>
  <c r="AM6" i="11"/>
  <c r="AQ6" i="11"/>
  <c r="AQ30" i="10"/>
  <c r="AQ25" i="10" s="1"/>
  <c r="AT6" i="11"/>
  <c r="AT30" i="10"/>
  <c r="AT25" i="10" s="1"/>
  <c r="Y6" i="11"/>
  <c r="Y30" i="10"/>
  <c r="Y25" i="10" s="1"/>
  <c r="N60" i="8"/>
  <c r="B14" i="1" s="1"/>
  <c r="C14" i="1" s="1"/>
  <c r="D14" i="1" s="1"/>
  <c r="AE15" i="11"/>
  <c r="E35" i="11"/>
  <c r="N50" i="9"/>
  <c r="G12" i="1" s="1"/>
  <c r="BJ6" i="11"/>
  <c r="BJ30" i="10"/>
  <c r="BJ25" i="10" s="1"/>
  <c r="BA6" i="11"/>
  <c r="BA30" i="10"/>
  <c r="BA25" i="10" s="1"/>
  <c r="AF6" i="11"/>
  <c r="AF30" i="10"/>
  <c r="AF25" i="10" s="1"/>
  <c r="BB6" i="11"/>
  <c r="BB30" i="10"/>
  <c r="BB25" i="10" s="1"/>
  <c r="BF6" i="11"/>
  <c r="BF30" i="10"/>
  <c r="BF25" i="10" s="1"/>
  <c r="AK6" i="11"/>
  <c r="AK30" i="10"/>
  <c r="AK25" i="10" s="1"/>
  <c r="AQ15" i="11"/>
  <c r="F35" i="11"/>
  <c r="AO6" i="11"/>
  <c r="AO30" i="10"/>
  <c r="AO25" i="10" s="1"/>
  <c r="BE6" i="11"/>
  <c r="BE30" i="10"/>
  <c r="BE25" i="10" s="1"/>
  <c r="AX6" i="11"/>
  <c r="AX30" i="10"/>
  <c r="AX25" i="10" s="1"/>
  <c r="R6" i="11"/>
  <c r="R30" i="10"/>
  <c r="R25" i="10" s="1"/>
  <c r="V6" i="11"/>
  <c r="V30" i="10"/>
  <c r="V25" i="10" s="1"/>
  <c r="W6" i="11"/>
  <c r="W30" i="10"/>
  <c r="W25" i="10" s="1"/>
  <c r="AW6" i="11"/>
  <c r="AW30" i="10"/>
  <c r="AW25" i="10" s="1"/>
  <c r="M6" i="11"/>
  <c r="M30" i="10"/>
  <c r="BC15" i="11"/>
  <c r="G35" i="11"/>
  <c r="I49" i="8"/>
  <c r="Z30" i="10"/>
  <c r="Z25" i="10" s="1"/>
  <c r="Z6" i="11"/>
  <c r="AG30" i="10"/>
  <c r="AG25" i="10" s="1"/>
  <c r="AG6" i="11"/>
  <c r="AN6" i="11"/>
  <c r="AN30" i="10"/>
  <c r="AN25" i="10" s="1"/>
  <c r="AC6" i="11"/>
  <c r="AC30" i="10"/>
  <c r="AC25" i="10" s="1"/>
  <c r="AI6" i="11"/>
  <c r="AI30" i="10"/>
  <c r="AI25" i="10" s="1"/>
  <c r="BI6" i="11"/>
  <c r="BI30" i="10"/>
  <c r="BI25" i="10" s="1"/>
  <c r="E34" i="11"/>
  <c r="H30" i="10" l="1"/>
  <c r="H6" i="11"/>
  <c r="H16" i="1"/>
  <c r="G19" i="1"/>
  <c r="G7" i="1" s="1"/>
  <c r="D32" i="11"/>
  <c r="G32" i="11"/>
  <c r="F32" i="11"/>
  <c r="C12" i="8"/>
  <c r="C49" i="8" s="1"/>
  <c r="D12" i="8"/>
  <c r="D49" i="8" s="1"/>
  <c r="E12" i="8"/>
  <c r="E49" i="8" s="1"/>
  <c r="B19" i="1"/>
  <c r="B7" i="1" s="1"/>
  <c r="C7" i="1" s="1"/>
  <c r="D7" i="1" s="1"/>
  <c r="C16" i="1"/>
  <c r="G6" i="11"/>
  <c r="G30" i="10"/>
  <c r="C13" i="1"/>
  <c r="D13" i="1" s="1"/>
  <c r="G13" i="1"/>
  <c r="H13" i="1" s="1"/>
  <c r="I13" i="1" s="1"/>
  <c r="I6" i="11"/>
  <c r="I30" i="10"/>
  <c r="F6" i="11"/>
  <c r="F30" i="10"/>
  <c r="H12" i="1"/>
  <c r="G40" i="11"/>
  <c r="F40" i="11"/>
  <c r="E40" i="11"/>
  <c r="BI20" i="10" l="1"/>
  <c r="BI13" i="10" s="1"/>
  <c r="AW20" i="10"/>
  <c r="AW13" i="10" s="1"/>
  <c r="AK20" i="10"/>
  <c r="AK13" i="10" s="1"/>
  <c r="Y20" i="10"/>
  <c r="Y13" i="10" s="1"/>
  <c r="BH20" i="10"/>
  <c r="BH13" i="10" s="1"/>
  <c r="AV20" i="10"/>
  <c r="AV13" i="10" s="1"/>
  <c r="AJ20" i="10"/>
  <c r="AJ13" i="10" s="1"/>
  <c r="X20" i="10"/>
  <c r="X13" i="10" s="1"/>
  <c r="BG20" i="10"/>
  <c r="BG13" i="10" s="1"/>
  <c r="AU20" i="10"/>
  <c r="AU13" i="10" s="1"/>
  <c r="AI20" i="10"/>
  <c r="AI13" i="10" s="1"/>
  <c r="W20" i="10"/>
  <c r="W13" i="10" s="1"/>
  <c r="BF20" i="10"/>
  <c r="BF13" i="10" s="1"/>
  <c r="AT20" i="10"/>
  <c r="AT13" i="10" s="1"/>
  <c r="AH20" i="10"/>
  <c r="AH13" i="10" s="1"/>
  <c r="V20" i="10"/>
  <c r="V13" i="10" s="1"/>
  <c r="BD20" i="10"/>
  <c r="BD13" i="10" s="1"/>
  <c r="AR20" i="10"/>
  <c r="AR13" i="10" s="1"/>
  <c r="AF20" i="10"/>
  <c r="AF13" i="10" s="1"/>
  <c r="T20" i="10"/>
  <c r="T13" i="10" s="1"/>
  <c r="BE20" i="10"/>
  <c r="BE13" i="10" s="1"/>
  <c r="AM20" i="10"/>
  <c r="AM13" i="10" s="1"/>
  <c r="Q20" i="10"/>
  <c r="Q13" i="10" s="1"/>
  <c r="BC20" i="10"/>
  <c r="BC13" i="10" s="1"/>
  <c r="AL20" i="10"/>
  <c r="AL13" i="10" s="1"/>
  <c r="P20" i="10"/>
  <c r="P13" i="10" s="1"/>
  <c r="BB20" i="10"/>
  <c r="BB13" i="10" s="1"/>
  <c r="AG20" i="10"/>
  <c r="AG13" i="10" s="1"/>
  <c r="O20" i="10"/>
  <c r="BA20" i="10"/>
  <c r="BA13" i="10" s="1"/>
  <c r="AE20" i="10"/>
  <c r="AE13" i="10" s="1"/>
  <c r="AZ20" i="10"/>
  <c r="AZ13" i="10" s="1"/>
  <c r="AD20" i="10"/>
  <c r="AD13" i="10" s="1"/>
  <c r="AY20" i="10"/>
  <c r="AY13" i="10" s="1"/>
  <c r="AC20" i="10"/>
  <c r="AC13" i="10" s="1"/>
  <c r="AX20" i="10"/>
  <c r="AX13" i="10" s="1"/>
  <c r="AB20" i="10"/>
  <c r="AB13" i="10" s="1"/>
  <c r="AS20" i="10"/>
  <c r="AS13" i="10" s="1"/>
  <c r="AA20" i="10"/>
  <c r="AA13" i="10" s="1"/>
  <c r="AQ20" i="10"/>
  <c r="AQ13" i="10" s="1"/>
  <c r="Z20" i="10"/>
  <c r="Z13" i="10" s="1"/>
  <c r="AO20" i="10"/>
  <c r="AO13" i="10" s="1"/>
  <c r="S20" i="10"/>
  <c r="S13" i="10" s="1"/>
  <c r="U20" i="10"/>
  <c r="U13" i="10" s="1"/>
  <c r="R20" i="10"/>
  <c r="R13" i="10" s="1"/>
  <c r="BJ20" i="10"/>
  <c r="BJ13" i="10" s="1"/>
  <c r="AP20" i="10"/>
  <c r="AP13" i="10" s="1"/>
  <c r="AN20" i="10"/>
  <c r="AN13" i="10" s="1"/>
  <c r="H7" i="1"/>
  <c r="I7" i="1" s="1"/>
  <c r="I16" i="1"/>
  <c r="I19" i="1" s="1"/>
  <c r="H19" i="1"/>
  <c r="C19" i="1"/>
  <c r="D16" i="1"/>
  <c r="D19" i="1" s="1"/>
  <c r="D30" i="10"/>
  <c r="D6" i="11"/>
  <c r="C6" i="11"/>
  <c r="C30" i="10"/>
  <c r="N50" i="8"/>
  <c r="B12" i="1" s="1"/>
  <c r="E6" i="11"/>
  <c r="E30" i="10"/>
  <c r="G18" i="1"/>
  <c r="I12" i="1"/>
  <c r="I18" i="1" s="1"/>
  <c r="I20" i="1" s="1"/>
  <c r="H18" i="1"/>
  <c r="H20" i="1" s="1"/>
  <c r="AU5" i="11" l="1"/>
  <c r="AU11" i="11" s="1"/>
  <c r="AU7" i="10"/>
  <c r="C32" i="11"/>
  <c r="X5" i="11"/>
  <c r="X11" i="11" s="1"/>
  <c r="X7" i="10"/>
  <c r="C12" i="1"/>
  <c r="B18" i="1"/>
  <c r="BG5" i="11"/>
  <c r="BG11" i="11" s="1"/>
  <c r="BG7" i="10"/>
  <c r="AJ5" i="11"/>
  <c r="AJ11" i="11" s="1"/>
  <c r="AJ7" i="10"/>
  <c r="AP5" i="11"/>
  <c r="AP11" i="11" s="1"/>
  <c r="AP7" i="10"/>
  <c r="BJ5" i="11"/>
  <c r="BJ11" i="11" s="1"/>
  <c r="BJ7" i="10"/>
  <c r="U5" i="11"/>
  <c r="U11" i="11" s="1"/>
  <c r="U7" i="10"/>
  <c r="AZ5" i="11"/>
  <c r="AZ11" i="11" s="1"/>
  <c r="AZ7" i="10"/>
  <c r="T5" i="11"/>
  <c r="T11" i="11" s="1"/>
  <c r="T7" i="10"/>
  <c r="S5" i="11"/>
  <c r="S11" i="11" s="1"/>
  <c r="S7" i="10"/>
  <c r="AE5" i="11"/>
  <c r="AE11" i="11" s="1"/>
  <c r="AE7" i="10"/>
  <c r="AF5" i="11"/>
  <c r="AF11" i="11" s="1"/>
  <c r="AF7" i="10"/>
  <c r="AO5" i="11"/>
  <c r="AO11" i="11" s="1"/>
  <c r="AO7" i="10"/>
  <c r="BA5" i="11"/>
  <c r="BA11" i="11" s="1"/>
  <c r="BA7" i="10"/>
  <c r="AR5" i="11"/>
  <c r="AR11" i="11" s="1"/>
  <c r="AR7" i="10"/>
  <c r="AV5" i="11"/>
  <c r="AV11" i="11" s="1"/>
  <c r="AV7" i="10"/>
  <c r="AI5" i="11"/>
  <c r="AI11" i="11" s="1"/>
  <c r="AI7" i="10"/>
  <c r="AD5" i="11"/>
  <c r="AD11" i="11" s="1"/>
  <c r="AD7" i="10"/>
  <c r="Z5" i="11"/>
  <c r="Z11" i="11" s="1"/>
  <c r="Z7" i="10"/>
  <c r="Y5" i="11"/>
  <c r="Y11" i="11" s="1"/>
  <c r="Y7" i="10"/>
  <c r="AC5" i="11"/>
  <c r="AC11" i="11" s="1"/>
  <c r="AC7" i="10"/>
  <c r="AA5" i="11"/>
  <c r="AA7" i="10"/>
  <c r="BB5" i="11"/>
  <c r="BB11" i="11" s="1"/>
  <c r="BB7" i="10"/>
  <c r="AH5" i="11"/>
  <c r="AH11" i="11" s="1"/>
  <c r="AH7" i="10"/>
  <c r="AK5" i="11"/>
  <c r="AK11" i="11" s="1"/>
  <c r="AK7" i="10"/>
  <c r="R5" i="11"/>
  <c r="R11" i="11" s="1"/>
  <c r="R7" i="10"/>
  <c r="BH5" i="11"/>
  <c r="BH11" i="11" s="1"/>
  <c r="BH7" i="10"/>
  <c r="AQ5" i="11"/>
  <c r="AQ11" i="11" s="1"/>
  <c r="AQ7" i="10"/>
  <c r="AS5" i="11"/>
  <c r="AS11" i="11" s="1"/>
  <c r="AS7" i="10"/>
  <c r="P5" i="11"/>
  <c r="P11" i="11" s="1"/>
  <c r="P7" i="10"/>
  <c r="AT5" i="11"/>
  <c r="AT11" i="11" s="1"/>
  <c r="AT7" i="10"/>
  <c r="AW5" i="11"/>
  <c r="AW11" i="11" s="1"/>
  <c r="AW7" i="10"/>
  <c r="AY5" i="11"/>
  <c r="AY7" i="10"/>
  <c r="AG5" i="11"/>
  <c r="AG11" i="11" s="1"/>
  <c r="AG7" i="10"/>
  <c r="AB5" i="11"/>
  <c r="AB11" i="11" s="1"/>
  <c r="AB7" i="10"/>
  <c r="AL5" i="11"/>
  <c r="AL11" i="11" s="1"/>
  <c r="AL7" i="10"/>
  <c r="BF7" i="10"/>
  <c r="BF5" i="11"/>
  <c r="BF11" i="11" s="1"/>
  <c r="BI5" i="11"/>
  <c r="BI11" i="11" s="1"/>
  <c r="BI7" i="10"/>
  <c r="Q5" i="11"/>
  <c r="Q11" i="11" s="1"/>
  <c r="Q7" i="10"/>
  <c r="AM5" i="11"/>
  <c r="AM7" i="10"/>
  <c r="BE5" i="11"/>
  <c r="BE11" i="11" s="1"/>
  <c r="BE7" i="10"/>
  <c r="O13" i="10"/>
  <c r="G12" i="4"/>
  <c r="BD7" i="10"/>
  <c r="BD5" i="11"/>
  <c r="BD11" i="11" s="1"/>
  <c r="V5" i="11"/>
  <c r="V11" i="11" s="1"/>
  <c r="V7" i="10"/>
  <c r="G20" i="1"/>
  <c r="G6" i="1"/>
  <c r="AN5" i="11"/>
  <c r="AN11" i="11" s="1"/>
  <c r="AN7" i="10"/>
  <c r="AX7" i="10"/>
  <c r="AX5" i="11"/>
  <c r="AX11" i="11" s="1"/>
  <c r="BC5" i="11"/>
  <c r="BC11" i="11" s="1"/>
  <c r="BC7" i="10"/>
  <c r="W5" i="11"/>
  <c r="W11" i="11" s="1"/>
  <c r="W7" i="10"/>
  <c r="BJ12" i="11" l="1"/>
  <c r="BJ13" i="11"/>
  <c r="C18" i="1"/>
  <c r="C20" i="1" s="1"/>
  <c r="D12" i="1"/>
  <c r="D18" i="1" s="1"/>
  <c r="D20" i="1" s="1"/>
  <c r="Z12" i="11"/>
  <c r="Z13" i="11" s="1"/>
  <c r="Z16" i="11" s="1"/>
  <c r="U12" i="11"/>
  <c r="U13" i="11"/>
  <c r="U16" i="11" s="1"/>
  <c r="O5" i="11"/>
  <c r="O7" i="10"/>
  <c r="R13" i="11"/>
  <c r="R16" i="11" s="1"/>
  <c r="R12" i="11"/>
  <c r="E31" i="11"/>
  <c r="E36" i="11" s="1"/>
  <c r="AA11" i="11"/>
  <c r="BA12" i="11"/>
  <c r="BA13" i="11" s="1"/>
  <c r="BA16" i="11" s="1"/>
  <c r="AX12" i="11"/>
  <c r="AX13" i="11" s="1"/>
  <c r="AX16" i="11" s="1"/>
  <c r="BB12" i="11"/>
  <c r="BB13" i="11" s="1"/>
  <c r="BB16" i="11" s="1"/>
  <c r="AE12" i="11"/>
  <c r="AE13" i="11" s="1"/>
  <c r="AE16" i="11" s="1"/>
  <c r="BI13" i="11"/>
  <c r="BI16" i="11" s="1"/>
  <c r="BI12" i="11"/>
  <c r="BF12" i="11"/>
  <c r="BF13" i="11"/>
  <c r="BF16" i="11" s="1"/>
  <c r="AD12" i="11"/>
  <c r="AD13" i="11" s="1"/>
  <c r="AD16" i="11" s="1"/>
  <c r="S12" i="11"/>
  <c r="S13" i="11" s="1"/>
  <c r="S16" i="11" s="1"/>
  <c r="Q12" i="11"/>
  <c r="Q13" i="11" s="1"/>
  <c r="Q16" i="11" s="1"/>
  <c r="P12" i="11"/>
  <c r="P13" i="11" s="1"/>
  <c r="P16" i="11" s="1"/>
  <c r="AY11" i="11"/>
  <c r="G31" i="11"/>
  <c r="G36" i="11" s="1"/>
  <c r="X12" i="11"/>
  <c r="X13" i="11" s="1"/>
  <c r="X16" i="11" s="1"/>
  <c r="BE12" i="11"/>
  <c r="BE13" i="11" s="1"/>
  <c r="BE16" i="11" s="1"/>
  <c r="AK12" i="11"/>
  <c r="AK13" i="11" s="1"/>
  <c r="AK16" i="11" s="1"/>
  <c r="T12" i="11"/>
  <c r="T13" i="11"/>
  <c r="T16" i="11" s="1"/>
  <c r="AP12" i="11"/>
  <c r="AP13" i="11" s="1"/>
  <c r="AP16" i="11" s="1"/>
  <c r="BG13" i="11"/>
  <c r="BG16" i="11" s="1"/>
  <c r="BG12" i="11"/>
  <c r="AI12" i="11"/>
  <c r="AI13" i="11"/>
  <c r="AI16" i="11" s="1"/>
  <c r="W12" i="11"/>
  <c r="W13" i="11" s="1"/>
  <c r="W16" i="11" s="1"/>
  <c r="BH12" i="11"/>
  <c r="BH13" i="11" s="1"/>
  <c r="BH16" i="11" s="1"/>
  <c r="AR12" i="11"/>
  <c r="AR13" i="11"/>
  <c r="AR16" i="11" s="1"/>
  <c r="B6" i="1"/>
  <c r="B20" i="1"/>
  <c r="L18" i="10"/>
  <c r="I17" i="10"/>
  <c r="D16" i="10"/>
  <c r="N19" i="10"/>
  <c r="H6" i="1"/>
  <c r="G8" i="1"/>
  <c r="B29" i="1" s="1"/>
  <c r="AO12" i="11"/>
  <c r="AO13" i="11" s="1"/>
  <c r="AO16" i="11" s="1"/>
  <c r="F31" i="11"/>
  <c r="F36" i="11" s="1"/>
  <c r="AM11" i="11"/>
  <c r="AL12" i="11"/>
  <c r="AL13" i="11" s="1"/>
  <c r="AL16" i="11" s="1"/>
  <c r="AW12" i="11"/>
  <c r="AW13" i="11" s="1"/>
  <c r="AW16" i="11" s="1"/>
  <c r="AQ12" i="11"/>
  <c r="AQ13" i="11" s="1"/>
  <c r="AQ16" i="11" s="1"/>
  <c r="AZ12" i="11"/>
  <c r="AZ13" i="11" s="1"/>
  <c r="AZ16" i="11" s="1"/>
  <c r="AT12" i="11"/>
  <c r="AT13" i="11" s="1"/>
  <c r="AT16" i="11" s="1"/>
  <c r="AG12" i="11"/>
  <c r="AG13" i="11" s="1"/>
  <c r="AG16" i="11" s="1"/>
  <c r="AS12" i="11"/>
  <c r="AS13" i="11" s="1"/>
  <c r="AS16" i="11" s="1"/>
  <c r="V13" i="11"/>
  <c r="V16" i="11" s="1"/>
  <c r="V12" i="11"/>
  <c r="Y12" i="11"/>
  <c r="Y13" i="11" s="1"/>
  <c r="Y16" i="11" s="1"/>
  <c r="AV12" i="11"/>
  <c r="AV13" i="11"/>
  <c r="AV16" i="11" s="1"/>
  <c r="AF12" i="11"/>
  <c r="AF13" i="11" s="1"/>
  <c r="AF16" i="11" s="1"/>
  <c r="AJ12" i="11"/>
  <c r="AJ13" i="11" s="1"/>
  <c r="AJ16" i="11" s="1"/>
  <c r="BD12" i="11"/>
  <c r="BD13" i="11" s="1"/>
  <c r="BD16" i="11" s="1"/>
  <c r="AN13" i="11"/>
  <c r="AN16" i="11" s="1"/>
  <c r="AN12" i="11"/>
  <c r="AC12" i="11"/>
  <c r="AC13" i="11" s="1"/>
  <c r="AC16" i="11" s="1"/>
  <c r="AH12" i="11"/>
  <c r="AH13" i="11"/>
  <c r="AH16" i="11" s="1"/>
  <c r="BC12" i="11"/>
  <c r="BC13" i="11" s="1"/>
  <c r="BC16" i="11" s="1"/>
  <c r="AB12" i="11"/>
  <c r="AB13" i="11"/>
  <c r="AB16" i="11" s="1"/>
  <c r="AU12" i="11"/>
  <c r="AU13" i="11" s="1"/>
  <c r="AU16" i="11" s="1"/>
  <c r="Q20" i="11" l="1"/>
  <c r="Q37" i="3"/>
  <c r="AG20" i="11"/>
  <c r="AG37" i="3"/>
  <c r="AZ20" i="11"/>
  <c r="AZ37" i="3"/>
  <c r="AQ20" i="11"/>
  <c r="AQ37" i="3"/>
  <c r="AS20" i="11"/>
  <c r="AS37" i="3"/>
  <c r="AC20" i="11"/>
  <c r="AC37" i="3"/>
  <c r="AT20" i="11"/>
  <c r="AT37" i="3"/>
  <c r="AW20" i="11"/>
  <c r="AW37" i="3"/>
  <c r="AL20" i="11"/>
  <c r="AL37" i="3"/>
  <c r="Z20" i="11"/>
  <c r="Z37" i="3"/>
  <c r="BB20" i="11"/>
  <c r="BB37" i="3"/>
  <c r="BA20" i="11"/>
  <c r="BA37" i="3"/>
  <c r="S20" i="11"/>
  <c r="S37" i="3"/>
  <c r="AD20" i="11"/>
  <c r="AD37" i="3"/>
  <c r="AP20" i="11"/>
  <c r="AP37" i="3"/>
  <c r="BD20" i="11"/>
  <c r="BD37" i="3"/>
  <c r="AJ20" i="11"/>
  <c r="AJ37" i="3"/>
  <c r="AK20" i="11"/>
  <c r="AK37" i="3"/>
  <c r="AF20" i="11"/>
  <c r="AF37" i="3"/>
  <c r="BE20" i="11"/>
  <c r="BE37" i="3"/>
  <c r="AE20" i="11"/>
  <c r="AE37" i="3"/>
  <c r="AU20" i="11"/>
  <c r="AU37" i="3"/>
  <c r="X20" i="11"/>
  <c r="X37" i="3"/>
  <c r="BH20" i="11"/>
  <c r="BH37" i="3"/>
  <c r="AX20" i="11"/>
  <c r="AX37" i="3"/>
  <c r="Y20" i="11"/>
  <c r="Y37" i="3"/>
  <c r="AO20" i="11"/>
  <c r="AO37" i="3"/>
  <c r="W20" i="11"/>
  <c r="W37" i="3"/>
  <c r="BC20" i="11"/>
  <c r="BC37" i="3"/>
  <c r="P20" i="11"/>
  <c r="P37" i="3"/>
  <c r="D31" i="11"/>
  <c r="D36" i="11" s="1"/>
  <c r="O11" i="11"/>
  <c r="V20" i="11"/>
  <c r="V37" i="3"/>
  <c r="C6" i="1"/>
  <c r="B8" i="1"/>
  <c r="T20" i="11"/>
  <c r="T37" i="3"/>
  <c r="BI20" i="11"/>
  <c r="BI37" i="3"/>
  <c r="AB20" i="11"/>
  <c r="AB37" i="3"/>
  <c r="AM12" i="11"/>
  <c r="AM13" i="11" s="1"/>
  <c r="AM16" i="11" s="1"/>
  <c r="AH20" i="11"/>
  <c r="AH37" i="3"/>
  <c r="I6" i="1"/>
  <c r="I8" i="1" s="1"/>
  <c r="H8" i="1"/>
  <c r="L13" i="10"/>
  <c r="G10" i="4"/>
  <c r="AY12" i="11"/>
  <c r="AY13" i="11" s="1"/>
  <c r="AY16" i="11" s="1"/>
  <c r="U20" i="11"/>
  <c r="U37" i="3"/>
  <c r="N13" i="10"/>
  <c r="G11" i="4"/>
  <c r="AA12" i="11"/>
  <c r="AA13" i="11" s="1"/>
  <c r="AA16" i="11" s="1"/>
  <c r="BG20" i="11"/>
  <c r="BG37" i="3"/>
  <c r="F37" i="11"/>
  <c r="F38" i="11"/>
  <c r="AV20" i="11"/>
  <c r="AV37" i="3"/>
  <c r="AI20" i="11"/>
  <c r="AI37" i="3"/>
  <c r="D13" i="10"/>
  <c r="G8" i="4"/>
  <c r="E37" i="11"/>
  <c r="E38" i="11"/>
  <c r="AN20" i="11"/>
  <c r="AN37" i="3"/>
  <c r="R20" i="11"/>
  <c r="R37" i="3"/>
  <c r="AR20" i="11"/>
  <c r="AR37" i="3"/>
  <c r="BF20" i="11"/>
  <c r="BF37" i="3"/>
  <c r="I13" i="10"/>
  <c r="G9" i="4"/>
  <c r="G37" i="11"/>
  <c r="G38" i="11" s="1"/>
  <c r="AY20" i="11" l="1"/>
  <c r="AY37" i="3"/>
  <c r="AA20" i="11"/>
  <c r="AA37" i="3"/>
  <c r="AM20" i="11"/>
  <c r="AM37" i="3"/>
  <c r="L5" i="11"/>
  <c r="B50" i="11"/>
  <c r="J31" i="11" s="1"/>
  <c r="B14" i="11"/>
  <c r="B29" i="10" s="1"/>
  <c r="B25" i="10" s="1"/>
  <c r="B26" i="10" s="1"/>
  <c r="B35" i="3" s="1"/>
  <c r="F4" i="4"/>
  <c r="B30" i="1"/>
  <c r="D6" i="1"/>
  <c r="D8" i="1" s="1"/>
  <c r="C8" i="1"/>
  <c r="I5" i="11"/>
  <c r="O12" i="11"/>
  <c r="O13" i="11" s="1"/>
  <c r="O16" i="11" s="1"/>
  <c r="D5" i="11"/>
  <c r="N5" i="11"/>
  <c r="D37" i="11"/>
  <c r="D38" i="11"/>
  <c r="D41" i="11" s="1"/>
  <c r="D45" i="11" s="1"/>
  <c r="O20" i="11" l="1"/>
  <c r="O37" i="3"/>
  <c r="B21" i="10"/>
  <c r="B18" i="4"/>
  <c r="H4" i="4"/>
  <c r="G4" i="4" s="1"/>
  <c r="J33" i="11"/>
  <c r="J36" i="11" s="1"/>
  <c r="M32" i="11"/>
  <c r="L32" i="11"/>
  <c r="K32" i="11"/>
  <c r="J32" i="11"/>
  <c r="N32" i="11"/>
  <c r="BJ14" i="11"/>
  <c r="BJ16" i="11" s="1"/>
  <c r="C31" i="11"/>
  <c r="C36" i="11" s="1"/>
  <c r="C37" i="11" l="1"/>
  <c r="C38" i="11"/>
  <c r="C41" i="11" s="1"/>
  <c r="C45" i="11" s="1"/>
  <c r="BJ20" i="11"/>
  <c r="BJ37" i="3"/>
  <c r="C38" i="4"/>
  <c r="C31" i="4"/>
  <c r="C20" i="4"/>
  <c r="C30" i="4"/>
  <c r="C25" i="4"/>
  <c r="C24" i="4"/>
  <c r="C23" i="4"/>
  <c r="C32" i="4"/>
  <c r="C35" i="4"/>
  <c r="C39" i="4"/>
  <c r="C26" i="4"/>
  <c r="C27" i="4"/>
  <c r="C22" i="4"/>
  <c r="C18" i="4"/>
  <c r="C19" i="4"/>
  <c r="C40" i="4"/>
  <c r="C28" i="4"/>
  <c r="C29" i="4"/>
  <c r="C37" i="4"/>
  <c r="C33" i="4"/>
  <c r="C36" i="4"/>
  <c r="C41" i="4"/>
  <c r="D18" i="4"/>
  <c r="H18" i="4" s="1"/>
  <c r="C34" i="4"/>
  <c r="C21" i="4"/>
  <c r="B13" i="10"/>
  <c r="G13" i="4"/>
  <c r="J37" i="11"/>
  <c r="J34" i="11"/>
  <c r="K9" i="11" l="1"/>
  <c r="J9" i="11"/>
  <c r="I9" i="11"/>
  <c r="H9" i="11"/>
  <c r="G9" i="11"/>
  <c r="E9" i="11"/>
  <c r="D9" i="11"/>
  <c r="C9" i="11"/>
  <c r="N9" i="11"/>
  <c r="M9" i="11"/>
  <c r="L9" i="11"/>
  <c r="F9" i="11"/>
  <c r="E18" i="4"/>
  <c r="J38" i="11"/>
  <c r="J39" i="11" s="1"/>
  <c r="K31" i="11"/>
  <c r="B5" i="11"/>
  <c r="B14" i="10"/>
  <c r="C14" i="10" s="1"/>
  <c r="D14" i="10" s="1"/>
  <c r="E14" i="10" s="1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AM14" i="10" s="1"/>
  <c r="AN14" i="10" s="1"/>
  <c r="AO14" i="10" s="1"/>
  <c r="AP14" i="10" s="1"/>
  <c r="AQ14" i="10" s="1"/>
  <c r="AR14" i="10" s="1"/>
  <c r="AS14" i="10" s="1"/>
  <c r="AT14" i="10" s="1"/>
  <c r="AU14" i="10" s="1"/>
  <c r="AV14" i="10" s="1"/>
  <c r="AW14" i="10" s="1"/>
  <c r="AX14" i="10" s="1"/>
  <c r="AY14" i="10" s="1"/>
  <c r="AZ14" i="10" s="1"/>
  <c r="BA14" i="10" s="1"/>
  <c r="BB14" i="10" s="1"/>
  <c r="BC14" i="10" s="1"/>
  <c r="BD14" i="10" s="1"/>
  <c r="BE14" i="10" s="1"/>
  <c r="BF14" i="10" s="1"/>
  <c r="BG14" i="10" s="1"/>
  <c r="BH14" i="10" s="1"/>
  <c r="BI14" i="10" s="1"/>
  <c r="BJ14" i="10" s="1"/>
  <c r="B7" i="10"/>
  <c r="B8" i="10" s="1"/>
  <c r="I18" i="4"/>
  <c r="J18" i="4" s="1"/>
  <c r="N29" i="10" l="1"/>
  <c r="N25" i="10" s="1"/>
  <c r="N11" i="11"/>
  <c r="G29" i="10"/>
  <c r="G25" i="10" s="1"/>
  <c r="G11" i="11"/>
  <c r="H29" i="10"/>
  <c r="H25" i="10" s="1"/>
  <c r="H11" i="11"/>
  <c r="J29" i="10"/>
  <c r="J25" i="10" s="1"/>
  <c r="J11" i="11"/>
  <c r="K33" i="11"/>
  <c r="D29" i="10"/>
  <c r="D25" i="10" s="1"/>
  <c r="D11" i="11"/>
  <c r="I29" i="10"/>
  <c r="I25" i="10" s="1"/>
  <c r="I11" i="11"/>
  <c r="K29" i="10"/>
  <c r="K25" i="10" s="1"/>
  <c r="K11" i="11"/>
  <c r="M29" i="10"/>
  <c r="M25" i="10" s="1"/>
  <c r="M11" i="11"/>
  <c r="C29" i="10"/>
  <c r="C25" i="10" s="1"/>
  <c r="C11" i="11"/>
  <c r="E29" i="10"/>
  <c r="E25" i="10" s="1"/>
  <c r="E11" i="11"/>
  <c r="K18" i="4"/>
  <c r="L18" i="4" s="1"/>
  <c r="B19" i="4"/>
  <c r="F29" i="10"/>
  <c r="F25" i="10" s="1"/>
  <c r="F11" i="11"/>
  <c r="B16" i="11"/>
  <c r="B34" i="3"/>
  <c r="C34" i="3" s="1"/>
  <c r="D34" i="3" s="1"/>
  <c r="E34" i="3" s="1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L29" i="10"/>
  <c r="L25" i="10" s="1"/>
  <c r="L11" i="11"/>
  <c r="J7" i="10" l="1"/>
  <c r="D12" i="11"/>
  <c r="D13" i="11"/>
  <c r="D16" i="11" s="1"/>
  <c r="C7" i="10"/>
  <c r="C8" i="10" s="1"/>
  <c r="C26" i="10"/>
  <c r="C35" i="3" s="1"/>
  <c r="M12" i="11"/>
  <c r="M13" i="11" s="1"/>
  <c r="M16" i="11" s="1"/>
  <c r="G12" i="11"/>
  <c r="G13" i="11" s="1"/>
  <c r="G16" i="11" s="1"/>
  <c r="H12" i="11"/>
  <c r="H13" i="11" s="1"/>
  <c r="H16" i="11" s="1"/>
  <c r="K12" i="11"/>
  <c r="K13" i="11" s="1"/>
  <c r="K16" i="11" s="1"/>
  <c r="G7" i="10"/>
  <c r="D7" i="10"/>
  <c r="K36" i="11"/>
  <c r="K34" i="11"/>
  <c r="L12" i="11"/>
  <c r="L13" i="11" s="1"/>
  <c r="L16" i="11" s="1"/>
  <c r="C13" i="11"/>
  <c r="C16" i="11" s="1"/>
  <c r="C12" i="11"/>
  <c r="J12" i="11"/>
  <c r="J13" i="11" s="1"/>
  <c r="J16" i="11" s="1"/>
  <c r="M7" i="10"/>
  <c r="F12" i="11"/>
  <c r="F13" i="11" s="1"/>
  <c r="F16" i="11" s="1"/>
  <c r="I12" i="11"/>
  <c r="I13" i="11" s="1"/>
  <c r="I16" i="11" s="1"/>
  <c r="N12" i="11"/>
  <c r="N13" i="11"/>
  <c r="N16" i="11" s="1"/>
  <c r="E12" i="11"/>
  <c r="E13" i="11" s="1"/>
  <c r="E16" i="11" s="1"/>
  <c r="E7" i="10"/>
  <c r="L7" i="10"/>
  <c r="G39" i="11"/>
  <c r="G41" i="11" s="1"/>
  <c r="G45" i="11" s="1"/>
  <c r="F39" i="11"/>
  <c r="F41" i="11" s="1"/>
  <c r="F45" i="11" s="1"/>
  <c r="B20" i="11"/>
  <c r="B21" i="11"/>
  <c r="E39" i="11"/>
  <c r="E41" i="11" s="1"/>
  <c r="E45" i="11" s="1"/>
  <c r="B39" i="11"/>
  <c r="B41" i="11" s="1"/>
  <c r="B37" i="3"/>
  <c r="H7" i="10"/>
  <c r="F7" i="10"/>
  <c r="K7" i="10"/>
  <c r="D19" i="4"/>
  <c r="I7" i="10"/>
  <c r="N7" i="10"/>
  <c r="J20" i="11" l="1"/>
  <c r="J37" i="3"/>
  <c r="E20" i="11"/>
  <c r="E37" i="3"/>
  <c r="K20" i="11"/>
  <c r="K37" i="3"/>
  <c r="I20" i="11"/>
  <c r="I37" i="3"/>
  <c r="H20" i="11"/>
  <c r="H37" i="3"/>
  <c r="F20" i="11"/>
  <c r="F37" i="3"/>
  <c r="G20" i="11"/>
  <c r="G37" i="3"/>
  <c r="M20" i="11"/>
  <c r="M37" i="3"/>
  <c r="L20" i="11"/>
  <c r="L37" i="3"/>
  <c r="B26" i="11"/>
  <c r="G22" i="1" s="1"/>
  <c r="C20" i="11"/>
  <c r="C21" i="11" s="1"/>
  <c r="C38" i="3" s="1"/>
  <c r="C37" i="3"/>
  <c r="K37" i="11"/>
  <c r="K39" i="11"/>
  <c r="N20" i="11"/>
  <c r="N37" i="3"/>
  <c r="H19" i="4"/>
  <c r="E19" i="4"/>
  <c r="B46" i="11"/>
  <c r="C46" i="11" s="1"/>
  <c r="D46" i="11" s="1"/>
  <c r="E46" i="11" s="1"/>
  <c r="B38" i="3"/>
  <c r="K38" i="11"/>
  <c r="L31" i="11"/>
  <c r="D8" i="10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AG8" i="10" s="1"/>
  <c r="AH8" i="10" s="1"/>
  <c r="AI8" i="10" s="1"/>
  <c r="AJ8" i="10" s="1"/>
  <c r="AK8" i="10" s="1"/>
  <c r="AL8" i="10" s="1"/>
  <c r="AM8" i="10" s="1"/>
  <c r="AN8" i="10" s="1"/>
  <c r="AO8" i="10" s="1"/>
  <c r="AP8" i="10" s="1"/>
  <c r="AQ8" i="10" s="1"/>
  <c r="AR8" i="10" s="1"/>
  <c r="AS8" i="10" s="1"/>
  <c r="AT8" i="10" s="1"/>
  <c r="AU8" i="10" s="1"/>
  <c r="AV8" i="10" s="1"/>
  <c r="AW8" i="10" s="1"/>
  <c r="AX8" i="10" s="1"/>
  <c r="AY8" i="10" s="1"/>
  <c r="AZ8" i="10" s="1"/>
  <c r="BA8" i="10" s="1"/>
  <c r="BB8" i="10" s="1"/>
  <c r="BC8" i="10" s="1"/>
  <c r="BD8" i="10" s="1"/>
  <c r="BE8" i="10" s="1"/>
  <c r="BF8" i="10" s="1"/>
  <c r="BG8" i="10" s="1"/>
  <c r="BH8" i="10" s="1"/>
  <c r="BI8" i="10" s="1"/>
  <c r="BJ8" i="10" s="1"/>
  <c r="C40" i="3" a="1"/>
  <c r="C40" i="3" s="1"/>
  <c r="B40" i="3" a="1"/>
  <c r="B40" i="3" s="1"/>
  <c r="D26" i="10"/>
  <c r="D20" i="11"/>
  <c r="D21" i="11" s="1"/>
  <c r="D38" i="3" s="1"/>
  <c r="D37" i="3"/>
  <c r="D35" i="3" l="1"/>
  <c r="E26" i="10"/>
  <c r="E21" i="11"/>
  <c r="E38" i="3" s="1"/>
  <c r="B42" i="3"/>
  <c r="L33" i="11"/>
  <c r="B52" i="11"/>
  <c r="F46" i="11"/>
  <c r="G46" i="11" s="1"/>
  <c r="K19" i="4"/>
  <c r="B20" i="4"/>
  <c r="I19" i="4"/>
  <c r="J19" i="4" s="1"/>
  <c r="D20" i="4" l="1"/>
  <c r="F21" i="11"/>
  <c r="E35" i="3"/>
  <c r="F26" i="10"/>
  <c r="L19" i="4"/>
  <c r="L36" i="11"/>
  <c r="L34" i="11"/>
  <c r="L38" i="11" l="1"/>
  <c r="M31" i="11"/>
  <c r="L37" i="11"/>
  <c r="L39" i="11" s="1"/>
  <c r="B53" i="11" s="1" a="1"/>
  <c r="B53" i="11" s="1"/>
  <c r="B54" i="11" s="1"/>
  <c r="F35" i="3"/>
  <c r="G26" i="10"/>
  <c r="F38" i="3"/>
  <c r="G21" i="11"/>
  <c r="H20" i="4"/>
  <c r="E20" i="4"/>
  <c r="G35" i="3" l="1"/>
  <c r="H26" i="10"/>
  <c r="K20" i="4"/>
  <c r="B21" i="4"/>
  <c r="I20" i="4"/>
  <c r="J20" i="4" s="1"/>
  <c r="G38" i="3"/>
  <c r="H21" i="11"/>
  <c r="M33" i="11"/>
  <c r="M36" i="11" l="1"/>
  <c r="M34" i="11"/>
  <c r="H38" i="3"/>
  <c r="I21" i="11"/>
  <c r="L20" i="4"/>
  <c r="D21" i="4"/>
  <c r="H35" i="3"/>
  <c r="I26" i="10"/>
  <c r="I35" i="3" l="1"/>
  <c r="J26" i="10"/>
  <c r="M38" i="11"/>
  <c r="N31" i="11"/>
  <c r="N33" i="11" s="1"/>
  <c r="H21" i="4"/>
  <c r="E21" i="4"/>
  <c r="I38" i="3"/>
  <c r="J21" i="11"/>
  <c r="M37" i="11"/>
  <c r="M39" i="11" s="1"/>
  <c r="J38" i="3" l="1"/>
  <c r="K21" i="11"/>
  <c r="K21" i="4"/>
  <c r="B22" i="4"/>
  <c r="I21" i="4"/>
  <c r="J21" i="4" s="1"/>
  <c r="N36" i="11"/>
  <c r="N34" i="11"/>
  <c r="N38" i="11" s="1"/>
  <c r="J35" i="3"/>
  <c r="K26" i="10"/>
  <c r="K35" i="3" l="1"/>
  <c r="L26" i="10"/>
  <c r="L21" i="4"/>
  <c r="N37" i="11"/>
  <c r="N39" i="11" s="1"/>
  <c r="D22" i="4"/>
  <c r="K38" i="3"/>
  <c r="L21" i="11"/>
  <c r="L35" i="3" l="1"/>
  <c r="M26" i="10"/>
  <c r="L38" i="3"/>
  <c r="M21" i="11"/>
  <c r="H22" i="4"/>
  <c r="E22" i="4"/>
  <c r="K22" i="4" l="1"/>
  <c r="B23" i="4"/>
  <c r="I22" i="4"/>
  <c r="J22" i="4" s="1"/>
  <c r="M38" i="3"/>
  <c r="N21" i="11"/>
  <c r="M35" i="3"/>
  <c r="N26" i="10"/>
  <c r="N38" i="3" l="1"/>
  <c r="O21" i="11"/>
  <c r="N35" i="3"/>
  <c r="O26" i="10"/>
  <c r="D23" i="4"/>
  <c r="L22" i="4"/>
  <c r="H23" i="4" l="1"/>
  <c r="E23" i="4"/>
  <c r="O38" i="3"/>
  <c r="P21" i="11"/>
  <c r="O35" i="3"/>
  <c r="P26" i="10"/>
  <c r="P38" i="3" l="1"/>
  <c r="Q21" i="11"/>
  <c r="P35" i="3"/>
  <c r="Q26" i="10"/>
  <c r="K23" i="4"/>
  <c r="B24" i="4"/>
  <c r="I23" i="4"/>
  <c r="J23" i="4" s="1"/>
  <c r="D24" i="4" l="1"/>
  <c r="L23" i="4"/>
  <c r="Q38" i="3"/>
  <c r="R21" i="11"/>
  <c r="Q35" i="3"/>
  <c r="R26" i="10"/>
  <c r="R35" i="3" l="1"/>
  <c r="S26" i="10"/>
  <c r="R38" i="3"/>
  <c r="S21" i="11"/>
  <c r="H24" i="4"/>
  <c r="E24" i="4"/>
  <c r="K24" i="4" l="1"/>
  <c r="B25" i="4"/>
  <c r="S35" i="3"/>
  <c r="T26" i="10"/>
  <c r="I24" i="4"/>
  <c r="J24" i="4" s="1"/>
  <c r="S38" i="3"/>
  <c r="T21" i="11"/>
  <c r="T38" i="3" l="1"/>
  <c r="U21" i="11"/>
  <c r="T35" i="3"/>
  <c r="U26" i="10"/>
  <c r="D25" i="4"/>
  <c r="L24" i="4"/>
  <c r="U35" i="3" l="1"/>
  <c r="V26" i="10"/>
  <c r="H25" i="4"/>
  <c r="E25" i="4"/>
  <c r="U38" i="3"/>
  <c r="V21" i="11"/>
  <c r="V38" i="3" l="1"/>
  <c r="W21" i="11"/>
  <c r="K25" i="4"/>
  <c r="B26" i="4"/>
  <c r="V35" i="3"/>
  <c r="W26" i="10"/>
  <c r="I25" i="4"/>
  <c r="J25" i="4" s="1"/>
  <c r="W35" i="3" l="1"/>
  <c r="X26" i="10"/>
  <c r="D26" i="4"/>
  <c r="L25" i="4"/>
  <c r="W38" i="3"/>
  <c r="X21" i="11"/>
  <c r="H26" i="4" l="1"/>
  <c r="E26" i="4"/>
  <c r="X38" i="3"/>
  <c r="Y21" i="11"/>
  <c r="X35" i="3"/>
  <c r="Y26" i="10"/>
  <c r="K26" i="4" l="1"/>
  <c r="B27" i="4"/>
  <c r="Y35" i="3"/>
  <c r="Z26" i="10"/>
  <c r="Y38" i="3"/>
  <c r="Z21" i="11"/>
  <c r="I26" i="4"/>
  <c r="J26" i="4" s="1"/>
  <c r="Z38" i="3" l="1"/>
  <c r="AA21" i="11"/>
  <c r="Z35" i="3"/>
  <c r="AA26" i="10"/>
  <c r="D27" i="4"/>
  <c r="L26" i="4"/>
  <c r="H27" i="4" l="1"/>
  <c r="E27" i="4"/>
  <c r="AA35" i="3"/>
  <c r="AB26" i="10"/>
  <c r="AA38" i="3"/>
  <c r="AB21" i="11"/>
  <c r="AB38" i="3" l="1"/>
  <c r="AC21" i="11"/>
  <c r="AB35" i="3"/>
  <c r="AC26" i="10"/>
  <c r="K27" i="4"/>
  <c r="B28" i="4"/>
  <c r="J27" i="4"/>
  <c r="I27" i="4"/>
  <c r="D28" i="4" l="1"/>
  <c r="L27" i="4"/>
  <c r="AC35" i="3"/>
  <c r="AD26" i="10"/>
  <c r="AC38" i="3"/>
  <c r="AD21" i="11"/>
  <c r="AD35" i="3" l="1"/>
  <c r="AE26" i="10"/>
  <c r="AD38" i="3"/>
  <c r="AE21" i="11"/>
  <c r="H28" i="4"/>
  <c r="E28" i="4"/>
  <c r="AE38" i="3" l="1"/>
  <c r="AF21" i="11"/>
  <c r="K28" i="4"/>
  <c r="B29" i="4"/>
  <c r="I28" i="4"/>
  <c r="J28" i="4" s="1"/>
  <c r="AE35" i="3"/>
  <c r="AF26" i="10"/>
  <c r="D29" i="4" l="1"/>
  <c r="AF35" i="3"/>
  <c r="AG26" i="10"/>
  <c r="L28" i="4"/>
  <c r="AF38" i="3"/>
  <c r="AG21" i="11"/>
  <c r="AG35" i="3" l="1"/>
  <c r="AH26" i="10"/>
  <c r="AG38" i="3"/>
  <c r="AH21" i="11"/>
  <c r="H29" i="4"/>
  <c r="E29" i="4"/>
  <c r="AH35" i="3" l="1"/>
  <c r="AI26" i="10"/>
  <c r="K29" i="4"/>
  <c r="B30" i="4"/>
  <c r="I29" i="4"/>
  <c r="J29" i="4" s="1"/>
  <c r="AH38" i="3"/>
  <c r="AI21" i="11"/>
  <c r="D30" i="4" l="1"/>
  <c r="AI38" i="3"/>
  <c r="AJ21" i="11"/>
  <c r="L29" i="4"/>
  <c r="B14" i="4" s="1" a="1"/>
  <c r="B14" i="4" s="1"/>
  <c r="B24" i="11" s="1"/>
  <c r="AI35" i="3"/>
  <c r="AJ26" i="10"/>
  <c r="AJ35" i="3" l="1"/>
  <c r="AK26" i="10"/>
  <c r="AJ38" i="3"/>
  <c r="AK21" i="11"/>
  <c r="H30" i="4"/>
  <c r="E30" i="4"/>
  <c r="K30" i="4" l="1"/>
  <c r="B31" i="4"/>
  <c r="AK35" i="3"/>
  <c r="AL26" i="10"/>
  <c r="J30" i="4"/>
  <c r="I30" i="4"/>
  <c r="AK38" i="3"/>
  <c r="C41" i="3" s="1" a="1"/>
  <c r="C41" i="3" s="1"/>
  <c r="AL21" i="11"/>
  <c r="AL35" i="3" l="1"/>
  <c r="AM26" i="10"/>
  <c r="AL38" i="3"/>
  <c r="AM21" i="11"/>
  <c r="D31" i="4"/>
  <c r="L30" i="4"/>
  <c r="H31" i="4" l="1"/>
  <c r="E31" i="4"/>
  <c r="AM38" i="3"/>
  <c r="AN21" i="11"/>
  <c r="AM35" i="3"/>
  <c r="AN26" i="10"/>
  <c r="AN38" i="3" l="1"/>
  <c r="AO21" i="11"/>
  <c r="AN35" i="3"/>
  <c r="AO26" i="10"/>
  <c r="K31" i="4"/>
  <c r="B32" i="4"/>
  <c r="I31" i="4"/>
  <c r="J31" i="4" s="1"/>
  <c r="D32" i="4" l="1"/>
  <c r="L31" i="4"/>
  <c r="AO35" i="3"/>
  <c r="AP26" i="10"/>
  <c r="AO38" i="3"/>
  <c r="AP21" i="11"/>
  <c r="AP35" i="3" l="1"/>
  <c r="AQ26" i="10"/>
  <c r="AP38" i="3"/>
  <c r="AQ21" i="11"/>
  <c r="H32" i="4"/>
  <c r="E32" i="4"/>
  <c r="AQ35" i="3" l="1"/>
  <c r="AR26" i="10"/>
  <c r="K32" i="4"/>
  <c r="B33" i="4"/>
  <c r="J32" i="4"/>
  <c r="I32" i="4"/>
  <c r="AQ38" i="3"/>
  <c r="AR21" i="11"/>
  <c r="D33" i="4" l="1"/>
  <c r="AR38" i="3"/>
  <c r="AS21" i="11"/>
  <c r="L32" i="4"/>
  <c r="AR35" i="3"/>
  <c r="AS26" i="10"/>
  <c r="AS35" i="3" l="1"/>
  <c r="AT26" i="10"/>
  <c r="AS38" i="3"/>
  <c r="AT21" i="11"/>
  <c r="H33" i="4"/>
  <c r="E33" i="4"/>
  <c r="K33" i="4" l="1"/>
  <c r="B34" i="4"/>
  <c r="I33" i="4"/>
  <c r="J33" i="4" s="1"/>
  <c r="AT38" i="3"/>
  <c r="AU21" i="11"/>
  <c r="AT35" i="3"/>
  <c r="AU26" i="10"/>
  <c r="AU38" i="3" l="1"/>
  <c r="AV21" i="11"/>
  <c r="AU35" i="3"/>
  <c r="AV26" i="10"/>
  <c r="D34" i="4"/>
  <c r="L33" i="4"/>
  <c r="H34" i="4" l="1"/>
  <c r="E34" i="4"/>
  <c r="AV35" i="3"/>
  <c r="AW26" i="10"/>
  <c r="AV38" i="3"/>
  <c r="AW21" i="11"/>
  <c r="AW38" i="3" l="1"/>
  <c r="AX21" i="11"/>
  <c r="AW35" i="3"/>
  <c r="AX26" i="10"/>
  <c r="K34" i="4"/>
  <c r="B35" i="4"/>
  <c r="I34" i="4"/>
  <c r="J34" i="4" s="1"/>
  <c r="L34" i="4" l="1"/>
  <c r="D35" i="4"/>
  <c r="AX35" i="3"/>
  <c r="AY26" i="10"/>
  <c r="AX38" i="3"/>
  <c r="AY21" i="11"/>
  <c r="AY35" i="3" l="1"/>
  <c r="AZ26" i="10"/>
  <c r="AY38" i="3"/>
  <c r="AZ21" i="11"/>
  <c r="H35" i="4"/>
  <c r="E35" i="4"/>
  <c r="AZ35" i="3" l="1"/>
  <c r="BA26" i="10"/>
  <c r="K35" i="4"/>
  <c r="B36" i="4"/>
  <c r="I35" i="4"/>
  <c r="J35" i="4" s="1"/>
  <c r="AZ38" i="3"/>
  <c r="BA21" i="11"/>
  <c r="L35" i="4" l="1"/>
  <c r="BA38" i="3"/>
  <c r="BB21" i="11"/>
  <c r="D36" i="4"/>
  <c r="BA35" i="3"/>
  <c r="BB26" i="10"/>
  <c r="BB38" i="3" l="1"/>
  <c r="BC21" i="11"/>
  <c r="BB35" i="3"/>
  <c r="BC26" i="10"/>
  <c r="H36" i="4"/>
  <c r="E36" i="4"/>
  <c r="K36" i="4" l="1"/>
  <c r="B37" i="4"/>
  <c r="BC38" i="3"/>
  <c r="BD21" i="11"/>
  <c r="I36" i="4"/>
  <c r="J36" i="4" s="1"/>
  <c r="BC35" i="3"/>
  <c r="BD26" i="10"/>
  <c r="BD35" i="3" l="1"/>
  <c r="BE26" i="10"/>
  <c r="BD38" i="3"/>
  <c r="BE21" i="11"/>
  <c r="D37" i="4"/>
  <c r="L36" i="4"/>
  <c r="H37" i="4" l="1"/>
  <c r="E37" i="4"/>
  <c r="BE35" i="3"/>
  <c r="BF26" i="10"/>
  <c r="BE38" i="3"/>
  <c r="BF21" i="11"/>
  <c r="BF35" i="3" l="1"/>
  <c r="BG26" i="10"/>
  <c r="BF38" i="3"/>
  <c r="BG21" i="11"/>
  <c r="K37" i="4"/>
  <c r="B38" i="4"/>
  <c r="I37" i="4"/>
  <c r="J37" i="4" s="1"/>
  <c r="BG38" i="3" l="1"/>
  <c r="BH21" i="11"/>
  <c r="D38" i="4"/>
  <c r="L37" i="4"/>
  <c r="BG35" i="3"/>
  <c r="BH26" i="10"/>
  <c r="BH35" i="3" l="1"/>
  <c r="BI26" i="10"/>
  <c r="H38" i="4"/>
  <c r="E38" i="4"/>
  <c r="BH38" i="3"/>
  <c r="BI21" i="11"/>
  <c r="BI38" i="3" l="1"/>
  <c r="BJ21" i="11"/>
  <c r="BI35" i="3"/>
  <c r="BJ26" i="10"/>
  <c r="BJ35" i="3" s="1"/>
  <c r="K38" i="4"/>
  <c r="B39" i="4"/>
  <c r="I38" i="4"/>
  <c r="J38" i="4" s="1"/>
  <c r="D39" i="4" l="1"/>
  <c r="L38" i="4"/>
  <c r="B23" i="11"/>
  <c r="BJ38" i="3"/>
  <c r="B41" i="3" s="1" a="1"/>
  <c r="B41" i="3" s="1"/>
  <c r="B25" i="11" l="1"/>
  <c r="G21" i="1"/>
  <c r="H39" i="4"/>
  <c r="E39" i="4"/>
  <c r="K39" i="4" l="1"/>
  <c r="B40" i="4"/>
  <c r="I39" i="4"/>
  <c r="J39" i="4" s="1"/>
  <c r="D40" i="4" l="1"/>
  <c r="L39" i="4"/>
  <c r="H40" i="4" l="1"/>
  <c r="E40" i="4"/>
  <c r="K40" i="4" l="1"/>
  <c r="B41" i="4"/>
  <c r="D41" i="4" s="1"/>
  <c r="I40" i="4"/>
  <c r="J40" i="4" s="1"/>
  <c r="H41" i="4" l="1"/>
  <c r="E41" i="4"/>
  <c r="K41" i="4" s="1"/>
  <c r="L40" i="4"/>
  <c r="I41" i="4" l="1"/>
  <c r="J41" i="4" s="1"/>
  <c r="L41" i="4" s="1"/>
</calcChain>
</file>

<file path=xl/sharedStrings.xml><?xml version="1.0" encoding="utf-8"?>
<sst xmlns="http://schemas.openxmlformats.org/spreadsheetml/2006/main" count="991" uniqueCount="664">
  <si>
    <t>Resumen</t>
  </si>
  <si>
    <t>Costo de proyecto total Cliente</t>
  </si>
  <si>
    <t>Tarifa de proyecto total Empresa</t>
  </si>
  <si>
    <t>UF</t>
  </si>
  <si>
    <t>CLP</t>
  </si>
  <si>
    <t>USD</t>
  </si>
  <si>
    <t>Total en Implementación</t>
  </si>
  <si>
    <t>Total en Soporte</t>
  </si>
  <si>
    <t>Total en Proyecto</t>
  </si>
  <si>
    <t>Costo por Ítem Cliente</t>
  </si>
  <si>
    <t>Tarifa por Ítem Empresa</t>
  </si>
  <si>
    <t>Implementación Recursos Humanos</t>
  </si>
  <si>
    <t>Implementacion Adquisiciones</t>
  </si>
  <si>
    <t>Implementación Capacitaciones</t>
  </si>
  <si>
    <t>Implementacion Servicios</t>
  </si>
  <si>
    <t>Soporte Recursos Humanos</t>
  </si>
  <si>
    <t>Soporte Servicios</t>
  </si>
  <si>
    <t>Total Implementación</t>
  </si>
  <si>
    <t>Total Soporte</t>
  </si>
  <si>
    <t>Total Proyecto</t>
  </si>
  <si>
    <t>VAN</t>
  </si>
  <si>
    <t>TIR</t>
  </si>
  <si>
    <t>Viabilidad y HH</t>
  </si>
  <si>
    <t>Valor</t>
  </si>
  <si>
    <t>Cantidad Punto Caso de Uso Ajustados</t>
  </si>
  <si>
    <t>Puntos</t>
  </si>
  <si>
    <t>Factor de Conversión a HH</t>
  </si>
  <si>
    <t>Cantidad HH Programacion</t>
  </si>
  <si>
    <t>Horas</t>
  </si>
  <si>
    <t>Cantidad HH Proyecto</t>
  </si>
  <si>
    <t>Costo Total (Según Tablas) del Proyecto</t>
  </si>
  <si>
    <t>Venta Total (Según Tablas) del Proyecto</t>
  </si>
  <si>
    <t>CONVERSIONES</t>
  </si>
  <si>
    <t>Dólar</t>
  </si>
  <si>
    <t>Euro</t>
  </si>
  <si>
    <t>HH Mes</t>
  </si>
  <si>
    <t>horas</t>
  </si>
  <si>
    <t>DATOS</t>
  </si>
  <si>
    <t>Tasa Interes de Prestamo (Mensual)</t>
  </si>
  <si>
    <t>Linea de Credito</t>
  </si>
  <si>
    <t>Tasa Interes de LC (Mensual)</t>
  </si>
  <si>
    <t>Impuestos</t>
  </si>
  <si>
    <t>Tasa Inversionista (Anual)</t>
  </si>
  <si>
    <t>Tasa Inversionista (Mensual)</t>
  </si>
  <si>
    <t>Porcentaje de financiamiento propio</t>
  </si>
  <si>
    <t>Porcentaje de financiamiento banco</t>
  </si>
  <si>
    <t/>
  </si>
  <si>
    <t>FLUJO DE CAJA</t>
  </si>
  <si>
    <t>Mes</t>
  </si>
  <si>
    <t>Fecha</t>
  </si>
  <si>
    <t>A.2 - INGRESO ACUMULADO</t>
  </si>
  <si>
    <t>B.2.- EGRESO TOTAL</t>
  </si>
  <si>
    <t>RESULTADO DEL MES</t>
  </si>
  <si>
    <t>RESULTADO ACUMULADO</t>
  </si>
  <si>
    <t>PUNTO EQUILIBRIO</t>
  </si>
  <si>
    <t>MES MAS BAJO</t>
  </si>
  <si>
    <t>Monto Credito</t>
  </si>
  <si>
    <t>HITOS DE PAGO</t>
  </si>
  <si>
    <t>Pago</t>
  </si>
  <si>
    <t>Hito 1: Análisis</t>
  </si>
  <si>
    <t>Hito 3: Entrega de página web y datacenter</t>
  </si>
  <si>
    <t>Hito 4: Certificación de solución</t>
  </si>
  <si>
    <t>Hito 5: Lanzamiento de plataforma</t>
  </si>
  <si>
    <t>Pago Mensual</t>
  </si>
  <si>
    <r>
      <rPr>
        <b/>
        <sz val="9"/>
        <color theme="1"/>
        <rFont val="Arial"/>
        <family val="2"/>
      </rPr>
      <t>DESDE</t>
    </r>
    <r>
      <rPr>
        <sz val="9"/>
        <color theme="1"/>
        <rFont val="Arial"/>
        <family val="2"/>
      </rPr>
      <t xml:space="preserve"> ene 2025</t>
    </r>
  </si>
  <si>
    <t>Cuotas</t>
  </si>
  <si>
    <t>Credito Banco</t>
  </si>
  <si>
    <t>VAN Financiamiento</t>
  </si>
  <si>
    <t>Tabla Amortizacion del Credito</t>
  </si>
  <si>
    <t>Flujo de Financiamiento</t>
  </si>
  <si>
    <t>Saldo</t>
  </si>
  <si>
    <t>Cuota</t>
  </si>
  <si>
    <t>Interés Mensual</t>
  </si>
  <si>
    <t>Amortización</t>
  </si>
  <si>
    <t>Ahorro Tributario</t>
  </si>
  <si>
    <t>Con impuestos</t>
  </si>
  <si>
    <t>Flujo Neto Financiamiento</t>
  </si>
  <si>
    <t>N</t>
  </si>
  <si>
    <t>Caso de uso</t>
  </si>
  <si>
    <t>Peso</t>
  </si>
  <si>
    <t>FACTORES TECNICOS</t>
  </si>
  <si>
    <t>1-Gestion de licitaciones</t>
  </si>
  <si>
    <t>Factor</t>
  </si>
  <si>
    <t>Descripcion</t>
  </si>
  <si>
    <t>Valor(0-5)</t>
  </si>
  <si>
    <t>Total</t>
  </si>
  <si>
    <t>Justificación</t>
  </si>
  <si>
    <t>Proveedor</t>
  </si>
  <si>
    <t>T1</t>
  </si>
  <si>
    <t>Sistema distribuido</t>
  </si>
  <si>
    <t>Se solicita que sea sistema distribuido para que en caso de caer el sistema en Stgo los demas almacenes puedan seguir funcionando correctamente</t>
  </si>
  <si>
    <t>ver detalles de licitacion y bases</t>
  </si>
  <si>
    <t>T2</t>
  </si>
  <si>
    <t>Objetivos de performance o tiempo de respuesta</t>
  </si>
  <si>
    <t xml:space="preserve">Se requiere de un alto performance para el proyecto y ademas el tiempo de espera no debe superar el maximo solicitado </t>
  </si>
  <si>
    <t>realizar preguntas</t>
  </si>
  <si>
    <t>T3</t>
  </si>
  <si>
    <t>Eficiencia del usuario final</t>
  </si>
  <si>
    <t>L</t>
  </si>
  <si>
    <t xml:space="preserve">participar en licitación
</t>
  </si>
  <si>
    <t>T4</t>
  </si>
  <si>
    <t>Procesamiento interno complejo</t>
  </si>
  <si>
    <t>Al estar interconectado a varios microservicios se espera que su procesamiento interno sea complejo</t>
  </si>
  <si>
    <t xml:space="preserve">Subir documentos
</t>
  </si>
  <si>
    <t>T5</t>
  </si>
  <si>
    <t>El código debe ser reutilizable</t>
  </si>
  <si>
    <t>se solicita que sea un codigo escalable en caso de futuras actualizaciones.</t>
  </si>
  <si>
    <t xml:space="preserve">realizar seguimiento de etapas
</t>
  </si>
  <si>
    <t>T6</t>
  </si>
  <si>
    <t>Facilidad de instalación</t>
  </si>
  <si>
    <t>No es relevante</t>
  </si>
  <si>
    <t xml:space="preserve">ver resultados
</t>
  </si>
  <si>
    <t>T7</t>
  </si>
  <si>
    <t>Facilidad de uso</t>
  </si>
  <si>
    <t>Al ser usado por personas que no tendran capacitacion, debe tener una facilidad de uso y ser intuitivo.</t>
  </si>
  <si>
    <t xml:space="preserve">realizar reclamos
</t>
  </si>
  <si>
    <t>T8</t>
  </si>
  <si>
    <t>Portabilidad</t>
  </si>
  <si>
    <t>Los modulos se utilizaran tanto en computador como tecnologia Handheld</t>
  </si>
  <si>
    <t xml:space="preserve">recepción de acta
</t>
  </si>
  <si>
    <t>T9</t>
  </si>
  <si>
    <t>Facilidad de cambio</t>
  </si>
  <si>
    <t>No se espera cambios en requerimientos</t>
  </si>
  <si>
    <t xml:space="preserve">enviar boleta garantia
</t>
  </si>
  <si>
    <t>T10</t>
  </si>
  <si>
    <t>Concurrencia</t>
  </si>
  <si>
    <t>Todos los modulos deben ser capaces de funcionar en paralelo</t>
  </si>
  <si>
    <t xml:space="preserve">ver historial de licitaciones
</t>
  </si>
  <si>
    <t>T11</t>
  </si>
  <si>
    <t>Incluye objetivos especiales de seguridad</t>
  </si>
  <si>
    <t>Solicita objetivos especiales como verificacion de identidad, verificacion de empresa, seguridad de metodos de pago.</t>
  </si>
  <si>
    <t>eliminar postulación licitación</t>
  </si>
  <si>
    <t>T12</t>
  </si>
  <si>
    <t>Provee acceso directo a terceras partes</t>
  </si>
  <si>
    <t xml:space="preserve">licitaciones participando
</t>
  </si>
  <si>
    <t>T13</t>
  </si>
  <si>
    <t>Se requieren facilidades especiales de entrenamiento a usuarios</t>
  </si>
  <si>
    <t>El sistema no debe ser complejo de entender por ende no se requiere de capacitacion para usuarios finales</t>
  </si>
  <si>
    <t>sugerencias de licitaciones</t>
  </si>
  <si>
    <t>TOTAL</t>
  </si>
  <si>
    <t>Demandante</t>
  </si>
  <si>
    <t>crear licitación pública o privada</t>
  </si>
  <si>
    <t>adjuntar documentos y bases</t>
  </si>
  <si>
    <t xml:space="preserve">FCT </t>
  </si>
  <si>
    <t>eventos de proceso de licitación</t>
  </si>
  <si>
    <t>publicar licitación</t>
  </si>
  <si>
    <t>guardar borrador licitación</t>
  </si>
  <si>
    <t>FACTORES AMBIENTALES</t>
  </si>
  <si>
    <t>seleccionar proveedor</t>
  </si>
  <si>
    <t xml:space="preserve">ver historial de licitaciones </t>
  </si>
  <si>
    <t>E1</t>
  </si>
  <si>
    <t>Familiaridad con el modelo del proyecto</t>
  </si>
  <si>
    <t>Equipo con baja familiariadad en estos proyectos.</t>
  </si>
  <si>
    <t>F1</t>
  </si>
  <si>
    <t>publicar borrador de licitación</t>
  </si>
  <si>
    <t>E2</t>
  </si>
  <si>
    <t>Experiencia en la aplicación</t>
  </si>
  <si>
    <t>El equipo no esta capacitado para trabajar con las tecnologias seleccionadas</t>
  </si>
  <si>
    <t>F2</t>
  </si>
  <si>
    <t xml:space="preserve">eliminar licitación </t>
  </si>
  <si>
    <t>E3</t>
  </si>
  <si>
    <t>Experiencia en orientación a objetos</t>
  </si>
  <si>
    <t>Se cuenta con experiencia</t>
  </si>
  <si>
    <t>modificar licitación</t>
  </si>
  <si>
    <t>E4</t>
  </si>
  <si>
    <t>Capacidad del analista líder</t>
  </si>
  <si>
    <t>Alta capacidad</t>
  </si>
  <si>
    <t>ver informes y reportes</t>
  </si>
  <si>
    <t>E5</t>
  </si>
  <si>
    <t>Motivación</t>
  </si>
  <si>
    <t>Equipo cuenta con la unión y motivacion para desarrollar el proyecto</t>
  </si>
  <si>
    <t>ver licitaciones vigentes</t>
  </si>
  <si>
    <t>E6</t>
  </si>
  <si>
    <t>Estabilidad de los requerimientos</t>
  </si>
  <si>
    <t>Requerimientos robusos, es decir, no es probable que cambien</t>
  </si>
  <si>
    <t>cerrar convocatoria de licitación</t>
  </si>
  <si>
    <t>E7</t>
  </si>
  <si>
    <t>Personal part-time</t>
  </si>
  <si>
    <t>No se cuenta con personal part-time</t>
  </si>
  <si>
    <t>terminar publicación de licitación</t>
  </si>
  <si>
    <t>E8</t>
  </si>
  <si>
    <t>Dificultad del lenguaje de programación</t>
  </si>
  <si>
    <t>El lenguaje es conocido por el equipo</t>
  </si>
  <si>
    <t>publicar acta de adjudicación</t>
  </si>
  <si>
    <t>gestionar boletas de garantias</t>
  </si>
  <si>
    <t>Finalizar licitación</t>
  </si>
  <si>
    <t>FA</t>
  </si>
  <si>
    <t xml:space="preserve">2-Gestión de cotizaciones
</t>
  </si>
  <si>
    <t>FC</t>
  </si>
  <si>
    <t>buscar cotizaciones</t>
  </si>
  <si>
    <t>PCUA</t>
  </si>
  <si>
    <t>ver cotizacion y sus bases</t>
  </si>
  <si>
    <t>E</t>
  </si>
  <si>
    <t xml:space="preserve">realizar preguntas
</t>
  </si>
  <si>
    <t>E TOTAL</t>
  </si>
  <si>
    <t>participar en cotización</t>
  </si>
  <si>
    <t>subir documentos y ofertas</t>
  </si>
  <si>
    <t>%</t>
  </si>
  <si>
    <t>HH</t>
  </si>
  <si>
    <t>seguimiento de etapas</t>
  </si>
  <si>
    <t>Análisis</t>
  </si>
  <si>
    <t>ver resultados</t>
  </si>
  <si>
    <t>Diseño</t>
  </si>
  <si>
    <t>ingresar reclamos</t>
  </si>
  <si>
    <t>Programación</t>
  </si>
  <si>
    <t>recepción de acta de adjudicación</t>
  </si>
  <si>
    <t>Pruebas</t>
  </si>
  <si>
    <t>ver historial de cotizaciones</t>
  </si>
  <si>
    <t>Sobrecarga</t>
  </si>
  <si>
    <t>eliminar postulación a cotización</t>
  </si>
  <si>
    <t>TOTAL HH:</t>
  </si>
  <si>
    <t>cotizaciones vigentes</t>
  </si>
  <si>
    <t>sugerencias de cotización</t>
  </si>
  <si>
    <t>solicitudes de participación a cotización</t>
  </si>
  <si>
    <t xml:space="preserve"> crear cotización</t>
  </si>
  <si>
    <t>SUMA</t>
  </si>
  <si>
    <t>subir documentos de cotización</t>
  </si>
  <si>
    <t>seleccionar cotización catálogo</t>
  </si>
  <si>
    <t>seleccionar cotización abierta</t>
  </si>
  <si>
    <t>seleccionar cotización cerrada</t>
  </si>
  <si>
    <t>seleccionar cotización inversa</t>
  </si>
  <si>
    <t>seleccionar cotización quote</t>
  </si>
  <si>
    <t>seleccionar cotización múltiples proveedores</t>
  </si>
  <si>
    <t>seleccionar cotización contratos marcos</t>
  </si>
  <si>
    <t xml:space="preserve">publicar cotización </t>
  </si>
  <si>
    <t>evaluar ofertas</t>
  </si>
  <si>
    <t>revisar estado cotización</t>
  </si>
  <si>
    <t>ver cotizaciones vigentes</t>
  </si>
  <si>
    <t>auditar cotización</t>
  </si>
  <si>
    <t>eliminar cotizacion</t>
  </si>
  <si>
    <t>modificar cotización</t>
  </si>
  <si>
    <t xml:space="preserve">3-Gestión de adquisiciones
</t>
  </si>
  <si>
    <t>emisión guia de despacho</t>
  </si>
  <si>
    <t>recepción guia de despacho</t>
  </si>
  <si>
    <t>recepción de producto</t>
  </si>
  <si>
    <t>notificar recepción</t>
  </si>
  <si>
    <t>gestion de devolucion</t>
  </si>
  <si>
    <t>recepción de informe de recepción de bienes</t>
  </si>
  <si>
    <t>listado de recepciones</t>
  </si>
  <si>
    <t>ver pedidos con recepción incompleta</t>
  </si>
  <si>
    <t>ver pedidos pendientes</t>
  </si>
  <si>
    <t>ver proveedores con problemas de recepción</t>
  </si>
  <si>
    <t>guia de despacho emitidas</t>
  </si>
  <si>
    <t>pedidos pendientes de envío</t>
  </si>
  <si>
    <t>4-Gestión de pagos</t>
  </si>
  <si>
    <t>pagar cotizaciones y licitación</t>
  </si>
  <si>
    <t>recepción de factura</t>
  </si>
  <si>
    <t>creación de factura</t>
  </si>
  <si>
    <t>realizar pago a escrow</t>
  </si>
  <si>
    <t>retención de pago</t>
  </si>
  <si>
    <t>liberación de pago</t>
  </si>
  <si>
    <t>confirmación exitosa de productos</t>
  </si>
  <si>
    <t>aprobación de facturas</t>
  </si>
  <si>
    <t xml:space="preserve">5-Gestión de documentos
</t>
  </si>
  <si>
    <t>recepción de documentos</t>
  </si>
  <si>
    <t>gestión de documentos automatizados</t>
  </si>
  <si>
    <t>control de versiones de documentos</t>
  </si>
  <si>
    <t>ver historial de documentos subidos</t>
  </si>
  <si>
    <t>6-Gestión de contratos</t>
  </si>
  <si>
    <t>Firmar contratos</t>
  </si>
  <si>
    <t>ver contratos emitidos</t>
  </si>
  <si>
    <t>ver contratos activos</t>
  </si>
  <si>
    <t>realizar búsqueda de contratos</t>
  </si>
  <si>
    <t>ver contratos adjudicados</t>
  </si>
  <si>
    <t xml:space="preserve">7-Gestión orden de compras </t>
  </si>
  <si>
    <t>crear orden de compras</t>
  </si>
  <si>
    <t>confirmar recepción de O/C</t>
  </si>
  <si>
    <t>recepción de O/C</t>
  </si>
  <si>
    <t>confirmación de O/C</t>
  </si>
  <si>
    <t>rechazar O/C</t>
  </si>
  <si>
    <t>recepción cambio en O/C</t>
  </si>
  <si>
    <t>cambio en O/C</t>
  </si>
  <si>
    <t>emisión consulta estado O/C</t>
  </si>
  <si>
    <t>recepcion de repuesta consulta estado</t>
  </si>
  <si>
    <t>ver lista de O/C emitidas</t>
  </si>
  <si>
    <t>ver lista de  O/C rechazadas</t>
  </si>
  <si>
    <t>consultar O/C por proveedor</t>
  </si>
  <si>
    <t>ver lista de  O/C recepcionadas</t>
  </si>
  <si>
    <t>consultar  O/C por comprador</t>
  </si>
  <si>
    <t xml:space="preserve">8-Gestión de factura
</t>
  </si>
  <si>
    <t>ver facturas pendientes de pago</t>
  </si>
  <si>
    <t>ver facturas emitidas</t>
  </si>
  <si>
    <t>9-Gestión billetera virtua</t>
  </si>
  <si>
    <t>agregar o eliminar método de pago electrónico</t>
  </si>
  <si>
    <t>ver historial de transacciones</t>
  </si>
  <si>
    <t>ver informe y extractos financieros</t>
  </si>
  <si>
    <t>ver saldo y recarga de fondos</t>
  </si>
  <si>
    <t>realizar conversión de moneda</t>
  </si>
  <si>
    <t>realizar pago interno</t>
  </si>
  <si>
    <t>crear permiso de usuarios billetera</t>
  </si>
  <si>
    <t>10-Gestión de perfil</t>
  </si>
  <si>
    <t>agregar y dar de baja a usuarios empresa</t>
  </si>
  <si>
    <t>registrar bodegas y usuario representantes</t>
  </si>
  <si>
    <t>actualizar datos empresa</t>
  </si>
  <si>
    <t>seleccionar perfil demandante</t>
  </si>
  <si>
    <t>seleccionar perfil proveedor</t>
  </si>
  <si>
    <t>verificación registro de proveedor en mercado publico</t>
  </si>
  <si>
    <t xml:space="preserve">11-Iniciar sesión
</t>
  </si>
  <si>
    <t>solicitud ingreso credenciales</t>
  </si>
  <si>
    <t>verificación en 2 pasos</t>
  </si>
  <si>
    <t>12-Registro plataforma</t>
  </si>
  <si>
    <t>registrar empresa u organización</t>
  </si>
  <si>
    <t>verificar existencia de empresa en SII</t>
  </si>
  <si>
    <t>subir documentos de acreditación</t>
  </si>
  <si>
    <t>creación perfil usuario administrador empresa</t>
  </si>
  <si>
    <t>subir foto de cédula de identidad</t>
  </si>
  <si>
    <t>verificación de identidad usuario</t>
  </si>
  <si>
    <t>agregar usuarios empresa</t>
  </si>
  <si>
    <t>13-Chat empresas</t>
  </si>
  <si>
    <t>ver consultas órdenes de compra</t>
  </si>
  <si>
    <t>ver preguntas proveedores licitación</t>
  </si>
  <si>
    <t>ver preguntas proveedor licitación</t>
  </si>
  <si>
    <t>mensajes directo a empresas</t>
  </si>
  <si>
    <t xml:space="preserve">14-Busquedas (licitaciones/cotizaciones)
</t>
  </si>
  <si>
    <t>consultar actividad por rubro</t>
  </si>
  <si>
    <t>consultar actividad por usuario</t>
  </si>
  <si>
    <t>consultar actividad por proveedor</t>
  </si>
  <si>
    <t>consultar cotizaciones y licitaciones por rubro</t>
  </si>
  <si>
    <t xml:space="preserve"> </t>
  </si>
  <si>
    <t>consultar catálogos</t>
  </si>
  <si>
    <t>consultar proveedores</t>
  </si>
  <si>
    <t>ver perfil de proveedores</t>
  </si>
  <si>
    <t>ver historial de operaciones de proveedor</t>
  </si>
  <si>
    <t>ver perfil de demandante</t>
  </si>
  <si>
    <t>ver historial de operaciones de demandantes</t>
  </si>
  <si>
    <t>15-Mesa de ayuda</t>
  </si>
  <si>
    <t>atención al cliente</t>
  </si>
  <si>
    <t>soporte técnico</t>
  </si>
  <si>
    <t>derivar con especialista</t>
  </si>
  <si>
    <t>FPCUSA</t>
  </si>
  <si>
    <t>Actores</t>
  </si>
  <si>
    <t>Onfido</t>
  </si>
  <si>
    <t>Google Drive</t>
  </si>
  <si>
    <t>Servicio impuesto interno</t>
  </si>
  <si>
    <t>Twillio</t>
  </si>
  <si>
    <t>Tu firma digital</t>
  </si>
  <si>
    <t>Microsoft 365</t>
  </si>
  <si>
    <t>Stripe</t>
  </si>
  <si>
    <t>Personal call center</t>
  </si>
  <si>
    <t>Personal data center</t>
  </si>
  <si>
    <t>Administrador empresa</t>
  </si>
  <si>
    <t>FPASA</t>
  </si>
  <si>
    <t>PCUSA</t>
  </si>
  <si>
    <t>Conversiones</t>
  </si>
  <si>
    <t>Costo implementación</t>
  </si>
  <si>
    <t>Dias según Gantt</t>
  </si>
  <si>
    <t>Horas (8 hrs x dia)</t>
  </si>
  <si>
    <t>Costo $ UF/HH</t>
  </si>
  <si>
    <t>Tarifa$ UF/HH</t>
  </si>
  <si>
    <t>Total Costo</t>
  </si>
  <si>
    <t>Total Tarifa</t>
  </si>
  <si>
    <t>Cant de personas</t>
  </si>
  <si>
    <t>Horas x Persona</t>
  </si>
  <si>
    <t>Sueldo costo CLP</t>
  </si>
  <si>
    <t>Sueldo tarifa CLP</t>
  </si>
  <si>
    <t>Sueldo Costo UF</t>
  </si>
  <si>
    <t>Sueldo Tarifa UF</t>
  </si>
  <si>
    <t>Director de Proyecto</t>
  </si>
  <si>
    <t>Analista de negocios Senior</t>
  </si>
  <si>
    <t>Analista de negocios junior</t>
  </si>
  <si>
    <t>Gestor de riesgos senior</t>
  </si>
  <si>
    <t>Analista de sistemas senior</t>
  </si>
  <si>
    <t>Analista de sistemas junior</t>
  </si>
  <si>
    <t>Diseñador de UX senior</t>
  </si>
  <si>
    <t>Diseñador de UX junior</t>
  </si>
  <si>
    <t>Arquitecto software Senior</t>
  </si>
  <si>
    <t>Arquitecto de software Junior</t>
  </si>
  <si>
    <t>Desarrollador Front-end senior</t>
  </si>
  <si>
    <t>Desarrollador Front-end Junior</t>
  </si>
  <si>
    <t>Desarrollador Back-end Senior</t>
  </si>
  <si>
    <t>Desarrollador Back-end junior</t>
  </si>
  <si>
    <t>Desarrollador de software senior</t>
  </si>
  <si>
    <t>Desarrollador de software junior</t>
  </si>
  <si>
    <t>Diseñador de base de datos senior</t>
  </si>
  <si>
    <t>Diseñador de base de datos junior</t>
  </si>
  <si>
    <t>Ingeniero DevOps senior</t>
  </si>
  <si>
    <t>Ingeniero de sistemas senior</t>
  </si>
  <si>
    <t>Ingeniero de sistemas junior</t>
  </si>
  <si>
    <t>QA senior</t>
  </si>
  <si>
    <t>QA junior</t>
  </si>
  <si>
    <t>Ingeniero soporte senior</t>
  </si>
  <si>
    <t>Ingeniero soporte junior</t>
  </si>
  <si>
    <t>Especialista atencion al cliente</t>
  </si>
  <si>
    <t>Arquitecto en Redes Senior</t>
  </si>
  <si>
    <t>Tecnico de Hardware Senior</t>
  </si>
  <si>
    <t>Tecnico de Hardware Junior</t>
  </si>
  <si>
    <t>Ingeniero de Redes Senior</t>
  </si>
  <si>
    <t>Ingeniero de Seguridad de TI Senior</t>
  </si>
  <si>
    <t>Administrador de Sistema Senior</t>
  </si>
  <si>
    <t>Costo</t>
  </si>
  <si>
    <t>Tarifa</t>
  </si>
  <si>
    <t>Cantidad Personas</t>
  </si>
  <si>
    <t>UF Mensuales (160 Hrs)</t>
  </si>
  <si>
    <t>CLP Mensuales/persona</t>
  </si>
  <si>
    <t>UF Mensuales (160 Hrs) /Persona</t>
  </si>
  <si>
    <t>CLP Mensual/persona</t>
  </si>
  <si>
    <t xml:space="preserve">Arquitecto de Redes Senior </t>
  </si>
  <si>
    <t xml:space="preserve">Técnico de Hardware Senior </t>
  </si>
  <si>
    <t>Técnico de Hardware Junior</t>
  </si>
  <si>
    <t>Totales</t>
  </si>
  <si>
    <t>Costos de implementacion</t>
  </si>
  <si>
    <t>Costos de soporte</t>
  </si>
  <si>
    <t>Sueldo(UF)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</si>
  <si>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</si>
  <si>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</si>
  <si>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</si>
  <si>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</si>
  <si>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</si>
  <si>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</si>
  <si>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</si>
  <si>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</si>
  <si>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</si>
  <si>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</si>
  <si>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</si>
  <si>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</si>
  <si>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</si>
  <si>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</si>
  <si>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</si>
  <si>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</si>
  <si>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</si>
  <si>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</si>
  <si>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</si>
  <si>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</si>
  <si>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</si>
  <si>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</si>
  <si>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</si>
  <si>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</si>
  <si>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</si>
  <si>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</si>
  <si>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</si>
  <si>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</si>
  <si>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</si>
  <si>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</si>
  <si>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</si>
  <si>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</si>
  <si>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</si>
  <si>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</si>
  <si>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</si>
  <si>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</si>
  <si>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</si>
  <si>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</si>
  <si>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</si>
  <si>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</si>
  <si>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</si>
  <si>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</si>
  <si>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</si>
  <si>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</si>
  <si>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</si>
  <si>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</si>
  <si>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</si>
  <si>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</si>
  <si>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</si>
  <si>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</si>
  <si>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</si>
  <si>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</si>
  <si>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</si>
  <si>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</si>
  <si>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</si>
  <si>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</si>
  <si>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</si>
  <si>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</si>
  <si>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Mes 59</t>
  </si>
  <si>
    <t>Mes 60</t>
  </si>
  <si>
    <t>Analista de Negocios Senior A</t>
  </si>
  <si>
    <t>Analista de Negocios Senior B</t>
  </si>
  <si>
    <t>Analista de Negocios Junior A</t>
  </si>
  <si>
    <t>Analista de Negocios Junior B</t>
  </si>
  <si>
    <t>Gestor de Riesgos Senior</t>
  </si>
  <si>
    <t>Analista de Sistemas Senior A</t>
  </si>
  <si>
    <t>Analista de Sistemas Senior B</t>
  </si>
  <si>
    <t>Analista de Sistemas Senior C</t>
  </si>
  <si>
    <t>Analista de Sistemas Senior D</t>
  </si>
  <si>
    <t>Analista de Sistemas Junior A</t>
  </si>
  <si>
    <t>Analista de Sistemas Junior B</t>
  </si>
  <si>
    <t>Diseñador de UX senior A</t>
  </si>
  <si>
    <t>Diseñador de UX senior B</t>
  </si>
  <si>
    <t>Diseñador de UX junior A</t>
  </si>
  <si>
    <r>
      <rPr>
        <sz val="11"/>
        <color rgb="FFFFFFFF"/>
        <rFont val="Calibri"/>
        <family val="2"/>
      </rPr>
      <t xml:space="preserve">Diseñador de UX junior </t>
    </r>
    <r>
      <rPr>
        <sz val="11"/>
        <color rgb="FFFFFFFF"/>
        <rFont val="Calibri"/>
        <family val="2"/>
      </rPr>
      <t>B</t>
    </r>
  </si>
  <si>
    <t>Arquitecto de Software Senior</t>
  </si>
  <si>
    <t xml:space="preserve">Arquitecto de Software Junior </t>
  </si>
  <si>
    <t>Desarrollador Front-end senior A</t>
  </si>
  <si>
    <t>Desarrollador Front-end senior B</t>
  </si>
  <si>
    <t>Desarrollador Front-end Junior A</t>
  </si>
  <si>
    <t>Desarrollador Front-end Junior B</t>
  </si>
  <si>
    <t>Desarrollador Back-end Senior A</t>
  </si>
  <si>
    <t>Desarrollador Back-end Senior B</t>
  </si>
  <si>
    <t>Desarrollador Back-end junior A</t>
  </si>
  <si>
    <t>Desarrollador Back-end junior B</t>
  </si>
  <si>
    <t>Desarrollador de software Senior</t>
  </si>
  <si>
    <t>Diseñador de base de datos Junior</t>
  </si>
  <si>
    <t>Arquitecto de Redes Senior A</t>
  </si>
  <si>
    <t>Arquitecto de Redes Senior B</t>
  </si>
  <si>
    <t>Técnico de Hardware Senior A</t>
  </si>
  <si>
    <t>Técnico de Hardware Senior B</t>
  </si>
  <si>
    <t>Costos de Capacitaciones</t>
  </si>
  <si>
    <t>Encargado</t>
  </si>
  <si>
    <t>Capacitación interfaces de aplicación</t>
  </si>
  <si>
    <t>Capacitación flujos de trabajo</t>
  </si>
  <si>
    <t>Capacitación módulo de soporte</t>
  </si>
  <si>
    <t>Capacitación CallCenter</t>
  </si>
  <si>
    <t>Total UF</t>
  </si>
  <si>
    <t xml:space="preserve">Total </t>
  </si>
  <si>
    <t>Tarifa de implementacion</t>
  </si>
  <si>
    <t>Tarifa de soporte</t>
  </si>
  <si>
    <t>Tarifas(UF)</t>
  </si>
  <si>
    <t>Capacitación callcenter</t>
  </si>
  <si>
    <t>Total Año</t>
  </si>
  <si>
    <t>Porcentaje adquisiciones y servicios</t>
  </si>
  <si>
    <t>Implementacion</t>
  </si>
  <si>
    <t>Soporte</t>
  </si>
  <si>
    <t>Flujo de Caja</t>
  </si>
  <si>
    <t>Flujo mes</t>
  </si>
  <si>
    <t>Flujo acumulado</t>
  </si>
  <si>
    <t>Detalle</t>
  </si>
  <si>
    <t>Ingresos mes</t>
  </si>
  <si>
    <t>Ingresos acumulados</t>
  </si>
  <si>
    <t>Hito 1: Analisis (Concepto de Proyecto)</t>
  </si>
  <si>
    <t>Hito 3: Entrega de página web y Datacenter</t>
  </si>
  <si>
    <t>Hito 4: Certificacion de solución</t>
  </si>
  <si>
    <t>Egresos</t>
  </si>
  <si>
    <t>Egresos mes</t>
  </si>
  <si>
    <t>Egresos Acumulado</t>
  </si>
  <si>
    <t>Inversion</t>
  </si>
  <si>
    <t>Sueldos</t>
  </si>
  <si>
    <t>Adquisiciones</t>
  </si>
  <si>
    <t>Capacitaciones</t>
  </si>
  <si>
    <t>Flujo de caja completo Mensual</t>
  </si>
  <si>
    <t>Ingresos (UF)</t>
  </si>
  <si>
    <t>Sueldos (UF)</t>
  </si>
  <si>
    <t>Pago Adquisiciones (UF)</t>
  </si>
  <si>
    <t>Pago Servicios Proovedores (UF)</t>
  </si>
  <si>
    <t>Pago Cuota Prestamo</t>
  </si>
  <si>
    <t>Depreciación</t>
  </si>
  <si>
    <t>Total Sin Impuestos</t>
  </si>
  <si>
    <t>Impuestos 27%</t>
  </si>
  <si>
    <t>Total Con Impuestos</t>
  </si>
  <si>
    <t>Capital de Trabajo</t>
  </si>
  <si>
    <t>Flujo Neto Proyecto Puro</t>
  </si>
  <si>
    <t>Tasa de inversionista mensual</t>
  </si>
  <si>
    <t>Factor de ajuste</t>
  </si>
  <si>
    <t>Factor acumulado</t>
  </si>
  <si>
    <t>Flujo Neto Actualizado</t>
  </si>
  <si>
    <t>VAN Acumulado</t>
  </si>
  <si>
    <t>VAN Proyecto Puro</t>
  </si>
  <si>
    <t>VAN Proyecto Financiado</t>
  </si>
  <si>
    <t>Flujo de caja completo Anual</t>
  </si>
  <si>
    <t>Año</t>
  </si>
  <si>
    <t>AÑO 1</t>
  </si>
  <si>
    <t>AÑO 2</t>
  </si>
  <si>
    <t>AÑO 3</t>
  </si>
  <si>
    <t>AÑO 4</t>
  </si>
  <si>
    <t>AÑO 5</t>
  </si>
  <si>
    <t>A.1 INGRESOS (UF)</t>
  </si>
  <si>
    <t>MONTO</t>
  </si>
  <si>
    <t>SUELDOS (UF)</t>
  </si>
  <si>
    <t>CUOTA</t>
  </si>
  <si>
    <t>PAGO ADQUISICIONES (UF)</t>
  </si>
  <si>
    <t>INTERES</t>
  </si>
  <si>
    <t>PAGO SERVICIOS PROVEEDORES (UF)</t>
  </si>
  <si>
    <t>AMORTIZACION</t>
  </si>
  <si>
    <t>DEPRECIACION</t>
  </si>
  <si>
    <t>TOTAL SIN IMPUESTOS</t>
  </si>
  <si>
    <t>IMPUESTOS 27%</t>
  </si>
  <si>
    <t>IMPUESTOS</t>
  </si>
  <si>
    <t>TOTAL CON IMPUESTOS</t>
  </si>
  <si>
    <t>CAPITAL DE TRABAJO</t>
  </si>
  <si>
    <t>FLUJO</t>
  </si>
  <si>
    <t>FLUJO NETO PROYECTO PURO</t>
  </si>
  <si>
    <t>TASA DE INVERSIONISTA ANUAL</t>
  </si>
  <si>
    <t>FACTOR DE AJUSTE</t>
  </si>
  <si>
    <t>FACTOR ACUMULADO</t>
  </si>
  <si>
    <t>FLUJO NETO ACTUALIZADO</t>
  </si>
  <si>
    <t>VAN ACUMULADO</t>
  </si>
  <si>
    <t>TASA INTERES ANUAL</t>
  </si>
  <si>
    <t>CUOTAS</t>
  </si>
  <si>
    <t>MONTO (UF)</t>
  </si>
  <si>
    <t>VAN PROYECTO PURO</t>
  </si>
  <si>
    <t>VAN FINANCIAMIENTO</t>
  </si>
  <si>
    <t>VAN PROYECTO FINANCIADO</t>
  </si>
  <si>
    <t>EURO</t>
  </si>
  <si>
    <t>COMPONENTE</t>
  </si>
  <si>
    <t>DESCRIPCIÓN</t>
  </si>
  <si>
    <t>COSTO USD</t>
  </si>
  <si>
    <t>COSTO CLP</t>
  </si>
  <si>
    <t>COSTO UF</t>
  </si>
  <si>
    <t>CANTIDAD</t>
  </si>
  <si>
    <t>TOTAL UF</t>
  </si>
  <si>
    <t>VIDA ÚTIL AÑOS</t>
  </si>
  <si>
    <t>DEPRECIACIÓN ANUAL</t>
  </si>
  <si>
    <t>DEPRECIACIÓN TOTAL</t>
  </si>
  <si>
    <t>// Site Central //</t>
  </si>
  <si>
    <t>// Seguridad //</t>
  </si>
  <si>
    <t>// Backoffice Site Central //</t>
  </si>
  <si>
    <t>// Mobiliario Site Central //</t>
  </si>
  <si>
    <t>// Proveedores de Internet //</t>
  </si>
  <si>
    <t xml:space="preserve">// Site secundario // </t>
  </si>
  <si>
    <t>// Frameworks de desarrollo //</t>
  </si>
  <si>
    <t>// Servicios externos //</t>
  </si>
  <si>
    <t>HARDWARE</t>
  </si>
  <si>
    <t>SOFTWARE</t>
  </si>
  <si>
    <t>FASE DESARROLLO</t>
  </si>
  <si>
    <t>FASE DESARROLLO DATACENTER</t>
  </si>
  <si>
    <t>SERVICIOS RECURRENTES FASE DESARROLLO</t>
  </si>
  <si>
    <t>SERVICIOS RECURRENTES FASE IMPLANTACIÓN</t>
  </si>
  <si>
    <t>HH1</t>
  </si>
  <si>
    <t>HH2</t>
  </si>
  <si>
    <t>HH3</t>
  </si>
  <si>
    <t>HH4</t>
  </si>
  <si>
    <t>HH5</t>
  </si>
  <si>
    <t>HH6</t>
  </si>
  <si>
    <t>HH7</t>
  </si>
  <si>
    <t>HH8</t>
  </si>
  <si>
    <t>HH9</t>
  </si>
  <si>
    <t>HH10</t>
  </si>
  <si>
    <t>HH11</t>
  </si>
  <si>
    <t>HH12</t>
  </si>
  <si>
    <t>HH13</t>
  </si>
  <si>
    <t>HH14</t>
  </si>
  <si>
    <t>HH15</t>
  </si>
  <si>
    <t>HH16</t>
  </si>
  <si>
    <t>HH17</t>
  </si>
  <si>
    <t>HH18</t>
  </si>
  <si>
    <t>SG1</t>
  </si>
  <si>
    <t>SG2</t>
  </si>
  <si>
    <t>SG3</t>
  </si>
  <si>
    <t>SG4</t>
  </si>
  <si>
    <t>SG5</t>
  </si>
  <si>
    <t>SG6</t>
  </si>
  <si>
    <t>BKO1</t>
  </si>
  <si>
    <t>BKO2</t>
  </si>
  <si>
    <t>BKO3</t>
  </si>
  <si>
    <t>BKO4</t>
  </si>
  <si>
    <t>BKO5</t>
  </si>
  <si>
    <t>BKO6</t>
  </si>
  <si>
    <t>BKO7</t>
  </si>
  <si>
    <t>NN1</t>
  </si>
  <si>
    <t>NN2</t>
  </si>
  <si>
    <t>NN3</t>
  </si>
  <si>
    <t>NN4</t>
  </si>
  <si>
    <t>NN5</t>
  </si>
  <si>
    <t>NN6</t>
  </si>
  <si>
    <t>NN7</t>
  </si>
  <si>
    <t>NN8</t>
  </si>
  <si>
    <t>SIT1</t>
  </si>
  <si>
    <t>SIT2</t>
  </si>
  <si>
    <t>SIT3</t>
  </si>
  <si>
    <t>SIT4</t>
  </si>
  <si>
    <t>SIT5</t>
  </si>
  <si>
    <t>SIT6</t>
  </si>
  <si>
    <t>NN9</t>
  </si>
  <si>
    <t>NN10</t>
  </si>
  <si>
    <t>NN11</t>
  </si>
  <si>
    <t>NN12</t>
  </si>
  <si>
    <t>NN13</t>
  </si>
  <si>
    <t>NN14</t>
  </si>
  <si>
    <t>SS1</t>
  </si>
  <si>
    <t>SS2</t>
  </si>
  <si>
    <t>SS3</t>
  </si>
  <si>
    <t>SS4</t>
  </si>
  <si>
    <t>SS5</t>
  </si>
  <si>
    <t>SS6</t>
  </si>
  <si>
    <t>SS7</t>
  </si>
  <si>
    <t>Margen / Utilidad</t>
  </si>
  <si>
    <t>Rentabilidad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</si>
</sst>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1" formatCode="_ * #,##0_ ;_ * \-#,##0_ ;_ * &quot;-&quot;_ ;_ @_ "/>
    <numFmt numFmtId="164" formatCode="#,##0.0_ ;[Red]\-#,##0.0\ "/>
    <numFmt numFmtId="165" formatCode="_ \U\F* #,##0.000_ ;_ \U\F* \-#,##0.000_ ;_ \U\F* &quot;-&quot;_ ;_ @_ "/>
    <numFmt numFmtId="166" formatCode="_ [$USD]\ * #,##0.00_ ;_ [$USD]\ * \-#,##0.00_ ;_ [$USD]\ * &quot;-&quot;_ ;_ @_ "/>
    <numFmt numFmtId="167" formatCode="0.0%"/>
    <numFmt numFmtId="168" formatCode="#,##0_ ;[Red]\-#,##0\ "/>
    <numFmt numFmtId="169" formatCode="0.0000%"/>
    <numFmt numFmtId="170" formatCode="&quot; &quot;mmm&quot; &quot;yyyy"/>
    <numFmt numFmtId="171" formatCode="d\.m\.yyyy"/>
    <numFmt numFmtId="172" formatCode="#,##0.00_ ;[Red]\-#,##0.00\ "/>
    <numFmt numFmtId="173" formatCode="#,##0.0"/>
    <numFmt numFmtId="174" formatCode="[$UF ]#,##0.00"/>
    <numFmt numFmtId="175" formatCode="[$$ ]#,##0.00"/>
    <numFmt numFmtId="176" formatCode="[$UF ]#,##0"/>
    <numFmt numFmtId="177" formatCode="mmm\ yyyy"/>
    <numFmt numFmtId="178" formatCode="#,##0.0000"/>
    <numFmt numFmtId="179" formatCode="[$$]#,##0.00"/>
    <numFmt numFmtId="180" formatCode="[$$]#,##0"/>
    <numFmt numFmtId="181" formatCode="[$$]#,##0.000"/>
    <numFmt numFmtId="182" formatCode="[$$]#,##0.0"/>
    <numFmt numFmtId="183" formatCode="#,##0.00000"/>
    <numFmt numFmtId="184" formatCode="[$$]#,##0.0000"/>
    <numFmt numFmtId="185" formatCode="#,##0.00\ [$€-1]"/>
  </numFmts>
  <fonts count="35" x14ac:knownFonts="1">
    <font>
      <sz val="10"/>
      <color rgb="FF000000"/>
      <name val="Arial"/>
      <scheme val="minor"/>
    </font>
    <font>
      <b/>
      <sz val="24"/>
      <color theme="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4"/>
      <color rgb="FFFFFFFF"/>
      <name val="Leelawadee"/>
      <family val="2"/>
      <charset val="222"/>
    </font>
    <font>
      <b/>
      <sz val="10"/>
      <color rgb="FFFFFFFF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Calibri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  <family val="2"/>
    </font>
    <font>
      <sz val="12"/>
      <color rgb="FFFFFFFF"/>
      <name val="Arial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980000"/>
      <name val="Calibri"/>
      <family val="2"/>
    </font>
    <font>
      <sz val="9"/>
      <color rgb="FF1F1F1F"/>
      <name val="Arial"/>
      <family val="2"/>
    </font>
    <font>
      <sz val="11"/>
      <color rgb="FFFFFFFF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463F57"/>
        <bgColor rgb="FF463F57"/>
      </patternFill>
    </fill>
    <fill>
      <patternFill patternType="solid">
        <fgColor rgb="FFEFEFEF"/>
        <bgColor rgb="FFEFEFEF"/>
      </patternFill>
    </fill>
    <fill>
      <patternFill patternType="solid">
        <fgColor rgb="FF6A6578"/>
        <bgColor rgb="FF6A6578"/>
      </patternFill>
    </fill>
    <fill>
      <patternFill patternType="solid">
        <fgColor rgb="FFA6A8C6"/>
        <bgColor rgb="FFA6A8C6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00B050"/>
        <bgColor rgb="FF463F57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6A6578"/>
      </patternFill>
    </fill>
    <fill>
      <patternFill patternType="solid">
        <fgColor rgb="FF996633"/>
        <bgColor rgb="FF463F57"/>
      </patternFill>
    </fill>
    <fill>
      <patternFill patternType="solid">
        <fgColor rgb="FF996633"/>
        <bgColor indexed="64"/>
      </patternFill>
    </fill>
    <fill>
      <patternFill patternType="solid">
        <fgColor rgb="FF996633"/>
        <bgColor rgb="FF6A6578"/>
      </patternFill>
    </fill>
    <fill>
      <patternFill patternType="solid">
        <fgColor theme="8" tint="-0.249977111117893"/>
        <bgColor rgb="FF463F5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6A6578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416">
    <xf numFmtId="0" fontId="0" fillId="0" borderId="0" xfId="0"/>
    <xf numFmtId="0" fontId="1" fillId="0" borderId="0" xfId="0" applyFont="1"/>
    <xf numFmtId="0" fontId="5" fillId="2" borderId="4" xfId="0" applyFont="1" applyFill="1" applyBorder="1" applyAlignment="1">
      <alignment horizontal="center"/>
    </xf>
    <xf numFmtId="0" fontId="7" fillId="2" borderId="4" xfId="0" applyFont="1" applyFill="1" applyBorder="1"/>
    <xf numFmtId="4" fontId="8" fillId="3" borderId="4" xfId="0" applyNumberFormat="1" applyFont="1" applyFill="1" applyBorder="1"/>
    <xf numFmtId="2" fontId="8" fillId="3" borderId="0" xfId="0" applyNumberFormat="1" applyFont="1" applyFill="1"/>
    <xf numFmtId="2" fontId="8" fillId="3" borderId="4" xfId="0" applyNumberFormat="1" applyFont="1" applyFill="1" applyBorder="1"/>
    <xf numFmtId="10" fontId="8" fillId="0" borderId="4" xfId="0" applyNumberFormat="1" applyFont="1" applyBorder="1"/>
    <xf numFmtId="0" fontId="7" fillId="2" borderId="4" xfId="0" applyFont="1" applyFill="1" applyBorder="1" applyAlignment="1">
      <alignment horizontal="center"/>
    </xf>
    <xf numFmtId="0" fontId="7" fillId="0" borderId="0" xfId="0" applyFont="1"/>
    <xf numFmtId="0" fontId="8" fillId="3" borderId="4" xfId="0" applyFont="1" applyFill="1" applyBorder="1"/>
    <xf numFmtId="0" fontId="10" fillId="0" borderId="4" xfId="0" applyFont="1" applyBorder="1" applyAlignment="1">
      <alignment horizontal="center"/>
    </xf>
    <xf numFmtId="0" fontId="10" fillId="0" borderId="0" xfId="0" applyFont="1"/>
    <xf numFmtId="0" fontId="10" fillId="0" borderId="5" xfId="0" applyFont="1" applyBorder="1"/>
    <xf numFmtId="4" fontId="10" fillId="0" borderId="6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right"/>
    </xf>
    <xf numFmtId="165" fontId="10" fillId="0" borderId="6" xfId="0" applyNumberFormat="1" applyFont="1" applyBorder="1" applyAlignment="1">
      <alignment horizontal="right"/>
    </xf>
    <xf numFmtId="166" fontId="10" fillId="0" borderId="6" xfId="0" applyNumberFormat="1" applyFont="1" applyBorder="1" applyAlignment="1">
      <alignment horizontal="center"/>
    </xf>
    <xf numFmtId="41" fontId="10" fillId="0" borderId="6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10" fillId="0" borderId="4" xfId="0" applyNumberFormat="1" applyFont="1" applyBorder="1"/>
    <xf numFmtId="167" fontId="10" fillId="0" borderId="4" xfId="0" applyNumberFormat="1" applyFont="1" applyBorder="1" applyAlignment="1">
      <alignment horizontal="right"/>
    </xf>
    <xf numFmtId="168" fontId="10" fillId="0" borderId="4" xfId="0" applyNumberFormat="1" applyFont="1" applyBorder="1" applyAlignment="1">
      <alignment horizontal="right"/>
    </xf>
    <xf numFmtId="10" fontId="10" fillId="0" borderId="4" xfId="0" applyNumberFormat="1" applyFont="1" applyBorder="1" applyAlignment="1">
      <alignment horizontal="right"/>
    </xf>
    <xf numFmtId="9" fontId="10" fillId="0" borderId="4" xfId="0" applyNumberFormat="1" applyFont="1" applyBorder="1" applyAlignment="1">
      <alignment horizontal="right"/>
    </xf>
    <xf numFmtId="169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1" fillId="0" borderId="0" xfId="0" quotePrefix="1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5" borderId="8" xfId="0" applyFont="1" applyFill="1" applyBorder="1"/>
    <xf numFmtId="170" fontId="8" fillId="5" borderId="8" xfId="0" applyNumberFormat="1" applyFont="1" applyFill="1" applyBorder="1"/>
    <xf numFmtId="170" fontId="14" fillId="5" borderId="0" xfId="0" applyNumberFormat="1" applyFont="1" applyFill="1" applyAlignment="1">
      <alignment horizontal="left"/>
    </xf>
    <xf numFmtId="2" fontId="14" fillId="3" borderId="8" xfId="0" applyNumberFormat="1" applyFont="1" applyFill="1" applyBorder="1" applyAlignment="1">
      <alignment horizontal="left"/>
    </xf>
    <xf numFmtId="2" fontId="14" fillId="6" borderId="8" xfId="0" applyNumberFormat="1" applyFont="1" applyFill="1" applyBorder="1" applyAlignment="1">
      <alignment horizontal="left"/>
    </xf>
    <xf numFmtId="2" fontId="14" fillId="0" borderId="4" xfId="0" applyNumberFormat="1" applyFont="1" applyBorder="1" applyAlignment="1">
      <alignment horizontal="left"/>
    </xf>
    <xf numFmtId="170" fontId="14" fillId="0" borderId="4" xfId="0" applyNumberFormat="1" applyFont="1" applyBorder="1" applyAlignment="1">
      <alignment horizontal="left"/>
    </xf>
    <xf numFmtId="0" fontId="16" fillId="0" borderId="0" xfId="0" applyFont="1"/>
    <xf numFmtId="0" fontId="8" fillId="0" borderId="0" xfId="0" applyFont="1"/>
    <xf numFmtId="0" fontId="9" fillId="2" borderId="5" xfId="0" applyFont="1" applyFill="1" applyBorder="1"/>
    <xf numFmtId="0" fontId="8" fillId="0" borderId="10" xfId="0" applyFont="1" applyBorder="1"/>
    <xf numFmtId="164" fontId="17" fillId="4" borderId="5" xfId="0" applyNumberFormat="1" applyFont="1" applyFill="1" applyBorder="1"/>
    <xf numFmtId="4" fontId="10" fillId="0" borderId="4" xfId="0" applyNumberFormat="1" applyFont="1" applyBorder="1"/>
    <xf numFmtId="167" fontId="10" fillId="0" borderId="6" xfId="0" applyNumberFormat="1" applyFont="1" applyBorder="1" applyAlignment="1">
      <alignment horizontal="right"/>
    </xf>
    <xf numFmtId="170" fontId="10" fillId="0" borderId="4" xfId="0" applyNumberFormat="1" applyFont="1" applyBorder="1"/>
    <xf numFmtId="10" fontId="10" fillId="0" borderId="6" xfId="0" applyNumberFormat="1" applyFont="1" applyBorder="1" applyAlignment="1">
      <alignment horizontal="right"/>
    </xf>
    <xf numFmtId="9" fontId="10" fillId="0" borderId="6" xfId="0" applyNumberFormat="1" applyFont="1" applyBorder="1" applyAlignment="1">
      <alignment horizontal="right"/>
    </xf>
    <xf numFmtId="4" fontId="10" fillId="0" borderId="4" xfId="0" applyNumberFormat="1" applyFont="1" applyBorder="1" applyAlignment="1">
      <alignment horizontal="right"/>
    </xf>
    <xf numFmtId="0" fontId="10" fillId="0" borderId="4" xfId="0" applyFont="1" applyBorder="1"/>
    <xf numFmtId="0" fontId="7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4" fillId="0" borderId="0" xfId="0" applyFont="1"/>
    <xf numFmtId="0" fontId="14" fillId="3" borderId="4" xfId="0" applyFont="1" applyFill="1" applyBorder="1" applyAlignment="1">
      <alignment vertical="center"/>
    </xf>
    <xf numFmtId="0" fontId="18" fillId="5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center" wrapText="1"/>
    </xf>
    <xf numFmtId="171" fontId="15" fillId="2" borderId="4" xfId="0" applyNumberFormat="1" applyFont="1" applyFill="1" applyBorder="1" applyAlignment="1">
      <alignment horizontal="center"/>
    </xf>
    <xf numFmtId="0" fontId="14" fillId="3" borderId="4" xfId="0" applyFont="1" applyFill="1" applyBorder="1" applyAlignment="1">
      <alignment horizontal="left" vertical="center"/>
    </xf>
    <xf numFmtId="0" fontId="15" fillId="4" borderId="0" xfId="0" applyFont="1" applyFill="1"/>
    <xf numFmtId="0" fontId="15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0" fillId="7" borderId="0" xfId="0" applyFont="1" applyFill="1"/>
    <xf numFmtId="0" fontId="14" fillId="3" borderId="4" xfId="0" applyFont="1" applyFill="1" applyBorder="1" applyAlignment="1">
      <alignment wrapText="1"/>
    </xf>
    <xf numFmtId="0" fontId="14" fillId="3" borderId="7" xfId="0" applyFont="1" applyFill="1" applyBorder="1" applyAlignment="1">
      <alignment wrapText="1"/>
    </xf>
    <xf numFmtId="0" fontId="15" fillId="4" borderId="4" xfId="0" applyFont="1" applyFill="1" applyBorder="1"/>
    <xf numFmtId="0" fontId="15" fillId="4" borderId="1" xfId="0" applyFont="1" applyFill="1" applyBorder="1" applyAlignment="1">
      <alignment horizontal="center"/>
    </xf>
    <xf numFmtId="0" fontId="14" fillId="0" borderId="11" xfId="0" applyFont="1" applyBorder="1"/>
    <xf numFmtId="0" fontId="14" fillId="8" borderId="0" xfId="0" applyFont="1" applyFill="1" applyAlignment="1">
      <alignment horizontal="center"/>
    </xf>
    <xf numFmtId="0" fontId="14" fillId="8" borderId="0" xfId="0" applyFont="1" applyFill="1"/>
    <xf numFmtId="0" fontId="14" fillId="9" borderId="0" xfId="0" applyFont="1" applyFill="1" applyAlignment="1">
      <alignment horizontal="center"/>
    </xf>
    <xf numFmtId="0" fontId="14" fillId="9" borderId="0" xfId="0" applyFont="1" applyFill="1"/>
    <xf numFmtId="0" fontId="18" fillId="3" borderId="4" xfId="0" applyFont="1" applyFill="1" applyBorder="1"/>
    <xf numFmtId="0" fontId="14" fillId="3" borderId="4" xfId="0" applyFont="1" applyFill="1" applyBorder="1"/>
    <xf numFmtId="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4" borderId="4" xfId="0" applyFont="1" applyFill="1" applyBorder="1"/>
    <xf numFmtId="0" fontId="2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16" fillId="5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/>
    </xf>
    <xf numFmtId="0" fontId="8" fillId="7" borderId="0" xfId="0" applyFont="1" applyFill="1"/>
    <xf numFmtId="164" fontId="21" fillId="0" borderId="0" xfId="0" applyNumberFormat="1" applyFont="1"/>
    <xf numFmtId="164" fontId="21" fillId="3" borderId="5" xfId="0" applyNumberFormat="1" applyFont="1" applyFill="1" applyBorder="1"/>
    <xf numFmtId="41" fontId="21" fillId="3" borderId="6" xfId="0" applyNumberFormat="1" applyFont="1" applyFill="1" applyBorder="1" applyAlignment="1">
      <alignment horizontal="right"/>
    </xf>
    <xf numFmtId="168" fontId="21" fillId="3" borderId="6" xfId="0" applyNumberFormat="1" applyFont="1" applyFill="1" applyBorder="1" applyAlignment="1">
      <alignment horizontal="right"/>
    </xf>
    <xf numFmtId="172" fontId="21" fillId="0" borderId="10" xfId="0" applyNumberFormat="1" applyFont="1" applyBorder="1"/>
    <xf numFmtId="172" fontId="23" fillId="4" borderId="17" xfId="0" applyNumberFormat="1" applyFont="1" applyFill="1" applyBorder="1"/>
    <xf numFmtId="172" fontId="23" fillId="4" borderId="18" xfId="0" applyNumberFormat="1" applyFont="1" applyFill="1" applyBorder="1" applyAlignment="1">
      <alignment horizontal="center"/>
    </xf>
    <xf numFmtId="172" fontId="23" fillId="4" borderId="19" xfId="0" applyNumberFormat="1" applyFont="1" applyFill="1" applyBorder="1" applyAlignment="1">
      <alignment horizontal="center"/>
    </xf>
    <xf numFmtId="172" fontId="23" fillId="4" borderId="5" xfId="0" applyNumberFormat="1" applyFont="1" applyFill="1" applyBorder="1"/>
    <xf numFmtId="172" fontId="24" fillId="3" borderId="4" xfId="0" applyNumberFormat="1" applyFont="1" applyFill="1" applyBorder="1" applyAlignment="1">
      <alignment horizontal="center"/>
    </xf>
    <xf numFmtId="172" fontId="21" fillId="3" borderId="4" xfId="0" applyNumberFormat="1" applyFont="1" applyFill="1" applyBorder="1" applyAlignment="1">
      <alignment horizontal="center"/>
    </xf>
    <xf numFmtId="168" fontId="21" fillId="3" borderId="4" xfId="0" applyNumberFormat="1" applyFont="1" applyFill="1" applyBorder="1" applyAlignment="1">
      <alignment horizontal="center"/>
    </xf>
    <xf numFmtId="172" fontId="25" fillId="3" borderId="4" xfId="0" applyNumberFormat="1" applyFont="1" applyFill="1" applyBorder="1" applyAlignment="1">
      <alignment horizontal="center"/>
    </xf>
    <xf numFmtId="0" fontId="26" fillId="10" borderId="0" xfId="0" applyFont="1" applyFill="1"/>
    <xf numFmtId="172" fontId="23" fillId="4" borderId="4" xfId="0" applyNumberFormat="1" applyFont="1" applyFill="1" applyBorder="1"/>
    <xf numFmtId="168" fontId="24" fillId="3" borderId="4" xfId="0" applyNumberFormat="1" applyFont="1" applyFill="1" applyBorder="1" applyAlignment="1">
      <alignment horizontal="center"/>
    </xf>
    <xf numFmtId="172" fontId="23" fillId="2" borderId="4" xfId="0" applyNumberFormat="1" applyFont="1" applyFill="1" applyBorder="1"/>
    <xf numFmtId="172" fontId="23" fillId="2" borderId="4" xfId="0" applyNumberFormat="1" applyFont="1" applyFill="1" applyBorder="1" applyAlignment="1">
      <alignment horizontal="center"/>
    </xf>
    <xf numFmtId="168" fontId="23" fillId="2" borderId="4" xfId="0" applyNumberFormat="1" applyFont="1" applyFill="1" applyBorder="1" applyAlignment="1">
      <alignment horizontal="center"/>
    </xf>
    <xf numFmtId="172" fontId="21" fillId="0" borderId="0" xfId="0" applyNumberFormat="1" applyFont="1"/>
    <xf numFmtId="172" fontId="22" fillId="10" borderId="0" xfId="0" applyNumberFormat="1" applyFont="1" applyFill="1" applyAlignment="1">
      <alignment horizontal="center"/>
    </xf>
    <xf numFmtId="0" fontId="8" fillId="10" borderId="0" xfId="0" applyFont="1" applyFill="1"/>
    <xf numFmtId="172" fontId="20" fillId="10" borderId="0" xfId="0" applyNumberFormat="1" applyFont="1" applyFill="1"/>
    <xf numFmtId="172" fontId="24" fillId="10" borderId="0" xfId="0" applyNumberFormat="1" applyFont="1" applyFill="1" applyAlignment="1">
      <alignment horizontal="center"/>
    </xf>
    <xf numFmtId="172" fontId="20" fillId="10" borderId="0" xfId="0" applyNumberFormat="1" applyFont="1" applyFill="1" applyAlignment="1">
      <alignment horizontal="center"/>
    </xf>
    <xf numFmtId="172" fontId="23" fillId="10" borderId="0" xfId="0" applyNumberFormat="1" applyFont="1" applyFill="1"/>
    <xf numFmtId="172" fontId="21" fillId="10" borderId="0" xfId="0" applyNumberFormat="1" applyFont="1" applyFill="1" applyAlignment="1">
      <alignment horizontal="center"/>
    </xf>
    <xf numFmtId="168" fontId="21" fillId="10" borderId="0" xfId="0" applyNumberFormat="1" applyFont="1" applyFill="1" applyAlignment="1">
      <alignment horizontal="center"/>
    </xf>
    <xf numFmtId="172" fontId="23" fillId="10" borderId="0" xfId="0" applyNumberFormat="1" applyFont="1" applyFill="1" applyAlignment="1">
      <alignment horizontal="center"/>
    </xf>
    <xf numFmtId="168" fontId="23" fillId="10" borderId="0" xfId="0" applyNumberFormat="1" applyFont="1" applyFill="1" applyAlignment="1">
      <alignment horizontal="center"/>
    </xf>
    <xf numFmtId="172" fontId="21" fillId="10" borderId="0" xfId="0" applyNumberFormat="1" applyFont="1" applyFill="1"/>
    <xf numFmtId="172" fontId="21" fillId="0" borderId="20" xfId="0" applyNumberFormat="1" applyFont="1" applyBorder="1"/>
    <xf numFmtId="172" fontId="21" fillId="0" borderId="6" xfId="0" applyNumberFormat="1" applyFont="1" applyBorder="1"/>
    <xf numFmtId="172" fontId="22" fillId="4" borderId="5" xfId="0" applyNumberFormat="1" applyFont="1" applyFill="1" applyBorder="1"/>
    <xf numFmtId="172" fontId="22" fillId="4" borderId="6" xfId="0" applyNumberFormat="1" applyFont="1" applyFill="1" applyBorder="1" applyAlignment="1">
      <alignment horizontal="center" wrapText="1"/>
    </xf>
    <xf numFmtId="172" fontId="24" fillId="3" borderId="5" xfId="0" applyNumberFormat="1" applyFont="1" applyFill="1" applyBorder="1" applyAlignment="1">
      <alignment horizontal="center"/>
    </xf>
    <xf numFmtId="168" fontId="23" fillId="4" borderId="16" xfId="0" applyNumberFormat="1" applyFont="1" applyFill="1" applyBorder="1" applyAlignment="1">
      <alignment horizontal="center"/>
    </xf>
    <xf numFmtId="172" fontId="23" fillId="4" borderId="16" xfId="0" applyNumberFormat="1" applyFont="1" applyFill="1" applyBorder="1" applyAlignment="1">
      <alignment horizontal="center"/>
    </xf>
    <xf numFmtId="172" fontId="21" fillId="0" borderId="15" xfId="0" applyNumberFormat="1" applyFont="1" applyBorder="1"/>
    <xf numFmtId="172" fontId="21" fillId="0" borderId="21" xfId="0" applyNumberFormat="1" applyFont="1" applyBorder="1"/>
    <xf numFmtId="164" fontId="21" fillId="5" borderId="5" xfId="0" applyNumberFormat="1" applyFont="1" applyFill="1" applyBorder="1"/>
    <xf numFmtId="41" fontId="21" fillId="5" borderId="6" xfId="0" applyNumberFormat="1" applyFont="1" applyFill="1" applyBorder="1" applyAlignment="1">
      <alignment horizontal="right" vertical="center"/>
    </xf>
    <xf numFmtId="172" fontId="23" fillId="4" borderId="6" xfId="0" applyNumberFormat="1" applyFont="1" applyFill="1" applyBorder="1" applyAlignment="1">
      <alignment horizontal="center" vertical="center" wrapText="1"/>
    </xf>
    <xf numFmtId="172" fontId="23" fillId="4" borderId="6" xfId="0" applyNumberFormat="1" applyFont="1" applyFill="1" applyBorder="1" applyAlignment="1">
      <alignment horizontal="center" wrapText="1"/>
    </xf>
    <xf numFmtId="168" fontId="21" fillId="5" borderId="6" xfId="0" applyNumberFormat="1" applyFont="1" applyFill="1" applyBorder="1" applyAlignment="1">
      <alignment horizontal="right" vertical="center"/>
    </xf>
    <xf numFmtId="168" fontId="21" fillId="3" borderId="6" xfId="0" applyNumberFormat="1" applyFont="1" applyFill="1" applyBorder="1" applyAlignment="1">
      <alignment horizontal="center"/>
    </xf>
    <xf numFmtId="4" fontId="21" fillId="3" borderId="6" xfId="0" applyNumberFormat="1" applyFont="1" applyFill="1" applyBorder="1" applyAlignment="1">
      <alignment horizontal="center"/>
    </xf>
    <xf numFmtId="3" fontId="21" fillId="3" borderId="6" xfId="0" applyNumberFormat="1" applyFont="1" applyFill="1" applyBorder="1" applyAlignment="1">
      <alignment horizontal="center"/>
    </xf>
    <xf numFmtId="172" fontId="21" fillId="2" borderId="17" xfId="0" applyNumberFormat="1" applyFont="1" applyFill="1" applyBorder="1"/>
    <xf numFmtId="172" fontId="23" fillId="2" borderId="16" xfId="0" applyNumberFormat="1" applyFont="1" applyFill="1" applyBorder="1" applyAlignment="1">
      <alignment horizontal="center"/>
    </xf>
    <xf numFmtId="172" fontId="21" fillId="3" borderId="6" xfId="0" applyNumberFormat="1" applyFont="1" applyFill="1" applyBorder="1" applyAlignment="1">
      <alignment horizontal="center"/>
    </xf>
    <xf numFmtId="172" fontId="23" fillId="2" borderId="5" xfId="0" applyNumberFormat="1" applyFont="1" applyFill="1" applyBorder="1"/>
    <xf numFmtId="168" fontId="23" fillId="2" borderId="6" xfId="0" applyNumberFormat="1" applyFont="1" applyFill="1" applyBorder="1" applyAlignment="1">
      <alignment horizontal="center"/>
    </xf>
    <xf numFmtId="4" fontId="23" fillId="2" borderId="6" xfId="0" applyNumberFormat="1" applyFont="1" applyFill="1" applyBorder="1" applyAlignment="1">
      <alignment horizontal="center"/>
    </xf>
    <xf numFmtId="3" fontId="23" fillId="2" borderId="6" xfId="0" applyNumberFormat="1" applyFont="1" applyFill="1" applyBorder="1" applyAlignment="1">
      <alignment horizontal="center"/>
    </xf>
    <xf numFmtId="172" fontId="23" fillId="2" borderId="6" xfId="0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11" borderId="0" xfId="0" applyFont="1" applyFill="1" applyAlignment="1">
      <alignment horizontal="center"/>
    </xf>
    <xf numFmtId="0" fontId="23" fillId="4" borderId="5" xfId="0" applyFont="1" applyFill="1" applyBorder="1"/>
    <xf numFmtId="0" fontId="23" fillId="4" borderId="6" xfId="0" applyFont="1" applyFill="1" applyBorder="1"/>
    <xf numFmtId="0" fontId="23" fillId="4" borderId="4" xfId="0" applyFont="1" applyFill="1" applyBorder="1"/>
    <xf numFmtId="0" fontId="23" fillId="12" borderId="4" xfId="0" applyFont="1" applyFill="1" applyBorder="1"/>
    <xf numFmtId="0" fontId="23" fillId="12" borderId="1" xfId="0" applyFont="1" applyFill="1" applyBorder="1"/>
    <xf numFmtId="2" fontId="8" fillId="13" borderId="4" xfId="0" applyNumberFormat="1" applyFont="1" applyFill="1" applyBorder="1" applyAlignment="1">
      <alignment horizontal="center"/>
    </xf>
    <xf numFmtId="3" fontId="21" fillId="13" borderId="4" xfId="0" applyNumberFormat="1" applyFont="1" applyFill="1" applyBorder="1" applyAlignment="1">
      <alignment horizontal="center"/>
    </xf>
    <xf numFmtId="0" fontId="21" fillId="13" borderId="4" xfId="0" applyFont="1" applyFill="1" applyBorder="1"/>
    <xf numFmtId="4" fontId="21" fillId="3" borderId="4" xfId="0" applyNumberFormat="1" applyFont="1" applyFill="1" applyBorder="1" applyAlignment="1">
      <alignment horizontal="center"/>
    </xf>
    <xf numFmtId="4" fontId="8" fillId="13" borderId="5" xfId="0" applyNumberFormat="1" applyFont="1" applyFill="1" applyBorder="1" applyAlignment="1">
      <alignment horizontal="center"/>
    </xf>
    <xf numFmtId="0" fontId="8" fillId="13" borderId="6" xfId="0" applyFont="1" applyFill="1" applyBorder="1"/>
    <xf numFmtId="4" fontId="8" fillId="13" borderId="4" xfId="0" applyNumberFormat="1" applyFont="1" applyFill="1" applyBorder="1" applyAlignment="1">
      <alignment horizontal="center"/>
    </xf>
    <xf numFmtId="0" fontId="8" fillId="13" borderId="4" xfId="0" applyFont="1" applyFill="1" applyBorder="1"/>
    <xf numFmtId="0" fontId="21" fillId="13" borderId="4" xfId="0" applyFont="1" applyFill="1" applyBorder="1" applyAlignment="1">
      <alignment horizontal="center"/>
    </xf>
    <xf numFmtId="0" fontId="8" fillId="13" borderId="5" xfId="0" applyFont="1" applyFill="1" applyBorder="1"/>
    <xf numFmtId="4" fontId="21" fillId="13" borderId="5" xfId="0" applyNumberFormat="1" applyFont="1" applyFill="1" applyBorder="1" applyAlignment="1">
      <alignment horizontal="center"/>
    </xf>
    <xf numFmtId="4" fontId="21" fillId="13" borderId="6" xfId="0" applyNumberFormat="1" applyFont="1" applyFill="1" applyBorder="1" applyAlignment="1">
      <alignment horizontal="center"/>
    </xf>
    <xf numFmtId="4" fontId="21" fillId="13" borderId="4" xfId="0" applyNumberFormat="1" applyFont="1" applyFill="1" applyBorder="1" applyAlignment="1">
      <alignment horizontal="center"/>
    </xf>
    <xf numFmtId="4" fontId="8" fillId="13" borderId="5" xfId="0" applyNumberFormat="1" applyFont="1" applyFill="1" applyBorder="1"/>
    <xf numFmtId="4" fontId="8" fillId="13" borderId="6" xfId="0" applyNumberFormat="1" applyFont="1" applyFill="1" applyBorder="1"/>
    <xf numFmtId="4" fontId="8" fillId="13" borderId="6" xfId="0" applyNumberFormat="1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4" fontId="24" fillId="13" borderId="5" xfId="0" applyNumberFormat="1" applyFont="1" applyFill="1" applyBorder="1" applyAlignment="1">
      <alignment horizontal="center"/>
    </xf>
    <xf numFmtId="4" fontId="24" fillId="13" borderId="6" xfId="0" applyNumberFormat="1" applyFont="1" applyFill="1" applyBorder="1" applyAlignment="1">
      <alignment horizontal="center"/>
    </xf>
    <xf numFmtId="4" fontId="8" fillId="13" borderId="3" xfId="0" applyNumberFormat="1" applyFont="1" applyFill="1" applyBorder="1"/>
    <xf numFmtId="4" fontId="21" fillId="13" borderId="3" xfId="0" applyNumberFormat="1" applyFont="1" applyFill="1" applyBorder="1" applyAlignment="1">
      <alignment horizontal="center"/>
    </xf>
    <xf numFmtId="0" fontId="22" fillId="2" borderId="5" xfId="0" applyFont="1" applyFill="1" applyBorder="1"/>
    <xf numFmtId="4" fontId="23" fillId="2" borderId="6" xfId="0" applyNumberFormat="1" applyFont="1" applyFill="1" applyBorder="1"/>
    <xf numFmtId="4" fontId="23" fillId="12" borderId="4" xfId="0" applyNumberFormat="1" applyFont="1" applyFill="1" applyBorder="1" applyAlignment="1">
      <alignment horizontal="center"/>
    </xf>
    <xf numFmtId="0" fontId="21" fillId="0" borderId="0" xfId="0" applyFont="1"/>
    <xf numFmtId="0" fontId="22" fillId="2" borderId="4" xfId="0" applyFont="1" applyFill="1" applyBorder="1" applyAlignment="1">
      <alignment horizontal="center"/>
    </xf>
    <xf numFmtId="4" fontId="22" fillId="2" borderId="4" xfId="0" applyNumberFormat="1" applyFont="1" applyFill="1" applyBorder="1" applyAlignment="1">
      <alignment horizontal="center"/>
    </xf>
    <xf numFmtId="0" fontId="21" fillId="10" borderId="0" xfId="0" applyFont="1" applyFill="1"/>
    <xf numFmtId="0" fontId="21" fillId="10" borderId="0" xfId="0" applyFont="1" applyFill="1" applyAlignment="1">
      <alignment horizontal="center"/>
    </xf>
    <xf numFmtId="4" fontId="23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3" fillId="4" borderId="6" xfId="0" applyFont="1" applyFill="1" applyBorder="1" applyAlignment="1">
      <alignment horizontal="center"/>
    </xf>
    <xf numFmtId="173" fontId="21" fillId="3" borderId="6" xfId="0" applyNumberFormat="1" applyFont="1" applyFill="1" applyBorder="1"/>
    <xf numFmtId="0" fontId="21" fillId="3" borderId="6" xfId="0" applyFont="1" applyFill="1" applyBorder="1"/>
    <xf numFmtId="3" fontId="21" fillId="3" borderId="6" xfId="0" applyNumberFormat="1" applyFont="1" applyFill="1" applyBorder="1"/>
    <xf numFmtId="4" fontId="21" fillId="3" borderId="6" xfId="0" applyNumberFormat="1" applyFont="1" applyFill="1" applyBorder="1"/>
    <xf numFmtId="173" fontId="21" fillId="3" borderId="4" xfId="0" applyNumberFormat="1" applyFont="1" applyFill="1" applyBorder="1"/>
    <xf numFmtId="172" fontId="21" fillId="3" borderId="6" xfId="0" applyNumberFormat="1" applyFont="1" applyFill="1" applyBorder="1"/>
    <xf numFmtId="3" fontId="22" fillId="4" borderId="5" xfId="0" applyNumberFormat="1" applyFont="1" applyFill="1" applyBorder="1"/>
    <xf numFmtId="3" fontId="23" fillId="4" borderId="6" xfId="0" applyNumberFormat="1" applyFont="1" applyFill="1" applyBorder="1"/>
    <xf numFmtId="174" fontId="23" fillId="4" borderId="6" xfId="0" applyNumberFormat="1" applyFont="1" applyFill="1" applyBorder="1"/>
    <xf numFmtId="0" fontId="21" fillId="0" borderId="22" xfId="0" applyFont="1" applyBorder="1"/>
    <xf numFmtId="0" fontId="21" fillId="0" borderId="18" xfId="0" applyFont="1" applyBorder="1"/>
    <xf numFmtId="0" fontId="15" fillId="4" borderId="6" xfId="0" applyFont="1" applyFill="1" applyBorder="1" applyAlignment="1">
      <alignment horizontal="center"/>
    </xf>
    <xf numFmtId="175" fontId="21" fillId="3" borderId="6" xfId="0" applyNumberFormat="1" applyFont="1" applyFill="1" applyBorder="1" applyAlignment="1">
      <alignment horizontal="right"/>
    </xf>
    <xf numFmtId="3" fontId="21" fillId="10" borderId="0" xfId="0" applyNumberFormat="1" applyFont="1" applyFill="1" applyAlignment="1">
      <alignment horizontal="center" wrapText="1"/>
    </xf>
    <xf numFmtId="3" fontId="22" fillId="10" borderId="0" xfId="0" applyNumberFormat="1" applyFont="1" applyFill="1"/>
    <xf numFmtId="3" fontId="23" fillId="10" borderId="0" xfId="0" applyNumberFormat="1" applyFont="1" applyFill="1" applyAlignment="1">
      <alignment horizontal="center"/>
    </xf>
    <xf numFmtId="176" fontId="23" fillId="10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/>
    <xf numFmtId="4" fontId="7" fillId="2" borderId="4" xfId="0" applyNumberFormat="1" applyFont="1" applyFill="1" applyBorder="1"/>
    <xf numFmtId="2" fontId="23" fillId="12" borderId="0" xfId="0" applyNumberFormat="1" applyFont="1" applyFill="1"/>
    <xf numFmtId="0" fontId="23" fillId="12" borderId="0" xfId="0" applyFont="1" applyFill="1"/>
    <xf numFmtId="4" fontId="21" fillId="3" borderId="4" xfId="0" applyNumberFormat="1" applyFont="1" applyFill="1" applyBorder="1"/>
    <xf numFmtId="3" fontId="21" fillId="4" borderId="6" xfId="0" applyNumberFormat="1" applyFont="1" applyFill="1" applyBorder="1"/>
    <xf numFmtId="0" fontId="27" fillId="4" borderId="6" xfId="0" applyFont="1" applyFill="1" applyBorder="1"/>
    <xf numFmtId="4" fontId="21" fillId="3" borderId="6" xfId="0" applyNumberFormat="1" applyFont="1" applyFill="1" applyBorder="1" applyAlignment="1">
      <alignment horizontal="right"/>
    </xf>
    <xf numFmtId="3" fontId="23" fillId="10" borderId="0" xfId="0" applyNumberFormat="1" applyFont="1" applyFill="1"/>
    <xf numFmtId="0" fontId="23" fillId="10" borderId="0" xfId="0" applyFont="1" applyFill="1"/>
    <xf numFmtId="3" fontId="21" fillId="10" borderId="0" xfId="0" applyNumberFormat="1" applyFont="1" applyFill="1" applyAlignment="1">
      <alignment horizontal="right"/>
    </xf>
    <xf numFmtId="176" fontId="21" fillId="10" borderId="0" xfId="0" applyNumberFormat="1" applyFont="1" applyFill="1" applyAlignment="1">
      <alignment horizontal="right"/>
    </xf>
    <xf numFmtId="0" fontId="28" fillId="5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7" fillId="2" borderId="0" xfId="0" applyFont="1" applyFill="1"/>
    <xf numFmtId="0" fontId="7" fillId="4" borderId="0" xfId="0" applyFont="1" applyFill="1"/>
    <xf numFmtId="170" fontId="7" fillId="4" borderId="0" xfId="0" applyNumberFormat="1" applyFont="1" applyFill="1"/>
    <xf numFmtId="177" fontId="7" fillId="4" borderId="0" xfId="0" applyNumberFormat="1" applyFont="1" applyFill="1"/>
    <xf numFmtId="2" fontId="2" fillId="4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/>
    <xf numFmtId="2" fontId="7" fillId="2" borderId="4" xfId="0" applyNumberFormat="1" applyFont="1" applyFill="1" applyBorder="1"/>
    <xf numFmtId="2" fontId="8" fillId="13" borderId="4" xfId="0" applyNumberFormat="1" applyFont="1" applyFill="1" applyBorder="1"/>
    <xf numFmtId="2" fontId="7" fillId="4" borderId="0" xfId="0" applyNumberFormat="1" applyFont="1" applyFill="1"/>
    <xf numFmtId="2" fontId="7" fillId="0" borderId="0" xfId="0" applyNumberFormat="1" applyFont="1"/>
    <xf numFmtId="2" fontId="6" fillId="2" borderId="4" xfId="0" applyNumberFormat="1" applyFont="1" applyFill="1" applyBorder="1"/>
    <xf numFmtId="2" fontId="8" fillId="13" borderId="0" xfId="0" applyNumberFormat="1" applyFont="1" applyFill="1"/>
    <xf numFmtId="2" fontId="7" fillId="2" borderId="0" xfId="0" applyNumberFormat="1" applyFont="1" applyFill="1"/>
    <xf numFmtId="4" fontId="8" fillId="3" borderId="0" xfId="0" applyNumberFormat="1" applyFont="1" applyFill="1"/>
    <xf numFmtId="2" fontId="22" fillId="2" borderId="4" xfId="0" applyNumberFormat="1" applyFont="1" applyFill="1" applyBorder="1"/>
    <xf numFmtId="2" fontId="21" fillId="3" borderId="4" xfId="0" applyNumberFormat="1" applyFont="1" applyFill="1" applyBorder="1"/>
    <xf numFmtId="2" fontId="21" fillId="0" borderId="0" xfId="0" applyNumberFormat="1" applyFont="1"/>
    <xf numFmtId="0" fontId="7" fillId="0" borderId="0" xfId="0" applyFont="1" applyAlignment="1">
      <alignment horizontal="center"/>
    </xf>
    <xf numFmtId="170" fontId="7" fillId="2" borderId="4" xfId="0" applyNumberFormat="1" applyFont="1" applyFill="1" applyBorder="1" applyAlignment="1">
      <alignment horizontal="center"/>
    </xf>
    <xf numFmtId="170" fontId="7" fillId="2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4" fontId="8" fillId="3" borderId="1" xfId="0" applyNumberFormat="1" applyFont="1" applyFill="1" applyBorder="1"/>
    <xf numFmtId="4" fontId="8" fillId="0" borderId="0" xfId="0" applyNumberFormat="1" applyFont="1"/>
    <xf numFmtId="4" fontId="8" fillId="14" borderId="4" xfId="0" applyNumberFormat="1" applyFont="1" applyFill="1" applyBorder="1"/>
    <xf numFmtId="4" fontId="28" fillId="3" borderId="4" xfId="0" applyNumberFormat="1" applyFont="1" applyFill="1" applyBorder="1"/>
    <xf numFmtId="4" fontId="28" fillId="3" borderId="1" xfId="0" applyNumberFormat="1" applyFont="1" applyFill="1" applyBorder="1"/>
    <xf numFmtId="4" fontId="28" fillId="0" borderId="0" xfId="0" applyNumberFormat="1" applyFont="1"/>
    <xf numFmtId="0" fontId="2" fillId="2" borderId="4" xfId="0" applyFont="1" applyFill="1" applyBorder="1"/>
    <xf numFmtId="4" fontId="28" fillId="10" borderId="1" xfId="0" applyNumberFormat="1" applyFont="1" applyFill="1" applyBorder="1"/>
    <xf numFmtId="10" fontId="8" fillId="3" borderId="4" xfId="0" applyNumberFormat="1" applyFont="1" applyFill="1" applyBorder="1"/>
    <xf numFmtId="10" fontId="8" fillId="3" borderId="1" xfId="0" applyNumberFormat="1" applyFont="1" applyFill="1" applyBorder="1"/>
    <xf numFmtId="10" fontId="8" fillId="0" borderId="0" xfId="0" applyNumberFormat="1" applyFont="1"/>
    <xf numFmtId="178" fontId="8" fillId="3" borderId="4" xfId="0" applyNumberFormat="1" applyFont="1" applyFill="1" applyBorder="1"/>
    <xf numFmtId="178" fontId="8" fillId="3" borderId="1" xfId="0" applyNumberFormat="1" applyFont="1" applyFill="1" applyBorder="1"/>
    <xf numFmtId="178" fontId="8" fillId="0" borderId="0" xfId="0" applyNumberFormat="1" applyFont="1"/>
    <xf numFmtId="4" fontId="8" fillId="15" borderId="22" xfId="0" applyNumberFormat="1" applyFont="1" applyFill="1" applyBorder="1"/>
    <xf numFmtId="4" fontId="8" fillId="15" borderId="0" xfId="0" applyNumberFormat="1" applyFont="1" applyFill="1"/>
    <xf numFmtId="10" fontId="28" fillId="3" borderId="4" xfId="0" applyNumberFormat="1" applyFont="1" applyFill="1" applyBorder="1"/>
    <xf numFmtId="0" fontId="29" fillId="10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10" fontId="7" fillId="2" borderId="4" xfId="0" applyNumberFormat="1" applyFont="1" applyFill="1" applyBorder="1"/>
    <xf numFmtId="0" fontId="8" fillId="0" borderId="4" xfId="0" applyFont="1" applyBorder="1"/>
    <xf numFmtId="4" fontId="8" fillId="0" borderId="4" xfId="0" applyNumberFormat="1" applyFont="1" applyBorder="1"/>
    <xf numFmtId="2" fontId="8" fillId="10" borderId="4" xfId="0" applyNumberFormat="1" applyFont="1" applyFill="1" applyBorder="1"/>
    <xf numFmtId="2" fontId="8" fillId="2" borderId="4" xfId="0" applyNumberFormat="1" applyFont="1" applyFill="1" applyBorder="1"/>
    <xf numFmtId="10" fontId="2" fillId="2" borderId="4" xfId="0" applyNumberFormat="1" applyFont="1" applyFill="1" applyBorder="1"/>
    <xf numFmtId="0" fontId="28" fillId="0" borderId="4" xfId="0" applyFont="1" applyBorder="1"/>
    <xf numFmtId="2" fontId="8" fillId="0" borderId="4" xfId="0" applyNumberFormat="1" applyFont="1" applyBorder="1"/>
    <xf numFmtId="4" fontId="28" fillId="0" borderId="4" xfId="0" applyNumberFormat="1" applyFont="1" applyBorder="1"/>
    <xf numFmtId="9" fontId="8" fillId="0" borderId="4" xfId="0" applyNumberFormat="1" applyFont="1" applyBorder="1"/>
    <xf numFmtId="0" fontId="7" fillId="10" borderId="0" xfId="0" applyFont="1" applyFill="1"/>
    <xf numFmtId="0" fontId="9" fillId="2" borderId="4" xfId="0" applyFont="1" applyFill="1" applyBorder="1"/>
    <xf numFmtId="164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16" borderId="4" xfId="0" applyFont="1" applyFill="1" applyBorder="1"/>
    <xf numFmtId="4" fontId="10" fillId="16" borderId="4" xfId="0" applyNumberFormat="1" applyFont="1" applyFill="1" applyBorder="1"/>
    <xf numFmtId="0" fontId="10" fillId="0" borderId="0" xfId="0" applyFont="1" applyAlignment="1">
      <alignment horizontal="center"/>
    </xf>
    <xf numFmtId="0" fontId="10" fillId="10" borderId="4" xfId="0" applyFont="1" applyFill="1" applyBorder="1"/>
    <xf numFmtId="4" fontId="10" fillId="10" borderId="4" xfId="0" applyNumberFormat="1" applyFont="1" applyFill="1" applyBorder="1"/>
    <xf numFmtId="41" fontId="10" fillId="10" borderId="4" xfId="0" applyNumberFormat="1" applyFont="1" applyFill="1" applyBorder="1"/>
    <xf numFmtId="0" fontId="10" fillId="10" borderId="0" xfId="0" applyFont="1" applyFill="1"/>
    <xf numFmtId="0" fontId="9" fillId="4" borderId="4" xfId="0" applyFont="1" applyFill="1" applyBorder="1"/>
    <xf numFmtId="0" fontId="28" fillId="10" borderId="0" xfId="0" applyFont="1" applyFill="1"/>
    <xf numFmtId="4" fontId="14" fillId="10" borderId="4" xfId="0" applyNumberFormat="1" applyFont="1" applyFill="1" applyBorder="1"/>
    <xf numFmtId="179" fontId="10" fillId="16" borderId="4" xfId="0" applyNumberFormat="1" applyFont="1" applyFill="1" applyBorder="1"/>
    <xf numFmtId="180" fontId="10" fillId="16" borderId="4" xfId="0" applyNumberFormat="1" applyFont="1" applyFill="1" applyBorder="1"/>
    <xf numFmtId="2" fontId="10" fillId="16" borderId="4" xfId="0" applyNumberFormat="1" applyFont="1" applyFill="1" applyBorder="1"/>
    <xf numFmtId="0" fontId="10" fillId="16" borderId="0" xfId="0" applyFont="1" applyFill="1"/>
    <xf numFmtId="179" fontId="10" fillId="10" borderId="4" xfId="0" applyNumberFormat="1" applyFont="1" applyFill="1" applyBorder="1"/>
    <xf numFmtId="180" fontId="10" fillId="10" borderId="0" xfId="0" applyNumberFormat="1" applyFont="1" applyFill="1"/>
    <xf numFmtId="2" fontId="10" fillId="10" borderId="4" xfId="0" applyNumberFormat="1" applyFont="1" applyFill="1" applyBorder="1"/>
    <xf numFmtId="180" fontId="10" fillId="10" borderId="4" xfId="0" applyNumberFormat="1" applyFont="1" applyFill="1" applyBorder="1"/>
    <xf numFmtId="0" fontId="30" fillId="16" borderId="4" xfId="0" applyFont="1" applyFill="1" applyBorder="1"/>
    <xf numFmtId="0" fontId="30" fillId="10" borderId="4" xfId="0" applyFont="1" applyFill="1" applyBorder="1"/>
    <xf numFmtId="0" fontId="31" fillId="16" borderId="10" xfId="0" applyFont="1" applyFill="1" applyBorder="1"/>
    <xf numFmtId="0" fontId="10" fillId="16" borderId="3" xfId="0" applyFont="1" applyFill="1" applyBorder="1"/>
    <xf numFmtId="179" fontId="10" fillId="16" borderId="3" xfId="0" applyNumberFormat="1" applyFont="1" applyFill="1" applyBorder="1" applyAlignment="1">
      <alignment horizontal="right"/>
    </xf>
    <xf numFmtId="180" fontId="10" fillId="16" borderId="3" xfId="0" applyNumberFormat="1" applyFont="1" applyFill="1" applyBorder="1" applyAlignment="1">
      <alignment horizontal="right"/>
    </xf>
    <xf numFmtId="4" fontId="10" fillId="16" borderId="3" xfId="0" applyNumberFormat="1" applyFont="1" applyFill="1" applyBorder="1" applyAlignment="1">
      <alignment horizontal="right"/>
    </xf>
    <xf numFmtId="0" fontId="10" fillId="16" borderId="3" xfId="0" applyFont="1" applyFill="1" applyBorder="1" applyAlignment="1">
      <alignment horizontal="right"/>
    </xf>
    <xf numFmtId="2" fontId="10" fillId="16" borderId="3" xfId="0" applyNumberFormat="1" applyFont="1" applyFill="1" applyBorder="1" applyAlignment="1">
      <alignment horizontal="right"/>
    </xf>
    <xf numFmtId="0" fontId="8" fillId="16" borderId="0" xfId="0" applyFont="1" applyFill="1"/>
    <xf numFmtId="0" fontId="10" fillId="10" borderId="5" xfId="0" applyFont="1" applyFill="1" applyBorder="1"/>
    <xf numFmtId="0" fontId="10" fillId="10" borderId="6" xfId="0" applyFont="1" applyFill="1" applyBorder="1"/>
    <xf numFmtId="179" fontId="10" fillId="10" borderId="6" xfId="0" applyNumberFormat="1" applyFont="1" applyFill="1" applyBorder="1" applyAlignment="1">
      <alignment horizontal="right"/>
    </xf>
    <xf numFmtId="180" fontId="10" fillId="10" borderId="6" xfId="0" applyNumberFormat="1" applyFont="1" applyFill="1" applyBorder="1" applyAlignment="1">
      <alignment horizontal="right"/>
    </xf>
    <xf numFmtId="4" fontId="10" fillId="10" borderId="6" xfId="0" applyNumberFormat="1" applyFont="1" applyFill="1" applyBorder="1" applyAlignment="1">
      <alignment horizontal="right"/>
    </xf>
    <xf numFmtId="0" fontId="10" fillId="10" borderId="6" xfId="0" applyFont="1" applyFill="1" applyBorder="1" applyAlignment="1">
      <alignment horizontal="right"/>
    </xf>
    <xf numFmtId="2" fontId="10" fillId="10" borderId="6" xfId="0" applyNumberFormat="1" applyFont="1" applyFill="1" applyBorder="1" applyAlignment="1">
      <alignment horizontal="right"/>
    </xf>
    <xf numFmtId="0" fontId="10" fillId="16" borderId="6" xfId="0" applyFont="1" applyFill="1" applyBorder="1"/>
    <xf numFmtId="179" fontId="10" fillId="16" borderId="6" xfId="0" applyNumberFormat="1" applyFont="1" applyFill="1" applyBorder="1" applyAlignment="1">
      <alignment horizontal="right"/>
    </xf>
    <xf numFmtId="180" fontId="10" fillId="16" borderId="6" xfId="0" applyNumberFormat="1" applyFont="1" applyFill="1" applyBorder="1" applyAlignment="1">
      <alignment horizontal="right"/>
    </xf>
    <xf numFmtId="4" fontId="10" fillId="16" borderId="6" xfId="0" applyNumberFormat="1" applyFont="1" applyFill="1" applyBorder="1" applyAlignment="1">
      <alignment horizontal="right"/>
    </xf>
    <xf numFmtId="0" fontId="10" fillId="16" borderId="6" xfId="0" applyFont="1" applyFill="1" applyBorder="1" applyAlignment="1">
      <alignment horizontal="right"/>
    </xf>
    <xf numFmtId="2" fontId="10" fillId="16" borderId="6" xfId="0" applyNumberFormat="1" applyFont="1" applyFill="1" applyBorder="1" applyAlignment="1">
      <alignment horizontal="right"/>
    </xf>
    <xf numFmtId="0" fontId="30" fillId="10" borderId="4" xfId="0" applyFont="1" applyFill="1" applyBorder="1" applyAlignment="1">
      <alignment horizontal="left"/>
    </xf>
    <xf numFmtId="179" fontId="30" fillId="16" borderId="0" xfId="0" applyNumberFormat="1" applyFont="1" applyFill="1" applyAlignment="1">
      <alignment horizontal="right"/>
    </xf>
    <xf numFmtId="0" fontId="30" fillId="16" borderId="4" xfId="0" applyFont="1" applyFill="1" applyBorder="1" applyAlignment="1">
      <alignment horizontal="left"/>
    </xf>
    <xf numFmtId="180" fontId="30" fillId="10" borderId="4" xfId="0" applyNumberFormat="1" applyFont="1" applyFill="1" applyBorder="1"/>
    <xf numFmtId="4" fontId="30" fillId="10" borderId="4" xfId="0" applyNumberFormat="1" applyFont="1" applyFill="1" applyBorder="1"/>
    <xf numFmtId="180" fontId="30" fillId="16" borderId="4" xfId="0" applyNumberFormat="1" applyFont="1" applyFill="1" applyBorder="1"/>
    <xf numFmtId="4" fontId="30" fillId="16" borderId="4" xfId="0" applyNumberFormat="1" applyFont="1" applyFill="1" applyBorder="1"/>
    <xf numFmtId="0" fontId="31" fillId="16" borderId="1" xfId="0" applyFont="1" applyFill="1" applyBorder="1"/>
    <xf numFmtId="0" fontId="31" fillId="16" borderId="2" xfId="0" applyFont="1" applyFill="1" applyBorder="1"/>
    <xf numFmtId="0" fontId="31" fillId="10" borderId="4" xfId="0" applyFont="1" applyFill="1" applyBorder="1"/>
    <xf numFmtId="181" fontId="10" fillId="16" borderId="4" xfId="0" applyNumberFormat="1" applyFont="1" applyFill="1" applyBorder="1"/>
    <xf numFmtId="181" fontId="10" fillId="10" borderId="4" xfId="0" applyNumberFormat="1" applyFont="1" applyFill="1" applyBorder="1"/>
    <xf numFmtId="182" fontId="10" fillId="16" borderId="4" xfId="0" applyNumberFormat="1" applyFont="1" applyFill="1" applyBorder="1"/>
    <xf numFmtId="183" fontId="30" fillId="10" borderId="4" xfId="0" applyNumberFormat="1" applyFont="1" applyFill="1" applyBorder="1"/>
    <xf numFmtId="184" fontId="10" fillId="16" borderId="4" xfId="0" applyNumberFormat="1" applyFont="1" applyFill="1" applyBorder="1"/>
    <xf numFmtId="0" fontId="30" fillId="10" borderId="0" xfId="0" applyFont="1" applyFill="1"/>
    <xf numFmtId="179" fontId="10" fillId="0" borderId="0" xfId="0" applyNumberFormat="1" applyFont="1" applyAlignment="1">
      <alignment horizontal="center"/>
    </xf>
    <xf numFmtId="180" fontId="10" fillId="0" borderId="0" xfId="0" applyNumberFormat="1" applyFont="1" applyAlignment="1">
      <alignment horizontal="center"/>
    </xf>
    <xf numFmtId="185" fontId="10" fillId="0" borderId="0" xfId="0" applyNumberFormat="1" applyFont="1" applyAlignment="1">
      <alignment horizontal="center"/>
    </xf>
    <xf numFmtId="164" fontId="9" fillId="17" borderId="4" xfId="0" applyNumberFormat="1" applyFont="1" applyFill="1" applyBorder="1"/>
    <xf numFmtId="0" fontId="9" fillId="17" borderId="7" xfId="0" applyFont="1" applyFill="1" applyBorder="1"/>
    <xf numFmtId="0" fontId="7" fillId="17" borderId="8" xfId="0" applyFont="1" applyFill="1" applyBorder="1"/>
    <xf numFmtId="0" fontId="15" fillId="17" borderId="8" xfId="0" applyFont="1" applyFill="1" applyBorder="1" applyAlignment="1">
      <alignment horizontal="left"/>
    </xf>
    <xf numFmtId="0" fontId="15" fillId="17" borderId="9" xfId="0" applyFont="1" applyFill="1" applyBorder="1" applyAlignment="1">
      <alignment horizontal="left"/>
    </xf>
    <xf numFmtId="0" fontId="17" fillId="19" borderId="5" xfId="0" applyFont="1" applyFill="1" applyBorder="1"/>
    <xf numFmtId="164" fontId="17" fillId="19" borderId="5" xfId="0" applyNumberFormat="1" applyFont="1" applyFill="1" applyBorder="1"/>
    <xf numFmtId="0" fontId="7" fillId="19" borderId="4" xfId="0" applyFont="1" applyFill="1" applyBorder="1"/>
    <xf numFmtId="2" fontId="17" fillId="19" borderId="5" xfId="0" applyNumberFormat="1" applyFont="1" applyFill="1" applyBorder="1"/>
    <xf numFmtId="0" fontId="7" fillId="19" borderId="4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4" fillId="20" borderId="4" xfId="0" applyFont="1" applyFill="1" applyBorder="1" applyAlignment="1">
      <alignment vertical="center"/>
    </xf>
    <xf numFmtId="0" fontId="5" fillId="20" borderId="4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vertical="center"/>
    </xf>
    <xf numFmtId="0" fontId="6" fillId="17" borderId="4" xfId="0" applyFont="1" applyFill="1" applyBorder="1" applyAlignment="1">
      <alignment horizontal="center" vertical="center"/>
    </xf>
    <xf numFmtId="0" fontId="7" fillId="20" borderId="4" xfId="0" applyFont="1" applyFill="1" applyBorder="1" applyAlignment="1">
      <alignment vertical="center"/>
    </xf>
    <xf numFmtId="4" fontId="8" fillId="3" borderId="4" xfId="0" applyNumberFormat="1" applyFont="1" applyFill="1" applyBorder="1" applyAlignment="1">
      <alignment vertical="center"/>
    </xf>
    <xf numFmtId="3" fontId="8" fillId="3" borderId="4" xfId="0" applyNumberFormat="1" applyFont="1" applyFill="1" applyBorder="1" applyAlignment="1">
      <alignment vertical="center"/>
    </xf>
    <xf numFmtId="4" fontId="8" fillId="3" borderId="4" xfId="0" applyNumberFormat="1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vertical="center"/>
    </xf>
    <xf numFmtId="4" fontId="2" fillId="22" borderId="4" xfId="0" applyNumberFormat="1" applyFont="1" applyFill="1" applyBorder="1" applyAlignment="1">
      <alignment horizontal="center" vertical="center"/>
    </xf>
    <xf numFmtId="3" fontId="2" fillId="22" borderId="4" xfId="0" applyNumberFormat="1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vertical="center"/>
    </xf>
    <xf numFmtId="4" fontId="2" fillId="19" borderId="4" xfId="0" applyNumberFormat="1" applyFont="1" applyFill="1" applyBorder="1" applyAlignment="1">
      <alignment horizontal="center" vertical="center"/>
    </xf>
    <xf numFmtId="3" fontId="2" fillId="19" borderId="4" xfId="0" applyNumberFormat="1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vertical="center"/>
    </xf>
    <xf numFmtId="0" fontId="2" fillId="17" borderId="4" xfId="0" applyFont="1" applyFill="1" applyBorder="1" applyAlignment="1">
      <alignment horizontal="center" vertical="center"/>
    </xf>
    <xf numFmtId="2" fontId="8" fillId="3" borderId="0" xfId="0" applyNumberFormat="1" applyFont="1" applyFill="1" applyAlignment="1">
      <alignment vertical="center"/>
    </xf>
    <xf numFmtId="0" fontId="7" fillId="17" borderId="4" xfId="0" applyFont="1" applyFill="1" applyBorder="1" applyAlignment="1">
      <alignment horizontal="left" vertical="center"/>
    </xf>
    <xf numFmtId="2" fontId="8" fillId="3" borderId="4" xfId="0" applyNumberFormat="1" applyFont="1" applyFill="1" applyBorder="1" applyAlignment="1">
      <alignment vertical="center"/>
    </xf>
    <xf numFmtId="4" fontId="7" fillId="22" borderId="4" xfId="0" applyNumberFormat="1" applyFont="1" applyFill="1" applyBorder="1" applyAlignment="1">
      <alignment vertical="center"/>
    </xf>
    <xf numFmtId="3" fontId="7" fillId="22" borderId="4" xfId="0" applyNumberFormat="1" applyFont="1" applyFill="1" applyBorder="1" applyAlignment="1">
      <alignment vertical="center"/>
    </xf>
    <xf numFmtId="4" fontId="7" fillId="19" borderId="4" xfId="0" applyNumberFormat="1" applyFont="1" applyFill="1" applyBorder="1" applyAlignment="1">
      <alignment horizontal="center" vertical="center"/>
    </xf>
    <xf numFmtId="3" fontId="7" fillId="19" borderId="4" xfId="0" applyNumberFormat="1" applyFont="1" applyFill="1" applyBorder="1" applyAlignment="1">
      <alignment horizontal="center" vertical="center"/>
    </xf>
    <xf numFmtId="4" fontId="2" fillId="22" borderId="4" xfId="0" applyNumberFormat="1" applyFont="1" applyFill="1" applyBorder="1" applyAlignment="1">
      <alignment vertical="center"/>
    </xf>
    <xf numFmtId="3" fontId="2" fillId="22" borderId="4" xfId="0" applyNumberFormat="1" applyFont="1" applyFill="1" applyBorder="1" applyAlignment="1">
      <alignment vertical="center"/>
    </xf>
    <xf numFmtId="10" fontId="8" fillId="0" borderId="4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7" fillId="20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vertical="center"/>
    </xf>
    <xf numFmtId="0" fontId="6" fillId="23" borderId="4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vertical="center"/>
    </xf>
    <xf numFmtId="4" fontId="2" fillId="25" borderId="4" xfId="0" applyNumberFormat="1" applyFont="1" applyFill="1" applyBorder="1" applyAlignment="1">
      <alignment horizontal="center" vertical="center"/>
    </xf>
    <xf numFmtId="3" fontId="2" fillId="25" borderId="4" xfId="0" applyNumberFormat="1" applyFont="1" applyFill="1" applyBorder="1" applyAlignment="1">
      <alignment horizontal="center" vertical="center"/>
    </xf>
    <xf numFmtId="9" fontId="2" fillId="25" borderId="4" xfId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vertical="center"/>
    </xf>
    <xf numFmtId="0" fontId="3" fillId="21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/>
    <xf numFmtId="0" fontId="2" fillId="17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vertical="center"/>
    </xf>
    <xf numFmtId="0" fontId="3" fillId="18" borderId="3" xfId="0" applyFont="1" applyFill="1" applyBorder="1" applyAlignment="1">
      <alignment vertical="center"/>
    </xf>
    <xf numFmtId="0" fontId="2" fillId="23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vertical="center"/>
    </xf>
    <xf numFmtId="0" fontId="3" fillId="24" borderId="3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164" fontId="20" fillId="2" borderId="12" xfId="0" applyNumberFormat="1" applyFont="1" applyFill="1" applyBorder="1" applyAlignment="1">
      <alignment horizontal="center"/>
    </xf>
    <xf numFmtId="0" fontId="3" fillId="0" borderId="13" xfId="0" applyFont="1" applyBorder="1"/>
    <xf numFmtId="172" fontId="22" fillId="2" borderId="14" xfId="0" applyNumberFormat="1" applyFont="1" applyFill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172" fontId="22" fillId="2" borderId="10" xfId="0" applyNumberFormat="1" applyFont="1" applyFill="1" applyBorder="1" applyAlignment="1">
      <alignment horizontal="center"/>
    </xf>
    <xf numFmtId="0" fontId="3" fillId="0" borderId="6" xfId="0" applyFont="1" applyBorder="1"/>
    <xf numFmtId="164" fontId="23" fillId="2" borderId="12" xfId="0" applyNumberFormat="1" applyFont="1" applyFill="1" applyBorder="1" applyAlignment="1">
      <alignment horizontal="center"/>
    </xf>
    <xf numFmtId="172" fontId="23" fillId="2" borderId="10" xfId="0" applyNumberFormat="1" applyFont="1" applyFill="1" applyBorder="1" applyAlignment="1">
      <alignment horizontal="center"/>
    </xf>
    <xf numFmtId="0" fontId="22" fillId="2" borderId="20" xfId="0" applyFont="1" applyFill="1" applyBorder="1" applyAlignment="1">
      <alignment horizontal="center"/>
    </xf>
    <xf numFmtId="0" fontId="3" fillId="0" borderId="10" xfId="0" applyFont="1" applyBorder="1"/>
    <xf numFmtId="2" fontId="7" fillId="4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7" fillId="4" borderId="0" xfId="0" applyNumberFormat="1" applyFont="1" applyFill="1" applyAlignment="1">
      <alignment vertical="center"/>
    </xf>
    <xf numFmtId="0" fontId="31" fillId="10" borderId="10" xfId="0" applyFont="1" applyFill="1" applyBorder="1"/>
    <xf numFmtId="0" fontId="31" fillId="10" borderId="1" xfId="0" applyFont="1" applyFill="1" applyBorder="1"/>
    <xf numFmtId="0" fontId="31" fillId="16" borderId="1" xfId="0" applyFont="1" applyFill="1" applyBorder="1"/>
  </cellXfs>
  <cellStyles count="2">
    <cellStyle name="Normal" xfId="0" builtinId="0"/>
    <cellStyle name="Porcentaje" xfId="1" builtinId="5"/>
  </cellStyles>
  <dxfs count="17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Invisible" pivot="0" table="0" count="0" xr9:uid="{2E4F1B81-CC3B-4E10-8676-73C34E72D352}"/>
    <tableStyle name="PCUESFUERZO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CL" b="1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'CURVA S'!$A$34</c:f>
              <c:strCache>
                <c:ptCount val="1"/>
                <c:pt idx="0">
                  <c:v>A.2 - INGRESO ACUMULADO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'CURVA S'!$B$33:$BJ$33</c:f>
              <c:numCache>
                <c:formatCode>" "mmm" "yyyy</c:formatCode>
                <c:ptCount val="61"/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  <c:pt idx="31">
                  <c:v>46204</c:v>
                </c:pt>
                <c:pt idx="32">
                  <c:v>46235</c:v>
                </c:pt>
                <c:pt idx="33">
                  <c:v>46266</c:v>
                </c:pt>
                <c:pt idx="34">
                  <c:v>46296</c:v>
                </c:pt>
                <c:pt idx="35">
                  <c:v>46327</c:v>
                </c:pt>
                <c:pt idx="36">
                  <c:v>46358</c:v>
                </c:pt>
                <c:pt idx="37">
                  <c:v>46389</c:v>
                </c:pt>
                <c:pt idx="38">
                  <c:v>46420</c:v>
                </c:pt>
                <c:pt idx="39">
                  <c:v>46451</c:v>
                </c:pt>
                <c:pt idx="40">
                  <c:v>46482</c:v>
                </c:pt>
                <c:pt idx="41">
                  <c:v>46513</c:v>
                </c:pt>
                <c:pt idx="42">
                  <c:v>46544</c:v>
                </c:pt>
                <c:pt idx="43">
                  <c:v>46575</c:v>
                </c:pt>
                <c:pt idx="44">
                  <c:v>46606</c:v>
                </c:pt>
                <c:pt idx="45">
                  <c:v>46637</c:v>
                </c:pt>
                <c:pt idx="46">
                  <c:v>46668</c:v>
                </c:pt>
                <c:pt idx="47">
                  <c:v>46699</c:v>
                </c:pt>
                <c:pt idx="48">
                  <c:v>46730</c:v>
                </c:pt>
                <c:pt idx="49">
                  <c:v>46761</c:v>
                </c:pt>
                <c:pt idx="50">
                  <c:v>46792</c:v>
                </c:pt>
                <c:pt idx="51">
                  <c:v>46823</c:v>
                </c:pt>
                <c:pt idx="52">
                  <c:v>46854</c:v>
                </c:pt>
                <c:pt idx="53">
                  <c:v>46885</c:v>
                </c:pt>
                <c:pt idx="54">
                  <c:v>46916</c:v>
                </c:pt>
                <c:pt idx="55">
                  <c:v>46947</c:v>
                </c:pt>
                <c:pt idx="56">
                  <c:v>46978</c:v>
                </c:pt>
                <c:pt idx="57">
                  <c:v>47009</c:v>
                </c:pt>
                <c:pt idx="58">
                  <c:v>47040</c:v>
                </c:pt>
                <c:pt idx="59">
                  <c:v>47071</c:v>
                </c:pt>
                <c:pt idx="60">
                  <c:v>47102</c:v>
                </c:pt>
              </c:numCache>
            </c:numRef>
          </c:cat>
          <c:val>
            <c:numRef>
              <c:f>'CURVA S'!$B$34:$BJ$34</c:f>
              <c:numCache>
                <c:formatCode>0.00</c:formatCode>
                <c:ptCount val="61"/>
                <c:pt idx="0">
                  <c:v>108534.11400000005</c:v>
                </c:pt>
                <c:pt idx="1">
                  <c:v>108534.11400000005</c:v>
                </c:pt>
                <c:pt idx="2">
                  <c:v>126136.71790000005</c:v>
                </c:pt>
                <c:pt idx="3">
                  <c:v>126136.71790000005</c:v>
                </c:pt>
                <c:pt idx="4">
                  <c:v>126136.71790000005</c:v>
                </c:pt>
                <c:pt idx="5">
                  <c:v>126136.71790000005</c:v>
                </c:pt>
                <c:pt idx="6">
                  <c:v>126136.71790000005</c:v>
                </c:pt>
                <c:pt idx="7">
                  <c:v>152540.62375000006</c:v>
                </c:pt>
                <c:pt idx="8">
                  <c:v>152540.62375000006</c:v>
                </c:pt>
                <c:pt idx="9">
                  <c:v>152540.62375000006</c:v>
                </c:pt>
                <c:pt idx="10">
                  <c:v>178944.52960000007</c:v>
                </c:pt>
                <c:pt idx="11">
                  <c:v>178944.52960000007</c:v>
                </c:pt>
                <c:pt idx="12">
                  <c:v>196547.13350000005</c:v>
                </c:pt>
                <c:pt idx="13">
                  <c:v>200659.4418333334</c:v>
                </c:pt>
                <c:pt idx="14">
                  <c:v>202947.75016666672</c:v>
                </c:pt>
                <c:pt idx="15">
                  <c:v>205236.05850000004</c:v>
                </c:pt>
                <c:pt idx="16">
                  <c:v>207524.36683333336</c:v>
                </c:pt>
                <c:pt idx="17">
                  <c:v>209812.67516666668</c:v>
                </c:pt>
                <c:pt idx="18">
                  <c:v>212100.9835</c:v>
                </c:pt>
                <c:pt idx="19">
                  <c:v>214389.29183333332</c:v>
                </c:pt>
                <c:pt idx="20">
                  <c:v>216677.60016666664</c:v>
                </c:pt>
                <c:pt idx="21">
                  <c:v>218965.90849999996</c:v>
                </c:pt>
                <c:pt idx="22">
                  <c:v>221254.21683333328</c:v>
                </c:pt>
                <c:pt idx="23">
                  <c:v>223542.5251666666</c:v>
                </c:pt>
                <c:pt idx="24">
                  <c:v>225830.83349999992</c:v>
                </c:pt>
                <c:pt idx="25">
                  <c:v>228119.14183333324</c:v>
                </c:pt>
                <c:pt idx="26">
                  <c:v>230407.45016666656</c:v>
                </c:pt>
                <c:pt idx="27">
                  <c:v>232695.75849999988</c:v>
                </c:pt>
                <c:pt idx="28">
                  <c:v>234984.0668333332</c:v>
                </c:pt>
                <c:pt idx="29">
                  <c:v>237272.37516666652</c:v>
                </c:pt>
                <c:pt idx="30">
                  <c:v>239560.68349999984</c:v>
                </c:pt>
                <c:pt idx="31">
                  <c:v>241848.99183333316</c:v>
                </c:pt>
                <c:pt idx="32">
                  <c:v>244137.30016666648</c:v>
                </c:pt>
                <c:pt idx="33">
                  <c:v>246425.6084999998</c:v>
                </c:pt>
                <c:pt idx="34">
                  <c:v>248713.91683333312</c:v>
                </c:pt>
                <c:pt idx="35">
                  <c:v>251002.22516666644</c:v>
                </c:pt>
                <c:pt idx="36">
                  <c:v>253290.53349999976</c:v>
                </c:pt>
                <c:pt idx="37">
                  <c:v>255578.84183333308</c:v>
                </c:pt>
                <c:pt idx="38">
                  <c:v>257867.1501666664</c:v>
                </c:pt>
                <c:pt idx="39">
                  <c:v>260155.45849999972</c:v>
                </c:pt>
                <c:pt idx="40">
                  <c:v>262443.76683333307</c:v>
                </c:pt>
                <c:pt idx="41">
                  <c:v>264732.07516666641</c:v>
                </c:pt>
                <c:pt idx="42">
                  <c:v>267020.38349999976</c:v>
                </c:pt>
                <c:pt idx="43">
                  <c:v>269308.69183333311</c:v>
                </c:pt>
                <c:pt idx="44">
                  <c:v>271597.00016666646</c:v>
                </c:pt>
                <c:pt idx="45">
                  <c:v>273885.30849999981</c:v>
                </c:pt>
                <c:pt idx="46">
                  <c:v>276173.61683333316</c:v>
                </c:pt>
                <c:pt idx="47">
                  <c:v>278461.92516666651</c:v>
                </c:pt>
                <c:pt idx="48">
                  <c:v>280750.23349999986</c:v>
                </c:pt>
                <c:pt idx="49">
                  <c:v>283038.54183333321</c:v>
                </c:pt>
                <c:pt idx="50">
                  <c:v>285326.85016666655</c:v>
                </c:pt>
                <c:pt idx="51">
                  <c:v>287615.1584999999</c:v>
                </c:pt>
                <c:pt idx="52">
                  <c:v>289903.46683333325</c:v>
                </c:pt>
                <c:pt idx="53">
                  <c:v>292191.7751666666</c:v>
                </c:pt>
                <c:pt idx="54">
                  <c:v>294480.08349999995</c:v>
                </c:pt>
                <c:pt idx="55">
                  <c:v>296768.3918333333</c:v>
                </c:pt>
                <c:pt idx="56">
                  <c:v>299056.70016666665</c:v>
                </c:pt>
                <c:pt idx="57">
                  <c:v>301345.0085</c:v>
                </c:pt>
                <c:pt idx="58">
                  <c:v>303633.31683333335</c:v>
                </c:pt>
                <c:pt idx="59">
                  <c:v>305921.62516666669</c:v>
                </c:pt>
                <c:pt idx="60">
                  <c:v>308209.93350000004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B-44C6-9EE8-4BA582E6123F}"/>
            </c:ext>
          </c:extLst>
        </c:ser>
        <c:ser>
          <c:idx val="1"/>
          <c:order val="1"/>
          <c:tx>
            <c:strRef>
              <c:f>'CURVA S'!$A$35</c:f>
              <c:strCache>
                <c:ptCount val="1"/>
                <c:pt idx="0">
                  <c:v>B.2.- EGRESO TOTAL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'CURVA S'!$B$33:$BJ$33</c:f>
              <c:numCache>
                <c:formatCode>" "mmm" "yyyy</c:formatCode>
                <c:ptCount val="61"/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  <c:pt idx="31">
                  <c:v>46204</c:v>
                </c:pt>
                <c:pt idx="32">
                  <c:v>46235</c:v>
                </c:pt>
                <c:pt idx="33">
                  <c:v>46266</c:v>
                </c:pt>
                <c:pt idx="34">
                  <c:v>46296</c:v>
                </c:pt>
                <c:pt idx="35">
                  <c:v>46327</c:v>
                </c:pt>
                <c:pt idx="36">
                  <c:v>46358</c:v>
                </c:pt>
                <c:pt idx="37">
                  <c:v>46389</c:v>
                </c:pt>
                <c:pt idx="38">
                  <c:v>46420</c:v>
                </c:pt>
                <c:pt idx="39">
                  <c:v>46451</c:v>
                </c:pt>
                <c:pt idx="40">
                  <c:v>46482</c:v>
                </c:pt>
                <c:pt idx="41">
                  <c:v>46513</c:v>
                </c:pt>
                <c:pt idx="42">
                  <c:v>46544</c:v>
                </c:pt>
                <c:pt idx="43">
                  <c:v>46575</c:v>
                </c:pt>
                <c:pt idx="44">
                  <c:v>46606</c:v>
                </c:pt>
                <c:pt idx="45">
                  <c:v>46637</c:v>
                </c:pt>
                <c:pt idx="46">
                  <c:v>46668</c:v>
                </c:pt>
                <c:pt idx="47">
                  <c:v>46699</c:v>
                </c:pt>
                <c:pt idx="48">
                  <c:v>46730</c:v>
                </c:pt>
                <c:pt idx="49">
                  <c:v>46761</c:v>
                </c:pt>
                <c:pt idx="50">
                  <c:v>46792</c:v>
                </c:pt>
                <c:pt idx="51">
                  <c:v>46823</c:v>
                </c:pt>
                <c:pt idx="52">
                  <c:v>46854</c:v>
                </c:pt>
                <c:pt idx="53">
                  <c:v>46885</c:v>
                </c:pt>
                <c:pt idx="54">
                  <c:v>46916</c:v>
                </c:pt>
                <c:pt idx="55">
                  <c:v>46947</c:v>
                </c:pt>
                <c:pt idx="56">
                  <c:v>46978</c:v>
                </c:pt>
                <c:pt idx="57">
                  <c:v>47009</c:v>
                </c:pt>
                <c:pt idx="58">
                  <c:v>47040</c:v>
                </c:pt>
                <c:pt idx="59">
                  <c:v>47071</c:v>
                </c:pt>
                <c:pt idx="60">
                  <c:v>47102</c:v>
                </c:pt>
              </c:numCache>
            </c:numRef>
          </c:cat>
          <c:val>
            <c:numRef>
              <c:f>'CURVA S'!$B$35:$BJ$35</c:f>
              <c:numCache>
                <c:formatCode>0.00</c:formatCode>
                <c:ptCount val="61"/>
                <c:pt idx="0">
                  <c:v>27133.528500000011</c:v>
                </c:pt>
                <c:pt idx="1">
                  <c:v>34629.996922702783</c:v>
                </c:pt>
                <c:pt idx="2">
                  <c:v>42126.465345405559</c:v>
                </c:pt>
                <c:pt idx="3">
                  <c:v>49574.933768108334</c:v>
                </c:pt>
                <c:pt idx="4">
                  <c:v>56026.602190811107</c:v>
                </c:pt>
                <c:pt idx="5">
                  <c:v>64851.170613513881</c:v>
                </c:pt>
                <c:pt idx="6">
                  <c:v>73675.739036216662</c:v>
                </c:pt>
                <c:pt idx="7">
                  <c:v>87070.146625586101</c:v>
                </c:pt>
                <c:pt idx="8">
                  <c:v>100528.55421495554</c:v>
                </c:pt>
                <c:pt idx="9">
                  <c:v>113730.96180432498</c:v>
                </c:pt>
                <c:pt idx="10">
                  <c:v>121988.90522702775</c:v>
                </c:pt>
                <c:pt idx="11">
                  <c:v>130118.84864973053</c:v>
                </c:pt>
                <c:pt idx="12">
                  <c:v>138264.79207243331</c:v>
                </c:pt>
                <c:pt idx="13">
                  <c:v>140420.66707243331</c:v>
                </c:pt>
                <c:pt idx="14">
                  <c:v>142192.54207243331</c:v>
                </c:pt>
                <c:pt idx="15">
                  <c:v>143964.41707243331</c:v>
                </c:pt>
                <c:pt idx="16">
                  <c:v>146040.29207243331</c:v>
                </c:pt>
                <c:pt idx="17">
                  <c:v>147652.16707243331</c:v>
                </c:pt>
                <c:pt idx="18">
                  <c:v>149264.04207243331</c:v>
                </c:pt>
                <c:pt idx="19">
                  <c:v>151259.91707243331</c:v>
                </c:pt>
                <c:pt idx="20">
                  <c:v>152871.79207243331</c:v>
                </c:pt>
                <c:pt idx="21">
                  <c:v>154483.66707243331</c:v>
                </c:pt>
                <c:pt idx="22">
                  <c:v>156479.54207243331</c:v>
                </c:pt>
                <c:pt idx="23">
                  <c:v>158091.41707243331</c:v>
                </c:pt>
                <c:pt idx="24">
                  <c:v>159703.29207243331</c:v>
                </c:pt>
                <c:pt idx="25">
                  <c:v>161699.16707243331</c:v>
                </c:pt>
                <c:pt idx="26">
                  <c:v>163311.04207243331</c:v>
                </c:pt>
                <c:pt idx="27">
                  <c:v>164922.91707243331</c:v>
                </c:pt>
                <c:pt idx="28">
                  <c:v>166918.79207243331</c:v>
                </c:pt>
                <c:pt idx="29">
                  <c:v>168530.66707243331</c:v>
                </c:pt>
                <c:pt idx="30">
                  <c:v>170142.54207243331</c:v>
                </c:pt>
                <c:pt idx="31">
                  <c:v>172138.41707243331</c:v>
                </c:pt>
                <c:pt idx="32">
                  <c:v>173750.29207243331</c:v>
                </c:pt>
                <c:pt idx="33">
                  <c:v>175362.16707243331</c:v>
                </c:pt>
                <c:pt idx="34">
                  <c:v>177358.04207243331</c:v>
                </c:pt>
                <c:pt idx="35">
                  <c:v>178969.91707243331</c:v>
                </c:pt>
                <c:pt idx="36">
                  <c:v>180581.79207243331</c:v>
                </c:pt>
                <c:pt idx="37">
                  <c:v>182577.66707243331</c:v>
                </c:pt>
                <c:pt idx="38">
                  <c:v>184189.54207243331</c:v>
                </c:pt>
                <c:pt idx="39">
                  <c:v>185801.41707243331</c:v>
                </c:pt>
                <c:pt idx="40">
                  <c:v>187797.29207243331</c:v>
                </c:pt>
                <c:pt idx="41">
                  <c:v>189409.16707243331</c:v>
                </c:pt>
                <c:pt idx="42">
                  <c:v>191021.04207243331</c:v>
                </c:pt>
                <c:pt idx="43">
                  <c:v>193016.91707243331</c:v>
                </c:pt>
                <c:pt idx="44">
                  <c:v>194628.79207243331</c:v>
                </c:pt>
                <c:pt idx="45">
                  <c:v>196240.66707243331</c:v>
                </c:pt>
                <c:pt idx="46">
                  <c:v>198236.54207243331</c:v>
                </c:pt>
                <c:pt idx="47">
                  <c:v>199848.41707243331</c:v>
                </c:pt>
                <c:pt idx="48">
                  <c:v>201460.29207243331</c:v>
                </c:pt>
                <c:pt idx="49">
                  <c:v>203456.16707243331</c:v>
                </c:pt>
                <c:pt idx="50">
                  <c:v>205068.04207243331</c:v>
                </c:pt>
                <c:pt idx="51">
                  <c:v>206679.91707243331</c:v>
                </c:pt>
                <c:pt idx="52">
                  <c:v>208675.79207243331</c:v>
                </c:pt>
                <c:pt idx="53">
                  <c:v>210287.66707243331</c:v>
                </c:pt>
                <c:pt idx="54">
                  <c:v>211899.54207243331</c:v>
                </c:pt>
                <c:pt idx="55">
                  <c:v>213895.41707243331</c:v>
                </c:pt>
                <c:pt idx="56">
                  <c:v>215507.29207243331</c:v>
                </c:pt>
                <c:pt idx="57">
                  <c:v>217119.16707243331</c:v>
                </c:pt>
                <c:pt idx="58">
                  <c:v>219115.04207243331</c:v>
                </c:pt>
                <c:pt idx="59">
                  <c:v>220726.91707243331</c:v>
                </c:pt>
                <c:pt idx="60">
                  <c:v>222338.79207243331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B-44C6-9EE8-4BA582E61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91961"/>
        <c:axId val="635328522"/>
      </c:lineChart>
      <c:dateAx>
        <c:axId val="927091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 i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635328522"/>
        <c:crosses val="autoZero"/>
        <c:auto val="1"/>
        <c:lblOffset val="100"/>
        <c:baseTimeUnit val="months"/>
      </c:dateAx>
      <c:valAx>
        <c:axId val="63532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9270919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2</xdr:row>
      <xdr:rowOff>0</xdr:rowOff>
    </xdr:from>
    <xdr:ext cx="11068050" cy="4000500"/>
    <xdr:graphicFrame macro="">
      <xdr:nvGraphicFramePr>
        <xdr:cNvPr id="2136592507" name="Chart 1" title="Gráfico">
          <a:extLst>
            <a:ext uri="{FF2B5EF4-FFF2-40B4-BE49-F238E27FC236}">
              <a16:creationId xmlns:a16="http://schemas.microsoft.com/office/drawing/2014/main" id="{00000000-0008-0000-0200-00007BD05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:C50" headerRowCount="0">
  <tableColumns count="1">
    <tableColumn id="1" xr3:uid="{00000000-0010-0000-0000-000001000000}" name="Column1"/>
  </tableColumns>
  <tableStyleInfo name="PCUESFUERZ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K10" sqref="K10"/>
    </sheetView>
  </sheetViews>
  <sheetFormatPr baseColWidth="10" defaultColWidth="12.7109375" defaultRowHeight="15" customHeight="1" x14ac:dyDescent="0.2"/>
  <cols>
    <col min="1" max="1" width="30.42578125" style="342" customWidth="1"/>
    <col min="2" max="2" width="11.42578125" style="342" customWidth="1"/>
    <col min="3" max="3" width="17.28515625" style="342" customWidth="1"/>
    <col min="4" max="4" width="14.28515625" style="342" customWidth="1"/>
    <col min="5" max="5" width="5.7109375" style="342" customWidth="1"/>
    <col min="6" max="6" width="31.140625" style="342" customWidth="1"/>
    <col min="7" max="7" width="12.7109375" style="342"/>
    <col min="8" max="8" width="17.5703125" style="342" customWidth="1"/>
    <col min="9" max="9" width="12.7109375" style="342"/>
    <col min="10" max="10" width="4.7109375" style="342" customWidth="1"/>
    <col min="11" max="11" width="21.42578125" style="342" bestFit="1" customWidth="1"/>
    <col min="12" max="12" width="16.140625" style="342" customWidth="1"/>
    <col min="13" max="13" width="16.7109375" style="342" customWidth="1"/>
    <col min="14" max="14" width="16.28515625" style="342" customWidth="1"/>
  </cols>
  <sheetData>
    <row r="1" spans="1:26" ht="26.25" customHeight="1" x14ac:dyDescent="0.4">
      <c r="A1" s="385" t="s">
        <v>0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</row>
    <row r="2" spans="1:26" ht="15.75" customHeight="1" x14ac:dyDescent="0.2"/>
    <row r="3" spans="1:26" ht="15.75" customHeight="1" x14ac:dyDescent="0.2"/>
    <row r="4" spans="1:26" ht="15.75" customHeight="1" x14ac:dyDescent="0.2">
      <c r="A4" s="381" t="s">
        <v>1</v>
      </c>
      <c r="B4" s="382"/>
      <c r="C4" s="382"/>
      <c r="D4" s="383"/>
      <c r="E4" s="384"/>
      <c r="F4" s="387" t="s">
        <v>2</v>
      </c>
      <c r="G4" s="388"/>
      <c r="H4" s="388"/>
      <c r="I4" s="389"/>
      <c r="K4" s="390" t="s">
        <v>662</v>
      </c>
      <c r="L4" s="391"/>
      <c r="M4" s="391"/>
      <c r="N4" s="392"/>
    </row>
    <row r="5" spans="1:26" ht="15.75" customHeight="1" x14ac:dyDescent="0.2">
      <c r="A5" s="343"/>
      <c r="B5" s="344" t="s">
        <v>3</v>
      </c>
      <c r="C5" s="344" t="s">
        <v>4</v>
      </c>
      <c r="D5" s="344" t="s">
        <v>5</v>
      </c>
      <c r="E5" s="384"/>
      <c r="F5" s="345"/>
      <c r="G5" s="346" t="s">
        <v>3</v>
      </c>
      <c r="H5" s="346" t="s">
        <v>4</v>
      </c>
      <c r="I5" s="346" t="s">
        <v>5</v>
      </c>
      <c r="K5" s="375"/>
      <c r="L5" s="376" t="s">
        <v>3</v>
      </c>
      <c r="M5" s="376" t="s">
        <v>4</v>
      </c>
      <c r="N5" s="376" t="s">
        <v>5</v>
      </c>
    </row>
    <row r="6" spans="1:26" ht="15.75" customHeight="1" x14ac:dyDescent="0.2">
      <c r="A6" s="347" t="s">
        <v>6</v>
      </c>
      <c r="B6" s="348">
        <f t="shared" ref="B6:B7" si="0">B18</f>
        <v>51593.642500000002</v>
      </c>
      <c r="C6" s="349">
        <f>B6*PARÁMETROS!$B$4</f>
        <v>1857371130</v>
      </c>
      <c r="D6" s="348">
        <f>C6/PARÁMETROS!$B$2</f>
        <v>2063745.7</v>
      </c>
      <c r="E6" s="384"/>
      <c r="F6" s="345" t="s">
        <v>6</v>
      </c>
      <c r="G6" s="350">
        <f t="shared" ref="G6:G7" si="1">G18</f>
        <v>88013.019499999995</v>
      </c>
      <c r="H6" s="351">
        <f>G6*PARÁMETROS!$B$4</f>
        <v>3168468702</v>
      </c>
      <c r="I6" s="350">
        <f>H6/PARÁMETROS!$B$2</f>
        <v>3520520.78</v>
      </c>
      <c r="K6" s="375" t="s">
        <v>6</v>
      </c>
      <c r="L6" s="350">
        <f>+G6-B6</f>
        <v>36419.376999999993</v>
      </c>
      <c r="M6" s="351">
        <f>L6*PARÁMETROS!$B$4</f>
        <v>1311097571.9999998</v>
      </c>
      <c r="N6" s="350">
        <f>M6/PARÁMETROS!$B$2</f>
        <v>1456775.0799999998</v>
      </c>
    </row>
    <row r="7" spans="1:26" ht="15.75" customHeight="1" x14ac:dyDescent="0.2">
      <c r="A7" s="347" t="s">
        <v>7</v>
      </c>
      <c r="B7" s="348">
        <f t="shared" si="0"/>
        <v>84074.000000000044</v>
      </c>
      <c r="C7" s="349">
        <f>B7*PARÁMETROS!$B$4</f>
        <v>3026664000.0000014</v>
      </c>
      <c r="D7" s="348">
        <f>C7/PARÁMETROS!$B$2</f>
        <v>3362960.0000000014</v>
      </c>
      <c r="E7" s="384"/>
      <c r="F7" s="345" t="s">
        <v>7</v>
      </c>
      <c r="G7" s="350">
        <f t="shared" si="1"/>
        <v>109838.80000000002</v>
      </c>
      <c r="H7" s="351">
        <f>G7*PARÁMETROS!$B$4</f>
        <v>3954196800.0000005</v>
      </c>
      <c r="I7" s="350">
        <f>H7/PARÁMETROS!$B$2</f>
        <v>4393552.0000000009</v>
      </c>
      <c r="K7" s="375" t="s">
        <v>7</v>
      </c>
      <c r="L7" s="350">
        <f>+G7-B7</f>
        <v>25764.799999999974</v>
      </c>
      <c r="M7" s="351">
        <f>L7*PARÁMETROS!$B$4</f>
        <v>927532799.99999905</v>
      </c>
      <c r="N7" s="350">
        <f>M7/PARÁMETROS!$B$2</f>
        <v>1030591.999999999</v>
      </c>
    </row>
    <row r="8" spans="1:26" ht="15.75" customHeight="1" x14ac:dyDescent="0.2">
      <c r="A8" s="352" t="s">
        <v>8</v>
      </c>
      <c r="B8" s="353">
        <f t="shared" ref="B8:D8" si="2">SUM(B6:B7)</f>
        <v>135667.64250000005</v>
      </c>
      <c r="C8" s="354">
        <f t="shared" si="2"/>
        <v>4884035130.0000019</v>
      </c>
      <c r="D8" s="353">
        <f t="shared" si="2"/>
        <v>5426705.7000000011</v>
      </c>
      <c r="E8" s="384"/>
      <c r="F8" s="355" t="s">
        <v>8</v>
      </c>
      <c r="G8" s="356">
        <f t="shared" ref="G8:I8" si="3">SUM(G6:G7)</f>
        <v>197851.81950000001</v>
      </c>
      <c r="H8" s="357">
        <f t="shared" si="3"/>
        <v>7122665502</v>
      </c>
      <c r="I8" s="356">
        <f t="shared" si="3"/>
        <v>7914072.7800000012</v>
      </c>
      <c r="K8" s="377" t="s">
        <v>8</v>
      </c>
      <c r="L8" s="378">
        <f t="shared" ref="L8:N8" si="4">SUM(L6:L7)</f>
        <v>62184.176999999967</v>
      </c>
      <c r="M8" s="379">
        <f t="shared" si="4"/>
        <v>2238630371.999999</v>
      </c>
      <c r="N8" s="378">
        <f t="shared" si="4"/>
        <v>2487367.0799999987</v>
      </c>
    </row>
    <row r="9" spans="1:26" ht="15.75" customHeight="1" x14ac:dyDescent="0.2">
      <c r="E9" s="384"/>
      <c r="K9" s="377" t="s">
        <v>663</v>
      </c>
      <c r="L9" s="380">
        <f>+L8/B8</f>
        <v>0.45835673012450223</v>
      </c>
      <c r="M9" s="380">
        <f>+M8/C8</f>
        <v>0.45835673012450223</v>
      </c>
      <c r="N9" s="380">
        <f>+N8/D8</f>
        <v>0.45835673012450229</v>
      </c>
    </row>
    <row r="10" spans="1:26" ht="15.75" customHeight="1" x14ac:dyDescent="0.2">
      <c r="A10" s="381" t="s">
        <v>9</v>
      </c>
      <c r="B10" s="382"/>
      <c r="C10" s="382"/>
      <c r="D10" s="383"/>
      <c r="E10" s="384"/>
      <c r="F10" s="387" t="s">
        <v>10</v>
      </c>
      <c r="G10" s="388"/>
      <c r="H10" s="388"/>
      <c r="I10" s="389"/>
    </row>
    <row r="11" spans="1:26" ht="15.75" customHeight="1" x14ac:dyDescent="0.2">
      <c r="A11" s="343"/>
      <c r="B11" s="358" t="s">
        <v>3</v>
      </c>
      <c r="C11" s="358" t="s">
        <v>4</v>
      </c>
      <c r="D11" s="358" t="s">
        <v>5</v>
      </c>
      <c r="E11" s="384"/>
      <c r="F11" s="359"/>
      <c r="G11" s="360" t="s">
        <v>3</v>
      </c>
      <c r="H11" s="360" t="s">
        <v>4</v>
      </c>
      <c r="I11" s="360" t="s">
        <v>5</v>
      </c>
    </row>
    <row r="12" spans="1:26" ht="15.75" customHeight="1" x14ac:dyDescent="0.2">
      <c r="A12" s="347" t="s">
        <v>11</v>
      </c>
      <c r="B12" s="348">
        <f>'COSTOS DE OPERACION'!N50</f>
        <v>27019.200000000001</v>
      </c>
      <c r="C12" s="349">
        <f>B12*PARÁMETROS!$B$4</f>
        <v>972691200</v>
      </c>
      <c r="D12" s="348">
        <f>C12/PARÁMETROS!$B$2</f>
        <v>1080768</v>
      </c>
      <c r="E12" s="384"/>
      <c r="F12" s="359" t="s">
        <v>11</v>
      </c>
      <c r="G12" s="348">
        <f>'TARIFAS DE OPERACION'!N50</f>
        <v>51470.400000000001</v>
      </c>
      <c r="H12" s="348">
        <f>G12*PARÁMETROS!$B$4</f>
        <v>1852934400</v>
      </c>
      <c r="I12" s="348">
        <f>H12/PARÁMETROS!$B$2</f>
        <v>2058816</v>
      </c>
    </row>
    <row r="13" spans="1:26" ht="15.75" customHeight="1" x14ac:dyDescent="0.2">
      <c r="A13" s="347" t="s">
        <v>12</v>
      </c>
      <c r="B13" s="361">
        <f>-SUM('FLUJO DE CAJA NETO'!C31:BB31)</f>
        <v>14833.3925</v>
      </c>
      <c r="C13" s="349">
        <f>B13*PARÁMETROS!$B$4</f>
        <v>534002130</v>
      </c>
      <c r="D13" s="348">
        <f>C13/PARÁMETROS!$B$2</f>
        <v>593335.69999999995</v>
      </c>
      <c r="E13" s="384"/>
      <c r="F13" s="359" t="s">
        <v>12</v>
      </c>
      <c r="G13" s="348">
        <f>B13*(1+'TARIFAS DE OPERACION'!B62)</f>
        <v>20766.749499999998</v>
      </c>
      <c r="H13" s="348">
        <f>G13*PARÁMETROS!$B$4</f>
        <v>747602981.99999988</v>
      </c>
      <c r="I13" s="348">
        <f>H13/PARÁMETROS!$B$2</f>
        <v>830669.97999999986</v>
      </c>
    </row>
    <row r="14" spans="1:26" ht="15.75" customHeight="1" x14ac:dyDescent="0.2">
      <c r="A14" s="347" t="s">
        <v>13</v>
      </c>
      <c r="B14" s="348">
        <f>'COSTOS DE OPERACION'!N60</f>
        <v>1044</v>
      </c>
      <c r="C14" s="349">
        <f>B14*PARÁMETROS!$B$4</f>
        <v>37584000</v>
      </c>
      <c r="D14" s="348">
        <f>C14/PARÁMETROS!$B$2</f>
        <v>41760</v>
      </c>
      <c r="E14" s="384"/>
      <c r="F14" s="359" t="s">
        <v>13</v>
      </c>
      <c r="G14" s="348">
        <f>'TARIFAS DE OPERACION'!N60</f>
        <v>3600</v>
      </c>
      <c r="H14" s="348">
        <f>G14*PARÁMETROS!$B$4</f>
        <v>129600000</v>
      </c>
      <c r="I14" s="348">
        <f>H14/PARÁMETROS!$B$2</f>
        <v>144000</v>
      </c>
    </row>
    <row r="15" spans="1:26" ht="15.75" customHeight="1" x14ac:dyDescent="0.2">
      <c r="A15" s="347" t="s">
        <v>14</v>
      </c>
      <c r="B15" s="348">
        <f>-SUM('FLUJO DE CAJA NETO'!B33:N43)</f>
        <v>8697.0499999999993</v>
      </c>
      <c r="C15" s="349">
        <f>B15*PARÁMETROS!$B$4</f>
        <v>313093800</v>
      </c>
      <c r="D15" s="348">
        <f>C15/PARÁMETROS!$B$2</f>
        <v>347882</v>
      </c>
      <c r="E15" s="384"/>
      <c r="F15" s="359" t="s">
        <v>14</v>
      </c>
      <c r="G15" s="348">
        <f>-SUM('FLUJO DE CAJA NETO'!B33:N43)*(1+'TARIFAS DE OPERACION'!B62)</f>
        <v>12175.869999999999</v>
      </c>
      <c r="H15" s="348">
        <f>G15*PARÁMETROS!$B$4</f>
        <v>438331319.99999994</v>
      </c>
      <c r="I15" s="348">
        <f>H15/PARÁMETROS!$B$2</f>
        <v>487034.79999999993</v>
      </c>
    </row>
    <row r="16" spans="1:26" ht="15.75" customHeight="1" x14ac:dyDescent="0.2">
      <c r="A16" s="347" t="s">
        <v>15</v>
      </c>
      <c r="B16" s="348">
        <f>'COSTOS DE OPERACION'!BJ50</f>
        <v>30627.20000000003</v>
      </c>
      <c r="C16" s="349">
        <f>B16*PARÁMETROS!$B$4</f>
        <v>1102579200.0000012</v>
      </c>
      <c r="D16" s="348">
        <f>C16/PARÁMETROS!$B$2</f>
        <v>1225088.0000000014</v>
      </c>
      <c r="E16" s="384"/>
      <c r="F16" s="362" t="s">
        <v>15</v>
      </c>
      <c r="G16" s="348">
        <f>'TARIFAS DE OPERACION'!BJ50</f>
        <v>56392</v>
      </c>
      <c r="H16" s="348">
        <f>G16*PARÁMETROS!$B$4</f>
        <v>2030112000</v>
      </c>
      <c r="I16" s="348">
        <f>H16/PARÁMETROS!$B$2</f>
        <v>2255680</v>
      </c>
    </row>
    <row r="17" spans="1:9" ht="15.75" customHeight="1" x14ac:dyDescent="0.2">
      <c r="A17" s="347" t="s">
        <v>16</v>
      </c>
      <c r="B17" s="363">
        <f>-SUM('FLUJO DE CAJA NETO'!O33:BJ43)</f>
        <v>53446.80000000001</v>
      </c>
      <c r="C17" s="349">
        <f>B17*PARÁMETROS!$B$4</f>
        <v>1924084800.0000005</v>
      </c>
      <c r="D17" s="348">
        <f>C17/PARÁMETROS!$B$2</f>
        <v>2137872.0000000005</v>
      </c>
      <c r="E17" s="384"/>
      <c r="F17" s="359" t="s">
        <v>16</v>
      </c>
      <c r="G17" s="348">
        <f>-SUM('FLUJO DE CAJA NETO'!O33:BJ43)</f>
        <v>53446.80000000001</v>
      </c>
      <c r="H17" s="348">
        <f>G17*PARÁMETROS!$B$4</f>
        <v>1924084800.0000005</v>
      </c>
      <c r="I17" s="348">
        <f>H17/PARÁMETROS!$B$2</f>
        <v>2137872.0000000005</v>
      </c>
    </row>
    <row r="18" spans="1:9" ht="15.75" customHeight="1" x14ac:dyDescent="0.2">
      <c r="A18" s="352" t="s">
        <v>17</v>
      </c>
      <c r="B18" s="364">
        <f>SUM(B12:B15)</f>
        <v>51593.642500000002</v>
      </c>
      <c r="C18" s="365">
        <f t="shared" ref="C18:D18" si="5">SUM(C12:C14)</f>
        <v>1544277330</v>
      </c>
      <c r="D18" s="364">
        <f t="shared" si="5"/>
        <v>1715863.7</v>
      </c>
      <c r="E18" s="384"/>
      <c r="F18" s="355" t="s">
        <v>17</v>
      </c>
      <c r="G18" s="366">
        <f t="shared" ref="G18:I18" si="6">SUM(G12:G15)</f>
        <v>88013.019499999995</v>
      </c>
      <c r="H18" s="367">
        <f t="shared" si="6"/>
        <v>3168468702</v>
      </c>
      <c r="I18" s="366">
        <f t="shared" si="6"/>
        <v>3520520.78</v>
      </c>
    </row>
    <row r="19" spans="1:9" ht="15.75" customHeight="1" x14ac:dyDescent="0.2">
      <c r="A19" s="352" t="s">
        <v>18</v>
      </c>
      <c r="B19" s="364">
        <f>SUM(B16:B17)</f>
        <v>84074.000000000044</v>
      </c>
      <c r="C19" s="365">
        <f t="shared" ref="C19:D19" si="7">SUM(C16)</f>
        <v>1102579200.0000012</v>
      </c>
      <c r="D19" s="364">
        <f t="shared" si="7"/>
        <v>1225088.0000000014</v>
      </c>
      <c r="E19" s="384"/>
      <c r="F19" s="355" t="s">
        <v>18</v>
      </c>
      <c r="G19" s="366">
        <f t="shared" ref="G19:I19" si="8">SUM(G16:G17)</f>
        <v>109838.80000000002</v>
      </c>
      <c r="H19" s="367">
        <f t="shared" si="8"/>
        <v>3954196800.0000005</v>
      </c>
      <c r="I19" s="366">
        <f t="shared" si="8"/>
        <v>4393552</v>
      </c>
    </row>
    <row r="20" spans="1:9" ht="15.75" customHeight="1" x14ac:dyDescent="0.2">
      <c r="A20" s="352" t="s">
        <v>19</v>
      </c>
      <c r="B20" s="368">
        <f t="shared" ref="B20:D20" si="9">SUM(B18:B19)</f>
        <v>135667.64250000005</v>
      </c>
      <c r="C20" s="369">
        <f t="shared" si="9"/>
        <v>2646856530.000001</v>
      </c>
      <c r="D20" s="368">
        <f t="shared" si="9"/>
        <v>2940951.7000000011</v>
      </c>
      <c r="E20" s="384"/>
      <c r="F20" s="355" t="s">
        <v>19</v>
      </c>
      <c r="G20" s="356">
        <f t="shared" ref="G20:I20" si="10">SUM(G18:G19)</f>
        <v>197851.81950000001</v>
      </c>
      <c r="H20" s="357">
        <f t="shared" si="10"/>
        <v>7122665502</v>
      </c>
      <c r="I20" s="356">
        <f t="shared" si="10"/>
        <v>7914072.7799999993</v>
      </c>
    </row>
    <row r="21" spans="1:9" ht="15.75" customHeight="1" x14ac:dyDescent="0.2">
      <c r="F21" s="359" t="s">
        <v>20</v>
      </c>
      <c r="G21" s="348">
        <f>'FLUJO DE CAJA COMPLETO'!B23</f>
        <v>136691.93424213506</v>
      </c>
      <c r="H21" s="384"/>
      <c r="I21" s="384"/>
    </row>
    <row r="22" spans="1:9" ht="15.75" customHeight="1" x14ac:dyDescent="0.2">
      <c r="F22" s="359" t="s">
        <v>21</v>
      </c>
      <c r="G22" s="370">
        <f>'FLUJO DE CAJA COMPLETO'!B26</f>
        <v>6.4893093361412912E-2</v>
      </c>
      <c r="H22" s="384"/>
      <c r="I22" s="384"/>
    </row>
    <row r="23" spans="1:9" ht="15.75" customHeight="1" x14ac:dyDescent="0.2">
      <c r="A23" s="381" t="s">
        <v>22</v>
      </c>
      <c r="B23" s="382"/>
      <c r="C23" s="383"/>
      <c r="D23" s="371"/>
    </row>
    <row r="24" spans="1:9" ht="15.75" customHeight="1" x14ac:dyDescent="0.2">
      <c r="A24" s="347"/>
      <c r="B24" s="372" t="s">
        <v>23</v>
      </c>
      <c r="C24" s="347"/>
      <c r="D24" s="373"/>
    </row>
    <row r="25" spans="1:9" ht="15.75" customHeight="1" x14ac:dyDescent="0.2">
      <c r="A25" s="347" t="s">
        <v>24</v>
      </c>
      <c r="B25" s="374">
        <f>PCUESFUERZO!G37</f>
        <v>341.75234999999992</v>
      </c>
      <c r="C25" s="83" t="s">
        <v>25</v>
      </c>
    </row>
    <row r="26" spans="1:9" ht="15.75" customHeight="1" x14ac:dyDescent="0.2">
      <c r="A26" s="347" t="s">
        <v>26</v>
      </c>
      <c r="B26" s="374">
        <v>20</v>
      </c>
      <c r="C26" s="83"/>
    </row>
    <row r="27" spans="1:9" ht="15.75" customHeight="1" x14ac:dyDescent="0.2">
      <c r="A27" s="347" t="s">
        <v>27</v>
      </c>
      <c r="B27" s="374">
        <f>PCUESFUERZO!H44</f>
        <v>6835.0469999999987</v>
      </c>
      <c r="C27" s="83" t="s">
        <v>28</v>
      </c>
    </row>
    <row r="28" spans="1:9" ht="15.75" customHeight="1" x14ac:dyDescent="0.2">
      <c r="A28" s="347" t="s">
        <v>29</v>
      </c>
      <c r="B28" s="374">
        <f>PCUESFUERZO!H47</f>
        <v>18796.379249999998</v>
      </c>
      <c r="C28" s="83" t="s">
        <v>28</v>
      </c>
    </row>
    <row r="29" spans="1:9" ht="15.75" customHeight="1" x14ac:dyDescent="0.2">
      <c r="A29" s="347" t="s">
        <v>30</v>
      </c>
      <c r="B29" s="350">
        <f>G8</f>
        <v>197851.81950000001</v>
      </c>
      <c r="C29" s="83" t="s">
        <v>3</v>
      </c>
    </row>
    <row r="30" spans="1:9" ht="15.75" customHeight="1" x14ac:dyDescent="0.2">
      <c r="A30" s="347" t="s">
        <v>31</v>
      </c>
      <c r="B30" s="350">
        <f>B8</f>
        <v>135667.64250000005</v>
      </c>
      <c r="C30" s="83" t="s">
        <v>3</v>
      </c>
    </row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23:C23"/>
    <mergeCell ref="H21:I22"/>
    <mergeCell ref="A1:Z1"/>
    <mergeCell ref="A4:D4"/>
    <mergeCell ref="E4:E20"/>
    <mergeCell ref="F4:I4"/>
    <mergeCell ref="A10:D10"/>
    <mergeCell ref="F10:I10"/>
    <mergeCell ref="K4:N4"/>
  </mergeCells>
  <conditionalFormatting sqref="B12 G12:I17 C12:D20 B14:B20">
    <cfRule type="cellIs" dxfId="13" priority="1" operator="lessThan">
      <formula>0</formula>
    </cfRule>
  </conditionalFormatting>
  <conditionalFormatting sqref="G12:G21 H12:I22">
    <cfRule type="cellIs" dxfId="12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workbookViewId="0">
      <selection activeCell="A7" sqref="A7"/>
    </sheetView>
  </sheetViews>
  <sheetFormatPr baseColWidth="10" defaultColWidth="12.7109375" defaultRowHeight="15" customHeight="1" x14ac:dyDescent="0.2"/>
  <cols>
    <col min="1" max="1" width="38.42578125" customWidth="1"/>
    <col min="3" max="3" width="11.7109375" customWidth="1"/>
  </cols>
  <sheetData>
    <row r="1" spans="1:23" ht="15.75" customHeight="1" x14ac:dyDescent="0.2">
      <c r="A1" s="332" t="s">
        <v>32</v>
      </c>
      <c r="B1" s="11" t="s">
        <v>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5.75" customHeight="1" x14ac:dyDescent="0.2">
      <c r="A2" s="13" t="s">
        <v>33</v>
      </c>
      <c r="B2" s="14">
        <v>900</v>
      </c>
      <c r="C2" s="15">
        <f>+B2/B4</f>
        <v>2.5000000000000001E-2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5.75" customHeight="1" x14ac:dyDescent="0.2">
      <c r="A3" s="13" t="s">
        <v>34</v>
      </c>
      <c r="B3" s="14">
        <v>800</v>
      </c>
      <c r="C3" s="16">
        <f>+B3/B4</f>
        <v>2.2222222222222223E-2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5.75" customHeight="1" x14ac:dyDescent="0.2">
      <c r="A4" s="13" t="s">
        <v>3</v>
      </c>
      <c r="B4" s="14">
        <v>36000</v>
      </c>
      <c r="C4" s="17">
        <f>+B4/B2</f>
        <v>40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5.75" customHeight="1" x14ac:dyDescent="0.2">
      <c r="A5" s="13" t="s">
        <v>35</v>
      </c>
      <c r="B5" s="18">
        <v>160</v>
      </c>
      <c r="C5" s="19" t="s">
        <v>36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5.75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5.75" customHeight="1" x14ac:dyDescent="0.2">
      <c r="A7" s="333" t="s">
        <v>37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5.75" customHeight="1" x14ac:dyDescent="0.2">
      <c r="A8" s="20" t="s">
        <v>38</v>
      </c>
      <c r="B8" s="21">
        <v>8.9999999999999993E-3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5.75" customHeight="1" x14ac:dyDescent="0.2">
      <c r="A9" s="20" t="s">
        <v>39</v>
      </c>
      <c r="B9" s="22">
        <v>50000000</v>
      </c>
      <c r="C9" s="12" t="s">
        <v>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5.75" customHeight="1" x14ac:dyDescent="0.2">
      <c r="A10" s="20" t="s">
        <v>40</v>
      </c>
      <c r="B10" s="23">
        <v>0.03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15.75" customHeight="1" x14ac:dyDescent="0.2">
      <c r="A11" s="20" t="s">
        <v>41</v>
      </c>
      <c r="B11" s="24">
        <v>0.27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5.75" customHeight="1" x14ac:dyDescent="0.2">
      <c r="A12" s="20" t="s">
        <v>42</v>
      </c>
      <c r="B12" s="24">
        <v>0.18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5.75" customHeight="1" x14ac:dyDescent="0.2">
      <c r="A13" s="20" t="s">
        <v>43</v>
      </c>
      <c r="B13" s="25">
        <f>((1+B12)^(1/12))-1</f>
        <v>1.3888430348409919E-2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5.75" customHeight="1" x14ac:dyDescent="0.2">
      <c r="A14" s="20" t="s">
        <v>44</v>
      </c>
      <c r="B14" s="26">
        <v>0.2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5.75" customHeight="1" x14ac:dyDescent="0.2">
      <c r="A15" s="20" t="s">
        <v>45</v>
      </c>
      <c r="B15" s="26">
        <v>0.8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5.75" customHeight="1" x14ac:dyDescent="0.2"/>
    <row r="17" spans="1:23" ht="15.75" customHeight="1" x14ac:dyDescent="0.2"/>
    <row r="18" spans="1:23" ht="15.75" customHeight="1" x14ac:dyDescent="0.2"/>
    <row r="19" spans="1:23" ht="15.75" customHeight="1" x14ac:dyDescent="0.2"/>
    <row r="20" spans="1:23" ht="15.75" customHeight="1" x14ac:dyDescent="0.2"/>
    <row r="21" spans="1:23" ht="15.75" customHeight="1" x14ac:dyDescent="0.2"/>
    <row r="22" spans="1:23" ht="15.75" customHeight="1" x14ac:dyDescent="0.2"/>
    <row r="23" spans="1:23" ht="15.7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5.7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5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5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5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5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5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5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5.75" customHeight="1" x14ac:dyDescent="0.2"/>
    <row r="222" spans="1:23" ht="15.75" customHeight="1" x14ac:dyDescent="0.2"/>
    <row r="223" spans="1:23" ht="15.75" customHeight="1" x14ac:dyDescent="0.2"/>
    <row r="224" spans="1:2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J1000"/>
  <sheetViews>
    <sheetView topLeftCell="A15" workbookViewId="0">
      <selection activeCell="B36" sqref="B36:BJ36"/>
    </sheetView>
  </sheetViews>
  <sheetFormatPr baseColWidth="10" defaultColWidth="12.7109375" defaultRowHeight="15" customHeight="1" x14ac:dyDescent="0.2"/>
  <cols>
    <col min="1" max="1" width="30.42578125" customWidth="1"/>
  </cols>
  <sheetData>
    <row r="1" spans="1:1" ht="15.75" customHeight="1" x14ac:dyDescent="0.2">
      <c r="A1" s="27" t="s">
        <v>46</v>
      </c>
    </row>
    <row r="2" spans="1:1" ht="15.75" customHeight="1" x14ac:dyDescent="0.2"/>
    <row r="3" spans="1:1" ht="15.75" customHeight="1" x14ac:dyDescent="0.2"/>
    <row r="4" spans="1:1" ht="15.75" customHeight="1" x14ac:dyDescent="0.2"/>
    <row r="5" spans="1:1" ht="15.75" customHeight="1" x14ac:dyDescent="0.2"/>
    <row r="6" spans="1:1" ht="15.75" customHeight="1" x14ac:dyDescent="0.2"/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spans="1:62" ht="15.75" customHeight="1" x14ac:dyDescent="0.2"/>
    <row r="18" spans="1:62" ht="15.75" customHeight="1" x14ac:dyDescent="0.2"/>
    <row r="19" spans="1:62" ht="15.75" customHeight="1" x14ac:dyDescent="0.2"/>
    <row r="20" spans="1:62" ht="15.75" customHeight="1" x14ac:dyDescent="0.2"/>
    <row r="21" spans="1:62" ht="15.75" customHeight="1" x14ac:dyDescent="0.2"/>
    <row r="22" spans="1:62" ht="15.75" customHeight="1" x14ac:dyDescent="0.2"/>
    <row r="23" spans="1:62" ht="15.75" customHeight="1" x14ac:dyDescent="0.2"/>
    <row r="24" spans="1:62" ht="15.75" customHeight="1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</row>
    <row r="25" spans="1:62" ht="15.75" customHeight="1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</row>
    <row r="26" spans="1:62" ht="15.75" customHeight="1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</row>
    <row r="27" spans="1:62" ht="15.75" customHeight="1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</row>
    <row r="28" spans="1:62" ht="15.75" customHeight="1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</row>
    <row r="29" spans="1:62" ht="15.75" customHeight="1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</row>
    <row r="30" spans="1:62" ht="30" x14ac:dyDescent="0.4">
      <c r="A30" s="393" t="s">
        <v>47</v>
      </c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6"/>
      <c r="AD30" s="386"/>
      <c r="AE30" s="386"/>
      <c r="AF30" s="386"/>
      <c r="AG30" s="386"/>
      <c r="AH30" s="386"/>
      <c r="AI30" s="386"/>
      <c r="AJ30" s="386"/>
      <c r="AK30" s="386"/>
      <c r="AL30" s="386"/>
      <c r="AM30" s="386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</row>
    <row r="31" spans="1:62" ht="15.75" customHeight="1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</row>
    <row r="32" spans="1:62" ht="15.75" customHeight="1" x14ac:dyDescent="0.2">
      <c r="A32" s="334" t="s">
        <v>48</v>
      </c>
      <c r="B32" s="334">
        <v>0</v>
      </c>
      <c r="C32" s="334">
        <v>1</v>
      </c>
      <c r="D32" s="334">
        <v>2</v>
      </c>
      <c r="E32" s="334">
        <v>3</v>
      </c>
      <c r="F32" s="334">
        <v>4</v>
      </c>
      <c r="G32" s="334">
        <v>5</v>
      </c>
      <c r="H32" s="334">
        <v>6</v>
      </c>
      <c r="I32" s="334">
        <v>7</v>
      </c>
      <c r="J32" s="334">
        <v>8</v>
      </c>
      <c r="K32" s="334">
        <v>9</v>
      </c>
      <c r="L32" s="334">
        <v>10</v>
      </c>
      <c r="M32" s="334">
        <v>11</v>
      </c>
      <c r="N32" s="334">
        <v>12</v>
      </c>
      <c r="O32" s="334">
        <v>13</v>
      </c>
      <c r="P32" s="334">
        <v>14</v>
      </c>
      <c r="Q32" s="334">
        <v>15</v>
      </c>
      <c r="R32" s="334">
        <v>16</v>
      </c>
      <c r="S32" s="334">
        <v>17</v>
      </c>
      <c r="T32" s="334">
        <v>18</v>
      </c>
      <c r="U32" s="334">
        <v>19</v>
      </c>
      <c r="V32" s="334">
        <v>20</v>
      </c>
      <c r="W32" s="334">
        <v>21</v>
      </c>
      <c r="X32" s="334">
        <v>22</v>
      </c>
      <c r="Y32" s="334">
        <v>23</v>
      </c>
      <c r="Z32" s="334">
        <v>24</v>
      </c>
      <c r="AA32" s="334">
        <v>25</v>
      </c>
      <c r="AB32" s="334">
        <v>26</v>
      </c>
      <c r="AC32" s="334">
        <v>27</v>
      </c>
      <c r="AD32" s="334">
        <v>28</v>
      </c>
      <c r="AE32" s="334">
        <v>29</v>
      </c>
      <c r="AF32" s="334">
        <v>30</v>
      </c>
      <c r="AG32" s="334">
        <v>31</v>
      </c>
      <c r="AH32" s="334">
        <v>32</v>
      </c>
      <c r="AI32" s="334">
        <v>33</v>
      </c>
      <c r="AJ32" s="334">
        <v>34</v>
      </c>
      <c r="AK32" s="334">
        <v>35</v>
      </c>
      <c r="AL32" s="334">
        <f t="shared" ref="AL32:BJ32" si="0">AK32+1</f>
        <v>36</v>
      </c>
      <c r="AM32" s="334">
        <f t="shared" si="0"/>
        <v>37</v>
      </c>
      <c r="AN32" s="334">
        <f t="shared" si="0"/>
        <v>38</v>
      </c>
      <c r="AO32" s="334">
        <f t="shared" si="0"/>
        <v>39</v>
      </c>
      <c r="AP32" s="334">
        <f t="shared" si="0"/>
        <v>40</v>
      </c>
      <c r="AQ32" s="334">
        <f t="shared" si="0"/>
        <v>41</v>
      </c>
      <c r="AR32" s="334">
        <f t="shared" si="0"/>
        <v>42</v>
      </c>
      <c r="AS32" s="334">
        <f t="shared" si="0"/>
        <v>43</v>
      </c>
      <c r="AT32" s="334">
        <f t="shared" si="0"/>
        <v>44</v>
      </c>
      <c r="AU32" s="334">
        <f t="shared" si="0"/>
        <v>45</v>
      </c>
      <c r="AV32" s="334">
        <f t="shared" si="0"/>
        <v>46</v>
      </c>
      <c r="AW32" s="334">
        <f t="shared" si="0"/>
        <v>47</v>
      </c>
      <c r="AX32" s="334">
        <f t="shared" si="0"/>
        <v>48</v>
      </c>
      <c r="AY32" s="334">
        <f t="shared" si="0"/>
        <v>49</v>
      </c>
      <c r="AZ32" s="334">
        <f t="shared" si="0"/>
        <v>50</v>
      </c>
      <c r="BA32" s="334">
        <f t="shared" si="0"/>
        <v>51</v>
      </c>
      <c r="BB32" s="334">
        <f t="shared" si="0"/>
        <v>52</v>
      </c>
      <c r="BC32" s="334">
        <f t="shared" si="0"/>
        <v>53</v>
      </c>
      <c r="BD32" s="334">
        <f t="shared" si="0"/>
        <v>54</v>
      </c>
      <c r="BE32" s="334">
        <f t="shared" si="0"/>
        <v>55</v>
      </c>
      <c r="BF32" s="334">
        <f t="shared" si="0"/>
        <v>56</v>
      </c>
      <c r="BG32" s="334">
        <f t="shared" si="0"/>
        <v>57</v>
      </c>
      <c r="BH32" s="334">
        <f t="shared" si="0"/>
        <v>58</v>
      </c>
      <c r="BI32" s="334">
        <f t="shared" si="0"/>
        <v>59</v>
      </c>
      <c r="BJ32" s="334">
        <f t="shared" si="0"/>
        <v>60</v>
      </c>
    </row>
    <row r="33" spans="1:62" ht="15.75" customHeight="1" x14ac:dyDescent="0.2">
      <c r="A33" s="334" t="s">
        <v>49</v>
      </c>
      <c r="B33" s="31"/>
      <c r="C33" s="32">
        <v>45292</v>
      </c>
      <c r="D33" s="32">
        <v>45323</v>
      </c>
      <c r="E33" s="32">
        <v>45352</v>
      </c>
      <c r="F33" s="32">
        <v>45383</v>
      </c>
      <c r="G33" s="32">
        <v>45413</v>
      </c>
      <c r="H33" s="32">
        <v>45444</v>
      </c>
      <c r="I33" s="32">
        <v>45474</v>
      </c>
      <c r="J33" s="32">
        <v>45505</v>
      </c>
      <c r="K33" s="32">
        <v>45536</v>
      </c>
      <c r="L33" s="32">
        <v>45566</v>
      </c>
      <c r="M33" s="32">
        <v>45597</v>
      </c>
      <c r="N33" s="32">
        <v>45627</v>
      </c>
      <c r="O33" s="32">
        <v>45658</v>
      </c>
      <c r="P33" s="32">
        <v>45689</v>
      </c>
      <c r="Q33" s="32">
        <v>45717</v>
      </c>
      <c r="R33" s="32">
        <v>45748</v>
      </c>
      <c r="S33" s="32">
        <v>45778</v>
      </c>
      <c r="T33" s="32">
        <v>45809</v>
      </c>
      <c r="U33" s="32">
        <v>45839</v>
      </c>
      <c r="V33" s="32">
        <v>45870</v>
      </c>
      <c r="W33" s="32">
        <v>45901</v>
      </c>
      <c r="X33" s="32">
        <v>45931</v>
      </c>
      <c r="Y33" s="32">
        <v>45962</v>
      </c>
      <c r="Z33" s="32">
        <v>45992</v>
      </c>
      <c r="AA33" s="32">
        <v>46023</v>
      </c>
      <c r="AB33" s="32">
        <v>46054</v>
      </c>
      <c r="AC33" s="32">
        <v>46082</v>
      </c>
      <c r="AD33" s="32">
        <v>46113</v>
      </c>
      <c r="AE33" s="32">
        <v>46143</v>
      </c>
      <c r="AF33" s="32">
        <v>46174</v>
      </c>
      <c r="AG33" s="32">
        <v>46204</v>
      </c>
      <c r="AH33" s="32">
        <v>46235</v>
      </c>
      <c r="AI33" s="32">
        <v>46266</v>
      </c>
      <c r="AJ33" s="32">
        <v>46296</v>
      </c>
      <c r="AK33" s="33">
        <f t="shared" ref="AK33:BJ33" si="1">AJ33+31</f>
        <v>46327</v>
      </c>
      <c r="AL33" s="33">
        <f t="shared" si="1"/>
        <v>46358</v>
      </c>
      <c r="AM33" s="33">
        <f t="shared" si="1"/>
        <v>46389</v>
      </c>
      <c r="AN33" s="33">
        <f t="shared" si="1"/>
        <v>46420</v>
      </c>
      <c r="AO33" s="33">
        <f t="shared" si="1"/>
        <v>46451</v>
      </c>
      <c r="AP33" s="33">
        <f t="shared" si="1"/>
        <v>46482</v>
      </c>
      <c r="AQ33" s="33">
        <f t="shared" si="1"/>
        <v>46513</v>
      </c>
      <c r="AR33" s="33">
        <f t="shared" si="1"/>
        <v>46544</v>
      </c>
      <c r="AS33" s="33">
        <f t="shared" si="1"/>
        <v>46575</v>
      </c>
      <c r="AT33" s="33">
        <f t="shared" si="1"/>
        <v>46606</v>
      </c>
      <c r="AU33" s="33">
        <f t="shared" si="1"/>
        <v>46637</v>
      </c>
      <c r="AV33" s="33">
        <f t="shared" si="1"/>
        <v>46668</v>
      </c>
      <c r="AW33" s="33">
        <f t="shared" si="1"/>
        <v>46699</v>
      </c>
      <c r="AX33" s="33">
        <f t="shared" si="1"/>
        <v>46730</v>
      </c>
      <c r="AY33" s="33">
        <f t="shared" si="1"/>
        <v>46761</v>
      </c>
      <c r="AZ33" s="33">
        <f t="shared" si="1"/>
        <v>46792</v>
      </c>
      <c r="BA33" s="33">
        <f t="shared" si="1"/>
        <v>46823</v>
      </c>
      <c r="BB33" s="33">
        <f t="shared" si="1"/>
        <v>46854</v>
      </c>
      <c r="BC33" s="33">
        <f t="shared" si="1"/>
        <v>46885</v>
      </c>
      <c r="BD33" s="33">
        <f t="shared" si="1"/>
        <v>46916</v>
      </c>
      <c r="BE33" s="33">
        <f t="shared" si="1"/>
        <v>46947</v>
      </c>
      <c r="BF33" s="33">
        <f t="shared" si="1"/>
        <v>46978</v>
      </c>
      <c r="BG33" s="33">
        <f t="shared" si="1"/>
        <v>47009</v>
      </c>
      <c r="BH33" s="33">
        <f t="shared" si="1"/>
        <v>47040</v>
      </c>
      <c r="BI33" s="33">
        <f t="shared" si="1"/>
        <v>47071</v>
      </c>
      <c r="BJ33" s="33">
        <f t="shared" si="1"/>
        <v>47102</v>
      </c>
    </row>
    <row r="34" spans="1:62" ht="15" customHeight="1" x14ac:dyDescent="0.2">
      <c r="A34" s="335" t="s">
        <v>50</v>
      </c>
      <c r="B34" s="34">
        <f>'FLUJO DE CAJA COMPLETO'!B5</f>
        <v>108534.11400000005</v>
      </c>
      <c r="C34" s="34">
        <f>B34+'FLUJO DE CAJA COMPLETO'!C5</f>
        <v>108534.11400000005</v>
      </c>
      <c r="D34" s="34">
        <f>C34+'FLUJO DE CAJA COMPLETO'!D5</f>
        <v>126136.71790000005</v>
      </c>
      <c r="E34" s="34">
        <f>D34+'FLUJO DE CAJA COMPLETO'!E5</f>
        <v>126136.71790000005</v>
      </c>
      <c r="F34" s="34">
        <f>E34+'FLUJO DE CAJA COMPLETO'!F5</f>
        <v>126136.71790000005</v>
      </c>
      <c r="G34" s="34">
        <f>F34+'FLUJO DE CAJA COMPLETO'!G5</f>
        <v>126136.71790000005</v>
      </c>
      <c r="H34" s="34">
        <f>G34+'FLUJO DE CAJA COMPLETO'!H5</f>
        <v>126136.71790000005</v>
      </c>
      <c r="I34" s="34">
        <f>H34+'FLUJO DE CAJA COMPLETO'!I5</f>
        <v>152540.62375000006</v>
      </c>
      <c r="J34" s="34">
        <f>I34+'FLUJO DE CAJA COMPLETO'!J5</f>
        <v>152540.62375000006</v>
      </c>
      <c r="K34" s="34">
        <f>J34+'FLUJO DE CAJA COMPLETO'!K5</f>
        <v>152540.62375000006</v>
      </c>
      <c r="L34" s="34">
        <f>K34+'FLUJO DE CAJA COMPLETO'!L5</f>
        <v>178944.52960000007</v>
      </c>
      <c r="M34" s="34">
        <f>L34+'FLUJO DE CAJA COMPLETO'!M5</f>
        <v>178944.52960000007</v>
      </c>
      <c r="N34" s="34">
        <f>M34+'FLUJO DE CAJA COMPLETO'!N5</f>
        <v>196547.13350000005</v>
      </c>
      <c r="O34" s="34">
        <f>N34+'FLUJO DE CAJA COMPLETO'!O5</f>
        <v>200659.4418333334</v>
      </c>
      <c r="P34" s="34">
        <f>O34+'FLUJO DE CAJA COMPLETO'!P5</f>
        <v>202947.75016666672</v>
      </c>
      <c r="Q34" s="34">
        <f>P34+'FLUJO DE CAJA COMPLETO'!Q5</f>
        <v>205236.05850000004</v>
      </c>
      <c r="R34" s="34">
        <f>Q34+'FLUJO DE CAJA COMPLETO'!R5</f>
        <v>207524.36683333336</v>
      </c>
      <c r="S34" s="34">
        <f>R34+'FLUJO DE CAJA COMPLETO'!S5</f>
        <v>209812.67516666668</v>
      </c>
      <c r="T34" s="34">
        <f>S34+'FLUJO DE CAJA COMPLETO'!T5</f>
        <v>212100.9835</v>
      </c>
      <c r="U34" s="34">
        <f>T34+'FLUJO DE CAJA COMPLETO'!U5</f>
        <v>214389.29183333332</v>
      </c>
      <c r="V34" s="34">
        <f>U34+'FLUJO DE CAJA COMPLETO'!V5</f>
        <v>216677.60016666664</v>
      </c>
      <c r="W34" s="34">
        <f>V34+'FLUJO DE CAJA COMPLETO'!W5</f>
        <v>218965.90849999996</v>
      </c>
      <c r="X34" s="34">
        <f>W34+'FLUJO DE CAJA COMPLETO'!X5</f>
        <v>221254.21683333328</v>
      </c>
      <c r="Y34" s="34">
        <f>X34+'FLUJO DE CAJA COMPLETO'!Y5</f>
        <v>223542.5251666666</v>
      </c>
      <c r="Z34" s="34">
        <f>Y34+'FLUJO DE CAJA COMPLETO'!Z5</f>
        <v>225830.83349999992</v>
      </c>
      <c r="AA34" s="34">
        <f>Z34+'FLUJO DE CAJA COMPLETO'!AA5</f>
        <v>228119.14183333324</v>
      </c>
      <c r="AB34" s="34">
        <f>AA34+'FLUJO DE CAJA COMPLETO'!AB5</f>
        <v>230407.45016666656</v>
      </c>
      <c r="AC34" s="34">
        <f>AB34+'FLUJO DE CAJA COMPLETO'!AC5</f>
        <v>232695.75849999988</v>
      </c>
      <c r="AD34" s="34">
        <f>AC34+'FLUJO DE CAJA COMPLETO'!AD5</f>
        <v>234984.0668333332</v>
      </c>
      <c r="AE34" s="34">
        <f>AD34+'FLUJO DE CAJA COMPLETO'!AE5</f>
        <v>237272.37516666652</v>
      </c>
      <c r="AF34" s="34">
        <f>AE34+'FLUJO DE CAJA COMPLETO'!AF5</f>
        <v>239560.68349999984</v>
      </c>
      <c r="AG34" s="34">
        <f>AF34+'FLUJO DE CAJA COMPLETO'!AG5</f>
        <v>241848.99183333316</v>
      </c>
      <c r="AH34" s="34">
        <f>AG34+'FLUJO DE CAJA COMPLETO'!AH5</f>
        <v>244137.30016666648</v>
      </c>
      <c r="AI34" s="34">
        <f>AH34+'FLUJO DE CAJA COMPLETO'!AI5</f>
        <v>246425.6084999998</v>
      </c>
      <c r="AJ34" s="34">
        <f>AI34+'FLUJO DE CAJA COMPLETO'!AJ5</f>
        <v>248713.91683333312</v>
      </c>
      <c r="AK34" s="34">
        <f>AJ34+'FLUJO DE CAJA COMPLETO'!AK5</f>
        <v>251002.22516666644</v>
      </c>
      <c r="AL34" s="34">
        <f>AK34+'FLUJO DE CAJA COMPLETO'!AL5</f>
        <v>253290.53349999976</v>
      </c>
      <c r="AM34" s="34">
        <f>AL34+'FLUJO DE CAJA COMPLETO'!AM5</f>
        <v>255578.84183333308</v>
      </c>
      <c r="AN34" s="34">
        <f>AM34+'FLUJO DE CAJA COMPLETO'!AN5</f>
        <v>257867.1501666664</v>
      </c>
      <c r="AO34" s="34">
        <f>AN34+'FLUJO DE CAJA COMPLETO'!AO5</f>
        <v>260155.45849999972</v>
      </c>
      <c r="AP34" s="34">
        <f>AO34+'FLUJO DE CAJA COMPLETO'!AP5</f>
        <v>262443.76683333307</v>
      </c>
      <c r="AQ34" s="34">
        <f>AP34+'FLUJO DE CAJA COMPLETO'!AQ5</f>
        <v>264732.07516666641</v>
      </c>
      <c r="AR34" s="34">
        <f>AQ34+'FLUJO DE CAJA COMPLETO'!AR5</f>
        <v>267020.38349999976</v>
      </c>
      <c r="AS34" s="34">
        <f>AR34+'FLUJO DE CAJA COMPLETO'!AS5</f>
        <v>269308.69183333311</v>
      </c>
      <c r="AT34" s="34">
        <f>AS34+'FLUJO DE CAJA COMPLETO'!AT5</f>
        <v>271597.00016666646</v>
      </c>
      <c r="AU34" s="34">
        <f>AT34+'FLUJO DE CAJA COMPLETO'!AU5</f>
        <v>273885.30849999981</v>
      </c>
      <c r="AV34" s="34">
        <f>AU34+'FLUJO DE CAJA COMPLETO'!AV5</f>
        <v>276173.61683333316</v>
      </c>
      <c r="AW34" s="34">
        <f>AV34+'FLUJO DE CAJA COMPLETO'!AW5</f>
        <v>278461.92516666651</v>
      </c>
      <c r="AX34" s="34">
        <f>AW34+'FLUJO DE CAJA COMPLETO'!AX5</f>
        <v>280750.23349999986</v>
      </c>
      <c r="AY34" s="34">
        <f>AX34+'FLUJO DE CAJA COMPLETO'!AY5</f>
        <v>283038.54183333321</v>
      </c>
      <c r="AZ34" s="34">
        <f>AY34+'FLUJO DE CAJA COMPLETO'!AZ5</f>
        <v>285326.85016666655</v>
      </c>
      <c r="BA34" s="34">
        <f>AZ34+'FLUJO DE CAJA COMPLETO'!BA5</f>
        <v>287615.1584999999</v>
      </c>
      <c r="BB34" s="34">
        <f>BA34+'FLUJO DE CAJA COMPLETO'!BB5</f>
        <v>289903.46683333325</v>
      </c>
      <c r="BC34" s="34">
        <f>BB34+'FLUJO DE CAJA COMPLETO'!BC5</f>
        <v>292191.7751666666</v>
      </c>
      <c r="BD34" s="34">
        <f>BC34+'FLUJO DE CAJA COMPLETO'!BD5</f>
        <v>294480.08349999995</v>
      </c>
      <c r="BE34" s="34">
        <f>BD34+'FLUJO DE CAJA COMPLETO'!BE5</f>
        <v>296768.3918333333</v>
      </c>
      <c r="BF34" s="34">
        <f>BE34+'FLUJO DE CAJA COMPLETO'!BF5</f>
        <v>299056.70016666665</v>
      </c>
      <c r="BG34" s="34">
        <f>BF34+'FLUJO DE CAJA COMPLETO'!BG5</f>
        <v>301345.0085</v>
      </c>
      <c r="BH34" s="34">
        <f>BG34+'FLUJO DE CAJA COMPLETO'!BH5</f>
        <v>303633.31683333335</v>
      </c>
      <c r="BI34" s="34">
        <f>BH34+'FLUJO DE CAJA COMPLETO'!BI5</f>
        <v>305921.62516666669</v>
      </c>
      <c r="BJ34" s="34">
        <f>BI34+'FLUJO DE CAJA COMPLETO'!BJ5</f>
        <v>308209.93350000004</v>
      </c>
    </row>
    <row r="35" spans="1:62" ht="15.75" customHeight="1" x14ac:dyDescent="0.2">
      <c r="A35" s="335" t="s">
        <v>51</v>
      </c>
      <c r="B35" s="35">
        <f>'FLUJO DE CAJA NETO'!B26</f>
        <v>27133.528500000011</v>
      </c>
      <c r="C35" s="35">
        <f>'FLUJO DE CAJA NETO'!C26</f>
        <v>34629.996922702783</v>
      </c>
      <c r="D35" s="35">
        <f>'FLUJO DE CAJA NETO'!D26</f>
        <v>42126.465345405559</v>
      </c>
      <c r="E35" s="35">
        <f>'FLUJO DE CAJA NETO'!E26</f>
        <v>49574.933768108334</v>
      </c>
      <c r="F35" s="35">
        <f>'FLUJO DE CAJA NETO'!F26</f>
        <v>56026.602190811107</v>
      </c>
      <c r="G35" s="35">
        <f>'FLUJO DE CAJA NETO'!G26</f>
        <v>64851.170613513881</v>
      </c>
      <c r="H35" s="35">
        <f>'FLUJO DE CAJA NETO'!H26</f>
        <v>73675.739036216662</v>
      </c>
      <c r="I35" s="35">
        <f>'FLUJO DE CAJA NETO'!I26</f>
        <v>87070.146625586101</v>
      </c>
      <c r="J35" s="35">
        <f>'FLUJO DE CAJA NETO'!J26</f>
        <v>100528.55421495554</v>
      </c>
      <c r="K35" s="35">
        <f>'FLUJO DE CAJA NETO'!K26</f>
        <v>113730.96180432498</v>
      </c>
      <c r="L35" s="35">
        <f>'FLUJO DE CAJA NETO'!L26</f>
        <v>121988.90522702775</v>
      </c>
      <c r="M35" s="35">
        <f>'FLUJO DE CAJA NETO'!M26</f>
        <v>130118.84864973053</v>
      </c>
      <c r="N35" s="35">
        <f>'FLUJO DE CAJA NETO'!N26</f>
        <v>138264.79207243331</v>
      </c>
      <c r="O35" s="35">
        <f>'FLUJO DE CAJA NETO'!O26</f>
        <v>140420.66707243331</v>
      </c>
      <c r="P35" s="35">
        <f>'FLUJO DE CAJA NETO'!P26</f>
        <v>142192.54207243331</v>
      </c>
      <c r="Q35" s="35">
        <f>'FLUJO DE CAJA NETO'!Q26</f>
        <v>143964.41707243331</v>
      </c>
      <c r="R35" s="35">
        <f>'FLUJO DE CAJA NETO'!R26</f>
        <v>146040.29207243331</v>
      </c>
      <c r="S35" s="35">
        <f>'FLUJO DE CAJA NETO'!S26</f>
        <v>147652.16707243331</v>
      </c>
      <c r="T35" s="35">
        <f>'FLUJO DE CAJA NETO'!T26</f>
        <v>149264.04207243331</v>
      </c>
      <c r="U35" s="35">
        <f>'FLUJO DE CAJA NETO'!U26</f>
        <v>151259.91707243331</v>
      </c>
      <c r="V35" s="35">
        <f>'FLUJO DE CAJA NETO'!V26</f>
        <v>152871.79207243331</v>
      </c>
      <c r="W35" s="35">
        <f>'FLUJO DE CAJA NETO'!W26</f>
        <v>154483.66707243331</v>
      </c>
      <c r="X35" s="35">
        <f>'FLUJO DE CAJA NETO'!X26</f>
        <v>156479.54207243331</v>
      </c>
      <c r="Y35" s="35">
        <f>'FLUJO DE CAJA NETO'!Y26</f>
        <v>158091.41707243331</v>
      </c>
      <c r="Z35" s="35">
        <f>'FLUJO DE CAJA NETO'!Z26</f>
        <v>159703.29207243331</v>
      </c>
      <c r="AA35" s="35">
        <f>'FLUJO DE CAJA NETO'!AA26</f>
        <v>161699.16707243331</v>
      </c>
      <c r="AB35" s="35">
        <f>'FLUJO DE CAJA NETO'!AB26</f>
        <v>163311.04207243331</v>
      </c>
      <c r="AC35" s="35">
        <f>'FLUJO DE CAJA NETO'!AC26</f>
        <v>164922.91707243331</v>
      </c>
      <c r="AD35" s="35">
        <f>'FLUJO DE CAJA NETO'!AD26</f>
        <v>166918.79207243331</v>
      </c>
      <c r="AE35" s="35">
        <f>'FLUJO DE CAJA NETO'!AE26</f>
        <v>168530.66707243331</v>
      </c>
      <c r="AF35" s="35">
        <f>'FLUJO DE CAJA NETO'!AF26</f>
        <v>170142.54207243331</v>
      </c>
      <c r="AG35" s="35">
        <f>'FLUJO DE CAJA NETO'!AG26</f>
        <v>172138.41707243331</v>
      </c>
      <c r="AH35" s="35">
        <f>'FLUJO DE CAJA NETO'!AH26</f>
        <v>173750.29207243331</v>
      </c>
      <c r="AI35" s="35">
        <f>'FLUJO DE CAJA NETO'!AI26</f>
        <v>175362.16707243331</v>
      </c>
      <c r="AJ35" s="35">
        <f>'FLUJO DE CAJA NETO'!AJ26</f>
        <v>177358.04207243331</v>
      </c>
      <c r="AK35" s="35">
        <f>'FLUJO DE CAJA NETO'!AK26</f>
        <v>178969.91707243331</v>
      </c>
      <c r="AL35" s="35">
        <f>'FLUJO DE CAJA NETO'!AL26</f>
        <v>180581.79207243331</v>
      </c>
      <c r="AM35" s="35">
        <f>'FLUJO DE CAJA NETO'!AM26</f>
        <v>182577.66707243331</v>
      </c>
      <c r="AN35" s="35">
        <f>'FLUJO DE CAJA NETO'!AN26</f>
        <v>184189.54207243331</v>
      </c>
      <c r="AO35" s="35">
        <f>'FLUJO DE CAJA NETO'!AO26</f>
        <v>185801.41707243331</v>
      </c>
      <c r="AP35" s="35">
        <f>'FLUJO DE CAJA NETO'!AP26</f>
        <v>187797.29207243331</v>
      </c>
      <c r="AQ35" s="35">
        <f>'FLUJO DE CAJA NETO'!AQ26</f>
        <v>189409.16707243331</v>
      </c>
      <c r="AR35" s="35">
        <f>'FLUJO DE CAJA NETO'!AR26</f>
        <v>191021.04207243331</v>
      </c>
      <c r="AS35" s="35">
        <f>'FLUJO DE CAJA NETO'!AS26</f>
        <v>193016.91707243331</v>
      </c>
      <c r="AT35" s="35">
        <f>'FLUJO DE CAJA NETO'!AT26</f>
        <v>194628.79207243331</v>
      </c>
      <c r="AU35" s="35">
        <f>'FLUJO DE CAJA NETO'!AU26</f>
        <v>196240.66707243331</v>
      </c>
      <c r="AV35" s="35">
        <f>'FLUJO DE CAJA NETO'!AV26</f>
        <v>198236.54207243331</v>
      </c>
      <c r="AW35" s="35">
        <f>'FLUJO DE CAJA NETO'!AW26</f>
        <v>199848.41707243331</v>
      </c>
      <c r="AX35" s="35">
        <f>'FLUJO DE CAJA NETO'!AX26</f>
        <v>201460.29207243331</v>
      </c>
      <c r="AY35" s="35">
        <f>'FLUJO DE CAJA NETO'!AY26</f>
        <v>203456.16707243331</v>
      </c>
      <c r="AZ35" s="35">
        <f>'FLUJO DE CAJA NETO'!AZ26</f>
        <v>205068.04207243331</v>
      </c>
      <c r="BA35" s="35">
        <f>'FLUJO DE CAJA NETO'!BA26</f>
        <v>206679.91707243331</v>
      </c>
      <c r="BB35" s="35">
        <f>'FLUJO DE CAJA NETO'!BB26</f>
        <v>208675.79207243331</v>
      </c>
      <c r="BC35" s="35">
        <f>'FLUJO DE CAJA NETO'!BC26</f>
        <v>210287.66707243331</v>
      </c>
      <c r="BD35" s="35">
        <f>'FLUJO DE CAJA NETO'!BD26</f>
        <v>211899.54207243331</v>
      </c>
      <c r="BE35" s="35">
        <f>'FLUJO DE CAJA NETO'!BE26</f>
        <v>213895.41707243331</v>
      </c>
      <c r="BF35" s="35">
        <f>'FLUJO DE CAJA NETO'!BF26</f>
        <v>215507.29207243331</v>
      </c>
      <c r="BG35" s="35">
        <f>'FLUJO DE CAJA NETO'!BG26</f>
        <v>217119.16707243331</v>
      </c>
      <c r="BH35" s="35">
        <f>'FLUJO DE CAJA NETO'!BH26</f>
        <v>219115.04207243331</v>
      </c>
      <c r="BI35" s="35">
        <f>'FLUJO DE CAJA NETO'!BI26</f>
        <v>220726.91707243331</v>
      </c>
      <c r="BJ35" s="35">
        <f>'FLUJO DE CAJA NETO'!BJ26</f>
        <v>222338.79207243331</v>
      </c>
    </row>
    <row r="36" spans="1:62" ht="15.75" customHeight="1" x14ac:dyDescent="0.2">
      <c r="A36" s="335"/>
      <c r="B36" s="335"/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35"/>
      <c r="AX36" s="335"/>
      <c r="AY36" s="335"/>
      <c r="AZ36" s="335"/>
      <c r="BA36" s="335"/>
      <c r="BB36" s="335"/>
      <c r="BC36" s="335"/>
      <c r="BD36" s="335"/>
      <c r="BE36" s="335"/>
      <c r="BF36" s="335"/>
      <c r="BG36" s="335"/>
      <c r="BH36" s="335"/>
      <c r="BI36" s="335"/>
      <c r="BJ36" s="335"/>
    </row>
    <row r="37" spans="1:62" ht="15.75" customHeight="1" x14ac:dyDescent="0.2">
      <c r="A37" s="335" t="s">
        <v>52</v>
      </c>
      <c r="B37" s="35">
        <f>'FLUJO DE CAJA COMPLETO'!B16</f>
        <v>81400.58550000003</v>
      </c>
      <c r="C37" s="35">
        <f>'FLUJO DE CAJA COMPLETO'!C16</f>
        <v>-5472.4219485730255</v>
      </c>
      <c r="D37" s="35">
        <f>'FLUJO DE CAJA COMPLETO'!D16</f>
        <v>7377.4788984269726</v>
      </c>
      <c r="E37" s="35">
        <f>'FLUJO DE CAJA COMPLETO'!E16</f>
        <v>-5437.3819485730255</v>
      </c>
      <c r="F37" s="35">
        <f>'FLUJO DE CAJA COMPLETO'!F16</f>
        <v>-4709.7179485730248</v>
      </c>
      <c r="G37" s="35">
        <f>'FLUJO DE CAJA COMPLETO'!G16</f>
        <v>-5726.0056985730253</v>
      </c>
      <c r="H37" s="35">
        <f>'FLUJO DE CAJA COMPLETO'!H16</f>
        <v>-5726.0056985730253</v>
      </c>
      <c r="I37" s="35">
        <f>'FLUJO DE CAJA COMPLETO'!I16</f>
        <v>10276.354730260304</v>
      </c>
      <c r="J37" s="35">
        <f>'FLUJO DE CAJA COMPLETO'!J16</f>
        <v>-9046.220290239693</v>
      </c>
      <c r="K37" s="35">
        <f>'FLUJO DE CAJA COMPLETO'!K16</f>
        <v>-8859.340290239692</v>
      </c>
      <c r="L37" s="35">
        <f>'FLUJO DE CAJA COMPLETO'!L16</f>
        <v>14024.969821926972</v>
      </c>
      <c r="M37" s="35">
        <f>'FLUJO DE CAJA COMPLETO'!M16</f>
        <v>-5156.4414485730258</v>
      </c>
      <c r="N37" s="35">
        <f>'FLUJO DE CAJA COMPLETO'!N16</f>
        <v>7681.7793984269738</v>
      </c>
      <c r="O37" s="35">
        <f>'FLUJO DE CAJA COMPLETO'!O16</f>
        <v>2206.6135833333337</v>
      </c>
      <c r="P37" s="35">
        <f>'FLUJO DE CAJA COMPLETO'!P16</f>
        <v>1155.4135833333335</v>
      </c>
      <c r="Q37" s="35">
        <f>'FLUJO DE CAJA COMPLETO'!Q16</f>
        <v>1155.4135833333335</v>
      </c>
      <c r="R37" s="35">
        <f>'FLUJO DE CAJA COMPLETO'!R16</f>
        <v>933.49358333333362</v>
      </c>
      <c r="S37" s="35">
        <f>'FLUJO DE CAJA COMPLETO'!S16</f>
        <v>1623.4448319583335</v>
      </c>
      <c r="T37" s="35">
        <f>'FLUJO DE CAJA COMPLETO'!T16</f>
        <v>1272.2135833333336</v>
      </c>
      <c r="U37" s="35">
        <f>'FLUJO DE CAJA COMPLETO'!U16</f>
        <v>991.89358333333348</v>
      </c>
      <c r="V37" s="35">
        <f>'FLUJO DE CAJA COMPLETO'!V16</f>
        <v>1272.2135833333336</v>
      </c>
      <c r="W37" s="35">
        <f>'FLUJO DE CAJA COMPLETO'!W16</f>
        <v>1272.2135833333336</v>
      </c>
      <c r="X37" s="35">
        <f>'FLUJO DE CAJA COMPLETO'!X16</f>
        <v>991.89358333333348</v>
      </c>
      <c r="Y37" s="35">
        <f>'FLUJO DE CAJA COMPLETO'!Y16</f>
        <v>1272.2135833333336</v>
      </c>
      <c r="Z37" s="35">
        <f>'FLUJO DE CAJA COMPLETO'!Z16</f>
        <v>1272.2135833333336</v>
      </c>
      <c r="AA37" s="35">
        <f>'FLUJO DE CAJA COMPLETO'!AA16</f>
        <v>991.89358333333348</v>
      </c>
      <c r="AB37" s="35">
        <f>'FLUJO DE CAJA COMPLETO'!AB16</f>
        <v>1272.2135833333336</v>
      </c>
      <c r="AC37" s="35">
        <f>'FLUJO DE CAJA COMPLETO'!AC16</f>
        <v>1272.2135833333336</v>
      </c>
      <c r="AD37" s="35">
        <f>'FLUJO DE CAJA COMPLETO'!AD16</f>
        <v>991.89358333333348</v>
      </c>
      <c r="AE37" s="35">
        <f>'FLUJO DE CAJA COMPLETO'!AE16</f>
        <v>1623.4448319583335</v>
      </c>
      <c r="AF37" s="35">
        <f>'FLUJO DE CAJA COMPLETO'!AF16</f>
        <v>1272.2135833333336</v>
      </c>
      <c r="AG37" s="35">
        <f>'FLUJO DE CAJA COMPLETO'!AG16</f>
        <v>991.89358333333348</v>
      </c>
      <c r="AH37" s="35">
        <f>'FLUJO DE CAJA COMPLETO'!AH16</f>
        <v>1272.2135833333336</v>
      </c>
      <c r="AI37" s="35">
        <f>'FLUJO DE CAJA COMPLETO'!AI16</f>
        <v>1272.2135833333336</v>
      </c>
      <c r="AJ37" s="35">
        <f>'FLUJO DE CAJA COMPLETO'!AJ16</f>
        <v>991.89358333333348</v>
      </c>
      <c r="AK37" s="35">
        <f>'FLUJO DE CAJA COMPLETO'!AK16</f>
        <v>1272.2135833333336</v>
      </c>
      <c r="AL37" s="35">
        <f>'FLUJO DE CAJA COMPLETO'!AL16</f>
        <v>1272.2135833333336</v>
      </c>
      <c r="AM37" s="35">
        <f>'FLUJO DE CAJA COMPLETO'!AM16</f>
        <v>991.89358333333348</v>
      </c>
      <c r="AN37" s="35">
        <f>'FLUJO DE CAJA COMPLETO'!AN16</f>
        <v>1272.2135833333336</v>
      </c>
      <c r="AO37" s="35">
        <f>'FLUJO DE CAJA COMPLETO'!AO16</f>
        <v>1272.2135833333336</v>
      </c>
      <c r="AP37" s="35">
        <f>'FLUJO DE CAJA COMPLETO'!AP16</f>
        <v>991.89358333333348</v>
      </c>
      <c r="AQ37" s="35">
        <f>'FLUJO DE CAJA COMPLETO'!AQ16</f>
        <v>1623.4448319583335</v>
      </c>
      <c r="AR37" s="35">
        <f>'FLUJO DE CAJA COMPLETO'!AR16</f>
        <v>1272.2135833333336</v>
      </c>
      <c r="AS37" s="35">
        <f>'FLUJO DE CAJA COMPLETO'!AS16</f>
        <v>991.89358333333348</v>
      </c>
      <c r="AT37" s="35">
        <f>'FLUJO DE CAJA COMPLETO'!AT16</f>
        <v>1272.2135833333336</v>
      </c>
      <c r="AU37" s="35">
        <f>'FLUJO DE CAJA COMPLETO'!AU16</f>
        <v>1272.2135833333336</v>
      </c>
      <c r="AV37" s="35">
        <f>'FLUJO DE CAJA COMPLETO'!AV16</f>
        <v>991.89358333333348</v>
      </c>
      <c r="AW37" s="35">
        <f>'FLUJO DE CAJA COMPLETO'!AW16</f>
        <v>1272.2135833333336</v>
      </c>
      <c r="AX37" s="35">
        <f>'FLUJO DE CAJA COMPLETO'!AX16</f>
        <v>1272.2135833333336</v>
      </c>
      <c r="AY37" s="35">
        <f>'FLUJO DE CAJA COMPLETO'!AY16</f>
        <v>991.89358333333348</v>
      </c>
      <c r="AZ37" s="35">
        <f>'FLUJO DE CAJA COMPLETO'!AZ16</f>
        <v>1272.2135833333336</v>
      </c>
      <c r="BA37" s="35">
        <f>'FLUJO DE CAJA COMPLETO'!BA16</f>
        <v>1272.2135833333336</v>
      </c>
      <c r="BB37" s="35">
        <f>'FLUJO DE CAJA COMPLETO'!BB16</f>
        <v>991.89358333333348</v>
      </c>
      <c r="BC37" s="35">
        <f>'FLUJO DE CAJA COMPLETO'!BC16</f>
        <v>1623.4448319583335</v>
      </c>
      <c r="BD37" s="35">
        <f>'FLUJO DE CAJA COMPLETO'!BD16</f>
        <v>1272.2135833333336</v>
      </c>
      <c r="BE37" s="35">
        <f>'FLUJO DE CAJA COMPLETO'!BE16</f>
        <v>991.89358333333348</v>
      </c>
      <c r="BF37" s="35">
        <f>'FLUJO DE CAJA COMPLETO'!BF16</f>
        <v>1272.2135833333336</v>
      </c>
      <c r="BG37" s="35">
        <f>'FLUJO DE CAJA COMPLETO'!BG16</f>
        <v>1272.2135833333336</v>
      </c>
      <c r="BH37" s="35">
        <f>'FLUJO DE CAJA COMPLETO'!BH16</f>
        <v>991.89358333333348</v>
      </c>
      <c r="BI37" s="35">
        <f>'FLUJO DE CAJA COMPLETO'!BI16</f>
        <v>1272.2135833333336</v>
      </c>
      <c r="BJ37" s="35">
        <f>'FLUJO DE CAJA COMPLETO'!BJ16</f>
        <v>69106.034833333353</v>
      </c>
    </row>
    <row r="38" spans="1:62" ht="15.75" customHeight="1" x14ac:dyDescent="0.2">
      <c r="A38" s="335" t="s">
        <v>53</v>
      </c>
      <c r="B38" s="34">
        <f>'FLUJO DE CAJA COMPLETO'!B21</f>
        <v>81400.58550000003</v>
      </c>
      <c r="C38" s="34">
        <f>'FLUJO DE CAJA COMPLETO'!C21</f>
        <v>76003.125794603751</v>
      </c>
      <c r="D38" s="34">
        <f>'FLUJO DE CAJA COMPLETO'!D21</f>
        <v>83179.87287710188</v>
      </c>
      <c r="E38" s="34">
        <f>'FLUJO DE CAJA COMPLETO'!E21</f>
        <v>77962.890865744834</v>
      </c>
      <c r="F38" s="34">
        <f>'FLUJO DE CAJA COMPLETO'!F21</f>
        <v>73505.977111211367</v>
      </c>
      <c r="G38" s="34">
        <f>'FLUJO DE CAJA COMPLETO'!G21</f>
        <v>68161.552693728896</v>
      </c>
      <c r="H38" s="34">
        <f>'FLUJO DE CAJA COMPLETO'!H21</f>
        <v>62890.337185681405</v>
      </c>
      <c r="I38" s="34">
        <f>'FLUJO DE CAJA COMPLETO'!I21</f>
        <v>72220.901620612523</v>
      </c>
      <c r="J38" s="34">
        <f>'FLUJO DE CAJA COMPLETO'!J21</f>
        <v>64119.767522417467</v>
      </c>
      <c r="K38" s="34">
        <f>'FLUJO DE CAJA COMPLETO'!K21</f>
        <v>56294.667853040388</v>
      </c>
      <c r="L38" s="34">
        <f>'FLUJO DE CAJA COMPLETO'!L21</f>
        <v>68512.671844824101</v>
      </c>
      <c r="M38" s="34">
        <f>'FLUJO DE CAJA COMPLETO'!M21</f>
        <v>64082.115635945127</v>
      </c>
      <c r="N38" s="34">
        <f>'FLUJO DE CAJA COMPLETO'!N21</f>
        <v>70592.098176984946</v>
      </c>
      <c r="O38" s="34">
        <f>'FLUJO DE CAJA COMPLETO'!O21</f>
        <v>72436.493926383948</v>
      </c>
      <c r="P38" s="34">
        <f>'FLUJO DE CAJA COMPLETO'!P21</f>
        <v>73389.016171751296</v>
      </c>
      <c r="Q38" s="34">
        <f>'FLUJO DE CAJA COMPLETO'!Q21</f>
        <v>74328.490592067959</v>
      </c>
      <c r="R38" s="34">
        <f>'FLUJO DE CAJA COMPLETO'!R21</f>
        <v>75077.123063855048</v>
      </c>
      <c r="S38" s="34">
        <f>'FLUJO DE CAJA COMPLETO'!S21</f>
        <v>76361.240347127779</v>
      </c>
      <c r="T38" s="34">
        <f>'FLUJO DE CAJA COMPLETO'!T21</f>
        <v>77353.755205909256</v>
      </c>
      <c r="U38" s="34">
        <f>'FLUJO DE CAJA COMPLETO'!U21</f>
        <v>78116.979002048261</v>
      </c>
      <c r="V38" s="34">
        <f>'FLUJO DE CAJA COMPLETO'!V21</f>
        <v>79082.488794101315</v>
      </c>
      <c r="W38" s="34">
        <f>'FLUJO DE CAJA COMPLETO'!W21</f>
        <v>80034.772855298535</v>
      </c>
      <c r="X38" s="34">
        <f>'FLUJO DE CAJA COMPLETO'!X21</f>
        <v>80767.059984059422</v>
      </c>
      <c r="Y38" s="34">
        <f>'FLUJO DE CAJA COMPLETO'!Y21</f>
        <v>81693.433607352839</v>
      </c>
      <c r="Z38" s="34">
        <f>'FLUJO DE CAJA COMPLETO'!Z21</f>
        <v>82607.117594234005</v>
      </c>
      <c r="AA38" s="34">
        <f>'FLUJO DE CAJA COMPLETO'!AA21</f>
        <v>83309.722048735581</v>
      </c>
      <c r="AB38" s="34">
        <f>'FLUJO DE CAJA COMPLETO'!AB21</f>
        <v>84198.545856631914</v>
      </c>
      <c r="AC38" s="34">
        <f>'FLUJO DE CAJA COMPLETO'!AC21</f>
        <v>85075.194392399208</v>
      </c>
      <c r="AD38" s="34">
        <f>'FLUJO DE CAJA COMPLETO'!AD21</f>
        <v>85749.319336150133</v>
      </c>
      <c r="AE38" s="34">
        <f>'FLUJO DE CAJA COMPLETO'!AE21</f>
        <v>86837.554321974487</v>
      </c>
      <c r="AF38" s="34">
        <f>'FLUJO DE CAJA COMPLETO'!AF21</f>
        <v>87678.668609077431</v>
      </c>
      <c r="AG38" s="34">
        <f>'FLUJO DE CAJA COMPLETO'!AG21</f>
        <v>88325.46843631388</v>
      </c>
      <c r="AH38" s="34">
        <f>'FLUJO DE CAJA COMPLETO'!AH21</f>
        <v>89143.697073646981</v>
      </c>
      <c r="AI38" s="34">
        <f>'FLUJO DE CAJA COMPLETO'!AI21</f>
        <v>89950.717464492074</v>
      </c>
      <c r="AJ38" s="34">
        <f>'FLUJO DE CAJA COMPLETO'!AJ21</f>
        <v>90571.299777001303</v>
      </c>
      <c r="AK38" s="34">
        <f>'FLUJO DE CAJA COMPLETO'!AK21</f>
        <v>91356.362169622851</v>
      </c>
      <c r="AL38" s="34">
        <f>'FLUJO DE CAJA COMPLETO'!AL21</f>
        <v>92130.670633081463</v>
      </c>
      <c r="AM38" s="34">
        <f>'FLUJO DE CAJA COMPLETO'!AM21</f>
        <v>92726.098136896355</v>
      </c>
      <c r="AN38" s="34">
        <f>'FLUJO DE CAJA COMPLETO'!AN21</f>
        <v>93479.338652062739</v>
      </c>
      <c r="AO38" s="34">
        <f>'FLUJO DE CAJA COMPLETO'!AO21</f>
        <v>94222.261140001123</v>
      </c>
      <c r="AP38" s="34">
        <f>'FLUJO DE CAJA COMPLETO'!AP21</f>
        <v>94793.553465213772</v>
      </c>
      <c r="AQ38" s="34">
        <f>'FLUJO DE CAJA COMPLETO'!AQ21</f>
        <v>95715.786504047966</v>
      </c>
      <c r="AR38" s="34">
        <f>'FLUJO DE CAJA COMPLETO'!AR21</f>
        <v>96428.595221931828</v>
      </c>
      <c r="AS38" s="34">
        <f>'FLUJO DE CAJA COMPLETO'!AS21</f>
        <v>96976.730668742384</v>
      </c>
      <c r="AT38" s="34">
        <f>'FLUJO DE CAJA COMPLETO'!AT21</f>
        <v>97670.144768177212</v>
      </c>
      <c r="AU38" s="34">
        <f>'FLUJO DE CAJA COMPLETO'!AU21</f>
        <v>98354.060353639157</v>
      </c>
      <c r="AV38" s="34">
        <f>'FLUJO DE CAJA COMPLETO'!AV21</f>
        <v>98879.977567630034</v>
      </c>
      <c r="AW38" s="34">
        <f>'FLUJO DE CAJA COMPLETO'!AW21</f>
        <v>99545.28468002117</v>
      </c>
      <c r="AX38" s="34">
        <f>'FLUJO DE CAJA COMPLETO'!AX21</f>
        <v>100201.47829312169</v>
      </c>
      <c r="AY38" s="34">
        <f>'FLUJO DE CAJA COMPLETO'!AY21</f>
        <v>100706.07787262584</v>
      </c>
      <c r="AZ38" s="34">
        <f>'FLUJO DE CAJA COMPLETO'!AZ21</f>
        <v>101344.41729225837</v>
      </c>
      <c r="BA38" s="34">
        <f>'FLUJO DE CAJA COMPLETO'!BA21</f>
        <v>101974.0126210197</v>
      </c>
      <c r="BB38" s="34">
        <f>'FLUJO DE CAJA COMPLETO'!BB21</f>
        <v>102458.1586593355</v>
      </c>
      <c r="BC38" s="34">
        <f>'FLUJO DE CAJA COMPLETO'!BC21</f>
        <v>103239.71208207635</v>
      </c>
      <c r="BD38" s="34">
        <f>'FLUJO DE CAJA COMPLETO'!BD21</f>
        <v>103843.78726672368</v>
      </c>
      <c r="BE38" s="34">
        <f>'FLUJO DE CAJA COMPLETO'!BE21</f>
        <v>104308.30883181737</v>
      </c>
      <c r="BF38" s="34">
        <f>'FLUJO DE CAJA COMPLETO'!BF21</f>
        <v>104895.94789913502</v>
      </c>
      <c r="BG38" s="34">
        <f>'FLUJO DE CAJA COMPLETO'!BG21</f>
        <v>105475.53737834006</v>
      </c>
      <c r="BH38" s="34">
        <f>'FLUJO DE CAJA COMPLETO'!BH21</f>
        <v>105921.22993256961</v>
      </c>
      <c r="BI38" s="34">
        <f>'FLUJO DE CAJA COMPLETO'!BI21</f>
        <v>106485.04951934176</v>
      </c>
      <c r="BJ38" s="34">
        <f>'FLUJO DE CAJA COMPLETO'!BJ21</f>
        <v>136691.93424213506</v>
      </c>
    </row>
    <row r="39" spans="1:62" ht="15.75" customHeight="1" x14ac:dyDescent="0.2">
      <c r="A39" s="335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  <row r="40" spans="1:62" ht="15.75" customHeight="1" x14ac:dyDescent="0.2">
      <c r="A40" s="336" t="s">
        <v>54</v>
      </c>
      <c r="B40" s="36">
        <f t="array" ref="B40">INDEX(C38:BJ38,0,MATCH(TRUE,INDEX(C35:BJ35&gt;0,1,0),0))</f>
        <v>76003.125794603751</v>
      </c>
      <c r="C40" s="37">
        <f t="array" ref="C40">INDEX(C33:AK33,0,MATCH(TRUE,INDEX(C35:AK35&gt;0,1,0),0))</f>
        <v>45292</v>
      </c>
      <c r="D40" s="30"/>
      <c r="E40" s="30"/>
      <c r="F40" s="30"/>
      <c r="G40" s="30"/>
      <c r="H40" s="38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</row>
    <row r="41" spans="1:62" ht="15.75" customHeight="1" x14ac:dyDescent="0.2">
      <c r="A41" s="336" t="s">
        <v>55</v>
      </c>
      <c r="B41" s="36">
        <f t="array" ref="B41">INDEX(C38:BJ38,0,MATCH(TRUE,INDEX(C38:BJ38=MIN(C38:BJ38),1,0),0))</f>
        <v>56294.667853040388</v>
      </c>
      <c r="C41" s="37">
        <f t="array" ref="C41">INDEX(C33:AK33,0,MATCH(TRUE,INDEX(C38:AK38=MIN(C38:AK38),1,0),0))</f>
        <v>45536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</row>
    <row r="42" spans="1:62" ht="15.75" customHeight="1" x14ac:dyDescent="0.2">
      <c r="A42" s="336" t="s">
        <v>21</v>
      </c>
      <c r="B42" s="7">
        <f>IRR(C37:BJ37)</f>
        <v>6.4893093361412912E-2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</row>
    <row r="43" spans="1:62" ht="15.75" customHeight="1" x14ac:dyDescent="0.2">
      <c r="A43" s="28"/>
      <c r="B43" s="28"/>
      <c r="C43" s="28"/>
      <c r="D43" s="28"/>
      <c r="E43" s="28"/>
      <c r="F43" s="28"/>
      <c r="G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</row>
    <row r="44" spans="1:62" ht="15.75" customHeight="1" x14ac:dyDescent="0.2">
      <c r="A44" s="28"/>
      <c r="B44" s="28"/>
      <c r="C44" s="28"/>
      <c r="D44" s="28"/>
      <c r="E44" s="28"/>
      <c r="F44" s="28"/>
      <c r="G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</row>
    <row r="45" spans="1:62" ht="15.75" customHeight="1" x14ac:dyDescent="0.2">
      <c r="A45" s="28"/>
      <c r="B45" s="28"/>
      <c r="C45" s="28"/>
      <c r="D45" s="28"/>
      <c r="E45" s="28"/>
      <c r="F45" s="28"/>
      <c r="G45" s="39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</row>
    <row r="46" spans="1:62" ht="15.75" customHeight="1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</row>
    <row r="47" spans="1:62" ht="15.75" customHeight="1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</row>
    <row r="48" spans="1:62" ht="15.75" customHeight="1" x14ac:dyDescent="0.2">
      <c r="A48" s="28"/>
      <c r="B48" s="3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</row>
    <row r="49" spans="1:62" ht="15.75" customHeight="1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</row>
    <row r="50" spans="1:62" ht="15.75" customHeight="1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</row>
    <row r="51" spans="1:62" ht="15.75" customHeight="1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</row>
    <row r="52" spans="1:62" ht="15.75" customHeight="1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</row>
    <row r="53" spans="1:62" ht="15.75" customHeight="1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</row>
    <row r="54" spans="1:62" ht="15.75" customHeight="1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</row>
    <row r="55" spans="1:62" ht="15.75" customHeight="1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</row>
    <row r="56" spans="1:62" ht="15.75" customHeight="1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</row>
    <row r="57" spans="1:62" ht="15.75" customHeight="1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</row>
    <row r="58" spans="1:62" ht="15.75" customHeight="1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</row>
    <row r="59" spans="1:62" ht="15.75" customHeight="1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</row>
    <row r="60" spans="1:62" ht="15.75" customHeight="1" x14ac:dyDescent="0.2"/>
    <row r="61" spans="1:62" ht="15.75" customHeight="1" x14ac:dyDescent="0.2"/>
    <row r="62" spans="1:62" ht="15.75" customHeight="1" x14ac:dyDescent="0.2"/>
    <row r="63" spans="1:62" ht="15.75" customHeight="1" x14ac:dyDescent="0.2"/>
    <row r="64" spans="1:6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30:AM30"/>
  </mergeCells>
  <conditionalFormatting sqref="B40:B41">
    <cfRule type="cellIs" dxfId="11" priority="2" operator="lessThan">
      <formula>0</formula>
    </cfRule>
  </conditionalFormatting>
  <conditionalFormatting sqref="B34:BJ38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21"/>
  <sheetViews>
    <sheetView workbookViewId="0">
      <selection activeCell="I6" sqref="I6"/>
    </sheetView>
  </sheetViews>
  <sheetFormatPr baseColWidth="10" defaultColWidth="12.7109375" defaultRowHeight="15" customHeight="1" x14ac:dyDescent="0.2"/>
  <cols>
    <col min="1" max="1" width="27.7109375" customWidth="1"/>
    <col min="5" max="5" width="31.42578125" customWidth="1"/>
    <col min="6" max="6" width="15.85546875" customWidth="1"/>
    <col min="7" max="7" width="14.7109375" customWidth="1"/>
    <col min="8" max="8" width="13.140625" bestFit="1" customWidth="1"/>
    <col min="9" max="9" width="13.42578125" customWidth="1"/>
    <col min="12" max="12" width="26" customWidth="1"/>
  </cols>
  <sheetData>
    <row r="1" spans="1:12" ht="15.75" customHeight="1" x14ac:dyDescent="0.2">
      <c r="A1" s="40" t="s">
        <v>32</v>
      </c>
      <c r="B1" s="19" t="s">
        <v>4</v>
      </c>
      <c r="C1" s="41"/>
    </row>
    <row r="2" spans="1:12" ht="15.75" customHeight="1" x14ac:dyDescent="0.2">
      <c r="A2" s="337" t="s">
        <v>33</v>
      </c>
      <c r="B2" s="14">
        <f>'Costos HH - Sueldos'!B3</f>
        <v>900</v>
      </c>
      <c r="C2" s="16">
        <f>+B2/B4</f>
        <v>2.5000000000000001E-2</v>
      </c>
    </row>
    <row r="3" spans="1:12" ht="15.75" customHeight="1" x14ac:dyDescent="0.2">
      <c r="A3" s="337" t="s">
        <v>34</v>
      </c>
      <c r="B3" s="14">
        <f>'Costos HH - Sueldos'!B4</f>
        <v>800</v>
      </c>
      <c r="C3" s="16">
        <f>+B3/B4</f>
        <v>2.2222222222222223E-2</v>
      </c>
      <c r="E3" s="40"/>
      <c r="F3" s="40" t="s">
        <v>3</v>
      </c>
      <c r="G3" s="40" t="s">
        <v>5</v>
      </c>
      <c r="H3" s="40" t="s">
        <v>4</v>
      </c>
    </row>
    <row r="4" spans="1:12" ht="15.75" customHeight="1" x14ac:dyDescent="0.2">
      <c r="A4" s="337" t="s">
        <v>3</v>
      </c>
      <c r="B4" s="14">
        <f>'Costos HH - Sueldos'!B5</f>
        <v>36000</v>
      </c>
      <c r="C4" s="17">
        <f>+B4/B2</f>
        <v>40</v>
      </c>
      <c r="E4" s="42" t="s">
        <v>56</v>
      </c>
      <c r="F4" s="43">
        <f>RESUMEN!B8*PARÁMETROS!B15</f>
        <v>108534.11400000005</v>
      </c>
      <c r="G4" s="43">
        <f>H4/B2</f>
        <v>4341364.5600000015</v>
      </c>
      <c r="H4" s="43">
        <f>F4*B4</f>
        <v>3907228104.0000014</v>
      </c>
    </row>
    <row r="5" spans="1:12" ht="15.75" customHeight="1" x14ac:dyDescent="0.2">
      <c r="A5" s="337" t="s">
        <v>35</v>
      </c>
      <c r="B5" s="18">
        <v>160</v>
      </c>
      <c r="C5" s="39" t="s">
        <v>36</v>
      </c>
    </row>
    <row r="6" spans="1:12" ht="15.75" customHeight="1" x14ac:dyDescent="0.2">
      <c r="A6" s="41"/>
      <c r="B6" s="39"/>
      <c r="C6" s="39"/>
    </row>
    <row r="7" spans="1:12" ht="15.75" customHeight="1" x14ac:dyDescent="0.2">
      <c r="A7" s="40" t="s">
        <v>37</v>
      </c>
      <c r="B7" s="41"/>
      <c r="C7" s="39"/>
      <c r="E7" s="40" t="s">
        <v>57</v>
      </c>
      <c r="F7" s="40" t="s">
        <v>49</v>
      </c>
      <c r="G7" s="40" t="s">
        <v>58</v>
      </c>
    </row>
    <row r="8" spans="1:12" ht="15.75" customHeight="1" x14ac:dyDescent="0.2">
      <c r="A8" s="338" t="s">
        <v>44</v>
      </c>
      <c r="B8" s="44">
        <f>PARÁMETROS!B14</f>
        <v>0.2</v>
      </c>
      <c r="C8" s="39"/>
      <c r="E8" s="340" t="s">
        <v>59</v>
      </c>
      <c r="F8" s="45">
        <v>45323</v>
      </c>
      <c r="G8" s="43">
        <f>'FLUJO DE CAJA NETO'!D16</f>
        <v>17602.603899999998</v>
      </c>
    </row>
    <row r="9" spans="1:12" ht="15.75" customHeight="1" x14ac:dyDescent="0.2">
      <c r="A9" s="338" t="s">
        <v>45</v>
      </c>
      <c r="B9" s="44">
        <f>PARÁMETROS!B15</f>
        <v>0.8</v>
      </c>
      <c r="C9" s="39"/>
      <c r="E9" s="340" t="s">
        <v>60</v>
      </c>
      <c r="F9" s="45">
        <v>45474</v>
      </c>
      <c r="G9" s="43">
        <f>'FLUJO DE CAJA NETO'!I17</f>
        <v>26403.905849999999</v>
      </c>
    </row>
    <row r="10" spans="1:12" ht="15.75" customHeight="1" x14ac:dyDescent="0.2">
      <c r="A10" s="338" t="s">
        <v>38</v>
      </c>
      <c r="B10" s="44">
        <f>PARÁMETROS!B8</f>
        <v>8.9999999999999993E-3</v>
      </c>
      <c r="C10" s="39"/>
      <c r="E10" s="340" t="s">
        <v>61</v>
      </c>
      <c r="F10" s="45">
        <v>45579</v>
      </c>
      <c r="G10" s="43">
        <f>'FLUJO DE CAJA NETO'!L18</f>
        <v>26403.905849999999</v>
      </c>
    </row>
    <row r="11" spans="1:12" ht="15.75" customHeight="1" x14ac:dyDescent="0.2">
      <c r="A11" s="338" t="s">
        <v>40</v>
      </c>
      <c r="B11" s="46">
        <f>PARÁMETROS!B10</f>
        <v>0.03</v>
      </c>
      <c r="C11" s="39"/>
      <c r="E11" s="340" t="s">
        <v>62</v>
      </c>
      <c r="F11" s="45">
        <v>45635</v>
      </c>
      <c r="G11" s="43">
        <f>'FLUJO DE CAJA NETO'!N19</f>
        <v>17602.603899999998</v>
      </c>
    </row>
    <row r="12" spans="1:12" ht="15.75" customHeight="1" x14ac:dyDescent="0.2">
      <c r="A12" s="338" t="s">
        <v>41</v>
      </c>
      <c r="B12" s="47">
        <f>PARÁMETROS!B11</f>
        <v>0.27</v>
      </c>
      <c r="C12" s="39"/>
      <c r="E12" s="340" t="s">
        <v>63</v>
      </c>
      <c r="F12" s="48" t="s">
        <v>64</v>
      </c>
      <c r="G12" s="43">
        <f>'FLUJO DE CAJA NETO'!O20</f>
        <v>2288.3083333333338</v>
      </c>
    </row>
    <row r="13" spans="1:12" ht="15.75" customHeight="1" x14ac:dyDescent="0.2">
      <c r="A13" s="339" t="s">
        <v>65</v>
      </c>
      <c r="B13" s="49">
        <v>24</v>
      </c>
      <c r="C13" s="39"/>
      <c r="E13" s="340" t="s">
        <v>66</v>
      </c>
      <c r="F13" s="43"/>
      <c r="G13" s="43">
        <f>'FLUJO DE CAJA NETO'!B21</f>
        <v>108534.11400000005</v>
      </c>
    </row>
    <row r="14" spans="1:12" ht="15.75" customHeight="1" x14ac:dyDescent="0.2">
      <c r="A14" s="339" t="s">
        <v>67</v>
      </c>
      <c r="B14" s="43">
        <f t="array" ref="B14">F4+NPV($B$11,L18:L29)</f>
        <v>60384.820539666202</v>
      </c>
    </row>
    <row r="15" spans="1:12" ht="15.75" customHeight="1" x14ac:dyDescent="0.2"/>
    <row r="16" spans="1:12" ht="15.75" customHeight="1" x14ac:dyDescent="0.2">
      <c r="A16" s="394" t="s">
        <v>68</v>
      </c>
      <c r="B16" s="395"/>
      <c r="C16" s="395"/>
      <c r="D16" s="395"/>
      <c r="E16" s="396"/>
      <c r="G16" s="394" t="s">
        <v>69</v>
      </c>
      <c r="H16" s="395"/>
      <c r="I16" s="395"/>
      <c r="J16" s="395"/>
      <c r="K16" s="395"/>
      <c r="L16" s="396"/>
    </row>
    <row r="17" spans="1:12" ht="15.75" customHeight="1" x14ac:dyDescent="0.2">
      <c r="A17" s="341" t="s">
        <v>48</v>
      </c>
      <c r="B17" s="339" t="s">
        <v>70</v>
      </c>
      <c r="C17" s="339" t="s">
        <v>71</v>
      </c>
      <c r="D17" s="339" t="s">
        <v>72</v>
      </c>
      <c r="E17" s="339" t="s">
        <v>73</v>
      </c>
      <c r="G17" s="341" t="s">
        <v>48</v>
      </c>
      <c r="H17" s="339" t="s">
        <v>72</v>
      </c>
      <c r="I17" s="339" t="s">
        <v>74</v>
      </c>
      <c r="J17" s="339" t="s">
        <v>75</v>
      </c>
      <c r="K17" s="339" t="s">
        <v>73</v>
      </c>
      <c r="L17" s="339" t="s">
        <v>76</v>
      </c>
    </row>
    <row r="18" spans="1:12" ht="15.75" customHeight="1" x14ac:dyDescent="0.2">
      <c r="A18" s="339">
        <v>1</v>
      </c>
      <c r="B18" s="4">
        <f>F4</f>
        <v>108534.11400000005</v>
      </c>
      <c r="C18" s="4">
        <f t="shared" ref="C18:C41" si="0">-PMT($B$10,$B$13,$B$18)</f>
        <v>5048.4684227027747</v>
      </c>
      <c r="D18" s="6">
        <f t="shared" ref="D18:D41" si="1">$B$10*B18</f>
        <v>976.80702600000029</v>
      </c>
      <c r="E18" s="4">
        <f t="shared" ref="E18:E41" si="2">C18-D18</f>
        <v>4071.6613967027743</v>
      </c>
      <c r="G18" s="339">
        <v>1</v>
      </c>
      <c r="H18" s="6">
        <f t="shared" ref="H18:H41" si="3">-D18</f>
        <v>-976.80702600000029</v>
      </c>
      <c r="I18" s="6">
        <f t="shared" ref="I18:I41" si="4">-$B$12*H18</f>
        <v>263.7378970200001</v>
      </c>
      <c r="J18" s="6">
        <f t="shared" ref="J18:J41" si="5">H18+I18</f>
        <v>-713.06912898000019</v>
      </c>
      <c r="K18" s="4">
        <f t="shared" ref="K18:K41" si="6">-E18</f>
        <v>-4071.6613967027743</v>
      </c>
      <c r="L18" s="4">
        <f t="shared" ref="L18:L41" si="7">K18+J18</f>
        <v>-4784.7305256827749</v>
      </c>
    </row>
    <row r="19" spans="1:12" ht="15.75" customHeight="1" x14ac:dyDescent="0.2">
      <c r="A19" s="339">
        <v>2</v>
      </c>
      <c r="B19" s="4">
        <f t="shared" ref="B19:B41" si="8">B18-E18</f>
        <v>104462.45260329726</v>
      </c>
      <c r="C19" s="4">
        <f t="shared" si="0"/>
        <v>5048.4684227027747</v>
      </c>
      <c r="D19" s="6">
        <f t="shared" si="1"/>
        <v>940.16207342967527</v>
      </c>
      <c r="E19" s="4">
        <f t="shared" si="2"/>
        <v>4108.3063492730998</v>
      </c>
      <c r="G19" s="339">
        <v>2</v>
      </c>
      <c r="H19" s="6">
        <f t="shared" si="3"/>
        <v>-940.16207342967527</v>
      </c>
      <c r="I19" s="6">
        <f t="shared" si="4"/>
        <v>253.84375982601233</v>
      </c>
      <c r="J19" s="6">
        <f t="shared" si="5"/>
        <v>-686.318313603663</v>
      </c>
      <c r="K19" s="4">
        <f t="shared" si="6"/>
        <v>-4108.3063492730998</v>
      </c>
      <c r="L19" s="4">
        <f t="shared" si="7"/>
        <v>-4794.6246628767631</v>
      </c>
    </row>
    <row r="20" spans="1:12" ht="15.75" customHeight="1" x14ac:dyDescent="0.2">
      <c r="A20" s="339">
        <v>3</v>
      </c>
      <c r="B20" s="4">
        <f t="shared" si="8"/>
        <v>100354.14625402416</v>
      </c>
      <c r="C20" s="4">
        <f t="shared" si="0"/>
        <v>5048.4684227027747</v>
      </c>
      <c r="D20" s="6">
        <f t="shared" si="1"/>
        <v>903.18731628621742</v>
      </c>
      <c r="E20" s="4">
        <f t="shared" si="2"/>
        <v>4145.2811064165571</v>
      </c>
      <c r="G20" s="339">
        <v>3</v>
      </c>
      <c r="H20" s="6">
        <f t="shared" si="3"/>
        <v>-903.18731628621742</v>
      </c>
      <c r="I20" s="6">
        <f t="shared" si="4"/>
        <v>243.86057539727872</v>
      </c>
      <c r="J20" s="6">
        <f t="shared" si="5"/>
        <v>-659.32674088893873</v>
      </c>
      <c r="K20" s="4">
        <f t="shared" si="6"/>
        <v>-4145.2811064165571</v>
      </c>
      <c r="L20" s="4">
        <f t="shared" si="7"/>
        <v>-4804.6078473054959</v>
      </c>
    </row>
    <row r="21" spans="1:12" ht="15.75" customHeight="1" x14ac:dyDescent="0.2">
      <c r="A21" s="339">
        <v>4</v>
      </c>
      <c r="B21" s="4">
        <f t="shared" si="8"/>
        <v>96208.865147607605</v>
      </c>
      <c r="C21" s="4">
        <f t="shared" si="0"/>
        <v>5048.4684227027747</v>
      </c>
      <c r="D21" s="6">
        <f t="shared" si="1"/>
        <v>865.87978632846841</v>
      </c>
      <c r="E21" s="4">
        <f t="shared" si="2"/>
        <v>4182.5886363743066</v>
      </c>
      <c r="G21" s="339">
        <v>4</v>
      </c>
      <c r="H21" s="6">
        <f t="shared" si="3"/>
        <v>-865.87978632846841</v>
      </c>
      <c r="I21" s="6">
        <f t="shared" si="4"/>
        <v>233.78754230868648</v>
      </c>
      <c r="J21" s="6">
        <f t="shared" si="5"/>
        <v>-632.0922440197819</v>
      </c>
      <c r="K21" s="4">
        <f t="shared" si="6"/>
        <v>-4182.5886363743066</v>
      </c>
      <c r="L21" s="4">
        <f t="shared" si="7"/>
        <v>-4814.6808803940885</v>
      </c>
    </row>
    <row r="22" spans="1:12" ht="15.75" customHeight="1" x14ac:dyDescent="0.2">
      <c r="A22" s="339">
        <v>5</v>
      </c>
      <c r="B22" s="4">
        <f t="shared" si="8"/>
        <v>92026.2765112333</v>
      </c>
      <c r="C22" s="4">
        <f t="shared" si="0"/>
        <v>5048.4684227027747</v>
      </c>
      <c r="D22" s="6">
        <f t="shared" si="1"/>
        <v>828.23648860109961</v>
      </c>
      <c r="E22" s="4">
        <f t="shared" si="2"/>
        <v>4220.2319341016755</v>
      </c>
      <c r="G22" s="339">
        <v>5</v>
      </c>
      <c r="H22" s="6">
        <f t="shared" si="3"/>
        <v>-828.23648860109961</v>
      </c>
      <c r="I22" s="6">
        <f t="shared" si="4"/>
        <v>223.62385192229692</v>
      </c>
      <c r="J22" s="6">
        <f t="shared" si="5"/>
        <v>-604.61263667880269</v>
      </c>
      <c r="K22" s="4">
        <f t="shared" si="6"/>
        <v>-4220.2319341016755</v>
      </c>
      <c r="L22" s="4">
        <f t="shared" si="7"/>
        <v>-4824.8445707804785</v>
      </c>
    </row>
    <row r="23" spans="1:12" ht="15.75" customHeight="1" x14ac:dyDescent="0.2">
      <c r="A23" s="339">
        <v>6</v>
      </c>
      <c r="B23" s="4">
        <f t="shared" si="8"/>
        <v>87806.04457713163</v>
      </c>
      <c r="C23" s="4">
        <f t="shared" si="0"/>
        <v>5048.4684227027747</v>
      </c>
      <c r="D23" s="6">
        <f t="shared" si="1"/>
        <v>790.25440119418465</v>
      </c>
      <c r="E23" s="4">
        <f t="shared" si="2"/>
        <v>4258.2140215085901</v>
      </c>
      <c r="G23" s="339">
        <v>6</v>
      </c>
      <c r="H23" s="6">
        <f t="shared" si="3"/>
        <v>-790.25440119418465</v>
      </c>
      <c r="I23" s="6">
        <f t="shared" si="4"/>
        <v>213.36868832242988</v>
      </c>
      <c r="J23" s="6">
        <f t="shared" si="5"/>
        <v>-576.88571287175478</v>
      </c>
      <c r="K23" s="4">
        <f t="shared" si="6"/>
        <v>-4258.2140215085901</v>
      </c>
      <c r="L23" s="4">
        <f t="shared" si="7"/>
        <v>-4835.0997343803447</v>
      </c>
    </row>
    <row r="24" spans="1:12" ht="15.75" customHeight="1" x14ac:dyDescent="0.2">
      <c r="A24" s="339">
        <v>7</v>
      </c>
      <c r="B24" s="4">
        <f t="shared" si="8"/>
        <v>83547.830555623033</v>
      </c>
      <c r="C24" s="4">
        <f t="shared" si="0"/>
        <v>5048.4684227027747</v>
      </c>
      <c r="D24" s="6">
        <f t="shared" si="1"/>
        <v>751.9304750006072</v>
      </c>
      <c r="E24" s="4">
        <f t="shared" si="2"/>
        <v>4296.537947702167</v>
      </c>
      <c r="G24" s="339">
        <v>7</v>
      </c>
      <c r="H24" s="6">
        <f t="shared" si="3"/>
        <v>-751.9304750006072</v>
      </c>
      <c r="I24" s="6">
        <f t="shared" si="4"/>
        <v>203.02122825016397</v>
      </c>
      <c r="J24" s="6">
        <f t="shared" si="5"/>
        <v>-548.90924675044323</v>
      </c>
      <c r="K24" s="4">
        <f t="shared" si="6"/>
        <v>-4296.537947702167</v>
      </c>
      <c r="L24" s="4">
        <f t="shared" si="7"/>
        <v>-4845.4471944526103</v>
      </c>
    </row>
    <row r="25" spans="1:12" ht="15.75" customHeight="1" x14ac:dyDescent="0.2">
      <c r="A25" s="339">
        <v>8</v>
      </c>
      <c r="B25" s="4">
        <f t="shared" si="8"/>
        <v>79251.29260792087</v>
      </c>
      <c r="C25" s="4">
        <f t="shared" si="0"/>
        <v>5048.4684227027747</v>
      </c>
      <c r="D25" s="6">
        <f t="shared" si="1"/>
        <v>713.26163347128772</v>
      </c>
      <c r="E25" s="4">
        <f t="shared" si="2"/>
        <v>4335.2067892314872</v>
      </c>
      <c r="G25" s="339">
        <v>8</v>
      </c>
      <c r="H25" s="6">
        <f t="shared" si="3"/>
        <v>-713.26163347128772</v>
      </c>
      <c r="I25" s="6">
        <f t="shared" si="4"/>
        <v>192.58064103724769</v>
      </c>
      <c r="J25" s="6">
        <f t="shared" si="5"/>
        <v>-520.68099243404004</v>
      </c>
      <c r="K25" s="4">
        <f t="shared" si="6"/>
        <v>-4335.2067892314872</v>
      </c>
      <c r="L25" s="4">
        <f t="shared" si="7"/>
        <v>-4855.8877816655277</v>
      </c>
    </row>
    <row r="26" spans="1:12" ht="15.75" customHeight="1" x14ac:dyDescent="0.2">
      <c r="A26" s="339">
        <v>9</v>
      </c>
      <c r="B26" s="4">
        <f t="shared" si="8"/>
        <v>74916.085818689389</v>
      </c>
      <c r="C26" s="4">
        <f t="shared" si="0"/>
        <v>5048.4684227027747</v>
      </c>
      <c r="D26" s="6">
        <f t="shared" si="1"/>
        <v>674.24477236820451</v>
      </c>
      <c r="E26" s="4">
        <f t="shared" si="2"/>
        <v>4374.2236503345703</v>
      </c>
      <c r="G26" s="339">
        <v>9</v>
      </c>
      <c r="H26" s="6">
        <f t="shared" si="3"/>
        <v>-674.24477236820451</v>
      </c>
      <c r="I26" s="6">
        <f t="shared" si="4"/>
        <v>182.04608853941522</v>
      </c>
      <c r="J26" s="6">
        <f t="shared" si="5"/>
        <v>-492.19868382878929</v>
      </c>
      <c r="K26" s="4">
        <f t="shared" si="6"/>
        <v>-4374.2236503345703</v>
      </c>
      <c r="L26" s="4">
        <f t="shared" si="7"/>
        <v>-4866.4223341633597</v>
      </c>
    </row>
    <row r="27" spans="1:12" ht="15.75" customHeight="1" x14ac:dyDescent="0.2">
      <c r="A27" s="339">
        <v>10</v>
      </c>
      <c r="B27" s="4">
        <f t="shared" si="8"/>
        <v>70541.862168354826</v>
      </c>
      <c r="C27" s="4">
        <f t="shared" si="0"/>
        <v>5048.4684227027747</v>
      </c>
      <c r="D27" s="6">
        <f t="shared" si="1"/>
        <v>634.87675951519338</v>
      </c>
      <c r="E27" s="4">
        <f t="shared" si="2"/>
        <v>4413.5916631875816</v>
      </c>
      <c r="G27" s="339">
        <v>10</v>
      </c>
      <c r="H27" s="6">
        <f t="shared" si="3"/>
        <v>-634.87675951519338</v>
      </c>
      <c r="I27" s="6">
        <f t="shared" si="4"/>
        <v>171.41672506910223</v>
      </c>
      <c r="J27" s="6">
        <f t="shared" si="5"/>
        <v>-463.46003444609119</v>
      </c>
      <c r="K27" s="4">
        <f t="shared" si="6"/>
        <v>-4413.5916631875816</v>
      </c>
      <c r="L27" s="4">
        <f t="shared" si="7"/>
        <v>-4877.051697633673</v>
      </c>
    </row>
    <row r="28" spans="1:12" ht="15.75" customHeight="1" x14ac:dyDescent="0.2">
      <c r="A28" s="339">
        <v>11</v>
      </c>
      <c r="B28" s="4">
        <f t="shared" si="8"/>
        <v>66128.270505167238</v>
      </c>
      <c r="C28" s="4">
        <f t="shared" si="0"/>
        <v>5048.4684227027747</v>
      </c>
      <c r="D28" s="6">
        <f t="shared" si="1"/>
        <v>595.15443454650506</v>
      </c>
      <c r="E28" s="4">
        <f t="shared" si="2"/>
        <v>4453.3139881562693</v>
      </c>
      <c r="G28" s="339">
        <v>11</v>
      </c>
      <c r="H28" s="6">
        <f t="shared" si="3"/>
        <v>-595.15443454650506</v>
      </c>
      <c r="I28" s="6">
        <f t="shared" si="4"/>
        <v>160.69169732755637</v>
      </c>
      <c r="J28" s="6">
        <f t="shared" si="5"/>
        <v>-434.46273721894869</v>
      </c>
      <c r="K28" s="4">
        <f t="shared" si="6"/>
        <v>-4453.3139881562693</v>
      </c>
      <c r="L28" s="4">
        <f t="shared" si="7"/>
        <v>-4887.7767253752181</v>
      </c>
    </row>
    <row r="29" spans="1:12" ht="15.75" customHeight="1" x14ac:dyDescent="0.2">
      <c r="A29" s="339">
        <f t="shared" ref="A29:A41" si="9">A28+1</f>
        <v>12</v>
      </c>
      <c r="B29" s="4">
        <f t="shared" si="8"/>
        <v>61674.956517010971</v>
      </c>
      <c r="C29" s="4">
        <f t="shared" si="0"/>
        <v>5048.4684227027747</v>
      </c>
      <c r="D29" s="6">
        <f t="shared" si="1"/>
        <v>555.07460865309872</v>
      </c>
      <c r="E29" s="4">
        <f t="shared" si="2"/>
        <v>4493.3938140496757</v>
      </c>
      <c r="G29" s="339">
        <v>12</v>
      </c>
      <c r="H29" s="6">
        <f t="shared" si="3"/>
        <v>-555.07460865309872</v>
      </c>
      <c r="I29" s="6">
        <f t="shared" si="4"/>
        <v>149.87014433633666</v>
      </c>
      <c r="J29" s="6">
        <f t="shared" si="5"/>
        <v>-405.20446431676203</v>
      </c>
      <c r="K29" s="4">
        <f t="shared" si="6"/>
        <v>-4493.3938140496757</v>
      </c>
      <c r="L29" s="4">
        <f t="shared" si="7"/>
        <v>-4898.5982783664376</v>
      </c>
    </row>
    <row r="30" spans="1:12" ht="15.75" customHeight="1" x14ac:dyDescent="0.2">
      <c r="A30" s="339">
        <f t="shared" si="9"/>
        <v>13</v>
      </c>
      <c r="B30" s="4">
        <f t="shared" si="8"/>
        <v>57181.562702961295</v>
      </c>
      <c r="C30" s="4">
        <f t="shared" si="0"/>
        <v>5048.4684227027747</v>
      </c>
      <c r="D30" s="6">
        <f t="shared" si="1"/>
        <v>514.63406432665158</v>
      </c>
      <c r="E30" s="4">
        <f t="shared" si="2"/>
        <v>4533.8343583761234</v>
      </c>
      <c r="G30" s="339">
        <f t="shared" ref="G30:G41" si="10">G29+1</f>
        <v>13</v>
      </c>
      <c r="H30" s="6">
        <f t="shared" si="3"/>
        <v>-514.63406432665158</v>
      </c>
      <c r="I30" s="6">
        <f t="shared" si="4"/>
        <v>138.95119736819595</v>
      </c>
      <c r="J30" s="6">
        <f t="shared" si="5"/>
        <v>-375.68286695845563</v>
      </c>
      <c r="K30" s="4">
        <f t="shared" si="6"/>
        <v>-4533.8343583761234</v>
      </c>
      <c r="L30" s="4">
        <f t="shared" si="7"/>
        <v>-4909.5172253345791</v>
      </c>
    </row>
    <row r="31" spans="1:12" ht="15.75" customHeight="1" x14ac:dyDescent="0.2">
      <c r="A31" s="339">
        <f t="shared" si="9"/>
        <v>14</v>
      </c>
      <c r="B31" s="4">
        <f t="shared" si="8"/>
        <v>52647.728344585172</v>
      </c>
      <c r="C31" s="4">
        <f t="shared" si="0"/>
        <v>5048.4684227027747</v>
      </c>
      <c r="D31" s="6">
        <f t="shared" si="1"/>
        <v>473.82955510126652</v>
      </c>
      <c r="E31" s="4">
        <f t="shared" si="2"/>
        <v>4574.6388676015085</v>
      </c>
      <c r="G31" s="339">
        <f t="shared" si="10"/>
        <v>14</v>
      </c>
      <c r="H31" s="6">
        <f t="shared" si="3"/>
        <v>-473.82955510126652</v>
      </c>
      <c r="I31" s="6">
        <f t="shared" si="4"/>
        <v>127.93397987734197</v>
      </c>
      <c r="J31" s="6">
        <f t="shared" si="5"/>
        <v>-345.89557522392454</v>
      </c>
      <c r="K31" s="4">
        <f t="shared" si="6"/>
        <v>-4574.6388676015085</v>
      </c>
      <c r="L31" s="4">
        <f t="shared" si="7"/>
        <v>-4920.534442825433</v>
      </c>
    </row>
    <row r="32" spans="1:12" ht="15.75" customHeight="1" x14ac:dyDescent="0.2">
      <c r="A32" s="339">
        <f t="shared" si="9"/>
        <v>15</v>
      </c>
      <c r="B32" s="4">
        <f t="shared" si="8"/>
        <v>48073.08947698366</v>
      </c>
      <c r="C32" s="4">
        <f t="shared" si="0"/>
        <v>5048.4684227027747</v>
      </c>
      <c r="D32" s="6">
        <f t="shared" si="1"/>
        <v>432.65780529285291</v>
      </c>
      <c r="E32" s="4">
        <f t="shared" si="2"/>
        <v>4615.8106174099221</v>
      </c>
      <c r="G32" s="339">
        <f t="shared" si="10"/>
        <v>15</v>
      </c>
      <c r="H32" s="6">
        <f t="shared" si="3"/>
        <v>-432.65780529285291</v>
      </c>
      <c r="I32" s="6">
        <f t="shared" si="4"/>
        <v>116.81760742907029</v>
      </c>
      <c r="J32" s="6">
        <f t="shared" si="5"/>
        <v>-315.84019786378263</v>
      </c>
      <c r="K32" s="4">
        <f t="shared" si="6"/>
        <v>-4615.8106174099221</v>
      </c>
      <c r="L32" s="4">
        <f t="shared" si="7"/>
        <v>-4931.6508152737051</v>
      </c>
    </row>
    <row r="33" spans="1:12" ht="15.75" customHeight="1" x14ac:dyDescent="0.2">
      <c r="A33" s="339">
        <f t="shared" si="9"/>
        <v>16</v>
      </c>
      <c r="B33" s="4">
        <f t="shared" si="8"/>
        <v>43457.278859573737</v>
      </c>
      <c r="C33" s="4">
        <f t="shared" si="0"/>
        <v>5048.4684227027747</v>
      </c>
      <c r="D33" s="6">
        <f t="shared" si="1"/>
        <v>391.11550973616357</v>
      </c>
      <c r="E33" s="4">
        <f t="shared" si="2"/>
        <v>4657.3529129666113</v>
      </c>
      <c r="G33" s="339">
        <f t="shared" si="10"/>
        <v>16</v>
      </c>
      <c r="H33" s="6">
        <f t="shared" si="3"/>
        <v>-391.11550973616357</v>
      </c>
      <c r="I33" s="6">
        <f t="shared" si="4"/>
        <v>105.60118762876417</v>
      </c>
      <c r="J33" s="6">
        <f t="shared" si="5"/>
        <v>-285.51432210739938</v>
      </c>
      <c r="K33" s="4">
        <f t="shared" si="6"/>
        <v>-4657.3529129666113</v>
      </c>
      <c r="L33" s="4">
        <f t="shared" si="7"/>
        <v>-4942.8672350740108</v>
      </c>
    </row>
    <row r="34" spans="1:12" ht="15.75" customHeight="1" x14ac:dyDescent="0.2">
      <c r="A34" s="339">
        <f t="shared" si="9"/>
        <v>17</v>
      </c>
      <c r="B34" s="4">
        <f t="shared" si="8"/>
        <v>38799.925946607123</v>
      </c>
      <c r="C34" s="4">
        <f t="shared" si="0"/>
        <v>5048.4684227027747</v>
      </c>
      <c r="D34" s="6">
        <f t="shared" si="1"/>
        <v>349.19933351946406</v>
      </c>
      <c r="E34" s="4">
        <f t="shared" si="2"/>
        <v>4699.2690891833108</v>
      </c>
      <c r="G34" s="339">
        <f t="shared" si="10"/>
        <v>17</v>
      </c>
      <c r="H34" s="6">
        <f t="shared" si="3"/>
        <v>-349.19933351946406</v>
      </c>
      <c r="I34" s="6">
        <f t="shared" si="4"/>
        <v>94.283820050255301</v>
      </c>
      <c r="J34" s="6">
        <f t="shared" si="5"/>
        <v>-254.91551346920875</v>
      </c>
      <c r="K34" s="4">
        <f t="shared" si="6"/>
        <v>-4699.2690891833108</v>
      </c>
      <c r="L34" s="4">
        <f t="shared" si="7"/>
        <v>-4954.18460265252</v>
      </c>
    </row>
    <row r="35" spans="1:12" ht="15.75" customHeight="1" x14ac:dyDescent="0.2">
      <c r="A35" s="339">
        <f t="shared" si="9"/>
        <v>18</v>
      </c>
      <c r="B35" s="4">
        <f t="shared" si="8"/>
        <v>34100.656857423812</v>
      </c>
      <c r="C35" s="4">
        <f t="shared" si="0"/>
        <v>5048.4684227027747</v>
      </c>
      <c r="D35" s="6">
        <f t="shared" si="1"/>
        <v>306.90591171681427</v>
      </c>
      <c r="E35" s="4">
        <f t="shared" si="2"/>
        <v>4741.5625109859602</v>
      </c>
      <c r="G35" s="339">
        <f t="shared" si="10"/>
        <v>18</v>
      </c>
      <c r="H35" s="6">
        <f t="shared" si="3"/>
        <v>-306.90591171681427</v>
      </c>
      <c r="I35" s="6">
        <f t="shared" si="4"/>
        <v>82.864596163539858</v>
      </c>
      <c r="J35" s="6">
        <f t="shared" si="5"/>
        <v>-224.04131555327442</v>
      </c>
      <c r="K35" s="4">
        <f t="shared" si="6"/>
        <v>-4741.5625109859602</v>
      </c>
      <c r="L35" s="4">
        <f t="shared" si="7"/>
        <v>-4965.6038265392344</v>
      </c>
    </row>
    <row r="36" spans="1:12" ht="15.75" customHeight="1" x14ac:dyDescent="0.2">
      <c r="A36" s="339">
        <f t="shared" si="9"/>
        <v>19</v>
      </c>
      <c r="B36" s="4">
        <f t="shared" si="8"/>
        <v>29359.094346437851</v>
      </c>
      <c r="C36" s="4">
        <f t="shared" si="0"/>
        <v>5048.4684227027747</v>
      </c>
      <c r="D36" s="6">
        <f t="shared" si="1"/>
        <v>264.23184911794061</v>
      </c>
      <c r="E36" s="4">
        <f t="shared" si="2"/>
        <v>4784.2365735848343</v>
      </c>
      <c r="G36" s="339">
        <f t="shared" si="10"/>
        <v>19</v>
      </c>
      <c r="H36" s="6">
        <f t="shared" si="3"/>
        <v>-264.23184911794061</v>
      </c>
      <c r="I36" s="6">
        <f t="shared" si="4"/>
        <v>71.342599261843972</v>
      </c>
      <c r="J36" s="6">
        <f t="shared" si="5"/>
        <v>-192.88924985609663</v>
      </c>
      <c r="K36" s="4">
        <f t="shared" si="6"/>
        <v>-4784.2365735848343</v>
      </c>
      <c r="L36" s="4">
        <f t="shared" si="7"/>
        <v>-4977.1258234409306</v>
      </c>
    </row>
    <row r="37" spans="1:12" ht="15.75" customHeight="1" x14ac:dyDescent="0.2">
      <c r="A37" s="339">
        <f t="shared" si="9"/>
        <v>20</v>
      </c>
      <c r="B37" s="4">
        <f t="shared" si="8"/>
        <v>24574.857772853014</v>
      </c>
      <c r="C37" s="4">
        <f t="shared" si="0"/>
        <v>5048.4684227027747</v>
      </c>
      <c r="D37" s="6">
        <f t="shared" si="1"/>
        <v>221.17371995567711</v>
      </c>
      <c r="E37" s="4">
        <f t="shared" si="2"/>
        <v>4827.2947027470973</v>
      </c>
      <c r="G37" s="339">
        <f t="shared" si="10"/>
        <v>20</v>
      </c>
      <c r="H37" s="6">
        <f t="shared" si="3"/>
        <v>-221.17371995567711</v>
      </c>
      <c r="I37" s="6">
        <f t="shared" si="4"/>
        <v>59.716904388032823</v>
      </c>
      <c r="J37" s="6">
        <f t="shared" si="5"/>
        <v>-161.4568155676443</v>
      </c>
      <c r="K37" s="4">
        <f t="shared" si="6"/>
        <v>-4827.2947027470973</v>
      </c>
      <c r="L37" s="4">
        <f t="shared" si="7"/>
        <v>-4988.7515183147416</v>
      </c>
    </row>
    <row r="38" spans="1:12" ht="15.75" customHeight="1" x14ac:dyDescent="0.2">
      <c r="A38" s="339">
        <f t="shared" si="9"/>
        <v>21</v>
      </c>
      <c r="B38" s="4">
        <f t="shared" si="8"/>
        <v>19747.563070105916</v>
      </c>
      <c r="C38" s="4">
        <f t="shared" si="0"/>
        <v>5048.4684227027747</v>
      </c>
      <c r="D38" s="6">
        <f t="shared" si="1"/>
        <v>177.72806763095323</v>
      </c>
      <c r="E38" s="4">
        <f t="shared" si="2"/>
        <v>4870.7403550718218</v>
      </c>
      <c r="G38" s="339">
        <f t="shared" si="10"/>
        <v>21</v>
      </c>
      <c r="H38" s="6">
        <f t="shared" si="3"/>
        <v>-177.72806763095323</v>
      </c>
      <c r="I38" s="6">
        <f t="shared" si="4"/>
        <v>47.986578260357376</v>
      </c>
      <c r="J38" s="6">
        <f t="shared" si="5"/>
        <v>-129.74148937059584</v>
      </c>
      <c r="K38" s="4">
        <f t="shared" si="6"/>
        <v>-4870.7403550718218</v>
      </c>
      <c r="L38" s="4">
        <f t="shared" si="7"/>
        <v>-5000.4818444424172</v>
      </c>
    </row>
    <row r="39" spans="1:12" ht="15.75" customHeight="1" x14ac:dyDescent="0.2">
      <c r="A39" s="339">
        <f t="shared" si="9"/>
        <v>22</v>
      </c>
      <c r="B39" s="4">
        <f t="shared" si="8"/>
        <v>14876.822715034094</v>
      </c>
      <c r="C39" s="4">
        <f t="shared" si="0"/>
        <v>5048.4684227027747</v>
      </c>
      <c r="D39" s="6">
        <f t="shared" si="1"/>
        <v>133.89140443530684</v>
      </c>
      <c r="E39" s="4">
        <f t="shared" si="2"/>
        <v>4914.5770182674678</v>
      </c>
      <c r="G39" s="339">
        <f t="shared" si="10"/>
        <v>22</v>
      </c>
      <c r="H39" s="6">
        <f t="shared" si="3"/>
        <v>-133.89140443530684</v>
      </c>
      <c r="I39" s="6">
        <f t="shared" si="4"/>
        <v>36.150679197532845</v>
      </c>
      <c r="J39" s="6">
        <f t="shared" si="5"/>
        <v>-97.740725237774001</v>
      </c>
      <c r="K39" s="4">
        <f t="shared" si="6"/>
        <v>-4914.5770182674678</v>
      </c>
      <c r="L39" s="4">
        <f t="shared" si="7"/>
        <v>-5012.3177435052421</v>
      </c>
    </row>
    <row r="40" spans="1:12" ht="15.75" customHeight="1" x14ac:dyDescent="0.2">
      <c r="A40" s="339">
        <f t="shared" si="9"/>
        <v>23</v>
      </c>
      <c r="B40" s="4">
        <f t="shared" si="8"/>
        <v>9962.2456967666258</v>
      </c>
      <c r="C40" s="4">
        <f t="shared" si="0"/>
        <v>5048.4684227027747</v>
      </c>
      <c r="D40" s="6">
        <f t="shared" si="1"/>
        <v>89.660211270899623</v>
      </c>
      <c r="E40" s="4">
        <f t="shared" si="2"/>
        <v>4958.808211431875</v>
      </c>
      <c r="G40" s="339">
        <f t="shared" si="10"/>
        <v>23</v>
      </c>
      <c r="H40" s="6">
        <f t="shared" si="3"/>
        <v>-89.660211270899623</v>
      </c>
      <c r="I40" s="6">
        <f t="shared" si="4"/>
        <v>24.2082570431429</v>
      </c>
      <c r="J40" s="6">
        <f t="shared" si="5"/>
        <v>-65.451954227756715</v>
      </c>
      <c r="K40" s="4">
        <f t="shared" si="6"/>
        <v>-4958.808211431875</v>
      </c>
      <c r="L40" s="4">
        <f t="shared" si="7"/>
        <v>-5024.2601656596316</v>
      </c>
    </row>
    <row r="41" spans="1:12" ht="15.75" customHeight="1" x14ac:dyDescent="0.2">
      <c r="A41" s="339">
        <f t="shared" si="9"/>
        <v>24</v>
      </c>
      <c r="B41" s="4">
        <f t="shared" si="8"/>
        <v>5003.4374853347508</v>
      </c>
      <c r="C41" s="4">
        <f t="shared" si="0"/>
        <v>5048.4684227027747</v>
      </c>
      <c r="D41" s="6">
        <f t="shared" si="1"/>
        <v>45.030937368012751</v>
      </c>
      <c r="E41" s="4">
        <f t="shared" si="2"/>
        <v>5003.4374853347617</v>
      </c>
      <c r="G41" s="339">
        <f t="shared" si="10"/>
        <v>24</v>
      </c>
      <c r="H41" s="6">
        <f t="shared" si="3"/>
        <v>-45.030937368012751</v>
      </c>
      <c r="I41" s="6">
        <f t="shared" si="4"/>
        <v>12.158353089363443</v>
      </c>
      <c r="J41" s="6">
        <f t="shared" si="5"/>
        <v>-32.872584278649306</v>
      </c>
      <c r="K41" s="4">
        <f t="shared" si="6"/>
        <v>-5003.4374853347617</v>
      </c>
      <c r="L41" s="4">
        <f t="shared" si="7"/>
        <v>-5036.3100696134106</v>
      </c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</sheetData>
  <mergeCells count="2">
    <mergeCell ref="A16:E16"/>
    <mergeCell ref="G16:L16"/>
  </mergeCells>
  <conditionalFormatting sqref="B18:E41">
    <cfRule type="cellIs" dxfId="9" priority="2" operator="lessThan">
      <formula>0</formula>
    </cfRule>
  </conditionalFormatting>
  <conditionalFormatting sqref="H18:L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002"/>
  <sheetViews>
    <sheetView topLeftCell="A148" workbookViewId="0"/>
  </sheetViews>
  <sheetFormatPr baseColWidth="10" defaultColWidth="12.7109375" defaultRowHeight="15" customHeight="1" x14ac:dyDescent="0.2"/>
  <cols>
    <col min="1" max="1" width="30.7109375" customWidth="1"/>
    <col min="2" max="2" width="40" customWidth="1"/>
    <col min="6" max="6" width="48.85546875" customWidth="1"/>
    <col min="10" max="10" width="52" customWidth="1"/>
  </cols>
  <sheetData>
    <row r="1" spans="1:10" ht="15.75" customHeight="1" x14ac:dyDescent="0.2">
      <c r="A1" s="51" t="s">
        <v>77</v>
      </c>
      <c r="B1" s="51" t="s">
        <v>78</v>
      </c>
      <c r="C1" s="51" t="s">
        <v>79</v>
      </c>
      <c r="D1" s="12"/>
      <c r="E1" s="52"/>
      <c r="F1" s="51" t="s">
        <v>80</v>
      </c>
      <c r="G1" s="52"/>
      <c r="H1" s="52"/>
      <c r="I1" s="52"/>
      <c r="J1" s="52"/>
    </row>
    <row r="2" spans="1:10" ht="15.75" customHeight="1" x14ac:dyDescent="0.2">
      <c r="A2" s="8" t="s">
        <v>81</v>
      </c>
      <c r="B2" s="53"/>
      <c r="C2" s="54"/>
      <c r="D2" s="12"/>
      <c r="E2" s="51" t="s">
        <v>82</v>
      </c>
      <c r="F2" s="51" t="s">
        <v>83</v>
      </c>
      <c r="G2" s="51" t="s">
        <v>84</v>
      </c>
      <c r="H2" s="51" t="s">
        <v>79</v>
      </c>
      <c r="I2" s="51" t="s">
        <v>85</v>
      </c>
      <c r="J2" s="51" t="s">
        <v>86</v>
      </c>
    </row>
    <row r="3" spans="1:10" ht="15.75" customHeight="1" x14ac:dyDescent="0.2">
      <c r="A3" s="8" t="s">
        <v>87</v>
      </c>
      <c r="B3" s="53"/>
      <c r="C3" s="54"/>
      <c r="D3" s="12"/>
      <c r="E3" s="55" t="s">
        <v>88</v>
      </c>
      <c r="F3" s="56" t="s">
        <v>89</v>
      </c>
      <c r="G3" s="57">
        <v>5</v>
      </c>
      <c r="H3" s="54">
        <v>2</v>
      </c>
      <c r="I3" s="57">
        <f t="shared" ref="I3:I15" si="0">G3*H3</f>
        <v>10</v>
      </c>
      <c r="J3" s="58" t="s">
        <v>90</v>
      </c>
    </row>
    <row r="4" spans="1:10" ht="15.75" customHeight="1" x14ac:dyDescent="0.2">
      <c r="A4" s="59"/>
      <c r="B4" s="53" t="s">
        <v>91</v>
      </c>
      <c r="C4" s="54">
        <v>10</v>
      </c>
      <c r="D4" s="12"/>
      <c r="E4" s="55" t="s">
        <v>92</v>
      </c>
      <c r="F4" s="56" t="s">
        <v>93</v>
      </c>
      <c r="G4" s="57">
        <v>5</v>
      </c>
      <c r="H4" s="54">
        <v>1</v>
      </c>
      <c r="I4" s="57">
        <f t="shared" si="0"/>
        <v>5</v>
      </c>
      <c r="J4" s="58" t="s">
        <v>94</v>
      </c>
    </row>
    <row r="5" spans="1:10" ht="15.75" customHeight="1" x14ac:dyDescent="0.2">
      <c r="A5" s="55"/>
      <c r="B5" s="53" t="s">
        <v>95</v>
      </c>
      <c r="C5" s="54">
        <v>5</v>
      </c>
      <c r="D5" s="12"/>
      <c r="E5" s="55" t="s">
        <v>96</v>
      </c>
      <c r="F5" s="60" t="s">
        <v>97</v>
      </c>
      <c r="G5" s="57">
        <v>2</v>
      </c>
      <c r="H5" s="54">
        <v>1</v>
      </c>
      <c r="I5" s="57">
        <f t="shared" si="0"/>
        <v>2</v>
      </c>
      <c r="J5" s="58" t="s">
        <v>98</v>
      </c>
    </row>
    <row r="6" spans="1:10" ht="15.75" customHeight="1" x14ac:dyDescent="0.2">
      <c r="A6" s="55"/>
      <c r="B6" s="53" t="s">
        <v>99</v>
      </c>
      <c r="C6" s="54">
        <v>10</v>
      </c>
      <c r="D6" s="12"/>
      <c r="E6" s="55" t="s">
        <v>100</v>
      </c>
      <c r="F6" s="60" t="s">
        <v>101</v>
      </c>
      <c r="G6" s="57">
        <v>5</v>
      </c>
      <c r="H6" s="54">
        <v>1</v>
      </c>
      <c r="I6" s="57">
        <f t="shared" si="0"/>
        <v>5</v>
      </c>
      <c r="J6" s="58" t="s">
        <v>102</v>
      </c>
    </row>
    <row r="7" spans="1:10" ht="15.75" customHeight="1" x14ac:dyDescent="0.2">
      <c r="A7" s="55"/>
      <c r="B7" s="53" t="s">
        <v>103</v>
      </c>
      <c r="C7" s="54">
        <v>5</v>
      </c>
      <c r="D7" s="12"/>
      <c r="E7" s="55" t="s">
        <v>104</v>
      </c>
      <c r="F7" s="60" t="s">
        <v>105</v>
      </c>
      <c r="G7" s="57">
        <v>5</v>
      </c>
      <c r="H7" s="54">
        <v>1</v>
      </c>
      <c r="I7" s="57">
        <f t="shared" si="0"/>
        <v>5</v>
      </c>
      <c r="J7" s="58" t="s">
        <v>106</v>
      </c>
    </row>
    <row r="8" spans="1:10" ht="15.75" customHeight="1" x14ac:dyDescent="0.2">
      <c r="A8" s="55"/>
      <c r="B8" s="53" t="s">
        <v>107</v>
      </c>
      <c r="C8" s="54">
        <v>10</v>
      </c>
      <c r="D8" s="12"/>
      <c r="E8" s="55" t="s">
        <v>108</v>
      </c>
      <c r="F8" s="60" t="s">
        <v>109</v>
      </c>
      <c r="G8" s="57">
        <v>2</v>
      </c>
      <c r="H8" s="54">
        <v>0.5</v>
      </c>
      <c r="I8" s="57">
        <f t="shared" si="0"/>
        <v>1</v>
      </c>
      <c r="J8" s="58" t="s">
        <v>110</v>
      </c>
    </row>
    <row r="9" spans="1:10" ht="15.75" customHeight="1" x14ac:dyDescent="0.2">
      <c r="A9" s="55"/>
      <c r="B9" s="53" t="s">
        <v>111</v>
      </c>
      <c r="C9" s="54">
        <v>5</v>
      </c>
      <c r="D9" s="12"/>
      <c r="E9" s="55" t="s">
        <v>112</v>
      </c>
      <c r="F9" s="60" t="s">
        <v>113</v>
      </c>
      <c r="G9" s="57">
        <v>4</v>
      </c>
      <c r="H9" s="54">
        <v>0.5</v>
      </c>
      <c r="I9" s="57">
        <f t="shared" si="0"/>
        <v>2</v>
      </c>
      <c r="J9" s="58" t="s">
        <v>114</v>
      </c>
    </row>
    <row r="10" spans="1:10" ht="15.75" customHeight="1" x14ac:dyDescent="0.2">
      <c r="A10" s="55"/>
      <c r="B10" s="53" t="s">
        <v>115</v>
      </c>
      <c r="C10" s="54">
        <v>10</v>
      </c>
      <c r="D10" s="12"/>
      <c r="E10" s="55" t="s">
        <v>116</v>
      </c>
      <c r="F10" s="60" t="s">
        <v>117</v>
      </c>
      <c r="G10" s="57">
        <v>4</v>
      </c>
      <c r="H10" s="54">
        <v>2</v>
      </c>
      <c r="I10" s="57">
        <f t="shared" si="0"/>
        <v>8</v>
      </c>
      <c r="J10" s="58" t="s">
        <v>118</v>
      </c>
    </row>
    <row r="11" spans="1:10" ht="15.75" customHeight="1" x14ac:dyDescent="0.2">
      <c r="A11" s="55"/>
      <c r="B11" s="53" t="s">
        <v>119</v>
      </c>
      <c r="C11" s="54">
        <v>15</v>
      </c>
      <c r="D11" s="12"/>
      <c r="E11" s="55" t="s">
        <v>120</v>
      </c>
      <c r="F11" s="60" t="s">
        <v>121</v>
      </c>
      <c r="G11" s="57">
        <v>1</v>
      </c>
      <c r="H11" s="54">
        <v>1</v>
      </c>
      <c r="I11" s="57">
        <f t="shared" si="0"/>
        <v>1</v>
      </c>
      <c r="J11" s="58" t="s">
        <v>122</v>
      </c>
    </row>
    <row r="12" spans="1:10" ht="15.75" customHeight="1" x14ac:dyDescent="0.2">
      <c r="A12" s="55"/>
      <c r="B12" s="53" t="s">
        <v>123</v>
      </c>
      <c r="C12" s="54">
        <v>10</v>
      </c>
      <c r="D12" s="12"/>
      <c r="E12" s="55" t="s">
        <v>124</v>
      </c>
      <c r="F12" s="60" t="s">
        <v>125</v>
      </c>
      <c r="G12" s="57">
        <v>5</v>
      </c>
      <c r="H12" s="54">
        <v>1</v>
      </c>
      <c r="I12" s="57">
        <f t="shared" si="0"/>
        <v>5</v>
      </c>
      <c r="J12" s="58" t="s">
        <v>126</v>
      </c>
    </row>
    <row r="13" spans="1:10" ht="15.75" customHeight="1" x14ac:dyDescent="0.2">
      <c r="A13" s="55"/>
      <c r="B13" s="53" t="s">
        <v>127</v>
      </c>
      <c r="C13" s="54">
        <v>10</v>
      </c>
      <c r="D13" s="12"/>
      <c r="E13" s="55" t="s">
        <v>128</v>
      </c>
      <c r="F13" s="60" t="s">
        <v>129</v>
      </c>
      <c r="G13" s="57">
        <v>5</v>
      </c>
      <c r="H13" s="54">
        <v>1</v>
      </c>
      <c r="I13" s="57">
        <f t="shared" si="0"/>
        <v>5</v>
      </c>
      <c r="J13" s="58" t="s">
        <v>130</v>
      </c>
    </row>
    <row r="14" spans="1:10" ht="15.75" customHeight="1" x14ac:dyDescent="0.2">
      <c r="A14" s="55"/>
      <c r="B14" s="53" t="s">
        <v>131</v>
      </c>
      <c r="C14" s="54">
        <v>10</v>
      </c>
      <c r="D14" s="12"/>
      <c r="E14" s="55" t="s">
        <v>132</v>
      </c>
      <c r="F14" s="60" t="s">
        <v>133</v>
      </c>
      <c r="G14" s="57">
        <v>1</v>
      </c>
      <c r="H14" s="54">
        <v>1</v>
      </c>
      <c r="I14" s="57">
        <f t="shared" si="0"/>
        <v>1</v>
      </c>
      <c r="J14" s="58" t="s">
        <v>110</v>
      </c>
    </row>
    <row r="15" spans="1:10" ht="15.75" customHeight="1" x14ac:dyDescent="0.2">
      <c r="A15" s="55"/>
      <c r="B15" s="53" t="s">
        <v>134</v>
      </c>
      <c r="C15" s="54">
        <v>10</v>
      </c>
      <c r="D15" s="12"/>
      <c r="E15" s="55" t="s">
        <v>135</v>
      </c>
      <c r="F15" s="60" t="s">
        <v>136</v>
      </c>
      <c r="G15" s="57">
        <v>1</v>
      </c>
      <c r="H15" s="54">
        <v>1</v>
      </c>
      <c r="I15" s="57">
        <f t="shared" si="0"/>
        <v>1</v>
      </c>
      <c r="J15" s="58" t="s">
        <v>137</v>
      </c>
    </row>
    <row r="16" spans="1:10" ht="15.75" customHeight="1" x14ac:dyDescent="0.2">
      <c r="A16" s="55"/>
      <c r="B16" s="53" t="s">
        <v>138</v>
      </c>
      <c r="C16" s="54">
        <v>5</v>
      </c>
      <c r="D16" s="12"/>
      <c r="E16" s="61"/>
      <c r="F16" s="62" t="s">
        <v>139</v>
      </c>
      <c r="G16" s="61"/>
      <c r="H16" s="61"/>
      <c r="I16" s="63">
        <f>SUM(I2:I15)</f>
        <v>51</v>
      </c>
      <c r="J16" s="52"/>
    </row>
    <row r="17" spans="1:13" ht="15.75" customHeight="1" x14ac:dyDescent="0.2">
      <c r="A17" s="64" t="s">
        <v>140</v>
      </c>
      <c r="B17" s="53"/>
      <c r="C17" s="54"/>
      <c r="D17" s="12"/>
      <c r="E17" s="12"/>
      <c r="F17" s="12"/>
      <c r="G17" s="12"/>
      <c r="H17" s="12"/>
      <c r="I17" s="12"/>
      <c r="J17" s="12"/>
    </row>
    <row r="18" spans="1:13" ht="15.75" customHeight="1" x14ac:dyDescent="0.2">
      <c r="A18" s="55"/>
      <c r="B18" s="53" t="s">
        <v>141</v>
      </c>
      <c r="C18" s="54">
        <v>15</v>
      </c>
      <c r="D18" s="12"/>
    </row>
    <row r="19" spans="1:13" ht="15.75" customHeight="1" x14ac:dyDescent="0.2">
      <c r="A19" s="55"/>
      <c r="B19" s="53" t="s">
        <v>142</v>
      </c>
      <c r="C19" s="54">
        <v>15</v>
      </c>
      <c r="D19" s="12"/>
      <c r="E19" s="12"/>
      <c r="F19" s="65" t="s">
        <v>143</v>
      </c>
      <c r="G19" s="65">
        <f>0.6+0.01*I16</f>
        <v>1.1099999999999999</v>
      </c>
      <c r="H19" s="12"/>
      <c r="I19" s="12"/>
      <c r="J19" s="12"/>
    </row>
    <row r="20" spans="1:13" ht="15.75" customHeight="1" x14ac:dyDescent="0.2">
      <c r="A20" s="55"/>
      <c r="B20" s="53" t="s">
        <v>144</v>
      </c>
      <c r="C20" s="54">
        <v>10</v>
      </c>
      <c r="D20" s="12"/>
      <c r="E20" s="12"/>
      <c r="F20" s="12"/>
      <c r="G20" s="12"/>
      <c r="H20" s="12"/>
      <c r="I20" s="12"/>
      <c r="J20" s="12"/>
    </row>
    <row r="21" spans="1:13" ht="15.75" customHeight="1" x14ac:dyDescent="0.2">
      <c r="A21" s="55"/>
      <c r="B21" s="53" t="s">
        <v>145</v>
      </c>
      <c r="C21" s="54">
        <v>10</v>
      </c>
      <c r="D21" s="12"/>
    </row>
    <row r="22" spans="1:13" ht="15.75" customHeight="1" x14ac:dyDescent="0.2">
      <c r="A22" s="55"/>
      <c r="B22" s="53" t="s">
        <v>146</v>
      </c>
      <c r="C22" s="54">
        <v>15</v>
      </c>
      <c r="D22" s="12"/>
      <c r="E22" s="52"/>
      <c r="F22" s="51" t="s">
        <v>147</v>
      </c>
      <c r="G22" s="52"/>
      <c r="H22" s="52"/>
      <c r="I22" s="52"/>
      <c r="J22" s="52"/>
    </row>
    <row r="23" spans="1:13" ht="15.75" customHeight="1" x14ac:dyDescent="0.2">
      <c r="A23" s="55"/>
      <c r="B23" s="53" t="s">
        <v>148</v>
      </c>
      <c r="C23" s="54">
        <v>10</v>
      </c>
      <c r="D23" s="12"/>
      <c r="E23" s="2" t="s">
        <v>82</v>
      </c>
      <c r="F23" s="2" t="s">
        <v>83</v>
      </c>
      <c r="G23" s="2" t="s">
        <v>84</v>
      </c>
      <c r="H23" s="2" t="s">
        <v>79</v>
      </c>
      <c r="I23" s="2" t="s">
        <v>85</v>
      </c>
      <c r="J23" s="2" t="s">
        <v>86</v>
      </c>
    </row>
    <row r="24" spans="1:13" ht="15.75" customHeight="1" x14ac:dyDescent="0.2">
      <c r="A24" s="55"/>
      <c r="B24" s="53" t="s">
        <v>149</v>
      </c>
      <c r="C24" s="54">
        <v>10</v>
      </c>
      <c r="D24" s="12"/>
      <c r="E24" s="55" t="s">
        <v>150</v>
      </c>
      <c r="F24" s="56" t="s">
        <v>151</v>
      </c>
      <c r="G24" s="57">
        <v>2</v>
      </c>
      <c r="H24" s="54">
        <v>1.5</v>
      </c>
      <c r="I24" s="57">
        <f t="shared" ref="I24:I31" si="1">G24*H24</f>
        <v>3</v>
      </c>
      <c r="J24" s="66" t="s">
        <v>152</v>
      </c>
      <c r="L24" s="39" t="s">
        <v>153</v>
      </c>
      <c r="M24" s="39">
        <f>COUNTIF(I24:I29,"&lt;3")</f>
        <v>2</v>
      </c>
    </row>
    <row r="25" spans="1:13" ht="15.75" customHeight="1" x14ac:dyDescent="0.2">
      <c r="A25" s="55"/>
      <c r="B25" s="53" t="s">
        <v>154</v>
      </c>
      <c r="C25" s="54">
        <v>10</v>
      </c>
      <c r="D25" s="12"/>
      <c r="E25" s="55" t="s">
        <v>155</v>
      </c>
      <c r="F25" s="56" t="s">
        <v>156</v>
      </c>
      <c r="G25" s="57">
        <v>2</v>
      </c>
      <c r="H25" s="54">
        <v>0.5</v>
      </c>
      <c r="I25" s="57">
        <f t="shared" si="1"/>
        <v>1</v>
      </c>
      <c r="J25" s="66" t="s">
        <v>157</v>
      </c>
      <c r="L25" s="39" t="s">
        <v>158</v>
      </c>
      <c r="M25" s="39">
        <f>COUNTIF(I30:I31,"&gt;3")</f>
        <v>0</v>
      </c>
    </row>
    <row r="26" spans="1:13" ht="15.75" customHeight="1" x14ac:dyDescent="0.2">
      <c r="A26" s="55"/>
      <c r="B26" s="53" t="s">
        <v>159</v>
      </c>
      <c r="C26" s="54">
        <v>5</v>
      </c>
      <c r="D26" s="12"/>
      <c r="E26" s="55" t="s">
        <v>160</v>
      </c>
      <c r="F26" s="56" t="s">
        <v>161</v>
      </c>
      <c r="G26" s="57">
        <v>5</v>
      </c>
      <c r="H26" s="54">
        <v>1</v>
      </c>
      <c r="I26" s="57">
        <f t="shared" si="1"/>
        <v>5</v>
      </c>
      <c r="J26" s="66" t="s">
        <v>162</v>
      </c>
      <c r="L26" s="39" t="s">
        <v>139</v>
      </c>
      <c r="M26" s="39">
        <f>SUM(M24:M25)</f>
        <v>2</v>
      </c>
    </row>
    <row r="27" spans="1:13" ht="15.75" customHeight="1" x14ac:dyDescent="0.2">
      <c r="A27" s="55"/>
      <c r="B27" s="53" t="s">
        <v>163</v>
      </c>
      <c r="C27" s="54">
        <v>5</v>
      </c>
      <c r="D27" s="12"/>
      <c r="E27" s="55" t="s">
        <v>164</v>
      </c>
      <c r="F27" s="53" t="s">
        <v>165</v>
      </c>
      <c r="G27" s="57">
        <v>5</v>
      </c>
      <c r="H27" s="54">
        <v>0.5</v>
      </c>
      <c r="I27" s="57">
        <f t="shared" si="1"/>
        <v>2.5</v>
      </c>
      <c r="J27" s="66" t="s">
        <v>166</v>
      </c>
    </row>
    <row r="28" spans="1:13" ht="15.75" customHeight="1" x14ac:dyDescent="0.2">
      <c r="A28" s="55"/>
      <c r="B28" s="53" t="s">
        <v>167</v>
      </c>
      <c r="C28" s="54">
        <v>10</v>
      </c>
      <c r="D28" s="12"/>
      <c r="E28" s="55" t="s">
        <v>168</v>
      </c>
      <c r="F28" s="53" t="s">
        <v>169</v>
      </c>
      <c r="G28" s="57">
        <v>5</v>
      </c>
      <c r="H28" s="54">
        <v>1</v>
      </c>
      <c r="I28" s="57">
        <f t="shared" si="1"/>
        <v>5</v>
      </c>
      <c r="J28" s="66" t="s">
        <v>170</v>
      </c>
    </row>
    <row r="29" spans="1:13" ht="15.75" customHeight="1" x14ac:dyDescent="0.2">
      <c r="A29" s="55"/>
      <c r="B29" s="53" t="s">
        <v>171</v>
      </c>
      <c r="C29" s="54">
        <v>10</v>
      </c>
      <c r="D29" s="12"/>
      <c r="E29" s="55" t="s">
        <v>172</v>
      </c>
      <c r="F29" s="56" t="s">
        <v>173</v>
      </c>
      <c r="G29" s="57">
        <v>4</v>
      </c>
      <c r="H29" s="54">
        <v>2</v>
      </c>
      <c r="I29" s="57">
        <f t="shared" si="1"/>
        <v>8</v>
      </c>
      <c r="J29" s="66" t="s">
        <v>174</v>
      </c>
    </row>
    <row r="30" spans="1:13" ht="15.75" customHeight="1" x14ac:dyDescent="0.2">
      <c r="A30" s="55"/>
      <c r="B30" s="53" t="s">
        <v>175</v>
      </c>
      <c r="C30" s="54">
        <v>10</v>
      </c>
      <c r="D30" s="12"/>
      <c r="E30" s="55" t="s">
        <v>176</v>
      </c>
      <c r="F30" s="56" t="s">
        <v>177</v>
      </c>
      <c r="G30" s="57">
        <v>0</v>
      </c>
      <c r="H30" s="54">
        <v>-1</v>
      </c>
      <c r="I30" s="57">
        <f t="shared" si="1"/>
        <v>0</v>
      </c>
      <c r="J30" s="66" t="s">
        <v>178</v>
      </c>
    </row>
    <row r="31" spans="1:13" ht="15.75" customHeight="1" x14ac:dyDescent="0.2">
      <c r="A31" s="55"/>
      <c r="B31" s="53" t="s">
        <v>179</v>
      </c>
      <c r="C31" s="54">
        <v>15</v>
      </c>
      <c r="D31" s="12"/>
      <c r="E31" s="55" t="s">
        <v>180</v>
      </c>
      <c r="F31" s="56" t="s">
        <v>181</v>
      </c>
      <c r="G31" s="57">
        <v>1</v>
      </c>
      <c r="H31" s="54">
        <v>-1</v>
      </c>
      <c r="I31" s="57">
        <f t="shared" si="1"/>
        <v>-1</v>
      </c>
      <c r="J31" s="67" t="s">
        <v>182</v>
      </c>
    </row>
    <row r="32" spans="1:13" ht="15.75" customHeight="1" x14ac:dyDescent="0.2">
      <c r="A32" s="55"/>
      <c r="B32" s="53" t="s">
        <v>183</v>
      </c>
      <c r="C32" s="54">
        <v>15</v>
      </c>
      <c r="D32" s="12"/>
      <c r="E32" s="68"/>
      <c r="F32" s="68" t="s">
        <v>139</v>
      </c>
      <c r="G32" s="68"/>
      <c r="H32" s="68"/>
      <c r="I32" s="69">
        <f>SUM(I24:I31)</f>
        <v>23.5</v>
      </c>
      <c r="J32" s="70"/>
    </row>
    <row r="33" spans="1:9" ht="15.75" customHeight="1" x14ac:dyDescent="0.2">
      <c r="A33" s="55"/>
      <c r="B33" s="53" t="s">
        <v>184</v>
      </c>
      <c r="C33" s="54">
        <v>10</v>
      </c>
      <c r="D33" s="12"/>
    </row>
    <row r="34" spans="1:9" ht="15.75" customHeight="1" x14ac:dyDescent="0.2">
      <c r="A34" s="55"/>
      <c r="B34" s="53" t="s">
        <v>185</v>
      </c>
      <c r="C34" s="54">
        <v>15</v>
      </c>
      <c r="D34" s="12"/>
      <c r="F34" s="71" t="s">
        <v>186</v>
      </c>
      <c r="G34" s="72">
        <f>1.4-(0.03*I32)</f>
        <v>0.69499999999999995</v>
      </c>
      <c r="H34" s="52"/>
      <c r="I34" s="52"/>
    </row>
    <row r="35" spans="1:9" ht="15.75" customHeight="1" x14ac:dyDescent="0.2">
      <c r="A35" s="55" t="s">
        <v>187</v>
      </c>
      <c r="B35" s="53"/>
      <c r="C35" s="54"/>
      <c r="D35" s="12"/>
      <c r="F35" s="71" t="s">
        <v>188</v>
      </c>
      <c r="G35" s="72">
        <f>CHOOSE(M26,20,20,28,28,"NO HACER")</f>
        <v>20</v>
      </c>
      <c r="H35" s="52"/>
      <c r="I35" s="52"/>
    </row>
    <row r="36" spans="1:9" ht="15.75" customHeight="1" x14ac:dyDescent="0.2">
      <c r="A36" s="55" t="s">
        <v>87</v>
      </c>
      <c r="B36" s="53"/>
      <c r="C36" s="54"/>
      <c r="D36" s="12"/>
      <c r="F36" s="52"/>
      <c r="G36" s="52"/>
      <c r="H36" s="52"/>
      <c r="I36" s="52"/>
    </row>
    <row r="37" spans="1:9" ht="15.75" customHeight="1" x14ac:dyDescent="0.2">
      <c r="A37" s="55"/>
      <c r="B37" s="53" t="s">
        <v>189</v>
      </c>
      <c r="C37" s="54">
        <v>10</v>
      </c>
      <c r="D37" s="12"/>
      <c r="F37" s="71" t="s">
        <v>190</v>
      </c>
      <c r="G37" s="72">
        <f>G34*G19*C188</f>
        <v>341.75234999999992</v>
      </c>
      <c r="H37" s="52"/>
      <c r="I37" s="52"/>
    </row>
    <row r="38" spans="1:9" ht="15.75" customHeight="1" x14ac:dyDescent="0.2">
      <c r="A38" s="55"/>
      <c r="B38" s="53" t="s">
        <v>191</v>
      </c>
      <c r="C38" s="54">
        <v>10</v>
      </c>
      <c r="D38" s="12"/>
      <c r="F38" s="71" t="s">
        <v>192</v>
      </c>
      <c r="G38" s="72">
        <f>G37*G35</f>
        <v>6835.0469999999987</v>
      </c>
      <c r="H38" s="52"/>
      <c r="I38" s="52"/>
    </row>
    <row r="39" spans="1:9" ht="15.75" customHeight="1" x14ac:dyDescent="0.2">
      <c r="A39" s="55"/>
      <c r="B39" s="53" t="s">
        <v>193</v>
      </c>
      <c r="C39" s="54">
        <v>15</v>
      </c>
      <c r="D39" s="12"/>
      <c r="F39" s="73" t="s">
        <v>194</v>
      </c>
      <c r="G39" s="74">
        <f>G38/0.4</f>
        <v>17087.617499999997</v>
      </c>
      <c r="H39" s="52"/>
      <c r="I39" s="52"/>
    </row>
    <row r="40" spans="1:9" ht="15.75" customHeight="1" x14ac:dyDescent="0.2">
      <c r="A40" s="55"/>
      <c r="B40" s="75" t="s">
        <v>195</v>
      </c>
      <c r="C40" s="54">
        <v>15</v>
      </c>
      <c r="D40" s="12"/>
      <c r="F40" s="52"/>
      <c r="G40" s="52"/>
      <c r="H40" s="52"/>
      <c r="I40" s="52"/>
    </row>
    <row r="41" spans="1:9" ht="20.25" customHeight="1" x14ac:dyDescent="0.2">
      <c r="A41" s="55"/>
      <c r="B41" s="75" t="s">
        <v>196</v>
      </c>
      <c r="C41" s="54">
        <v>10</v>
      </c>
      <c r="D41" s="12"/>
      <c r="F41" s="52"/>
      <c r="G41" s="2" t="s">
        <v>197</v>
      </c>
      <c r="H41" s="2" t="s">
        <v>198</v>
      </c>
      <c r="I41" s="52"/>
    </row>
    <row r="42" spans="1:9" ht="20.25" customHeight="1" x14ac:dyDescent="0.2">
      <c r="A42" s="55"/>
      <c r="B42" s="75" t="s">
        <v>199</v>
      </c>
      <c r="C42" s="54">
        <v>10</v>
      </c>
      <c r="D42" s="12"/>
      <c r="F42" s="76" t="s">
        <v>200</v>
      </c>
      <c r="G42" s="77">
        <v>0.2</v>
      </c>
      <c r="H42" s="78">
        <f t="shared" ref="H42:H46" si="2">G42*$G$39</f>
        <v>3417.5234999999993</v>
      </c>
      <c r="I42" s="52"/>
    </row>
    <row r="43" spans="1:9" ht="20.25" customHeight="1" x14ac:dyDescent="0.2">
      <c r="A43" s="55"/>
      <c r="B43" s="75" t="s">
        <v>201</v>
      </c>
      <c r="C43" s="54">
        <v>5</v>
      </c>
      <c r="D43" s="12"/>
      <c r="F43" s="76" t="s">
        <v>202</v>
      </c>
      <c r="G43" s="77">
        <v>0.2</v>
      </c>
      <c r="H43" s="78">
        <f t="shared" si="2"/>
        <v>3417.5234999999993</v>
      </c>
      <c r="I43" s="52"/>
    </row>
    <row r="44" spans="1:9" ht="15.75" customHeight="1" x14ac:dyDescent="0.2">
      <c r="A44" s="55"/>
      <c r="B44" s="75" t="s">
        <v>203</v>
      </c>
      <c r="C44" s="54">
        <v>10</v>
      </c>
      <c r="D44" s="12"/>
      <c r="F44" s="76" t="s">
        <v>204</v>
      </c>
      <c r="G44" s="77">
        <v>0.4</v>
      </c>
      <c r="H44" s="78">
        <f t="shared" si="2"/>
        <v>6835.0469999999987</v>
      </c>
      <c r="I44" s="52"/>
    </row>
    <row r="45" spans="1:9" ht="15.75" customHeight="1" x14ac:dyDescent="0.2">
      <c r="A45" s="55"/>
      <c r="B45" s="75" t="s">
        <v>205</v>
      </c>
      <c r="C45" s="54">
        <v>10</v>
      </c>
      <c r="D45" s="12"/>
      <c r="F45" s="76" t="s">
        <v>206</v>
      </c>
      <c r="G45" s="77">
        <v>0.15</v>
      </c>
      <c r="H45" s="78">
        <f t="shared" si="2"/>
        <v>2563.1426249999995</v>
      </c>
      <c r="I45" s="52"/>
    </row>
    <row r="46" spans="1:9" ht="15.75" customHeight="1" x14ac:dyDescent="0.2">
      <c r="A46" s="55"/>
      <c r="B46" s="75" t="s">
        <v>207</v>
      </c>
      <c r="C46" s="54">
        <v>10</v>
      </c>
      <c r="D46" s="12"/>
      <c r="F46" s="76" t="s">
        <v>208</v>
      </c>
      <c r="G46" s="77">
        <v>0.15</v>
      </c>
      <c r="H46" s="78">
        <f t="shared" si="2"/>
        <v>2563.1426249999995</v>
      </c>
      <c r="I46" s="52"/>
    </row>
    <row r="47" spans="1:9" ht="15.75" customHeight="1" x14ac:dyDescent="0.2">
      <c r="A47" s="55"/>
      <c r="B47" s="53" t="s">
        <v>209</v>
      </c>
      <c r="C47" s="54">
        <v>10</v>
      </c>
      <c r="D47" s="12"/>
      <c r="F47" s="52"/>
      <c r="G47" s="79" t="s">
        <v>210</v>
      </c>
      <c r="H47" s="79">
        <f>SUM(H42:H46)</f>
        <v>18796.379249999998</v>
      </c>
      <c r="I47" s="52" t="s">
        <v>28</v>
      </c>
    </row>
    <row r="48" spans="1:9" ht="15.75" customHeight="1" x14ac:dyDescent="0.2">
      <c r="A48" s="55"/>
      <c r="B48" s="53" t="s">
        <v>211</v>
      </c>
      <c r="C48" s="54">
        <v>10</v>
      </c>
      <c r="D48" s="12"/>
    </row>
    <row r="49" spans="1:17" ht="15.75" customHeight="1" x14ac:dyDescent="0.2">
      <c r="A49" s="55"/>
      <c r="B49" s="53" t="s">
        <v>212</v>
      </c>
      <c r="C49" s="54">
        <v>10</v>
      </c>
    </row>
    <row r="50" spans="1:17" ht="15.75" customHeight="1" x14ac:dyDescent="0.2">
      <c r="A50" s="55"/>
      <c r="B50" s="53" t="s">
        <v>213</v>
      </c>
      <c r="C50" s="54">
        <v>10</v>
      </c>
      <c r="P50" s="39" t="s">
        <v>153</v>
      </c>
      <c r="Q50" s="39">
        <f>COUNTIF(G24:G29,"&lt;3")</f>
        <v>2</v>
      </c>
    </row>
    <row r="51" spans="1:17" ht="15.75" customHeight="1" x14ac:dyDescent="0.2">
      <c r="A51" s="55" t="s">
        <v>140</v>
      </c>
      <c r="B51" s="53"/>
      <c r="C51" s="54"/>
      <c r="P51" s="39" t="s">
        <v>158</v>
      </c>
      <c r="Q51" s="39">
        <f>COUNTIF(H30:H31,"&gt;3")</f>
        <v>0</v>
      </c>
    </row>
    <row r="52" spans="1:17" ht="15.75" customHeight="1" x14ac:dyDescent="0.2">
      <c r="A52" s="55"/>
      <c r="B52" s="53" t="s">
        <v>214</v>
      </c>
      <c r="C52" s="54">
        <v>15</v>
      </c>
      <c r="P52" s="39" t="s">
        <v>215</v>
      </c>
      <c r="Q52" s="39">
        <f>SUM(Q50:Q51)</f>
        <v>2</v>
      </c>
    </row>
    <row r="53" spans="1:17" ht="15.75" customHeight="1" x14ac:dyDescent="0.2">
      <c r="A53" s="55"/>
      <c r="B53" s="53" t="s">
        <v>216</v>
      </c>
      <c r="C53" s="54">
        <v>10</v>
      </c>
    </row>
    <row r="54" spans="1:17" ht="15.75" customHeight="1" x14ac:dyDescent="0.2">
      <c r="A54" s="55"/>
      <c r="B54" s="53" t="s">
        <v>217</v>
      </c>
      <c r="C54" s="54">
        <v>10</v>
      </c>
    </row>
    <row r="55" spans="1:17" ht="15.75" customHeight="1" x14ac:dyDescent="0.2">
      <c r="A55" s="55"/>
      <c r="B55" s="53" t="s">
        <v>218</v>
      </c>
      <c r="C55" s="54">
        <v>10</v>
      </c>
    </row>
    <row r="56" spans="1:17" ht="15.75" customHeight="1" x14ac:dyDescent="0.2">
      <c r="A56" s="55"/>
      <c r="B56" s="53" t="s">
        <v>219</v>
      </c>
      <c r="C56" s="54">
        <v>10</v>
      </c>
    </row>
    <row r="57" spans="1:17" ht="15.75" customHeight="1" x14ac:dyDescent="0.2">
      <c r="A57" s="55"/>
      <c r="B57" s="53" t="s">
        <v>220</v>
      </c>
      <c r="C57" s="54">
        <v>10</v>
      </c>
    </row>
    <row r="58" spans="1:17" ht="15.75" customHeight="1" x14ac:dyDescent="0.2">
      <c r="A58" s="55"/>
      <c r="B58" s="53" t="s">
        <v>221</v>
      </c>
      <c r="C58" s="54">
        <v>10</v>
      </c>
    </row>
    <row r="59" spans="1:17" ht="15.75" customHeight="1" x14ac:dyDescent="0.2">
      <c r="A59" s="55"/>
      <c r="B59" s="53" t="s">
        <v>222</v>
      </c>
      <c r="C59" s="54">
        <v>10</v>
      </c>
    </row>
    <row r="60" spans="1:17" ht="15.75" customHeight="1" x14ac:dyDescent="0.2">
      <c r="A60" s="55"/>
      <c r="B60" s="53" t="s">
        <v>223</v>
      </c>
      <c r="C60" s="54">
        <v>10</v>
      </c>
    </row>
    <row r="61" spans="1:17" ht="15.75" customHeight="1" x14ac:dyDescent="0.2">
      <c r="A61" s="55"/>
      <c r="B61" s="53" t="s">
        <v>224</v>
      </c>
      <c r="C61" s="54">
        <v>15</v>
      </c>
    </row>
    <row r="62" spans="1:17" ht="15.75" customHeight="1" x14ac:dyDescent="0.2">
      <c r="A62" s="55"/>
      <c r="B62" s="53" t="s">
        <v>225</v>
      </c>
      <c r="C62" s="54">
        <v>10</v>
      </c>
    </row>
    <row r="63" spans="1:17" ht="15.75" customHeight="1" x14ac:dyDescent="0.2">
      <c r="A63" s="55"/>
      <c r="B63" s="53" t="s">
        <v>148</v>
      </c>
      <c r="C63" s="54">
        <v>10</v>
      </c>
    </row>
    <row r="64" spans="1:17" ht="15.75" customHeight="1" x14ac:dyDescent="0.2">
      <c r="A64" s="55"/>
      <c r="B64" s="53" t="s">
        <v>183</v>
      </c>
      <c r="C64" s="54">
        <v>15</v>
      </c>
    </row>
    <row r="65" spans="1:3" ht="15.75" customHeight="1" x14ac:dyDescent="0.2">
      <c r="A65" s="55"/>
      <c r="B65" s="53" t="s">
        <v>226</v>
      </c>
      <c r="C65" s="54">
        <v>10</v>
      </c>
    </row>
    <row r="66" spans="1:3" ht="15.75" customHeight="1" x14ac:dyDescent="0.2">
      <c r="A66" s="55"/>
      <c r="B66" s="53" t="s">
        <v>227</v>
      </c>
      <c r="C66" s="54">
        <v>10</v>
      </c>
    </row>
    <row r="67" spans="1:3" ht="15.75" customHeight="1" x14ac:dyDescent="0.2">
      <c r="A67" s="55"/>
      <c r="B67" s="53" t="s">
        <v>207</v>
      </c>
      <c r="C67" s="54">
        <v>5</v>
      </c>
    </row>
    <row r="68" spans="1:3" ht="15.75" customHeight="1" x14ac:dyDescent="0.2">
      <c r="A68" s="55"/>
      <c r="B68" s="53" t="s">
        <v>228</v>
      </c>
      <c r="C68" s="54">
        <v>10</v>
      </c>
    </row>
    <row r="69" spans="1:3" ht="15.75" customHeight="1" x14ac:dyDescent="0.2">
      <c r="A69" s="55"/>
      <c r="B69" s="53" t="s">
        <v>229</v>
      </c>
      <c r="C69" s="54">
        <v>10</v>
      </c>
    </row>
    <row r="70" spans="1:3" ht="15.75" customHeight="1" x14ac:dyDescent="0.2">
      <c r="A70" s="55"/>
      <c r="B70" s="53" t="s">
        <v>230</v>
      </c>
      <c r="C70" s="54">
        <v>10</v>
      </c>
    </row>
    <row r="71" spans="1:3" ht="15.75" customHeight="1" x14ac:dyDescent="0.2">
      <c r="A71" s="55"/>
      <c r="B71" s="53" t="s">
        <v>167</v>
      </c>
      <c r="C71" s="54">
        <v>5</v>
      </c>
    </row>
    <row r="72" spans="1:3" ht="15.75" customHeight="1" x14ac:dyDescent="0.2">
      <c r="A72" s="55" t="s">
        <v>231</v>
      </c>
      <c r="B72" s="53"/>
      <c r="C72" s="54"/>
    </row>
    <row r="73" spans="1:3" ht="15.75" customHeight="1" x14ac:dyDescent="0.2">
      <c r="A73" s="55"/>
      <c r="B73" s="53" t="s">
        <v>232</v>
      </c>
      <c r="C73" s="54">
        <v>10</v>
      </c>
    </row>
    <row r="74" spans="1:3" ht="15.75" customHeight="1" x14ac:dyDescent="0.2">
      <c r="A74" s="55"/>
      <c r="B74" s="53" t="s">
        <v>233</v>
      </c>
      <c r="C74" s="54">
        <v>10</v>
      </c>
    </row>
    <row r="75" spans="1:3" ht="15.75" customHeight="1" x14ac:dyDescent="0.2">
      <c r="A75" s="55"/>
      <c r="B75" s="53" t="s">
        <v>234</v>
      </c>
      <c r="C75" s="54">
        <v>10</v>
      </c>
    </row>
    <row r="76" spans="1:3" ht="15.75" customHeight="1" x14ac:dyDescent="0.2">
      <c r="A76" s="55"/>
      <c r="B76" s="53" t="s">
        <v>235</v>
      </c>
      <c r="C76" s="54">
        <v>5</v>
      </c>
    </row>
    <row r="77" spans="1:3" ht="15.75" customHeight="1" x14ac:dyDescent="0.2">
      <c r="A77" s="55"/>
      <c r="B77" s="53" t="s">
        <v>236</v>
      </c>
      <c r="C77" s="54">
        <v>15</v>
      </c>
    </row>
    <row r="78" spans="1:3" ht="15.75" customHeight="1" x14ac:dyDescent="0.2">
      <c r="A78" s="55"/>
      <c r="B78" s="53" t="s">
        <v>237</v>
      </c>
      <c r="C78" s="54">
        <v>10</v>
      </c>
    </row>
    <row r="79" spans="1:3" ht="15.75" customHeight="1" x14ac:dyDescent="0.2">
      <c r="A79" s="55"/>
      <c r="B79" s="53" t="s">
        <v>238</v>
      </c>
      <c r="C79" s="54">
        <v>10</v>
      </c>
    </row>
    <row r="80" spans="1:3" ht="15.75" customHeight="1" x14ac:dyDescent="0.2">
      <c r="A80" s="55"/>
      <c r="B80" s="53" t="s">
        <v>239</v>
      </c>
      <c r="C80" s="54">
        <v>10</v>
      </c>
    </row>
    <row r="81" spans="1:3" ht="15.75" customHeight="1" x14ac:dyDescent="0.2">
      <c r="A81" s="55"/>
      <c r="B81" s="53" t="s">
        <v>240</v>
      </c>
      <c r="C81" s="54">
        <v>10</v>
      </c>
    </row>
    <row r="82" spans="1:3" ht="15.75" customHeight="1" x14ac:dyDescent="0.2">
      <c r="A82" s="55"/>
      <c r="B82" s="53" t="s">
        <v>241</v>
      </c>
      <c r="C82" s="54">
        <v>5</v>
      </c>
    </row>
    <row r="83" spans="1:3" ht="15.75" customHeight="1" x14ac:dyDescent="0.2">
      <c r="A83" s="55"/>
      <c r="B83" s="53" t="s">
        <v>242</v>
      </c>
      <c r="C83" s="54">
        <v>5</v>
      </c>
    </row>
    <row r="84" spans="1:3" ht="15.75" customHeight="1" x14ac:dyDescent="0.2">
      <c r="A84" s="55"/>
      <c r="B84" s="53" t="s">
        <v>243</v>
      </c>
      <c r="C84" s="54">
        <v>5</v>
      </c>
    </row>
    <row r="85" spans="1:3" ht="15.75" customHeight="1" x14ac:dyDescent="0.2">
      <c r="A85" s="55" t="s">
        <v>244</v>
      </c>
      <c r="B85" s="53"/>
      <c r="C85" s="54"/>
    </row>
    <row r="86" spans="1:3" ht="15.75" customHeight="1" x14ac:dyDescent="0.2">
      <c r="A86" s="55"/>
      <c r="B86" s="53" t="s">
        <v>245</v>
      </c>
      <c r="C86" s="54">
        <v>15</v>
      </c>
    </row>
    <row r="87" spans="1:3" ht="15.75" customHeight="1" x14ac:dyDescent="0.2">
      <c r="A87" s="55"/>
      <c r="B87" s="53" t="s">
        <v>246</v>
      </c>
      <c r="C87" s="54">
        <v>10</v>
      </c>
    </row>
    <row r="88" spans="1:3" ht="15.75" customHeight="1" x14ac:dyDescent="0.2">
      <c r="A88" s="55"/>
      <c r="B88" s="53" t="s">
        <v>247</v>
      </c>
      <c r="C88" s="54">
        <v>15</v>
      </c>
    </row>
    <row r="89" spans="1:3" ht="15.75" customHeight="1" x14ac:dyDescent="0.2">
      <c r="A89" s="55"/>
      <c r="B89" s="53" t="s">
        <v>248</v>
      </c>
      <c r="C89" s="54">
        <v>15</v>
      </c>
    </row>
    <row r="90" spans="1:3" ht="15.75" customHeight="1" x14ac:dyDescent="0.2">
      <c r="A90" s="55"/>
      <c r="B90" s="53" t="s">
        <v>249</v>
      </c>
      <c r="C90" s="54">
        <v>15</v>
      </c>
    </row>
    <row r="91" spans="1:3" ht="15.75" customHeight="1" x14ac:dyDescent="0.2">
      <c r="A91" s="55"/>
      <c r="B91" s="53" t="s">
        <v>250</v>
      </c>
      <c r="C91" s="54">
        <v>10</v>
      </c>
    </row>
    <row r="92" spans="1:3" ht="15.75" customHeight="1" x14ac:dyDescent="0.2">
      <c r="A92" s="55"/>
      <c r="B92" s="53" t="s">
        <v>251</v>
      </c>
      <c r="C92" s="54">
        <v>10</v>
      </c>
    </row>
    <row r="93" spans="1:3" ht="15.75" customHeight="1" x14ac:dyDescent="0.2">
      <c r="A93" s="55"/>
      <c r="B93" s="53" t="s">
        <v>252</v>
      </c>
      <c r="C93" s="54">
        <v>15</v>
      </c>
    </row>
    <row r="94" spans="1:3" ht="15.75" customHeight="1" x14ac:dyDescent="0.2">
      <c r="A94" s="55" t="s">
        <v>253</v>
      </c>
      <c r="B94" s="53"/>
      <c r="C94" s="54"/>
    </row>
    <row r="95" spans="1:3" ht="15.75" customHeight="1" x14ac:dyDescent="0.2">
      <c r="A95" s="55"/>
      <c r="B95" s="53" t="s">
        <v>254</v>
      </c>
      <c r="C95" s="54">
        <v>10</v>
      </c>
    </row>
    <row r="96" spans="1:3" ht="15.75" customHeight="1" x14ac:dyDescent="0.2">
      <c r="A96" s="55"/>
      <c r="B96" s="53" t="s">
        <v>255</v>
      </c>
      <c r="C96" s="54">
        <v>15</v>
      </c>
    </row>
    <row r="97" spans="1:3" ht="15.75" customHeight="1" x14ac:dyDescent="0.2">
      <c r="A97" s="55"/>
      <c r="B97" s="53" t="s">
        <v>256</v>
      </c>
      <c r="C97" s="54">
        <v>10</v>
      </c>
    </row>
    <row r="98" spans="1:3" ht="15.75" customHeight="1" x14ac:dyDescent="0.2">
      <c r="A98" s="55"/>
      <c r="B98" s="53" t="s">
        <v>257</v>
      </c>
      <c r="C98" s="54">
        <v>5</v>
      </c>
    </row>
    <row r="99" spans="1:3" ht="15.75" customHeight="1" x14ac:dyDescent="0.2">
      <c r="A99" s="55" t="s">
        <v>258</v>
      </c>
      <c r="B99" s="53"/>
      <c r="C99" s="54"/>
    </row>
    <row r="100" spans="1:3" ht="15.75" customHeight="1" x14ac:dyDescent="0.2">
      <c r="A100" s="55"/>
      <c r="B100" s="53" t="s">
        <v>259</v>
      </c>
      <c r="C100" s="54">
        <v>15</v>
      </c>
    </row>
    <row r="101" spans="1:3" ht="15.75" customHeight="1" x14ac:dyDescent="0.2">
      <c r="A101" s="55"/>
      <c r="B101" s="53" t="s">
        <v>260</v>
      </c>
      <c r="C101" s="54">
        <v>10</v>
      </c>
    </row>
    <row r="102" spans="1:3" ht="15.75" customHeight="1" x14ac:dyDescent="0.2">
      <c r="A102" s="55"/>
      <c r="B102" s="53" t="s">
        <v>261</v>
      </c>
      <c r="C102" s="54">
        <v>10</v>
      </c>
    </row>
    <row r="103" spans="1:3" ht="15.75" customHeight="1" x14ac:dyDescent="0.2">
      <c r="A103" s="55"/>
      <c r="B103" s="53" t="s">
        <v>262</v>
      </c>
      <c r="C103" s="54">
        <v>15</v>
      </c>
    </row>
    <row r="104" spans="1:3" ht="15.75" customHeight="1" x14ac:dyDescent="0.2">
      <c r="A104" s="55"/>
      <c r="B104" s="53" t="s">
        <v>263</v>
      </c>
      <c r="C104" s="54">
        <v>10</v>
      </c>
    </row>
    <row r="105" spans="1:3" ht="15.75" customHeight="1" x14ac:dyDescent="0.2">
      <c r="A105" s="55" t="s">
        <v>264</v>
      </c>
      <c r="B105" s="53"/>
      <c r="C105" s="54"/>
    </row>
    <row r="106" spans="1:3" ht="15.75" customHeight="1" x14ac:dyDescent="0.2">
      <c r="A106" s="55"/>
      <c r="B106" s="53" t="s">
        <v>265</v>
      </c>
      <c r="C106" s="54">
        <v>15</v>
      </c>
    </row>
    <row r="107" spans="1:3" ht="15.75" customHeight="1" x14ac:dyDescent="0.2">
      <c r="A107" s="55"/>
      <c r="B107" s="53" t="s">
        <v>266</v>
      </c>
      <c r="C107" s="54">
        <v>10</v>
      </c>
    </row>
    <row r="108" spans="1:3" ht="15.75" customHeight="1" x14ac:dyDescent="0.2">
      <c r="A108" s="55"/>
      <c r="B108" s="53" t="s">
        <v>267</v>
      </c>
      <c r="C108" s="54">
        <v>5</v>
      </c>
    </row>
    <row r="109" spans="1:3" ht="15.75" customHeight="1" x14ac:dyDescent="0.2">
      <c r="A109" s="55"/>
      <c r="B109" s="53" t="s">
        <v>268</v>
      </c>
      <c r="C109" s="54">
        <v>10</v>
      </c>
    </row>
    <row r="110" spans="1:3" ht="15.75" customHeight="1" x14ac:dyDescent="0.2">
      <c r="A110" s="55"/>
      <c r="B110" s="53" t="s">
        <v>269</v>
      </c>
      <c r="C110" s="54">
        <v>10</v>
      </c>
    </row>
    <row r="111" spans="1:3" ht="15.75" customHeight="1" x14ac:dyDescent="0.2">
      <c r="A111" s="55"/>
      <c r="B111" s="53" t="s">
        <v>270</v>
      </c>
      <c r="C111" s="54">
        <v>15</v>
      </c>
    </row>
    <row r="112" spans="1:3" ht="15.75" customHeight="1" x14ac:dyDescent="0.2">
      <c r="A112" s="55"/>
      <c r="B112" s="53" t="s">
        <v>271</v>
      </c>
      <c r="C112" s="54">
        <v>15</v>
      </c>
    </row>
    <row r="113" spans="1:3" ht="15.75" customHeight="1" x14ac:dyDescent="0.2">
      <c r="A113" s="55"/>
      <c r="B113" s="53" t="s">
        <v>272</v>
      </c>
      <c r="C113" s="54">
        <v>15</v>
      </c>
    </row>
    <row r="114" spans="1:3" ht="15.75" customHeight="1" x14ac:dyDescent="0.2">
      <c r="A114" s="55"/>
      <c r="B114" s="53" t="s">
        <v>273</v>
      </c>
      <c r="C114" s="54">
        <v>15</v>
      </c>
    </row>
    <row r="115" spans="1:3" ht="15.75" customHeight="1" x14ac:dyDescent="0.2">
      <c r="A115" s="55"/>
      <c r="B115" s="53" t="s">
        <v>274</v>
      </c>
      <c r="C115" s="54">
        <v>5</v>
      </c>
    </row>
    <row r="116" spans="1:3" ht="15.75" customHeight="1" x14ac:dyDescent="0.2">
      <c r="A116" s="55"/>
      <c r="B116" s="53" t="s">
        <v>275</v>
      </c>
      <c r="C116" s="54">
        <v>5</v>
      </c>
    </row>
    <row r="117" spans="1:3" ht="15.75" customHeight="1" x14ac:dyDescent="0.2">
      <c r="A117" s="55"/>
      <c r="B117" s="53" t="s">
        <v>276</v>
      </c>
      <c r="C117" s="54">
        <v>10</v>
      </c>
    </row>
    <row r="118" spans="1:3" ht="15.75" customHeight="1" x14ac:dyDescent="0.2">
      <c r="A118" s="55"/>
      <c r="B118" s="53" t="s">
        <v>277</v>
      </c>
      <c r="C118" s="54">
        <v>5</v>
      </c>
    </row>
    <row r="119" spans="1:3" ht="15.75" customHeight="1" x14ac:dyDescent="0.2">
      <c r="A119" s="55"/>
      <c r="B119" s="53" t="s">
        <v>278</v>
      </c>
      <c r="C119" s="54">
        <v>15</v>
      </c>
    </row>
    <row r="120" spans="1:3" ht="15.75" customHeight="1" x14ac:dyDescent="0.2">
      <c r="A120" s="55" t="s">
        <v>279</v>
      </c>
      <c r="B120" s="53"/>
      <c r="C120" s="54"/>
    </row>
    <row r="121" spans="1:3" ht="15.75" customHeight="1" x14ac:dyDescent="0.2">
      <c r="A121" s="55"/>
      <c r="B121" s="53" t="s">
        <v>280</v>
      </c>
      <c r="C121" s="54">
        <v>10</v>
      </c>
    </row>
    <row r="122" spans="1:3" ht="15.75" customHeight="1" x14ac:dyDescent="0.2">
      <c r="A122" s="55"/>
      <c r="B122" s="53" t="s">
        <v>281</v>
      </c>
      <c r="C122" s="54">
        <v>10</v>
      </c>
    </row>
    <row r="123" spans="1:3" ht="15.75" customHeight="1" x14ac:dyDescent="0.2">
      <c r="A123" s="55" t="s">
        <v>282</v>
      </c>
      <c r="B123" s="53"/>
      <c r="C123" s="54"/>
    </row>
    <row r="124" spans="1:3" ht="15.75" customHeight="1" x14ac:dyDescent="0.2">
      <c r="A124" s="55"/>
      <c r="B124" s="53" t="s">
        <v>283</v>
      </c>
      <c r="C124" s="54">
        <v>15</v>
      </c>
    </row>
    <row r="125" spans="1:3" ht="15.75" customHeight="1" x14ac:dyDescent="0.2">
      <c r="A125" s="55"/>
      <c r="B125" s="53" t="s">
        <v>284</v>
      </c>
      <c r="C125" s="54">
        <v>10</v>
      </c>
    </row>
    <row r="126" spans="1:3" ht="15.75" customHeight="1" x14ac:dyDescent="0.2">
      <c r="A126" s="55"/>
      <c r="B126" s="53" t="s">
        <v>285</v>
      </c>
      <c r="C126" s="54">
        <v>10</v>
      </c>
    </row>
    <row r="127" spans="1:3" ht="15.75" customHeight="1" x14ac:dyDescent="0.2">
      <c r="A127" s="55"/>
      <c r="B127" s="53" t="s">
        <v>286</v>
      </c>
      <c r="C127" s="54">
        <v>10</v>
      </c>
    </row>
    <row r="128" spans="1:3" ht="15.75" customHeight="1" x14ac:dyDescent="0.2">
      <c r="A128" s="55"/>
      <c r="B128" s="53" t="s">
        <v>287</v>
      </c>
      <c r="C128" s="54">
        <v>15</v>
      </c>
    </row>
    <row r="129" spans="1:3" ht="15.75" customHeight="1" x14ac:dyDescent="0.2">
      <c r="A129" s="55"/>
      <c r="B129" s="53" t="s">
        <v>288</v>
      </c>
      <c r="C129" s="54">
        <v>15</v>
      </c>
    </row>
    <row r="130" spans="1:3" ht="15.75" customHeight="1" x14ac:dyDescent="0.2">
      <c r="A130" s="55"/>
      <c r="B130" s="53" t="s">
        <v>289</v>
      </c>
      <c r="C130" s="54">
        <v>15</v>
      </c>
    </row>
    <row r="131" spans="1:3" ht="15.75" customHeight="1" x14ac:dyDescent="0.2">
      <c r="A131" s="55" t="s">
        <v>290</v>
      </c>
      <c r="B131" s="53"/>
      <c r="C131" s="54"/>
    </row>
    <row r="132" spans="1:3" ht="15.75" customHeight="1" x14ac:dyDescent="0.2">
      <c r="A132" s="55"/>
      <c r="B132" s="53" t="s">
        <v>291</v>
      </c>
      <c r="C132" s="54">
        <v>15</v>
      </c>
    </row>
    <row r="133" spans="1:3" ht="15.75" customHeight="1" x14ac:dyDescent="0.2">
      <c r="A133" s="55"/>
      <c r="B133" s="53" t="s">
        <v>292</v>
      </c>
      <c r="C133" s="54">
        <v>15</v>
      </c>
    </row>
    <row r="134" spans="1:3" ht="15.75" customHeight="1" x14ac:dyDescent="0.2">
      <c r="A134" s="55"/>
      <c r="B134" s="53" t="s">
        <v>293</v>
      </c>
      <c r="C134" s="54">
        <v>15</v>
      </c>
    </row>
    <row r="135" spans="1:3" ht="15.75" customHeight="1" x14ac:dyDescent="0.2">
      <c r="A135" s="55"/>
      <c r="B135" s="53" t="s">
        <v>294</v>
      </c>
      <c r="C135" s="54">
        <v>10</v>
      </c>
    </row>
    <row r="136" spans="1:3" ht="15.75" customHeight="1" x14ac:dyDescent="0.2">
      <c r="A136" s="55"/>
      <c r="B136" s="53" t="s">
        <v>295</v>
      </c>
      <c r="C136" s="54">
        <v>10</v>
      </c>
    </row>
    <row r="137" spans="1:3" ht="15.75" customHeight="1" x14ac:dyDescent="0.2">
      <c r="A137" s="55"/>
      <c r="B137" s="53" t="s">
        <v>296</v>
      </c>
      <c r="C137" s="54">
        <v>15</v>
      </c>
    </row>
    <row r="138" spans="1:3" ht="15.75" customHeight="1" x14ac:dyDescent="0.2">
      <c r="A138" s="55" t="s">
        <v>297</v>
      </c>
      <c r="B138" s="53"/>
      <c r="C138" s="54"/>
    </row>
    <row r="139" spans="1:3" ht="15.75" customHeight="1" x14ac:dyDescent="0.2">
      <c r="A139" s="55"/>
      <c r="B139" s="53" t="s">
        <v>298</v>
      </c>
      <c r="C139" s="54">
        <v>15</v>
      </c>
    </row>
    <row r="140" spans="1:3" ht="15.75" customHeight="1" x14ac:dyDescent="0.2">
      <c r="A140" s="55"/>
      <c r="B140" s="53" t="s">
        <v>299</v>
      </c>
      <c r="C140" s="54">
        <v>5</v>
      </c>
    </row>
    <row r="141" spans="1:3" ht="15.75" customHeight="1" x14ac:dyDescent="0.2">
      <c r="A141" s="55" t="s">
        <v>300</v>
      </c>
      <c r="B141" s="53"/>
      <c r="C141" s="54"/>
    </row>
    <row r="142" spans="1:3" ht="15.75" customHeight="1" x14ac:dyDescent="0.2">
      <c r="A142" s="55"/>
      <c r="B142" s="53" t="s">
        <v>301</v>
      </c>
      <c r="C142" s="54">
        <v>15</v>
      </c>
    </row>
    <row r="143" spans="1:3" ht="15.75" customHeight="1" x14ac:dyDescent="0.2">
      <c r="A143" s="55"/>
      <c r="B143" s="53" t="s">
        <v>302</v>
      </c>
      <c r="C143" s="54">
        <v>15</v>
      </c>
    </row>
    <row r="144" spans="1:3" ht="15.75" customHeight="1" x14ac:dyDescent="0.2">
      <c r="A144" s="55"/>
      <c r="B144" s="53" t="s">
        <v>303</v>
      </c>
      <c r="C144" s="54">
        <v>15</v>
      </c>
    </row>
    <row r="145" spans="1:4" ht="15.75" customHeight="1" x14ac:dyDescent="0.2">
      <c r="A145" s="55"/>
      <c r="B145" s="53" t="s">
        <v>304</v>
      </c>
      <c r="C145" s="54">
        <v>15</v>
      </c>
    </row>
    <row r="146" spans="1:4" ht="15.75" customHeight="1" x14ac:dyDescent="0.2">
      <c r="A146" s="55"/>
      <c r="B146" s="53" t="s">
        <v>305</v>
      </c>
      <c r="C146" s="54">
        <v>15</v>
      </c>
    </row>
    <row r="147" spans="1:4" ht="15.75" customHeight="1" x14ac:dyDescent="0.2">
      <c r="A147" s="55"/>
      <c r="B147" s="53" t="s">
        <v>306</v>
      </c>
      <c r="C147" s="54">
        <v>15</v>
      </c>
    </row>
    <row r="148" spans="1:4" ht="15.75" customHeight="1" x14ac:dyDescent="0.2">
      <c r="A148" s="55"/>
      <c r="B148" s="53" t="s">
        <v>307</v>
      </c>
      <c r="C148" s="54">
        <v>10</v>
      </c>
    </row>
    <row r="149" spans="1:4" ht="15.75" customHeight="1" x14ac:dyDescent="0.2">
      <c r="A149" s="55" t="s">
        <v>308</v>
      </c>
      <c r="B149" s="53"/>
      <c r="C149" s="54"/>
    </row>
    <row r="150" spans="1:4" ht="15.75" customHeight="1" x14ac:dyDescent="0.2">
      <c r="A150" s="55"/>
      <c r="B150" s="53" t="s">
        <v>309</v>
      </c>
      <c r="C150" s="54">
        <v>10</v>
      </c>
    </row>
    <row r="151" spans="1:4" ht="15.75" customHeight="1" x14ac:dyDescent="0.2">
      <c r="A151" s="55"/>
      <c r="B151" s="53" t="s">
        <v>310</v>
      </c>
      <c r="C151" s="54">
        <v>10</v>
      </c>
    </row>
    <row r="152" spans="1:4" ht="15.75" customHeight="1" x14ac:dyDescent="0.2">
      <c r="A152" s="55"/>
      <c r="B152" s="53" t="s">
        <v>311</v>
      </c>
      <c r="C152" s="54">
        <v>10</v>
      </c>
    </row>
    <row r="153" spans="1:4" ht="15.75" customHeight="1" x14ac:dyDescent="0.2">
      <c r="A153" s="55"/>
      <c r="B153" s="53" t="s">
        <v>312</v>
      </c>
      <c r="C153" s="54">
        <v>10</v>
      </c>
    </row>
    <row r="154" spans="1:4" ht="15.75" customHeight="1" x14ac:dyDescent="0.2">
      <c r="A154" s="55" t="s">
        <v>313</v>
      </c>
      <c r="B154" s="53"/>
      <c r="C154" s="54"/>
    </row>
    <row r="155" spans="1:4" ht="15.75" customHeight="1" x14ac:dyDescent="0.2">
      <c r="A155" s="55"/>
      <c r="B155" s="53" t="s">
        <v>314</v>
      </c>
      <c r="C155" s="54">
        <v>10</v>
      </c>
    </row>
    <row r="156" spans="1:4" ht="15.75" customHeight="1" x14ac:dyDescent="0.2">
      <c r="A156" s="55"/>
      <c r="B156" s="53" t="s">
        <v>315</v>
      </c>
      <c r="C156" s="54">
        <v>10</v>
      </c>
    </row>
    <row r="157" spans="1:4" ht="15.75" customHeight="1" x14ac:dyDescent="0.2">
      <c r="A157" s="55"/>
      <c r="B157" s="53" t="s">
        <v>316</v>
      </c>
      <c r="C157" s="54">
        <v>10</v>
      </c>
    </row>
    <row r="158" spans="1:4" ht="15.75" customHeight="1" x14ac:dyDescent="0.2">
      <c r="A158" s="55"/>
      <c r="B158" s="53" t="s">
        <v>317</v>
      </c>
      <c r="C158" s="54">
        <v>10</v>
      </c>
      <c r="D158" s="39" t="s">
        <v>318</v>
      </c>
    </row>
    <row r="159" spans="1:4" ht="15.75" customHeight="1" x14ac:dyDescent="0.2">
      <c r="A159" s="55"/>
      <c r="B159" s="53" t="s">
        <v>319</v>
      </c>
      <c r="C159" s="54">
        <v>10</v>
      </c>
    </row>
    <row r="160" spans="1:4" ht="15.75" customHeight="1" x14ac:dyDescent="0.2">
      <c r="A160" s="55"/>
      <c r="B160" s="53" t="s">
        <v>320</v>
      </c>
      <c r="C160" s="54">
        <v>10</v>
      </c>
    </row>
    <row r="161" spans="1:3" ht="15.75" customHeight="1" x14ac:dyDescent="0.2">
      <c r="A161" s="55"/>
      <c r="B161" s="53" t="s">
        <v>321</v>
      </c>
      <c r="C161" s="54">
        <v>10</v>
      </c>
    </row>
    <row r="162" spans="1:3" ht="15.75" customHeight="1" x14ac:dyDescent="0.2">
      <c r="A162" s="55"/>
      <c r="B162" s="53" t="s">
        <v>322</v>
      </c>
      <c r="C162" s="54">
        <v>10</v>
      </c>
    </row>
    <row r="163" spans="1:3" ht="15.75" customHeight="1" x14ac:dyDescent="0.2">
      <c r="A163" s="55"/>
      <c r="B163" s="53" t="s">
        <v>323</v>
      </c>
      <c r="C163" s="54">
        <v>10</v>
      </c>
    </row>
    <row r="164" spans="1:3" ht="15.75" customHeight="1" x14ac:dyDescent="0.2">
      <c r="A164" s="55"/>
      <c r="B164" s="53" t="s">
        <v>324</v>
      </c>
      <c r="C164" s="54">
        <v>10</v>
      </c>
    </row>
    <row r="165" spans="1:3" ht="15.75" customHeight="1" x14ac:dyDescent="0.2">
      <c r="A165" s="55" t="s">
        <v>325</v>
      </c>
      <c r="B165" s="53"/>
      <c r="C165" s="54"/>
    </row>
    <row r="166" spans="1:3" ht="15.75" customHeight="1" x14ac:dyDescent="0.2">
      <c r="A166" s="55"/>
      <c r="B166" s="53" t="s">
        <v>326</v>
      </c>
      <c r="C166" s="54">
        <v>15</v>
      </c>
    </row>
    <row r="167" spans="1:3" ht="15.75" customHeight="1" x14ac:dyDescent="0.2">
      <c r="A167" s="55"/>
      <c r="B167" s="53" t="s">
        <v>327</v>
      </c>
      <c r="C167" s="54">
        <v>15</v>
      </c>
    </row>
    <row r="168" spans="1:3" ht="15.75" customHeight="1" x14ac:dyDescent="0.2">
      <c r="A168" s="55"/>
      <c r="B168" s="53" t="s">
        <v>328</v>
      </c>
      <c r="C168" s="54">
        <v>15</v>
      </c>
    </row>
    <row r="169" spans="1:3" ht="15.75" customHeight="1" x14ac:dyDescent="0.2">
      <c r="A169" s="80"/>
      <c r="B169" s="68" t="s">
        <v>329</v>
      </c>
      <c r="C169" s="68">
        <f>SUM(C2:C47)</f>
        <v>420</v>
      </c>
    </row>
    <row r="170" spans="1:3" ht="15.75" customHeight="1" x14ac:dyDescent="0.2"/>
    <row r="171" spans="1:3" ht="15.75" customHeight="1" x14ac:dyDescent="0.2"/>
    <row r="172" spans="1:3" ht="15.75" customHeight="1" x14ac:dyDescent="0.2">
      <c r="A172" s="81" t="s">
        <v>77</v>
      </c>
      <c r="B172" s="81" t="s">
        <v>330</v>
      </c>
      <c r="C172" s="81" t="s">
        <v>79</v>
      </c>
    </row>
    <row r="173" spans="1:3" ht="15.75" customHeight="1" x14ac:dyDescent="0.2">
      <c r="A173" s="82">
        <v>1</v>
      </c>
      <c r="B173" s="83" t="s">
        <v>87</v>
      </c>
      <c r="C173" s="84">
        <v>3</v>
      </c>
    </row>
    <row r="174" spans="1:3" ht="15.75" customHeight="1" x14ac:dyDescent="0.2">
      <c r="A174" s="82">
        <f t="shared" ref="A174:A184" si="3">A173+1</f>
        <v>2</v>
      </c>
      <c r="B174" s="83" t="s">
        <v>140</v>
      </c>
      <c r="C174" s="84">
        <v>3</v>
      </c>
    </row>
    <row r="175" spans="1:3" ht="15.75" customHeight="1" x14ac:dyDescent="0.2">
      <c r="A175" s="82">
        <f t="shared" si="3"/>
        <v>3</v>
      </c>
      <c r="B175" s="83" t="s">
        <v>331</v>
      </c>
      <c r="C175" s="84">
        <v>3</v>
      </c>
    </row>
    <row r="176" spans="1:3" ht="15.75" customHeight="1" x14ac:dyDescent="0.2">
      <c r="A176" s="82">
        <f t="shared" si="3"/>
        <v>4</v>
      </c>
      <c r="B176" s="83" t="s">
        <v>332</v>
      </c>
      <c r="C176" s="84">
        <v>1</v>
      </c>
    </row>
    <row r="177" spans="1:3" ht="15.75" customHeight="1" x14ac:dyDescent="0.2">
      <c r="A177" s="82">
        <f t="shared" si="3"/>
        <v>5</v>
      </c>
      <c r="B177" s="83" t="s">
        <v>333</v>
      </c>
      <c r="C177" s="84">
        <v>2</v>
      </c>
    </row>
    <row r="178" spans="1:3" ht="15.75" customHeight="1" x14ac:dyDescent="0.2">
      <c r="A178" s="82">
        <f t="shared" si="3"/>
        <v>6</v>
      </c>
      <c r="B178" s="83" t="s">
        <v>334</v>
      </c>
      <c r="C178" s="84">
        <v>2</v>
      </c>
    </row>
    <row r="179" spans="1:3" ht="15.75" customHeight="1" x14ac:dyDescent="0.2">
      <c r="A179" s="82">
        <f t="shared" si="3"/>
        <v>7</v>
      </c>
      <c r="B179" s="83" t="s">
        <v>335</v>
      </c>
      <c r="C179" s="84">
        <v>2</v>
      </c>
    </row>
    <row r="180" spans="1:3" ht="15.75" customHeight="1" x14ac:dyDescent="0.2">
      <c r="A180" s="82">
        <f t="shared" si="3"/>
        <v>8</v>
      </c>
      <c r="B180" s="83" t="s">
        <v>336</v>
      </c>
      <c r="C180" s="84">
        <v>2</v>
      </c>
    </row>
    <row r="181" spans="1:3" ht="15.75" customHeight="1" x14ac:dyDescent="0.2">
      <c r="A181" s="82">
        <f t="shared" si="3"/>
        <v>9</v>
      </c>
      <c r="B181" s="83" t="s">
        <v>337</v>
      </c>
      <c r="C181" s="84">
        <v>2</v>
      </c>
    </row>
    <row r="182" spans="1:3" ht="15.75" customHeight="1" x14ac:dyDescent="0.2">
      <c r="A182" s="82">
        <f t="shared" si="3"/>
        <v>10</v>
      </c>
      <c r="B182" s="83" t="s">
        <v>338</v>
      </c>
      <c r="C182" s="84">
        <v>3</v>
      </c>
    </row>
    <row r="183" spans="1:3" ht="15.75" customHeight="1" x14ac:dyDescent="0.2">
      <c r="A183" s="82">
        <f t="shared" si="3"/>
        <v>11</v>
      </c>
      <c r="B183" s="83" t="s">
        <v>339</v>
      </c>
      <c r="C183" s="84">
        <v>3</v>
      </c>
    </row>
    <row r="184" spans="1:3" ht="15.75" customHeight="1" x14ac:dyDescent="0.2">
      <c r="A184" s="82">
        <f t="shared" si="3"/>
        <v>12</v>
      </c>
      <c r="B184" s="83" t="s">
        <v>340</v>
      </c>
      <c r="C184" s="84">
        <v>3</v>
      </c>
    </row>
    <row r="185" spans="1:3" ht="15.75" customHeight="1" x14ac:dyDescent="0.2">
      <c r="A185" s="85"/>
      <c r="B185" s="86" t="s">
        <v>341</v>
      </c>
      <c r="C185" s="85">
        <f>SUM(C173:C182)</f>
        <v>23</v>
      </c>
    </row>
    <row r="186" spans="1:3" ht="15.75" customHeight="1" x14ac:dyDescent="0.2"/>
    <row r="187" spans="1:3" ht="15.75" customHeight="1" x14ac:dyDescent="0.2"/>
    <row r="188" spans="1:3" ht="15.75" customHeight="1" x14ac:dyDescent="0.2">
      <c r="B188" s="87" t="s">
        <v>342</v>
      </c>
      <c r="C188" s="87">
        <f>C185+C169</f>
        <v>443</v>
      </c>
    </row>
    <row r="189" spans="1:3" ht="15.75" customHeight="1" x14ac:dyDescent="0.2"/>
    <row r="190" spans="1:3" ht="15.75" customHeight="1" x14ac:dyDescent="0.2"/>
    <row r="191" spans="1:3" ht="15.75" customHeight="1" x14ac:dyDescent="0.2"/>
    <row r="192" spans="1:3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conditionalFormatting sqref="D3">
    <cfRule type="notContainsBlanks" dxfId="7" priority="1">
      <formula>LEN(TRIM(D3))&gt;0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32"/>
  <sheetViews>
    <sheetView topLeftCell="A15" workbookViewId="0">
      <selection activeCell="H29" sqref="H29"/>
    </sheetView>
  </sheetViews>
  <sheetFormatPr baseColWidth="10" defaultColWidth="12.7109375" defaultRowHeight="15" customHeight="1" x14ac:dyDescent="0.2"/>
  <cols>
    <col min="1" max="1" width="31.28515625" customWidth="1"/>
    <col min="2" max="2" width="13.42578125" customWidth="1"/>
    <col min="3" max="3" width="14.28515625" customWidth="1"/>
    <col min="5" max="5" width="11.7109375" customWidth="1"/>
    <col min="7" max="7" width="10.28515625" customWidth="1"/>
    <col min="8" max="8" width="16" customWidth="1"/>
    <col min="9" max="9" width="12.85546875" customWidth="1"/>
    <col min="10" max="10" width="13.7109375" customWidth="1"/>
    <col min="11" max="11" width="13.42578125" customWidth="1"/>
    <col min="12" max="13" width="13.140625" customWidth="1"/>
    <col min="14" max="14" width="51.42578125" customWidth="1"/>
  </cols>
  <sheetData>
    <row r="1" spans="1:14" ht="15.75" customHeight="1" x14ac:dyDescent="0.2"/>
    <row r="2" spans="1:14" ht="15.75" customHeight="1" x14ac:dyDescent="0.25">
      <c r="A2" s="397" t="s">
        <v>343</v>
      </c>
      <c r="B2" s="39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4" ht="15.75" customHeight="1" x14ac:dyDescent="0.25">
      <c r="A3" s="89" t="s">
        <v>33</v>
      </c>
      <c r="B3" s="90">
        <f>PARÁMETROS!B2</f>
        <v>900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39">
        <v>35</v>
      </c>
    </row>
    <row r="4" spans="1:14" ht="15.75" customHeight="1" x14ac:dyDescent="0.25">
      <c r="A4" s="89" t="s">
        <v>34</v>
      </c>
      <c r="B4" s="91">
        <f>PARÁMETROS!B3</f>
        <v>800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5" spans="1:14" ht="15.75" customHeight="1" x14ac:dyDescent="0.25">
      <c r="A5" s="89" t="s">
        <v>3</v>
      </c>
      <c r="B5" s="90">
        <f>PARÁMETROS!B4</f>
        <v>36000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14" ht="15.75" customHeight="1" x14ac:dyDescent="0.25">
      <c r="A6" s="89" t="s">
        <v>35</v>
      </c>
      <c r="B6" s="90">
        <v>160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14" ht="15.75" customHeight="1" x14ac:dyDescent="0.25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</row>
    <row r="8" spans="1:14" ht="15.75" customHeight="1" x14ac:dyDescent="0.25">
      <c r="A8" s="399" t="s">
        <v>344</v>
      </c>
      <c r="B8" s="400"/>
      <c r="C8" s="400"/>
      <c r="D8" s="400"/>
      <c r="E8" s="400"/>
      <c r="F8" s="400"/>
      <c r="G8" s="400"/>
      <c r="H8" s="400"/>
      <c r="I8" s="400"/>
      <c r="J8" s="400"/>
      <c r="K8" s="400"/>
      <c r="L8" s="400"/>
      <c r="M8" s="401"/>
      <c r="N8" s="12"/>
    </row>
    <row r="9" spans="1:14" ht="15.75" customHeight="1" x14ac:dyDescent="0.25">
      <c r="A9" s="93"/>
      <c r="B9" s="94" t="s">
        <v>345</v>
      </c>
      <c r="C9" s="94" t="s">
        <v>346</v>
      </c>
      <c r="D9" s="94" t="s">
        <v>347</v>
      </c>
      <c r="E9" s="94" t="s">
        <v>348</v>
      </c>
      <c r="F9" s="94" t="s">
        <v>349</v>
      </c>
      <c r="G9" s="94" t="s">
        <v>350</v>
      </c>
      <c r="H9" s="94" t="s">
        <v>351</v>
      </c>
      <c r="I9" s="94" t="s">
        <v>352</v>
      </c>
      <c r="J9" s="94" t="s">
        <v>353</v>
      </c>
      <c r="K9" s="94" t="s">
        <v>354</v>
      </c>
      <c r="L9" s="94" t="s">
        <v>355</v>
      </c>
      <c r="M9" s="95" t="s">
        <v>356</v>
      </c>
      <c r="N9" s="12"/>
    </row>
    <row r="10" spans="1:14" ht="15.75" customHeight="1" x14ac:dyDescent="0.25">
      <c r="A10" s="96" t="s">
        <v>357</v>
      </c>
      <c r="B10" s="97">
        <v>328</v>
      </c>
      <c r="C10" s="98">
        <v>8</v>
      </c>
      <c r="D10" s="98">
        <v>2.2999999999999998</v>
      </c>
      <c r="E10" s="98">
        <v>4</v>
      </c>
      <c r="F10" s="98">
        <f t="shared" ref="F10:F41" si="0">C10*D10</f>
        <v>18.399999999999999</v>
      </c>
      <c r="G10" s="98">
        <f t="shared" ref="G10:G41" si="1">C10*E10</f>
        <v>32</v>
      </c>
      <c r="H10" s="99">
        <v>1</v>
      </c>
      <c r="I10" s="98">
        <f t="shared" ref="I10:I41" si="2">C10/H10</f>
        <v>8</v>
      </c>
      <c r="J10" s="99">
        <f t="shared" ref="J10:J41" si="3">B10*C10*D10*$B$5</f>
        <v>217267200</v>
      </c>
      <c r="K10" s="99">
        <f t="shared" ref="K10:K41" si="4">B10*C10*E10*$B$5</f>
        <v>377856000</v>
      </c>
      <c r="L10" s="98">
        <f t="shared" ref="L10:M10" si="5">J10/$B$5</f>
        <v>6035.2</v>
      </c>
      <c r="M10" s="98">
        <f t="shared" si="5"/>
        <v>10496</v>
      </c>
      <c r="N10" s="12"/>
    </row>
    <row r="11" spans="1:14" ht="15.75" customHeight="1" x14ac:dyDescent="0.25">
      <c r="A11" s="96" t="s">
        <v>358</v>
      </c>
      <c r="B11" s="98">
        <v>40</v>
      </c>
      <c r="C11" s="98">
        <v>8</v>
      </c>
      <c r="D11" s="98">
        <v>0.6</v>
      </c>
      <c r="E11" s="98">
        <v>1.2</v>
      </c>
      <c r="F11" s="98">
        <f t="shared" si="0"/>
        <v>4.8</v>
      </c>
      <c r="G11" s="98">
        <f t="shared" si="1"/>
        <v>9.6</v>
      </c>
      <c r="H11" s="99">
        <v>2</v>
      </c>
      <c r="I11" s="98">
        <f t="shared" si="2"/>
        <v>4</v>
      </c>
      <c r="J11" s="99">
        <f t="shared" si="3"/>
        <v>6912000</v>
      </c>
      <c r="K11" s="99">
        <f t="shared" si="4"/>
        <v>13824000</v>
      </c>
      <c r="L11" s="98">
        <f t="shared" ref="L11:M11" si="6">J11/$B$5</f>
        <v>192</v>
      </c>
      <c r="M11" s="98">
        <f t="shared" si="6"/>
        <v>384</v>
      </c>
      <c r="N11" s="12"/>
    </row>
    <row r="12" spans="1:14" ht="15.75" customHeight="1" x14ac:dyDescent="0.25">
      <c r="A12" s="96" t="s">
        <v>359</v>
      </c>
      <c r="B12" s="98">
        <v>40</v>
      </c>
      <c r="C12" s="98">
        <v>8</v>
      </c>
      <c r="D12" s="98">
        <v>0.3</v>
      </c>
      <c r="E12" s="98">
        <v>1</v>
      </c>
      <c r="F12" s="98">
        <f t="shared" si="0"/>
        <v>2.4</v>
      </c>
      <c r="G12" s="98">
        <f t="shared" si="1"/>
        <v>8</v>
      </c>
      <c r="H12" s="99">
        <v>2</v>
      </c>
      <c r="I12" s="98">
        <f t="shared" si="2"/>
        <v>4</v>
      </c>
      <c r="J12" s="99">
        <f t="shared" si="3"/>
        <v>3456000</v>
      </c>
      <c r="K12" s="99">
        <f t="shared" si="4"/>
        <v>11520000</v>
      </c>
      <c r="L12" s="98">
        <f t="shared" ref="L12:M12" si="7">J12/$B$5</f>
        <v>96</v>
      </c>
      <c r="M12" s="98">
        <f t="shared" si="7"/>
        <v>320</v>
      </c>
      <c r="N12" s="12"/>
    </row>
    <row r="13" spans="1:14" ht="15.75" customHeight="1" x14ac:dyDescent="0.25">
      <c r="A13" s="96" t="s">
        <v>360</v>
      </c>
      <c r="B13" s="98">
        <f>191+70</f>
        <v>261</v>
      </c>
      <c r="C13" s="98">
        <v>8</v>
      </c>
      <c r="D13" s="98">
        <v>1</v>
      </c>
      <c r="E13" s="98">
        <v>1.5</v>
      </c>
      <c r="F13" s="98">
        <f t="shared" si="0"/>
        <v>8</v>
      </c>
      <c r="G13" s="98">
        <f t="shared" si="1"/>
        <v>12</v>
      </c>
      <c r="H13" s="99">
        <v>1</v>
      </c>
      <c r="I13" s="98">
        <f t="shared" si="2"/>
        <v>8</v>
      </c>
      <c r="J13" s="99">
        <f t="shared" si="3"/>
        <v>75168000</v>
      </c>
      <c r="K13" s="99">
        <f t="shared" si="4"/>
        <v>112752000</v>
      </c>
      <c r="L13" s="98">
        <f t="shared" ref="L13:M13" si="8">J13/$B$5</f>
        <v>2088</v>
      </c>
      <c r="M13" s="98">
        <f t="shared" si="8"/>
        <v>3132</v>
      </c>
      <c r="N13" s="12"/>
    </row>
    <row r="14" spans="1:14" ht="15.75" customHeight="1" x14ac:dyDescent="0.25">
      <c r="A14" s="96" t="s">
        <v>361</v>
      </c>
      <c r="B14" s="98">
        <v>60</v>
      </c>
      <c r="C14" s="98">
        <v>8</v>
      </c>
      <c r="D14" s="98">
        <v>0.5</v>
      </c>
      <c r="E14" s="98">
        <v>1</v>
      </c>
      <c r="F14" s="98">
        <f t="shared" si="0"/>
        <v>4</v>
      </c>
      <c r="G14" s="98">
        <f t="shared" si="1"/>
        <v>8</v>
      </c>
      <c r="H14" s="99">
        <v>4</v>
      </c>
      <c r="I14" s="98">
        <f t="shared" si="2"/>
        <v>2</v>
      </c>
      <c r="J14" s="99">
        <f t="shared" si="3"/>
        <v>8640000</v>
      </c>
      <c r="K14" s="99">
        <f t="shared" si="4"/>
        <v>17280000</v>
      </c>
      <c r="L14" s="98">
        <f t="shared" ref="L14:M14" si="9">J14/$B$5</f>
        <v>240</v>
      </c>
      <c r="M14" s="98">
        <f t="shared" si="9"/>
        <v>480</v>
      </c>
      <c r="N14" s="12"/>
    </row>
    <row r="15" spans="1:14" ht="15.75" customHeight="1" x14ac:dyDescent="0.25">
      <c r="A15" s="96" t="s">
        <v>362</v>
      </c>
      <c r="B15" s="98">
        <v>60</v>
      </c>
      <c r="C15" s="98">
        <v>8</v>
      </c>
      <c r="D15" s="98">
        <v>0.3</v>
      </c>
      <c r="E15" s="98">
        <v>0.8</v>
      </c>
      <c r="F15" s="98">
        <f t="shared" si="0"/>
        <v>2.4</v>
      </c>
      <c r="G15" s="98">
        <f t="shared" si="1"/>
        <v>6.4</v>
      </c>
      <c r="H15" s="99">
        <v>2</v>
      </c>
      <c r="I15" s="98">
        <f t="shared" si="2"/>
        <v>4</v>
      </c>
      <c r="J15" s="99">
        <f t="shared" si="3"/>
        <v>5184000</v>
      </c>
      <c r="K15" s="99">
        <f t="shared" si="4"/>
        <v>13824000</v>
      </c>
      <c r="L15" s="98">
        <f t="shared" ref="L15:M15" si="10">J15/$B$5</f>
        <v>144</v>
      </c>
      <c r="M15" s="98">
        <f t="shared" si="10"/>
        <v>384</v>
      </c>
      <c r="N15" s="12"/>
    </row>
    <row r="16" spans="1:14" ht="15.75" customHeight="1" x14ac:dyDescent="0.25">
      <c r="A16" s="96" t="s">
        <v>363</v>
      </c>
      <c r="B16" s="98">
        <v>180</v>
      </c>
      <c r="C16" s="98">
        <v>8</v>
      </c>
      <c r="D16" s="98">
        <v>1</v>
      </c>
      <c r="E16" s="98">
        <v>1</v>
      </c>
      <c r="F16" s="98">
        <f t="shared" si="0"/>
        <v>8</v>
      </c>
      <c r="G16" s="98">
        <f t="shared" si="1"/>
        <v>8</v>
      </c>
      <c r="H16" s="99">
        <v>2</v>
      </c>
      <c r="I16" s="98">
        <f t="shared" si="2"/>
        <v>4</v>
      </c>
      <c r="J16" s="99">
        <f t="shared" si="3"/>
        <v>51840000</v>
      </c>
      <c r="K16" s="99">
        <f t="shared" si="4"/>
        <v>51840000</v>
      </c>
      <c r="L16" s="98">
        <f t="shared" ref="L16:M16" si="11">J16/$B$5</f>
        <v>1440</v>
      </c>
      <c r="M16" s="98">
        <f t="shared" si="11"/>
        <v>1440</v>
      </c>
      <c r="N16" s="12"/>
    </row>
    <row r="17" spans="1:14" ht="15.75" customHeight="1" x14ac:dyDescent="0.25">
      <c r="A17" s="96" t="s">
        <v>364</v>
      </c>
      <c r="B17" s="98">
        <v>180</v>
      </c>
      <c r="C17" s="98">
        <v>8</v>
      </c>
      <c r="D17" s="98">
        <v>0.5</v>
      </c>
      <c r="E17" s="98">
        <v>0.8</v>
      </c>
      <c r="F17" s="98">
        <f t="shared" si="0"/>
        <v>4</v>
      </c>
      <c r="G17" s="98">
        <f t="shared" si="1"/>
        <v>6.4</v>
      </c>
      <c r="H17" s="99">
        <v>2</v>
      </c>
      <c r="I17" s="98">
        <f t="shared" si="2"/>
        <v>4</v>
      </c>
      <c r="J17" s="99">
        <f t="shared" si="3"/>
        <v>25920000</v>
      </c>
      <c r="K17" s="99">
        <f t="shared" si="4"/>
        <v>41472000</v>
      </c>
      <c r="L17" s="98">
        <f t="shared" ref="L17:M17" si="12">J17/$B$5</f>
        <v>720</v>
      </c>
      <c r="M17" s="98">
        <f t="shared" si="12"/>
        <v>1152</v>
      </c>
      <c r="N17" s="12"/>
    </row>
    <row r="18" spans="1:14" ht="15.75" customHeight="1" x14ac:dyDescent="0.25">
      <c r="A18" s="96" t="s">
        <v>365</v>
      </c>
      <c r="B18" s="98">
        <v>60</v>
      </c>
      <c r="C18" s="98">
        <v>8</v>
      </c>
      <c r="D18" s="98">
        <v>1.3</v>
      </c>
      <c r="E18" s="98">
        <v>2.5</v>
      </c>
      <c r="F18" s="98">
        <f t="shared" si="0"/>
        <v>10.4</v>
      </c>
      <c r="G18" s="98">
        <f t="shared" si="1"/>
        <v>20</v>
      </c>
      <c r="H18" s="99">
        <v>1</v>
      </c>
      <c r="I18" s="98">
        <f t="shared" si="2"/>
        <v>8</v>
      </c>
      <c r="J18" s="99">
        <f t="shared" si="3"/>
        <v>22464000</v>
      </c>
      <c r="K18" s="99">
        <f t="shared" si="4"/>
        <v>43200000</v>
      </c>
      <c r="L18" s="98">
        <f t="shared" ref="L18:M18" si="13">J18/$B$5</f>
        <v>624</v>
      </c>
      <c r="M18" s="98">
        <f t="shared" si="13"/>
        <v>1200</v>
      </c>
      <c r="N18" s="12"/>
    </row>
    <row r="19" spans="1:14" ht="15.75" customHeight="1" x14ac:dyDescent="0.25">
      <c r="A19" s="96" t="s">
        <v>366</v>
      </c>
      <c r="B19" s="98">
        <v>60</v>
      </c>
      <c r="C19" s="98">
        <v>8</v>
      </c>
      <c r="D19" s="98">
        <v>0.5</v>
      </c>
      <c r="E19" s="98">
        <v>1.5</v>
      </c>
      <c r="F19" s="98">
        <f t="shared" si="0"/>
        <v>4</v>
      </c>
      <c r="G19" s="98">
        <f t="shared" si="1"/>
        <v>12</v>
      </c>
      <c r="H19" s="99">
        <v>1</v>
      </c>
      <c r="I19" s="98">
        <f t="shared" si="2"/>
        <v>8</v>
      </c>
      <c r="J19" s="99">
        <f t="shared" si="3"/>
        <v>8640000</v>
      </c>
      <c r="K19" s="99">
        <f t="shared" si="4"/>
        <v>25920000</v>
      </c>
      <c r="L19" s="98">
        <f t="shared" ref="L19:M19" si="14">J19/$B$5</f>
        <v>240</v>
      </c>
      <c r="M19" s="98">
        <f t="shared" si="14"/>
        <v>720</v>
      </c>
      <c r="N19" s="12"/>
    </row>
    <row r="20" spans="1:14" ht="15.75" customHeight="1" x14ac:dyDescent="0.25">
      <c r="A20" s="96" t="s">
        <v>367</v>
      </c>
      <c r="B20" s="100">
        <v>40</v>
      </c>
      <c r="C20" s="98">
        <v>8</v>
      </c>
      <c r="D20" s="98">
        <v>0.7</v>
      </c>
      <c r="E20" s="98">
        <v>1</v>
      </c>
      <c r="F20" s="98">
        <f t="shared" si="0"/>
        <v>5.6</v>
      </c>
      <c r="G20" s="98">
        <f t="shared" si="1"/>
        <v>8</v>
      </c>
      <c r="H20" s="99">
        <v>2</v>
      </c>
      <c r="I20" s="98">
        <f t="shared" si="2"/>
        <v>4</v>
      </c>
      <c r="J20" s="99">
        <f t="shared" si="3"/>
        <v>8064000</v>
      </c>
      <c r="K20" s="99">
        <f t="shared" si="4"/>
        <v>11520000</v>
      </c>
      <c r="L20" s="98">
        <f t="shared" ref="L20:M20" si="15">J20/$B$5</f>
        <v>224</v>
      </c>
      <c r="M20" s="98">
        <f t="shared" si="15"/>
        <v>320</v>
      </c>
      <c r="N20" s="12"/>
    </row>
    <row r="21" spans="1:14" ht="15.75" customHeight="1" x14ac:dyDescent="0.25">
      <c r="A21" s="96" t="s">
        <v>368</v>
      </c>
      <c r="B21" s="100">
        <v>1000</v>
      </c>
      <c r="C21" s="98">
        <v>8</v>
      </c>
      <c r="D21" s="98">
        <v>0.5</v>
      </c>
      <c r="E21" s="98">
        <v>0.8</v>
      </c>
      <c r="F21" s="98">
        <f t="shared" si="0"/>
        <v>4</v>
      </c>
      <c r="G21" s="98">
        <f t="shared" si="1"/>
        <v>6.4</v>
      </c>
      <c r="H21" s="99">
        <v>2</v>
      </c>
      <c r="I21" s="98">
        <f t="shared" si="2"/>
        <v>4</v>
      </c>
      <c r="J21" s="99">
        <f t="shared" si="3"/>
        <v>144000000</v>
      </c>
      <c r="K21" s="99">
        <f t="shared" si="4"/>
        <v>230400000</v>
      </c>
      <c r="L21" s="98">
        <f t="shared" ref="L21:M21" si="16">J21/$B$5</f>
        <v>4000</v>
      </c>
      <c r="M21" s="98">
        <f t="shared" si="16"/>
        <v>6400</v>
      </c>
      <c r="N21" s="12"/>
    </row>
    <row r="22" spans="1:14" ht="15.75" customHeight="1" x14ac:dyDescent="0.25">
      <c r="A22" s="96" t="s">
        <v>369</v>
      </c>
      <c r="B22" s="100">
        <v>40</v>
      </c>
      <c r="C22" s="98">
        <v>8</v>
      </c>
      <c r="D22" s="98">
        <v>0.8</v>
      </c>
      <c r="E22" s="98">
        <v>1</v>
      </c>
      <c r="F22" s="98">
        <f t="shared" si="0"/>
        <v>6.4</v>
      </c>
      <c r="G22" s="98">
        <f t="shared" si="1"/>
        <v>8</v>
      </c>
      <c r="H22" s="99">
        <v>2</v>
      </c>
      <c r="I22" s="98">
        <f t="shared" si="2"/>
        <v>4</v>
      </c>
      <c r="J22" s="99">
        <f t="shared" si="3"/>
        <v>9216000</v>
      </c>
      <c r="K22" s="99">
        <f t="shared" si="4"/>
        <v>11520000</v>
      </c>
      <c r="L22" s="98">
        <f t="shared" ref="L22:M22" si="17">J22/$B$5</f>
        <v>256</v>
      </c>
      <c r="M22" s="98">
        <f t="shared" si="17"/>
        <v>320</v>
      </c>
      <c r="N22" s="12"/>
    </row>
    <row r="23" spans="1:14" ht="15.75" customHeight="1" x14ac:dyDescent="0.25">
      <c r="A23" s="96" t="s">
        <v>370</v>
      </c>
      <c r="B23" s="100">
        <v>1000</v>
      </c>
      <c r="C23" s="98">
        <v>8</v>
      </c>
      <c r="D23" s="98">
        <v>0.5</v>
      </c>
      <c r="E23" s="98">
        <v>0.8</v>
      </c>
      <c r="F23" s="98">
        <f t="shared" si="0"/>
        <v>4</v>
      </c>
      <c r="G23" s="98">
        <f t="shared" si="1"/>
        <v>6.4</v>
      </c>
      <c r="H23" s="99">
        <v>2</v>
      </c>
      <c r="I23" s="98">
        <f t="shared" si="2"/>
        <v>4</v>
      </c>
      <c r="J23" s="99">
        <f t="shared" si="3"/>
        <v>144000000</v>
      </c>
      <c r="K23" s="99">
        <f t="shared" si="4"/>
        <v>230400000</v>
      </c>
      <c r="L23" s="98">
        <f t="shared" ref="L23:M23" si="18">J23/$B$5</f>
        <v>4000</v>
      </c>
      <c r="M23" s="98">
        <f t="shared" si="18"/>
        <v>6400</v>
      </c>
      <c r="N23" s="12"/>
    </row>
    <row r="24" spans="1:14" ht="15.75" customHeight="1" x14ac:dyDescent="0.25">
      <c r="A24" s="96" t="s">
        <v>371</v>
      </c>
      <c r="B24" s="98">
        <v>60</v>
      </c>
      <c r="C24" s="98">
        <v>8</v>
      </c>
      <c r="D24" s="98">
        <v>0.5</v>
      </c>
      <c r="E24" s="98">
        <v>1</v>
      </c>
      <c r="F24" s="98">
        <f t="shared" si="0"/>
        <v>4</v>
      </c>
      <c r="G24" s="98">
        <f t="shared" si="1"/>
        <v>8</v>
      </c>
      <c r="H24" s="99">
        <v>1</v>
      </c>
      <c r="I24" s="98">
        <f t="shared" si="2"/>
        <v>8</v>
      </c>
      <c r="J24" s="99">
        <f t="shared" si="3"/>
        <v>8640000</v>
      </c>
      <c r="K24" s="99">
        <f t="shared" si="4"/>
        <v>17280000</v>
      </c>
      <c r="L24" s="98">
        <f t="shared" ref="L24:M24" si="19">J24/$B$5</f>
        <v>240</v>
      </c>
      <c r="M24" s="98">
        <f t="shared" si="19"/>
        <v>480</v>
      </c>
      <c r="N24" s="12"/>
    </row>
    <row r="25" spans="1:14" ht="15.75" customHeight="1" x14ac:dyDescent="0.25">
      <c r="A25" s="96" t="s">
        <v>372</v>
      </c>
      <c r="B25" s="98">
        <v>1020</v>
      </c>
      <c r="C25" s="98">
        <v>8</v>
      </c>
      <c r="D25" s="98">
        <v>0.4</v>
      </c>
      <c r="E25" s="98">
        <v>0.8</v>
      </c>
      <c r="F25" s="98">
        <f t="shared" si="0"/>
        <v>3.2</v>
      </c>
      <c r="G25" s="98">
        <f t="shared" si="1"/>
        <v>6.4</v>
      </c>
      <c r="H25" s="99">
        <v>1</v>
      </c>
      <c r="I25" s="98">
        <f t="shared" si="2"/>
        <v>8</v>
      </c>
      <c r="J25" s="99">
        <f t="shared" si="3"/>
        <v>117504000</v>
      </c>
      <c r="K25" s="99">
        <f t="shared" si="4"/>
        <v>235008000</v>
      </c>
      <c r="L25" s="98">
        <f t="shared" ref="L25:M25" si="20">J25/$B$5</f>
        <v>3264</v>
      </c>
      <c r="M25" s="98">
        <f t="shared" si="20"/>
        <v>6528</v>
      </c>
      <c r="N25" s="12"/>
    </row>
    <row r="26" spans="1:14" ht="15.75" customHeight="1" x14ac:dyDescent="0.25">
      <c r="A26" s="96" t="s">
        <v>373</v>
      </c>
      <c r="B26" s="98">
        <v>60</v>
      </c>
      <c r="C26" s="98">
        <v>8</v>
      </c>
      <c r="D26" s="98">
        <v>0.9</v>
      </c>
      <c r="E26" s="98">
        <v>1</v>
      </c>
      <c r="F26" s="98">
        <f t="shared" si="0"/>
        <v>7.2</v>
      </c>
      <c r="G26" s="98">
        <f t="shared" si="1"/>
        <v>8</v>
      </c>
      <c r="H26" s="99">
        <v>1</v>
      </c>
      <c r="I26" s="98">
        <f t="shared" si="2"/>
        <v>8</v>
      </c>
      <c r="J26" s="99">
        <f t="shared" si="3"/>
        <v>15552000</v>
      </c>
      <c r="K26" s="99">
        <f t="shared" si="4"/>
        <v>17280000</v>
      </c>
      <c r="L26" s="98">
        <f t="shared" ref="L26:M26" si="21">J26/$B$5</f>
        <v>432</v>
      </c>
      <c r="M26" s="98">
        <f t="shared" si="21"/>
        <v>480</v>
      </c>
      <c r="N26" s="101"/>
    </row>
    <row r="27" spans="1:14" ht="15.75" customHeight="1" x14ac:dyDescent="0.25">
      <c r="A27" s="96" t="s">
        <v>374</v>
      </c>
      <c r="B27" s="98">
        <v>60</v>
      </c>
      <c r="C27" s="98">
        <v>8</v>
      </c>
      <c r="D27" s="98">
        <v>0.3</v>
      </c>
      <c r="E27" s="98">
        <v>0.8</v>
      </c>
      <c r="F27" s="98">
        <f t="shared" si="0"/>
        <v>2.4</v>
      </c>
      <c r="G27" s="98">
        <f t="shared" si="1"/>
        <v>6.4</v>
      </c>
      <c r="H27" s="99">
        <v>1</v>
      </c>
      <c r="I27" s="98">
        <f t="shared" si="2"/>
        <v>8</v>
      </c>
      <c r="J27" s="99">
        <f t="shared" si="3"/>
        <v>5184000</v>
      </c>
      <c r="K27" s="99">
        <f t="shared" si="4"/>
        <v>13824000</v>
      </c>
      <c r="L27" s="98">
        <f t="shared" ref="L27:M27" si="22">J27/$B$5</f>
        <v>144</v>
      </c>
      <c r="M27" s="98">
        <f t="shared" si="22"/>
        <v>384</v>
      </c>
      <c r="N27" s="12"/>
    </row>
    <row r="28" spans="1:14" ht="15.75" customHeight="1" x14ac:dyDescent="0.25">
      <c r="A28" s="96" t="s">
        <v>375</v>
      </c>
      <c r="B28" s="98">
        <v>60</v>
      </c>
      <c r="C28" s="98">
        <v>8</v>
      </c>
      <c r="D28" s="98">
        <v>1</v>
      </c>
      <c r="E28" s="98">
        <v>1.5</v>
      </c>
      <c r="F28" s="98">
        <f t="shared" si="0"/>
        <v>8</v>
      </c>
      <c r="G28" s="98">
        <f t="shared" si="1"/>
        <v>12</v>
      </c>
      <c r="H28" s="99">
        <v>1</v>
      </c>
      <c r="I28" s="98">
        <f t="shared" si="2"/>
        <v>8</v>
      </c>
      <c r="J28" s="99">
        <f t="shared" si="3"/>
        <v>17280000</v>
      </c>
      <c r="K28" s="99">
        <f t="shared" si="4"/>
        <v>25920000</v>
      </c>
      <c r="L28" s="98">
        <f t="shared" ref="L28:M28" si="23">J28/$B$5</f>
        <v>480</v>
      </c>
      <c r="M28" s="98">
        <f t="shared" si="23"/>
        <v>720</v>
      </c>
      <c r="N28" s="12"/>
    </row>
    <row r="29" spans="1:14" ht="15.75" customHeight="1" x14ac:dyDescent="0.25">
      <c r="A29" s="96" t="s">
        <v>376</v>
      </c>
      <c r="B29" s="98">
        <v>100</v>
      </c>
      <c r="C29" s="98">
        <v>8</v>
      </c>
      <c r="D29" s="98">
        <v>0.8</v>
      </c>
      <c r="E29" s="98">
        <v>1.5</v>
      </c>
      <c r="F29" s="98">
        <f t="shared" si="0"/>
        <v>6.4</v>
      </c>
      <c r="G29" s="98">
        <f t="shared" si="1"/>
        <v>12</v>
      </c>
      <c r="H29" s="99">
        <v>1</v>
      </c>
      <c r="I29" s="98">
        <f t="shared" si="2"/>
        <v>8</v>
      </c>
      <c r="J29" s="99">
        <f t="shared" si="3"/>
        <v>23040000</v>
      </c>
      <c r="K29" s="99">
        <f t="shared" si="4"/>
        <v>43200000</v>
      </c>
      <c r="L29" s="98">
        <f t="shared" ref="L29:M29" si="24">J29/$B$5</f>
        <v>640</v>
      </c>
      <c r="M29" s="98">
        <f t="shared" si="24"/>
        <v>1200</v>
      </c>
      <c r="N29" s="12"/>
    </row>
    <row r="30" spans="1:14" ht="15.75" customHeight="1" x14ac:dyDescent="0.25">
      <c r="A30" s="102" t="s">
        <v>377</v>
      </c>
      <c r="B30" s="98">
        <v>100</v>
      </c>
      <c r="C30" s="97">
        <v>8</v>
      </c>
      <c r="D30" s="97">
        <v>0.7</v>
      </c>
      <c r="E30" s="97">
        <v>1</v>
      </c>
      <c r="F30" s="98">
        <f t="shared" si="0"/>
        <v>5.6</v>
      </c>
      <c r="G30" s="98">
        <f t="shared" si="1"/>
        <v>8</v>
      </c>
      <c r="H30" s="99">
        <v>1</v>
      </c>
      <c r="I30" s="98">
        <f t="shared" si="2"/>
        <v>8</v>
      </c>
      <c r="J30" s="99">
        <f t="shared" si="3"/>
        <v>20160000</v>
      </c>
      <c r="K30" s="99">
        <f t="shared" si="4"/>
        <v>28800000</v>
      </c>
      <c r="L30" s="98">
        <f t="shared" ref="L30:M30" si="25">J30/$B$5</f>
        <v>560</v>
      </c>
      <c r="M30" s="98">
        <f t="shared" si="25"/>
        <v>800</v>
      </c>
      <c r="N30" s="12"/>
    </row>
    <row r="31" spans="1:14" ht="15.75" customHeight="1" x14ac:dyDescent="0.25">
      <c r="A31" s="102" t="s">
        <v>378</v>
      </c>
      <c r="B31" s="97">
        <v>120</v>
      </c>
      <c r="C31" s="97">
        <v>8</v>
      </c>
      <c r="D31" s="97">
        <v>0.6</v>
      </c>
      <c r="E31" s="97">
        <v>1</v>
      </c>
      <c r="F31" s="98">
        <f t="shared" si="0"/>
        <v>4.8</v>
      </c>
      <c r="G31" s="98">
        <f t="shared" si="1"/>
        <v>8</v>
      </c>
      <c r="H31" s="99">
        <v>1</v>
      </c>
      <c r="I31" s="98">
        <f t="shared" si="2"/>
        <v>8</v>
      </c>
      <c r="J31" s="99">
        <f t="shared" si="3"/>
        <v>20736000</v>
      </c>
      <c r="K31" s="99">
        <f t="shared" si="4"/>
        <v>34560000</v>
      </c>
      <c r="L31" s="98">
        <f t="shared" ref="L31:M31" si="26">J31/$B$5</f>
        <v>576</v>
      </c>
      <c r="M31" s="98">
        <f t="shared" si="26"/>
        <v>960</v>
      </c>
      <c r="N31" s="12"/>
    </row>
    <row r="32" spans="1:14" ht="15.75" customHeight="1" x14ac:dyDescent="0.25">
      <c r="A32" s="102" t="s">
        <v>379</v>
      </c>
      <c r="B32" s="97">
        <v>120</v>
      </c>
      <c r="C32" s="97">
        <v>8</v>
      </c>
      <c r="D32" s="97">
        <v>0.4</v>
      </c>
      <c r="E32" s="97">
        <v>0.8</v>
      </c>
      <c r="F32" s="98">
        <f t="shared" si="0"/>
        <v>3.2</v>
      </c>
      <c r="G32" s="98">
        <f t="shared" si="1"/>
        <v>6.4</v>
      </c>
      <c r="H32" s="99">
        <v>1</v>
      </c>
      <c r="I32" s="98">
        <f t="shared" si="2"/>
        <v>8</v>
      </c>
      <c r="J32" s="99">
        <f t="shared" si="3"/>
        <v>13824000</v>
      </c>
      <c r="K32" s="99">
        <f t="shared" si="4"/>
        <v>27648000</v>
      </c>
      <c r="L32" s="98">
        <f t="shared" ref="L32:M32" si="27">J32/$B$5</f>
        <v>384</v>
      </c>
      <c r="M32" s="98">
        <f t="shared" si="27"/>
        <v>768</v>
      </c>
      <c r="N32" s="12"/>
    </row>
    <row r="33" spans="1:14" ht="15.75" customHeight="1" x14ac:dyDescent="0.25">
      <c r="A33" s="102" t="s">
        <v>380</v>
      </c>
      <c r="B33" s="97">
        <v>960</v>
      </c>
      <c r="C33" s="97">
        <v>8</v>
      </c>
      <c r="D33" s="97">
        <v>0.7</v>
      </c>
      <c r="E33" s="97">
        <v>1.5</v>
      </c>
      <c r="F33" s="98">
        <f t="shared" si="0"/>
        <v>5.6</v>
      </c>
      <c r="G33" s="98">
        <f t="shared" si="1"/>
        <v>12</v>
      </c>
      <c r="H33" s="103">
        <v>1</v>
      </c>
      <c r="I33" s="98">
        <f t="shared" si="2"/>
        <v>8</v>
      </c>
      <c r="J33" s="99">
        <f t="shared" si="3"/>
        <v>193536000</v>
      </c>
      <c r="K33" s="99">
        <f t="shared" si="4"/>
        <v>414720000</v>
      </c>
      <c r="L33" s="98">
        <f t="shared" ref="L33:M33" si="28">J33/$B$5</f>
        <v>5376</v>
      </c>
      <c r="M33" s="98">
        <f t="shared" si="28"/>
        <v>11520</v>
      </c>
      <c r="N33" s="12"/>
    </row>
    <row r="34" spans="1:14" ht="15.75" customHeight="1" x14ac:dyDescent="0.25">
      <c r="A34" s="102" t="s">
        <v>381</v>
      </c>
      <c r="B34" s="97">
        <v>960</v>
      </c>
      <c r="C34" s="97">
        <v>8</v>
      </c>
      <c r="D34" s="97">
        <v>0.4</v>
      </c>
      <c r="E34" s="97">
        <v>1</v>
      </c>
      <c r="F34" s="98">
        <f t="shared" si="0"/>
        <v>3.2</v>
      </c>
      <c r="G34" s="98">
        <f t="shared" si="1"/>
        <v>8</v>
      </c>
      <c r="H34" s="103">
        <v>1</v>
      </c>
      <c r="I34" s="98">
        <f t="shared" si="2"/>
        <v>8</v>
      </c>
      <c r="J34" s="99">
        <f t="shared" si="3"/>
        <v>110592000</v>
      </c>
      <c r="K34" s="99">
        <f t="shared" si="4"/>
        <v>276480000</v>
      </c>
      <c r="L34" s="98">
        <f t="shared" ref="L34:M34" si="29">J34/$B$5</f>
        <v>3072</v>
      </c>
      <c r="M34" s="98">
        <f t="shared" si="29"/>
        <v>7680</v>
      </c>
      <c r="N34" s="12"/>
    </row>
    <row r="35" spans="1:14" ht="15.75" customHeight="1" x14ac:dyDescent="0.25">
      <c r="A35" s="102" t="s">
        <v>382</v>
      </c>
      <c r="B35" s="97">
        <v>130</v>
      </c>
      <c r="C35" s="97">
        <v>8</v>
      </c>
      <c r="D35" s="97">
        <v>0.5</v>
      </c>
      <c r="E35" s="97">
        <v>0.8</v>
      </c>
      <c r="F35" s="98">
        <f t="shared" si="0"/>
        <v>4</v>
      </c>
      <c r="G35" s="98">
        <f t="shared" si="1"/>
        <v>6.4</v>
      </c>
      <c r="H35" s="103">
        <v>1</v>
      </c>
      <c r="I35" s="98">
        <f t="shared" si="2"/>
        <v>8</v>
      </c>
      <c r="J35" s="99">
        <f t="shared" si="3"/>
        <v>18720000</v>
      </c>
      <c r="K35" s="99">
        <f t="shared" si="4"/>
        <v>29952000</v>
      </c>
      <c r="L35" s="98">
        <f t="shared" ref="L35:M35" si="30">J35/$B$5</f>
        <v>520</v>
      </c>
      <c r="M35" s="98">
        <f t="shared" si="30"/>
        <v>832</v>
      </c>
      <c r="N35" s="12"/>
    </row>
    <row r="36" spans="1:14" ht="15.75" customHeight="1" x14ac:dyDescent="0.25">
      <c r="A36" s="102" t="s">
        <v>383</v>
      </c>
      <c r="B36" s="97">
        <v>200</v>
      </c>
      <c r="C36" s="97">
        <v>8</v>
      </c>
      <c r="D36" s="97">
        <v>0.8</v>
      </c>
      <c r="E36" s="97">
        <v>1.2</v>
      </c>
      <c r="F36" s="98">
        <f t="shared" si="0"/>
        <v>6.4</v>
      </c>
      <c r="G36" s="98">
        <f t="shared" si="1"/>
        <v>9.6</v>
      </c>
      <c r="H36" s="103">
        <v>2</v>
      </c>
      <c r="I36" s="98">
        <f t="shared" si="2"/>
        <v>4</v>
      </c>
      <c r="J36" s="99">
        <f t="shared" si="3"/>
        <v>46080000</v>
      </c>
      <c r="K36" s="99">
        <f t="shared" si="4"/>
        <v>69120000</v>
      </c>
      <c r="L36" s="98">
        <f t="shared" ref="L36:M36" si="31">J36/$B$5</f>
        <v>1280</v>
      </c>
      <c r="M36" s="98">
        <f t="shared" si="31"/>
        <v>1920</v>
      </c>
      <c r="N36" s="12"/>
    </row>
    <row r="37" spans="1:14" ht="15.75" customHeight="1" x14ac:dyDescent="0.25">
      <c r="A37" s="102" t="s">
        <v>384</v>
      </c>
      <c r="B37" s="97">
        <v>300</v>
      </c>
      <c r="C37" s="97">
        <v>8</v>
      </c>
      <c r="D37" s="98">
        <v>0.9</v>
      </c>
      <c r="E37" s="98">
        <v>1</v>
      </c>
      <c r="F37" s="98">
        <f t="shared" si="0"/>
        <v>7.2</v>
      </c>
      <c r="G37" s="98">
        <f t="shared" si="1"/>
        <v>8</v>
      </c>
      <c r="H37" s="103">
        <v>2</v>
      </c>
      <c r="I37" s="98">
        <f t="shared" si="2"/>
        <v>4</v>
      </c>
      <c r="J37" s="99">
        <f t="shared" si="3"/>
        <v>77760000</v>
      </c>
      <c r="K37" s="99">
        <f t="shared" si="4"/>
        <v>86400000</v>
      </c>
      <c r="L37" s="98">
        <f t="shared" ref="L37:M37" si="32">J37/$B$5</f>
        <v>2160</v>
      </c>
      <c r="M37" s="98">
        <f t="shared" si="32"/>
        <v>2400</v>
      </c>
      <c r="N37" s="12"/>
    </row>
    <row r="38" spans="1:14" ht="15.75" customHeight="1" x14ac:dyDescent="0.25">
      <c r="A38" s="102" t="s">
        <v>385</v>
      </c>
      <c r="B38" s="97">
        <v>250</v>
      </c>
      <c r="C38" s="97">
        <v>8</v>
      </c>
      <c r="D38" s="98">
        <v>0.3</v>
      </c>
      <c r="E38" s="98">
        <v>1.8</v>
      </c>
      <c r="F38" s="98">
        <f t="shared" si="0"/>
        <v>2.4</v>
      </c>
      <c r="G38" s="98">
        <f t="shared" si="1"/>
        <v>14.4</v>
      </c>
      <c r="H38" s="103">
        <v>1</v>
      </c>
      <c r="I38" s="98">
        <f t="shared" si="2"/>
        <v>8</v>
      </c>
      <c r="J38" s="99">
        <f t="shared" si="3"/>
        <v>21600000</v>
      </c>
      <c r="K38" s="99">
        <f t="shared" si="4"/>
        <v>129600000</v>
      </c>
      <c r="L38" s="98">
        <f t="shared" ref="L38:M38" si="33">J38/$B$5</f>
        <v>600</v>
      </c>
      <c r="M38" s="98">
        <f t="shared" si="33"/>
        <v>3600</v>
      </c>
      <c r="N38" s="12"/>
    </row>
    <row r="39" spans="1:14" ht="15.75" customHeight="1" x14ac:dyDescent="0.25">
      <c r="A39" s="102" t="s">
        <v>386</v>
      </c>
      <c r="B39" s="97">
        <v>320</v>
      </c>
      <c r="C39" s="97">
        <v>8</v>
      </c>
      <c r="D39" s="98">
        <v>1.2</v>
      </c>
      <c r="E39" s="98">
        <v>2</v>
      </c>
      <c r="F39" s="98">
        <f t="shared" si="0"/>
        <v>9.6</v>
      </c>
      <c r="G39" s="98">
        <f t="shared" si="1"/>
        <v>16</v>
      </c>
      <c r="H39" s="103">
        <v>1</v>
      </c>
      <c r="I39" s="98">
        <f t="shared" si="2"/>
        <v>8</v>
      </c>
      <c r="J39" s="99">
        <f t="shared" si="3"/>
        <v>110592000</v>
      </c>
      <c r="K39" s="99">
        <f t="shared" si="4"/>
        <v>184320000</v>
      </c>
      <c r="L39" s="98">
        <f t="shared" ref="L39:M39" si="34">J39/$B$5</f>
        <v>3072</v>
      </c>
      <c r="M39" s="98">
        <f t="shared" si="34"/>
        <v>5120</v>
      </c>
      <c r="N39" s="12"/>
    </row>
    <row r="40" spans="1:14" ht="15.75" customHeight="1" x14ac:dyDescent="0.25">
      <c r="A40" s="96" t="s">
        <v>387</v>
      </c>
      <c r="B40" s="97">
        <v>320</v>
      </c>
      <c r="C40" s="97">
        <v>8</v>
      </c>
      <c r="D40" s="98">
        <v>1.2</v>
      </c>
      <c r="E40" s="98">
        <v>2</v>
      </c>
      <c r="F40" s="98">
        <f t="shared" si="0"/>
        <v>9.6</v>
      </c>
      <c r="G40" s="98">
        <f t="shared" si="1"/>
        <v>16</v>
      </c>
      <c r="H40" s="103">
        <v>1</v>
      </c>
      <c r="I40" s="98">
        <f t="shared" si="2"/>
        <v>8</v>
      </c>
      <c r="J40" s="99">
        <f t="shared" si="3"/>
        <v>110592000</v>
      </c>
      <c r="K40" s="99">
        <f t="shared" si="4"/>
        <v>184320000</v>
      </c>
      <c r="L40" s="98">
        <f t="shared" ref="L40:M40" si="35">J40/$B$5</f>
        <v>3072</v>
      </c>
      <c r="M40" s="98">
        <f t="shared" si="35"/>
        <v>5120</v>
      </c>
      <c r="N40" s="12"/>
    </row>
    <row r="41" spans="1:14" ht="15.75" customHeight="1" x14ac:dyDescent="0.25">
      <c r="A41" s="96" t="s">
        <v>388</v>
      </c>
      <c r="B41" s="97">
        <v>150</v>
      </c>
      <c r="C41" s="97">
        <v>8</v>
      </c>
      <c r="D41" s="97">
        <v>0.8</v>
      </c>
      <c r="E41" s="98">
        <v>1</v>
      </c>
      <c r="F41" s="98">
        <f t="shared" si="0"/>
        <v>6.4</v>
      </c>
      <c r="G41" s="98">
        <f t="shared" si="1"/>
        <v>8</v>
      </c>
      <c r="H41" s="103">
        <v>1</v>
      </c>
      <c r="I41" s="98">
        <f t="shared" si="2"/>
        <v>8</v>
      </c>
      <c r="J41" s="99">
        <f t="shared" si="3"/>
        <v>34560000</v>
      </c>
      <c r="K41" s="99">
        <f t="shared" si="4"/>
        <v>43200000</v>
      </c>
      <c r="L41" s="98">
        <f t="shared" ref="L41:M41" si="36">J41/$B$5</f>
        <v>960</v>
      </c>
      <c r="M41" s="98">
        <f t="shared" si="36"/>
        <v>1200</v>
      </c>
      <c r="N41" s="12"/>
    </row>
    <row r="42" spans="1:14" ht="15.75" customHeight="1" x14ac:dyDescent="0.25">
      <c r="A42" s="104" t="s">
        <v>85</v>
      </c>
      <c r="B42" s="105">
        <f>SUM(B9:B41)</f>
        <v>8639</v>
      </c>
      <c r="C42" s="105"/>
      <c r="D42" s="105"/>
      <c r="E42" s="105"/>
      <c r="F42" s="105"/>
      <c r="G42" s="105"/>
      <c r="H42" s="106">
        <f>SUM(H9:H41)</f>
        <v>46</v>
      </c>
      <c r="I42" s="105"/>
      <c r="J42" s="106">
        <f t="shared" ref="J42:M42" si="37">SUM(J9:J41)</f>
        <v>1696723200</v>
      </c>
      <c r="K42" s="106">
        <f t="shared" si="37"/>
        <v>3054960000</v>
      </c>
      <c r="L42" s="106">
        <f t="shared" si="37"/>
        <v>47131.199999999997</v>
      </c>
      <c r="M42" s="106">
        <f t="shared" si="37"/>
        <v>84860</v>
      </c>
      <c r="N42" s="12"/>
    </row>
    <row r="43" spans="1:14" ht="15.75" customHeight="1" x14ac:dyDescent="0.25">
      <c r="A43" s="107"/>
      <c r="B43" s="107">
        <f>(B42*8)</f>
        <v>69112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</row>
    <row r="44" spans="1:14" ht="15.75" customHeight="1" x14ac:dyDescent="0.2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9"/>
    </row>
    <row r="45" spans="1:14" ht="15.75" customHeight="1" x14ac:dyDescent="0.25">
      <c r="A45" s="110"/>
      <c r="B45" s="111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09"/>
    </row>
    <row r="46" spans="1:14" ht="15.75" customHeight="1" x14ac:dyDescent="0.25">
      <c r="A46" s="113"/>
      <c r="B46" s="114"/>
      <c r="C46" s="114"/>
      <c r="D46" s="114"/>
      <c r="E46" s="114"/>
      <c r="F46" s="114"/>
      <c r="G46" s="114"/>
      <c r="H46" s="115"/>
      <c r="I46" s="114"/>
      <c r="J46" s="115"/>
      <c r="K46" s="115"/>
      <c r="L46" s="114"/>
      <c r="M46" s="114"/>
      <c r="N46" s="109"/>
    </row>
    <row r="47" spans="1:14" ht="15.75" customHeight="1" x14ac:dyDescent="0.25">
      <c r="A47" s="113"/>
      <c r="B47" s="114"/>
      <c r="C47" s="114"/>
      <c r="D47" s="114"/>
      <c r="E47" s="114"/>
      <c r="F47" s="114"/>
      <c r="G47" s="114"/>
      <c r="H47" s="115"/>
      <c r="I47" s="114"/>
      <c r="J47" s="115"/>
      <c r="K47" s="115"/>
      <c r="L47" s="114"/>
      <c r="M47" s="114"/>
      <c r="N47" s="109"/>
    </row>
    <row r="48" spans="1:14" ht="15.75" customHeight="1" x14ac:dyDescent="0.25">
      <c r="A48" s="113"/>
      <c r="B48" s="116"/>
      <c r="C48" s="116"/>
      <c r="D48" s="116"/>
      <c r="E48" s="116"/>
      <c r="F48" s="116"/>
      <c r="G48" s="116"/>
      <c r="H48" s="117"/>
      <c r="I48" s="117"/>
      <c r="J48" s="117"/>
      <c r="K48" s="117"/>
      <c r="L48" s="117"/>
      <c r="M48" s="117"/>
      <c r="N48" s="109"/>
    </row>
    <row r="49" spans="1:13" ht="15.75" customHeight="1" x14ac:dyDescent="0.25">
      <c r="A49" s="118"/>
      <c r="B49" s="118"/>
      <c r="C49" s="118"/>
      <c r="D49" s="118"/>
      <c r="E49" s="118"/>
      <c r="F49" s="118"/>
      <c r="G49" s="118"/>
      <c r="H49" s="109"/>
    </row>
    <row r="50" spans="1:13" ht="15.75" customHeight="1" x14ac:dyDescent="0.25">
      <c r="A50" s="107"/>
      <c r="B50" s="107"/>
      <c r="C50" s="92"/>
      <c r="D50" s="92"/>
      <c r="E50" s="92"/>
      <c r="F50" s="92"/>
      <c r="G50" s="107"/>
    </row>
    <row r="51" spans="1:13" ht="15.75" customHeight="1" x14ac:dyDescent="0.25">
      <c r="A51" s="119"/>
      <c r="B51" s="120"/>
      <c r="C51" s="402" t="s">
        <v>389</v>
      </c>
      <c r="D51" s="403"/>
      <c r="E51" s="402" t="s">
        <v>390</v>
      </c>
      <c r="F51" s="403"/>
      <c r="G51" s="107"/>
    </row>
    <row r="52" spans="1:13" ht="15.75" customHeight="1" x14ac:dyDescent="0.25">
      <c r="A52" s="121"/>
      <c r="B52" s="122" t="s">
        <v>391</v>
      </c>
      <c r="C52" s="122" t="s">
        <v>392</v>
      </c>
      <c r="D52" s="122" t="s">
        <v>393</v>
      </c>
      <c r="E52" s="122" t="s">
        <v>394</v>
      </c>
      <c r="F52" s="122" t="s">
        <v>395</v>
      </c>
      <c r="G52" s="107"/>
    </row>
    <row r="53" spans="1:13" ht="15.75" customHeight="1" x14ac:dyDescent="0.25">
      <c r="A53" s="96" t="s">
        <v>357</v>
      </c>
      <c r="B53" s="99">
        <f t="shared" ref="B53:B77" si="38">H10</f>
        <v>1</v>
      </c>
      <c r="C53" s="98">
        <f t="shared" ref="C53:C84" si="39">($B$6*D10)</f>
        <v>368</v>
      </c>
      <c r="D53" s="99">
        <f t="shared" ref="D53:D84" si="40">C53*$B$5</f>
        <v>13248000</v>
      </c>
      <c r="E53" s="123">
        <f t="shared" ref="E53:E84" si="41">(B$6*E10)</f>
        <v>640</v>
      </c>
      <c r="F53" s="99">
        <f t="shared" ref="F53:F84" si="42">E53*B$5</f>
        <v>23040000</v>
      </c>
      <c r="G53" s="107"/>
    </row>
    <row r="54" spans="1:13" ht="15.75" customHeight="1" x14ac:dyDescent="0.25">
      <c r="A54" s="96" t="s">
        <v>358</v>
      </c>
      <c r="B54" s="99">
        <f t="shared" si="38"/>
        <v>2</v>
      </c>
      <c r="C54" s="98">
        <f t="shared" si="39"/>
        <v>96</v>
      </c>
      <c r="D54" s="99">
        <f t="shared" si="40"/>
        <v>3456000</v>
      </c>
      <c r="E54" s="123">
        <f t="shared" si="41"/>
        <v>192</v>
      </c>
      <c r="F54" s="99">
        <f t="shared" si="42"/>
        <v>6912000</v>
      </c>
      <c r="G54" s="107"/>
    </row>
    <row r="55" spans="1:13" ht="15.75" customHeight="1" x14ac:dyDescent="0.25">
      <c r="A55" s="96" t="s">
        <v>359</v>
      </c>
      <c r="B55" s="99">
        <f t="shared" si="38"/>
        <v>2</v>
      </c>
      <c r="C55" s="98">
        <f t="shared" si="39"/>
        <v>48</v>
      </c>
      <c r="D55" s="99">
        <f t="shared" si="40"/>
        <v>1728000</v>
      </c>
      <c r="E55" s="123">
        <f t="shared" si="41"/>
        <v>160</v>
      </c>
      <c r="F55" s="99">
        <f t="shared" si="42"/>
        <v>5760000</v>
      </c>
      <c r="G55" s="107"/>
    </row>
    <row r="56" spans="1:13" ht="15.75" customHeight="1" x14ac:dyDescent="0.25">
      <c r="A56" s="96" t="s">
        <v>360</v>
      </c>
      <c r="B56" s="99">
        <f t="shared" si="38"/>
        <v>1</v>
      </c>
      <c r="C56" s="98">
        <f t="shared" si="39"/>
        <v>160</v>
      </c>
      <c r="D56" s="99">
        <f t="shared" si="40"/>
        <v>5760000</v>
      </c>
      <c r="E56" s="123">
        <f t="shared" si="41"/>
        <v>240</v>
      </c>
      <c r="F56" s="99">
        <f t="shared" si="42"/>
        <v>8640000</v>
      </c>
      <c r="G56" s="107"/>
    </row>
    <row r="57" spans="1:13" ht="15.75" customHeight="1" x14ac:dyDescent="0.25">
      <c r="A57" s="96" t="s">
        <v>361</v>
      </c>
      <c r="B57" s="99">
        <f t="shared" si="38"/>
        <v>4</v>
      </c>
      <c r="C57" s="98">
        <f t="shared" si="39"/>
        <v>80</v>
      </c>
      <c r="D57" s="99">
        <f t="shared" si="40"/>
        <v>2880000</v>
      </c>
      <c r="E57" s="123">
        <f t="shared" si="41"/>
        <v>160</v>
      </c>
      <c r="F57" s="99">
        <f t="shared" si="42"/>
        <v>5760000</v>
      </c>
      <c r="G57" s="107"/>
    </row>
    <row r="58" spans="1:13" ht="15.75" customHeight="1" x14ac:dyDescent="0.25">
      <c r="A58" s="96" t="s">
        <v>362</v>
      </c>
      <c r="B58" s="99">
        <f t="shared" si="38"/>
        <v>2</v>
      </c>
      <c r="C58" s="98">
        <f t="shared" si="39"/>
        <v>48</v>
      </c>
      <c r="D58" s="99">
        <f t="shared" si="40"/>
        <v>1728000</v>
      </c>
      <c r="E58" s="123">
        <f t="shared" si="41"/>
        <v>128</v>
      </c>
      <c r="F58" s="99">
        <f t="shared" si="42"/>
        <v>4608000</v>
      </c>
      <c r="G58" s="107"/>
    </row>
    <row r="59" spans="1:13" ht="15.75" customHeight="1" x14ac:dyDescent="0.25">
      <c r="A59" s="96" t="s">
        <v>363</v>
      </c>
      <c r="B59" s="99">
        <f t="shared" si="38"/>
        <v>2</v>
      </c>
      <c r="C59" s="98">
        <f t="shared" si="39"/>
        <v>160</v>
      </c>
      <c r="D59" s="99">
        <f t="shared" si="40"/>
        <v>5760000</v>
      </c>
      <c r="E59" s="123">
        <f t="shared" si="41"/>
        <v>160</v>
      </c>
      <c r="F59" s="99">
        <f t="shared" si="42"/>
        <v>5760000</v>
      </c>
      <c r="G59" s="107"/>
    </row>
    <row r="60" spans="1:13" ht="15.75" customHeight="1" x14ac:dyDescent="0.25">
      <c r="A60" s="96" t="s">
        <v>364</v>
      </c>
      <c r="B60" s="99">
        <f t="shared" si="38"/>
        <v>2</v>
      </c>
      <c r="C60" s="98">
        <f t="shared" si="39"/>
        <v>80</v>
      </c>
      <c r="D60" s="99">
        <f t="shared" si="40"/>
        <v>2880000</v>
      </c>
      <c r="E60" s="123">
        <f t="shared" si="41"/>
        <v>128</v>
      </c>
      <c r="F60" s="99">
        <f t="shared" si="42"/>
        <v>4608000</v>
      </c>
      <c r="G60" s="107"/>
      <c r="H60" s="107"/>
      <c r="I60" s="107"/>
      <c r="J60" s="107"/>
      <c r="K60" s="107"/>
      <c r="L60" s="107"/>
      <c r="M60" s="107"/>
    </row>
    <row r="61" spans="1:13" ht="15.75" customHeight="1" x14ac:dyDescent="0.25">
      <c r="A61" s="96" t="s">
        <v>365</v>
      </c>
      <c r="B61" s="99">
        <f t="shared" si="38"/>
        <v>1</v>
      </c>
      <c r="C61" s="98">
        <f t="shared" si="39"/>
        <v>208</v>
      </c>
      <c r="D61" s="99">
        <f t="shared" si="40"/>
        <v>7488000</v>
      </c>
      <c r="E61" s="123">
        <f t="shared" si="41"/>
        <v>400</v>
      </c>
      <c r="F61" s="99">
        <f t="shared" si="42"/>
        <v>14400000</v>
      </c>
      <c r="G61" s="107"/>
      <c r="H61" s="107"/>
      <c r="I61" s="107"/>
      <c r="J61" s="107"/>
      <c r="K61" s="107"/>
      <c r="L61" s="107"/>
      <c r="M61" s="107"/>
    </row>
    <row r="62" spans="1:13" ht="15.75" customHeight="1" x14ac:dyDescent="0.25">
      <c r="A62" s="96" t="s">
        <v>366</v>
      </c>
      <c r="B62" s="99">
        <f t="shared" si="38"/>
        <v>1</v>
      </c>
      <c r="C62" s="98">
        <f t="shared" si="39"/>
        <v>80</v>
      </c>
      <c r="D62" s="99">
        <f t="shared" si="40"/>
        <v>2880000</v>
      </c>
      <c r="E62" s="123">
        <f t="shared" si="41"/>
        <v>240</v>
      </c>
      <c r="F62" s="99">
        <f t="shared" si="42"/>
        <v>8640000</v>
      </c>
      <c r="G62" s="107"/>
      <c r="H62" s="107"/>
      <c r="I62" s="107"/>
      <c r="J62" s="107"/>
      <c r="K62" s="107"/>
      <c r="L62" s="107"/>
      <c r="M62" s="107"/>
    </row>
    <row r="63" spans="1:13" ht="15.75" customHeight="1" x14ac:dyDescent="0.25">
      <c r="A63" s="96" t="s">
        <v>367</v>
      </c>
      <c r="B63" s="99">
        <f t="shared" si="38"/>
        <v>2</v>
      </c>
      <c r="C63" s="98">
        <f t="shared" si="39"/>
        <v>112</v>
      </c>
      <c r="D63" s="99">
        <f t="shared" si="40"/>
        <v>4032000</v>
      </c>
      <c r="E63" s="123">
        <f t="shared" si="41"/>
        <v>160</v>
      </c>
      <c r="F63" s="99">
        <f t="shared" si="42"/>
        <v>5760000</v>
      </c>
      <c r="G63" s="107"/>
      <c r="H63" s="107"/>
      <c r="I63" s="107"/>
      <c r="J63" s="107"/>
      <c r="K63" s="107"/>
      <c r="L63" s="107"/>
      <c r="M63" s="107"/>
    </row>
    <row r="64" spans="1:13" ht="15.75" customHeight="1" x14ac:dyDescent="0.25">
      <c r="A64" s="96" t="s">
        <v>368</v>
      </c>
      <c r="B64" s="99">
        <f t="shared" si="38"/>
        <v>2</v>
      </c>
      <c r="C64" s="98">
        <f t="shared" si="39"/>
        <v>80</v>
      </c>
      <c r="D64" s="99">
        <f t="shared" si="40"/>
        <v>2880000</v>
      </c>
      <c r="E64" s="123">
        <f t="shared" si="41"/>
        <v>128</v>
      </c>
      <c r="F64" s="99">
        <f t="shared" si="42"/>
        <v>4608000</v>
      </c>
      <c r="G64" s="107"/>
      <c r="H64" s="107"/>
      <c r="I64" s="107"/>
      <c r="J64" s="107"/>
      <c r="K64" s="107"/>
      <c r="L64" s="107"/>
      <c r="M64" s="107"/>
    </row>
    <row r="65" spans="1:13" ht="15.75" customHeight="1" x14ac:dyDescent="0.25">
      <c r="A65" s="96" t="s">
        <v>369</v>
      </c>
      <c r="B65" s="99">
        <f t="shared" si="38"/>
        <v>2</v>
      </c>
      <c r="C65" s="98">
        <f t="shared" si="39"/>
        <v>128</v>
      </c>
      <c r="D65" s="99">
        <f t="shared" si="40"/>
        <v>4608000</v>
      </c>
      <c r="E65" s="123">
        <f t="shared" si="41"/>
        <v>160</v>
      </c>
      <c r="F65" s="99">
        <f t="shared" si="42"/>
        <v>5760000</v>
      </c>
      <c r="G65" s="107"/>
      <c r="H65" s="107"/>
      <c r="I65" s="107"/>
      <c r="J65" s="107"/>
      <c r="K65" s="107"/>
      <c r="L65" s="107"/>
      <c r="M65" s="107"/>
    </row>
    <row r="66" spans="1:13" ht="15.75" customHeight="1" x14ac:dyDescent="0.25">
      <c r="A66" s="96" t="s">
        <v>370</v>
      </c>
      <c r="B66" s="99">
        <f t="shared" si="38"/>
        <v>2</v>
      </c>
      <c r="C66" s="98">
        <f t="shared" si="39"/>
        <v>80</v>
      </c>
      <c r="D66" s="99">
        <f t="shared" si="40"/>
        <v>2880000</v>
      </c>
      <c r="E66" s="123">
        <f t="shared" si="41"/>
        <v>128</v>
      </c>
      <c r="F66" s="99">
        <f t="shared" si="42"/>
        <v>4608000</v>
      </c>
      <c r="G66" s="107"/>
      <c r="H66" s="107"/>
      <c r="I66" s="107"/>
      <c r="J66" s="107"/>
      <c r="K66" s="107"/>
      <c r="L66" s="107"/>
      <c r="M66" s="107"/>
    </row>
    <row r="67" spans="1:13" ht="15.75" customHeight="1" x14ac:dyDescent="0.25">
      <c r="A67" s="96" t="s">
        <v>371</v>
      </c>
      <c r="B67" s="99">
        <f t="shared" si="38"/>
        <v>1</v>
      </c>
      <c r="C67" s="98">
        <f t="shared" si="39"/>
        <v>80</v>
      </c>
      <c r="D67" s="99">
        <f t="shared" si="40"/>
        <v>2880000</v>
      </c>
      <c r="E67" s="123">
        <f t="shared" si="41"/>
        <v>160</v>
      </c>
      <c r="F67" s="99">
        <f t="shared" si="42"/>
        <v>5760000</v>
      </c>
      <c r="G67" s="107"/>
      <c r="H67" s="107"/>
      <c r="I67" s="107"/>
      <c r="J67" s="107"/>
      <c r="K67" s="107"/>
      <c r="L67" s="107"/>
      <c r="M67" s="107"/>
    </row>
    <row r="68" spans="1:13" ht="15.75" customHeight="1" x14ac:dyDescent="0.25">
      <c r="A68" s="96" t="s">
        <v>372</v>
      </c>
      <c r="B68" s="99">
        <f t="shared" si="38"/>
        <v>1</v>
      </c>
      <c r="C68" s="98">
        <f t="shared" si="39"/>
        <v>64</v>
      </c>
      <c r="D68" s="99">
        <f t="shared" si="40"/>
        <v>2304000</v>
      </c>
      <c r="E68" s="123">
        <f t="shared" si="41"/>
        <v>128</v>
      </c>
      <c r="F68" s="99">
        <f t="shared" si="42"/>
        <v>4608000</v>
      </c>
      <c r="G68" s="107"/>
      <c r="H68" s="107"/>
      <c r="I68" s="107"/>
      <c r="J68" s="107"/>
      <c r="K68" s="107"/>
      <c r="L68" s="107"/>
      <c r="M68" s="107"/>
    </row>
    <row r="69" spans="1:13" ht="15.75" customHeight="1" x14ac:dyDescent="0.25">
      <c r="A69" s="96" t="s">
        <v>373</v>
      </c>
      <c r="B69" s="99">
        <f t="shared" si="38"/>
        <v>1</v>
      </c>
      <c r="C69" s="98">
        <f t="shared" si="39"/>
        <v>144</v>
      </c>
      <c r="D69" s="99">
        <f t="shared" si="40"/>
        <v>5184000</v>
      </c>
      <c r="E69" s="123">
        <f t="shared" si="41"/>
        <v>160</v>
      </c>
      <c r="F69" s="99">
        <f t="shared" si="42"/>
        <v>5760000</v>
      </c>
      <c r="G69" s="107"/>
      <c r="H69" s="107"/>
      <c r="I69" s="107"/>
      <c r="J69" s="107"/>
      <c r="K69" s="107"/>
      <c r="L69" s="107"/>
      <c r="M69" s="107"/>
    </row>
    <row r="70" spans="1:13" ht="15.75" customHeight="1" x14ac:dyDescent="0.25">
      <c r="A70" s="96" t="s">
        <v>374</v>
      </c>
      <c r="B70" s="99">
        <f t="shared" si="38"/>
        <v>1</v>
      </c>
      <c r="C70" s="98">
        <f t="shared" si="39"/>
        <v>48</v>
      </c>
      <c r="D70" s="99">
        <f t="shared" si="40"/>
        <v>1728000</v>
      </c>
      <c r="E70" s="123">
        <f t="shared" si="41"/>
        <v>128</v>
      </c>
      <c r="F70" s="99">
        <f t="shared" si="42"/>
        <v>4608000</v>
      </c>
      <c r="G70" s="107"/>
      <c r="H70" s="107"/>
      <c r="I70" s="107"/>
      <c r="J70" s="107"/>
      <c r="K70" s="107"/>
      <c r="L70" s="107"/>
      <c r="M70" s="107"/>
    </row>
    <row r="71" spans="1:13" ht="15.75" customHeight="1" x14ac:dyDescent="0.25">
      <c r="A71" s="96" t="s">
        <v>375</v>
      </c>
      <c r="B71" s="99">
        <f t="shared" si="38"/>
        <v>1</v>
      </c>
      <c r="C71" s="98">
        <f t="shared" si="39"/>
        <v>160</v>
      </c>
      <c r="D71" s="99">
        <f t="shared" si="40"/>
        <v>5760000</v>
      </c>
      <c r="E71" s="123">
        <f t="shared" si="41"/>
        <v>240</v>
      </c>
      <c r="F71" s="99">
        <f t="shared" si="42"/>
        <v>8640000</v>
      </c>
      <c r="G71" s="107"/>
      <c r="H71" s="107"/>
      <c r="I71" s="107"/>
      <c r="J71" s="107"/>
      <c r="K71" s="107"/>
      <c r="L71" s="107"/>
      <c r="M71" s="107"/>
    </row>
    <row r="72" spans="1:13" ht="15.75" customHeight="1" x14ac:dyDescent="0.25">
      <c r="A72" s="96" t="s">
        <v>376</v>
      </c>
      <c r="B72" s="99">
        <f t="shared" si="38"/>
        <v>1</v>
      </c>
      <c r="C72" s="98">
        <f t="shared" si="39"/>
        <v>128</v>
      </c>
      <c r="D72" s="99">
        <f t="shared" si="40"/>
        <v>4608000</v>
      </c>
      <c r="E72" s="123">
        <f t="shared" si="41"/>
        <v>240</v>
      </c>
      <c r="F72" s="99">
        <f t="shared" si="42"/>
        <v>8640000</v>
      </c>
      <c r="G72" s="107"/>
      <c r="H72" s="107"/>
      <c r="I72" s="107"/>
      <c r="J72" s="107"/>
      <c r="K72" s="107"/>
      <c r="L72" s="107"/>
      <c r="M72" s="107"/>
    </row>
    <row r="73" spans="1:13" ht="15.75" customHeight="1" x14ac:dyDescent="0.25">
      <c r="A73" s="102" t="s">
        <v>377</v>
      </c>
      <c r="B73" s="99">
        <f t="shared" si="38"/>
        <v>1</v>
      </c>
      <c r="C73" s="98">
        <f t="shared" si="39"/>
        <v>112</v>
      </c>
      <c r="D73" s="99">
        <f t="shared" si="40"/>
        <v>4032000</v>
      </c>
      <c r="E73" s="123">
        <f t="shared" si="41"/>
        <v>160</v>
      </c>
      <c r="F73" s="99">
        <f t="shared" si="42"/>
        <v>5760000</v>
      </c>
      <c r="G73" s="107"/>
    </row>
    <row r="74" spans="1:13" ht="15.75" customHeight="1" x14ac:dyDescent="0.25">
      <c r="A74" s="102" t="s">
        <v>378</v>
      </c>
      <c r="B74" s="99">
        <f t="shared" si="38"/>
        <v>1</v>
      </c>
      <c r="C74" s="98">
        <f t="shared" si="39"/>
        <v>96</v>
      </c>
      <c r="D74" s="99">
        <f t="shared" si="40"/>
        <v>3456000</v>
      </c>
      <c r="E74" s="123">
        <f t="shared" si="41"/>
        <v>160</v>
      </c>
      <c r="F74" s="99">
        <f t="shared" si="42"/>
        <v>5760000</v>
      </c>
      <c r="G74" s="107"/>
    </row>
    <row r="75" spans="1:13" ht="15.75" customHeight="1" x14ac:dyDescent="0.25">
      <c r="A75" s="102" t="s">
        <v>379</v>
      </c>
      <c r="B75" s="99">
        <f t="shared" si="38"/>
        <v>1</v>
      </c>
      <c r="C75" s="98">
        <f t="shared" si="39"/>
        <v>64</v>
      </c>
      <c r="D75" s="99">
        <f t="shared" si="40"/>
        <v>2304000</v>
      </c>
      <c r="E75" s="123">
        <f t="shared" si="41"/>
        <v>128</v>
      </c>
      <c r="F75" s="99">
        <f t="shared" si="42"/>
        <v>4608000</v>
      </c>
      <c r="G75" s="107"/>
    </row>
    <row r="76" spans="1:13" ht="15.75" customHeight="1" x14ac:dyDescent="0.25">
      <c r="A76" s="102" t="s">
        <v>380</v>
      </c>
      <c r="B76" s="99">
        <f t="shared" si="38"/>
        <v>1</v>
      </c>
      <c r="C76" s="98">
        <f t="shared" si="39"/>
        <v>112</v>
      </c>
      <c r="D76" s="99">
        <f t="shared" si="40"/>
        <v>4032000</v>
      </c>
      <c r="E76" s="123">
        <f t="shared" si="41"/>
        <v>240</v>
      </c>
      <c r="F76" s="99">
        <f t="shared" si="42"/>
        <v>8640000</v>
      </c>
      <c r="G76" s="107"/>
    </row>
    <row r="77" spans="1:13" ht="15.75" customHeight="1" x14ac:dyDescent="0.25">
      <c r="A77" s="102" t="s">
        <v>381</v>
      </c>
      <c r="B77" s="99">
        <f t="shared" si="38"/>
        <v>1</v>
      </c>
      <c r="C77" s="98">
        <f t="shared" si="39"/>
        <v>64</v>
      </c>
      <c r="D77" s="99">
        <f t="shared" si="40"/>
        <v>2304000</v>
      </c>
      <c r="E77" s="123">
        <f t="shared" si="41"/>
        <v>160</v>
      </c>
      <c r="F77" s="99">
        <f t="shared" si="42"/>
        <v>5760000</v>
      </c>
      <c r="G77" s="107"/>
    </row>
    <row r="78" spans="1:13" ht="15.75" customHeight="1" x14ac:dyDescent="0.25">
      <c r="A78" s="102" t="s">
        <v>382</v>
      </c>
      <c r="B78" s="99">
        <v>1</v>
      </c>
      <c r="C78" s="98">
        <f t="shared" si="39"/>
        <v>80</v>
      </c>
      <c r="D78" s="99">
        <f t="shared" si="40"/>
        <v>2880000</v>
      </c>
      <c r="E78" s="123">
        <f t="shared" si="41"/>
        <v>128</v>
      </c>
      <c r="F78" s="99">
        <f t="shared" si="42"/>
        <v>4608000</v>
      </c>
      <c r="G78" s="107"/>
    </row>
    <row r="79" spans="1:13" ht="15.75" customHeight="1" x14ac:dyDescent="0.25">
      <c r="A79" s="96" t="s">
        <v>396</v>
      </c>
      <c r="B79" s="99">
        <v>2</v>
      </c>
      <c r="C79" s="98">
        <f t="shared" si="39"/>
        <v>128</v>
      </c>
      <c r="D79" s="99">
        <f t="shared" si="40"/>
        <v>4608000</v>
      </c>
      <c r="E79" s="123">
        <f t="shared" si="41"/>
        <v>192</v>
      </c>
      <c r="F79" s="99">
        <f t="shared" si="42"/>
        <v>6912000</v>
      </c>
      <c r="G79" s="107"/>
    </row>
    <row r="80" spans="1:13" ht="15.75" customHeight="1" x14ac:dyDescent="0.25">
      <c r="A80" s="96" t="s">
        <v>397</v>
      </c>
      <c r="B80" s="99">
        <v>2</v>
      </c>
      <c r="C80" s="98">
        <f t="shared" si="39"/>
        <v>144</v>
      </c>
      <c r="D80" s="99">
        <f t="shared" si="40"/>
        <v>5184000</v>
      </c>
      <c r="E80" s="123">
        <f t="shared" si="41"/>
        <v>160</v>
      </c>
      <c r="F80" s="99">
        <f t="shared" si="42"/>
        <v>5760000</v>
      </c>
      <c r="G80" s="107"/>
    </row>
    <row r="81" spans="1:7" ht="15.75" customHeight="1" x14ac:dyDescent="0.25">
      <c r="A81" s="96" t="s">
        <v>398</v>
      </c>
      <c r="B81" s="99">
        <v>1</v>
      </c>
      <c r="C81" s="98">
        <f t="shared" si="39"/>
        <v>48</v>
      </c>
      <c r="D81" s="99">
        <f t="shared" si="40"/>
        <v>1728000</v>
      </c>
      <c r="E81" s="123">
        <f t="shared" si="41"/>
        <v>288</v>
      </c>
      <c r="F81" s="99">
        <f t="shared" si="42"/>
        <v>10368000</v>
      </c>
      <c r="G81" s="107"/>
    </row>
    <row r="82" spans="1:7" ht="15.75" customHeight="1" x14ac:dyDescent="0.25">
      <c r="A82" s="96" t="s">
        <v>386</v>
      </c>
      <c r="B82" s="99">
        <v>1</v>
      </c>
      <c r="C82" s="98">
        <f t="shared" si="39"/>
        <v>192</v>
      </c>
      <c r="D82" s="99">
        <f t="shared" si="40"/>
        <v>6912000</v>
      </c>
      <c r="E82" s="123">
        <f t="shared" si="41"/>
        <v>320</v>
      </c>
      <c r="F82" s="99">
        <f t="shared" si="42"/>
        <v>11520000</v>
      </c>
      <c r="G82" s="107"/>
    </row>
    <row r="83" spans="1:7" ht="15.75" customHeight="1" x14ac:dyDescent="0.25">
      <c r="A83" s="96" t="s">
        <v>387</v>
      </c>
      <c r="B83" s="99">
        <v>1</v>
      </c>
      <c r="C83" s="98">
        <f t="shared" si="39"/>
        <v>192</v>
      </c>
      <c r="D83" s="99">
        <f t="shared" si="40"/>
        <v>6912000</v>
      </c>
      <c r="E83" s="123">
        <f t="shared" si="41"/>
        <v>320</v>
      </c>
      <c r="F83" s="99">
        <f t="shared" si="42"/>
        <v>11520000</v>
      </c>
      <c r="G83" s="107"/>
    </row>
    <row r="84" spans="1:7" ht="15.75" customHeight="1" x14ac:dyDescent="0.25">
      <c r="A84" s="96" t="s">
        <v>388</v>
      </c>
      <c r="B84" s="99">
        <v>1</v>
      </c>
      <c r="C84" s="98">
        <f t="shared" si="39"/>
        <v>128</v>
      </c>
      <c r="D84" s="99">
        <f t="shared" si="40"/>
        <v>4608000</v>
      </c>
      <c r="E84" s="123">
        <f t="shared" si="41"/>
        <v>160</v>
      </c>
      <c r="F84" s="99">
        <f t="shared" si="42"/>
        <v>5760000</v>
      </c>
      <c r="G84" s="107"/>
    </row>
    <row r="85" spans="1:7" ht="15.75" customHeight="1" x14ac:dyDescent="0.25">
      <c r="A85" s="102" t="s">
        <v>399</v>
      </c>
      <c r="B85" s="124">
        <f t="shared" ref="B85:F85" si="43">SUM(B53:B84)</f>
        <v>46</v>
      </c>
      <c r="C85" s="125">
        <f t="shared" si="43"/>
        <v>3712</v>
      </c>
      <c r="D85" s="125">
        <f t="shared" si="43"/>
        <v>133632000</v>
      </c>
      <c r="E85" s="125">
        <f t="shared" si="43"/>
        <v>6496</v>
      </c>
      <c r="F85" s="125">
        <f t="shared" si="43"/>
        <v>233856000</v>
      </c>
      <c r="G85" s="107"/>
    </row>
    <row r="86" spans="1:7" ht="15.75" customHeight="1" x14ac:dyDescent="0.25">
      <c r="A86" s="107"/>
      <c r="B86" s="107"/>
      <c r="C86" s="107"/>
      <c r="D86" s="107"/>
      <c r="E86" s="107"/>
      <c r="F86" s="107"/>
      <c r="G86" s="107"/>
    </row>
    <row r="87" spans="1:7" ht="15.75" customHeight="1" x14ac:dyDescent="0.2"/>
    <row r="88" spans="1:7" ht="15.75" customHeight="1" x14ac:dyDescent="0.2"/>
    <row r="89" spans="1:7" ht="15.75" customHeight="1" x14ac:dyDescent="0.2"/>
    <row r="90" spans="1:7" ht="15.75" customHeight="1" x14ac:dyDescent="0.2"/>
    <row r="91" spans="1:7" ht="15.75" customHeight="1" x14ac:dyDescent="0.2"/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</sheetData>
  <mergeCells count="4">
    <mergeCell ref="A2:B2"/>
    <mergeCell ref="A8:M8"/>
    <mergeCell ref="C51:D51"/>
    <mergeCell ref="E51:F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004"/>
  <sheetViews>
    <sheetView workbookViewId="0"/>
  </sheetViews>
  <sheetFormatPr baseColWidth="10" defaultColWidth="12.7109375" defaultRowHeight="15" customHeight="1" x14ac:dyDescent="0.2"/>
  <cols>
    <col min="1" max="1" width="28.85546875" customWidth="1"/>
    <col min="2" max="2" width="13.42578125" customWidth="1"/>
    <col min="4" max="4" width="28" customWidth="1"/>
    <col min="5" max="5" width="11.42578125" customWidth="1"/>
    <col min="6" max="6" width="12.28515625" customWidth="1"/>
    <col min="9" max="9" width="20.28515625" bestFit="1" customWidth="1"/>
  </cols>
  <sheetData>
    <row r="1" spans="1:9" ht="15.75" customHeight="1" x14ac:dyDescent="0.2"/>
    <row r="2" spans="1:9" ht="15.75" customHeight="1" x14ac:dyDescent="0.2"/>
    <row r="3" spans="1:9" ht="15.75" customHeight="1" x14ac:dyDescent="0.25">
      <c r="A3" s="404" t="s">
        <v>343</v>
      </c>
      <c r="B3" s="398"/>
      <c r="C3" s="88"/>
      <c r="D3" s="126"/>
      <c r="E3" s="127"/>
      <c r="F3" s="405" t="s">
        <v>389</v>
      </c>
      <c r="G3" s="403"/>
      <c r="H3" s="405" t="s">
        <v>390</v>
      </c>
      <c r="I3" s="403"/>
    </row>
    <row r="4" spans="1:9" ht="15.75" customHeight="1" x14ac:dyDescent="0.25">
      <c r="A4" s="128" t="s">
        <v>33</v>
      </c>
      <c r="B4" s="129">
        <f>PARÁMETROS!B2</f>
        <v>900</v>
      </c>
      <c r="C4" s="88"/>
      <c r="D4" s="96"/>
      <c r="E4" s="130" t="s">
        <v>391</v>
      </c>
      <c r="F4" s="131" t="s">
        <v>394</v>
      </c>
      <c r="G4" s="131" t="s">
        <v>393</v>
      </c>
      <c r="H4" s="131" t="s">
        <v>394</v>
      </c>
      <c r="I4" s="131" t="s">
        <v>395</v>
      </c>
    </row>
    <row r="5" spans="1:9" ht="15.75" customHeight="1" x14ac:dyDescent="0.25">
      <c r="A5" s="128" t="s">
        <v>34</v>
      </c>
      <c r="B5" s="132">
        <f>PARÁMETROS!B3</f>
        <v>800</v>
      </c>
      <c r="C5" s="88"/>
      <c r="D5" s="96" t="str">
        <f>+'Costos HH - Sueldos'!A53</f>
        <v>Director de Proyecto</v>
      </c>
      <c r="E5" s="133">
        <f>+'Costos HH - Sueldos'!H10</f>
        <v>1</v>
      </c>
      <c r="F5" s="134">
        <f>+'Costos HH - Sueldos'!C53</f>
        <v>368</v>
      </c>
      <c r="G5" s="135">
        <f>+'Costos HH - Sueldos'!D53</f>
        <v>13248000</v>
      </c>
      <c r="H5" s="134">
        <f>+'Costos HH - Sueldos'!E53</f>
        <v>640</v>
      </c>
      <c r="I5" s="134">
        <f>+'Costos HH - Sueldos'!F53</f>
        <v>23040000</v>
      </c>
    </row>
    <row r="6" spans="1:9" ht="15.75" customHeight="1" x14ac:dyDescent="0.25">
      <c r="A6" s="128" t="s">
        <v>3</v>
      </c>
      <c r="B6" s="129">
        <f>PARÁMETROS!B4</f>
        <v>36000</v>
      </c>
      <c r="C6" s="88"/>
      <c r="D6" s="96" t="str">
        <f>+'Costos HH - Sueldos'!A54</f>
        <v>Analista de negocios Senior</v>
      </c>
      <c r="E6" s="133">
        <f>+'Costos HH - Sueldos'!H11</f>
        <v>2</v>
      </c>
      <c r="F6" s="134">
        <f>+'Costos HH - Sueldos'!C54</f>
        <v>96</v>
      </c>
      <c r="G6" s="135">
        <f>+'Costos HH - Sueldos'!D54</f>
        <v>3456000</v>
      </c>
      <c r="H6" s="134">
        <f>+'Costos HH - Sueldos'!E54</f>
        <v>192</v>
      </c>
      <c r="I6" s="134">
        <f>+'Costos HH - Sueldos'!F54</f>
        <v>6912000</v>
      </c>
    </row>
    <row r="7" spans="1:9" ht="15.75" customHeight="1" x14ac:dyDescent="0.25">
      <c r="A7" s="128" t="s">
        <v>35</v>
      </c>
      <c r="B7" s="129">
        <v>160</v>
      </c>
      <c r="C7" s="88"/>
      <c r="D7" s="96" t="str">
        <f>+'Costos HH - Sueldos'!A55</f>
        <v>Analista de negocios junior</v>
      </c>
      <c r="E7" s="133">
        <f>+'Costos HH - Sueldos'!H12</f>
        <v>2</v>
      </c>
      <c r="F7" s="134">
        <f>+'Costos HH - Sueldos'!C55</f>
        <v>48</v>
      </c>
      <c r="G7" s="135">
        <f>+'Costos HH - Sueldos'!D55</f>
        <v>1728000</v>
      </c>
      <c r="H7" s="134">
        <f>+'Costos HH - Sueldos'!E55</f>
        <v>160</v>
      </c>
      <c r="I7" s="134">
        <f>+'Costos HH - Sueldos'!F55</f>
        <v>5760000</v>
      </c>
    </row>
    <row r="8" spans="1:9" ht="15.75" customHeight="1" x14ac:dyDescent="0.25">
      <c r="A8" s="126"/>
      <c r="B8" s="126"/>
      <c r="C8" s="107"/>
      <c r="D8" s="96" t="str">
        <f>+'Costos HH - Sueldos'!A56</f>
        <v>Gestor de riesgos senior</v>
      </c>
      <c r="E8" s="133">
        <f>+'Costos HH - Sueldos'!H13</f>
        <v>1</v>
      </c>
      <c r="F8" s="134">
        <f>+'Costos HH - Sueldos'!C56</f>
        <v>160</v>
      </c>
      <c r="G8" s="135">
        <f>+'Costos HH - Sueldos'!D56</f>
        <v>5760000</v>
      </c>
      <c r="H8" s="134">
        <f>+'Costos HH - Sueldos'!E56</f>
        <v>240</v>
      </c>
      <c r="I8" s="134">
        <f>+'Costos HH - Sueldos'!F56</f>
        <v>8640000</v>
      </c>
    </row>
    <row r="9" spans="1:9" ht="15.75" customHeight="1" x14ac:dyDescent="0.25">
      <c r="A9" s="136"/>
      <c r="B9" s="137" t="s">
        <v>345</v>
      </c>
      <c r="C9" s="107"/>
      <c r="D9" s="96" t="str">
        <f>+'Costos HH - Sueldos'!A57</f>
        <v>Analista de sistemas senior</v>
      </c>
      <c r="E9" s="133">
        <f>+'Costos HH - Sueldos'!H14</f>
        <v>4</v>
      </c>
      <c r="F9" s="134">
        <f>+'Costos HH - Sueldos'!C57</f>
        <v>80</v>
      </c>
      <c r="G9" s="135">
        <f>+'Costos HH - Sueldos'!D57</f>
        <v>2880000</v>
      </c>
      <c r="H9" s="134">
        <f>+'Costos HH - Sueldos'!E57</f>
        <v>160</v>
      </c>
      <c r="I9" s="134">
        <f>+'Costos HH - Sueldos'!F57</f>
        <v>5760000</v>
      </c>
    </row>
    <row r="10" spans="1:9" ht="15.75" customHeight="1" x14ac:dyDescent="0.25">
      <c r="A10" s="96" t="str">
        <f>+'Costos HH - Sueldos'!A10</f>
        <v>Director de Proyecto</v>
      </c>
      <c r="B10" s="138">
        <f>+'Costos HH - Sueldos'!B10</f>
        <v>328</v>
      </c>
      <c r="C10" s="107"/>
      <c r="D10" s="96" t="str">
        <f>+'Costos HH - Sueldos'!A58</f>
        <v>Analista de sistemas junior</v>
      </c>
      <c r="E10" s="133">
        <f>+'Costos HH - Sueldos'!H15</f>
        <v>2</v>
      </c>
      <c r="F10" s="134">
        <f>+'Costos HH - Sueldos'!C58</f>
        <v>48</v>
      </c>
      <c r="G10" s="135">
        <f>+'Costos HH - Sueldos'!D58</f>
        <v>1728000</v>
      </c>
      <c r="H10" s="134">
        <f>+'Costos HH - Sueldos'!E58</f>
        <v>128</v>
      </c>
      <c r="I10" s="134">
        <f>+'Costos HH - Sueldos'!F58</f>
        <v>4608000</v>
      </c>
    </row>
    <row r="11" spans="1:9" ht="15.75" customHeight="1" x14ac:dyDescent="0.25">
      <c r="A11" s="96" t="str">
        <f>+'Costos HH - Sueldos'!A11</f>
        <v>Analista de negocios Senior</v>
      </c>
      <c r="B11" s="138">
        <f>+'Costos HH - Sueldos'!B11</f>
        <v>40</v>
      </c>
      <c r="C11" s="107"/>
      <c r="D11" s="96" t="str">
        <f>+'Costos HH - Sueldos'!A59</f>
        <v>Diseñador de UX senior</v>
      </c>
      <c r="E11" s="133">
        <f>+'Costos HH - Sueldos'!H16</f>
        <v>2</v>
      </c>
      <c r="F11" s="134">
        <f>+'Costos HH - Sueldos'!C59</f>
        <v>160</v>
      </c>
      <c r="G11" s="135">
        <f>+'Costos HH - Sueldos'!D59</f>
        <v>5760000</v>
      </c>
      <c r="H11" s="134">
        <f>+'Costos HH - Sueldos'!E59</f>
        <v>160</v>
      </c>
      <c r="I11" s="134">
        <f>+'Costos HH - Sueldos'!F59</f>
        <v>5760000</v>
      </c>
    </row>
    <row r="12" spans="1:9" ht="15.75" customHeight="1" x14ac:dyDescent="0.25">
      <c r="A12" s="96" t="str">
        <f>+'Costos HH - Sueldos'!A12</f>
        <v>Analista de negocios junior</v>
      </c>
      <c r="B12" s="138">
        <f>+'Costos HH - Sueldos'!B12</f>
        <v>40</v>
      </c>
      <c r="C12" s="107"/>
      <c r="D12" s="96" t="str">
        <f>+'Costos HH - Sueldos'!A60</f>
        <v>Diseñador de UX junior</v>
      </c>
      <c r="E12" s="133">
        <f>+'Costos HH - Sueldos'!H17</f>
        <v>2</v>
      </c>
      <c r="F12" s="134">
        <f>+'Costos HH - Sueldos'!C60</f>
        <v>80</v>
      </c>
      <c r="G12" s="135">
        <f>+'Costos HH - Sueldos'!D60</f>
        <v>2880000</v>
      </c>
      <c r="H12" s="134">
        <f>+'Costos HH - Sueldos'!E60</f>
        <v>128</v>
      </c>
      <c r="I12" s="134">
        <f>+'Costos HH - Sueldos'!F60</f>
        <v>4608000</v>
      </c>
    </row>
    <row r="13" spans="1:9" ht="15.75" customHeight="1" x14ac:dyDescent="0.25">
      <c r="A13" s="96" t="str">
        <f>+'Costos HH - Sueldos'!A13</f>
        <v>Gestor de riesgos senior</v>
      </c>
      <c r="B13" s="138">
        <f>+'Costos HH - Sueldos'!B13</f>
        <v>261</v>
      </c>
      <c r="C13" s="107"/>
      <c r="D13" s="96" t="str">
        <f>+'Costos HH - Sueldos'!A61</f>
        <v>Arquitecto software Senior</v>
      </c>
      <c r="E13" s="133">
        <f>+'Costos HH - Sueldos'!H18</f>
        <v>1</v>
      </c>
      <c r="F13" s="134">
        <f>+'Costos HH - Sueldos'!C61</f>
        <v>208</v>
      </c>
      <c r="G13" s="135">
        <f>+'Costos HH - Sueldos'!D61</f>
        <v>7488000</v>
      </c>
      <c r="H13" s="134">
        <f>+'Costos HH - Sueldos'!E61</f>
        <v>400</v>
      </c>
      <c r="I13" s="134">
        <f>+'Costos HH - Sueldos'!F61</f>
        <v>14400000</v>
      </c>
    </row>
    <row r="14" spans="1:9" ht="15.75" customHeight="1" x14ac:dyDescent="0.25">
      <c r="A14" s="96" t="str">
        <f>+'Costos HH - Sueldos'!A14</f>
        <v>Analista de sistemas senior</v>
      </c>
      <c r="B14" s="138">
        <f>+'Costos HH - Sueldos'!B14</f>
        <v>60</v>
      </c>
      <c r="C14" s="107"/>
      <c r="D14" s="96" t="str">
        <f>+'Costos HH - Sueldos'!A62</f>
        <v>Arquitecto de software Junior</v>
      </c>
      <c r="E14" s="133">
        <f>+'Costos HH - Sueldos'!H19</f>
        <v>1</v>
      </c>
      <c r="F14" s="134">
        <f>+'Costos HH - Sueldos'!C62</f>
        <v>80</v>
      </c>
      <c r="G14" s="135">
        <f>+'Costos HH - Sueldos'!D62</f>
        <v>2880000</v>
      </c>
      <c r="H14" s="134">
        <f>+'Costos HH - Sueldos'!E62</f>
        <v>240</v>
      </c>
      <c r="I14" s="134">
        <f>+'Costos HH - Sueldos'!F62</f>
        <v>8640000</v>
      </c>
    </row>
    <row r="15" spans="1:9" ht="15.75" customHeight="1" x14ac:dyDescent="0.25">
      <c r="A15" s="96" t="str">
        <f>+'Costos HH - Sueldos'!A16</f>
        <v>Diseñador de UX senior</v>
      </c>
      <c r="B15" s="138">
        <f>+'Costos HH - Sueldos'!B16</f>
        <v>180</v>
      </c>
      <c r="C15" s="107"/>
      <c r="D15" s="96" t="str">
        <f>+'Costos HH - Sueldos'!A63</f>
        <v>Desarrollador Front-end senior</v>
      </c>
      <c r="E15" s="133">
        <f>+'Costos HH - Sueldos'!H20</f>
        <v>2</v>
      </c>
      <c r="F15" s="134">
        <f>+'Costos HH - Sueldos'!C63</f>
        <v>112</v>
      </c>
      <c r="G15" s="135">
        <f>+'Costos HH - Sueldos'!D63</f>
        <v>4032000</v>
      </c>
      <c r="H15" s="134">
        <f>+'Costos HH - Sueldos'!E63</f>
        <v>160</v>
      </c>
      <c r="I15" s="134">
        <f>+'Costos HH - Sueldos'!F63</f>
        <v>5760000</v>
      </c>
    </row>
    <row r="16" spans="1:9" ht="15.75" customHeight="1" x14ac:dyDescent="0.25">
      <c r="A16" s="96" t="str">
        <f>+'Costos HH - Sueldos'!A17</f>
        <v>Diseñador de UX junior</v>
      </c>
      <c r="B16" s="138">
        <f>+'Costos HH - Sueldos'!B17</f>
        <v>180</v>
      </c>
      <c r="C16" s="107"/>
      <c r="D16" s="96" t="str">
        <f>+'Costos HH - Sueldos'!A64</f>
        <v>Desarrollador Front-end Junior</v>
      </c>
      <c r="E16" s="133">
        <f>+'Costos HH - Sueldos'!H21</f>
        <v>2</v>
      </c>
      <c r="F16" s="134">
        <f>+'Costos HH - Sueldos'!C64</f>
        <v>80</v>
      </c>
      <c r="G16" s="135">
        <f>+'Costos HH - Sueldos'!D64</f>
        <v>2880000</v>
      </c>
      <c r="H16" s="134">
        <f>+'Costos HH - Sueldos'!E64</f>
        <v>128</v>
      </c>
      <c r="I16" s="134">
        <f>+'Costos HH - Sueldos'!F64</f>
        <v>4608000</v>
      </c>
    </row>
    <row r="17" spans="1:9" ht="15.75" customHeight="1" x14ac:dyDescent="0.25">
      <c r="A17" s="96" t="str">
        <f>+'Costos HH - Sueldos'!A18</f>
        <v>Arquitecto software Senior</v>
      </c>
      <c r="B17" s="138">
        <f>+'Costos HH - Sueldos'!B18</f>
        <v>60</v>
      </c>
      <c r="C17" s="107"/>
      <c r="D17" s="96" t="str">
        <f>+'Costos HH - Sueldos'!A65</f>
        <v>Desarrollador Back-end Senior</v>
      </c>
      <c r="E17" s="133">
        <f>+'Costos HH - Sueldos'!H22</f>
        <v>2</v>
      </c>
      <c r="F17" s="134">
        <f>+'Costos HH - Sueldos'!C65</f>
        <v>128</v>
      </c>
      <c r="G17" s="135">
        <f>+'Costos HH - Sueldos'!D65</f>
        <v>4608000</v>
      </c>
      <c r="H17" s="134">
        <f>+'Costos HH - Sueldos'!E65</f>
        <v>160</v>
      </c>
      <c r="I17" s="134">
        <f>+'Costos HH - Sueldos'!F65</f>
        <v>5760000</v>
      </c>
    </row>
    <row r="18" spans="1:9" ht="15.75" customHeight="1" x14ac:dyDescent="0.25">
      <c r="A18" s="96" t="str">
        <f>+'Costos HH - Sueldos'!A19</f>
        <v>Arquitecto de software Junior</v>
      </c>
      <c r="B18" s="138">
        <f>+'Costos HH - Sueldos'!B19</f>
        <v>60</v>
      </c>
      <c r="C18" s="107"/>
      <c r="D18" s="96" t="str">
        <f>+'Costos HH - Sueldos'!A66</f>
        <v>Desarrollador Back-end junior</v>
      </c>
      <c r="E18" s="133">
        <f>+'Costos HH - Sueldos'!H23</f>
        <v>2</v>
      </c>
      <c r="F18" s="134">
        <f>+'Costos HH - Sueldos'!C66</f>
        <v>80</v>
      </c>
      <c r="G18" s="135">
        <f>+'Costos HH - Sueldos'!D66</f>
        <v>2880000</v>
      </c>
      <c r="H18" s="134">
        <f>+'Costos HH - Sueldos'!E66</f>
        <v>128</v>
      </c>
      <c r="I18" s="134">
        <f>+'Costos HH - Sueldos'!F66</f>
        <v>4608000</v>
      </c>
    </row>
    <row r="19" spans="1:9" ht="15.75" customHeight="1" x14ac:dyDescent="0.25">
      <c r="A19" s="96"/>
      <c r="B19" s="138"/>
      <c r="C19" s="107"/>
      <c r="D19" s="96" t="str">
        <f>+'Costos HH - Sueldos'!A67</f>
        <v>Desarrollador de software senior</v>
      </c>
      <c r="E19" s="133">
        <f>+'Costos HH - Sueldos'!H24</f>
        <v>1</v>
      </c>
      <c r="F19" s="134">
        <f>+'Costos HH - Sueldos'!C67</f>
        <v>80</v>
      </c>
      <c r="G19" s="135">
        <f>+'Costos HH - Sueldos'!D67</f>
        <v>2880000</v>
      </c>
      <c r="H19" s="134">
        <f>+'Costos HH - Sueldos'!E67</f>
        <v>160</v>
      </c>
      <c r="I19" s="134">
        <f>+'Costos HH - Sueldos'!F67</f>
        <v>5760000</v>
      </c>
    </row>
    <row r="20" spans="1:9" ht="15.75" customHeight="1" x14ac:dyDescent="0.25">
      <c r="A20" s="96" t="str">
        <f>+'Costos HH - Sueldos'!A20</f>
        <v>Desarrollador Front-end senior</v>
      </c>
      <c r="B20" s="138">
        <f>+'Costos HH - Sueldos'!B20</f>
        <v>40</v>
      </c>
      <c r="C20" s="107"/>
      <c r="D20" s="96" t="str">
        <f>+'Costos HH - Sueldos'!A68</f>
        <v>Desarrollador de software junior</v>
      </c>
      <c r="E20" s="133">
        <f>+'Costos HH - Sueldos'!H25</f>
        <v>1</v>
      </c>
      <c r="F20" s="134">
        <f>+'Costos HH - Sueldos'!C68</f>
        <v>64</v>
      </c>
      <c r="G20" s="135">
        <f>+'Costos HH - Sueldos'!D68</f>
        <v>2304000</v>
      </c>
      <c r="H20" s="134">
        <f>+'Costos HH - Sueldos'!E68</f>
        <v>128</v>
      </c>
      <c r="I20" s="134">
        <f>+'Costos HH - Sueldos'!F68</f>
        <v>4608000</v>
      </c>
    </row>
    <row r="21" spans="1:9" ht="15.75" customHeight="1" x14ac:dyDescent="0.25">
      <c r="A21" s="96" t="str">
        <f>+'Costos HH - Sueldos'!A21</f>
        <v>Desarrollador Front-end Junior</v>
      </c>
      <c r="B21" s="138">
        <f>+'Costos HH - Sueldos'!B21</f>
        <v>1000</v>
      </c>
      <c r="C21" s="107"/>
      <c r="D21" s="96" t="str">
        <f>+'Costos HH - Sueldos'!A69</f>
        <v>Diseñador de base de datos senior</v>
      </c>
      <c r="E21" s="133">
        <f>+'Costos HH - Sueldos'!H26</f>
        <v>1</v>
      </c>
      <c r="F21" s="134">
        <f>+'Costos HH - Sueldos'!C69</f>
        <v>144</v>
      </c>
      <c r="G21" s="135">
        <f>+'Costos HH - Sueldos'!D69</f>
        <v>5184000</v>
      </c>
      <c r="H21" s="134">
        <f>+'Costos HH - Sueldos'!E69</f>
        <v>160</v>
      </c>
      <c r="I21" s="134">
        <f>+'Costos HH - Sueldos'!F69</f>
        <v>5760000</v>
      </c>
    </row>
    <row r="22" spans="1:9" ht="15.75" customHeight="1" x14ac:dyDescent="0.25">
      <c r="A22" s="96" t="str">
        <f>+'Costos HH - Sueldos'!A22</f>
        <v>Desarrollador Back-end Senior</v>
      </c>
      <c r="B22" s="138">
        <f>+'Costos HH - Sueldos'!B22</f>
        <v>40</v>
      </c>
      <c r="C22" s="107"/>
      <c r="D22" s="96" t="str">
        <f>+'Costos HH - Sueldos'!A70</f>
        <v>Diseñador de base de datos junior</v>
      </c>
      <c r="E22" s="133">
        <f>+'Costos HH - Sueldos'!H27</f>
        <v>1</v>
      </c>
      <c r="F22" s="134">
        <f>+'Costos HH - Sueldos'!C70</f>
        <v>48</v>
      </c>
      <c r="G22" s="135">
        <f>+'Costos HH - Sueldos'!D70</f>
        <v>1728000</v>
      </c>
      <c r="H22" s="134">
        <f>+'Costos HH - Sueldos'!E70</f>
        <v>128</v>
      </c>
      <c r="I22" s="134">
        <f>+'Costos HH - Sueldos'!F70</f>
        <v>4608000</v>
      </c>
    </row>
    <row r="23" spans="1:9" ht="15.75" customHeight="1" x14ac:dyDescent="0.25">
      <c r="A23" s="96" t="str">
        <f>+'Costos HH - Sueldos'!A23</f>
        <v>Desarrollador Back-end junior</v>
      </c>
      <c r="B23" s="138">
        <f>+'Costos HH - Sueldos'!B23</f>
        <v>1000</v>
      </c>
      <c r="C23" s="107"/>
      <c r="D23" s="96" t="str">
        <f>+'Costos HH - Sueldos'!A71</f>
        <v>Ingeniero DevOps senior</v>
      </c>
      <c r="E23" s="133">
        <f>+'Costos HH - Sueldos'!H28</f>
        <v>1</v>
      </c>
      <c r="F23" s="134">
        <f>+'Costos HH - Sueldos'!C71</f>
        <v>160</v>
      </c>
      <c r="G23" s="135">
        <f>+'Costos HH - Sueldos'!D71</f>
        <v>5760000</v>
      </c>
      <c r="H23" s="134">
        <f>+'Costos HH - Sueldos'!E71</f>
        <v>240</v>
      </c>
      <c r="I23" s="134">
        <f>+'Costos HH - Sueldos'!F71</f>
        <v>8640000</v>
      </c>
    </row>
    <row r="24" spans="1:9" ht="15.75" customHeight="1" x14ac:dyDescent="0.25">
      <c r="A24" s="96" t="str">
        <f>+'Costos HH - Sueldos'!A24</f>
        <v>Desarrollador de software senior</v>
      </c>
      <c r="B24" s="138">
        <f>+'Costos HH - Sueldos'!B24</f>
        <v>60</v>
      </c>
      <c r="C24" s="107"/>
      <c r="D24" s="96" t="str">
        <f>+'Costos HH - Sueldos'!A72</f>
        <v>Ingeniero de sistemas senior</v>
      </c>
      <c r="E24" s="133">
        <f>+'Costos HH - Sueldos'!H29</f>
        <v>1</v>
      </c>
      <c r="F24" s="134">
        <f>+'Costos HH - Sueldos'!C72</f>
        <v>128</v>
      </c>
      <c r="G24" s="135">
        <f>+'Costos HH - Sueldos'!D72</f>
        <v>4608000</v>
      </c>
      <c r="H24" s="134">
        <f>+'Costos HH - Sueldos'!E72</f>
        <v>240</v>
      </c>
      <c r="I24" s="134">
        <f>+'Costos HH - Sueldos'!F72</f>
        <v>8640000</v>
      </c>
    </row>
    <row r="25" spans="1:9" ht="15.75" customHeight="1" x14ac:dyDescent="0.25">
      <c r="A25" s="96" t="str">
        <f>+'Costos HH - Sueldos'!A25</f>
        <v>Desarrollador de software junior</v>
      </c>
      <c r="B25" s="138">
        <f>+'Costos HH - Sueldos'!B25</f>
        <v>1020</v>
      </c>
      <c r="C25" s="107"/>
      <c r="D25" s="96" t="str">
        <f>+'Costos HH - Sueldos'!A73</f>
        <v>Ingeniero de sistemas junior</v>
      </c>
      <c r="E25" s="133">
        <f>+'Costos HH - Sueldos'!H30</f>
        <v>1</v>
      </c>
      <c r="F25" s="134">
        <f>+'Costos HH - Sueldos'!C73</f>
        <v>112</v>
      </c>
      <c r="G25" s="135">
        <f>+'Costos HH - Sueldos'!D73</f>
        <v>4032000</v>
      </c>
      <c r="H25" s="134">
        <f>+'Costos HH - Sueldos'!E73</f>
        <v>160</v>
      </c>
      <c r="I25" s="134">
        <f>+'Costos HH - Sueldos'!F73</f>
        <v>5760000</v>
      </c>
    </row>
    <row r="26" spans="1:9" ht="15.75" customHeight="1" x14ac:dyDescent="0.25">
      <c r="A26" s="96" t="str">
        <f>+'Costos HH - Sueldos'!A26</f>
        <v>Diseñador de base de datos senior</v>
      </c>
      <c r="B26" s="138">
        <f>+'Costos HH - Sueldos'!B26</f>
        <v>60</v>
      </c>
      <c r="C26" s="107"/>
      <c r="D26" s="96" t="str">
        <f>+'Costos HH - Sueldos'!A74</f>
        <v>QA senior</v>
      </c>
      <c r="E26" s="133">
        <f>+'Costos HH - Sueldos'!H31</f>
        <v>1</v>
      </c>
      <c r="F26" s="134">
        <f>+'Costos HH - Sueldos'!C74</f>
        <v>96</v>
      </c>
      <c r="G26" s="135">
        <f>+'Costos HH - Sueldos'!D74</f>
        <v>3456000</v>
      </c>
      <c r="H26" s="134">
        <f>+'Costos HH - Sueldos'!E74</f>
        <v>160</v>
      </c>
      <c r="I26" s="134">
        <f>+'Costos HH - Sueldos'!F74</f>
        <v>5760000</v>
      </c>
    </row>
    <row r="27" spans="1:9" ht="15.75" customHeight="1" x14ac:dyDescent="0.25">
      <c r="A27" s="96" t="str">
        <f>+'Costos HH - Sueldos'!A27</f>
        <v>Diseñador de base de datos junior</v>
      </c>
      <c r="B27" s="138">
        <f>+'Costos HH - Sueldos'!B27</f>
        <v>60</v>
      </c>
      <c r="C27" s="92"/>
      <c r="D27" s="96" t="str">
        <f>+'Costos HH - Sueldos'!A75</f>
        <v>QA junior</v>
      </c>
      <c r="E27" s="133">
        <f>+'Costos HH - Sueldos'!H32</f>
        <v>1</v>
      </c>
      <c r="F27" s="134">
        <f>+'Costos HH - Sueldos'!C75</f>
        <v>64</v>
      </c>
      <c r="G27" s="135">
        <f>+'Costos HH - Sueldos'!D75</f>
        <v>2304000</v>
      </c>
      <c r="H27" s="134">
        <f>+'Costos HH - Sueldos'!E75</f>
        <v>128</v>
      </c>
      <c r="I27" s="134">
        <f>+'Costos HH - Sueldos'!F75</f>
        <v>4608000</v>
      </c>
    </row>
    <row r="28" spans="1:9" ht="15.75" customHeight="1" x14ac:dyDescent="0.25">
      <c r="A28" s="96" t="str">
        <f>+'Costos HH - Sueldos'!A28</f>
        <v>Ingeniero DevOps senior</v>
      </c>
      <c r="B28" s="138">
        <f>+'Costos HH - Sueldos'!B28</f>
        <v>60</v>
      </c>
      <c r="D28" s="96" t="str">
        <f>+'Costos HH - Sueldos'!A76</f>
        <v>Ingeniero soporte senior</v>
      </c>
      <c r="E28" s="133">
        <f>+'Costos HH - Sueldos'!H33</f>
        <v>1</v>
      </c>
      <c r="F28" s="134">
        <f>+'Costos HH - Sueldos'!C76</f>
        <v>112</v>
      </c>
      <c r="G28" s="135">
        <f>+'Costos HH - Sueldos'!D76</f>
        <v>4032000</v>
      </c>
      <c r="H28" s="134">
        <f>+'Costos HH - Sueldos'!E76</f>
        <v>240</v>
      </c>
      <c r="I28" s="134">
        <f>+'Costos HH - Sueldos'!F76</f>
        <v>8640000</v>
      </c>
    </row>
    <row r="29" spans="1:9" ht="15.75" customHeight="1" x14ac:dyDescent="0.25">
      <c r="A29" s="96" t="str">
        <f>+'Costos HH - Sueldos'!A29</f>
        <v>Ingeniero de sistemas senior</v>
      </c>
      <c r="B29" s="138">
        <f>+'Costos HH - Sueldos'!B29</f>
        <v>100</v>
      </c>
      <c r="D29" s="96" t="str">
        <f>+'Costos HH - Sueldos'!A77</f>
        <v>Ingeniero soporte junior</v>
      </c>
      <c r="E29" s="133">
        <f>+'Costos HH - Sueldos'!H34</f>
        <v>1</v>
      </c>
      <c r="F29" s="134">
        <f>+'Costos HH - Sueldos'!C77</f>
        <v>64</v>
      </c>
      <c r="G29" s="135">
        <f>+'Costos HH - Sueldos'!D77</f>
        <v>2304000</v>
      </c>
      <c r="H29" s="134">
        <f>+'Costos HH - Sueldos'!E77</f>
        <v>160</v>
      </c>
      <c r="I29" s="134">
        <f>+'Costos HH - Sueldos'!F77</f>
        <v>5760000</v>
      </c>
    </row>
    <row r="30" spans="1:9" ht="15.75" customHeight="1" x14ac:dyDescent="0.25">
      <c r="A30" s="96" t="str">
        <f>+'Costos HH - Sueldos'!A31</f>
        <v>QA senior</v>
      </c>
      <c r="B30" s="138">
        <f>+'Costos HH - Sueldos'!B31</f>
        <v>120</v>
      </c>
      <c r="D30" s="96" t="str">
        <f>+'Costos HH - Sueldos'!A78</f>
        <v>Especialista atencion al cliente</v>
      </c>
      <c r="E30" s="133">
        <f>+'Costos HH - Sueldos'!H35</f>
        <v>1</v>
      </c>
      <c r="F30" s="134">
        <f>+'Costos HH - Sueldos'!C78</f>
        <v>80</v>
      </c>
      <c r="G30" s="135">
        <f>+'Costos HH - Sueldos'!D78</f>
        <v>2880000</v>
      </c>
      <c r="H30" s="134">
        <f>+'Costos HH - Sueldos'!E78</f>
        <v>128</v>
      </c>
      <c r="I30" s="134">
        <f>+'Costos HH - Sueldos'!F78</f>
        <v>4608000</v>
      </c>
    </row>
    <row r="31" spans="1:9" ht="15.75" customHeight="1" x14ac:dyDescent="0.25">
      <c r="A31" s="96" t="str">
        <f>+'Costos HH - Sueldos'!A32</f>
        <v>QA junior</v>
      </c>
      <c r="B31" s="138">
        <f>+'Costos HH - Sueldos'!B32</f>
        <v>120</v>
      </c>
      <c r="D31" s="96" t="str">
        <f>+'Costos HH - Sueldos'!A79</f>
        <v xml:space="preserve">Arquitecto de Redes Senior </v>
      </c>
      <c r="E31" s="133">
        <f>+'Costos HH - Sueldos'!H36</f>
        <v>2</v>
      </c>
      <c r="F31" s="134">
        <f>+'Costos HH - Sueldos'!C79</f>
        <v>128</v>
      </c>
      <c r="G31" s="135">
        <f>+'Costos HH - Sueldos'!D79</f>
        <v>4608000</v>
      </c>
      <c r="H31" s="134">
        <f>+'Costos HH - Sueldos'!E79</f>
        <v>192</v>
      </c>
      <c r="I31" s="134">
        <f>+'Costos HH - Sueldos'!F79</f>
        <v>6912000</v>
      </c>
    </row>
    <row r="32" spans="1:9" ht="15.75" customHeight="1" x14ac:dyDescent="0.25">
      <c r="A32" s="96" t="str">
        <f>+'Costos HH - Sueldos'!A33</f>
        <v>Ingeniero soporte senior</v>
      </c>
      <c r="B32" s="138">
        <f>+'Costos HH - Sueldos'!B33</f>
        <v>960</v>
      </c>
      <c r="D32" s="96" t="str">
        <f>+'Costos HH - Sueldos'!A80</f>
        <v xml:space="preserve">Técnico de Hardware Senior </v>
      </c>
      <c r="E32" s="133">
        <f>+'Costos HH - Sueldos'!H37</f>
        <v>2</v>
      </c>
      <c r="F32" s="134">
        <f>+'Costos HH - Sueldos'!C80</f>
        <v>144</v>
      </c>
      <c r="G32" s="135">
        <f>+'Costos HH - Sueldos'!D80</f>
        <v>5184000</v>
      </c>
      <c r="H32" s="134">
        <f>+'Costos HH - Sueldos'!E80</f>
        <v>160</v>
      </c>
      <c r="I32" s="134">
        <f>+'Costos HH - Sueldos'!F80</f>
        <v>5760000</v>
      </c>
    </row>
    <row r="33" spans="1:9" ht="15.75" customHeight="1" x14ac:dyDescent="0.25">
      <c r="A33" s="96" t="str">
        <f>+'Costos HH - Sueldos'!A34</f>
        <v>Ingeniero soporte junior</v>
      </c>
      <c r="B33" s="138">
        <f>+'Costos HH - Sueldos'!B34</f>
        <v>960</v>
      </c>
      <c r="D33" s="96" t="str">
        <f>+'Costos HH - Sueldos'!A81</f>
        <v>Técnico de Hardware Junior</v>
      </c>
      <c r="E33" s="133">
        <f>+'Costos HH - Sueldos'!H38</f>
        <v>1</v>
      </c>
      <c r="F33" s="134">
        <f>+'Costos HH - Sueldos'!C81</f>
        <v>48</v>
      </c>
      <c r="G33" s="135">
        <f>+'Costos HH - Sueldos'!D81</f>
        <v>1728000</v>
      </c>
      <c r="H33" s="134">
        <f>+'Costos HH - Sueldos'!E81</f>
        <v>288</v>
      </c>
      <c r="I33" s="134">
        <f>+'Costos HH - Sueldos'!F81</f>
        <v>10368000</v>
      </c>
    </row>
    <row r="34" spans="1:9" ht="15.75" customHeight="1" x14ac:dyDescent="0.25">
      <c r="A34" s="96" t="str">
        <f>+'Costos HH - Sueldos'!A35</f>
        <v>Especialista atencion al cliente</v>
      </c>
      <c r="B34" s="138">
        <f>+'Costos HH - Sueldos'!B35</f>
        <v>130</v>
      </c>
      <c r="D34" s="96" t="str">
        <f>+'Costos HH - Sueldos'!A82</f>
        <v>Ingeniero de Redes Senior</v>
      </c>
      <c r="E34" s="133">
        <f>+'Costos HH - Sueldos'!H39</f>
        <v>1</v>
      </c>
      <c r="F34" s="134">
        <f>+'Costos HH - Sueldos'!C82</f>
        <v>192</v>
      </c>
      <c r="G34" s="135">
        <f>+'Costos HH - Sueldos'!D82</f>
        <v>6912000</v>
      </c>
      <c r="H34" s="134">
        <f>+'Costos HH - Sueldos'!E82</f>
        <v>320</v>
      </c>
      <c r="I34" s="134">
        <f>+'Costos HH - Sueldos'!F82</f>
        <v>11520000</v>
      </c>
    </row>
    <row r="35" spans="1:9" ht="15.75" customHeight="1" x14ac:dyDescent="0.25">
      <c r="A35" s="96" t="str">
        <f>+'Costos HH - Sueldos'!A36</f>
        <v>Arquitecto en Redes Senior</v>
      </c>
      <c r="B35" s="138">
        <f>+'Costos HH - Sueldos'!B36</f>
        <v>200</v>
      </c>
      <c r="D35" s="96" t="str">
        <f>+'Costos HH - Sueldos'!A83</f>
        <v>Ingeniero de Seguridad de TI Senior</v>
      </c>
      <c r="E35" s="133">
        <f>+'Costos HH - Sueldos'!H40</f>
        <v>1</v>
      </c>
      <c r="F35" s="134">
        <f>+'Costos HH - Sueldos'!C83</f>
        <v>192</v>
      </c>
      <c r="G35" s="135">
        <f>+'Costos HH - Sueldos'!D83</f>
        <v>6912000</v>
      </c>
      <c r="H35" s="134">
        <f>+'Costos HH - Sueldos'!E83</f>
        <v>320</v>
      </c>
      <c r="I35" s="134">
        <f>+'Costos HH - Sueldos'!F83</f>
        <v>11520000</v>
      </c>
    </row>
    <row r="36" spans="1:9" ht="15.75" customHeight="1" x14ac:dyDescent="0.25">
      <c r="A36" s="96" t="str">
        <f>+'Costos HH - Sueldos'!A37</f>
        <v>Tecnico de Hardware Senior</v>
      </c>
      <c r="B36" s="138">
        <f>+'Costos HH - Sueldos'!B37</f>
        <v>300</v>
      </c>
      <c r="D36" s="96" t="str">
        <f>+'Costos HH - Sueldos'!A84</f>
        <v>Administrador de Sistema Senior</v>
      </c>
      <c r="E36" s="133">
        <f>+'Costos HH - Sueldos'!H41</f>
        <v>1</v>
      </c>
      <c r="F36" s="134">
        <f>+'Costos HH - Sueldos'!C84</f>
        <v>128</v>
      </c>
      <c r="G36" s="135">
        <f>+'Costos HH - Sueldos'!D84</f>
        <v>4608000</v>
      </c>
      <c r="H36" s="134">
        <f>+'Costos HH - Sueldos'!E84</f>
        <v>160</v>
      </c>
      <c r="I36" s="134">
        <f>+'Costos HH - Sueldos'!F84</f>
        <v>5760000</v>
      </c>
    </row>
    <row r="37" spans="1:9" ht="15.75" customHeight="1" x14ac:dyDescent="0.25">
      <c r="A37" s="96" t="str">
        <f>+'Costos HH - Sueldos'!A38</f>
        <v>Tecnico de Hardware Junior</v>
      </c>
      <c r="B37" s="138">
        <f>+'Costos HH - Sueldos'!B38</f>
        <v>250</v>
      </c>
      <c r="D37" s="139" t="str">
        <f>+'Costos HH - Sueldos'!A85</f>
        <v>Totales</v>
      </c>
      <c r="E37" s="140">
        <f>SUM(E5:E36)</f>
        <v>46</v>
      </c>
      <c r="F37" s="141">
        <f>+'Costos HH - Sueldos'!C85</f>
        <v>3712</v>
      </c>
      <c r="G37" s="142">
        <f>+'Costos HH - Sueldos'!D85</f>
        <v>133632000</v>
      </c>
      <c r="H37" s="141">
        <f>+'Costos HH - Sueldos'!E85</f>
        <v>6496</v>
      </c>
      <c r="I37" s="141">
        <f>+'Costos HH - Sueldos'!F85</f>
        <v>233856000</v>
      </c>
    </row>
    <row r="38" spans="1:9" ht="15.75" customHeight="1" x14ac:dyDescent="0.25">
      <c r="A38" s="96" t="str">
        <f>+'Costos HH - Sueldos'!A39</f>
        <v>Ingeniero de Redes Senior</v>
      </c>
      <c r="B38" s="138">
        <f>+'Costos HH - Sueldos'!B39</f>
        <v>320</v>
      </c>
    </row>
    <row r="39" spans="1:9" ht="15.75" customHeight="1" x14ac:dyDescent="0.25">
      <c r="A39" s="96" t="str">
        <f>+'Costos HH - Sueldos'!A40</f>
        <v>Ingeniero de Seguridad de TI Senior</v>
      </c>
      <c r="B39" s="138">
        <f>+'Costos HH - Sueldos'!B40</f>
        <v>320</v>
      </c>
    </row>
    <row r="40" spans="1:9" ht="15.75" customHeight="1" x14ac:dyDescent="0.25">
      <c r="A40" s="96" t="str">
        <f>+'Costos HH - Sueldos'!A41</f>
        <v>Administrador de Sistema Senior</v>
      </c>
      <c r="B40" s="138">
        <f>+'Costos HH - Sueldos'!B41</f>
        <v>150</v>
      </c>
    </row>
    <row r="41" spans="1:9" ht="15.75" customHeight="1" x14ac:dyDescent="0.25">
      <c r="A41" s="139" t="str">
        <f>+'Costos HH - Sueldos'!A42</f>
        <v>Total</v>
      </c>
      <c r="B41" s="143">
        <f>+'Costos HH - Sueldos'!B42</f>
        <v>8639</v>
      </c>
      <c r="D41" s="118"/>
    </row>
    <row r="42" spans="1:9" ht="15.75" customHeight="1" x14ac:dyDescent="0.25">
      <c r="D42" s="118"/>
    </row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3">
    <mergeCell ref="A3:B3"/>
    <mergeCell ref="F3:G3"/>
    <mergeCell ref="H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J1003"/>
  <sheetViews>
    <sheetView workbookViewId="0"/>
  </sheetViews>
  <sheetFormatPr baseColWidth="10" defaultColWidth="12.7109375" defaultRowHeight="15" customHeight="1" x14ac:dyDescent="0.2"/>
  <cols>
    <col min="1" max="1" width="35.85546875" customWidth="1"/>
    <col min="2" max="2" width="17.42578125" customWidth="1"/>
  </cols>
  <sheetData>
    <row r="1" spans="1:62" ht="15.75" customHeight="1" x14ac:dyDescent="0.25">
      <c r="A1" s="144"/>
      <c r="B1" s="144"/>
      <c r="C1" s="144"/>
      <c r="D1" s="144"/>
      <c r="E1" s="144"/>
      <c r="F1" s="144" t="s">
        <v>400</v>
      </c>
      <c r="G1" s="144"/>
      <c r="H1" s="144"/>
      <c r="I1" s="144"/>
      <c r="J1" s="144"/>
      <c r="K1" s="144"/>
      <c r="L1" s="144"/>
      <c r="M1" s="144"/>
      <c r="N1" s="144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 t="s">
        <v>401</v>
      </c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</row>
    <row r="2" spans="1:62" ht="15.75" customHeight="1" x14ac:dyDescent="0.25">
      <c r="A2" s="146"/>
      <c r="B2" s="147" t="s">
        <v>402</v>
      </c>
      <c r="C2" s="147" t="s">
        <v>403</v>
      </c>
      <c r="D2" s="147" t="s">
        <v>404</v>
      </c>
      <c r="E2" s="147" t="s">
        <v>405</v>
      </c>
      <c r="F2" s="147" t="s">
        <v>406</v>
      </c>
      <c r="G2" s="147" t="s">
        <v>407</v>
      </c>
      <c r="H2" s="147" t="s">
        <v>408</v>
      </c>
      <c r="I2" s="147" t="s">
        <v>409</v>
      </c>
      <c r="J2" s="147" t="s">
        <v>410</v>
      </c>
      <c r="K2" s="147" t="s">
        <v>411</v>
      </c>
      <c r="L2" s="147" t="s">
        <v>412</v>
      </c>
      <c r="M2" s="147" t="s">
        <v>413</v>
      </c>
      <c r="N2" s="148" t="s">
        <v>414</v>
      </c>
      <c r="O2" s="149" t="s">
        <v>415</v>
      </c>
      <c r="P2" s="149" t="s">
        <v>416</v>
      </c>
      <c r="Q2" s="149" t="s">
        <v>417</v>
      </c>
      <c r="R2" s="149" t="s">
        <v>418</v>
      </c>
      <c r="S2" s="149" t="s">
        <v>419</v>
      </c>
      <c r="T2" s="149" t="s">
        <v>420</v>
      </c>
      <c r="U2" s="149" t="s">
        <v>421</v>
      </c>
      <c r="V2" s="149" t="s">
        <v>422</v>
      </c>
      <c r="W2" s="149" t="s">
        <v>423</v>
      </c>
      <c r="X2" s="149" t="s">
        <v>424</v>
      </c>
      <c r="Y2" s="149" t="s">
        <v>425</v>
      </c>
      <c r="Z2" s="149" t="s">
        <v>426</v>
      </c>
      <c r="AA2" s="149" t="s">
        <v>427</v>
      </c>
      <c r="AB2" s="149" t="s">
        <v>428</v>
      </c>
      <c r="AC2" s="149" t="s">
        <v>429</v>
      </c>
      <c r="AD2" s="149" t="s">
        <v>430</v>
      </c>
      <c r="AE2" s="149" t="s">
        <v>431</v>
      </c>
      <c r="AF2" s="149" t="s">
        <v>432</v>
      </c>
      <c r="AG2" s="149" t="s">
        <v>433</v>
      </c>
      <c r="AH2" s="149" t="s">
        <v>434</v>
      </c>
      <c r="AI2" s="149" t="s">
        <v>435</v>
      </c>
      <c r="AJ2" s="149" t="s">
        <v>436</v>
      </c>
      <c r="AK2" s="149" t="s">
        <v>437</v>
      </c>
      <c r="AL2" s="149" t="s">
        <v>438</v>
      </c>
      <c r="AM2" s="149" t="s">
        <v>439</v>
      </c>
      <c r="AN2" s="149" t="s">
        <v>440</v>
      </c>
      <c r="AO2" s="149" t="s">
        <v>441</v>
      </c>
      <c r="AP2" s="149" t="s">
        <v>442</v>
      </c>
      <c r="AQ2" s="149" t="s">
        <v>443</v>
      </c>
      <c r="AR2" s="149" t="s">
        <v>444</v>
      </c>
      <c r="AS2" s="149" t="s">
        <v>445</v>
      </c>
      <c r="AT2" s="149" t="s">
        <v>446</v>
      </c>
      <c r="AU2" s="149" t="s">
        <v>447</v>
      </c>
      <c r="AV2" s="149" t="s">
        <v>448</v>
      </c>
      <c r="AW2" s="149" t="s">
        <v>449</v>
      </c>
      <c r="AX2" s="149" t="s">
        <v>450</v>
      </c>
      <c r="AY2" s="149" t="s">
        <v>451</v>
      </c>
      <c r="AZ2" s="149" t="s">
        <v>452</v>
      </c>
      <c r="BA2" s="149" t="s">
        <v>453</v>
      </c>
      <c r="BB2" s="150" t="s">
        <v>454</v>
      </c>
      <c r="BC2" s="150" t="s">
        <v>455</v>
      </c>
      <c r="BD2" s="150" t="s">
        <v>456</v>
      </c>
      <c r="BE2" s="150" t="s">
        <v>457</v>
      </c>
      <c r="BF2" s="150" t="s">
        <v>458</v>
      </c>
      <c r="BG2" s="150" t="s">
        <v>459</v>
      </c>
      <c r="BH2" s="150" t="s">
        <v>460</v>
      </c>
      <c r="BI2" s="150" t="s">
        <v>461</v>
      </c>
      <c r="BJ2" s="150" t="s">
        <v>462</v>
      </c>
    </row>
    <row r="3" spans="1:62" ht="15.75" customHeight="1" x14ac:dyDescent="0.25">
      <c r="A3" s="146" t="s">
        <v>357</v>
      </c>
      <c r="B3" s="134">
        <f>+'Costos HH por MES'!$F$5</f>
        <v>368</v>
      </c>
      <c r="C3" s="134">
        <f t="shared" ref="C3:N3" si="0">$B$3</f>
        <v>368</v>
      </c>
      <c r="D3" s="134">
        <f t="shared" si="0"/>
        <v>368</v>
      </c>
      <c r="E3" s="134">
        <f t="shared" si="0"/>
        <v>368</v>
      </c>
      <c r="F3" s="134">
        <f t="shared" si="0"/>
        <v>368</v>
      </c>
      <c r="G3" s="134">
        <f t="shared" si="0"/>
        <v>368</v>
      </c>
      <c r="H3" s="134">
        <f t="shared" si="0"/>
        <v>368</v>
      </c>
      <c r="I3" s="134">
        <f t="shared" si="0"/>
        <v>368</v>
      </c>
      <c r="J3" s="134">
        <f t="shared" si="0"/>
        <v>368</v>
      </c>
      <c r="K3" s="134">
        <f t="shared" si="0"/>
        <v>368</v>
      </c>
      <c r="L3" s="134">
        <f t="shared" si="0"/>
        <v>368</v>
      </c>
      <c r="M3" s="134">
        <f t="shared" si="0"/>
        <v>368</v>
      </c>
      <c r="N3" s="134">
        <f t="shared" si="0"/>
        <v>368</v>
      </c>
      <c r="O3" s="151">
        <f t="shared" ref="O3:BJ3" si="1">$B$3/20</f>
        <v>18.399999999999999</v>
      </c>
      <c r="P3" s="151">
        <f t="shared" si="1"/>
        <v>18.399999999999999</v>
      </c>
      <c r="Q3" s="151">
        <f t="shared" si="1"/>
        <v>18.399999999999999</v>
      </c>
      <c r="R3" s="151">
        <f t="shared" si="1"/>
        <v>18.399999999999999</v>
      </c>
      <c r="S3" s="151">
        <f t="shared" si="1"/>
        <v>18.399999999999999</v>
      </c>
      <c r="T3" s="151">
        <f t="shared" si="1"/>
        <v>18.399999999999999</v>
      </c>
      <c r="U3" s="151">
        <f t="shared" si="1"/>
        <v>18.399999999999999</v>
      </c>
      <c r="V3" s="151">
        <f t="shared" si="1"/>
        <v>18.399999999999999</v>
      </c>
      <c r="W3" s="151">
        <f t="shared" si="1"/>
        <v>18.399999999999999</v>
      </c>
      <c r="X3" s="151">
        <f t="shared" si="1"/>
        <v>18.399999999999999</v>
      </c>
      <c r="Y3" s="151">
        <f t="shared" si="1"/>
        <v>18.399999999999999</v>
      </c>
      <c r="Z3" s="151">
        <f t="shared" si="1"/>
        <v>18.399999999999999</v>
      </c>
      <c r="AA3" s="151">
        <f t="shared" si="1"/>
        <v>18.399999999999999</v>
      </c>
      <c r="AB3" s="151">
        <f t="shared" si="1"/>
        <v>18.399999999999999</v>
      </c>
      <c r="AC3" s="151">
        <f t="shared" si="1"/>
        <v>18.399999999999999</v>
      </c>
      <c r="AD3" s="151">
        <f t="shared" si="1"/>
        <v>18.399999999999999</v>
      </c>
      <c r="AE3" s="151">
        <f t="shared" si="1"/>
        <v>18.399999999999999</v>
      </c>
      <c r="AF3" s="151">
        <f t="shared" si="1"/>
        <v>18.399999999999999</v>
      </c>
      <c r="AG3" s="151">
        <f t="shared" si="1"/>
        <v>18.399999999999999</v>
      </c>
      <c r="AH3" s="151">
        <f t="shared" si="1"/>
        <v>18.399999999999999</v>
      </c>
      <c r="AI3" s="151">
        <f t="shared" si="1"/>
        <v>18.399999999999999</v>
      </c>
      <c r="AJ3" s="151">
        <f t="shared" si="1"/>
        <v>18.399999999999999</v>
      </c>
      <c r="AK3" s="151">
        <f t="shared" si="1"/>
        <v>18.399999999999999</v>
      </c>
      <c r="AL3" s="151">
        <f t="shared" si="1"/>
        <v>18.399999999999999</v>
      </c>
      <c r="AM3" s="151">
        <f t="shared" si="1"/>
        <v>18.399999999999999</v>
      </c>
      <c r="AN3" s="151">
        <f t="shared" si="1"/>
        <v>18.399999999999999</v>
      </c>
      <c r="AO3" s="151">
        <f t="shared" si="1"/>
        <v>18.399999999999999</v>
      </c>
      <c r="AP3" s="151">
        <f t="shared" si="1"/>
        <v>18.399999999999999</v>
      </c>
      <c r="AQ3" s="151">
        <f t="shared" si="1"/>
        <v>18.399999999999999</v>
      </c>
      <c r="AR3" s="151">
        <f t="shared" si="1"/>
        <v>18.399999999999999</v>
      </c>
      <c r="AS3" s="151">
        <f t="shared" si="1"/>
        <v>18.399999999999999</v>
      </c>
      <c r="AT3" s="151">
        <f t="shared" si="1"/>
        <v>18.399999999999999</v>
      </c>
      <c r="AU3" s="151">
        <f t="shared" si="1"/>
        <v>18.399999999999999</v>
      </c>
      <c r="AV3" s="151">
        <f t="shared" si="1"/>
        <v>18.399999999999999</v>
      </c>
      <c r="AW3" s="151">
        <f t="shared" si="1"/>
        <v>18.399999999999999</v>
      </c>
      <c r="AX3" s="151">
        <f t="shared" si="1"/>
        <v>18.399999999999999</v>
      </c>
      <c r="AY3" s="151">
        <f t="shared" si="1"/>
        <v>18.399999999999999</v>
      </c>
      <c r="AZ3" s="151">
        <f t="shared" si="1"/>
        <v>18.399999999999999</v>
      </c>
      <c r="BA3" s="151">
        <f t="shared" si="1"/>
        <v>18.399999999999999</v>
      </c>
      <c r="BB3" s="151">
        <f t="shared" si="1"/>
        <v>18.399999999999999</v>
      </c>
      <c r="BC3" s="151">
        <f t="shared" si="1"/>
        <v>18.399999999999999</v>
      </c>
      <c r="BD3" s="151">
        <f t="shared" si="1"/>
        <v>18.399999999999999</v>
      </c>
      <c r="BE3" s="151">
        <f t="shared" si="1"/>
        <v>18.399999999999999</v>
      </c>
      <c r="BF3" s="151">
        <f t="shared" si="1"/>
        <v>18.399999999999999</v>
      </c>
      <c r="BG3" s="151">
        <f t="shared" si="1"/>
        <v>18.399999999999999</v>
      </c>
      <c r="BH3" s="151">
        <f t="shared" si="1"/>
        <v>18.399999999999999</v>
      </c>
      <c r="BI3" s="151">
        <f t="shared" si="1"/>
        <v>18.399999999999999</v>
      </c>
      <c r="BJ3" s="151">
        <f t="shared" si="1"/>
        <v>18.399999999999999</v>
      </c>
    </row>
    <row r="4" spans="1:62" ht="15.75" customHeight="1" x14ac:dyDescent="0.25">
      <c r="A4" s="146" t="s">
        <v>463</v>
      </c>
      <c r="B4" s="134">
        <f>+'Costos HH por MES'!F6</f>
        <v>96</v>
      </c>
      <c r="C4" s="134">
        <f>B$4</f>
        <v>96</v>
      </c>
      <c r="D4" s="134">
        <f>$B$4</f>
        <v>96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52"/>
      <c r="P4" s="152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</row>
    <row r="5" spans="1:62" ht="15.75" customHeight="1" x14ac:dyDescent="0.25">
      <c r="A5" s="146" t="s">
        <v>464</v>
      </c>
      <c r="B5" s="134">
        <f>B4</f>
        <v>96</v>
      </c>
      <c r="C5" s="134">
        <f>($B$5)</f>
        <v>96</v>
      </c>
      <c r="D5" s="134">
        <f>($C$5)</f>
        <v>96</v>
      </c>
      <c r="E5" s="134"/>
      <c r="F5" s="134">
        <f t="shared" ref="F5:N5" si="2">(E5)</f>
        <v>0</v>
      </c>
      <c r="G5" s="134">
        <f t="shared" si="2"/>
        <v>0</v>
      </c>
      <c r="H5" s="134">
        <f t="shared" si="2"/>
        <v>0</v>
      </c>
      <c r="I5" s="134">
        <f t="shared" si="2"/>
        <v>0</v>
      </c>
      <c r="J5" s="134">
        <f t="shared" si="2"/>
        <v>0</v>
      </c>
      <c r="K5" s="134">
        <f t="shared" si="2"/>
        <v>0</v>
      </c>
      <c r="L5" s="134">
        <f t="shared" si="2"/>
        <v>0</v>
      </c>
      <c r="M5" s="134">
        <f t="shared" si="2"/>
        <v>0</v>
      </c>
      <c r="N5" s="134">
        <f t="shared" si="2"/>
        <v>0</v>
      </c>
      <c r="O5" s="152"/>
      <c r="P5" s="152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</row>
    <row r="6" spans="1:62" ht="15.75" customHeight="1" x14ac:dyDescent="0.25">
      <c r="A6" s="146" t="s">
        <v>465</v>
      </c>
      <c r="B6" s="134">
        <f>+'Costos HH por MES'!F7</f>
        <v>48</v>
      </c>
      <c r="C6" s="134">
        <f>($B$6)</f>
        <v>48</v>
      </c>
      <c r="D6" s="134">
        <f>($C$6)</f>
        <v>48</v>
      </c>
      <c r="E6" s="134"/>
      <c r="F6" s="134"/>
      <c r="G6" s="134"/>
      <c r="H6" s="134"/>
      <c r="I6" s="134"/>
      <c r="J6" s="134"/>
      <c r="K6" s="134"/>
      <c r="L6" s="134"/>
      <c r="M6" s="134"/>
      <c r="N6" s="154"/>
      <c r="O6" s="152"/>
      <c r="P6" s="152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5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</row>
    <row r="7" spans="1:62" ht="15.75" customHeight="1" x14ac:dyDescent="0.25">
      <c r="A7" s="146" t="s">
        <v>466</v>
      </c>
      <c r="B7" s="134">
        <f>B6</f>
        <v>48</v>
      </c>
      <c r="C7" s="134">
        <f>($B$7)</f>
        <v>48</v>
      </c>
      <c r="D7" s="134">
        <f>(C7)</f>
        <v>48</v>
      </c>
      <c r="E7" s="134"/>
      <c r="F7" s="134"/>
      <c r="G7" s="134"/>
      <c r="H7" s="134"/>
      <c r="I7" s="134"/>
      <c r="J7" s="134"/>
      <c r="K7" s="134"/>
      <c r="L7" s="134"/>
      <c r="M7" s="134"/>
      <c r="N7" s="154"/>
      <c r="O7" s="152"/>
      <c r="P7" s="152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5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</row>
    <row r="8" spans="1:62" ht="15.75" customHeight="1" x14ac:dyDescent="0.25">
      <c r="A8" s="146" t="s">
        <v>467</v>
      </c>
      <c r="B8" s="134">
        <f>+'Costos HH por MES'!F8</f>
        <v>160</v>
      </c>
      <c r="C8" s="134">
        <f t="shared" ref="C8:N8" si="3">($B$8)</f>
        <v>160</v>
      </c>
      <c r="D8" s="134">
        <f t="shared" si="3"/>
        <v>160</v>
      </c>
      <c r="E8" s="134">
        <f t="shared" si="3"/>
        <v>160</v>
      </c>
      <c r="F8" s="134">
        <f t="shared" si="3"/>
        <v>160</v>
      </c>
      <c r="G8" s="134">
        <f t="shared" si="3"/>
        <v>160</v>
      </c>
      <c r="H8" s="134">
        <f t="shared" si="3"/>
        <v>160</v>
      </c>
      <c r="I8" s="134">
        <f t="shared" si="3"/>
        <v>160</v>
      </c>
      <c r="J8" s="134">
        <f t="shared" si="3"/>
        <v>160</v>
      </c>
      <c r="K8" s="134">
        <f t="shared" si="3"/>
        <v>160</v>
      </c>
      <c r="L8" s="134">
        <f t="shared" si="3"/>
        <v>160</v>
      </c>
      <c r="M8" s="134">
        <f t="shared" si="3"/>
        <v>160</v>
      </c>
      <c r="N8" s="134">
        <f t="shared" si="3"/>
        <v>160</v>
      </c>
      <c r="O8" s="157">
        <f t="shared" ref="O8:Q8" si="4">$B$8</f>
        <v>160</v>
      </c>
      <c r="P8" s="157">
        <f t="shared" si="4"/>
        <v>160</v>
      </c>
      <c r="Q8" s="157">
        <f t="shared" si="4"/>
        <v>160</v>
      </c>
      <c r="R8" s="157">
        <f>$B$8/2</f>
        <v>80</v>
      </c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</row>
    <row r="9" spans="1:62" ht="15.75" customHeight="1" x14ac:dyDescent="0.25">
      <c r="A9" s="146" t="s">
        <v>468</v>
      </c>
      <c r="B9" s="134">
        <f>+'Costos HH por MES'!F9</f>
        <v>80</v>
      </c>
      <c r="C9" s="134">
        <f t="shared" ref="C9:E9" si="5">$B$9</f>
        <v>80</v>
      </c>
      <c r="D9" s="134">
        <f t="shared" si="5"/>
        <v>80</v>
      </c>
      <c r="E9" s="134">
        <f t="shared" si="5"/>
        <v>80</v>
      </c>
      <c r="F9" s="134"/>
      <c r="G9" s="134"/>
      <c r="H9" s="134"/>
      <c r="I9" s="134"/>
      <c r="J9" s="134"/>
      <c r="K9" s="134"/>
      <c r="L9" s="134"/>
      <c r="M9" s="134"/>
      <c r="N9" s="154"/>
      <c r="O9" s="158"/>
      <c r="P9" s="159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60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</row>
    <row r="10" spans="1:62" ht="15.75" customHeight="1" x14ac:dyDescent="0.25">
      <c r="A10" s="146" t="s">
        <v>469</v>
      </c>
      <c r="B10" s="134">
        <f>$B$9</f>
        <v>80</v>
      </c>
      <c r="C10" s="134">
        <f t="shared" ref="C10:E10" si="6">$B$10</f>
        <v>80</v>
      </c>
      <c r="D10" s="134">
        <f t="shared" si="6"/>
        <v>80</v>
      </c>
      <c r="E10" s="134">
        <f t="shared" si="6"/>
        <v>80</v>
      </c>
      <c r="F10" s="134"/>
      <c r="G10" s="134"/>
      <c r="H10" s="134"/>
      <c r="I10" s="134"/>
      <c r="J10" s="134"/>
      <c r="K10" s="134"/>
      <c r="L10" s="134"/>
      <c r="M10" s="134"/>
      <c r="N10" s="154"/>
      <c r="O10" s="158"/>
      <c r="P10" s="159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60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</row>
    <row r="11" spans="1:62" ht="15.75" customHeight="1" x14ac:dyDescent="0.25">
      <c r="A11" s="146" t="s">
        <v>470</v>
      </c>
      <c r="B11" s="134">
        <f t="shared" ref="B11:B12" si="7">B10</f>
        <v>80</v>
      </c>
      <c r="C11" s="134">
        <f t="shared" ref="C11:E11" si="8">($B$11)</f>
        <v>80</v>
      </c>
      <c r="D11" s="134">
        <f t="shared" si="8"/>
        <v>80</v>
      </c>
      <c r="E11" s="134">
        <f t="shared" si="8"/>
        <v>80</v>
      </c>
      <c r="F11" s="134"/>
      <c r="G11" s="134"/>
      <c r="H11" s="134"/>
      <c r="I11" s="134"/>
      <c r="J11" s="134"/>
      <c r="K11" s="134"/>
      <c r="L11" s="134"/>
      <c r="M11" s="134"/>
      <c r="N11" s="154"/>
      <c r="O11" s="158"/>
      <c r="P11" s="159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60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</row>
    <row r="12" spans="1:62" ht="15.75" customHeight="1" x14ac:dyDescent="0.25">
      <c r="A12" s="146" t="s">
        <v>471</v>
      </c>
      <c r="B12" s="134">
        <f t="shared" si="7"/>
        <v>80</v>
      </c>
      <c r="C12" s="134">
        <f t="shared" ref="C12:E12" si="9">($B$12)</f>
        <v>80</v>
      </c>
      <c r="D12" s="134">
        <f t="shared" si="9"/>
        <v>80</v>
      </c>
      <c r="E12" s="134">
        <f t="shared" si="9"/>
        <v>80</v>
      </c>
      <c r="F12" s="134"/>
      <c r="G12" s="134"/>
      <c r="H12" s="134"/>
      <c r="I12" s="134"/>
      <c r="J12" s="134"/>
      <c r="K12" s="134"/>
      <c r="L12" s="134"/>
      <c r="M12" s="134"/>
      <c r="N12" s="154"/>
      <c r="O12" s="158"/>
      <c r="P12" s="159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60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</row>
    <row r="13" spans="1:62" ht="15.75" customHeight="1" x14ac:dyDescent="0.25">
      <c r="A13" s="146" t="s">
        <v>472</v>
      </c>
      <c r="B13" s="134">
        <f>+'Costos HH por MES'!F10</f>
        <v>48</v>
      </c>
      <c r="C13" s="134">
        <f t="shared" ref="C13:E13" si="10">($B$13)</f>
        <v>48</v>
      </c>
      <c r="D13" s="134">
        <f t="shared" si="10"/>
        <v>48</v>
      </c>
      <c r="E13" s="134">
        <f t="shared" si="10"/>
        <v>48</v>
      </c>
      <c r="F13" s="134"/>
      <c r="G13" s="134"/>
      <c r="H13" s="134"/>
      <c r="I13" s="134"/>
      <c r="J13" s="134"/>
      <c r="K13" s="134"/>
      <c r="L13" s="134"/>
      <c r="M13" s="134"/>
      <c r="N13" s="154"/>
      <c r="O13" s="158"/>
      <c r="P13" s="159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60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</row>
    <row r="14" spans="1:62" ht="15.75" customHeight="1" x14ac:dyDescent="0.25">
      <c r="A14" s="146" t="s">
        <v>473</v>
      </c>
      <c r="B14" s="134">
        <f>B13</f>
        <v>48</v>
      </c>
      <c r="C14" s="134">
        <f t="shared" ref="C14:E14" si="11">($B$14)</f>
        <v>48</v>
      </c>
      <c r="D14" s="134">
        <f t="shared" si="11"/>
        <v>48</v>
      </c>
      <c r="E14" s="134">
        <f t="shared" si="11"/>
        <v>48</v>
      </c>
      <c r="F14" s="134"/>
      <c r="G14" s="134"/>
      <c r="H14" s="134"/>
      <c r="I14" s="134"/>
      <c r="J14" s="134"/>
      <c r="K14" s="134"/>
      <c r="L14" s="134"/>
      <c r="M14" s="134"/>
      <c r="N14" s="154"/>
      <c r="O14" s="158"/>
      <c r="P14" s="159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60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</row>
    <row r="15" spans="1:62" ht="15.75" customHeight="1" x14ac:dyDescent="0.25">
      <c r="A15" s="146" t="s">
        <v>474</v>
      </c>
      <c r="B15" s="134">
        <f>+'Costos HH por MES'!F11</f>
        <v>160</v>
      </c>
      <c r="C15" s="134">
        <f t="shared" ref="C15:E15" si="12">($B$15)</f>
        <v>160</v>
      </c>
      <c r="D15" s="134">
        <f t="shared" si="12"/>
        <v>160</v>
      </c>
      <c r="E15" s="134">
        <f t="shared" si="12"/>
        <v>160</v>
      </c>
      <c r="F15" s="134"/>
      <c r="G15" s="134">
        <f t="shared" ref="G15:H15" si="13">($B$15)</f>
        <v>160</v>
      </c>
      <c r="H15" s="134">
        <f t="shared" si="13"/>
        <v>160</v>
      </c>
      <c r="I15" s="134"/>
      <c r="J15" s="134">
        <f t="shared" ref="J15:M15" si="14">($B$15)</f>
        <v>160</v>
      </c>
      <c r="K15" s="134">
        <f t="shared" si="14"/>
        <v>160</v>
      </c>
      <c r="L15" s="134">
        <f t="shared" si="14"/>
        <v>160</v>
      </c>
      <c r="M15" s="134">
        <f t="shared" si="14"/>
        <v>160</v>
      </c>
      <c r="N15" s="154"/>
      <c r="O15" s="158"/>
      <c r="P15" s="159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60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</row>
    <row r="16" spans="1:62" ht="15.75" customHeight="1" x14ac:dyDescent="0.25">
      <c r="A16" s="146" t="s">
        <v>475</v>
      </c>
      <c r="B16" s="134">
        <f>B15</f>
        <v>160</v>
      </c>
      <c r="C16" s="134">
        <f t="shared" ref="C16:E16" si="15">($B$16)</f>
        <v>160</v>
      </c>
      <c r="D16" s="134">
        <f t="shared" si="15"/>
        <v>160</v>
      </c>
      <c r="E16" s="134">
        <f t="shared" si="15"/>
        <v>160</v>
      </c>
      <c r="F16" s="134"/>
      <c r="G16" s="134">
        <f t="shared" ref="G16:H16" si="16">($B$16)</f>
        <v>160</v>
      </c>
      <c r="H16" s="134">
        <f t="shared" si="16"/>
        <v>160</v>
      </c>
      <c r="I16" s="134"/>
      <c r="J16" s="134">
        <f t="shared" ref="J16:M16" si="17">($B$16)</f>
        <v>160</v>
      </c>
      <c r="K16" s="134">
        <f t="shared" si="17"/>
        <v>160</v>
      </c>
      <c r="L16" s="134">
        <f t="shared" si="17"/>
        <v>160</v>
      </c>
      <c r="M16" s="134">
        <f t="shared" si="17"/>
        <v>160</v>
      </c>
      <c r="N16" s="154"/>
      <c r="O16" s="158"/>
      <c r="P16" s="159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61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</row>
    <row r="17" spans="1:62" ht="15.75" customHeight="1" x14ac:dyDescent="0.25">
      <c r="A17" s="146" t="s">
        <v>476</v>
      </c>
      <c r="B17" s="134">
        <f>+'Costos HH por MES'!F12</f>
        <v>80</v>
      </c>
      <c r="C17" s="134">
        <f t="shared" ref="C17:E17" si="18">$B$17</f>
        <v>80</v>
      </c>
      <c r="D17" s="134">
        <f t="shared" si="18"/>
        <v>80</v>
      </c>
      <c r="E17" s="134">
        <f t="shared" si="18"/>
        <v>80</v>
      </c>
      <c r="F17" s="134"/>
      <c r="G17" s="134">
        <f t="shared" ref="G17:H17" si="19">$B$17</f>
        <v>80</v>
      </c>
      <c r="H17" s="134">
        <f t="shared" si="19"/>
        <v>80</v>
      </c>
      <c r="I17" s="134"/>
      <c r="J17" s="134">
        <f t="shared" ref="J17:M17" si="20">$B$17</f>
        <v>80</v>
      </c>
      <c r="K17" s="134">
        <f t="shared" si="20"/>
        <v>80</v>
      </c>
      <c r="L17" s="134">
        <f t="shared" si="20"/>
        <v>80</v>
      </c>
      <c r="M17" s="134">
        <f t="shared" si="20"/>
        <v>80</v>
      </c>
      <c r="N17" s="154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4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</row>
    <row r="18" spans="1:62" ht="15.75" customHeight="1" x14ac:dyDescent="0.25">
      <c r="A18" s="146" t="s">
        <v>477</v>
      </c>
      <c r="B18" s="134">
        <f>B17</f>
        <v>80</v>
      </c>
      <c r="C18" s="134">
        <f t="shared" ref="C18:E18" si="21">$B$18</f>
        <v>80</v>
      </c>
      <c r="D18" s="134">
        <f t="shared" si="21"/>
        <v>80</v>
      </c>
      <c r="E18" s="134">
        <f t="shared" si="21"/>
        <v>80</v>
      </c>
      <c r="F18" s="134"/>
      <c r="G18" s="134">
        <f t="shared" ref="G18:H18" si="22">$B$18</f>
        <v>80</v>
      </c>
      <c r="H18" s="134">
        <f t="shared" si="22"/>
        <v>80</v>
      </c>
      <c r="I18" s="134"/>
      <c r="J18" s="134">
        <f t="shared" ref="J18:M18" si="23">$B$18</f>
        <v>80</v>
      </c>
      <c r="K18" s="134">
        <f t="shared" si="23"/>
        <v>80</v>
      </c>
      <c r="L18" s="134">
        <f t="shared" si="23"/>
        <v>80</v>
      </c>
      <c r="M18" s="134">
        <f t="shared" si="23"/>
        <v>80</v>
      </c>
      <c r="N18" s="154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55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</row>
    <row r="19" spans="1:62" ht="15.75" customHeight="1" x14ac:dyDescent="0.25">
      <c r="A19" s="146" t="s">
        <v>478</v>
      </c>
      <c r="B19" s="134">
        <f>+'Costos HH por MES'!F13</f>
        <v>208</v>
      </c>
      <c r="C19" s="134">
        <f t="shared" ref="C19:E19" si="24">$B$19</f>
        <v>208</v>
      </c>
      <c r="D19" s="134">
        <f t="shared" si="24"/>
        <v>208</v>
      </c>
      <c r="E19" s="134">
        <f t="shared" si="24"/>
        <v>208</v>
      </c>
      <c r="F19" s="134"/>
      <c r="G19" s="134"/>
      <c r="H19" s="134"/>
      <c r="I19" s="134"/>
      <c r="J19" s="134"/>
      <c r="K19" s="134"/>
      <c r="L19" s="134"/>
      <c r="M19" s="134"/>
      <c r="N19" s="154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64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</row>
    <row r="20" spans="1:62" ht="15.75" customHeight="1" x14ac:dyDescent="0.25">
      <c r="A20" s="146" t="s">
        <v>479</v>
      </c>
      <c r="B20" s="134">
        <f>+'Costos HH por MES'!F14</f>
        <v>80</v>
      </c>
      <c r="C20" s="134">
        <f t="shared" ref="C20:E20" si="25">$B$20</f>
        <v>80</v>
      </c>
      <c r="D20" s="134">
        <f t="shared" si="25"/>
        <v>80</v>
      </c>
      <c r="E20" s="134">
        <f t="shared" si="25"/>
        <v>80</v>
      </c>
      <c r="F20" s="134"/>
      <c r="G20" s="134"/>
      <c r="H20" s="134"/>
      <c r="I20" s="134"/>
      <c r="J20" s="134"/>
      <c r="K20" s="134"/>
      <c r="L20" s="134"/>
      <c r="M20" s="134"/>
      <c r="N20" s="154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0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</row>
    <row r="21" spans="1:62" ht="15.75" customHeight="1" x14ac:dyDescent="0.25">
      <c r="A21" s="146" t="s">
        <v>480</v>
      </c>
      <c r="B21" s="134">
        <f>+'Costos HH por MES'!F15</f>
        <v>112</v>
      </c>
      <c r="C21" s="134"/>
      <c r="D21" s="134"/>
      <c r="E21" s="134"/>
      <c r="F21" s="134">
        <f t="shared" ref="F21:F30" si="26">(B21/20)*6</f>
        <v>33.599999999999994</v>
      </c>
      <c r="G21" s="134">
        <f t="shared" ref="G21:G30" si="27">B21</f>
        <v>112</v>
      </c>
      <c r="H21" s="134">
        <f t="shared" ref="H21:H30" si="28">B21</f>
        <v>112</v>
      </c>
      <c r="I21" s="134">
        <v>112</v>
      </c>
      <c r="J21" s="134"/>
      <c r="K21" s="134"/>
      <c r="L21" s="134"/>
      <c r="M21" s="134"/>
      <c r="N21" s="154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0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</row>
    <row r="22" spans="1:62" ht="15.75" customHeight="1" x14ac:dyDescent="0.25">
      <c r="A22" s="146" t="s">
        <v>481</v>
      </c>
      <c r="B22" s="134">
        <f>B21</f>
        <v>112</v>
      </c>
      <c r="C22" s="134"/>
      <c r="D22" s="134"/>
      <c r="E22" s="134"/>
      <c r="F22" s="134">
        <f t="shared" si="26"/>
        <v>33.599999999999994</v>
      </c>
      <c r="G22" s="134">
        <f t="shared" si="27"/>
        <v>112</v>
      </c>
      <c r="H22" s="134">
        <f t="shared" si="28"/>
        <v>112</v>
      </c>
      <c r="I22" s="134">
        <v>112</v>
      </c>
      <c r="J22" s="134"/>
      <c r="K22" s="134"/>
      <c r="L22" s="134"/>
      <c r="M22" s="134"/>
      <c r="N22" s="154"/>
      <c r="O22" s="167"/>
      <c r="P22" s="159"/>
      <c r="Q22" s="159"/>
      <c r="R22" s="159"/>
      <c r="S22" s="159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5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</row>
    <row r="23" spans="1:62" ht="15.75" customHeight="1" x14ac:dyDescent="0.25">
      <c r="A23" s="146" t="s">
        <v>482</v>
      </c>
      <c r="B23" s="134">
        <f>+'Costos HH por MES'!F16</f>
        <v>80</v>
      </c>
      <c r="C23" s="134"/>
      <c r="D23" s="134"/>
      <c r="E23" s="134"/>
      <c r="F23" s="134">
        <f t="shared" si="26"/>
        <v>24</v>
      </c>
      <c r="G23" s="134">
        <f t="shared" si="27"/>
        <v>80</v>
      </c>
      <c r="H23" s="134">
        <f t="shared" si="28"/>
        <v>80</v>
      </c>
      <c r="I23" s="134">
        <f t="shared" ref="I23:I29" si="29">B23</f>
        <v>80</v>
      </c>
      <c r="J23" s="134"/>
      <c r="K23" s="134"/>
      <c r="L23" s="134"/>
      <c r="M23" s="134"/>
      <c r="N23" s="154">
        <v>64</v>
      </c>
      <c r="O23" s="157">
        <f t="shared" ref="O23:BJ23" si="30">$B$23</f>
        <v>80</v>
      </c>
      <c r="P23" s="157">
        <f t="shared" si="30"/>
        <v>80</v>
      </c>
      <c r="Q23" s="157">
        <f t="shared" si="30"/>
        <v>80</v>
      </c>
      <c r="R23" s="157">
        <f t="shared" si="30"/>
        <v>80</v>
      </c>
      <c r="S23" s="157">
        <f t="shared" si="30"/>
        <v>80</v>
      </c>
      <c r="T23" s="157">
        <f t="shared" si="30"/>
        <v>80</v>
      </c>
      <c r="U23" s="157">
        <f t="shared" si="30"/>
        <v>80</v>
      </c>
      <c r="V23" s="157">
        <f t="shared" si="30"/>
        <v>80</v>
      </c>
      <c r="W23" s="157">
        <f t="shared" si="30"/>
        <v>80</v>
      </c>
      <c r="X23" s="157">
        <f t="shared" si="30"/>
        <v>80</v>
      </c>
      <c r="Y23" s="157">
        <f t="shared" si="30"/>
        <v>80</v>
      </c>
      <c r="Z23" s="157">
        <f t="shared" si="30"/>
        <v>80</v>
      </c>
      <c r="AA23" s="157">
        <f t="shared" si="30"/>
        <v>80</v>
      </c>
      <c r="AB23" s="157">
        <f t="shared" si="30"/>
        <v>80</v>
      </c>
      <c r="AC23" s="157">
        <f t="shared" si="30"/>
        <v>80</v>
      </c>
      <c r="AD23" s="157">
        <f t="shared" si="30"/>
        <v>80</v>
      </c>
      <c r="AE23" s="157">
        <f t="shared" si="30"/>
        <v>80</v>
      </c>
      <c r="AF23" s="157">
        <f t="shared" si="30"/>
        <v>80</v>
      </c>
      <c r="AG23" s="157">
        <f t="shared" si="30"/>
        <v>80</v>
      </c>
      <c r="AH23" s="157">
        <f t="shared" si="30"/>
        <v>80</v>
      </c>
      <c r="AI23" s="157">
        <f t="shared" si="30"/>
        <v>80</v>
      </c>
      <c r="AJ23" s="157">
        <f t="shared" si="30"/>
        <v>80</v>
      </c>
      <c r="AK23" s="157">
        <f t="shared" si="30"/>
        <v>80</v>
      </c>
      <c r="AL23" s="157">
        <f t="shared" si="30"/>
        <v>80</v>
      </c>
      <c r="AM23" s="157">
        <f t="shared" si="30"/>
        <v>80</v>
      </c>
      <c r="AN23" s="157">
        <f t="shared" si="30"/>
        <v>80</v>
      </c>
      <c r="AO23" s="157">
        <f t="shared" si="30"/>
        <v>80</v>
      </c>
      <c r="AP23" s="157">
        <f t="shared" si="30"/>
        <v>80</v>
      </c>
      <c r="AQ23" s="157">
        <f t="shared" si="30"/>
        <v>80</v>
      </c>
      <c r="AR23" s="157">
        <f t="shared" si="30"/>
        <v>80</v>
      </c>
      <c r="AS23" s="157">
        <f t="shared" si="30"/>
        <v>80</v>
      </c>
      <c r="AT23" s="157">
        <f t="shared" si="30"/>
        <v>80</v>
      </c>
      <c r="AU23" s="157">
        <f t="shared" si="30"/>
        <v>80</v>
      </c>
      <c r="AV23" s="157">
        <f t="shared" si="30"/>
        <v>80</v>
      </c>
      <c r="AW23" s="157">
        <f t="shared" si="30"/>
        <v>80</v>
      </c>
      <c r="AX23" s="157">
        <f t="shared" si="30"/>
        <v>80</v>
      </c>
      <c r="AY23" s="157">
        <f t="shared" si="30"/>
        <v>80</v>
      </c>
      <c r="AZ23" s="157">
        <f t="shared" si="30"/>
        <v>80</v>
      </c>
      <c r="BA23" s="157">
        <f t="shared" si="30"/>
        <v>80</v>
      </c>
      <c r="BB23" s="157">
        <f t="shared" si="30"/>
        <v>80</v>
      </c>
      <c r="BC23" s="157">
        <f t="shared" si="30"/>
        <v>80</v>
      </c>
      <c r="BD23" s="157">
        <f t="shared" si="30"/>
        <v>80</v>
      </c>
      <c r="BE23" s="157">
        <f t="shared" si="30"/>
        <v>80</v>
      </c>
      <c r="BF23" s="157">
        <f t="shared" si="30"/>
        <v>80</v>
      </c>
      <c r="BG23" s="157">
        <f t="shared" si="30"/>
        <v>80</v>
      </c>
      <c r="BH23" s="157">
        <f t="shared" si="30"/>
        <v>80</v>
      </c>
      <c r="BI23" s="157">
        <f t="shared" si="30"/>
        <v>80</v>
      </c>
      <c r="BJ23" s="157">
        <f t="shared" si="30"/>
        <v>80</v>
      </c>
    </row>
    <row r="24" spans="1:62" ht="15.75" customHeight="1" x14ac:dyDescent="0.25">
      <c r="A24" s="146" t="s">
        <v>483</v>
      </c>
      <c r="B24" s="134">
        <f>B23</f>
        <v>80</v>
      </c>
      <c r="C24" s="134"/>
      <c r="D24" s="134"/>
      <c r="E24" s="134"/>
      <c r="F24" s="134">
        <f t="shared" si="26"/>
        <v>24</v>
      </c>
      <c r="G24" s="134">
        <f t="shared" si="27"/>
        <v>80</v>
      </c>
      <c r="H24" s="134">
        <f t="shared" si="28"/>
        <v>80</v>
      </c>
      <c r="I24" s="134">
        <f t="shared" si="29"/>
        <v>80</v>
      </c>
      <c r="J24" s="134"/>
      <c r="K24" s="134"/>
      <c r="L24" s="134"/>
      <c r="M24" s="134"/>
      <c r="N24" s="154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64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</row>
    <row r="25" spans="1:62" ht="15.75" customHeight="1" x14ac:dyDescent="0.25">
      <c r="A25" s="146" t="s">
        <v>484</v>
      </c>
      <c r="B25" s="134">
        <f>+'Costos HH por MES'!F17</f>
        <v>128</v>
      </c>
      <c r="C25" s="134"/>
      <c r="D25" s="134"/>
      <c r="E25" s="134"/>
      <c r="F25" s="134">
        <f t="shared" si="26"/>
        <v>38.400000000000006</v>
      </c>
      <c r="G25" s="134">
        <f t="shared" si="27"/>
        <v>128</v>
      </c>
      <c r="H25" s="134">
        <f t="shared" si="28"/>
        <v>128</v>
      </c>
      <c r="I25" s="134">
        <f t="shared" si="29"/>
        <v>128</v>
      </c>
      <c r="J25" s="134"/>
      <c r="K25" s="134"/>
      <c r="L25" s="134"/>
      <c r="M25" s="134"/>
      <c r="N25" s="154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0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</row>
    <row r="26" spans="1:62" ht="15.75" customHeight="1" x14ac:dyDescent="0.25">
      <c r="A26" s="146" t="s">
        <v>485</v>
      </c>
      <c r="B26" s="134">
        <f>B25</f>
        <v>128</v>
      </c>
      <c r="C26" s="134"/>
      <c r="D26" s="134"/>
      <c r="E26" s="134"/>
      <c r="F26" s="134">
        <f t="shared" si="26"/>
        <v>38.400000000000006</v>
      </c>
      <c r="G26" s="134">
        <f t="shared" si="27"/>
        <v>128</v>
      </c>
      <c r="H26" s="134">
        <f t="shared" si="28"/>
        <v>128</v>
      </c>
      <c r="I26" s="134">
        <f t="shared" si="29"/>
        <v>128</v>
      </c>
      <c r="J26" s="134"/>
      <c r="K26" s="134"/>
      <c r="L26" s="134"/>
      <c r="M26" s="134"/>
      <c r="N26" s="154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0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</row>
    <row r="27" spans="1:62" ht="15.75" customHeight="1" x14ac:dyDescent="0.25">
      <c r="A27" s="146" t="s">
        <v>486</v>
      </c>
      <c r="B27" s="134">
        <f>+'Costos HH por MES'!F18</f>
        <v>80</v>
      </c>
      <c r="C27" s="134"/>
      <c r="D27" s="134"/>
      <c r="E27" s="134"/>
      <c r="F27" s="134">
        <f t="shared" si="26"/>
        <v>24</v>
      </c>
      <c r="G27" s="134">
        <f t="shared" si="27"/>
        <v>80</v>
      </c>
      <c r="H27" s="134">
        <f t="shared" si="28"/>
        <v>80</v>
      </c>
      <c r="I27" s="134">
        <f t="shared" si="29"/>
        <v>80</v>
      </c>
      <c r="J27" s="134"/>
      <c r="K27" s="134"/>
      <c r="L27" s="134"/>
      <c r="M27" s="134"/>
      <c r="N27" s="154">
        <v>64</v>
      </c>
      <c r="O27" s="157">
        <f t="shared" ref="O27:BJ27" si="31">$B$27</f>
        <v>80</v>
      </c>
      <c r="P27" s="157">
        <f t="shared" si="31"/>
        <v>80</v>
      </c>
      <c r="Q27" s="157">
        <f t="shared" si="31"/>
        <v>80</v>
      </c>
      <c r="R27" s="157">
        <f t="shared" si="31"/>
        <v>80</v>
      </c>
      <c r="S27" s="157">
        <f t="shared" si="31"/>
        <v>80</v>
      </c>
      <c r="T27" s="157">
        <f t="shared" si="31"/>
        <v>80</v>
      </c>
      <c r="U27" s="157">
        <f t="shared" si="31"/>
        <v>80</v>
      </c>
      <c r="V27" s="157">
        <f t="shared" si="31"/>
        <v>80</v>
      </c>
      <c r="W27" s="157">
        <f t="shared" si="31"/>
        <v>80</v>
      </c>
      <c r="X27" s="157">
        <f t="shared" si="31"/>
        <v>80</v>
      </c>
      <c r="Y27" s="157">
        <f t="shared" si="31"/>
        <v>80</v>
      </c>
      <c r="Z27" s="157">
        <f t="shared" si="31"/>
        <v>80</v>
      </c>
      <c r="AA27" s="157">
        <f t="shared" si="31"/>
        <v>80</v>
      </c>
      <c r="AB27" s="157">
        <f t="shared" si="31"/>
        <v>80</v>
      </c>
      <c r="AC27" s="157">
        <f t="shared" si="31"/>
        <v>80</v>
      </c>
      <c r="AD27" s="157">
        <f t="shared" si="31"/>
        <v>80</v>
      </c>
      <c r="AE27" s="157">
        <f t="shared" si="31"/>
        <v>80</v>
      </c>
      <c r="AF27" s="157">
        <f t="shared" si="31"/>
        <v>80</v>
      </c>
      <c r="AG27" s="157">
        <f t="shared" si="31"/>
        <v>80</v>
      </c>
      <c r="AH27" s="157">
        <f t="shared" si="31"/>
        <v>80</v>
      </c>
      <c r="AI27" s="157">
        <f t="shared" si="31"/>
        <v>80</v>
      </c>
      <c r="AJ27" s="157">
        <f t="shared" si="31"/>
        <v>80</v>
      </c>
      <c r="AK27" s="157">
        <f t="shared" si="31"/>
        <v>80</v>
      </c>
      <c r="AL27" s="157">
        <f t="shared" si="31"/>
        <v>80</v>
      </c>
      <c r="AM27" s="157">
        <f t="shared" si="31"/>
        <v>80</v>
      </c>
      <c r="AN27" s="157">
        <f t="shared" si="31"/>
        <v>80</v>
      </c>
      <c r="AO27" s="157">
        <f t="shared" si="31"/>
        <v>80</v>
      </c>
      <c r="AP27" s="157">
        <f t="shared" si="31"/>
        <v>80</v>
      </c>
      <c r="AQ27" s="157">
        <f t="shared" si="31"/>
        <v>80</v>
      </c>
      <c r="AR27" s="157">
        <f t="shared" si="31"/>
        <v>80</v>
      </c>
      <c r="AS27" s="157">
        <f t="shared" si="31"/>
        <v>80</v>
      </c>
      <c r="AT27" s="157">
        <f t="shared" si="31"/>
        <v>80</v>
      </c>
      <c r="AU27" s="157">
        <f t="shared" si="31"/>
        <v>80</v>
      </c>
      <c r="AV27" s="157">
        <f t="shared" si="31"/>
        <v>80</v>
      </c>
      <c r="AW27" s="157">
        <f t="shared" si="31"/>
        <v>80</v>
      </c>
      <c r="AX27" s="157">
        <f t="shared" si="31"/>
        <v>80</v>
      </c>
      <c r="AY27" s="157">
        <f t="shared" si="31"/>
        <v>80</v>
      </c>
      <c r="AZ27" s="157">
        <f t="shared" si="31"/>
        <v>80</v>
      </c>
      <c r="BA27" s="157">
        <f t="shared" si="31"/>
        <v>80</v>
      </c>
      <c r="BB27" s="157">
        <f t="shared" si="31"/>
        <v>80</v>
      </c>
      <c r="BC27" s="157">
        <f t="shared" si="31"/>
        <v>80</v>
      </c>
      <c r="BD27" s="157">
        <f t="shared" si="31"/>
        <v>80</v>
      </c>
      <c r="BE27" s="157">
        <f t="shared" si="31"/>
        <v>80</v>
      </c>
      <c r="BF27" s="157">
        <f t="shared" si="31"/>
        <v>80</v>
      </c>
      <c r="BG27" s="157">
        <f t="shared" si="31"/>
        <v>80</v>
      </c>
      <c r="BH27" s="157">
        <f t="shared" si="31"/>
        <v>80</v>
      </c>
      <c r="BI27" s="157">
        <f t="shared" si="31"/>
        <v>80</v>
      </c>
      <c r="BJ27" s="157">
        <f t="shared" si="31"/>
        <v>80</v>
      </c>
    </row>
    <row r="28" spans="1:62" ht="15.75" customHeight="1" x14ac:dyDescent="0.25">
      <c r="A28" s="146" t="s">
        <v>487</v>
      </c>
      <c r="B28" s="134">
        <f>B27</f>
        <v>80</v>
      </c>
      <c r="C28" s="134"/>
      <c r="D28" s="134"/>
      <c r="E28" s="134"/>
      <c r="F28" s="134">
        <f t="shared" si="26"/>
        <v>24</v>
      </c>
      <c r="G28" s="134">
        <f t="shared" si="27"/>
        <v>80</v>
      </c>
      <c r="H28" s="134">
        <f t="shared" si="28"/>
        <v>80</v>
      </c>
      <c r="I28" s="134">
        <f t="shared" si="29"/>
        <v>80</v>
      </c>
      <c r="J28" s="134"/>
      <c r="K28" s="134"/>
      <c r="L28" s="134"/>
      <c r="M28" s="134"/>
      <c r="N28" s="154"/>
      <c r="O28" s="167"/>
      <c r="P28" s="159"/>
      <c r="Q28" s="167"/>
      <c r="R28" s="167"/>
      <c r="S28" s="167"/>
      <c r="T28" s="167"/>
      <c r="U28" s="167"/>
      <c r="V28" s="159"/>
      <c r="W28" s="167"/>
      <c r="X28" s="159"/>
      <c r="Y28" s="167"/>
      <c r="Z28" s="167"/>
      <c r="AA28" s="167"/>
      <c r="AB28" s="167"/>
      <c r="AC28" s="167"/>
      <c r="AD28" s="159"/>
      <c r="AE28" s="167"/>
      <c r="AF28" s="159"/>
      <c r="AG28" s="167"/>
      <c r="AH28" s="167"/>
      <c r="AI28" s="167"/>
      <c r="AJ28" s="167"/>
      <c r="AK28" s="167"/>
      <c r="AL28" s="160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</row>
    <row r="29" spans="1:62" ht="15.75" customHeight="1" x14ac:dyDescent="0.25">
      <c r="A29" s="146" t="s">
        <v>488</v>
      </c>
      <c r="B29" s="134">
        <f>+'Costos HH por MES'!F18</f>
        <v>80</v>
      </c>
      <c r="C29" s="134"/>
      <c r="D29" s="134"/>
      <c r="E29" s="134"/>
      <c r="F29" s="134">
        <f t="shared" si="26"/>
        <v>24</v>
      </c>
      <c r="G29" s="134">
        <f t="shared" si="27"/>
        <v>80</v>
      </c>
      <c r="H29" s="134">
        <f t="shared" si="28"/>
        <v>80</v>
      </c>
      <c r="I29" s="134">
        <f t="shared" si="29"/>
        <v>80</v>
      </c>
      <c r="J29" s="134"/>
      <c r="K29" s="134"/>
      <c r="L29" s="134"/>
      <c r="M29" s="134"/>
      <c r="N29" s="154"/>
      <c r="O29" s="167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60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</row>
    <row r="30" spans="1:62" ht="15.75" customHeight="1" x14ac:dyDescent="0.25">
      <c r="A30" s="146" t="s">
        <v>372</v>
      </c>
      <c r="B30" s="134">
        <f>+'Costos HH por MES'!F20</f>
        <v>64</v>
      </c>
      <c r="C30" s="134"/>
      <c r="D30" s="134"/>
      <c r="E30" s="134"/>
      <c r="F30" s="134">
        <f t="shared" si="26"/>
        <v>19.200000000000003</v>
      </c>
      <c r="G30" s="134">
        <f t="shared" si="27"/>
        <v>64</v>
      </c>
      <c r="H30" s="134">
        <f t="shared" si="28"/>
        <v>64</v>
      </c>
      <c r="I30" s="134">
        <f>$B$30</f>
        <v>64</v>
      </c>
      <c r="J30" s="134"/>
      <c r="K30" s="134"/>
      <c r="L30" s="134"/>
      <c r="M30" s="134">
        <f>E30</f>
        <v>0</v>
      </c>
      <c r="N30" s="154">
        <v>128</v>
      </c>
      <c r="O30" s="157">
        <f t="shared" ref="O30:BJ30" si="32">$B$30</f>
        <v>64</v>
      </c>
      <c r="P30" s="157">
        <f t="shared" si="32"/>
        <v>64</v>
      </c>
      <c r="Q30" s="157">
        <f t="shared" si="32"/>
        <v>64</v>
      </c>
      <c r="R30" s="157">
        <f t="shared" si="32"/>
        <v>64</v>
      </c>
      <c r="S30" s="157">
        <f t="shared" si="32"/>
        <v>64</v>
      </c>
      <c r="T30" s="157">
        <f t="shared" si="32"/>
        <v>64</v>
      </c>
      <c r="U30" s="157">
        <f t="shared" si="32"/>
        <v>64</v>
      </c>
      <c r="V30" s="157">
        <f t="shared" si="32"/>
        <v>64</v>
      </c>
      <c r="W30" s="157">
        <f t="shared" si="32"/>
        <v>64</v>
      </c>
      <c r="X30" s="157">
        <f t="shared" si="32"/>
        <v>64</v>
      </c>
      <c r="Y30" s="157">
        <f t="shared" si="32"/>
        <v>64</v>
      </c>
      <c r="Z30" s="157">
        <f t="shared" si="32"/>
        <v>64</v>
      </c>
      <c r="AA30" s="157">
        <f t="shared" si="32"/>
        <v>64</v>
      </c>
      <c r="AB30" s="157">
        <f t="shared" si="32"/>
        <v>64</v>
      </c>
      <c r="AC30" s="157">
        <f t="shared" si="32"/>
        <v>64</v>
      </c>
      <c r="AD30" s="157">
        <f t="shared" si="32"/>
        <v>64</v>
      </c>
      <c r="AE30" s="157">
        <f t="shared" si="32"/>
        <v>64</v>
      </c>
      <c r="AF30" s="157">
        <f t="shared" si="32"/>
        <v>64</v>
      </c>
      <c r="AG30" s="157">
        <f t="shared" si="32"/>
        <v>64</v>
      </c>
      <c r="AH30" s="157">
        <f t="shared" si="32"/>
        <v>64</v>
      </c>
      <c r="AI30" s="157">
        <f t="shared" si="32"/>
        <v>64</v>
      </c>
      <c r="AJ30" s="157">
        <f t="shared" si="32"/>
        <v>64</v>
      </c>
      <c r="AK30" s="157">
        <f t="shared" si="32"/>
        <v>64</v>
      </c>
      <c r="AL30" s="157">
        <f t="shared" si="32"/>
        <v>64</v>
      </c>
      <c r="AM30" s="157">
        <f t="shared" si="32"/>
        <v>64</v>
      </c>
      <c r="AN30" s="157">
        <f t="shared" si="32"/>
        <v>64</v>
      </c>
      <c r="AO30" s="157">
        <f t="shared" si="32"/>
        <v>64</v>
      </c>
      <c r="AP30" s="157">
        <f t="shared" si="32"/>
        <v>64</v>
      </c>
      <c r="AQ30" s="157">
        <f t="shared" si="32"/>
        <v>64</v>
      </c>
      <c r="AR30" s="157">
        <f t="shared" si="32"/>
        <v>64</v>
      </c>
      <c r="AS30" s="157">
        <f t="shared" si="32"/>
        <v>64</v>
      </c>
      <c r="AT30" s="157">
        <f t="shared" si="32"/>
        <v>64</v>
      </c>
      <c r="AU30" s="157">
        <f t="shared" si="32"/>
        <v>64</v>
      </c>
      <c r="AV30" s="157">
        <f t="shared" si="32"/>
        <v>64</v>
      </c>
      <c r="AW30" s="157">
        <f t="shared" si="32"/>
        <v>64</v>
      </c>
      <c r="AX30" s="157">
        <f t="shared" si="32"/>
        <v>64</v>
      </c>
      <c r="AY30" s="157">
        <f t="shared" si="32"/>
        <v>64</v>
      </c>
      <c r="AZ30" s="157">
        <f t="shared" si="32"/>
        <v>64</v>
      </c>
      <c r="BA30" s="157">
        <f t="shared" si="32"/>
        <v>64</v>
      </c>
      <c r="BB30" s="157">
        <f t="shared" si="32"/>
        <v>64</v>
      </c>
      <c r="BC30" s="157">
        <f t="shared" si="32"/>
        <v>64</v>
      </c>
      <c r="BD30" s="157">
        <f t="shared" si="32"/>
        <v>64</v>
      </c>
      <c r="BE30" s="157">
        <f t="shared" si="32"/>
        <v>64</v>
      </c>
      <c r="BF30" s="157">
        <f t="shared" si="32"/>
        <v>64</v>
      </c>
      <c r="BG30" s="157">
        <f t="shared" si="32"/>
        <v>64</v>
      </c>
      <c r="BH30" s="157">
        <f t="shared" si="32"/>
        <v>64</v>
      </c>
      <c r="BI30" s="157">
        <f t="shared" si="32"/>
        <v>64</v>
      </c>
      <c r="BJ30" s="157">
        <f t="shared" si="32"/>
        <v>64</v>
      </c>
    </row>
    <row r="31" spans="1:62" ht="15.75" customHeight="1" x14ac:dyDescent="0.25">
      <c r="A31" s="146" t="s">
        <v>373</v>
      </c>
      <c r="B31" s="134">
        <f>+'Costos HH por MES'!F21</f>
        <v>144</v>
      </c>
      <c r="C31" s="134">
        <f t="shared" ref="C31:E31" si="33">$B$31</f>
        <v>144</v>
      </c>
      <c r="D31" s="134">
        <f t="shared" si="33"/>
        <v>144</v>
      </c>
      <c r="E31" s="134">
        <f t="shared" si="33"/>
        <v>144</v>
      </c>
      <c r="F31" s="134"/>
      <c r="G31" s="134"/>
      <c r="H31" s="134"/>
      <c r="I31" s="134"/>
      <c r="J31" s="134"/>
      <c r="K31" s="134"/>
      <c r="L31" s="134"/>
      <c r="M31" s="134"/>
      <c r="N31" s="154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64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</row>
    <row r="32" spans="1:62" ht="15.75" customHeight="1" x14ac:dyDescent="0.25">
      <c r="A32" s="146" t="s">
        <v>489</v>
      </c>
      <c r="B32" s="134">
        <f>+'Costos HH por MES'!F22</f>
        <v>48</v>
      </c>
      <c r="C32" s="134">
        <f t="shared" ref="C32:E32" si="34">$B$32</f>
        <v>48</v>
      </c>
      <c r="D32" s="134">
        <f t="shared" si="34"/>
        <v>48</v>
      </c>
      <c r="E32" s="134">
        <f t="shared" si="34"/>
        <v>48</v>
      </c>
      <c r="F32" s="134"/>
      <c r="G32" s="134"/>
      <c r="H32" s="134"/>
      <c r="I32" s="134"/>
      <c r="J32" s="134"/>
      <c r="K32" s="134"/>
      <c r="L32" s="134"/>
      <c r="M32" s="134"/>
      <c r="N32" s="154"/>
      <c r="O32" s="158"/>
      <c r="P32" s="159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5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</row>
    <row r="33" spans="1:62" ht="15.75" customHeight="1" x14ac:dyDescent="0.25">
      <c r="A33" s="146" t="s">
        <v>375</v>
      </c>
      <c r="B33" s="134">
        <f>+'Costos HH por MES'!F23</f>
        <v>160</v>
      </c>
      <c r="C33" s="134"/>
      <c r="D33" s="134"/>
      <c r="E33" s="134"/>
      <c r="F33" s="134">
        <f>($B$33/20)*6</f>
        <v>48</v>
      </c>
      <c r="G33" s="134">
        <f t="shared" ref="G33:I33" si="35">$B$33</f>
        <v>160</v>
      </c>
      <c r="H33" s="134">
        <f t="shared" si="35"/>
        <v>160</v>
      </c>
      <c r="I33" s="134">
        <f t="shared" si="35"/>
        <v>160</v>
      </c>
      <c r="J33" s="134"/>
      <c r="K33" s="134"/>
      <c r="L33" s="134"/>
      <c r="M33" s="134"/>
      <c r="N33" s="134">
        <f>$B$33</f>
        <v>160</v>
      </c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64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</row>
    <row r="34" spans="1:62" ht="15.75" customHeight="1" x14ac:dyDescent="0.25">
      <c r="A34" s="146" t="s">
        <v>376</v>
      </c>
      <c r="B34" s="134">
        <f>+'Costos HH por MES'!F24</f>
        <v>128</v>
      </c>
      <c r="C34" s="134"/>
      <c r="D34" s="134"/>
      <c r="E34" s="134">
        <f t="shared" ref="E34:I34" si="36">$B$34</f>
        <v>128</v>
      </c>
      <c r="F34" s="134">
        <f t="shared" si="36"/>
        <v>128</v>
      </c>
      <c r="G34" s="134">
        <f t="shared" si="36"/>
        <v>128</v>
      </c>
      <c r="H34" s="134">
        <f t="shared" si="36"/>
        <v>128</v>
      </c>
      <c r="I34" s="134">
        <f t="shared" si="36"/>
        <v>128</v>
      </c>
      <c r="J34" s="134"/>
      <c r="K34" s="134"/>
      <c r="L34" s="134"/>
      <c r="M34" s="134"/>
      <c r="N34" s="134">
        <f>$B$34</f>
        <v>128</v>
      </c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3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8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</row>
    <row r="35" spans="1:62" ht="15.75" customHeight="1" x14ac:dyDescent="0.25">
      <c r="A35" s="102" t="s">
        <v>377</v>
      </c>
      <c r="B35" s="134">
        <f>+'Costos HH por MES'!F25</f>
        <v>112</v>
      </c>
      <c r="C35" s="134"/>
      <c r="D35" s="134"/>
      <c r="E35" s="134">
        <f t="shared" ref="E35:I35" si="37">$B$35</f>
        <v>112</v>
      </c>
      <c r="F35" s="134">
        <f t="shared" si="37"/>
        <v>112</v>
      </c>
      <c r="G35" s="134">
        <f t="shared" si="37"/>
        <v>112</v>
      </c>
      <c r="H35" s="134">
        <f t="shared" si="37"/>
        <v>112</v>
      </c>
      <c r="I35" s="134">
        <f t="shared" si="37"/>
        <v>112</v>
      </c>
      <c r="J35" s="134"/>
      <c r="K35" s="134"/>
      <c r="L35" s="134"/>
      <c r="M35" s="134"/>
      <c r="N35" s="134">
        <f>$B$35</f>
        <v>112</v>
      </c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</row>
    <row r="36" spans="1:62" ht="15.75" customHeight="1" x14ac:dyDescent="0.25">
      <c r="A36" s="102" t="s">
        <v>378</v>
      </c>
      <c r="B36" s="134">
        <f>+'Costos HH por MES'!F26</f>
        <v>96</v>
      </c>
      <c r="C36" s="134"/>
      <c r="D36" s="134"/>
      <c r="E36" s="134"/>
      <c r="F36" s="134">
        <f t="shared" ref="F36:F37" si="38">(B36/20)*6</f>
        <v>28.799999999999997</v>
      </c>
      <c r="G36" s="134">
        <f t="shared" ref="G36:G37" si="39">B36</f>
        <v>96</v>
      </c>
      <c r="H36" s="134">
        <f t="shared" ref="H36:H37" si="40">B36</f>
        <v>96</v>
      </c>
      <c r="I36" s="134">
        <f t="shared" ref="I36:I37" si="41">B36</f>
        <v>96</v>
      </c>
      <c r="J36" s="134"/>
      <c r="K36" s="134"/>
      <c r="L36" s="134"/>
      <c r="M36" s="134"/>
      <c r="N36" s="134">
        <f t="shared" ref="N36:N37" si="42">G36</f>
        <v>96</v>
      </c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</row>
    <row r="37" spans="1:62" ht="15.75" customHeight="1" x14ac:dyDescent="0.25">
      <c r="A37" s="102" t="s">
        <v>379</v>
      </c>
      <c r="B37" s="134">
        <f>+'Costos HH por MES'!F27</f>
        <v>64</v>
      </c>
      <c r="C37" s="134"/>
      <c r="D37" s="134"/>
      <c r="E37" s="134"/>
      <c r="F37" s="134">
        <f t="shared" si="38"/>
        <v>19.200000000000003</v>
      </c>
      <c r="G37" s="134">
        <f t="shared" si="39"/>
        <v>64</v>
      </c>
      <c r="H37" s="134">
        <f t="shared" si="40"/>
        <v>64</v>
      </c>
      <c r="I37" s="134">
        <f t="shared" si="41"/>
        <v>64</v>
      </c>
      <c r="J37" s="134"/>
      <c r="K37" s="134"/>
      <c r="L37" s="134"/>
      <c r="M37" s="134"/>
      <c r="N37" s="134">
        <f t="shared" si="42"/>
        <v>64</v>
      </c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2"/>
      <c r="BJ37" s="162"/>
    </row>
    <row r="38" spans="1:62" ht="15.75" customHeight="1" x14ac:dyDescent="0.25">
      <c r="A38" s="102" t="s">
        <v>380</v>
      </c>
      <c r="B38" s="134">
        <f>+'Costos HH por MES'!F28</f>
        <v>112</v>
      </c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62">
        <f t="shared" ref="O38:O39" si="43">B38</f>
        <v>112</v>
      </c>
      <c r="P38" s="162">
        <f t="shared" ref="P38:BJ38" si="44">$B$38</f>
        <v>112</v>
      </c>
      <c r="Q38" s="162">
        <f t="shared" si="44"/>
        <v>112</v>
      </c>
      <c r="R38" s="162">
        <f t="shared" si="44"/>
        <v>112</v>
      </c>
      <c r="S38" s="162">
        <f t="shared" si="44"/>
        <v>112</v>
      </c>
      <c r="T38" s="162">
        <f t="shared" si="44"/>
        <v>112</v>
      </c>
      <c r="U38" s="162">
        <f t="shared" si="44"/>
        <v>112</v>
      </c>
      <c r="V38" s="162">
        <f t="shared" si="44"/>
        <v>112</v>
      </c>
      <c r="W38" s="162">
        <f t="shared" si="44"/>
        <v>112</v>
      </c>
      <c r="X38" s="162">
        <f t="shared" si="44"/>
        <v>112</v>
      </c>
      <c r="Y38" s="162">
        <f t="shared" si="44"/>
        <v>112</v>
      </c>
      <c r="Z38" s="162">
        <f t="shared" si="44"/>
        <v>112</v>
      </c>
      <c r="AA38" s="162">
        <f t="shared" si="44"/>
        <v>112</v>
      </c>
      <c r="AB38" s="162">
        <f t="shared" si="44"/>
        <v>112</v>
      </c>
      <c r="AC38" s="162">
        <f t="shared" si="44"/>
        <v>112</v>
      </c>
      <c r="AD38" s="162">
        <f t="shared" si="44"/>
        <v>112</v>
      </c>
      <c r="AE38" s="162">
        <f t="shared" si="44"/>
        <v>112</v>
      </c>
      <c r="AF38" s="162">
        <f t="shared" si="44"/>
        <v>112</v>
      </c>
      <c r="AG38" s="162">
        <f t="shared" si="44"/>
        <v>112</v>
      </c>
      <c r="AH38" s="162">
        <f t="shared" si="44"/>
        <v>112</v>
      </c>
      <c r="AI38" s="162">
        <f t="shared" si="44"/>
        <v>112</v>
      </c>
      <c r="AJ38" s="162">
        <f t="shared" si="44"/>
        <v>112</v>
      </c>
      <c r="AK38" s="162">
        <f t="shared" si="44"/>
        <v>112</v>
      </c>
      <c r="AL38" s="162">
        <f t="shared" si="44"/>
        <v>112</v>
      </c>
      <c r="AM38" s="162">
        <f t="shared" si="44"/>
        <v>112</v>
      </c>
      <c r="AN38" s="162">
        <f t="shared" si="44"/>
        <v>112</v>
      </c>
      <c r="AO38" s="162">
        <f t="shared" si="44"/>
        <v>112</v>
      </c>
      <c r="AP38" s="162">
        <f t="shared" si="44"/>
        <v>112</v>
      </c>
      <c r="AQ38" s="162">
        <f t="shared" si="44"/>
        <v>112</v>
      </c>
      <c r="AR38" s="162">
        <f t="shared" si="44"/>
        <v>112</v>
      </c>
      <c r="AS38" s="162">
        <f t="shared" si="44"/>
        <v>112</v>
      </c>
      <c r="AT38" s="162">
        <f t="shared" si="44"/>
        <v>112</v>
      </c>
      <c r="AU38" s="162">
        <f t="shared" si="44"/>
        <v>112</v>
      </c>
      <c r="AV38" s="162">
        <f t="shared" si="44"/>
        <v>112</v>
      </c>
      <c r="AW38" s="162">
        <f t="shared" si="44"/>
        <v>112</v>
      </c>
      <c r="AX38" s="162">
        <f t="shared" si="44"/>
        <v>112</v>
      </c>
      <c r="AY38" s="162">
        <f t="shared" si="44"/>
        <v>112</v>
      </c>
      <c r="AZ38" s="162">
        <f t="shared" si="44"/>
        <v>112</v>
      </c>
      <c r="BA38" s="162">
        <f t="shared" si="44"/>
        <v>112</v>
      </c>
      <c r="BB38" s="162">
        <f t="shared" si="44"/>
        <v>112</v>
      </c>
      <c r="BC38" s="162">
        <f t="shared" si="44"/>
        <v>112</v>
      </c>
      <c r="BD38" s="162">
        <f t="shared" si="44"/>
        <v>112</v>
      </c>
      <c r="BE38" s="162">
        <f t="shared" si="44"/>
        <v>112</v>
      </c>
      <c r="BF38" s="162">
        <f t="shared" si="44"/>
        <v>112</v>
      </c>
      <c r="BG38" s="162">
        <f t="shared" si="44"/>
        <v>112</v>
      </c>
      <c r="BH38" s="162">
        <f t="shared" si="44"/>
        <v>112</v>
      </c>
      <c r="BI38" s="162">
        <f t="shared" si="44"/>
        <v>112</v>
      </c>
      <c r="BJ38" s="162">
        <f t="shared" si="44"/>
        <v>112</v>
      </c>
    </row>
    <row r="39" spans="1:62" ht="15.75" customHeight="1" x14ac:dyDescent="0.25">
      <c r="A39" s="102" t="s">
        <v>381</v>
      </c>
      <c r="B39" s="134">
        <f>+'Costos HH por MES'!F29</f>
        <v>64</v>
      </c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62">
        <f t="shared" si="43"/>
        <v>64</v>
      </c>
      <c r="P39" s="162">
        <f t="shared" ref="P39:BJ39" si="45">$B$39</f>
        <v>64</v>
      </c>
      <c r="Q39" s="162">
        <f t="shared" si="45"/>
        <v>64</v>
      </c>
      <c r="R39" s="162">
        <f t="shared" si="45"/>
        <v>64</v>
      </c>
      <c r="S39" s="162">
        <f t="shared" si="45"/>
        <v>64</v>
      </c>
      <c r="T39" s="162">
        <f t="shared" si="45"/>
        <v>64</v>
      </c>
      <c r="U39" s="162">
        <f t="shared" si="45"/>
        <v>64</v>
      </c>
      <c r="V39" s="162">
        <f t="shared" si="45"/>
        <v>64</v>
      </c>
      <c r="W39" s="162">
        <f t="shared" si="45"/>
        <v>64</v>
      </c>
      <c r="X39" s="162">
        <f t="shared" si="45"/>
        <v>64</v>
      </c>
      <c r="Y39" s="162">
        <f t="shared" si="45"/>
        <v>64</v>
      </c>
      <c r="Z39" s="162">
        <f t="shared" si="45"/>
        <v>64</v>
      </c>
      <c r="AA39" s="162">
        <f t="shared" si="45"/>
        <v>64</v>
      </c>
      <c r="AB39" s="162">
        <f t="shared" si="45"/>
        <v>64</v>
      </c>
      <c r="AC39" s="162">
        <f t="shared" si="45"/>
        <v>64</v>
      </c>
      <c r="AD39" s="162">
        <f t="shared" si="45"/>
        <v>64</v>
      </c>
      <c r="AE39" s="162">
        <f t="shared" si="45"/>
        <v>64</v>
      </c>
      <c r="AF39" s="162">
        <f t="shared" si="45"/>
        <v>64</v>
      </c>
      <c r="AG39" s="162">
        <f t="shared" si="45"/>
        <v>64</v>
      </c>
      <c r="AH39" s="162">
        <f t="shared" si="45"/>
        <v>64</v>
      </c>
      <c r="AI39" s="162">
        <f t="shared" si="45"/>
        <v>64</v>
      </c>
      <c r="AJ39" s="162">
        <f t="shared" si="45"/>
        <v>64</v>
      </c>
      <c r="AK39" s="162">
        <f t="shared" si="45"/>
        <v>64</v>
      </c>
      <c r="AL39" s="162">
        <f t="shared" si="45"/>
        <v>64</v>
      </c>
      <c r="AM39" s="162">
        <f t="shared" si="45"/>
        <v>64</v>
      </c>
      <c r="AN39" s="162">
        <f t="shared" si="45"/>
        <v>64</v>
      </c>
      <c r="AO39" s="162">
        <f t="shared" si="45"/>
        <v>64</v>
      </c>
      <c r="AP39" s="162">
        <f t="shared" si="45"/>
        <v>64</v>
      </c>
      <c r="AQ39" s="162">
        <f t="shared" si="45"/>
        <v>64</v>
      </c>
      <c r="AR39" s="162">
        <f t="shared" si="45"/>
        <v>64</v>
      </c>
      <c r="AS39" s="162">
        <f t="shared" si="45"/>
        <v>64</v>
      </c>
      <c r="AT39" s="162">
        <f t="shared" si="45"/>
        <v>64</v>
      </c>
      <c r="AU39" s="162">
        <f t="shared" si="45"/>
        <v>64</v>
      </c>
      <c r="AV39" s="162">
        <f t="shared" si="45"/>
        <v>64</v>
      </c>
      <c r="AW39" s="162">
        <f t="shared" si="45"/>
        <v>64</v>
      </c>
      <c r="AX39" s="162">
        <f t="shared" si="45"/>
        <v>64</v>
      </c>
      <c r="AY39" s="162">
        <f t="shared" si="45"/>
        <v>64</v>
      </c>
      <c r="AZ39" s="162">
        <f t="shared" si="45"/>
        <v>64</v>
      </c>
      <c r="BA39" s="162">
        <f t="shared" si="45"/>
        <v>64</v>
      </c>
      <c r="BB39" s="162">
        <f t="shared" si="45"/>
        <v>64</v>
      </c>
      <c r="BC39" s="162">
        <f t="shared" si="45"/>
        <v>64</v>
      </c>
      <c r="BD39" s="162">
        <f t="shared" si="45"/>
        <v>64</v>
      </c>
      <c r="BE39" s="162">
        <f t="shared" si="45"/>
        <v>64</v>
      </c>
      <c r="BF39" s="162">
        <f t="shared" si="45"/>
        <v>64</v>
      </c>
      <c r="BG39" s="162">
        <f t="shared" si="45"/>
        <v>64</v>
      </c>
      <c r="BH39" s="162">
        <f t="shared" si="45"/>
        <v>64</v>
      </c>
      <c r="BI39" s="162">
        <f t="shared" si="45"/>
        <v>64</v>
      </c>
      <c r="BJ39" s="162">
        <f t="shared" si="45"/>
        <v>64</v>
      </c>
    </row>
    <row r="40" spans="1:62" ht="15.75" customHeight="1" x14ac:dyDescent="0.25">
      <c r="A40" s="102" t="s">
        <v>382</v>
      </c>
      <c r="B40" s="134">
        <f>+'Costos HH por MES'!F30</f>
        <v>80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62">
        <f t="shared" ref="O40:BJ40" si="46">$B$40</f>
        <v>80</v>
      </c>
      <c r="P40" s="162">
        <f t="shared" si="46"/>
        <v>80</v>
      </c>
      <c r="Q40" s="162">
        <f t="shared" si="46"/>
        <v>80</v>
      </c>
      <c r="R40" s="162">
        <f t="shared" si="46"/>
        <v>80</v>
      </c>
      <c r="S40" s="162">
        <f t="shared" si="46"/>
        <v>80</v>
      </c>
      <c r="T40" s="162">
        <f t="shared" si="46"/>
        <v>80</v>
      </c>
      <c r="U40" s="162">
        <f t="shared" si="46"/>
        <v>80</v>
      </c>
      <c r="V40" s="162">
        <f t="shared" si="46"/>
        <v>80</v>
      </c>
      <c r="W40" s="162">
        <f t="shared" si="46"/>
        <v>80</v>
      </c>
      <c r="X40" s="162">
        <f t="shared" si="46"/>
        <v>80</v>
      </c>
      <c r="Y40" s="162">
        <f t="shared" si="46"/>
        <v>80</v>
      </c>
      <c r="Z40" s="162">
        <f t="shared" si="46"/>
        <v>80</v>
      </c>
      <c r="AA40" s="162">
        <f t="shared" si="46"/>
        <v>80</v>
      </c>
      <c r="AB40" s="162">
        <f t="shared" si="46"/>
        <v>80</v>
      </c>
      <c r="AC40" s="162">
        <f t="shared" si="46"/>
        <v>80</v>
      </c>
      <c r="AD40" s="162">
        <f t="shared" si="46"/>
        <v>80</v>
      </c>
      <c r="AE40" s="162">
        <f t="shared" si="46"/>
        <v>80</v>
      </c>
      <c r="AF40" s="162">
        <f t="shared" si="46"/>
        <v>80</v>
      </c>
      <c r="AG40" s="162">
        <f t="shared" si="46"/>
        <v>80</v>
      </c>
      <c r="AH40" s="162">
        <f t="shared" si="46"/>
        <v>80</v>
      </c>
      <c r="AI40" s="162">
        <f t="shared" si="46"/>
        <v>80</v>
      </c>
      <c r="AJ40" s="162">
        <f t="shared" si="46"/>
        <v>80</v>
      </c>
      <c r="AK40" s="162">
        <f t="shared" si="46"/>
        <v>80</v>
      </c>
      <c r="AL40" s="162">
        <f t="shared" si="46"/>
        <v>80</v>
      </c>
      <c r="AM40" s="162">
        <f t="shared" si="46"/>
        <v>80</v>
      </c>
      <c r="AN40" s="162">
        <f t="shared" si="46"/>
        <v>80</v>
      </c>
      <c r="AO40" s="162">
        <f t="shared" si="46"/>
        <v>80</v>
      </c>
      <c r="AP40" s="162">
        <f t="shared" si="46"/>
        <v>80</v>
      </c>
      <c r="AQ40" s="162">
        <f t="shared" si="46"/>
        <v>80</v>
      </c>
      <c r="AR40" s="162">
        <f t="shared" si="46"/>
        <v>80</v>
      </c>
      <c r="AS40" s="162">
        <f t="shared" si="46"/>
        <v>80</v>
      </c>
      <c r="AT40" s="162">
        <f t="shared" si="46"/>
        <v>80</v>
      </c>
      <c r="AU40" s="162">
        <f t="shared" si="46"/>
        <v>80</v>
      </c>
      <c r="AV40" s="162">
        <f t="shared" si="46"/>
        <v>80</v>
      </c>
      <c r="AW40" s="162">
        <f t="shared" si="46"/>
        <v>80</v>
      </c>
      <c r="AX40" s="162">
        <f t="shared" si="46"/>
        <v>80</v>
      </c>
      <c r="AY40" s="162">
        <f t="shared" si="46"/>
        <v>80</v>
      </c>
      <c r="AZ40" s="162">
        <f t="shared" si="46"/>
        <v>80</v>
      </c>
      <c r="BA40" s="162">
        <f t="shared" si="46"/>
        <v>80</v>
      </c>
      <c r="BB40" s="162">
        <f t="shared" si="46"/>
        <v>80</v>
      </c>
      <c r="BC40" s="162">
        <f t="shared" si="46"/>
        <v>80</v>
      </c>
      <c r="BD40" s="162">
        <f t="shared" si="46"/>
        <v>80</v>
      </c>
      <c r="BE40" s="162">
        <f t="shared" si="46"/>
        <v>80</v>
      </c>
      <c r="BF40" s="162">
        <f t="shared" si="46"/>
        <v>80</v>
      </c>
      <c r="BG40" s="162">
        <f t="shared" si="46"/>
        <v>80</v>
      </c>
      <c r="BH40" s="162">
        <f t="shared" si="46"/>
        <v>80</v>
      </c>
      <c r="BI40" s="162">
        <f t="shared" si="46"/>
        <v>80</v>
      </c>
      <c r="BJ40" s="162">
        <f t="shared" si="46"/>
        <v>80</v>
      </c>
    </row>
    <row r="41" spans="1:62" ht="15.75" customHeight="1" x14ac:dyDescent="0.25">
      <c r="A41" s="96" t="s">
        <v>490</v>
      </c>
      <c r="B41" s="134">
        <f>+'Costos HH por MES'!F31</f>
        <v>128</v>
      </c>
      <c r="C41" s="134">
        <f t="shared" ref="C41:J41" si="47">$B$41</f>
        <v>128</v>
      </c>
      <c r="D41" s="134">
        <f t="shared" si="47"/>
        <v>128</v>
      </c>
      <c r="E41" s="134">
        <f t="shared" si="47"/>
        <v>128</v>
      </c>
      <c r="F41" s="134">
        <f t="shared" si="47"/>
        <v>128</v>
      </c>
      <c r="G41" s="134">
        <f t="shared" si="47"/>
        <v>128</v>
      </c>
      <c r="H41" s="134">
        <f t="shared" si="47"/>
        <v>128</v>
      </c>
      <c r="I41" s="134">
        <f t="shared" si="47"/>
        <v>128</v>
      </c>
      <c r="J41" s="134">
        <f t="shared" si="47"/>
        <v>128</v>
      </c>
      <c r="K41" s="134"/>
      <c r="L41" s="134"/>
      <c r="M41" s="134"/>
      <c r="N41" s="134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</row>
    <row r="42" spans="1:62" ht="15.75" customHeight="1" x14ac:dyDescent="0.25">
      <c r="A42" s="96" t="s">
        <v>491</v>
      </c>
      <c r="B42" s="134">
        <f>+'Costos HH por MES'!F31</f>
        <v>128</v>
      </c>
      <c r="C42" s="134">
        <f t="shared" ref="C42:J42" si="48">$B$41</f>
        <v>128</v>
      </c>
      <c r="D42" s="134">
        <f t="shared" si="48"/>
        <v>128</v>
      </c>
      <c r="E42" s="134">
        <f t="shared" si="48"/>
        <v>128</v>
      </c>
      <c r="F42" s="134">
        <f t="shared" si="48"/>
        <v>128</v>
      </c>
      <c r="G42" s="134">
        <f t="shared" si="48"/>
        <v>128</v>
      </c>
      <c r="H42" s="134">
        <f t="shared" si="48"/>
        <v>128</v>
      </c>
      <c r="I42" s="134">
        <f t="shared" si="48"/>
        <v>128</v>
      </c>
      <c r="J42" s="134">
        <f t="shared" si="48"/>
        <v>128</v>
      </c>
      <c r="K42" s="134"/>
      <c r="L42" s="134"/>
      <c r="M42" s="134"/>
      <c r="N42" s="134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</row>
    <row r="43" spans="1:62" ht="15.75" customHeight="1" x14ac:dyDescent="0.25">
      <c r="A43" s="96" t="s">
        <v>492</v>
      </c>
      <c r="B43" s="134">
        <f>+'Costos HH por MES'!F32</f>
        <v>144</v>
      </c>
      <c r="C43" s="134"/>
      <c r="D43" s="134"/>
      <c r="E43" s="134"/>
      <c r="F43" s="134"/>
      <c r="G43" s="134"/>
      <c r="H43" s="134"/>
      <c r="I43" s="134"/>
      <c r="J43" s="134">
        <f t="shared" ref="J43:M43" si="49">$B$47</f>
        <v>192</v>
      </c>
      <c r="K43" s="134">
        <f t="shared" si="49"/>
        <v>192</v>
      </c>
      <c r="L43" s="134">
        <f t="shared" si="49"/>
        <v>192</v>
      </c>
      <c r="M43" s="134">
        <f t="shared" si="49"/>
        <v>192</v>
      </c>
      <c r="N43" s="134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2"/>
      <c r="BG43" s="162"/>
      <c r="BH43" s="162"/>
      <c r="BI43" s="162"/>
      <c r="BJ43" s="162"/>
    </row>
    <row r="44" spans="1:62" ht="15.75" customHeight="1" x14ac:dyDescent="0.25">
      <c r="A44" s="96" t="s">
        <v>493</v>
      </c>
      <c r="B44" s="134">
        <f>+'Costos HH por MES'!F32</f>
        <v>144</v>
      </c>
      <c r="C44" s="134"/>
      <c r="D44" s="134"/>
      <c r="E44" s="134"/>
      <c r="F44" s="134"/>
      <c r="G44" s="134"/>
      <c r="H44" s="134"/>
      <c r="I44" s="134"/>
      <c r="J44" s="134">
        <f t="shared" ref="J44:M44" si="50">$B$47</f>
        <v>192</v>
      </c>
      <c r="K44" s="134">
        <f t="shared" si="50"/>
        <v>192</v>
      </c>
      <c r="L44" s="134">
        <f t="shared" si="50"/>
        <v>192</v>
      </c>
      <c r="M44" s="134">
        <f t="shared" si="50"/>
        <v>192</v>
      </c>
      <c r="N44" s="134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</row>
    <row r="45" spans="1:62" ht="15.75" customHeight="1" x14ac:dyDescent="0.25">
      <c r="A45" s="96" t="s">
        <v>398</v>
      </c>
      <c r="B45" s="134">
        <f>+'Costos HH por MES'!F33</f>
        <v>48</v>
      </c>
      <c r="C45" s="134"/>
      <c r="D45" s="134"/>
      <c r="E45" s="134"/>
      <c r="F45" s="134"/>
      <c r="G45" s="134"/>
      <c r="H45" s="134"/>
      <c r="I45" s="134"/>
      <c r="J45" s="134">
        <f t="shared" ref="J45:M45" si="51">$B$47</f>
        <v>192</v>
      </c>
      <c r="K45" s="134">
        <f t="shared" si="51"/>
        <v>192</v>
      </c>
      <c r="L45" s="134">
        <f t="shared" si="51"/>
        <v>192</v>
      </c>
      <c r="M45" s="134">
        <f t="shared" si="51"/>
        <v>192</v>
      </c>
      <c r="N45" s="134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</row>
    <row r="46" spans="1:62" ht="15.75" customHeight="1" x14ac:dyDescent="0.25">
      <c r="A46" s="96" t="s">
        <v>386</v>
      </c>
      <c r="B46" s="134">
        <f>+'Costos HH por MES'!F34</f>
        <v>192</v>
      </c>
      <c r="C46" s="134"/>
      <c r="D46" s="134"/>
      <c r="E46" s="134"/>
      <c r="F46" s="134"/>
      <c r="G46" s="134"/>
      <c r="H46" s="134"/>
      <c r="I46" s="134"/>
      <c r="J46" s="134">
        <f t="shared" ref="J46:M46" si="52">$B$47</f>
        <v>192</v>
      </c>
      <c r="K46" s="134">
        <f t="shared" si="52"/>
        <v>192</v>
      </c>
      <c r="L46" s="134">
        <f t="shared" si="52"/>
        <v>192</v>
      </c>
      <c r="M46" s="134">
        <f t="shared" si="52"/>
        <v>192</v>
      </c>
      <c r="N46" s="134">
        <v>320</v>
      </c>
      <c r="O46" s="162">
        <f t="shared" ref="O46:O47" si="53">$B$46</f>
        <v>192</v>
      </c>
      <c r="P46" s="162"/>
      <c r="Q46" s="162"/>
      <c r="R46" s="162">
        <f t="shared" ref="R46:R47" si="54">$B$46</f>
        <v>192</v>
      </c>
      <c r="S46" s="162"/>
      <c r="T46" s="162"/>
      <c r="U46" s="162">
        <f t="shared" ref="U46:U47" si="55">$B$46</f>
        <v>192</v>
      </c>
      <c r="V46" s="162"/>
      <c r="W46" s="162"/>
      <c r="X46" s="162">
        <f t="shared" ref="X46:X47" si="56">$B$46</f>
        <v>192</v>
      </c>
      <c r="Y46" s="162"/>
      <c r="Z46" s="162"/>
      <c r="AA46" s="162">
        <f t="shared" ref="AA46:AA47" si="57">$B$46</f>
        <v>192</v>
      </c>
      <c r="AB46" s="162"/>
      <c r="AC46" s="162"/>
      <c r="AD46" s="162">
        <f t="shared" ref="AD46:AD47" si="58">$B$46</f>
        <v>192</v>
      </c>
      <c r="AE46" s="162"/>
      <c r="AF46" s="162"/>
      <c r="AG46" s="163">
        <f t="shared" ref="AG46:AG47" si="59">$B$46</f>
        <v>192</v>
      </c>
      <c r="AH46" s="170"/>
      <c r="AI46" s="170"/>
      <c r="AJ46" s="171">
        <f t="shared" ref="AJ46:AJ47" si="60">$B$46</f>
        <v>192</v>
      </c>
      <c r="AK46" s="170"/>
      <c r="AL46" s="170"/>
      <c r="AM46" s="171">
        <f t="shared" ref="AM46:AM47" si="61">$B$46</f>
        <v>192</v>
      </c>
      <c r="AN46" s="170"/>
      <c r="AO46" s="170"/>
      <c r="AP46" s="171">
        <f t="shared" ref="AP46:AP47" si="62">$B$46</f>
        <v>192</v>
      </c>
      <c r="AQ46" s="162"/>
      <c r="AR46" s="162"/>
      <c r="AS46" s="163">
        <f t="shared" ref="AS46:AS47" si="63">$B$46</f>
        <v>192</v>
      </c>
      <c r="AT46" s="170"/>
      <c r="AU46" s="170"/>
      <c r="AV46" s="171">
        <f t="shared" ref="AV46:AV47" si="64">$B$46</f>
        <v>192</v>
      </c>
      <c r="AW46" s="170"/>
      <c r="AX46" s="170"/>
      <c r="AY46" s="171">
        <f t="shared" ref="AY46:AY47" si="65">$B$46</f>
        <v>192</v>
      </c>
      <c r="AZ46" s="170"/>
      <c r="BA46" s="170"/>
      <c r="BB46" s="171">
        <f t="shared" ref="BB46:BB47" si="66">$B$46</f>
        <v>192</v>
      </c>
      <c r="BC46" s="162"/>
      <c r="BD46" s="162"/>
      <c r="BE46" s="163">
        <f t="shared" ref="BE46:BE47" si="67">$B$46</f>
        <v>192</v>
      </c>
      <c r="BF46" s="170"/>
      <c r="BG46" s="170"/>
      <c r="BH46" s="171">
        <f t="shared" ref="BH46:BH47" si="68">$B$46</f>
        <v>192</v>
      </c>
      <c r="BI46" s="170"/>
      <c r="BJ46" s="170"/>
    </row>
    <row r="47" spans="1:62" ht="15.75" customHeight="1" x14ac:dyDescent="0.25">
      <c r="A47" s="96" t="s">
        <v>387</v>
      </c>
      <c r="B47" s="134">
        <f>+'Costos HH por MES'!F35</f>
        <v>192</v>
      </c>
      <c r="C47" s="134"/>
      <c r="D47" s="134"/>
      <c r="E47" s="134"/>
      <c r="F47" s="134"/>
      <c r="G47" s="134"/>
      <c r="H47" s="134"/>
      <c r="I47" s="134"/>
      <c r="J47" s="134">
        <f t="shared" ref="J47:M47" si="69">$B$47</f>
        <v>192</v>
      </c>
      <c r="K47" s="134">
        <f t="shared" si="69"/>
        <v>192</v>
      </c>
      <c r="L47" s="134">
        <f t="shared" si="69"/>
        <v>192</v>
      </c>
      <c r="M47" s="134">
        <f t="shared" si="69"/>
        <v>192</v>
      </c>
      <c r="N47" s="134">
        <v>320</v>
      </c>
      <c r="O47" s="162">
        <f t="shared" si="53"/>
        <v>192</v>
      </c>
      <c r="P47" s="162"/>
      <c r="Q47" s="162"/>
      <c r="R47" s="162">
        <f t="shared" si="54"/>
        <v>192</v>
      </c>
      <c r="S47" s="162"/>
      <c r="T47" s="162"/>
      <c r="U47" s="162">
        <f t="shared" si="55"/>
        <v>192</v>
      </c>
      <c r="V47" s="162"/>
      <c r="W47" s="162"/>
      <c r="X47" s="162">
        <f t="shared" si="56"/>
        <v>192</v>
      </c>
      <c r="Y47" s="162"/>
      <c r="Z47" s="162"/>
      <c r="AA47" s="162">
        <f t="shared" si="57"/>
        <v>192</v>
      </c>
      <c r="AB47" s="162"/>
      <c r="AC47" s="162"/>
      <c r="AD47" s="162">
        <f t="shared" si="58"/>
        <v>192</v>
      </c>
      <c r="AE47" s="162"/>
      <c r="AF47" s="162"/>
      <c r="AG47" s="161">
        <f t="shared" si="59"/>
        <v>192</v>
      </c>
      <c r="AH47" s="165"/>
      <c r="AI47" s="165"/>
      <c r="AJ47" s="162">
        <f t="shared" si="60"/>
        <v>192</v>
      </c>
      <c r="AK47" s="165"/>
      <c r="AL47" s="165"/>
      <c r="AM47" s="162">
        <f t="shared" si="61"/>
        <v>192</v>
      </c>
      <c r="AN47" s="165"/>
      <c r="AO47" s="165"/>
      <c r="AP47" s="162">
        <f t="shared" si="62"/>
        <v>192</v>
      </c>
      <c r="AQ47" s="162"/>
      <c r="AR47" s="162"/>
      <c r="AS47" s="161">
        <f t="shared" si="63"/>
        <v>192</v>
      </c>
      <c r="AT47" s="165"/>
      <c r="AU47" s="165"/>
      <c r="AV47" s="162">
        <f t="shared" si="64"/>
        <v>192</v>
      </c>
      <c r="AW47" s="165"/>
      <c r="AX47" s="165"/>
      <c r="AY47" s="162">
        <f t="shared" si="65"/>
        <v>192</v>
      </c>
      <c r="AZ47" s="165"/>
      <c r="BA47" s="165"/>
      <c r="BB47" s="162">
        <f t="shared" si="66"/>
        <v>192</v>
      </c>
      <c r="BC47" s="162"/>
      <c r="BD47" s="162"/>
      <c r="BE47" s="161">
        <f t="shared" si="67"/>
        <v>192</v>
      </c>
      <c r="BF47" s="165"/>
      <c r="BG47" s="165"/>
      <c r="BH47" s="162">
        <f t="shared" si="68"/>
        <v>192</v>
      </c>
      <c r="BI47" s="165"/>
      <c r="BJ47" s="165"/>
    </row>
    <row r="48" spans="1:62" ht="15.75" customHeight="1" x14ac:dyDescent="0.25">
      <c r="A48" s="96" t="s">
        <v>388</v>
      </c>
      <c r="B48" s="134">
        <f>+'Costos HH por MES'!F36</f>
        <v>128</v>
      </c>
      <c r="C48" s="134"/>
      <c r="D48" s="134"/>
      <c r="E48" s="134"/>
      <c r="F48" s="134"/>
      <c r="G48" s="134"/>
      <c r="H48" s="134"/>
      <c r="I48" s="134"/>
      <c r="J48" s="134">
        <f t="shared" ref="J48:L48" si="70">$B$48</f>
        <v>128</v>
      </c>
      <c r="K48" s="134">
        <f t="shared" si="70"/>
        <v>128</v>
      </c>
      <c r="L48" s="134">
        <f t="shared" si="70"/>
        <v>128</v>
      </c>
      <c r="M48" s="134"/>
      <c r="N48" s="134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162"/>
      <c r="BH48" s="162"/>
      <c r="BI48" s="162"/>
      <c r="BJ48" s="162"/>
    </row>
    <row r="49" spans="1:62" ht="15.75" customHeight="1" x14ac:dyDescent="0.25">
      <c r="A49" s="172" t="s">
        <v>85</v>
      </c>
      <c r="B49" s="173"/>
      <c r="C49" s="141">
        <f t="shared" ref="C49:BJ49" si="71">SUM(C3:C48)</f>
        <v>2448</v>
      </c>
      <c r="D49" s="141">
        <f t="shared" si="71"/>
        <v>2448</v>
      </c>
      <c r="E49" s="141">
        <f t="shared" si="71"/>
        <v>2400</v>
      </c>
      <c r="F49" s="141">
        <f t="shared" si="71"/>
        <v>1403.2</v>
      </c>
      <c r="G49" s="141">
        <f t="shared" si="71"/>
        <v>2768</v>
      </c>
      <c r="H49" s="141">
        <f t="shared" si="71"/>
        <v>2768</v>
      </c>
      <c r="I49" s="141">
        <f t="shared" si="71"/>
        <v>2288</v>
      </c>
      <c r="J49" s="141">
        <f t="shared" si="71"/>
        <v>2352</v>
      </c>
      <c r="K49" s="141">
        <f t="shared" si="71"/>
        <v>2096</v>
      </c>
      <c r="L49" s="141">
        <f t="shared" si="71"/>
        <v>2096</v>
      </c>
      <c r="M49" s="141">
        <f t="shared" si="71"/>
        <v>1968</v>
      </c>
      <c r="N49" s="141">
        <f t="shared" si="71"/>
        <v>1984</v>
      </c>
      <c r="O49" s="174">
        <f t="shared" si="71"/>
        <v>1042.4000000000001</v>
      </c>
      <c r="P49" s="174">
        <f t="shared" si="71"/>
        <v>658.4</v>
      </c>
      <c r="Q49" s="174">
        <f t="shared" si="71"/>
        <v>658.4</v>
      </c>
      <c r="R49" s="174">
        <f t="shared" si="71"/>
        <v>962.4</v>
      </c>
      <c r="S49" s="174">
        <f t="shared" si="71"/>
        <v>498.4</v>
      </c>
      <c r="T49" s="174">
        <f t="shared" si="71"/>
        <v>498.4</v>
      </c>
      <c r="U49" s="174">
        <f t="shared" si="71"/>
        <v>882.4</v>
      </c>
      <c r="V49" s="174">
        <f t="shared" si="71"/>
        <v>498.4</v>
      </c>
      <c r="W49" s="174">
        <f t="shared" si="71"/>
        <v>498.4</v>
      </c>
      <c r="X49" s="174">
        <f t="shared" si="71"/>
        <v>882.4</v>
      </c>
      <c r="Y49" s="174">
        <f t="shared" si="71"/>
        <v>498.4</v>
      </c>
      <c r="Z49" s="174">
        <f t="shared" si="71"/>
        <v>498.4</v>
      </c>
      <c r="AA49" s="174">
        <f t="shared" si="71"/>
        <v>882.4</v>
      </c>
      <c r="AB49" s="174">
        <f t="shared" si="71"/>
        <v>498.4</v>
      </c>
      <c r="AC49" s="174">
        <f t="shared" si="71"/>
        <v>498.4</v>
      </c>
      <c r="AD49" s="174">
        <f t="shared" si="71"/>
        <v>882.4</v>
      </c>
      <c r="AE49" s="174">
        <f t="shared" si="71"/>
        <v>498.4</v>
      </c>
      <c r="AF49" s="174">
        <f t="shared" si="71"/>
        <v>498.4</v>
      </c>
      <c r="AG49" s="174">
        <f t="shared" si="71"/>
        <v>882.4</v>
      </c>
      <c r="AH49" s="174">
        <f t="shared" si="71"/>
        <v>498.4</v>
      </c>
      <c r="AI49" s="174">
        <f t="shared" si="71"/>
        <v>498.4</v>
      </c>
      <c r="AJ49" s="174">
        <f t="shared" si="71"/>
        <v>882.4</v>
      </c>
      <c r="AK49" s="174">
        <f t="shared" si="71"/>
        <v>498.4</v>
      </c>
      <c r="AL49" s="174">
        <f t="shared" si="71"/>
        <v>498.4</v>
      </c>
      <c r="AM49" s="174">
        <f t="shared" si="71"/>
        <v>882.4</v>
      </c>
      <c r="AN49" s="174">
        <f t="shared" si="71"/>
        <v>498.4</v>
      </c>
      <c r="AO49" s="174">
        <f t="shared" si="71"/>
        <v>498.4</v>
      </c>
      <c r="AP49" s="174">
        <f t="shared" si="71"/>
        <v>882.4</v>
      </c>
      <c r="AQ49" s="174">
        <f t="shared" si="71"/>
        <v>498.4</v>
      </c>
      <c r="AR49" s="174">
        <f t="shared" si="71"/>
        <v>498.4</v>
      </c>
      <c r="AS49" s="174">
        <f t="shared" si="71"/>
        <v>882.4</v>
      </c>
      <c r="AT49" s="174">
        <f t="shared" si="71"/>
        <v>498.4</v>
      </c>
      <c r="AU49" s="174">
        <f t="shared" si="71"/>
        <v>498.4</v>
      </c>
      <c r="AV49" s="174">
        <f t="shared" si="71"/>
        <v>882.4</v>
      </c>
      <c r="AW49" s="174">
        <f t="shared" si="71"/>
        <v>498.4</v>
      </c>
      <c r="AX49" s="174">
        <f t="shared" si="71"/>
        <v>498.4</v>
      </c>
      <c r="AY49" s="174">
        <f t="shared" si="71"/>
        <v>882.4</v>
      </c>
      <c r="AZ49" s="174">
        <f t="shared" si="71"/>
        <v>498.4</v>
      </c>
      <c r="BA49" s="174">
        <f t="shared" si="71"/>
        <v>498.4</v>
      </c>
      <c r="BB49" s="174">
        <f t="shared" si="71"/>
        <v>882.4</v>
      </c>
      <c r="BC49" s="174">
        <f t="shared" si="71"/>
        <v>498.4</v>
      </c>
      <c r="BD49" s="174">
        <f t="shared" si="71"/>
        <v>498.4</v>
      </c>
      <c r="BE49" s="174">
        <f t="shared" si="71"/>
        <v>882.4</v>
      </c>
      <c r="BF49" s="174">
        <f t="shared" si="71"/>
        <v>498.4</v>
      </c>
      <c r="BG49" s="174">
        <f t="shared" si="71"/>
        <v>498.4</v>
      </c>
      <c r="BH49" s="174">
        <f t="shared" si="71"/>
        <v>882.4</v>
      </c>
      <c r="BI49" s="174">
        <f t="shared" si="71"/>
        <v>498.4</v>
      </c>
      <c r="BJ49" s="174">
        <f t="shared" si="71"/>
        <v>498.4</v>
      </c>
    </row>
    <row r="50" spans="1:62" ht="15.75" customHeight="1" x14ac:dyDescent="0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6" t="s">
        <v>85</v>
      </c>
      <c r="N50" s="177">
        <f>SUM(C49:N49)</f>
        <v>27019.200000000001</v>
      </c>
      <c r="O50" s="178"/>
      <c r="P50" s="179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L50" s="175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C50" s="175"/>
      <c r="BD50" s="175"/>
      <c r="BE50" s="175"/>
      <c r="BF50" s="175"/>
      <c r="BG50" s="175"/>
      <c r="BH50" s="175"/>
      <c r="BI50" s="174" t="s">
        <v>85</v>
      </c>
      <c r="BJ50" s="174">
        <f>SUM(O49:BJ49)</f>
        <v>30627.20000000003</v>
      </c>
    </row>
    <row r="51" spans="1:62" ht="15.75" customHeight="1" x14ac:dyDescent="0.25">
      <c r="O51" s="175"/>
      <c r="P51" s="181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</row>
    <row r="52" spans="1:62" ht="15.75" customHeight="1" x14ac:dyDescent="0.25">
      <c r="O52" s="175"/>
      <c r="P52" s="181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34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</row>
    <row r="53" spans="1:62" ht="15.75" customHeight="1" x14ac:dyDescent="0.25">
      <c r="A53" s="406" t="s">
        <v>494</v>
      </c>
      <c r="B53" s="407"/>
      <c r="C53" s="407"/>
      <c r="D53" s="407"/>
      <c r="E53" s="407"/>
      <c r="F53" s="407"/>
      <c r="G53" s="407"/>
      <c r="H53" s="407"/>
      <c r="I53" s="407"/>
      <c r="J53" s="407"/>
      <c r="K53" s="407"/>
      <c r="L53" s="407"/>
      <c r="M53" s="407"/>
      <c r="N53" s="403"/>
      <c r="O53" s="175"/>
      <c r="P53" s="181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</row>
    <row r="54" spans="1:62" ht="15.75" customHeight="1" x14ac:dyDescent="0.25">
      <c r="A54" s="146"/>
      <c r="B54" s="147" t="s">
        <v>495</v>
      </c>
      <c r="C54" s="147" t="s">
        <v>403</v>
      </c>
      <c r="D54" s="147" t="s">
        <v>404</v>
      </c>
      <c r="E54" s="147" t="s">
        <v>405</v>
      </c>
      <c r="F54" s="147" t="s">
        <v>406</v>
      </c>
      <c r="G54" s="147" t="s">
        <v>407</v>
      </c>
      <c r="H54" s="147" t="s">
        <v>408</v>
      </c>
      <c r="I54" s="147" t="s">
        <v>409</v>
      </c>
      <c r="J54" s="147" t="s">
        <v>410</v>
      </c>
      <c r="K54" s="147" t="s">
        <v>411</v>
      </c>
      <c r="L54" s="147" t="s">
        <v>412</v>
      </c>
      <c r="M54" s="147" t="s">
        <v>413</v>
      </c>
      <c r="N54" s="182" t="s">
        <v>414</v>
      </c>
      <c r="O54" s="182" t="s">
        <v>415</v>
      </c>
      <c r="P54" s="182" t="s">
        <v>416</v>
      </c>
      <c r="Q54" s="182" t="s">
        <v>417</v>
      </c>
      <c r="R54" s="182" t="s">
        <v>418</v>
      </c>
      <c r="S54" s="182" t="s">
        <v>419</v>
      </c>
      <c r="T54" s="182" t="s">
        <v>420</v>
      </c>
      <c r="U54" s="182" t="s">
        <v>421</v>
      </c>
      <c r="V54" s="182" t="s">
        <v>422</v>
      </c>
      <c r="W54" s="182" t="s">
        <v>423</v>
      </c>
      <c r="X54" s="182" t="s">
        <v>424</v>
      </c>
      <c r="Y54" s="182" t="s">
        <v>425</v>
      </c>
      <c r="Z54" s="182" t="s">
        <v>426</v>
      </c>
      <c r="AA54" s="182" t="s">
        <v>427</v>
      </c>
      <c r="AB54" s="182" t="s">
        <v>428</v>
      </c>
      <c r="AC54" s="182" t="s">
        <v>429</v>
      </c>
      <c r="AD54" s="182" t="s">
        <v>430</v>
      </c>
      <c r="AE54" s="182" t="s">
        <v>431</v>
      </c>
      <c r="AF54" s="182" t="s">
        <v>432</v>
      </c>
      <c r="AG54" s="182" t="s">
        <v>433</v>
      </c>
      <c r="AH54" s="182" t="s">
        <v>434</v>
      </c>
      <c r="AI54" s="182" t="s">
        <v>435</v>
      </c>
      <c r="AJ54" s="182" t="s">
        <v>436</v>
      </c>
      <c r="AK54" s="182" t="s">
        <v>437</v>
      </c>
      <c r="AL54" s="182" t="s">
        <v>438</v>
      </c>
      <c r="AM54" s="182" t="s">
        <v>439</v>
      </c>
      <c r="AN54" s="182" t="s">
        <v>440</v>
      </c>
      <c r="AO54" s="182" t="s">
        <v>441</v>
      </c>
      <c r="AP54" s="182" t="s">
        <v>442</v>
      </c>
      <c r="AQ54" s="182" t="s">
        <v>443</v>
      </c>
      <c r="AR54" s="182" t="s">
        <v>444</v>
      </c>
      <c r="AS54" s="182" t="s">
        <v>445</v>
      </c>
      <c r="AT54" s="182" t="s">
        <v>446</v>
      </c>
      <c r="AU54" s="182" t="s">
        <v>447</v>
      </c>
      <c r="AV54" s="182" t="s">
        <v>448</v>
      </c>
      <c r="AW54" s="182" t="s">
        <v>449</v>
      </c>
      <c r="AX54" s="182" t="s">
        <v>450</v>
      </c>
      <c r="AY54" s="182" t="s">
        <v>451</v>
      </c>
      <c r="AZ54" s="182" t="s">
        <v>452</v>
      </c>
      <c r="BA54" s="182" t="s">
        <v>453</v>
      </c>
      <c r="BB54" s="182" t="s">
        <v>454</v>
      </c>
      <c r="BC54" s="182" t="s">
        <v>455</v>
      </c>
      <c r="BD54" s="182" t="s">
        <v>456</v>
      </c>
      <c r="BE54" s="182" t="s">
        <v>457</v>
      </c>
      <c r="BF54" s="182" t="s">
        <v>458</v>
      </c>
      <c r="BG54" s="182" t="s">
        <v>459</v>
      </c>
      <c r="BH54" s="182" t="s">
        <v>460</v>
      </c>
      <c r="BI54" s="182" t="s">
        <v>461</v>
      </c>
      <c r="BJ54" s="182" t="s">
        <v>462</v>
      </c>
    </row>
    <row r="55" spans="1:62" ht="15.75" customHeight="1" x14ac:dyDescent="0.25">
      <c r="A55" s="183" t="s">
        <v>496</v>
      </c>
      <c r="B55" s="184" t="s">
        <v>474</v>
      </c>
      <c r="C55" s="185"/>
      <c r="D55" s="185"/>
      <c r="E55" s="185"/>
      <c r="F55" s="185"/>
      <c r="G55" s="185"/>
      <c r="H55" s="186">
        <f t="shared" ref="H55:J55" si="72">($B$15/20)*15</f>
        <v>120</v>
      </c>
      <c r="I55" s="186">
        <f t="shared" si="72"/>
        <v>120</v>
      </c>
      <c r="J55" s="186">
        <f t="shared" si="72"/>
        <v>120</v>
      </c>
      <c r="K55" s="185"/>
      <c r="L55" s="183"/>
      <c r="M55" s="183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</row>
    <row r="56" spans="1:62" ht="15.75" customHeight="1" x14ac:dyDescent="0.25">
      <c r="A56" s="183" t="s">
        <v>497</v>
      </c>
      <c r="B56" s="184" t="s">
        <v>376</v>
      </c>
      <c r="C56" s="185"/>
      <c r="D56" s="185"/>
      <c r="E56" s="185"/>
      <c r="F56" s="185"/>
      <c r="G56" s="185"/>
      <c r="H56" s="186">
        <f t="shared" ref="H56:J56" si="73">($B$34/20)*15</f>
        <v>96</v>
      </c>
      <c r="I56" s="186">
        <f t="shared" si="73"/>
        <v>96</v>
      </c>
      <c r="J56" s="186">
        <f t="shared" si="73"/>
        <v>96</v>
      </c>
      <c r="K56" s="185"/>
      <c r="L56" s="187"/>
      <c r="M56" s="183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85"/>
      <c r="BG56" s="185"/>
      <c r="BH56" s="185"/>
      <c r="BI56" s="185"/>
      <c r="BJ56" s="185"/>
    </row>
    <row r="57" spans="1:62" ht="15.75" customHeight="1" x14ac:dyDescent="0.25">
      <c r="A57" s="183" t="s">
        <v>498</v>
      </c>
      <c r="B57" s="188" t="s">
        <v>380</v>
      </c>
      <c r="C57" s="185"/>
      <c r="D57" s="185"/>
      <c r="E57" s="185"/>
      <c r="F57" s="185"/>
      <c r="G57" s="185"/>
      <c r="H57" s="186">
        <f t="shared" ref="H57:J57" si="74">($B$38/20)*15</f>
        <v>84</v>
      </c>
      <c r="I57" s="186">
        <f t="shared" si="74"/>
        <v>84</v>
      </c>
      <c r="J57" s="186">
        <f t="shared" si="74"/>
        <v>84</v>
      </c>
      <c r="K57" s="185"/>
      <c r="L57" s="183"/>
      <c r="M57" s="183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85"/>
      <c r="BG57" s="185"/>
      <c r="BH57" s="185"/>
      <c r="BI57" s="185"/>
      <c r="BJ57" s="185"/>
    </row>
    <row r="58" spans="1:62" ht="15.75" customHeight="1" x14ac:dyDescent="0.25">
      <c r="A58" s="183" t="s">
        <v>499</v>
      </c>
      <c r="B58" s="188" t="s">
        <v>381</v>
      </c>
      <c r="C58" s="185"/>
      <c r="D58" s="185"/>
      <c r="E58" s="185"/>
      <c r="F58" s="185"/>
      <c r="G58" s="185"/>
      <c r="H58" s="186">
        <f t="shared" ref="H58:J58" si="75">($B$39/20)*15</f>
        <v>48</v>
      </c>
      <c r="I58" s="186">
        <f t="shared" si="75"/>
        <v>48</v>
      </c>
      <c r="J58" s="186">
        <f t="shared" si="75"/>
        <v>48</v>
      </c>
      <c r="K58" s="185"/>
      <c r="L58" s="183"/>
      <c r="M58" s="183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85"/>
      <c r="BG58" s="185"/>
      <c r="BH58" s="185"/>
      <c r="BI58" s="185"/>
      <c r="BJ58" s="185"/>
    </row>
    <row r="59" spans="1:62" ht="15.75" customHeight="1" x14ac:dyDescent="0.25">
      <c r="A59" s="189" t="s">
        <v>500</v>
      </c>
      <c r="B59" s="190"/>
      <c r="C59" s="191">
        <f t="shared" ref="C59:BJ59" si="76">SUM(C55:C58)</f>
        <v>0</v>
      </c>
      <c r="D59" s="191">
        <f t="shared" si="76"/>
        <v>0</v>
      </c>
      <c r="E59" s="191">
        <f t="shared" si="76"/>
        <v>0</v>
      </c>
      <c r="F59" s="191">
        <f t="shared" si="76"/>
        <v>0</v>
      </c>
      <c r="G59" s="191">
        <f t="shared" si="76"/>
        <v>0</v>
      </c>
      <c r="H59" s="191">
        <f t="shared" si="76"/>
        <v>348</v>
      </c>
      <c r="I59" s="191">
        <f t="shared" si="76"/>
        <v>348</v>
      </c>
      <c r="J59" s="191">
        <f t="shared" si="76"/>
        <v>348</v>
      </c>
      <c r="K59" s="191">
        <f t="shared" si="76"/>
        <v>0</v>
      </c>
      <c r="L59" s="191">
        <f t="shared" si="76"/>
        <v>0</v>
      </c>
      <c r="M59" s="191">
        <f t="shared" si="76"/>
        <v>0</v>
      </c>
      <c r="N59" s="191">
        <f t="shared" si="76"/>
        <v>0</v>
      </c>
      <c r="O59" s="191">
        <f t="shared" si="76"/>
        <v>0</v>
      </c>
      <c r="P59" s="191">
        <f t="shared" si="76"/>
        <v>0</v>
      </c>
      <c r="Q59" s="191">
        <f t="shared" si="76"/>
        <v>0</v>
      </c>
      <c r="R59" s="191">
        <f t="shared" si="76"/>
        <v>0</v>
      </c>
      <c r="S59" s="191">
        <f t="shared" si="76"/>
        <v>0</v>
      </c>
      <c r="T59" s="191">
        <f t="shared" si="76"/>
        <v>0</v>
      </c>
      <c r="U59" s="191">
        <f t="shared" si="76"/>
        <v>0</v>
      </c>
      <c r="V59" s="191">
        <f t="shared" si="76"/>
        <v>0</v>
      </c>
      <c r="W59" s="191">
        <f t="shared" si="76"/>
        <v>0</v>
      </c>
      <c r="X59" s="191">
        <f t="shared" si="76"/>
        <v>0</v>
      </c>
      <c r="Y59" s="191">
        <f t="shared" si="76"/>
        <v>0</v>
      </c>
      <c r="Z59" s="191">
        <f t="shared" si="76"/>
        <v>0</v>
      </c>
      <c r="AA59" s="191">
        <f t="shared" si="76"/>
        <v>0</v>
      </c>
      <c r="AB59" s="191">
        <f t="shared" si="76"/>
        <v>0</v>
      </c>
      <c r="AC59" s="191">
        <f t="shared" si="76"/>
        <v>0</v>
      </c>
      <c r="AD59" s="191">
        <f t="shared" si="76"/>
        <v>0</v>
      </c>
      <c r="AE59" s="191">
        <f t="shared" si="76"/>
        <v>0</v>
      </c>
      <c r="AF59" s="191">
        <f t="shared" si="76"/>
        <v>0</v>
      </c>
      <c r="AG59" s="191">
        <f t="shared" si="76"/>
        <v>0</v>
      </c>
      <c r="AH59" s="191">
        <f t="shared" si="76"/>
        <v>0</v>
      </c>
      <c r="AI59" s="191">
        <f t="shared" si="76"/>
        <v>0</v>
      </c>
      <c r="AJ59" s="191">
        <f t="shared" si="76"/>
        <v>0</v>
      </c>
      <c r="AK59" s="191">
        <f t="shared" si="76"/>
        <v>0</v>
      </c>
      <c r="AL59" s="191">
        <f t="shared" si="76"/>
        <v>0</v>
      </c>
      <c r="AM59" s="191">
        <f t="shared" si="76"/>
        <v>0</v>
      </c>
      <c r="AN59" s="191">
        <f t="shared" si="76"/>
        <v>0</v>
      </c>
      <c r="AO59" s="191">
        <f t="shared" si="76"/>
        <v>0</v>
      </c>
      <c r="AP59" s="191">
        <f t="shared" si="76"/>
        <v>0</v>
      </c>
      <c r="AQ59" s="191">
        <f t="shared" si="76"/>
        <v>0</v>
      </c>
      <c r="AR59" s="191">
        <f t="shared" si="76"/>
        <v>0</v>
      </c>
      <c r="AS59" s="191">
        <f t="shared" si="76"/>
        <v>0</v>
      </c>
      <c r="AT59" s="191">
        <f t="shared" si="76"/>
        <v>0</v>
      </c>
      <c r="AU59" s="191">
        <f t="shared" si="76"/>
        <v>0</v>
      </c>
      <c r="AV59" s="191">
        <f t="shared" si="76"/>
        <v>0</v>
      </c>
      <c r="AW59" s="191">
        <f t="shared" si="76"/>
        <v>0</v>
      </c>
      <c r="AX59" s="191">
        <f t="shared" si="76"/>
        <v>0</v>
      </c>
      <c r="AY59" s="191">
        <f t="shared" si="76"/>
        <v>0</v>
      </c>
      <c r="AZ59" s="191">
        <f t="shared" si="76"/>
        <v>0</v>
      </c>
      <c r="BA59" s="191">
        <f t="shared" si="76"/>
        <v>0</v>
      </c>
      <c r="BB59" s="191">
        <f t="shared" si="76"/>
        <v>0</v>
      </c>
      <c r="BC59" s="191">
        <f t="shared" si="76"/>
        <v>0</v>
      </c>
      <c r="BD59" s="191">
        <f t="shared" si="76"/>
        <v>0</v>
      </c>
      <c r="BE59" s="191">
        <f t="shared" si="76"/>
        <v>0</v>
      </c>
      <c r="BF59" s="191">
        <f t="shared" si="76"/>
        <v>0</v>
      </c>
      <c r="BG59" s="191">
        <f t="shared" si="76"/>
        <v>0</v>
      </c>
      <c r="BH59" s="191">
        <f t="shared" si="76"/>
        <v>0</v>
      </c>
      <c r="BI59" s="191">
        <f t="shared" si="76"/>
        <v>0</v>
      </c>
      <c r="BJ59" s="191">
        <f t="shared" si="76"/>
        <v>0</v>
      </c>
    </row>
    <row r="60" spans="1:62" ht="15.75" customHeight="1" x14ac:dyDescent="0.25">
      <c r="A60" s="192"/>
      <c r="E60" s="175"/>
      <c r="F60" s="175"/>
      <c r="G60" s="175"/>
      <c r="H60" s="175"/>
      <c r="I60" s="175"/>
      <c r="J60" s="175"/>
      <c r="K60" s="193"/>
      <c r="M60" s="194" t="s">
        <v>501</v>
      </c>
      <c r="N60" s="195">
        <f>SUM(C59:BJ59)</f>
        <v>1044</v>
      </c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/>
      <c r="AX60" s="196"/>
      <c r="AY60" s="196"/>
      <c r="AZ60" s="196"/>
      <c r="BA60" s="196"/>
      <c r="BB60" s="196"/>
      <c r="BC60" s="196"/>
      <c r="BD60" s="196"/>
      <c r="BE60" s="196"/>
      <c r="BF60" s="196"/>
      <c r="BG60" s="196"/>
      <c r="BH60" s="196"/>
      <c r="BI60" s="196"/>
      <c r="BJ60" s="196"/>
    </row>
    <row r="61" spans="1:62" ht="15.75" customHeight="1" x14ac:dyDescent="0.25">
      <c r="A61" s="197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  <c r="AN61" s="198"/>
      <c r="AO61" s="198"/>
      <c r="AP61" s="198"/>
      <c r="AQ61" s="198"/>
      <c r="AR61" s="198"/>
      <c r="AS61" s="198"/>
      <c r="AT61" s="198"/>
      <c r="AU61" s="198"/>
      <c r="AV61" s="198"/>
      <c r="AW61" s="198"/>
      <c r="AX61" s="198"/>
      <c r="AY61" s="198"/>
      <c r="AZ61" s="198"/>
      <c r="BA61" s="198"/>
      <c r="BB61" s="198"/>
      <c r="BC61" s="198"/>
      <c r="BD61" s="198"/>
      <c r="BE61" s="198"/>
      <c r="BF61" s="198"/>
      <c r="BG61" s="198"/>
      <c r="BH61" s="198"/>
      <c r="BI61" s="198"/>
      <c r="BJ61" s="198"/>
    </row>
    <row r="62" spans="1:62" ht="15.75" customHeight="1" x14ac:dyDescent="0.25">
      <c r="BC62" s="199"/>
      <c r="BD62" s="199"/>
      <c r="BE62" s="199"/>
      <c r="BF62" s="199"/>
      <c r="BG62" s="199"/>
      <c r="BH62" s="199"/>
      <c r="BI62" s="199"/>
      <c r="BJ62" s="199"/>
    </row>
    <row r="63" spans="1:62" ht="15.75" customHeight="1" x14ac:dyDescent="0.25">
      <c r="BC63" s="175"/>
      <c r="BD63" s="175"/>
      <c r="BE63" s="175"/>
      <c r="BF63" s="175"/>
      <c r="BG63" s="175"/>
      <c r="BH63" s="175"/>
      <c r="BI63" s="175"/>
      <c r="BJ63" s="175"/>
    </row>
    <row r="64" spans="1:62" ht="15.75" customHeight="1" x14ac:dyDescent="0.25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81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</row>
    <row r="65" spans="16:16" ht="15.75" customHeight="1" x14ac:dyDescent="0.2">
      <c r="P65" s="200"/>
    </row>
    <row r="66" spans="16:16" ht="15.75" customHeight="1" x14ac:dyDescent="0.2">
      <c r="P66" s="200"/>
    </row>
    <row r="67" spans="16:16" ht="15.75" customHeight="1" x14ac:dyDescent="0.2">
      <c r="P67" s="200"/>
    </row>
    <row r="68" spans="16:16" ht="15.75" customHeight="1" x14ac:dyDescent="0.2">
      <c r="P68" s="200"/>
    </row>
    <row r="69" spans="16:16" ht="15.75" customHeight="1" x14ac:dyDescent="0.2">
      <c r="P69" s="200"/>
    </row>
    <row r="70" spans="16:16" ht="15.75" customHeight="1" x14ac:dyDescent="0.2">
      <c r="P70" s="200"/>
    </row>
    <row r="71" spans="16:16" ht="15.75" customHeight="1" x14ac:dyDescent="0.2">
      <c r="P71" s="200"/>
    </row>
    <row r="72" spans="16:16" ht="15.75" customHeight="1" x14ac:dyDescent="0.2">
      <c r="P72" s="200"/>
    </row>
    <row r="73" spans="16:16" ht="15.75" customHeight="1" x14ac:dyDescent="0.2">
      <c r="P73" s="200"/>
    </row>
    <row r="74" spans="16:16" ht="15.75" customHeight="1" x14ac:dyDescent="0.2">
      <c r="P74" s="200"/>
    </row>
    <row r="75" spans="16:16" ht="15.75" customHeight="1" x14ac:dyDescent="0.2">
      <c r="P75" s="200"/>
    </row>
    <row r="76" spans="16:16" ht="15.75" customHeight="1" x14ac:dyDescent="0.2">
      <c r="P76" s="200"/>
    </row>
    <row r="77" spans="16:16" ht="15.75" customHeight="1" x14ac:dyDescent="0.2">
      <c r="P77" s="200"/>
    </row>
    <row r="78" spans="16:16" ht="15.75" customHeight="1" x14ac:dyDescent="0.2">
      <c r="P78" s="200"/>
    </row>
    <row r="79" spans="16:16" ht="15.75" customHeight="1" x14ac:dyDescent="0.2">
      <c r="P79" s="200"/>
    </row>
    <row r="80" spans="16:16" ht="15.75" customHeight="1" x14ac:dyDescent="0.2">
      <c r="P80" s="200"/>
    </row>
    <row r="81" spans="16:16" ht="15.75" customHeight="1" x14ac:dyDescent="0.2">
      <c r="P81" s="200"/>
    </row>
    <row r="82" spans="16:16" ht="15.75" customHeight="1" x14ac:dyDescent="0.2">
      <c r="P82" s="200"/>
    </row>
    <row r="83" spans="16:16" ht="15.75" customHeight="1" x14ac:dyDescent="0.2">
      <c r="P83" s="200"/>
    </row>
    <row r="84" spans="16:16" ht="15.75" customHeight="1" x14ac:dyDescent="0.2">
      <c r="P84" s="200"/>
    </row>
    <row r="85" spans="16:16" ht="15.75" customHeight="1" x14ac:dyDescent="0.2">
      <c r="P85" s="200"/>
    </row>
    <row r="86" spans="16:16" ht="15.75" customHeight="1" x14ac:dyDescent="0.2">
      <c r="P86" s="200"/>
    </row>
    <row r="87" spans="16:16" ht="15.75" customHeight="1" x14ac:dyDescent="0.2">
      <c r="P87" s="200"/>
    </row>
    <row r="88" spans="16:16" ht="15.75" customHeight="1" x14ac:dyDescent="0.2">
      <c r="P88" s="200"/>
    </row>
    <row r="89" spans="16:16" ht="15.75" customHeight="1" x14ac:dyDescent="0.2">
      <c r="P89" s="200"/>
    </row>
    <row r="90" spans="16:16" ht="15.75" customHeight="1" x14ac:dyDescent="0.2">
      <c r="P90" s="200"/>
    </row>
    <row r="91" spans="16:16" ht="15.75" customHeight="1" x14ac:dyDescent="0.2">
      <c r="P91" s="200"/>
    </row>
    <row r="92" spans="16:16" ht="15.75" customHeight="1" x14ac:dyDescent="0.2">
      <c r="P92" s="200"/>
    </row>
    <row r="93" spans="16:16" ht="15.75" customHeight="1" x14ac:dyDescent="0.2">
      <c r="P93" s="200"/>
    </row>
    <row r="94" spans="16:16" ht="15.75" customHeight="1" x14ac:dyDescent="0.2">
      <c r="P94" s="200"/>
    </row>
    <row r="95" spans="16:16" ht="15.75" customHeight="1" x14ac:dyDescent="0.2">
      <c r="P95" s="200"/>
    </row>
    <row r="96" spans="16:16" ht="15.75" customHeight="1" x14ac:dyDescent="0.2">
      <c r="P96" s="200"/>
    </row>
    <row r="97" spans="16:16" ht="15.75" customHeight="1" x14ac:dyDescent="0.2">
      <c r="P97" s="200"/>
    </row>
    <row r="98" spans="16:16" ht="15.75" customHeight="1" x14ac:dyDescent="0.2">
      <c r="P98" s="200"/>
    </row>
    <row r="99" spans="16:16" ht="15.75" customHeight="1" x14ac:dyDescent="0.2">
      <c r="P99" s="200"/>
    </row>
    <row r="100" spans="16:16" ht="15.75" customHeight="1" x14ac:dyDescent="0.2">
      <c r="P100" s="200"/>
    </row>
    <row r="101" spans="16:16" ht="15.75" customHeight="1" x14ac:dyDescent="0.2">
      <c r="P101" s="200"/>
    </row>
    <row r="102" spans="16:16" ht="15.75" customHeight="1" x14ac:dyDescent="0.2">
      <c r="P102" s="200"/>
    </row>
    <row r="103" spans="16:16" ht="15.75" customHeight="1" x14ac:dyDescent="0.2">
      <c r="P103" s="200"/>
    </row>
    <row r="104" spans="16:16" ht="15.75" customHeight="1" x14ac:dyDescent="0.2">
      <c r="P104" s="200"/>
    </row>
    <row r="105" spans="16:16" ht="15.75" customHeight="1" x14ac:dyDescent="0.2">
      <c r="P105" s="200"/>
    </row>
    <row r="106" spans="16:16" ht="15.75" customHeight="1" x14ac:dyDescent="0.2">
      <c r="P106" s="200"/>
    </row>
    <row r="107" spans="16:16" ht="15.75" customHeight="1" x14ac:dyDescent="0.2">
      <c r="P107" s="200"/>
    </row>
    <row r="108" spans="16:16" ht="15.75" customHeight="1" x14ac:dyDescent="0.2">
      <c r="P108" s="200"/>
    </row>
    <row r="109" spans="16:16" ht="15.75" customHeight="1" x14ac:dyDescent="0.2">
      <c r="P109" s="200"/>
    </row>
    <row r="110" spans="16:16" ht="15.75" customHeight="1" x14ac:dyDescent="0.2">
      <c r="P110" s="200"/>
    </row>
    <row r="111" spans="16:16" ht="15.75" customHeight="1" x14ac:dyDescent="0.2">
      <c r="P111" s="200"/>
    </row>
    <row r="112" spans="16:16" ht="15.75" customHeight="1" x14ac:dyDescent="0.2">
      <c r="P112" s="200"/>
    </row>
    <row r="113" spans="16:16" ht="15.75" customHeight="1" x14ac:dyDescent="0.2">
      <c r="P113" s="200"/>
    </row>
    <row r="114" spans="16:16" ht="15.75" customHeight="1" x14ac:dyDescent="0.2">
      <c r="P114" s="200"/>
    </row>
    <row r="115" spans="16:16" ht="15.75" customHeight="1" x14ac:dyDescent="0.2">
      <c r="P115" s="200"/>
    </row>
    <row r="116" spans="16:16" ht="15.75" customHeight="1" x14ac:dyDescent="0.2">
      <c r="P116" s="200"/>
    </row>
    <row r="117" spans="16:16" ht="15.75" customHeight="1" x14ac:dyDescent="0.2">
      <c r="P117" s="200"/>
    </row>
    <row r="118" spans="16:16" ht="15.75" customHeight="1" x14ac:dyDescent="0.2">
      <c r="P118" s="200"/>
    </row>
    <row r="119" spans="16:16" ht="15.75" customHeight="1" x14ac:dyDescent="0.2">
      <c r="P119" s="200"/>
    </row>
    <row r="120" spans="16:16" ht="15.75" customHeight="1" x14ac:dyDescent="0.2">
      <c r="P120" s="200"/>
    </row>
    <row r="121" spans="16:16" ht="15.75" customHeight="1" x14ac:dyDescent="0.2">
      <c r="P121" s="200"/>
    </row>
    <row r="122" spans="16:16" ht="15.75" customHeight="1" x14ac:dyDescent="0.2">
      <c r="P122" s="200"/>
    </row>
    <row r="123" spans="16:16" ht="15.75" customHeight="1" x14ac:dyDescent="0.2">
      <c r="P123" s="200"/>
    </row>
    <row r="124" spans="16:16" ht="15.75" customHeight="1" x14ac:dyDescent="0.2">
      <c r="P124" s="200"/>
    </row>
    <row r="125" spans="16:16" ht="15.75" customHeight="1" x14ac:dyDescent="0.2">
      <c r="P125" s="200"/>
    </row>
    <row r="126" spans="16:16" ht="15.75" customHeight="1" x14ac:dyDescent="0.2">
      <c r="P126" s="200"/>
    </row>
    <row r="127" spans="16:16" ht="15.75" customHeight="1" x14ac:dyDescent="0.2">
      <c r="P127" s="200"/>
    </row>
    <row r="128" spans="16:16" ht="15.75" customHeight="1" x14ac:dyDescent="0.2">
      <c r="P128" s="200"/>
    </row>
    <row r="129" spans="16:16" ht="15.75" customHeight="1" x14ac:dyDescent="0.2">
      <c r="P129" s="200"/>
    </row>
    <row r="130" spans="16:16" ht="15.75" customHeight="1" x14ac:dyDescent="0.2">
      <c r="P130" s="200"/>
    </row>
    <row r="131" spans="16:16" ht="15.75" customHeight="1" x14ac:dyDescent="0.2">
      <c r="P131" s="200"/>
    </row>
    <row r="132" spans="16:16" ht="15.75" customHeight="1" x14ac:dyDescent="0.2">
      <c r="P132" s="200"/>
    </row>
    <row r="133" spans="16:16" ht="15.75" customHeight="1" x14ac:dyDescent="0.2">
      <c r="P133" s="200"/>
    </row>
    <row r="134" spans="16:16" ht="15.75" customHeight="1" x14ac:dyDescent="0.2">
      <c r="P134" s="200"/>
    </row>
    <row r="135" spans="16:16" ht="15.75" customHeight="1" x14ac:dyDescent="0.2">
      <c r="P135" s="200"/>
    </row>
    <row r="136" spans="16:16" ht="15.75" customHeight="1" x14ac:dyDescent="0.2">
      <c r="P136" s="200"/>
    </row>
    <row r="137" spans="16:16" ht="15.75" customHeight="1" x14ac:dyDescent="0.2">
      <c r="P137" s="200"/>
    </row>
    <row r="138" spans="16:16" ht="15.75" customHeight="1" x14ac:dyDescent="0.2">
      <c r="P138" s="200"/>
    </row>
    <row r="139" spans="16:16" ht="15.75" customHeight="1" x14ac:dyDescent="0.2">
      <c r="P139" s="200"/>
    </row>
    <row r="140" spans="16:16" ht="15.75" customHeight="1" x14ac:dyDescent="0.2">
      <c r="P140" s="200"/>
    </row>
    <row r="141" spans="16:16" ht="15.75" customHeight="1" x14ac:dyDescent="0.2">
      <c r="P141" s="200"/>
    </row>
    <row r="142" spans="16:16" ht="15.75" customHeight="1" x14ac:dyDescent="0.2">
      <c r="P142" s="200"/>
    </row>
    <row r="143" spans="16:16" ht="15.75" customHeight="1" x14ac:dyDescent="0.2">
      <c r="P143" s="200"/>
    </row>
    <row r="144" spans="16:16" ht="15.75" customHeight="1" x14ac:dyDescent="0.2">
      <c r="P144" s="200"/>
    </row>
    <row r="145" spans="16:16" ht="15.75" customHeight="1" x14ac:dyDescent="0.2">
      <c r="P145" s="200"/>
    </row>
    <row r="146" spans="16:16" ht="15.75" customHeight="1" x14ac:dyDescent="0.2">
      <c r="P146" s="200"/>
    </row>
    <row r="147" spans="16:16" ht="15.75" customHeight="1" x14ac:dyDescent="0.2">
      <c r="P147" s="200"/>
    </row>
    <row r="148" spans="16:16" ht="15.75" customHeight="1" x14ac:dyDescent="0.2">
      <c r="P148" s="200"/>
    </row>
    <row r="149" spans="16:16" ht="15.75" customHeight="1" x14ac:dyDescent="0.2">
      <c r="P149" s="200"/>
    </row>
    <row r="150" spans="16:16" ht="15.75" customHeight="1" x14ac:dyDescent="0.2">
      <c r="P150" s="200"/>
    </row>
    <row r="151" spans="16:16" ht="15.75" customHeight="1" x14ac:dyDescent="0.2">
      <c r="P151" s="200"/>
    </row>
    <row r="152" spans="16:16" ht="15.75" customHeight="1" x14ac:dyDescent="0.2">
      <c r="P152" s="200"/>
    </row>
    <row r="153" spans="16:16" ht="15.75" customHeight="1" x14ac:dyDescent="0.2">
      <c r="P153" s="200"/>
    </row>
    <row r="154" spans="16:16" ht="15.75" customHeight="1" x14ac:dyDescent="0.2">
      <c r="P154" s="200"/>
    </row>
    <row r="155" spans="16:16" ht="15.75" customHeight="1" x14ac:dyDescent="0.2">
      <c r="P155" s="200"/>
    </row>
    <row r="156" spans="16:16" ht="15.75" customHeight="1" x14ac:dyDescent="0.2">
      <c r="P156" s="200"/>
    </row>
    <row r="157" spans="16:16" ht="15.75" customHeight="1" x14ac:dyDescent="0.2">
      <c r="P157" s="200"/>
    </row>
    <row r="158" spans="16:16" ht="15.75" customHeight="1" x14ac:dyDescent="0.2">
      <c r="P158" s="200"/>
    </row>
    <row r="159" spans="16:16" ht="15.75" customHeight="1" x14ac:dyDescent="0.2">
      <c r="P159" s="200"/>
    </row>
    <row r="160" spans="16:16" ht="15.75" customHeight="1" x14ac:dyDescent="0.2">
      <c r="P160" s="200"/>
    </row>
    <row r="161" spans="16:16" ht="15.75" customHeight="1" x14ac:dyDescent="0.2">
      <c r="P161" s="200"/>
    </row>
    <row r="162" spans="16:16" ht="15.75" customHeight="1" x14ac:dyDescent="0.2">
      <c r="P162" s="200"/>
    </row>
    <row r="163" spans="16:16" ht="15.75" customHeight="1" x14ac:dyDescent="0.2">
      <c r="P163" s="200"/>
    </row>
    <row r="164" spans="16:16" ht="15.75" customHeight="1" x14ac:dyDescent="0.2">
      <c r="P164" s="200"/>
    </row>
    <row r="165" spans="16:16" ht="15.75" customHeight="1" x14ac:dyDescent="0.2">
      <c r="P165" s="200"/>
    </row>
    <row r="166" spans="16:16" ht="15.75" customHeight="1" x14ac:dyDescent="0.2">
      <c r="P166" s="200"/>
    </row>
    <row r="167" spans="16:16" ht="15.75" customHeight="1" x14ac:dyDescent="0.2">
      <c r="P167" s="200"/>
    </row>
    <row r="168" spans="16:16" ht="15.75" customHeight="1" x14ac:dyDescent="0.2">
      <c r="P168" s="200"/>
    </row>
    <row r="169" spans="16:16" ht="15.75" customHeight="1" x14ac:dyDescent="0.2">
      <c r="P169" s="200"/>
    </row>
    <row r="170" spans="16:16" ht="15.75" customHeight="1" x14ac:dyDescent="0.2">
      <c r="P170" s="200"/>
    </row>
    <row r="171" spans="16:16" ht="15.75" customHeight="1" x14ac:dyDescent="0.2">
      <c r="P171" s="200"/>
    </row>
    <row r="172" spans="16:16" ht="15.75" customHeight="1" x14ac:dyDescent="0.2">
      <c r="P172" s="200"/>
    </row>
    <row r="173" spans="16:16" ht="15.75" customHeight="1" x14ac:dyDescent="0.2">
      <c r="P173" s="200"/>
    </row>
    <row r="174" spans="16:16" ht="15.75" customHeight="1" x14ac:dyDescent="0.2">
      <c r="P174" s="200"/>
    </row>
    <row r="175" spans="16:16" ht="15.75" customHeight="1" x14ac:dyDescent="0.2">
      <c r="P175" s="200"/>
    </row>
    <row r="176" spans="16:16" ht="15.75" customHeight="1" x14ac:dyDescent="0.2">
      <c r="P176" s="200"/>
    </row>
    <row r="177" spans="16:16" ht="15.75" customHeight="1" x14ac:dyDescent="0.2">
      <c r="P177" s="200"/>
    </row>
    <row r="178" spans="16:16" ht="15.75" customHeight="1" x14ac:dyDescent="0.2">
      <c r="P178" s="200"/>
    </row>
    <row r="179" spans="16:16" ht="15.75" customHeight="1" x14ac:dyDescent="0.2">
      <c r="P179" s="200"/>
    </row>
    <row r="180" spans="16:16" ht="15.75" customHeight="1" x14ac:dyDescent="0.2">
      <c r="P180" s="200"/>
    </row>
    <row r="181" spans="16:16" ht="15.75" customHeight="1" x14ac:dyDescent="0.2">
      <c r="P181" s="200"/>
    </row>
    <row r="182" spans="16:16" ht="15.75" customHeight="1" x14ac:dyDescent="0.2">
      <c r="P182" s="200"/>
    </row>
    <row r="183" spans="16:16" ht="15.75" customHeight="1" x14ac:dyDescent="0.2">
      <c r="P183" s="200"/>
    </row>
    <row r="184" spans="16:16" ht="15.75" customHeight="1" x14ac:dyDescent="0.2">
      <c r="P184" s="200"/>
    </row>
    <row r="185" spans="16:16" ht="15.75" customHeight="1" x14ac:dyDescent="0.2">
      <c r="P185" s="200"/>
    </row>
    <row r="186" spans="16:16" ht="15.75" customHeight="1" x14ac:dyDescent="0.2">
      <c r="P186" s="200"/>
    </row>
    <row r="187" spans="16:16" ht="15.75" customHeight="1" x14ac:dyDescent="0.2">
      <c r="P187" s="200"/>
    </row>
    <row r="188" spans="16:16" ht="15.75" customHeight="1" x14ac:dyDescent="0.2">
      <c r="P188" s="200"/>
    </row>
    <row r="189" spans="16:16" ht="15.75" customHeight="1" x14ac:dyDescent="0.2">
      <c r="P189" s="200"/>
    </row>
    <row r="190" spans="16:16" ht="15.75" customHeight="1" x14ac:dyDescent="0.2">
      <c r="P190" s="200"/>
    </row>
    <row r="191" spans="16:16" ht="15.75" customHeight="1" x14ac:dyDescent="0.2">
      <c r="P191" s="200"/>
    </row>
    <row r="192" spans="16:16" ht="15.75" customHeight="1" x14ac:dyDescent="0.2">
      <c r="P192" s="200"/>
    </row>
    <row r="193" spans="16:16" ht="15.75" customHeight="1" x14ac:dyDescent="0.2">
      <c r="P193" s="200"/>
    </row>
    <row r="194" spans="16:16" ht="15.75" customHeight="1" x14ac:dyDescent="0.2">
      <c r="P194" s="200"/>
    </row>
    <row r="195" spans="16:16" ht="15.75" customHeight="1" x14ac:dyDescent="0.2">
      <c r="P195" s="200"/>
    </row>
    <row r="196" spans="16:16" ht="15.75" customHeight="1" x14ac:dyDescent="0.2">
      <c r="P196" s="200"/>
    </row>
    <row r="197" spans="16:16" ht="15.75" customHeight="1" x14ac:dyDescent="0.2">
      <c r="P197" s="200"/>
    </row>
    <row r="198" spans="16:16" ht="15.75" customHeight="1" x14ac:dyDescent="0.2">
      <c r="P198" s="200"/>
    </row>
    <row r="199" spans="16:16" ht="15.75" customHeight="1" x14ac:dyDescent="0.2">
      <c r="P199" s="200"/>
    </row>
    <row r="200" spans="16:16" ht="15.75" customHeight="1" x14ac:dyDescent="0.2">
      <c r="P200" s="200"/>
    </row>
    <row r="201" spans="16:16" ht="15.75" customHeight="1" x14ac:dyDescent="0.2">
      <c r="P201" s="200"/>
    </row>
    <row r="202" spans="16:16" ht="15.75" customHeight="1" x14ac:dyDescent="0.2">
      <c r="P202" s="200"/>
    </row>
    <row r="203" spans="16:16" ht="15.75" customHeight="1" x14ac:dyDescent="0.2">
      <c r="P203" s="200"/>
    </row>
    <row r="204" spans="16:16" ht="15.75" customHeight="1" x14ac:dyDescent="0.2">
      <c r="P204" s="200"/>
    </row>
    <row r="205" spans="16:16" ht="15.75" customHeight="1" x14ac:dyDescent="0.2">
      <c r="P205" s="200"/>
    </row>
    <row r="206" spans="16:16" ht="15.75" customHeight="1" x14ac:dyDescent="0.2">
      <c r="P206" s="200"/>
    </row>
    <row r="207" spans="16:16" ht="15.75" customHeight="1" x14ac:dyDescent="0.2">
      <c r="P207" s="200"/>
    </row>
    <row r="208" spans="16:16" ht="15.75" customHeight="1" x14ac:dyDescent="0.2">
      <c r="P208" s="200"/>
    </row>
    <row r="209" spans="16:16" ht="15.75" customHeight="1" x14ac:dyDescent="0.2">
      <c r="P209" s="200"/>
    </row>
    <row r="210" spans="16:16" ht="15.75" customHeight="1" x14ac:dyDescent="0.2">
      <c r="P210" s="200"/>
    </row>
    <row r="211" spans="16:16" ht="15.75" customHeight="1" x14ac:dyDescent="0.2">
      <c r="P211" s="200"/>
    </row>
    <row r="212" spans="16:16" ht="15.75" customHeight="1" x14ac:dyDescent="0.2">
      <c r="P212" s="200"/>
    </row>
    <row r="213" spans="16:16" ht="15.75" customHeight="1" x14ac:dyDescent="0.2">
      <c r="P213" s="200"/>
    </row>
    <row r="214" spans="16:16" ht="15.75" customHeight="1" x14ac:dyDescent="0.2">
      <c r="P214" s="200"/>
    </row>
    <row r="215" spans="16:16" ht="15.75" customHeight="1" x14ac:dyDescent="0.2">
      <c r="P215" s="200"/>
    </row>
    <row r="216" spans="16:16" ht="15.75" customHeight="1" x14ac:dyDescent="0.2">
      <c r="P216" s="200"/>
    </row>
    <row r="217" spans="16:16" ht="15.75" customHeight="1" x14ac:dyDescent="0.2">
      <c r="P217" s="200"/>
    </row>
    <row r="218" spans="16:16" ht="15.75" customHeight="1" x14ac:dyDescent="0.2">
      <c r="P218" s="200"/>
    </row>
    <row r="219" spans="16:16" ht="15.75" customHeight="1" x14ac:dyDescent="0.2">
      <c r="P219" s="200"/>
    </row>
    <row r="220" spans="16:16" ht="15.75" customHeight="1" x14ac:dyDescent="0.2">
      <c r="P220" s="200"/>
    </row>
    <row r="221" spans="16:16" ht="15.75" customHeight="1" x14ac:dyDescent="0.2">
      <c r="P221" s="200"/>
    </row>
    <row r="222" spans="16:16" ht="15.75" customHeight="1" x14ac:dyDescent="0.2">
      <c r="P222" s="200"/>
    </row>
    <row r="223" spans="16:16" ht="15.75" customHeight="1" x14ac:dyDescent="0.2">
      <c r="P223" s="200"/>
    </row>
    <row r="224" spans="16:16" ht="15.75" customHeight="1" x14ac:dyDescent="0.2">
      <c r="P224" s="200"/>
    </row>
    <row r="225" spans="16:16" ht="15.75" customHeight="1" x14ac:dyDescent="0.2">
      <c r="P225" s="200"/>
    </row>
    <row r="226" spans="16:16" ht="15.75" customHeight="1" x14ac:dyDescent="0.2">
      <c r="P226" s="200"/>
    </row>
    <row r="227" spans="16:16" ht="15.75" customHeight="1" x14ac:dyDescent="0.2">
      <c r="P227" s="200"/>
    </row>
    <row r="228" spans="16:16" ht="15.75" customHeight="1" x14ac:dyDescent="0.2">
      <c r="P228" s="200"/>
    </row>
    <row r="229" spans="16:16" ht="15.75" customHeight="1" x14ac:dyDescent="0.2">
      <c r="P229" s="200"/>
    </row>
    <row r="230" spans="16:16" ht="15.75" customHeight="1" x14ac:dyDescent="0.2">
      <c r="P230" s="200"/>
    </row>
    <row r="231" spans="16:16" ht="15.75" customHeight="1" x14ac:dyDescent="0.2">
      <c r="P231" s="200"/>
    </row>
    <row r="232" spans="16:16" ht="15.75" customHeight="1" x14ac:dyDescent="0.2">
      <c r="P232" s="200"/>
    </row>
    <row r="233" spans="16:16" ht="15.75" customHeight="1" x14ac:dyDescent="0.2">
      <c r="P233" s="200"/>
    </row>
    <row r="234" spans="16:16" ht="15.75" customHeight="1" x14ac:dyDescent="0.2">
      <c r="P234" s="200"/>
    </row>
    <row r="235" spans="16:16" ht="15.75" customHeight="1" x14ac:dyDescent="0.2">
      <c r="P235" s="200"/>
    </row>
    <row r="236" spans="16:16" ht="15.75" customHeight="1" x14ac:dyDescent="0.2">
      <c r="P236" s="200"/>
    </row>
    <row r="237" spans="16:16" ht="15.75" customHeight="1" x14ac:dyDescent="0.2">
      <c r="P237" s="200"/>
    </row>
    <row r="238" spans="16:16" ht="15.75" customHeight="1" x14ac:dyDescent="0.2">
      <c r="P238" s="200"/>
    </row>
    <row r="239" spans="16:16" ht="15.75" customHeight="1" x14ac:dyDescent="0.2">
      <c r="P239" s="200"/>
    </row>
    <row r="240" spans="16:16" ht="15.75" customHeight="1" x14ac:dyDescent="0.2">
      <c r="P240" s="200"/>
    </row>
    <row r="241" spans="16:16" ht="15.75" customHeight="1" x14ac:dyDescent="0.2">
      <c r="P241" s="200"/>
    </row>
    <row r="242" spans="16:16" ht="15.75" customHeight="1" x14ac:dyDescent="0.2">
      <c r="P242" s="200"/>
    </row>
    <row r="243" spans="16:16" ht="15.75" customHeight="1" x14ac:dyDescent="0.2">
      <c r="P243" s="200"/>
    </row>
    <row r="244" spans="16:16" ht="15.75" customHeight="1" x14ac:dyDescent="0.2">
      <c r="P244" s="200"/>
    </row>
    <row r="245" spans="16:16" ht="15.75" customHeight="1" x14ac:dyDescent="0.2">
      <c r="P245" s="200"/>
    </row>
    <row r="246" spans="16:16" ht="15.75" customHeight="1" x14ac:dyDescent="0.2">
      <c r="P246" s="200"/>
    </row>
    <row r="247" spans="16:16" ht="15.75" customHeight="1" x14ac:dyDescent="0.2">
      <c r="P247" s="200"/>
    </row>
    <row r="248" spans="16:16" ht="15.75" customHeight="1" x14ac:dyDescent="0.2">
      <c r="P248" s="200"/>
    </row>
    <row r="249" spans="16:16" ht="15.75" customHeight="1" x14ac:dyDescent="0.2">
      <c r="P249" s="200"/>
    </row>
    <row r="250" spans="16:16" ht="15.75" customHeight="1" x14ac:dyDescent="0.2">
      <c r="P250" s="200"/>
    </row>
    <row r="251" spans="16:16" ht="15.75" customHeight="1" x14ac:dyDescent="0.2">
      <c r="P251" s="200"/>
    </row>
    <row r="252" spans="16:16" ht="15.75" customHeight="1" x14ac:dyDescent="0.2">
      <c r="P252" s="200"/>
    </row>
    <row r="253" spans="16:16" ht="15.75" customHeight="1" x14ac:dyDescent="0.2">
      <c r="P253" s="200"/>
    </row>
    <row r="254" spans="16:16" ht="15.75" customHeight="1" x14ac:dyDescent="0.2"/>
    <row r="255" spans="16:16" ht="15.75" customHeight="1" x14ac:dyDescent="0.2"/>
    <row r="256" spans="16:1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1">
    <mergeCell ref="A53:N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L1003"/>
  <sheetViews>
    <sheetView workbookViewId="0"/>
  </sheetViews>
  <sheetFormatPr baseColWidth="10" defaultColWidth="12.7109375" defaultRowHeight="15" customHeight="1" x14ac:dyDescent="0.2"/>
  <cols>
    <col min="1" max="1" width="47.7109375" customWidth="1"/>
    <col min="2" max="2" width="22.140625" customWidth="1"/>
  </cols>
  <sheetData>
    <row r="1" spans="1:64" ht="15.75" customHeight="1" x14ac:dyDescent="0.25">
      <c r="A1" s="201"/>
      <c r="B1" s="144"/>
      <c r="C1" s="144"/>
      <c r="D1" s="144"/>
      <c r="E1" s="144"/>
      <c r="F1" s="144" t="s">
        <v>502</v>
      </c>
      <c r="G1" s="144"/>
      <c r="H1" s="144"/>
      <c r="I1" s="144"/>
      <c r="J1" s="144"/>
      <c r="K1" s="144"/>
      <c r="L1" s="144"/>
      <c r="M1" s="144"/>
      <c r="N1" s="144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 t="s">
        <v>503</v>
      </c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75"/>
      <c r="BL1" s="175"/>
    </row>
    <row r="2" spans="1:64" ht="15.75" customHeight="1" x14ac:dyDescent="0.25">
      <c r="A2" s="146"/>
      <c r="B2" s="147" t="s">
        <v>504</v>
      </c>
      <c r="C2" s="147" t="s">
        <v>403</v>
      </c>
      <c r="D2" s="147" t="s">
        <v>404</v>
      </c>
      <c r="E2" s="147" t="s">
        <v>405</v>
      </c>
      <c r="F2" s="147" t="s">
        <v>406</v>
      </c>
      <c r="G2" s="147" t="s">
        <v>407</v>
      </c>
      <c r="H2" s="147" t="s">
        <v>408</v>
      </c>
      <c r="I2" s="147" t="s">
        <v>409</v>
      </c>
      <c r="J2" s="147" t="s">
        <v>410</v>
      </c>
      <c r="K2" s="147" t="s">
        <v>411</v>
      </c>
      <c r="L2" s="147" t="s">
        <v>412</v>
      </c>
      <c r="M2" s="147" t="s">
        <v>413</v>
      </c>
      <c r="N2" s="148" t="s">
        <v>414</v>
      </c>
      <c r="O2" s="149" t="s">
        <v>415</v>
      </c>
      <c r="P2" s="149" t="s">
        <v>416</v>
      </c>
      <c r="Q2" s="149" t="s">
        <v>417</v>
      </c>
      <c r="R2" s="149" t="s">
        <v>418</v>
      </c>
      <c r="S2" s="149" t="s">
        <v>419</v>
      </c>
      <c r="T2" s="149" t="s">
        <v>420</v>
      </c>
      <c r="U2" s="149" t="s">
        <v>421</v>
      </c>
      <c r="V2" s="149" t="s">
        <v>422</v>
      </c>
      <c r="W2" s="149" t="s">
        <v>423</v>
      </c>
      <c r="X2" s="149" t="s">
        <v>424</v>
      </c>
      <c r="Y2" s="149" t="s">
        <v>425</v>
      </c>
      <c r="Z2" s="149" t="s">
        <v>426</v>
      </c>
      <c r="AA2" s="149" t="s">
        <v>427</v>
      </c>
      <c r="AB2" s="149" t="s">
        <v>428</v>
      </c>
      <c r="AC2" s="149" t="s">
        <v>429</v>
      </c>
      <c r="AD2" s="149" t="s">
        <v>430</v>
      </c>
      <c r="AE2" s="149" t="s">
        <v>431</v>
      </c>
      <c r="AF2" s="149" t="s">
        <v>432</v>
      </c>
      <c r="AG2" s="149" t="s">
        <v>433</v>
      </c>
      <c r="AH2" s="149" t="s">
        <v>434</v>
      </c>
      <c r="AI2" s="149" t="s">
        <v>435</v>
      </c>
      <c r="AJ2" s="149" t="s">
        <v>436</v>
      </c>
      <c r="AK2" s="149" t="s">
        <v>437</v>
      </c>
      <c r="AL2" s="149" t="s">
        <v>438</v>
      </c>
      <c r="AM2" s="149" t="s">
        <v>439</v>
      </c>
      <c r="AN2" s="149" t="s">
        <v>440</v>
      </c>
      <c r="AO2" s="149" t="s">
        <v>441</v>
      </c>
      <c r="AP2" s="149" t="s">
        <v>442</v>
      </c>
      <c r="AQ2" s="149" t="s">
        <v>443</v>
      </c>
      <c r="AR2" s="149" t="s">
        <v>444</v>
      </c>
      <c r="AS2" s="149" t="s">
        <v>445</v>
      </c>
      <c r="AT2" s="149" t="s">
        <v>446</v>
      </c>
      <c r="AU2" s="149" t="s">
        <v>447</v>
      </c>
      <c r="AV2" s="149" t="s">
        <v>448</v>
      </c>
      <c r="AW2" s="149" t="s">
        <v>449</v>
      </c>
      <c r="AX2" s="149" t="s">
        <v>450</v>
      </c>
      <c r="AY2" s="149" t="s">
        <v>451</v>
      </c>
      <c r="AZ2" s="149" t="s">
        <v>452</v>
      </c>
      <c r="BA2" s="149" t="s">
        <v>453</v>
      </c>
      <c r="BB2" s="149" t="s">
        <v>454</v>
      </c>
      <c r="BC2" s="149" t="s">
        <v>455</v>
      </c>
      <c r="BD2" s="149" t="s">
        <v>456</v>
      </c>
      <c r="BE2" s="149" t="s">
        <v>457</v>
      </c>
      <c r="BF2" s="149" t="s">
        <v>458</v>
      </c>
      <c r="BG2" s="149" t="s">
        <v>459</v>
      </c>
      <c r="BH2" s="149" t="s">
        <v>460</v>
      </c>
      <c r="BI2" s="149" t="s">
        <v>461</v>
      </c>
      <c r="BJ2" s="149" t="s">
        <v>462</v>
      </c>
      <c r="BK2" s="175"/>
      <c r="BL2" s="175"/>
    </row>
    <row r="3" spans="1:64" ht="15.75" customHeight="1" x14ac:dyDescent="0.25">
      <c r="A3" s="146" t="str">
        <f>+'COSTOS DE OPERACION'!A3</f>
        <v>Director de Proyecto</v>
      </c>
      <c r="B3" s="134">
        <f>+'Costos HH por MES'!$H$5</f>
        <v>640</v>
      </c>
      <c r="C3" s="134">
        <f t="shared" ref="C3:N3" si="0">$B$3</f>
        <v>640</v>
      </c>
      <c r="D3" s="134">
        <f t="shared" si="0"/>
        <v>640</v>
      </c>
      <c r="E3" s="134">
        <f t="shared" si="0"/>
        <v>640</v>
      </c>
      <c r="F3" s="134">
        <f t="shared" si="0"/>
        <v>640</v>
      </c>
      <c r="G3" s="134">
        <f t="shared" si="0"/>
        <v>640</v>
      </c>
      <c r="H3" s="134">
        <f t="shared" si="0"/>
        <v>640</v>
      </c>
      <c r="I3" s="134">
        <f t="shared" si="0"/>
        <v>640</v>
      </c>
      <c r="J3" s="134">
        <f t="shared" si="0"/>
        <v>640</v>
      </c>
      <c r="K3" s="134">
        <f t="shared" si="0"/>
        <v>640</v>
      </c>
      <c r="L3" s="134">
        <f t="shared" si="0"/>
        <v>640</v>
      </c>
      <c r="M3" s="134">
        <f t="shared" si="0"/>
        <v>640</v>
      </c>
      <c r="N3" s="134">
        <f t="shared" si="0"/>
        <v>640</v>
      </c>
      <c r="O3" s="151">
        <f t="shared" ref="O3:BJ3" si="1">$B$3/20</f>
        <v>32</v>
      </c>
      <c r="P3" s="151">
        <f t="shared" si="1"/>
        <v>32</v>
      </c>
      <c r="Q3" s="151">
        <f t="shared" si="1"/>
        <v>32</v>
      </c>
      <c r="R3" s="151">
        <f t="shared" si="1"/>
        <v>32</v>
      </c>
      <c r="S3" s="151">
        <f t="shared" si="1"/>
        <v>32</v>
      </c>
      <c r="T3" s="151">
        <f t="shared" si="1"/>
        <v>32</v>
      </c>
      <c r="U3" s="151">
        <f t="shared" si="1"/>
        <v>32</v>
      </c>
      <c r="V3" s="151">
        <f t="shared" si="1"/>
        <v>32</v>
      </c>
      <c r="W3" s="151">
        <f t="shared" si="1"/>
        <v>32</v>
      </c>
      <c r="X3" s="151">
        <f t="shared" si="1"/>
        <v>32</v>
      </c>
      <c r="Y3" s="151">
        <f t="shared" si="1"/>
        <v>32</v>
      </c>
      <c r="Z3" s="151">
        <f t="shared" si="1"/>
        <v>32</v>
      </c>
      <c r="AA3" s="151">
        <f t="shared" si="1"/>
        <v>32</v>
      </c>
      <c r="AB3" s="151">
        <f t="shared" si="1"/>
        <v>32</v>
      </c>
      <c r="AC3" s="151">
        <f t="shared" si="1"/>
        <v>32</v>
      </c>
      <c r="AD3" s="151">
        <f t="shared" si="1"/>
        <v>32</v>
      </c>
      <c r="AE3" s="151">
        <f t="shared" si="1"/>
        <v>32</v>
      </c>
      <c r="AF3" s="151">
        <f t="shared" si="1"/>
        <v>32</v>
      </c>
      <c r="AG3" s="151">
        <f t="shared" si="1"/>
        <v>32</v>
      </c>
      <c r="AH3" s="151">
        <f t="shared" si="1"/>
        <v>32</v>
      </c>
      <c r="AI3" s="151">
        <f t="shared" si="1"/>
        <v>32</v>
      </c>
      <c r="AJ3" s="151">
        <f t="shared" si="1"/>
        <v>32</v>
      </c>
      <c r="AK3" s="151">
        <f t="shared" si="1"/>
        <v>32</v>
      </c>
      <c r="AL3" s="151">
        <f t="shared" si="1"/>
        <v>32</v>
      </c>
      <c r="AM3" s="151">
        <f t="shared" si="1"/>
        <v>32</v>
      </c>
      <c r="AN3" s="151">
        <f t="shared" si="1"/>
        <v>32</v>
      </c>
      <c r="AO3" s="151">
        <f t="shared" si="1"/>
        <v>32</v>
      </c>
      <c r="AP3" s="151">
        <f t="shared" si="1"/>
        <v>32</v>
      </c>
      <c r="AQ3" s="151">
        <f t="shared" si="1"/>
        <v>32</v>
      </c>
      <c r="AR3" s="151">
        <f t="shared" si="1"/>
        <v>32</v>
      </c>
      <c r="AS3" s="151">
        <f t="shared" si="1"/>
        <v>32</v>
      </c>
      <c r="AT3" s="151">
        <f t="shared" si="1"/>
        <v>32</v>
      </c>
      <c r="AU3" s="151">
        <f t="shared" si="1"/>
        <v>32</v>
      </c>
      <c r="AV3" s="151">
        <f t="shared" si="1"/>
        <v>32</v>
      </c>
      <c r="AW3" s="151">
        <f t="shared" si="1"/>
        <v>32</v>
      </c>
      <c r="AX3" s="151">
        <f t="shared" si="1"/>
        <v>32</v>
      </c>
      <c r="AY3" s="151">
        <f t="shared" si="1"/>
        <v>32</v>
      </c>
      <c r="AZ3" s="151">
        <f t="shared" si="1"/>
        <v>32</v>
      </c>
      <c r="BA3" s="151">
        <f t="shared" si="1"/>
        <v>32</v>
      </c>
      <c r="BB3" s="151">
        <f t="shared" si="1"/>
        <v>32</v>
      </c>
      <c r="BC3" s="151">
        <f t="shared" si="1"/>
        <v>32</v>
      </c>
      <c r="BD3" s="151">
        <f t="shared" si="1"/>
        <v>32</v>
      </c>
      <c r="BE3" s="151">
        <f t="shared" si="1"/>
        <v>32</v>
      </c>
      <c r="BF3" s="151">
        <f t="shared" si="1"/>
        <v>32</v>
      </c>
      <c r="BG3" s="151">
        <f t="shared" si="1"/>
        <v>32</v>
      </c>
      <c r="BH3" s="151">
        <f t="shared" si="1"/>
        <v>32</v>
      </c>
      <c r="BI3" s="151">
        <f t="shared" si="1"/>
        <v>32</v>
      </c>
      <c r="BJ3" s="151">
        <f t="shared" si="1"/>
        <v>32</v>
      </c>
      <c r="BK3" s="175"/>
      <c r="BL3" s="175"/>
    </row>
    <row r="4" spans="1:64" ht="15.75" customHeight="1" x14ac:dyDescent="0.25">
      <c r="A4" s="146" t="str">
        <f>+'COSTOS DE OPERACION'!A4</f>
        <v>Analista de Negocios Senior A</v>
      </c>
      <c r="B4" s="134">
        <f>+'Costos HH por MES'!$H$6</f>
        <v>192</v>
      </c>
      <c r="C4" s="134">
        <f>B$4</f>
        <v>192</v>
      </c>
      <c r="D4" s="134">
        <f>$B$4</f>
        <v>192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52"/>
      <c r="P4" s="152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75"/>
      <c r="BL4" s="175"/>
    </row>
    <row r="5" spans="1:64" ht="15.75" customHeight="1" x14ac:dyDescent="0.25">
      <c r="A5" s="146" t="str">
        <f>+'COSTOS DE OPERACION'!A5</f>
        <v>Analista de Negocios Senior B</v>
      </c>
      <c r="B5" s="134">
        <f>B4</f>
        <v>192</v>
      </c>
      <c r="C5" s="134">
        <f>($B$5)</f>
        <v>192</v>
      </c>
      <c r="D5" s="134">
        <f>($C$5)</f>
        <v>192</v>
      </c>
      <c r="E5" s="134"/>
      <c r="F5" s="134">
        <f t="shared" ref="F5:N5" si="2">(E5)</f>
        <v>0</v>
      </c>
      <c r="G5" s="134">
        <f t="shared" si="2"/>
        <v>0</v>
      </c>
      <c r="H5" s="134">
        <f t="shared" si="2"/>
        <v>0</v>
      </c>
      <c r="I5" s="134">
        <f t="shared" si="2"/>
        <v>0</v>
      </c>
      <c r="J5" s="134">
        <f t="shared" si="2"/>
        <v>0</v>
      </c>
      <c r="K5" s="134">
        <f t="shared" si="2"/>
        <v>0</v>
      </c>
      <c r="L5" s="134">
        <f t="shared" si="2"/>
        <v>0</v>
      </c>
      <c r="M5" s="134">
        <f t="shared" si="2"/>
        <v>0</v>
      </c>
      <c r="N5" s="134">
        <f t="shared" si="2"/>
        <v>0</v>
      </c>
      <c r="O5" s="152"/>
      <c r="P5" s="152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75"/>
      <c r="BL5" s="175"/>
    </row>
    <row r="6" spans="1:64" ht="15.75" customHeight="1" x14ac:dyDescent="0.25">
      <c r="A6" s="146" t="str">
        <f>+'COSTOS DE OPERACION'!A6</f>
        <v>Analista de Negocios Junior A</v>
      </c>
      <c r="B6" s="134">
        <f>+'Costos HH por MES'!$H$7</f>
        <v>160</v>
      </c>
      <c r="C6" s="134">
        <f>($B$6)</f>
        <v>160</v>
      </c>
      <c r="D6" s="134">
        <f>($C$6)</f>
        <v>160</v>
      </c>
      <c r="E6" s="134"/>
      <c r="F6" s="134"/>
      <c r="G6" s="134"/>
      <c r="H6" s="134"/>
      <c r="I6" s="134"/>
      <c r="J6" s="134"/>
      <c r="K6" s="134"/>
      <c r="L6" s="134"/>
      <c r="M6" s="134"/>
      <c r="N6" s="154"/>
      <c r="O6" s="152"/>
      <c r="P6" s="152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5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75"/>
      <c r="BL6" s="175"/>
    </row>
    <row r="7" spans="1:64" ht="15.75" customHeight="1" x14ac:dyDescent="0.25">
      <c r="A7" s="146" t="str">
        <f>+'COSTOS DE OPERACION'!A7</f>
        <v>Analista de Negocios Junior B</v>
      </c>
      <c r="B7" s="134">
        <f>B6</f>
        <v>160</v>
      </c>
      <c r="C7" s="134">
        <f>($B$7)</f>
        <v>160</v>
      </c>
      <c r="D7" s="134">
        <f>(C7)</f>
        <v>160</v>
      </c>
      <c r="E7" s="134"/>
      <c r="F7" s="134"/>
      <c r="G7" s="134"/>
      <c r="H7" s="134"/>
      <c r="I7" s="134"/>
      <c r="J7" s="134"/>
      <c r="K7" s="134"/>
      <c r="L7" s="134"/>
      <c r="M7" s="134"/>
      <c r="N7" s="154"/>
      <c r="O7" s="152"/>
      <c r="P7" s="152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5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75"/>
      <c r="BL7" s="175"/>
    </row>
    <row r="8" spans="1:64" ht="15.75" customHeight="1" x14ac:dyDescent="0.25">
      <c r="A8" s="146" t="str">
        <f>+'COSTOS DE OPERACION'!A8</f>
        <v>Gestor de Riesgos Senior</v>
      </c>
      <c r="B8" s="134">
        <f>+'Costos HH por MES'!$H$8</f>
        <v>240</v>
      </c>
      <c r="C8" s="134">
        <f t="shared" ref="C8:N8" si="3">($B$8)</f>
        <v>240</v>
      </c>
      <c r="D8" s="134">
        <f t="shared" si="3"/>
        <v>240</v>
      </c>
      <c r="E8" s="134">
        <f t="shared" si="3"/>
        <v>240</v>
      </c>
      <c r="F8" s="134">
        <f t="shared" si="3"/>
        <v>240</v>
      </c>
      <c r="G8" s="134">
        <f t="shared" si="3"/>
        <v>240</v>
      </c>
      <c r="H8" s="134">
        <f t="shared" si="3"/>
        <v>240</v>
      </c>
      <c r="I8" s="134">
        <f t="shared" si="3"/>
        <v>240</v>
      </c>
      <c r="J8" s="134">
        <f t="shared" si="3"/>
        <v>240</v>
      </c>
      <c r="K8" s="134">
        <f t="shared" si="3"/>
        <v>240</v>
      </c>
      <c r="L8" s="134">
        <f t="shared" si="3"/>
        <v>240</v>
      </c>
      <c r="M8" s="134">
        <f t="shared" si="3"/>
        <v>240</v>
      </c>
      <c r="N8" s="134">
        <f t="shared" si="3"/>
        <v>240</v>
      </c>
      <c r="O8" s="157">
        <f t="shared" ref="O8:Q8" si="4">$B$8</f>
        <v>240</v>
      </c>
      <c r="P8" s="157">
        <f t="shared" si="4"/>
        <v>240</v>
      </c>
      <c r="Q8" s="157">
        <f t="shared" si="4"/>
        <v>240</v>
      </c>
      <c r="R8" s="157">
        <f>$B$8/2</f>
        <v>120</v>
      </c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75"/>
      <c r="BL8" s="175"/>
    </row>
    <row r="9" spans="1:64" ht="15.75" customHeight="1" x14ac:dyDescent="0.25">
      <c r="A9" s="146" t="str">
        <f>+'COSTOS DE OPERACION'!A9</f>
        <v>Analista de Sistemas Senior A</v>
      </c>
      <c r="B9" s="134">
        <f>+'Costos HH por MES'!H9</f>
        <v>160</v>
      </c>
      <c r="C9" s="134">
        <f t="shared" ref="C9:E9" si="5">$B$9</f>
        <v>160</v>
      </c>
      <c r="D9" s="134">
        <f t="shared" si="5"/>
        <v>160</v>
      </c>
      <c r="E9" s="134">
        <f t="shared" si="5"/>
        <v>160</v>
      </c>
      <c r="F9" s="134"/>
      <c r="G9" s="134"/>
      <c r="H9" s="134"/>
      <c r="I9" s="134"/>
      <c r="J9" s="134"/>
      <c r="K9" s="134"/>
      <c r="L9" s="134"/>
      <c r="M9" s="134"/>
      <c r="N9" s="154"/>
      <c r="O9" s="158"/>
      <c r="P9" s="159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60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75"/>
      <c r="BL9" s="175"/>
    </row>
    <row r="10" spans="1:64" ht="15.75" customHeight="1" x14ac:dyDescent="0.25">
      <c r="A10" s="146" t="str">
        <f>+'COSTOS DE OPERACION'!A10</f>
        <v>Analista de Sistemas Senior B</v>
      </c>
      <c r="B10" s="134">
        <f t="shared" ref="B10:B12" si="6">$B$9</f>
        <v>160</v>
      </c>
      <c r="C10" s="134">
        <f t="shared" ref="C10:E10" si="7">$B$10</f>
        <v>160</v>
      </c>
      <c r="D10" s="134">
        <f t="shared" si="7"/>
        <v>160</v>
      </c>
      <c r="E10" s="134">
        <f t="shared" si="7"/>
        <v>160</v>
      </c>
      <c r="F10" s="134"/>
      <c r="G10" s="134"/>
      <c r="H10" s="134"/>
      <c r="I10" s="134"/>
      <c r="J10" s="134"/>
      <c r="K10" s="134"/>
      <c r="L10" s="134"/>
      <c r="M10" s="134"/>
      <c r="N10" s="154"/>
      <c r="O10" s="158"/>
      <c r="P10" s="159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60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75"/>
      <c r="BL10" s="175"/>
    </row>
    <row r="11" spans="1:64" ht="15.75" customHeight="1" x14ac:dyDescent="0.25">
      <c r="A11" s="146" t="str">
        <f>+'COSTOS DE OPERACION'!A11</f>
        <v>Analista de Sistemas Senior C</v>
      </c>
      <c r="B11" s="134">
        <f t="shared" si="6"/>
        <v>160</v>
      </c>
      <c r="C11" s="134">
        <f t="shared" ref="C11:E11" si="8">($B$11)</f>
        <v>160</v>
      </c>
      <c r="D11" s="134">
        <f t="shared" si="8"/>
        <v>160</v>
      </c>
      <c r="E11" s="134">
        <f t="shared" si="8"/>
        <v>160</v>
      </c>
      <c r="F11" s="134"/>
      <c r="G11" s="134"/>
      <c r="H11" s="134"/>
      <c r="I11" s="134"/>
      <c r="J11" s="134"/>
      <c r="K11" s="134"/>
      <c r="L11" s="134"/>
      <c r="M11" s="134"/>
      <c r="N11" s="154"/>
      <c r="O11" s="158"/>
      <c r="P11" s="159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60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75"/>
      <c r="BL11" s="175"/>
    </row>
    <row r="12" spans="1:64" ht="15.75" customHeight="1" x14ac:dyDescent="0.25">
      <c r="A12" s="146" t="str">
        <f>+'COSTOS DE OPERACION'!A12</f>
        <v>Analista de Sistemas Senior D</v>
      </c>
      <c r="B12" s="134">
        <f t="shared" si="6"/>
        <v>160</v>
      </c>
      <c r="C12" s="134">
        <f t="shared" ref="C12:E12" si="9">($B$12)</f>
        <v>160</v>
      </c>
      <c r="D12" s="134">
        <f t="shared" si="9"/>
        <v>160</v>
      </c>
      <c r="E12" s="134">
        <f t="shared" si="9"/>
        <v>160</v>
      </c>
      <c r="F12" s="134"/>
      <c r="G12" s="134"/>
      <c r="H12" s="134"/>
      <c r="I12" s="134"/>
      <c r="J12" s="134"/>
      <c r="K12" s="134"/>
      <c r="L12" s="134"/>
      <c r="M12" s="134"/>
      <c r="N12" s="154"/>
      <c r="O12" s="158"/>
      <c r="P12" s="159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60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75"/>
      <c r="BL12" s="175"/>
    </row>
    <row r="13" spans="1:64" ht="15.75" customHeight="1" x14ac:dyDescent="0.25">
      <c r="A13" s="146" t="str">
        <f>+'COSTOS DE OPERACION'!A13</f>
        <v>Analista de Sistemas Junior A</v>
      </c>
      <c r="B13" s="134">
        <f>+'Costos HH por MES'!H10</f>
        <v>128</v>
      </c>
      <c r="C13" s="134">
        <f t="shared" ref="C13:E13" si="10">($B$13)</f>
        <v>128</v>
      </c>
      <c r="D13" s="134">
        <f t="shared" si="10"/>
        <v>128</v>
      </c>
      <c r="E13" s="134">
        <f t="shared" si="10"/>
        <v>128</v>
      </c>
      <c r="F13" s="134"/>
      <c r="G13" s="134"/>
      <c r="H13" s="134"/>
      <c r="I13" s="134"/>
      <c r="J13" s="134"/>
      <c r="K13" s="134"/>
      <c r="L13" s="134"/>
      <c r="M13" s="134"/>
      <c r="N13" s="154"/>
      <c r="O13" s="158"/>
      <c r="P13" s="159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60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75"/>
      <c r="BL13" s="175"/>
    </row>
    <row r="14" spans="1:64" ht="15.75" customHeight="1" x14ac:dyDescent="0.25">
      <c r="A14" s="146" t="str">
        <f>+'COSTOS DE OPERACION'!A14</f>
        <v>Analista de Sistemas Junior B</v>
      </c>
      <c r="B14" s="134">
        <f>B13</f>
        <v>128</v>
      </c>
      <c r="C14" s="134">
        <f t="shared" ref="C14:E14" si="11">($B$14)</f>
        <v>128</v>
      </c>
      <c r="D14" s="134">
        <f t="shared" si="11"/>
        <v>128</v>
      </c>
      <c r="E14" s="134">
        <f t="shared" si="11"/>
        <v>128</v>
      </c>
      <c r="F14" s="134"/>
      <c r="G14" s="134"/>
      <c r="H14" s="134"/>
      <c r="I14" s="134"/>
      <c r="J14" s="134"/>
      <c r="K14" s="134"/>
      <c r="L14" s="134"/>
      <c r="M14" s="134"/>
      <c r="N14" s="154"/>
      <c r="O14" s="158"/>
      <c r="P14" s="159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60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75"/>
      <c r="BL14" s="175"/>
    </row>
    <row r="15" spans="1:64" ht="15.75" customHeight="1" x14ac:dyDescent="0.25">
      <c r="A15" s="146" t="str">
        <f>+'COSTOS DE OPERACION'!A15</f>
        <v>Diseñador de UX senior A</v>
      </c>
      <c r="B15" s="134">
        <f>+'Costos HH por MES'!H11</f>
        <v>160</v>
      </c>
      <c r="C15" s="134">
        <f t="shared" ref="C15:E15" si="12">($B$15)</f>
        <v>160</v>
      </c>
      <c r="D15" s="134">
        <f t="shared" si="12"/>
        <v>160</v>
      </c>
      <c r="E15" s="134">
        <f t="shared" si="12"/>
        <v>160</v>
      </c>
      <c r="F15" s="134"/>
      <c r="G15" s="134">
        <f t="shared" ref="G15:H15" si="13">($B$15)</f>
        <v>160</v>
      </c>
      <c r="H15" s="134">
        <f t="shared" si="13"/>
        <v>160</v>
      </c>
      <c r="I15" s="134"/>
      <c r="J15" s="134">
        <f t="shared" ref="J15:M15" si="14">($B$15)</f>
        <v>160</v>
      </c>
      <c r="K15" s="134">
        <f t="shared" si="14"/>
        <v>160</v>
      </c>
      <c r="L15" s="134">
        <f t="shared" si="14"/>
        <v>160</v>
      </c>
      <c r="M15" s="134">
        <f t="shared" si="14"/>
        <v>160</v>
      </c>
      <c r="N15" s="154"/>
      <c r="O15" s="158"/>
      <c r="P15" s="159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60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75"/>
      <c r="BL15" s="175"/>
    </row>
    <row r="16" spans="1:64" ht="15.75" customHeight="1" x14ac:dyDescent="0.25">
      <c r="A16" s="146" t="str">
        <f>+'COSTOS DE OPERACION'!A16</f>
        <v>Diseñador de UX senior B</v>
      </c>
      <c r="B16" s="134">
        <f>+'Costos HH por MES'!H11</f>
        <v>160</v>
      </c>
      <c r="C16" s="134">
        <f t="shared" ref="C16:E16" si="15">($B$16)</f>
        <v>160</v>
      </c>
      <c r="D16" s="134">
        <f t="shared" si="15"/>
        <v>160</v>
      </c>
      <c r="E16" s="134">
        <f t="shared" si="15"/>
        <v>160</v>
      </c>
      <c r="F16" s="134"/>
      <c r="G16" s="134">
        <f t="shared" ref="G16:H16" si="16">($B$16)</f>
        <v>160</v>
      </c>
      <c r="H16" s="134">
        <f t="shared" si="16"/>
        <v>160</v>
      </c>
      <c r="I16" s="134"/>
      <c r="J16" s="134">
        <f t="shared" ref="J16:M16" si="17">($B$16)</f>
        <v>160</v>
      </c>
      <c r="K16" s="134">
        <f t="shared" si="17"/>
        <v>160</v>
      </c>
      <c r="L16" s="134">
        <f t="shared" si="17"/>
        <v>160</v>
      </c>
      <c r="M16" s="134">
        <f t="shared" si="17"/>
        <v>160</v>
      </c>
      <c r="N16" s="154"/>
      <c r="O16" s="158"/>
      <c r="P16" s="159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61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75"/>
      <c r="BL16" s="175"/>
    </row>
    <row r="17" spans="1:64" ht="15.75" customHeight="1" x14ac:dyDescent="0.25">
      <c r="A17" s="146" t="str">
        <f>+'COSTOS DE OPERACION'!A17</f>
        <v>Diseñador de UX junior A</v>
      </c>
      <c r="B17" s="134">
        <f>+'Costos HH por MES'!H12</f>
        <v>128</v>
      </c>
      <c r="C17" s="134">
        <f t="shared" ref="C17:E17" si="18">$B$17</f>
        <v>128</v>
      </c>
      <c r="D17" s="134">
        <f t="shared" si="18"/>
        <v>128</v>
      </c>
      <c r="E17" s="134">
        <f t="shared" si="18"/>
        <v>128</v>
      </c>
      <c r="F17" s="134"/>
      <c r="G17" s="134">
        <f t="shared" ref="G17:H17" si="19">$B$17</f>
        <v>128</v>
      </c>
      <c r="H17" s="134">
        <f t="shared" si="19"/>
        <v>128</v>
      </c>
      <c r="I17" s="134"/>
      <c r="J17" s="134">
        <f t="shared" ref="J17:M17" si="20">$B$17</f>
        <v>128</v>
      </c>
      <c r="K17" s="134">
        <f t="shared" si="20"/>
        <v>128</v>
      </c>
      <c r="L17" s="134">
        <f t="shared" si="20"/>
        <v>128</v>
      </c>
      <c r="M17" s="134">
        <f t="shared" si="20"/>
        <v>128</v>
      </c>
      <c r="N17" s="154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4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75"/>
      <c r="BL17" s="175"/>
    </row>
    <row r="18" spans="1:64" ht="15.75" customHeight="1" x14ac:dyDescent="0.25">
      <c r="A18" s="146" t="str">
        <f>+'COSTOS DE OPERACION'!A18</f>
        <v>Diseñador de UX junior B</v>
      </c>
      <c r="B18" s="134">
        <f>+'Costos HH por MES'!H12</f>
        <v>128</v>
      </c>
      <c r="C18" s="134">
        <f t="shared" ref="C18:E18" si="21">$B$18</f>
        <v>128</v>
      </c>
      <c r="D18" s="134">
        <f t="shared" si="21"/>
        <v>128</v>
      </c>
      <c r="E18" s="134">
        <f t="shared" si="21"/>
        <v>128</v>
      </c>
      <c r="F18" s="134"/>
      <c r="G18" s="134">
        <f t="shared" ref="G18:H18" si="22">$B$18</f>
        <v>128</v>
      </c>
      <c r="H18" s="134">
        <f t="shared" si="22"/>
        <v>128</v>
      </c>
      <c r="I18" s="134"/>
      <c r="J18" s="134">
        <f t="shared" ref="J18:M18" si="23">$B$18</f>
        <v>128</v>
      </c>
      <c r="K18" s="134">
        <f t="shared" si="23"/>
        <v>128</v>
      </c>
      <c r="L18" s="134">
        <f t="shared" si="23"/>
        <v>128</v>
      </c>
      <c r="M18" s="134">
        <f t="shared" si="23"/>
        <v>128</v>
      </c>
      <c r="N18" s="154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55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75"/>
      <c r="BL18" s="175"/>
    </row>
    <row r="19" spans="1:64" ht="15.75" customHeight="1" x14ac:dyDescent="0.25">
      <c r="A19" s="146" t="str">
        <f>+'COSTOS DE OPERACION'!A19</f>
        <v>Arquitecto de Software Senior</v>
      </c>
      <c r="B19" s="134">
        <f>+'Costos HH por MES'!H13</f>
        <v>400</v>
      </c>
      <c r="C19" s="134">
        <f t="shared" ref="C19:E19" si="24">$B$19</f>
        <v>400</v>
      </c>
      <c r="D19" s="134">
        <f t="shared" si="24"/>
        <v>400</v>
      </c>
      <c r="E19" s="134">
        <f t="shared" si="24"/>
        <v>400</v>
      </c>
      <c r="F19" s="134"/>
      <c r="G19" s="134"/>
      <c r="H19" s="134"/>
      <c r="I19" s="134"/>
      <c r="J19" s="134"/>
      <c r="K19" s="134"/>
      <c r="L19" s="134"/>
      <c r="M19" s="134"/>
      <c r="N19" s="154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64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75"/>
      <c r="BL19" s="175"/>
    </row>
    <row r="20" spans="1:64" ht="15.75" customHeight="1" x14ac:dyDescent="0.25">
      <c r="A20" s="146" t="str">
        <f>+'COSTOS DE OPERACION'!A20</f>
        <v xml:space="preserve">Arquitecto de Software Junior </v>
      </c>
      <c r="B20" s="134">
        <f>+'Costos HH por MES'!$H$14</f>
        <v>240</v>
      </c>
      <c r="C20" s="134">
        <f t="shared" ref="C20:E20" si="25">$B$20</f>
        <v>240</v>
      </c>
      <c r="D20" s="134">
        <f t="shared" si="25"/>
        <v>240</v>
      </c>
      <c r="E20" s="134">
        <f t="shared" si="25"/>
        <v>240</v>
      </c>
      <c r="F20" s="134"/>
      <c r="G20" s="134"/>
      <c r="H20" s="134"/>
      <c r="I20" s="134"/>
      <c r="J20" s="134"/>
      <c r="K20" s="134"/>
      <c r="L20" s="134"/>
      <c r="M20" s="134"/>
      <c r="N20" s="154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0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75"/>
      <c r="BL20" s="175"/>
    </row>
    <row r="21" spans="1:64" ht="15.75" customHeight="1" x14ac:dyDescent="0.25">
      <c r="A21" s="146" t="str">
        <f>+'COSTOS DE OPERACION'!A21</f>
        <v>Desarrollador Front-end senior A</v>
      </c>
      <c r="B21" s="134">
        <f t="shared" ref="B21:B22" si="26">$B$16</f>
        <v>160</v>
      </c>
      <c r="C21" s="134"/>
      <c r="D21" s="134"/>
      <c r="E21" s="134"/>
      <c r="F21" s="134">
        <f t="shared" ref="F21:F30" si="27">(B21/20)*6</f>
        <v>48</v>
      </c>
      <c r="G21" s="134">
        <f t="shared" ref="G21:G30" si="28">B21</f>
        <v>160</v>
      </c>
      <c r="H21" s="134">
        <f t="shared" ref="H21:H30" si="29">B21</f>
        <v>160</v>
      </c>
      <c r="I21" s="134">
        <v>112</v>
      </c>
      <c r="J21" s="134"/>
      <c r="K21" s="134"/>
      <c r="L21" s="134"/>
      <c r="M21" s="134"/>
      <c r="N21" s="154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0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75"/>
      <c r="BL21" s="175"/>
    </row>
    <row r="22" spans="1:64" ht="15.75" customHeight="1" x14ac:dyDescent="0.25">
      <c r="A22" s="146" t="str">
        <f>+'COSTOS DE OPERACION'!A22</f>
        <v>Desarrollador Front-end senior B</v>
      </c>
      <c r="B22" s="134">
        <f t="shared" si="26"/>
        <v>160</v>
      </c>
      <c r="C22" s="134"/>
      <c r="D22" s="134"/>
      <c r="E22" s="134"/>
      <c r="F22" s="134">
        <f t="shared" si="27"/>
        <v>48</v>
      </c>
      <c r="G22" s="134">
        <f t="shared" si="28"/>
        <v>160</v>
      </c>
      <c r="H22" s="134">
        <f t="shared" si="29"/>
        <v>160</v>
      </c>
      <c r="I22" s="134">
        <v>112</v>
      </c>
      <c r="J22" s="134"/>
      <c r="K22" s="134"/>
      <c r="L22" s="134"/>
      <c r="M22" s="134"/>
      <c r="N22" s="154"/>
      <c r="O22" s="167"/>
      <c r="P22" s="159"/>
      <c r="Q22" s="159"/>
      <c r="R22" s="159"/>
      <c r="S22" s="159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5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75"/>
      <c r="BL22" s="175"/>
    </row>
    <row r="23" spans="1:64" ht="15.75" customHeight="1" x14ac:dyDescent="0.25">
      <c r="A23" s="146" t="str">
        <f>+'COSTOS DE OPERACION'!A23</f>
        <v>Desarrollador Front-end Junior A</v>
      </c>
      <c r="B23" s="134">
        <f>+'Costos HH por MES'!$H$16</f>
        <v>128</v>
      </c>
      <c r="C23" s="134"/>
      <c r="D23" s="134"/>
      <c r="E23" s="134"/>
      <c r="F23" s="134">
        <f t="shared" si="27"/>
        <v>38.400000000000006</v>
      </c>
      <c r="G23" s="134">
        <f t="shared" si="28"/>
        <v>128</v>
      </c>
      <c r="H23" s="134">
        <f t="shared" si="29"/>
        <v>128</v>
      </c>
      <c r="I23" s="134">
        <f t="shared" ref="I23:I29" si="30">B23</f>
        <v>128</v>
      </c>
      <c r="J23" s="134"/>
      <c r="K23" s="134"/>
      <c r="L23" s="134"/>
      <c r="M23" s="134"/>
      <c r="N23" s="154">
        <v>64</v>
      </c>
      <c r="O23" s="157">
        <f t="shared" ref="O23:BJ23" si="31">$B$23</f>
        <v>128</v>
      </c>
      <c r="P23" s="157">
        <f t="shared" si="31"/>
        <v>128</v>
      </c>
      <c r="Q23" s="157">
        <f t="shared" si="31"/>
        <v>128</v>
      </c>
      <c r="R23" s="157">
        <f t="shared" si="31"/>
        <v>128</v>
      </c>
      <c r="S23" s="157">
        <f t="shared" si="31"/>
        <v>128</v>
      </c>
      <c r="T23" s="157">
        <f t="shared" si="31"/>
        <v>128</v>
      </c>
      <c r="U23" s="157">
        <f t="shared" si="31"/>
        <v>128</v>
      </c>
      <c r="V23" s="157">
        <f t="shared" si="31"/>
        <v>128</v>
      </c>
      <c r="W23" s="157">
        <f t="shared" si="31"/>
        <v>128</v>
      </c>
      <c r="X23" s="157">
        <f t="shared" si="31"/>
        <v>128</v>
      </c>
      <c r="Y23" s="157">
        <f t="shared" si="31"/>
        <v>128</v>
      </c>
      <c r="Z23" s="157">
        <f t="shared" si="31"/>
        <v>128</v>
      </c>
      <c r="AA23" s="157">
        <f t="shared" si="31"/>
        <v>128</v>
      </c>
      <c r="AB23" s="157">
        <f t="shared" si="31"/>
        <v>128</v>
      </c>
      <c r="AC23" s="157">
        <f t="shared" si="31"/>
        <v>128</v>
      </c>
      <c r="AD23" s="157">
        <f t="shared" si="31"/>
        <v>128</v>
      </c>
      <c r="AE23" s="157">
        <f t="shared" si="31"/>
        <v>128</v>
      </c>
      <c r="AF23" s="157">
        <f t="shared" si="31"/>
        <v>128</v>
      </c>
      <c r="AG23" s="157">
        <f t="shared" si="31"/>
        <v>128</v>
      </c>
      <c r="AH23" s="157">
        <f t="shared" si="31"/>
        <v>128</v>
      </c>
      <c r="AI23" s="157">
        <f t="shared" si="31"/>
        <v>128</v>
      </c>
      <c r="AJ23" s="157">
        <f t="shared" si="31"/>
        <v>128</v>
      </c>
      <c r="AK23" s="157">
        <f t="shared" si="31"/>
        <v>128</v>
      </c>
      <c r="AL23" s="157">
        <f t="shared" si="31"/>
        <v>128</v>
      </c>
      <c r="AM23" s="157">
        <f t="shared" si="31"/>
        <v>128</v>
      </c>
      <c r="AN23" s="157">
        <f t="shared" si="31"/>
        <v>128</v>
      </c>
      <c r="AO23" s="157">
        <f t="shared" si="31"/>
        <v>128</v>
      </c>
      <c r="AP23" s="157">
        <f t="shared" si="31"/>
        <v>128</v>
      </c>
      <c r="AQ23" s="157">
        <f t="shared" si="31"/>
        <v>128</v>
      </c>
      <c r="AR23" s="157">
        <f t="shared" si="31"/>
        <v>128</v>
      </c>
      <c r="AS23" s="157">
        <f t="shared" si="31"/>
        <v>128</v>
      </c>
      <c r="AT23" s="157">
        <f t="shared" si="31"/>
        <v>128</v>
      </c>
      <c r="AU23" s="157">
        <f t="shared" si="31"/>
        <v>128</v>
      </c>
      <c r="AV23" s="157">
        <f t="shared" si="31"/>
        <v>128</v>
      </c>
      <c r="AW23" s="157">
        <f t="shared" si="31"/>
        <v>128</v>
      </c>
      <c r="AX23" s="157">
        <f t="shared" si="31"/>
        <v>128</v>
      </c>
      <c r="AY23" s="157">
        <f t="shared" si="31"/>
        <v>128</v>
      </c>
      <c r="AZ23" s="157">
        <f t="shared" si="31"/>
        <v>128</v>
      </c>
      <c r="BA23" s="157">
        <f t="shared" si="31"/>
        <v>128</v>
      </c>
      <c r="BB23" s="157">
        <f t="shared" si="31"/>
        <v>128</v>
      </c>
      <c r="BC23" s="157">
        <f t="shared" si="31"/>
        <v>128</v>
      </c>
      <c r="BD23" s="157">
        <f t="shared" si="31"/>
        <v>128</v>
      </c>
      <c r="BE23" s="157">
        <f t="shared" si="31"/>
        <v>128</v>
      </c>
      <c r="BF23" s="157">
        <f t="shared" si="31"/>
        <v>128</v>
      </c>
      <c r="BG23" s="157">
        <f t="shared" si="31"/>
        <v>128</v>
      </c>
      <c r="BH23" s="157">
        <f t="shared" si="31"/>
        <v>128</v>
      </c>
      <c r="BI23" s="157">
        <f t="shared" si="31"/>
        <v>128</v>
      </c>
      <c r="BJ23" s="157">
        <f t="shared" si="31"/>
        <v>128</v>
      </c>
      <c r="BK23" s="175"/>
      <c r="BL23" s="175"/>
    </row>
    <row r="24" spans="1:64" ht="15.75" customHeight="1" x14ac:dyDescent="0.25">
      <c r="A24" s="146" t="str">
        <f>+'COSTOS DE OPERACION'!A24</f>
        <v>Desarrollador Front-end Junior B</v>
      </c>
      <c r="B24" s="134">
        <f>+'Costos HH por MES'!$H$16</f>
        <v>128</v>
      </c>
      <c r="C24" s="134"/>
      <c r="D24" s="134"/>
      <c r="E24" s="134"/>
      <c r="F24" s="134">
        <f t="shared" si="27"/>
        <v>38.400000000000006</v>
      </c>
      <c r="G24" s="134">
        <f t="shared" si="28"/>
        <v>128</v>
      </c>
      <c r="H24" s="134">
        <f t="shared" si="29"/>
        <v>128</v>
      </c>
      <c r="I24" s="134">
        <f t="shared" si="30"/>
        <v>128</v>
      </c>
      <c r="J24" s="134"/>
      <c r="K24" s="134"/>
      <c r="L24" s="134"/>
      <c r="M24" s="134"/>
      <c r="N24" s="154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64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75"/>
      <c r="BL24" s="175"/>
    </row>
    <row r="25" spans="1:64" ht="15.75" customHeight="1" x14ac:dyDescent="0.25">
      <c r="A25" s="146" t="str">
        <f>+'COSTOS DE OPERACION'!A25</f>
        <v>Desarrollador Back-end Senior A</v>
      </c>
      <c r="B25" s="134">
        <f>+'Costos HH por MES'!$H$17</f>
        <v>160</v>
      </c>
      <c r="C25" s="134"/>
      <c r="D25" s="134"/>
      <c r="E25" s="134"/>
      <c r="F25" s="134">
        <f t="shared" si="27"/>
        <v>48</v>
      </c>
      <c r="G25" s="134">
        <f t="shared" si="28"/>
        <v>160</v>
      </c>
      <c r="H25" s="134">
        <f t="shared" si="29"/>
        <v>160</v>
      </c>
      <c r="I25" s="134">
        <f t="shared" si="30"/>
        <v>160</v>
      </c>
      <c r="J25" s="134"/>
      <c r="K25" s="134"/>
      <c r="L25" s="134"/>
      <c r="M25" s="134"/>
      <c r="N25" s="154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0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75"/>
      <c r="BL25" s="175"/>
    </row>
    <row r="26" spans="1:64" ht="15.75" customHeight="1" x14ac:dyDescent="0.25">
      <c r="A26" s="146" t="str">
        <f>+'COSTOS DE OPERACION'!A26</f>
        <v>Desarrollador Back-end Senior B</v>
      </c>
      <c r="B26" s="134">
        <f>+'Costos HH por MES'!$H$17</f>
        <v>160</v>
      </c>
      <c r="C26" s="134"/>
      <c r="D26" s="134"/>
      <c r="E26" s="134"/>
      <c r="F26" s="134">
        <f t="shared" si="27"/>
        <v>48</v>
      </c>
      <c r="G26" s="134">
        <f t="shared" si="28"/>
        <v>160</v>
      </c>
      <c r="H26" s="134">
        <f t="shared" si="29"/>
        <v>160</v>
      </c>
      <c r="I26" s="134">
        <f t="shared" si="30"/>
        <v>160</v>
      </c>
      <c r="J26" s="134"/>
      <c r="K26" s="134"/>
      <c r="L26" s="134"/>
      <c r="M26" s="134"/>
      <c r="N26" s="154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0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75"/>
      <c r="BL26" s="175"/>
    </row>
    <row r="27" spans="1:64" ht="15.75" customHeight="1" x14ac:dyDescent="0.25">
      <c r="A27" s="146" t="str">
        <f>+'COSTOS DE OPERACION'!A27</f>
        <v>Desarrollador Back-end junior A</v>
      </c>
      <c r="B27" s="134">
        <f>+'Costos HH por MES'!$H$18</f>
        <v>128</v>
      </c>
      <c r="C27" s="134"/>
      <c r="D27" s="134"/>
      <c r="E27" s="134"/>
      <c r="F27" s="134">
        <f t="shared" si="27"/>
        <v>38.400000000000006</v>
      </c>
      <c r="G27" s="134">
        <f t="shared" si="28"/>
        <v>128</v>
      </c>
      <c r="H27" s="134">
        <f t="shared" si="29"/>
        <v>128</v>
      </c>
      <c r="I27" s="134">
        <f t="shared" si="30"/>
        <v>128</v>
      </c>
      <c r="J27" s="134"/>
      <c r="K27" s="134"/>
      <c r="L27" s="134"/>
      <c r="M27" s="134"/>
      <c r="N27" s="154">
        <v>64</v>
      </c>
      <c r="O27" s="157">
        <f t="shared" ref="O27:BJ27" si="32">$B$27</f>
        <v>128</v>
      </c>
      <c r="P27" s="157">
        <f t="shared" si="32"/>
        <v>128</v>
      </c>
      <c r="Q27" s="157">
        <f t="shared" si="32"/>
        <v>128</v>
      </c>
      <c r="R27" s="157">
        <f t="shared" si="32"/>
        <v>128</v>
      </c>
      <c r="S27" s="157">
        <f t="shared" si="32"/>
        <v>128</v>
      </c>
      <c r="T27" s="157">
        <f t="shared" si="32"/>
        <v>128</v>
      </c>
      <c r="U27" s="157">
        <f t="shared" si="32"/>
        <v>128</v>
      </c>
      <c r="V27" s="157">
        <f t="shared" si="32"/>
        <v>128</v>
      </c>
      <c r="W27" s="157">
        <f t="shared" si="32"/>
        <v>128</v>
      </c>
      <c r="X27" s="157">
        <f t="shared" si="32"/>
        <v>128</v>
      </c>
      <c r="Y27" s="157">
        <f t="shared" si="32"/>
        <v>128</v>
      </c>
      <c r="Z27" s="157">
        <f t="shared" si="32"/>
        <v>128</v>
      </c>
      <c r="AA27" s="157">
        <f t="shared" si="32"/>
        <v>128</v>
      </c>
      <c r="AB27" s="157">
        <f t="shared" si="32"/>
        <v>128</v>
      </c>
      <c r="AC27" s="157">
        <f t="shared" si="32"/>
        <v>128</v>
      </c>
      <c r="AD27" s="157">
        <f t="shared" si="32"/>
        <v>128</v>
      </c>
      <c r="AE27" s="157">
        <f t="shared" si="32"/>
        <v>128</v>
      </c>
      <c r="AF27" s="157">
        <f t="shared" si="32"/>
        <v>128</v>
      </c>
      <c r="AG27" s="157">
        <f t="shared" si="32"/>
        <v>128</v>
      </c>
      <c r="AH27" s="157">
        <f t="shared" si="32"/>
        <v>128</v>
      </c>
      <c r="AI27" s="157">
        <f t="shared" si="32"/>
        <v>128</v>
      </c>
      <c r="AJ27" s="157">
        <f t="shared" si="32"/>
        <v>128</v>
      </c>
      <c r="AK27" s="157">
        <f t="shared" si="32"/>
        <v>128</v>
      </c>
      <c r="AL27" s="157">
        <f t="shared" si="32"/>
        <v>128</v>
      </c>
      <c r="AM27" s="157">
        <f t="shared" si="32"/>
        <v>128</v>
      </c>
      <c r="AN27" s="157">
        <f t="shared" si="32"/>
        <v>128</v>
      </c>
      <c r="AO27" s="157">
        <f t="shared" si="32"/>
        <v>128</v>
      </c>
      <c r="AP27" s="157">
        <f t="shared" si="32"/>
        <v>128</v>
      </c>
      <c r="AQ27" s="157">
        <f t="shared" si="32"/>
        <v>128</v>
      </c>
      <c r="AR27" s="157">
        <f t="shared" si="32"/>
        <v>128</v>
      </c>
      <c r="AS27" s="157">
        <f t="shared" si="32"/>
        <v>128</v>
      </c>
      <c r="AT27" s="157">
        <f t="shared" si="32"/>
        <v>128</v>
      </c>
      <c r="AU27" s="157">
        <f t="shared" si="32"/>
        <v>128</v>
      </c>
      <c r="AV27" s="157">
        <f t="shared" si="32"/>
        <v>128</v>
      </c>
      <c r="AW27" s="157">
        <f t="shared" si="32"/>
        <v>128</v>
      </c>
      <c r="AX27" s="157">
        <f t="shared" si="32"/>
        <v>128</v>
      </c>
      <c r="AY27" s="157">
        <f t="shared" si="32"/>
        <v>128</v>
      </c>
      <c r="AZ27" s="157">
        <f t="shared" si="32"/>
        <v>128</v>
      </c>
      <c r="BA27" s="157">
        <f t="shared" si="32"/>
        <v>128</v>
      </c>
      <c r="BB27" s="157">
        <f t="shared" si="32"/>
        <v>128</v>
      </c>
      <c r="BC27" s="157">
        <f t="shared" si="32"/>
        <v>128</v>
      </c>
      <c r="BD27" s="157">
        <f t="shared" si="32"/>
        <v>128</v>
      </c>
      <c r="BE27" s="157">
        <f t="shared" si="32"/>
        <v>128</v>
      </c>
      <c r="BF27" s="157">
        <f t="shared" si="32"/>
        <v>128</v>
      </c>
      <c r="BG27" s="157">
        <f t="shared" si="32"/>
        <v>128</v>
      </c>
      <c r="BH27" s="157">
        <f t="shared" si="32"/>
        <v>128</v>
      </c>
      <c r="BI27" s="157">
        <f t="shared" si="32"/>
        <v>128</v>
      </c>
      <c r="BJ27" s="157">
        <f t="shared" si="32"/>
        <v>128</v>
      </c>
      <c r="BK27" s="175"/>
      <c r="BL27" s="175"/>
    </row>
    <row r="28" spans="1:64" ht="15.75" customHeight="1" x14ac:dyDescent="0.25">
      <c r="A28" s="146" t="str">
        <f>+'COSTOS DE OPERACION'!A28</f>
        <v>Desarrollador Back-end junior B</v>
      </c>
      <c r="B28" s="134">
        <f>B27</f>
        <v>128</v>
      </c>
      <c r="C28" s="134"/>
      <c r="D28" s="134"/>
      <c r="E28" s="134"/>
      <c r="F28" s="134">
        <f t="shared" si="27"/>
        <v>38.400000000000006</v>
      </c>
      <c r="G28" s="134">
        <f t="shared" si="28"/>
        <v>128</v>
      </c>
      <c r="H28" s="134">
        <f t="shared" si="29"/>
        <v>128</v>
      </c>
      <c r="I28" s="134">
        <f t="shared" si="30"/>
        <v>128</v>
      </c>
      <c r="J28" s="134"/>
      <c r="K28" s="134"/>
      <c r="L28" s="134"/>
      <c r="M28" s="134"/>
      <c r="N28" s="154"/>
      <c r="O28" s="167"/>
      <c r="P28" s="159"/>
      <c r="Q28" s="167"/>
      <c r="R28" s="167"/>
      <c r="S28" s="167"/>
      <c r="T28" s="167"/>
      <c r="U28" s="167"/>
      <c r="V28" s="159"/>
      <c r="W28" s="167"/>
      <c r="X28" s="159"/>
      <c r="Y28" s="167"/>
      <c r="Z28" s="167"/>
      <c r="AA28" s="167"/>
      <c r="AB28" s="167"/>
      <c r="AC28" s="167"/>
      <c r="AD28" s="159"/>
      <c r="AE28" s="167"/>
      <c r="AF28" s="159"/>
      <c r="AG28" s="167"/>
      <c r="AH28" s="167"/>
      <c r="AI28" s="167"/>
      <c r="AJ28" s="167"/>
      <c r="AK28" s="167"/>
      <c r="AL28" s="160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75"/>
      <c r="BL28" s="175"/>
    </row>
    <row r="29" spans="1:64" ht="15.75" customHeight="1" x14ac:dyDescent="0.25">
      <c r="A29" s="146" t="str">
        <f>+'COSTOS DE OPERACION'!A29</f>
        <v>Desarrollador de software Senior</v>
      </c>
      <c r="B29" s="134">
        <f>'Costos HH por MES'!H19</f>
        <v>160</v>
      </c>
      <c r="C29" s="134"/>
      <c r="D29" s="134"/>
      <c r="E29" s="134"/>
      <c r="F29" s="134">
        <f t="shared" si="27"/>
        <v>48</v>
      </c>
      <c r="G29" s="134">
        <f t="shared" si="28"/>
        <v>160</v>
      </c>
      <c r="H29" s="134">
        <f t="shared" si="29"/>
        <v>160</v>
      </c>
      <c r="I29" s="134">
        <f t="shared" si="30"/>
        <v>160</v>
      </c>
      <c r="J29" s="134"/>
      <c r="K29" s="134"/>
      <c r="L29" s="134"/>
      <c r="M29" s="134"/>
      <c r="N29" s="154"/>
      <c r="O29" s="167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60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75"/>
      <c r="BL29" s="175"/>
    </row>
    <row r="30" spans="1:64" ht="15.75" customHeight="1" x14ac:dyDescent="0.25">
      <c r="A30" s="146" t="str">
        <f>+'COSTOS DE OPERACION'!A30</f>
        <v>Desarrollador de software junior</v>
      </c>
      <c r="B30" s="134">
        <f>'Costos HH por MES'!H20</f>
        <v>128</v>
      </c>
      <c r="C30" s="134"/>
      <c r="D30" s="134"/>
      <c r="E30" s="134"/>
      <c r="F30" s="134">
        <f t="shared" si="27"/>
        <v>38.400000000000006</v>
      </c>
      <c r="G30" s="134">
        <f t="shared" si="28"/>
        <v>128</v>
      </c>
      <c r="H30" s="134">
        <f t="shared" si="29"/>
        <v>128</v>
      </c>
      <c r="I30" s="134">
        <f>$B$30</f>
        <v>128</v>
      </c>
      <c r="J30" s="134"/>
      <c r="K30" s="134"/>
      <c r="L30" s="134"/>
      <c r="M30" s="134">
        <f>E30</f>
        <v>0</v>
      </c>
      <c r="N30" s="154">
        <v>128</v>
      </c>
      <c r="O30" s="157">
        <f t="shared" ref="O30:BJ30" si="33">$B$30</f>
        <v>128</v>
      </c>
      <c r="P30" s="157">
        <f t="shared" si="33"/>
        <v>128</v>
      </c>
      <c r="Q30" s="157">
        <f t="shared" si="33"/>
        <v>128</v>
      </c>
      <c r="R30" s="157">
        <f t="shared" si="33"/>
        <v>128</v>
      </c>
      <c r="S30" s="157">
        <f t="shared" si="33"/>
        <v>128</v>
      </c>
      <c r="T30" s="157">
        <f t="shared" si="33"/>
        <v>128</v>
      </c>
      <c r="U30" s="157">
        <f t="shared" si="33"/>
        <v>128</v>
      </c>
      <c r="V30" s="157">
        <f t="shared" si="33"/>
        <v>128</v>
      </c>
      <c r="W30" s="157">
        <f t="shared" si="33"/>
        <v>128</v>
      </c>
      <c r="X30" s="157">
        <f t="shared" si="33"/>
        <v>128</v>
      </c>
      <c r="Y30" s="157">
        <f t="shared" si="33"/>
        <v>128</v>
      </c>
      <c r="Z30" s="157">
        <f t="shared" si="33"/>
        <v>128</v>
      </c>
      <c r="AA30" s="157">
        <f t="shared" si="33"/>
        <v>128</v>
      </c>
      <c r="AB30" s="157">
        <f t="shared" si="33"/>
        <v>128</v>
      </c>
      <c r="AC30" s="157">
        <f t="shared" si="33"/>
        <v>128</v>
      </c>
      <c r="AD30" s="157">
        <f t="shared" si="33"/>
        <v>128</v>
      </c>
      <c r="AE30" s="157">
        <f t="shared" si="33"/>
        <v>128</v>
      </c>
      <c r="AF30" s="157">
        <f t="shared" si="33"/>
        <v>128</v>
      </c>
      <c r="AG30" s="157">
        <f t="shared" si="33"/>
        <v>128</v>
      </c>
      <c r="AH30" s="157">
        <f t="shared" si="33"/>
        <v>128</v>
      </c>
      <c r="AI30" s="157">
        <f t="shared" si="33"/>
        <v>128</v>
      </c>
      <c r="AJ30" s="157">
        <f t="shared" si="33"/>
        <v>128</v>
      </c>
      <c r="AK30" s="157">
        <f t="shared" si="33"/>
        <v>128</v>
      </c>
      <c r="AL30" s="157">
        <f t="shared" si="33"/>
        <v>128</v>
      </c>
      <c r="AM30" s="157">
        <f t="shared" si="33"/>
        <v>128</v>
      </c>
      <c r="AN30" s="157">
        <f t="shared" si="33"/>
        <v>128</v>
      </c>
      <c r="AO30" s="157">
        <f t="shared" si="33"/>
        <v>128</v>
      </c>
      <c r="AP30" s="157">
        <f t="shared" si="33"/>
        <v>128</v>
      </c>
      <c r="AQ30" s="157">
        <f t="shared" si="33"/>
        <v>128</v>
      </c>
      <c r="AR30" s="157">
        <f t="shared" si="33"/>
        <v>128</v>
      </c>
      <c r="AS30" s="157">
        <f t="shared" si="33"/>
        <v>128</v>
      </c>
      <c r="AT30" s="157">
        <f t="shared" si="33"/>
        <v>128</v>
      </c>
      <c r="AU30" s="157">
        <f t="shared" si="33"/>
        <v>128</v>
      </c>
      <c r="AV30" s="157">
        <f t="shared" si="33"/>
        <v>128</v>
      </c>
      <c r="AW30" s="157">
        <f t="shared" si="33"/>
        <v>128</v>
      </c>
      <c r="AX30" s="157">
        <f t="shared" si="33"/>
        <v>128</v>
      </c>
      <c r="AY30" s="157">
        <f t="shared" si="33"/>
        <v>128</v>
      </c>
      <c r="AZ30" s="157">
        <f t="shared" si="33"/>
        <v>128</v>
      </c>
      <c r="BA30" s="157">
        <f t="shared" si="33"/>
        <v>128</v>
      </c>
      <c r="BB30" s="157">
        <f t="shared" si="33"/>
        <v>128</v>
      </c>
      <c r="BC30" s="157">
        <f t="shared" si="33"/>
        <v>128</v>
      </c>
      <c r="BD30" s="157">
        <f t="shared" si="33"/>
        <v>128</v>
      </c>
      <c r="BE30" s="157">
        <f t="shared" si="33"/>
        <v>128</v>
      </c>
      <c r="BF30" s="157">
        <f t="shared" si="33"/>
        <v>128</v>
      </c>
      <c r="BG30" s="157">
        <f t="shared" si="33"/>
        <v>128</v>
      </c>
      <c r="BH30" s="157">
        <f t="shared" si="33"/>
        <v>128</v>
      </c>
      <c r="BI30" s="157">
        <f t="shared" si="33"/>
        <v>128</v>
      </c>
      <c r="BJ30" s="157">
        <f t="shared" si="33"/>
        <v>128</v>
      </c>
      <c r="BK30" s="175"/>
      <c r="BL30" s="175"/>
    </row>
    <row r="31" spans="1:64" ht="15.75" customHeight="1" x14ac:dyDescent="0.25">
      <c r="A31" s="146" t="str">
        <f>+'COSTOS DE OPERACION'!A31</f>
        <v>Diseñador de base de datos senior</v>
      </c>
      <c r="B31" s="134">
        <f>'Costos HH por MES'!H21</f>
        <v>160</v>
      </c>
      <c r="C31" s="134">
        <f t="shared" ref="C31:E31" si="34">$B$31</f>
        <v>160</v>
      </c>
      <c r="D31" s="134">
        <f t="shared" si="34"/>
        <v>160</v>
      </c>
      <c r="E31" s="134">
        <f t="shared" si="34"/>
        <v>160</v>
      </c>
      <c r="F31" s="134"/>
      <c r="G31" s="134"/>
      <c r="H31" s="134"/>
      <c r="I31" s="134"/>
      <c r="J31" s="134"/>
      <c r="K31" s="134"/>
      <c r="L31" s="134"/>
      <c r="M31" s="134"/>
      <c r="N31" s="154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64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75"/>
      <c r="BL31" s="175"/>
    </row>
    <row r="32" spans="1:64" ht="15.75" customHeight="1" x14ac:dyDescent="0.25">
      <c r="A32" s="146" t="str">
        <f>+'COSTOS DE OPERACION'!A32</f>
        <v>Diseñador de base de datos Junior</v>
      </c>
      <c r="B32" s="134">
        <f>'Costos HH por MES'!H22</f>
        <v>128</v>
      </c>
      <c r="C32" s="134">
        <f t="shared" ref="C32:E32" si="35">$B$32</f>
        <v>128</v>
      </c>
      <c r="D32" s="134">
        <f t="shared" si="35"/>
        <v>128</v>
      </c>
      <c r="E32" s="134">
        <f t="shared" si="35"/>
        <v>128</v>
      </c>
      <c r="F32" s="134"/>
      <c r="G32" s="134"/>
      <c r="H32" s="134"/>
      <c r="I32" s="134"/>
      <c r="J32" s="134"/>
      <c r="K32" s="134"/>
      <c r="L32" s="134"/>
      <c r="M32" s="134"/>
      <c r="N32" s="154"/>
      <c r="O32" s="158"/>
      <c r="P32" s="159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5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75"/>
      <c r="BL32" s="175"/>
    </row>
    <row r="33" spans="1:64" ht="15.75" customHeight="1" x14ac:dyDescent="0.25">
      <c r="A33" s="146" t="str">
        <f>+'COSTOS DE OPERACION'!A33</f>
        <v>Ingeniero DevOps senior</v>
      </c>
      <c r="B33" s="134">
        <f>'Costos HH por MES'!H23</f>
        <v>240</v>
      </c>
      <c r="C33" s="134"/>
      <c r="D33" s="134"/>
      <c r="E33" s="134"/>
      <c r="F33" s="134">
        <f>($B$33/20)*6</f>
        <v>72</v>
      </c>
      <c r="G33" s="134">
        <f t="shared" ref="G33:I33" si="36">$B$33</f>
        <v>240</v>
      </c>
      <c r="H33" s="134">
        <f t="shared" si="36"/>
        <v>240</v>
      </c>
      <c r="I33" s="134">
        <f t="shared" si="36"/>
        <v>240</v>
      </c>
      <c r="J33" s="134"/>
      <c r="K33" s="134"/>
      <c r="L33" s="134"/>
      <c r="M33" s="134"/>
      <c r="N33" s="134">
        <f>$B$33</f>
        <v>240</v>
      </c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64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75"/>
      <c r="BL33" s="175"/>
    </row>
    <row r="34" spans="1:64" ht="15.75" customHeight="1" x14ac:dyDescent="0.25">
      <c r="A34" s="146" t="str">
        <f>+'COSTOS DE OPERACION'!A34</f>
        <v>Ingeniero de sistemas senior</v>
      </c>
      <c r="B34" s="134">
        <f>'Costos HH por MES'!H24</f>
        <v>240</v>
      </c>
      <c r="C34" s="134"/>
      <c r="D34" s="134"/>
      <c r="E34" s="134">
        <f t="shared" ref="E34:I34" si="37">$B$34</f>
        <v>240</v>
      </c>
      <c r="F34" s="134">
        <f t="shared" si="37"/>
        <v>240</v>
      </c>
      <c r="G34" s="134">
        <f t="shared" si="37"/>
        <v>240</v>
      </c>
      <c r="H34" s="134">
        <f t="shared" si="37"/>
        <v>240</v>
      </c>
      <c r="I34" s="134">
        <f t="shared" si="37"/>
        <v>240</v>
      </c>
      <c r="J34" s="134"/>
      <c r="K34" s="134"/>
      <c r="L34" s="134"/>
      <c r="M34" s="134"/>
      <c r="N34" s="134">
        <f>$B$34</f>
        <v>240</v>
      </c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3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8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75"/>
      <c r="BL34" s="175"/>
    </row>
    <row r="35" spans="1:64" ht="15.75" customHeight="1" x14ac:dyDescent="0.25">
      <c r="A35" s="96" t="str">
        <f>+'COSTOS DE OPERACION'!A35</f>
        <v>Ingeniero de sistemas junior</v>
      </c>
      <c r="B35" s="134">
        <f>'Costos HH por MES'!H25</f>
        <v>160</v>
      </c>
      <c r="C35" s="134"/>
      <c r="D35" s="134"/>
      <c r="E35" s="134">
        <f t="shared" ref="E35:I35" si="38">$B$35</f>
        <v>160</v>
      </c>
      <c r="F35" s="134">
        <f t="shared" si="38"/>
        <v>160</v>
      </c>
      <c r="G35" s="134">
        <f t="shared" si="38"/>
        <v>160</v>
      </c>
      <c r="H35" s="134">
        <f t="shared" si="38"/>
        <v>160</v>
      </c>
      <c r="I35" s="134">
        <f t="shared" si="38"/>
        <v>160</v>
      </c>
      <c r="J35" s="134"/>
      <c r="K35" s="134"/>
      <c r="L35" s="134"/>
      <c r="M35" s="134"/>
      <c r="N35" s="134">
        <f>$B$35</f>
        <v>160</v>
      </c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75"/>
      <c r="BL35" s="175"/>
    </row>
    <row r="36" spans="1:64" ht="15.75" customHeight="1" x14ac:dyDescent="0.25">
      <c r="A36" s="96" t="str">
        <f>+'COSTOS DE OPERACION'!A36</f>
        <v>QA senior</v>
      </c>
      <c r="B36" s="134">
        <f>'Costos HH por MES'!H26</f>
        <v>160</v>
      </c>
      <c r="C36" s="134"/>
      <c r="D36" s="134"/>
      <c r="E36" s="134"/>
      <c r="F36" s="134">
        <f t="shared" ref="F36:F37" si="39">(B36/20)*6</f>
        <v>48</v>
      </c>
      <c r="G36" s="134">
        <f t="shared" ref="G36:G37" si="40">B36</f>
        <v>160</v>
      </c>
      <c r="H36" s="134">
        <f t="shared" ref="H36:H37" si="41">B36</f>
        <v>160</v>
      </c>
      <c r="I36" s="134">
        <f t="shared" ref="I36:I37" si="42">B36</f>
        <v>160</v>
      </c>
      <c r="J36" s="134"/>
      <c r="K36" s="134"/>
      <c r="L36" s="134"/>
      <c r="M36" s="134"/>
      <c r="N36" s="134">
        <f t="shared" ref="N36:N37" si="43">G36</f>
        <v>160</v>
      </c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75"/>
      <c r="BL36" s="175"/>
    </row>
    <row r="37" spans="1:64" ht="15.75" customHeight="1" x14ac:dyDescent="0.25">
      <c r="A37" s="96" t="str">
        <f>+'COSTOS DE OPERACION'!A37</f>
        <v>QA junior</v>
      </c>
      <c r="B37" s="134">
        <f>'Costos HH por MES'!H27</f>
        <v>128</v>
      </c>
      <c r="C37" s="134"/>
      <c r="D37" s="134"/>
      <c r="E37" s="134"/>
      <c r="F37" s="134">
        <f t="shared" si="39"/>
        <v>38.400000000000006</v>
      </c>
      <c r="G37" s="134">
        <f t="shared" si="40"/>
        <v>128</v>
      </c>
      <c r="H37" s="134">
        <f t="shared" si="41"/>
        <v>128</v>
      </c>
      <c r="I37" s="134">
        <f t="shared" si="42"/>
        <v>128</v>
      </c>
      <c r="J37" s="134"/>
      <c r="K37" s="134"/>
      <c r="L37" s="134"/>
      <c r="M37" s="134"/>
      <c r="N37" s="134">
        <f t="shared" si="43"/>
        <v>128</v>
      </c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2"/>
      <c r="BJ37" s="162"/>
      <c r="BK37" s="175"/>
      <c r="BL37" s="175"/>
    </row>
    <row r="38" spans="1:64" ht="15.75" customHeight="1" x14ac:dyDescent="0.25">
      <c r="A38" s="96" t="str">
        <f>+'COSTOS DE OPERACION'!A38</f>
        <v>Ingeniero soporte senior</v>
      </c>
      <c r="B38" s="134">
        <f>'Costos HH por MES'!H28</f>
        <v>240</v>
      </c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62">
        <f t="shared" ref="O38:O39" si="44">B38</f>
        <v>240</v>
      </c>
      <c r="P38" s="162">
        <f t="shared" ref="P38:BJ38" si="45">$B$38</f>
        <v>240</v>
      </c>
      <c r="Q38" s="162">
        <f t="shared" si="45"/>
        <v>240</v>
      </c>
      <c r="R38" s="162">
        <f t="shared" si="45"/>
        <v>240</v>
      </c>
      <c r="S38" s="162">
        <f t="shared" si="45"/>
        <v>240</v>
      </c>
      <c r="T38" s="162">
        <f t="shared" si="45"/>
        <v>240</v>
      </c>
      <c r="U38" s="162">
        <f t="shared" si="45"/>
        <v>240</v>
      </c>
      <c r="V38" s="162">
        <f t="shared" si="45"/>
        <v>240</v>
      </c>
      <c r="W38" s="162">
        <f t="shared" si="45"/>
        <v>240</v>
      </c>
      <c r="X38" s="162">
        <f t="shared" si="45"/>
        <v>240</v>
      </c>
      <c r="Y38" s="162">
        <f t="shared" si="45"/>
        <v>240</v>
      </c>
      <c r="Z38" s="162">
        <f t="shared" si="45"/>
        <v>240</v>
      </c>
      <c r="AA38" s="162">
        <f t="shared" si="45"/>
        <v>240</v>
      </c>
      <c r="AB38" s="162">
        <f t="shared" si="45"/>
        <v>240</v>
      </c>
      <c r="AC38" s="162">
        <f t="shared" si="45"/>
        <v>240</v>
      </c>
      <c r="AD38" s="162">
        <f t="shared" si="45"/>
        <v>240</v>
      </c>
      <c r="AE38" s="162">
        <f t="shared" si="45"/>
        <v>240</v>
      </c>
      <c r="AF38" s="162">
        <f t="shared" si="45"/>
        <v>240</v>
      </c>
      <c r="AG38" s="162">
        <f t="shared" si="45"/>
        <v>240</v>
      </c>
      <c r="AH38" s="162">
        <f t="shared" si="45"/>
        <v>240</v>
      </c>
      <c r="AI38" s="162">
        <f t="shared" si="45"/>
        <v>240</v>
      </c>
      <c r="AJ38" s="162">
        <f t="shared" si="45"/>
        <v>240</v>
      </c>
      <c r="AK38" s="162">
        <f t="shared" si="45"/>
        <v>240</v>
      </c>
      <c r="AL38" s="162">
        <f t="shared" si="45"/>
        <v>240</v>
      </c>
      <c r="AM38" s="162">
        <f t="shared" si="45"/>
        <v>240</v>
      </c>
      <c r="AN38" s="162">
        <f t="shared" si="45"/>
        <v>240</v>
      </c>
      <c r="AO38" s="162">
        <f t="shared" si="45"/>
        <v>240</v>
      </c>
      <c r="AP38" s="162">
        <f t="shared" si="45"/>
        <v>240</v>
      </c>
      <c r="AQ38" s="162">
        <f t="shared" si="45"/>
        <v>240</v>
      </c>
      <c r="AR38" s="162">
        <f t="shared" si="45"/>
        <v>240</v>
      </c>
      <c r="AS38" s="162">
        <f t="shared" si="45"/>
        <v>240</v>
      </c>
      <c r="AT38" s="162">
        <f t="shared" si="45"/>
        <v>240</v>
      </c>
      <c r="AU38" s="162">
        <f t="shared" si="45"/>
        <v>240</v>
      </c>
      <c r="AV38" s="162">
        <f t="shared" si="45"/>
        <v>240</v>
      </c>
      <c r="AW38" s="162">
        <f t="shared" si="45"/>
        <v>240</v>
      </c>
      <c r="AX38" s="162">
        <f t="shared" si="45"/>
        <v>240</v>
      </c>
      <c r="AY38" s="162">
        <f t="shared" si="45"/>
        <v>240</v>
      </c>
      <c r="AZ38" s="162">
        <f t="shared" si="45"/>
        <v>240</v>
      </c>
      <c r="BA38" s="162">
        <f t="shared" si="45"/>
        <v>240</v>
      </c>
      <c r="BB38" s="162">
        <f t="shared" si="45"/>
        <v>240</v>
      </c>
      <c r="BC38" s="162">
        <f t="shared" si="45"/>
        <v>240</v>
      </c>
      <c r="BD38" s="162">
        <f t="shared" si="45"/>
        <v>240</v>
      </c>
      <c r="BE38" s="162">
        <f t="shared" si="45"/>
        <v>240</v>
      </c>
      <c r="BF38" s="162">
        <f t="shared" si="45"/>
        <v>240</v>
      </c>
      <c r="BG38" s="162">
        <f t="shared" si="45"/>
        <v>240</v>
      </c>
      <c r="BH38" s="162">
        <f t="shared" si="45"/>
        <v>240</v>
      </c>
      <c r="BI38" s="162">
        <f t="shared" si="45"/>
        <v>240</v>
      </c>
      <c r="BJ38" s="162">
        <f t="shared" si="45"/>
        <v>240</v>
      </c>
      <c r="BK38" s="175"/>
      <c r="BL38" s="175"/>
    </row>
    <row r="39" spans="1:64" ht="15.75" customHeight="1" x14ac:dyDescent="0.25">
      <c r="A39" s="96" t="str">
        <f>+'COSTOS DE OPERACION'!A39</f>
        <v>Ingeniero soporte junior</v>
      </c>
      <c r="B39" s="134">
        <f>'Costos HH por MES'!H29</f>
        <v>160</v>
      </c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62">
        <f t="shared" si="44"/>
        <v>160</v>
      </c>
      <c r="P39" s="162">
        <f t="shared" ref="P39:BJ39" si="46">$B$39</f>
        <v>160</v>
      </c>
      <c r="Q39" s="162">
        <f t="shared" si="46"/>
        <v>160</v>
      </c>
      <c r="R39" s="162">
        <f t="shared" si="46"/>
        <v>160</v>
      </c>
      <c r="S39" s="162">
        <f t="shared" si="46"/>
        <v>160</v>
      </c>
      <c r="T39" s="162">
        <f t="shared" si="46"/>
        <v>160</v>
      </c>
      <c r="U39" s="162">
        <f t="shared" si="46"/>
        <v>160</v>
      </c>
      <c r="V39" s="162">
        <f t="shared" si="46"/>
        <v>160</v>
      </c>
      <c r="W39" s="162">
        <f t="shared" si="46"/>
        <v>160</v>
      </c>
      <c r="X39" s="162">
        <f t="shared" si="46"/>
        <v>160</v>
      </c>
      <c r="Y39" s="162">
        <f t="shared" si="46"/>
        <v>160</v>
      </c>
      <c r="Z39" s="162">
        <f t="shared" si="46"/>
        <v>160</v>
      </c>
      <c r="AA39" s="162">
        <f t="shared" si="46"/>
        <v>160</v>
      </c>
      <c r="AB39" s="162">
        <f t="shared" si="46"/>
        <v>160</v>
      </c>
      <c r="AC39" s="162">
        <f t="shared" si="46"/>
        <v>160</v>
      </c>
      <c r="AD39" s="162">
        <f t="shared" si="46"/>
        <v>160</v>
      </c>
      <c r="AE39" s="162">
        <f t="shared" si="46"/>
        <v>160</v>
      </c>
      <c r="AF39" s="162">
        <f t="shared" si="46"/>
        <v>160</v>
      </c>
      <c r="AG39" s="162">
        <f t="shared" si="46"/>
        <v>160</v>
      </c>
      <c r="AH39" s="162">
        <f t="shared" si="46"/>
        <v>160</v>
      </c>
      <c r="AI39" s="162">
        <f t="shared" si="46"/>
        <v>160</v>
      </c>
      <c r="AJ39" s="162">
        <f t="shared" si="46"/>
        <v>160</v>
      </c>
      <c r="AK39" s="162">
        <f t="shared" si="46"/>
        <v>160</v>
      </c>
      <c r="AL39" s="162">
        <f t="shared" si="46"/>
        <v>160</v>
      </c>
      <c r="AM39" s="162">
        <f t="shared" si="46"/>
        <v>160</v>
      </c>
      <c r="AN39" s="162">
        <f t="shared" si="46"/>
        <v>160</v>
      </c>
      <c r="AO39" s="162">
        <f t="shared" si="46"/>
        <v>160</v>
      </c>
      <c r="AP39" s="162">
        <f t="shared" si="46"/>
        <v>160</v>
      </c>
      <c r="AQ39" s="162">
        <f t="shared" si="46"/>
        <v>160</v>
      </c>
      <c r="AR39" s="162">
        <f t="shared" si="46"/>
        <v>160</v>
      </c>
      <c r="AS39" s="162">
        <f t="shared" si="46"/>
        <v>160</v>
      </c>
      <c r="AT39" s="162">
        <f t="shared" si="46"/>
        <v>160</v>
      </c>
      <c r="AU39" s="162">
        <f t="shared" si="46"/>
        <v>160</v>
      </c>
      <c r="AV39" s="162">
        <f t="shared" si="46"/>
        <v>160</v>
      </c>
      <c r="AW39" s="162">
        <f t="shared" si="46"/>
        <v>160</v>
      </c>
      <c r="AX39" s="162">
        <f t="shared" si="46"/>
        <v>160</v>
      </c>
      <c r="AY39" s="162">
        <f t="shared" si="46"/>
        <v>160</v>
      </c>
      <c r="AZ39" s="162">
        <f t="shared" si="46"/>
        <v>160</v>
      </c>
      <c r="BA39" s="162">
        <f t="shared" si="46"/>
        <v>160</v>
      </c>
      <c r="BB39" s="162">
        <f t="shared" si="46"/>
        <v>160</v>
      </c>
      <c r="BC39" s="162">
        <f t="shared" si="46"/>
        <v>160</v>
      </c>
      <c r="BD39" s="162">
        <f t="shared" si="46"/>
        <v>160</v>
      </c>
      <c r="BE39" s="162">
        <f t="shared" si="46"/>
        <v>160</v>
      </c>
      <c r="BF39" s="162">
        <f t="shared" si="46"/>
        <v>160</v>
      </c>
      <c r="BG39" s="162">
        <f t="shared" si="46"/>
        <v>160</v>
      </c>
      <c r="BH39" s="162">
        <f t="shared" si="46"/>
        <v>160</v>
      </c>
      <c r="BI39" s="162">
        <f t="shared" si="46"/>
        <v>160</v>
      </c>
      <c r="BJ39" s="162">
        <f t="shared" si="46"/>
        <v>160</v>
      </c>
      <c r="BK39" s="175"/>
      <c r="BL39" s="175"/>
    </row>
    <row r="40" spans="1:64" ht="15.75" customHeight="1" x14ac:dyDescent="0.25">
      <c r="A40" s="96" t="str">
        <f>+'COSTOS DE OPERACION'!A40</f>
        <v>Especialista atencion al cliente</v>
      </c>
      <c r="B40" s="134">
        <f>'Costos HH por MES'!H30</f>
        <v>128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62">
        <f t="shared" ref="O40:BJ40" si="47">$B$40</f>
        <v>128</v>
      </c>
      <c r="P40" s="162">
        <f t="shared" si="47"/>
        <v>128</v>
      </c>
      <c r="Q40" s="162">
        <f t="shared" si="47"/>
        <v>128</v>
      </c>
      <c r="R40" s="162">
        <f t="shared" si="47"/>
        <v>128</v>
      </c>
      <c r="S40" s="162">
        <f t="shared" si="47"/>
        <v>128</v>
      </c>
      <c r="T40" s="162">
        <f t="shared" si="47"/>
        <v>128</v>
      </c>
      <c r="U40" s="162">
        <f t="shared" si="47"/>
        <v>128</v>
      </c>
      <c r="V40" s="162">
        <f t="shared" si="47"/>
        <v>128</v>
      </c>
      <c r="W40" s="162">
        <f t="shared" si="47"/>
        <v>128</v>
      </c>
      <c r="X40" s="162">
        <f t="shared" si="47"/>
        <v>128</v>
      </c>
      <c r="Y40" s="162">
        <f t="shared" si="47"/>
        <v>128</v>
      </c>
      <c r="Z40" s="162">
        <f t="shared" si="47"/>
        <v>128</v>
      </c>
      <c r="AA40" s="162">
        <f t="shared" si="47"/>
        <v>128</v>
      </c>
      <c r="AB40" s="162">
        <f t="shared" si="47"/>
        <v>128</v>
      </c>
      <c r="AC40" s="162">
        <f t="shared" si="47"/>
        <v>128</v>
      </c>
      <c r="AD40" s="162">
        <f t="shared" si="47"/>
        <v>128</v>
      </c>
      <c r="AE40" s="162">
        <f t="shared" si="47"/>
        <v>128</v>
      </c>
      <c r="AF40" s="162">
        <f t="shared" si="47"/>
        <v>128</v>
      </c>
      <c r="AG40" s="162">
        <f t="shared" si="47"/>
        <v>128</v>
      </c>
      <c r="AH40" s="162">
        <f t="shared" si="47"/>
        <v>128</v>
      </c>
      <c r="AI40" s="162">
        <f t="shared" si="47"/>
        <v>128</v>
      </c>
      <c r="AJ40" s="162">
        <f t="shared" si="47"/>
        <v>128</v>
      </c>
      <c r="AK40" s="162">
        <f t="shared" si="47"/>
        <v>128</v>
      </c>
      <c r="AL40" s="162">
        <f t="shared" si="47"/>
        <v>128</v>
      </c>
      <c r="AM40" s="162">
        <f t="shared" si="47"/>
        <v>128</v>
      </c>
      <c r="AN40" s="162">
        <f t="shared" si="47"/>
        <v>128</v>
      </c>
      <c r="AO40" s="162">
        <f t="shared" si="47"/>
        <v>128</v>
      </c>
      <c r="AP40" s="162">
        <f t="shared" si="47"/>
        <v>128</v>
      </c>
      <c r="AQ40" s="162">
        <f t="shared" si="47"/>
        <v>128</v>
      </c>
      <c r="AR40" s="162">
        <f t="shared" si="47"/>
        <v>128</v>
      </c>
      <c r="AS40" s="162">
        <f t="shared" si="47"/>
        <v>128</v>
      </c>
      <c r="AT40" s="162">
        <f t="shared" si="47"/>
        <v>128</v>
      </c>
      <c r="AU40" s="162">
        <f t="shared" si="47"/>
        <v>128</v>
      </c>
      <c r="AV40" s="162">
        <f t="shared" si="47"/>
        <v>128</v>
      </c>
      <c r="AW40" s="162">
        <f t="shared" si="47"/>
        <v>128</v>
      </c>
      <c r="AX40" s="162">
        <f t="shared" si="47"/>
        <v>128</v>
      </c>
      <c r="AY40" s="162">
        <f t="shared" si="47"/>
        <v>128</v>
      </c>
      <c r="AZ40" s="162">
        <f t="shared" si="47"/>
        <v>128</v>
      </c>
      <c r="BA40" s="162">
        <f t="shared" si="47"/>
        <v>128</v>
      </c>
      <c r="BB40" s="162">
        <f t="shared" si="47"/>
        <v>128</v>
      </c>
      <c r="BC40" s="162">
        <f t="shared" si="47"/>
        <v>128</v>
      </c>
      <c r="BD40" s="162">
        <f t="shared" si="47"/>
        <v>128</v>
      </c>
      <c r="BE40" s="162">
        <f t="shared" si="47"/>
        <v>128</v>
      </c>
      <c r="BF40" s="162">
        <f t="shared" si="47"/>
        <v>128</v>
      </c>
      <c r="BG40" s="162">
        <f t="shared" si="47"/>
        <v>128</v>
      </c>
      <c r="BH40" s="162">
        <f t="shared" si="47"/>
        <v>128</v>
      </c>
      <c r="BI40" s="162">
        <f t="shared" si="47"/>
        <v>128</v>
      </c>
      <c r="BJ40" s="162">
        <f t="shared" si="47"/>
        <v>128</v>
      </c>
      <c r="BK40" s="175"/>
      <c r="BL40" s="175"/>
    </row>
    <row r="41" spans="1:64" ht="15.75" customHeight="1" x14ac:dyDescent="0.25">
      <c r="A41" s="96" t="str">
        <f>+'COSTOS DE OPERACION'!A41</f>
        <v>Arquitecto de Redes Senior A</v>
      </c>
      <c r="B41" s="134">
        <f>'Costos HH por MES'!H31</f>
        <v>192</v>
      </c>
      <c r="C41" s="134">
        <f t="shared" ref="C41:J41" si="48">$B$41</f>
        <v>192</v>
      </c>
      <c r="D41" s="134">
        <f t="shared" si="48"/>
        <v>192</v>
      </c>
      <c r="E41" s="134">
        <f t="shared" si="48"/>
        <v>192</v>
      </c>
      <c r="F41" s="134">
        <f t="shared" si="48"/>
        <v>192</v>
      </c>
      <c r="G41" s="134">
        <f t="shared" si="48"/>
        <v>192</v>
      </c>
      <c r="H41" s="134">
        <f t="shared" si="48"/>
        <v>192</v>
      </c>
      <c r="I41" s="134">
        <f t="shared" si="48"/>
        <v>192</v>
      </c>
      <c r="J41" s="134">
        <f t="shared" si="48"/>
        <v>192</v>
      </c>
      <c r="K41" s="134"/>
      <c r="L41" s="134"/>
      <c r="M41" s="134"/>
      <c r="N41" s="134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  <c r="BK41" s="175"/>
      <c r="BL41" s="175"/>
    </row>
    <row r="42" spans="1:64" ht="15.75" customHeight="1" x14ac:dyDescent="0.25">
      <c r="A42" s="96" t="str">
        <f>+'COSTOS DE OPERACION'!A42</f>
        <v>Arquitecto de Redes Senior B</v>
      </c>
      <c r="B42" s="134">
        <f>'Costos HH por MES'!H31</f>
        <v>192</v>
      </c>
      <c r="C42" s="134">
        <f t="shared" ref="C42:J42" si="49">$B$41</f>
        <v>192</v>
      </c>
      <c r="D42" s="134">
        <f t="shared" si="49"/>
        <v>192</v>
      </c>
      <c r="E42" s="134">
        <f t="shared" si="49"/>
        <v>192</v>
      </c>
      <c r="F42" s="134">
        <f t="shared" si="49"/>
        <v>192</v>
      </c>
      <c r="G42" s="134">
        <f t="shared" si="49"/>
        <v>192</v>
      </c>
      <c r="H42" s="134">
        <f t="shared" si="49"/>
        <v>192</v>
      </c>
      <c r="I42" s="134">
        <f t="shared" si="49"/>
        <v>192</v>
      </c>
      <c r="J42" s="134">
        <f t="shared" si="49"/>
        <v>192</v>
      </c>
      <c r="K42" s="134"/>
      <c r="L42" s="134"/>
      <c r="M42" s="134"/>
      <c r="N42" s="134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  <c r="BK42" s="175"/>
      <c r="BL42" s="175"/>
    </row>
    <row r="43" spans="1:64" ht="15.75" customHeight="1" x14ac:dyDescent="0.25">
      <c r="A43" s="96" t="str">
        <f>+'COSTOS DE OPERACION'!A43</f>
        <v>Técnico de Hardware Senior A</v>
      </c>
      <c r="B43" s="134">
        <f>'Costos HH por MES'!H32</f>
        <v>160</v>
      </c>
      <c r="C43" s="134"/>
      <c r="D43" s="134"/>
      <c r="E43" s="134"/>
      <c r="F43" s="134"/>
      <c r="G43" s="134"/>
      <c r="H43" s="134"/>
      <c r="I43" s="134"/>
      <c r="J43" s="134">
        <f t="shared" ref="J43:M43" si="50">$B$47</f>
        <v>320</v>
      </c>
      <c r="K43" s="134">
        <f t="shared" si="50"/>
        <v>320</v>
      </c>
      <c r="L43" s="134">
        <f t="shared" si="50"/>
        <v>320</v>
      </c>
      <c r="M43" s="134">
        <f t="shared" si="50"/>
        <v>320</v>
      </c>
      <c r="N43" s="134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2"/>
      <c r="BG43" s="162"/>
      <c r="BH43" s="162"/>
      <c r="BI43" s="162"/>
      <c r="BJ43" s="162"/>
      <c r="BK43" s="175"/>
      <c r="BL43" s="175"/>
    </row>
    <row r="44" spans="1:64" ht="15.75" customHeight="1" x14ac:dyDescent="0.25">
      <c r="A44" s="96" t="str">
        <f>+'COSTOS DE OPERACION'!A44</f>
        <v>Técnico de Hardware Senior B</v>
      </c>
      <c r="B44" s="134">
        <f>'Costos HH por MES'!H32</f>
        <v>160</v>
      </c>
      <c r="C44" s="134"/>
      <c r="D44" s="134"/>
      <c r="E44" s="134"/>
      <c r="F44" s="134"/>
      <c r="G44" s="134"/>
      <c r="H44" s="134"/>
      <c r="I44" s="134"/>
      <c r="J44" s="134">
        <f t="shared" ref="J44:M44" si="51">$B$47</f>
        <v>320</v>
      </c>
      <c r="K44" s="134">
        <f t="shared" si="51"/>
        <v>320</v>
      </c>
      <c r="L44" s="134">
        <f t="shared" si="51"/>
        <v>320</v>
      </c>
      <c r="M44" s="134">
        <f t="shared" si="51"/>
        <v>320</v>
      </c>
      <c r="N44" s="134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  <c r="BK44" s="175"/>
      <c r="BL44" s="175"/>
    </row>
    <row r="45" spans="1:64" ht="15.75" customHeight="1" x14ac:dyDescent="0.25">
      <c r="A45" s="96" t="str">
        <f>+'COSTOS DE OPERACION'!A45</f>
        <v>Técnico de Hardware Junior</v>
      </c>
      <c r="B45" s="134">
        <f>'Costos HH por MES'!H33</f>
        <v>288</v>
      </c>
      <c r="C45" s="134"/>
      <c r="D45" s="134"/>
      <c r="E45" s="134"/>
      <c r="F45" s="134"/>
      <c r="G45" s="134"/>
      <c r="H45" s="134"/>
      <c r="I45" s="134"/>
      <c r="J45" s="134">
        <f t="shared" ref="J45:M45" si="52">$B$47</f>
        <v>320</v>
      </c>
      <c r="K45" s="134">
        <f t="shared" si="52"/>
        <v>320</v>
      </c>
      <c r="L45" s="134">
        <f t="shared" si="52"/>
        <v>320</v>
      </c>
      <c r="M45" s="134">
        <f t="shared" si="52"/>
        <v>320</v>
      </c>
      <c r="N45" s="134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K45" s="175"/>
      <c r="BL45" s="175"/>
    </row>
    <row r="46" spans="1:64" ht="15.75" customHeight="1" x14ac:dyDescent="0.25">
      <c r="A46" s="96" t="str">
        <f>+'COSTOS DE OPERACION'!A46</f>
        <v>Ingeniero de Redes Senior</v>
      </c>
      <c r="B46" s="134">
        <f>'Costos HH por MES'!H34</f>
        <v>320</v>
      </c>
      <c r="C46" s="134"/>
      <c r="D46" s="134"/>
      <c r="E46" s="134"/>
      <c r="F46" s="134"/>
      <c r="G46" s="134"/>
      <c r="H46" s="134"/>
      <c r="I46" s="134"/>
      <c r="J46" s="134">
        <f t="shared" ref="J46:M46" si="53">$B$47</f>
        <v>320</v>
      </c>
      <c r="K46" s="134">
        <f t="shared" si="53"/>
        <v>320</v>
      </c>
      <c r="L46" s="134">
        <f t="shared" si="53"/>
        <v>320</v>
      </c>
      <c r="M46" s="134">
        <f t="shared" si="53"/>
        <v>320</v>
      </c>
      <c r="N46" s="134">
        <v>320</v>
      </c>
      <c r="O46" s="162">
        <f t="shared" ref="O46:O47" si="54">$B$46</f>
        <v>320</v>
      </c>
      <c r="P46" s="162"/>
      <c r="Q46" s="162"/>
      <c r="R46" s="162">
        <f t="shared" ref="R46:R47" si="55">$B$46</f>
        <v>320</v>
      </c>
      <c r="S46" s="162"/>
      <c r="T46" s="162"/>
      <c r="U46" s="162">
        <f t="shared" ref="U46:U47" si="56">$B$46</f>
        <v>320</v>
      </c>
      <c r="V46" s="162"/>
      <c r="W46" s="162"/>
      <c r="X46" s="162">
        <f t="shared" ref="X46:X47" si="57">$B$46</f>
        <v>320</v>
      </c>
      <c r="Y46" s="162"/>
      <c r="Z46" s="162"/>
      <c r="AA46" s="162">
        <f t="shared" ref="AA46:AA47" si="58">$B$46</f>
        <v>320</v>
      </c>
      <c r="AB46" s="162"/>
      <c r="AC46" s="162"/>
      <c r="AD46" s="162">
        <f t="shared" ref="AD46:AD47" si="59">$B$46</f>
        <v>320</v>
      </c>
      <c r="AE46" s="162"/>
      <c r="AF46" s="162"/>
      <c r="AG46" s="163">
        <f t="shared" ref="AG46:AG47" si="60">$B$46</f>
        <v>320</v>
      </c>
      <c r="AH46" s="170"/>
      <c r="AI46" s="170"/>
      <c r="AJ46" s="171">
        <f t="shared" ref="AJ46:AJ47" si="61">$B$46</f>
        <v>320</v>
      </c>
      <c r="AK46" s="170"/>
      <c r="AL46" s="170"/>
      <c r="AM46" s="171">
        <f t="shared" ref="AM46:AM47" si="62">$B$46</f>
        <v>320</v>
      </c>
      <c r="AN46" s="170"/>
      <c r="AO46" s="170"/>
      <c r="AP46" s="171">
        <f t="shared" ref="AP46:AP47" si="63">$B$46</f>
        <v>320</v>
      </c>
      <c r="AQ46" s="162"/>
      <c r="AR46" s="162"/>
      <c r="AS46" s="163">
        <f t="shared" ref="AS46:AS47" si="64">$B$46</f>
        <v>320</v>
      </c>
      <c r="AT46" s="170"/>
      <c r="AU46" s="170"/>
      <c r="AV46" s="171">
        <f t="shared" ref="AV46:AV47" si="65">$B$46</f>
        <v>320</v>
      </c>
      <c r="AW46" s="170"/>
      <c r="AX46" s="170"/>
      <c r="AY46" s="171">
        <f t="shared" ref="AY46:AY47" si="66">$B$46</f>
        <v>320</v>
      </c>
      <c r="AZ46" s="170"/>
      <c r="BA46" s="170"/>
      <c r="BB46" s="171">
        <f t="shared" ref="BB46:BB47" si="67">$B$46</f>
        <v>320</v>
      </c>
      <c r="BC46" s="162"/>
      <c r="BD46" s="162"/>
      <c r="BE46" s="163">
        <f t="shared" ref="BE46:BE47" si="68">$B$46</f>
        <v>320</v>
      </c>
      <c r="BF46" s="170"/>
      <c r="BG46" s="170"/>
      <c r="BH46" s="171">
        <f t="shared" ref="BH46:BH47" si="69">$B$46</f>
        <v>320</v>
      </c>
      <c r="BI46" s="170"/>
      <c r="BJ46" s="170"/>
      <c r="BK46" s="175"/>
      <c r="BL46" s="175"/>
    </row>
    <row r="47" spans="1:64" ht="15.75" customHeight="1" x14ac:dyDescent="0.25">
      <c r="A47" s="96" t="str">
        <f>+'COSTOS DE OPERACION'!A47</f>
        <v>Ingeniero de Seguridad de TI Senior</v>
      </c>
      <c r="B47" s="134">
        <f>'Costos HH por MES'!H35</f>
        <v>320</v>
      </c>
      <c r="C47" s="134"/>
      <c r="D47" s="134"/>
      <c r="E47" s="134"/>
      <c r="F47" s="134"/>
      <c r="G47" s="134"/>
      <c r="H47" s="134"/>
      <c r="I47" s="134"/>
      <c r="J47" s="134">
        <f t="shared" ref="J47:M47" si="70">$B$47</f>
        <v>320</v>
      </c>
      <c r="K47" s="134">
        <f t="shared" si="70"/>
        <v>320</v>
      </c>
      <c r="L47" s="134">
        <f t="shared" si="70"/>
        <v>320</v>
      </c>
      <c r="M47" s="134">
        <f t="shared" si="70"/>
        <v>320</v>
      </c>
      <c r="N47" s="134">
        <v>320</v>
      </c>
      <c r="O47" s="162">
        <f t="shared" si="54"/>
        <v>320</v>
      </c>
      <c r="P47" s="162"/>
      <c r="Q47" s="162"/>
      <c r="R47" s="162">
        <f t="shared" si="55"/>
        <v>320</v>
      </c>
      <c r="S47" s="162"/>
      <c r="T47" s="162"/>
      <c r="U47" s="162">
        <f t="shared" si="56"/>
        <v>320</v>
      </c>
      <c r="V47" s="162"/>
      <c r="W47" s="162"/>
      <c r="X47" s="162">
        <f t="shared" si="57"/>
        <v>320</v>
      </c>
      <c r="Y47" s="162"/>
      <c r="Z47" s="162"/>
      <c r="AA47" s="162">
        <f t="shared" si="58"/>
        <v>320</v>
      </c>
      <c r="AB47" s="162"/>
      <c r="AC47" s="162"/>
      <c r="AD47" s="162">
        <f t="shared" si="59"/>
        <v>320</v>
      </c>
      <c r="AE47" s="162"/>
      <c r="AF47" s="162"/>
      <c r="AG47" s="161">
        <f t="shared" si="60"/>
        <v>320</v>
      </c>
      <c r="AH47" s="165"/>
      <c r="AI47" s="165"/>
      <c r="AJ47" s="162">
        <f t="shared" si="61"/>
        <v>320</v>
      </c>
      <c r="AK47" s="165"/>
      <c r="AL47" s="165"/>
      <c r="AM47" s="162">
        <f t="shared" si="62"/>
        <v>320</v>
      </c>
      <c r="AN47" s="165"/>
      <c r="AO47" s="165"/>
      <c r="AP47" s="162">
        <f t="shared" si="63"/>
        <v>320</v>
      </c>
      <c r="AQ47" s="162"/>
      <c r="AR47" s="162"/>
      <c r="AS47" s="161">
        <f t="shared" si="64"/>
        <v>320</v>
      </c>
      <c r="AT47" s="165"/>
      <c r="AU47" s="165"/>
      <c r="AV47" s="162">
        <f t="shared" si="65"/>
        <v>320</v>
      </c>
      <c r="AW47" s="165"/>
      <c r="AX47" s="165"/>
      <c r="AY47" s="162">
        <f t="shared" si="66"/>
        <v>320</v>
      </c>
      <c r="AZ47" s="165"/>
      <c r="BA47" s="165"/>
      <c r="BB47" s="162">
        <f t="shared" si="67"/>
        <v>320</v>
      </c>
      <c r="BC47" s="162"/>
      <c r="BD47" s="162"/>
      <c r="BE47" s="161">
        <f t="shared" si="68"/>
        <v>320</v>
      </c>
      <c r="BF47" s="165"/>
      <c r="BG47" s="165"/>
      <c r="BH47" s="162">
        <f t="shared" si="69"/>
        <v>320</v>
      </c>
      <c r="BI47" s="165"/>
      <c r="BJ47" s="165"/>
      <c r="BK47" s="175"/>
      <c r="BL47" s="175"/>
    </row>
    <row r="48" spans="1:64" ht="15.75" customHeight="1" x14ac:dyDescent="0.25">
      <c r="A48" s="96" t="str">
        <f>+'COSTOS DE OPERACION'!A48</f>
        <v>Administrador de Sistema Senior</v>
      </c>
      <c r="B48" s="134">
        <f>'Costos HH por MES'!H36</f>
        <v>160</v>
      </c>
      <c r="C48" s="134"/>
      <c r="D48" s="134"/>
      <c r="E48" s="134"/>
      <c r="F48" s="134"/>
      <c r="G48" s="134"/>
      <c r="H48" s="134"/>
      <c r="I48" s="134"/>
      <c r="J48" s="134">
        <f t="shared" ref="J48:L48" si="71">$B$48</f>
        <v>160</v>
      </c>
      <c r="K48" s="134">
        <f t="shared" si="71"/>
        <v>160</v>
      </c>
      <c r="L48" s="134">
        <f t="shared" si="71"/>
        <v>160</v>
      </c>
      <c r="M48" s="134"/>
      <c r="N48" s="134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162"/>
      <c r="BH48" s="162"/>
      <c r="BI48" s="162"/>
      <c r="BJ48" s="162"/>
      <c r="BK48" s="175"/>
      <c r="BL48" s="175"/>
    </row>
    <row r="49" spans="1:64" ht="15.75" customHeight="1" x14ac:dyDescent="0.25">
      <c r="A49" s="3" t="s">
        <v>85</v>
      </c>
      <c r="B49" s="202">
        <f t="shared" ref="B49:BJ49" si="72">SUM(B3:B48)</f>
        <v>8672</v>
      </c>
      <c r="C49" s="202">
        <f t="shared" si="72"/>
        <v>4368</v>
      </c>
      <c r="D49" s="202">
        <f t="shared" si="72"/>
        <v>4368</v>
      </c>
      <c r="E49" s="202">
        <f t="shared" si="72"/>
        <v>4064</v>
      </c>
      <c r="F49" s="202">
        <f t="shared" si="72"/>
        <v>2254.4000000000005</v>
      </c>
      <c r="G49" s="202">
        <f t="shared" si="72"/>
        <v>4208</v>
      </c>
      <c r="H49" s="202">
        <f t="shared" si="72"/>
        <v>4208</v>
      </c>
      <c r="I49" s="202">
        <f t="shared" si="72"/>
        <v>3536</v>
      </c>
      <c r="J49" s="202">
        <f t="shared" si="72"/>
        <v>3600</v>
      </c>
      <c r="K49" s="202">
        <f t="shared" si="72"/>
        <v>3216</v>
      </c>
      <c r="L49" s="202">
        <f t="shared" si="72"/>
        <v>3216</v>
      </c>
      <c r="M49" s="202">
        <f t="shared" si="72"/>
        <v>3056</v>
      </c>
      <c r="N49" s="202">
        <f t="shared" si="72"/>
        <v>2704</v>
      </c>
      <c r="O49" s="203">
        <f t="shared" si="72"/>
        <v>1824</v>
      </c>
      <c r="P49" s="203">
        <f t="shared" si="72"/>
        <v>1184</v>
      </c>
      <c r="Q49" s="203">
        <f t="shared" si="72"/>
        <v>1184</v>
      </c>
      <c r="R49" s="203">
        <f t="shared" si="72"/>
        <v>1704</v>
      </c>
      <c r="S49" s="203">
        <f t="shared" si="72"/>
        <v>944</v>
      </c>
      <c r="T49" s="203">
        <f t="shared" si="72"/>
        <v>944</v>
      </c>
      <c r="U49" s="203">
        <f t="shared" si="72"/>
        <v>1584</v>
      </c>
      <c r="V49" s="203">
        <f t="shared" si="72"/>
        <v>944</v>
      </c>
      <c r="W49" s="203">
        <f t="shared" si="72"/>
        <v>944</v>
      </c>
      <c r="X49" s="203">
        <f t="shared" si="72"/>
        <v>1584</v>
      </c>
      <c r="Y49" s="203">
        <f t="shared" si="72"/>
        <v>944</v>
      </c>
      <c r="Z49" s="203">
        <f t="shared" si="72"/>
        <v>944</v>
      </c>
      <c r="AA49" s="203">
        <f t="shared" si="72"/>
        <v>1584</v>
      </c>
      <c r="AB49" s="203">
        <f t="shared" si="72"/>
        <v>944</v>
      </c>
      <c r="AC49" s="203">
        <f t="shared" si="72"/>
        <v>944</v>
      </c>
      <c r="AD49" s="203">
        <f t="shared" si="72"/>
        <v>1584</v>
      </c>
      <c r="AE49" s="203">
        <f t="shared" si="72"/>
        <v>944</v>
      </c>
      <c r="AF49" s="203">
        <f t="shared" si="72"/>
        <v>944</v>
      </c>
      <c r="AG49" s="203">
        <f t="shared" si="72"/>
        <v>1584</v>
      </c>
      <c r="AH49" s="203">
        <f t="shared" si="72"/>
        <v>944</v>
      </c>
      <c r="AI49" s="203">
        <f t="shared" si="72"/>
        <v>944</v>
      </c>
      <c r="AJ49" s="203">
        <f t="shared" si="72"/>
        <v>1584</v>
      </c>
      <c r="AK49" s="203">
        <f t="shared" si="72"/>
        <v>944</v>
      </c>
      <c r="AL49" s="203">
        <f t="shared" si="72"/>
        <v>944</v>
      </c>
      <c r="AM49" s="203">
        <f t="shared" si="72"/>
        <v>1584</v>
      </c>
      <c r="AN49" s="203">
        <f t="shared" si="72"/>
        <v>944</v>
      </c>
      <c r="AO49" s="203">
        <f t="shared" si="72"/>
        <v>944</v>
      </c>
      <c r="AP49" s="203">
        <f t="shared" si="72"/>
        <v>1584</v>
      </c>
      <c r="AQ49" s="203">
        <f t="shared" si="72"/>
        <v>944</v>
      </c>
      <c r="AR49" s="203">
        <f t="shared" si="72"/>
        <v>944</v>
      </c>
      <c r="AS49" s="203">
        <f t="shared" si="72"/>
        <v>1584</v>
      </c>
      <c r="AT49" s="203">
        <f t="shared" si="72"/>
        <v>944</v>
      </c>
      <c r="AU49" s="203">
        <f t="shared" si="72"/>
        <v>944</v>
      </c>
      <c r="AV49" s="203">
        <f t="shared" si="72"/>
        <v>1584</v>
      </c>
      <c r="AW49" s="203">
        <f t="shared" si="72"/>
        <v>944</v>
      </c>
      <c r="AX49" s="203">
        <f t="shared" si="72"/>
        <v>944</v>
      </c>
      <c r="AY49" s="203">
        <f t="shared" si="72"/>
        <v>1584</v>
      </c>
      <c r="AZ49" s="203">
        <f t="shared" si="72"/>
        <v>944</v>
      </c>
      <c r="BA49" s="203">
        <f t="shared" si="72"/>
        <v>944</v>
      </c>
      <c r="BB49" s="203">
        <f t="shared" si="72"/>
        <v>1584</v>
      </c>
      <c r="BC49" s="203">
        <f t="shared" si="72"/>
        <v>944</v>
      </c>
      <c r="BD49" s="203">
        <f t="shared" si="72"/>
        <v>944</v>
      </c>
      <c r="BE49" s="203">
        <f t="shared" si="72"/>
        <v>1584</v>
      </c>
      <c r="BF49" s="203">
        <f t="shared" si="72"/>
        <v>944</v>
      </c>
      <c r="BG49" s="203">
        <f t="shared" si="72"/>
        <v>944</v>
      </c>
      <c r="BH49" s="203">
        <f t="shared" si="72"/>
        <v>1584</v>
      </c>
      <c r="BI49" s="203">
        <f t="shared" si="72"/>
        <v>944</v>
      </c>
      <c r="BJ49" s="203">
        <f t="shared" si="72"/>
        <v>944</v>
      </c>
      <c r="BK49" s="175"/>
      <c r="BL49" s="175"/>
    </row>
    <row r="50" spans="1:64" ht="15.75" customHeight="1" x14ac:dyDescent="0.25">
      <c r="M50" s="3" t="s">
        <v>85</v>
      </c>
      <c r="N50" s="202">
        <f>SUM(B49:N49)</f>
        <v>51470.400000000001</v>
      </c>
      <c r="O50" s="175"/>
      <c r="P50" s="181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I50" s="204" t="s">
        <v>85</v>
      </c>
      <c r="BJ50" s="203">
        <f>SUM(O49:BJ49)</f>
        <v>56392</v>
      </c>
      <c r="BK50" s="175"/>
      <c r="BL50" s="175"/>
    </row>
    <row r="51" spans="1:64" ht="15.75" customHeight="1" x14ac:dyDescent="0.25">
      <c r="O51" s="175"/>
      <c r="P51" s="181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</row>
    <row r="52" spans="1:64" ht="15.75" customHeight="1" x14ac:dyDescent="0.25">
      <c r="O52" s="175"/>
      <c r="P52" s="181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</row>
    <row r="53" spans="1:64" ht="15.75" customHeight="1" x14ac:dyDescent="0.25">
      <c r="A53" s="406" t="s">
        <v>494</v>
      </c>
      <c r="B53" s="407"/>
      <c r="C53" s="407"/>
      <c r="D53" s="407"/>
      <c r="E53" s="407"/>
      <c r="F53" s="407"/>
      <c r="G53" s="407"/>
      <c r="H53" s="407"/>
      <c r="I53" s="407"/>
      <c r="J53" s="407"/>
      <c r="K53" s="407"/>
      <c r="L53" s="407"/>
      <c r="M53" s="407"/>
      <c r="N53" s="403"/>
      <c r="O53" s="175"/>
      <c r="P53" s="181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</row>
    <row r="54" spans="1:64" ht="15.75" customHeight="1" x14ac:dyDescent="0.25">
      <c r="A54" s="146"/>
      <c r="B54" s="147" t="s">
        <v>495</v>
      </c>
      <c r="C54" s="147" t="s">
        <v>403</v>
      </c>
      <c r="D54" s="147" t="s">
        <v>404</v>
      </c>
      <c r="E54" s="147" t="s">
        <v>405</v>
      </c>
      <c r="F54" s="147" t="s">
        <v>406</v>
      </c>
      <c r="G54" s="147" t="s">
        <v>407</v>
      </c>
      <c r="H54" s="147" t="s">
        <v>408</v>
      </c>
      <c r="I54" s="147" t="s">
        <v>409</v>
      </c>
      <c r="J54" s="147" t="s">
        <v>410</v>
      </c>
      <c r="K54" s="147" t="s">
        <v>411</v>
      </c>
      <c r="L54" s="147" t="s">
        <v>412</v>
      </c>
      <c r="M54" s="147" t="s">
        <v>413</v>
      </c>
      <c r="N54" s="182" t="s">
        <v>414</v>
      </c>
      <c r="O54" s="175"/>
      <c r="P54" s="181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</row>
    <row r="55" spans="1:64" ht="15.75" customHeight="1" x14ac:dyDescent="0.25">
      <c r="A55" s="183" t="s">
        <v>496</v>
      </c>
      <c r="B55" s="184" t="s">
        <v>474</v>
      </c>
      <c r="C55" s="186"/>
      <c r="D55" s="186"/>
      <c r="E55" s="186"/>
      <c r="F55" s="186"/>
      <c r="G55" s="186"/>
      <c r="H55" s="186">
        <f t="shared" ref="H55:J55" si="73">($B$15/20)*30</f>
        <v>240</v>
      </c>
      <c r="I55" s="186">
        <f t="shared" si="73"/>
        <v>240</v>
      </c>
      <c r="J55" s="186">
        <f t="shared" si="73"/>
        <v>240</v>
      </c>
      <c r="K55" s="186"/>
      <c r="L55" s="186"/>
      <c r="M55" s="186"/>
      <c r="N55" s="186"/>
      <c r="O55" s="175"/>
      <c r="P55" s="181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</row>
    <row r="56" spans="1:64" ht="15.75" customHeight="1" x14ac:dyDescent="0.25">
      <c r="A56" s="183" t="s">
        <v>497</v>
      </c>
      <c r="B56" s="184" t="s">
        <v>376</v>
      </c>
      <c r="C56" s="186"/>
      <c r="D56" s="186"/>
      <c r="E56" s="186"/>
      <c r="F56" s="186"/>
      <c r="G56" s="186"/>
      <c r="H56" s="186">
        <f t="shared" ref="H56:J56" si="74">($B$34/20)*30</f>
        <v>360</v>
      </c>
      <c r="I56" s="186">
        <f t="shared" si="74"/>
        <v>360</v>
      </c>
      <c r="J56" s="186">
        <f t="shared" si="74"/>
        <v>360</v>
      </c>
      <c r="K56" s="186"/>
      <c r="L56" s="186"/>
      <c r="M56" s="186"/>
      <c r="N56" s="186"/>
      <c r="O56" s="175"/>
      <c r="P56" s="181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</row>
    <row r="57" spans="1:64" ht="15.75" customHeight="1" x14ac:dyDescent="0.25">
      <c r="A57" s="183" t="s">
        <v>498</v>
      </c>
      <c r="B57" s="188" t="s">
        <v>380</v>
      </c>
      <c r="C57" s="186"/>
      <c r="D57" s="186"/>
      <c r="E57" s="186"/>
      <c r="F57" s="186"/>
      <c r="G57" s="186"/>
      <c r="H57" s="186">
        <f t="shared" ref="H57:J57" si="75">($B$38/20)*30</f>
        <v>360</v>
      </c>
      <c r="I57" s="186">
        <f t="shared" si="75"/>
        <v>360</v>
      </c>
      <c r="J57" s="186">
        <f t="shared" si="75"/>
        <v>360</v>
      </c>
      <c r="K57" s="186"/>
      <c r="L57" s="205"/>
      <c r="M57" s="186"/>
      <c r="N57" s="186"/>
      <c r="O57" s="175"/>
      <c r="P57" s="181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</row>
    <row r="58" spans="1:64" ht="15.75" customHeight="1" x14ac:dyDescent="0.25">
      <c r="A58" s="183" t="s">
        <v>505</v>
      </c>
      <c r="B58" s="188" t="s">
        <v>381</v>
      </c>
      <c r="C58" s="186"/>
      <c r="D58" s="186"/>
      <c r="E58" s="186"/>
      <c r="F58" s="186"/>
      <c r="G58" s="186"/>
      <c r="H58" s="186">
        <f t="shared" ref="H58:J58" si="76">($B$39/20)*30</f>
        <v>240</v>
      </c>
      <c r="I58" s="186">
        <f t="shared" si="76"/>
        <v>240</v>
      </c>
      <c r="J58" s="186">
        <f t="shared" si="76"/>
        <v>240</v>
      </c>
      <c r="K58" s="186"/>
      <c r="L58" s="186"/>
      <c r="M58" s="186"/>
      <c r="N58" s="186"/>
      <c r="O58" s="178"/>
      <c r="P58" s="179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</row>
    <row r="59" spans="1:64" ht="15.75" customHeight="1" x14ac:dyDescent="0.25">
      <c r="A59" s="189" t="s">
        <v>500</v>
      </c>
      <c r="B59" s="206"/>
      <c r="C59" s="191">
        <f t="shared" ref="C59:N59" si="77">SUM(C55:C58)</f>
        <v>0</v>
      </c>
      <c r="D59" s="191">
        <f t="shared" si="77"/>
        <v>0</v>
      </c>
      <c r="E59" s="191">
        <f t="shared" si="77"/>
        <v>0</v>
      </c>
      <c r="F59" s="191">
        <f t="shared" si="77"/>
        <v>0</v>
      </c>
      <c r="G59" s="191">
        <f t="shared" si="77"/>
        <v>0</v>
      </c>
      <c r="H59" s="191">
        <f t="shared" si="77"/>
        <v>1200</v>
      </c>
      <c r="I59" s="191">
        <f t="shared" si="77"/>
        <v>1200</v>
      </c>
      <c r="J59" s="191">
        <f t="shared" si="77"/>
        <v>1200</v>
      </c>
      <c r="K59" s="191">
        <f t="shared" si="77"/>
        <v>0</v>
      </c>
      <c r="L59" s="191">
        <f t="shared" si="77"/>
        <v>0</v>
      </c>
      <c r="M59" s="191">
        <f t="shared" si="77"/>
        <v>0</v>
      </c>
      <c r="N59" s="191">
        <f t="shared" si="77"/>
        <v>0</v>
      </c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  <c r="AL59" s="196"/>
      <c r="AM59" s="196"/>
      <c r="AN59" s="196"/>
      <c r="AO59" s="196"/>
      <c r="AP59" s="196"/>
      <c r="AQ59" s="196"/>
      <c r="AR59" s="196"/>
      <c r="AS59" s="196"/>
      <c r="AT59" s="196"/>
      <c r="AU59" s="196"/>
      <c r="AV59" s="196"/>
      <c r="AW59" s="196"/>
      <c r="AX59" s="196"/>
      <c r="AY59" s="196"/>
      <c r="AZ59" s="196"/>
      <c r="BA59" s="196"/>
      <c r="BB59" s="196"/>
      <c r="BC59" s="196"/>
      <c r="BD59" s="196"/>
      <c r="BE59" s="196"/>
      <c r="BF59" s="196"/>
      <c r="BG59" s="196"/>
      <c r="BH59" s="196"/>
      <c r="BI59" s="196"/>
      <c r="BJ59" s="196"/>
      <c r="BK59" s="196"/>
      <c r="BL59" s="196"/>
    </row>
    <row r="60" spans="1:64" ht="15.75" customHeight="1" x14ac:dyDescent="0.25">
      <c r="A60" s="192"/>
      <c r="B60" s="175"/>
      <c r="C60" s="175"/>
      <c r="D60" s="175"/>
      <c r="E60" s="175"/>
      <c r="F60" s="175"/>
      <c r="G60" s="175"/>
      <c r="H60" s="175"/>
      <c r="I60" s="175"/>
      <c r="J60" s="175"/>
      <c r="K60" s="193"/>
      <c r="M60" s="207" t="s">
        <v>506</v>
      </c>
      <c r="N60" s="208">
        <f>SUM(C59:N59)</f>
        <v>3600</v>
      </c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/>
      <c r="AX60" s="196"/>
      <c r="AY60" s="196"/>
      <c r="AZ60" s="196"/>
      <c r="BA60" s="196"/>
      <c r="BB60" s="196"/>
      <c r="BC60" s="196"/>
      <c r="BD60" s="196"/>
      <c r="BE60" s="196"/>
      <c r="BF60" s="196"/>
      <c r="BG60" s="196"/>
      <c r="BH60" s="196"/>
      <c r="BI60" s="196"/>
      <c r="BJ60" s="196"/>
      <c r="BK60" s="196"/>
      <c r="BL60" s="196"/>
    </row>
    <row r="61" spans="1:64" ht="15.75" customHeight="1" x14ac:dyDescent="0.25">
      <c r="A61" s="197"/>
      <c r="B61" s="209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  <c r="AN61" s="198"/>
      <c r="AO61" s="198"/>
      <c r="AP61" s="198"/>
      <c r="AQ61" s="198"/>
      <c r="AR61" s="198"/>
      <c r="AS61" s="198"/>
      <c r="AT61" s="198"/>
      <c r="AU61" s="198"/>
      <c r="AV61" s="198"/>
      <c r="AW61" s="198"/>
      <c r="AX61" s="198"/>
      <c r="AY61" s="198"/>
      <c r="AZ61" s="198"/>
      <c r="BA61" s="198"/>
      <c r="BB61" s="198"/>
      <c r="BC61" s="198"/>
      <c r="BD61" s="198"/>
      <c r="BE61" s="198"/>
      <c r="BF61" s="198"/>
      <c r="BG61" s="198"/>
      <c r="BH61" s="198"/>
      <c r="BI61" s="198"/>
      <c r="BJ61" s="198"/>
      <c r="BK61" s="198"/>
      <c r="BL61" s="198"/>
    </row>
    <row r="62" spans="1:64" ht="15.75" customHeight="1" x14ac:dyDescent="0.25">
      <c r="A62" s="183" t="s">
        <v>507</v>
      </c>
      <c r="B62" s="186">
        <v>0.4</v>
      </c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  <c r="AK62" s="199"/>
      <c r="AL62" s="199"/>
      <c r="AM62" s="199"/>
      <c r="AN62" s="199"/>
      <c r="AO62" s="199"/>
      <c r="AP62" s="199"/>
      <c r="AQ62" s="199"/>
      <c r="AR62" s="199"/>
      <c r="AS62" s="199"/>
      <c r="AT62" s="199"/>
      <c r="AU62" s="199"/>
      <c r="AV62" s="199"/>
      <c r="AW62" s="199"/>
      <c r="AX62" s="199"/>
      <c r="AY62" s="199"/>
      <c r="AZ62" s="199"/>
      <c r="BA62" s="199"/>
      <c r="BB62" s="199"/>
      <c r="BC62" s="199"/>
      <c r="BD62" s="199"/>
      <c r="BE62" s="199"/>
      <c r="BF62" s="199"/>
      <c r="BG62" s="199"/>
      <c r="BH62" s="199"/>
      <c r="BI62" s="199"/>
      <c r="BJ62" s="199"/>
      <c r="BK62" s="199"/>
      <c r="BL62" s="199"/>
    </row>
    <row r="63" spans="1:64" ht="15.75" customHeight="1" x14ac:dyDescent="0.2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8"/>
      <c r="L63" s="210"/>
      <c r="M63" s="211"/>
      <c r="N63" s="212"/>
      <c r="O63" s="175"/>
      <c r="P63" s="181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</row>
    <row r="64" spans="1:64" ht="15.75" customHeight="1" x14ac:dyDescent="0.25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81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</row>
    <row r="65" spans="16:16" ht="15.75" customHeight="1" x14ac:dyDescent="0.2">
      <c r="P65" s="200"/>
    </row>
    <row r="66" spans="16:16" ht="15.75" customHeight="1" x14ac:dyDescent="0.2">
      <c r="P66" s="200"/>
    </row>
    <row r="67" spans="16:16" ht="15.75" customHeight="1" x14ac:dyDescent="0.2">
      <c r="P67" s="200"/>
    </row>
    <row r="68" spans="16:16" ht="15.75" customHeight="1" x14ac:dyDescent="0.2">
      <c r="P68" s="200"/>
    </row>
    <row r="69" spans="16:16" ht="15.75" customHeight="1" x14ac:dyDescent="0.2">
      <c r="P69" s="200"/>
    </row>
    <row r="70" spans="16:16" ht="15.75" customHeight="1" x14ac:dyDescent="0.2">
      <c r="P70" s="200"/>
    </row>
    <row r="71" spans="16:16" ht="15.75" customHeight="1" x14ac:dyDescent="0.2">
      <c r="P71" s="200"/>
    </row>
    <row r="72" spans="16:16" ht="15.75" customHeight="1" x14ac:dyDescent="0.2">
      <c r="P72" s="200"/>
    </row>
    <row r="73" spans="16:16" ht="15.75" customHeight="1" x14ac:dyDescent="0.2">
      <c r="P73" s="200"/>
    </row>
    <row r="74" spans="16:16" ht="15.75" customHeight="1" x14ac:dyDescent="0.2">
      <c r="P74" s="200"/>
    </row>
    <row r="75" spans="16:16" ht="15.75" customHeight="1" x14ac:dyDescent="0.2">
      <c r="P75" s="200"/>
    </row>
    <row r="76" spans="16:16" ht="15.75" customHeight="1" x14ac:dyDescent="0.2">
      <c r="P76" s="200"/>
    </row>
    <row r="77" spans="16:16" ht="15.75" customHeight="1" x14ac:dyDescent="0.2">
      <c r="P77" s="200"/>
    </row>
    <row r="78" spans="16:16" ht="15.75" customHeight="1" x14ac:dyDescent="0.2">
      <c r="P78" s="200"/>
    </row>
    <row r="79" spans="16:16" ht="15.75" customHeight="1" x14ac:dyDescent="0.2">
      <c r="P79" s="200"/>
    </row>
    <row r="80" spans="16:16" ht="15.75" customHeight="1" x14ac:dyDescent="0.2">
      <c r="P80" s="200"/>
    </row>
    <row r="81" spans="16:16" ht="15.75" customHeight="1" x14ac:dyDescent="0.2">
      <c r="P81" s="200"/>
    </row>
    <row r="82" spans="16:16" ht="15.75" customHeight="1" x14ac:dyDescent="0.2">
      <c r="P82" s="200"/>
    </row>
    <row r="83" spans="16:16" ht="15.75" customHeight="1" x14ac:dyDescent="0.2">
      <c r="P83" s="200"/>
    </row>
    <row r="84" spans="16:16" ht="15.75" customHeight="1" x14ac:dyDescent="0.2">
      <c r="P84" s="200"/>
    </row>
    <row r="85" spans="16:16" ht="15.75" customHeight="1" x14ac:dyDescent="0.2">
      <c r="P85" s="200"/>
    </row>
    <row r="86" spans="16:16" ht="15.75" customHeight="1" x14ac:dyDescent="0.2">
      <c r="P86" s="200"/>
    </row>
    <row r="87" spans="16:16" ht="15.75" customHeight="1" x14ac:dyDescent="0.2">
      <c r="P87" s="200"/>
    </row>
    <row r="88" spans="16:16" ht="15.75" customHeight="1" x14ac:dyDescent="0.2">
      <c r="P88" s="200"/>
    </row>
    <row r="89" spans="16:16" ht="15.75" customHeight="1" x14ac:dyDescent="0.2">
      <c r="P89" s="200"/>
    </row>
    <row r="90" spans="16:16" ht="15.75" customHeight="1" x14ac:dyDescent="0.2">
      <c r="P90" s="200"/>
    </row>
    <row r="91" spans="16:16" ht="15.75" customHeight="1" x14ac:dyDescent="0.2">
      <c r="P91" s="200"/>
    </row>
    <row r="92" spans="16:16" ht="15.75" customHeight="1" x14ac:dyDescent="0.2">
      <c r="P92" s="200"/>
    </row>
    <row r="93" spans="16:16" ht="15.75" customHeight="1" x14ac:dyDescent="0.2">
      <c r="P93" s="200"/>
    </row>
    <row r="94" spans="16:16" ht="15.75" customHeight="1" x14ac:dyDescent="0.2">
      <c r="P94" s="200"/>
    </row>
    <row r="95" spans="16:16" ht="15.75" customHeight="1" x14ac:dyDescent="0.2">
      <c r="P95" s="200"/>
    </row>
    <row r="96" spans="16:16" ht="15.75" customHeight="1" x14ac:dyDescent="0.2">
      <c r="P96" s="200"/>
    </row>
    <row r="97" spans="16:16" ht="15.75" customHeight="1" x14ac:dyDescent="0.2">
      <c r="P97" s="200"/>
    </row>
    <row r="98" spans="16:16" ht="15.75" customHeight="1" x14ac:dyDescent="0.2">
      <c r="P98" s="200"/>
    </row>
    <row r="99" spans="16:16" ht="15.75" customHeight="1" x14ac:dyDescent="0.2">
      <c r="P99" s="200"/>
    </row>
    <row r="100" spans="16:16" ht="15.75" customHeight="1" x14ac:dyDescent="0.2">
      <c r="P100" s="200"/>
    </row>
    <row r="101" spans="16:16" ht="15.75" customHeight="1" x14ac:dyDescent="0.2">
      <c r="P101" s="200"/>
    </row>
    <row r="102" spans="16:16" ht="15.75" customHeight="1" x14ac:dyDescent="0.2">
      <c r="P102" s="200"/>
    </row>
    <row r="103" spans="16:16" ht="15.75" customHeight="1" x14ac:dyDescent="0.2">
      <c r="P103" s="200"/>
    </row>
    <row r="104" spans="16:16" ht="15.75" customHeight="1" x14ac:dyDescent="0.2">
      <c r="P104" s="200"/>
    </row>
    <row r="105" spans="16:16" ht="15.75" customHeight="1" x14ac:dyDescent="0.2">
      <c r="P105" s="200"/>
    </row>
    <row r="106" spans="16:16" ht="15.75" customHeight="1" x14ac:dyDescent="0.2">
      <c r="P106" s="200"/>
    </row>
    <row r="107" spans="16:16" ht="15.75" customHeight="1" x14ac:dyDescent="0.2">
      <c r="P107" s="200"/>
    </row>
    <row r="108" spans="16:16" ht="15.75" customHeight="1" x14ac:dyDescent="0.2">
      <c r="P108" s="200"/>
    </row>
    <row r="109" spans="16:16" ht="15.75" customHeight="1" x14ac:dyDescent="0.2">
      <c r="P109" s="200"/>
    </row>
    <row r="110" spans="16:16" ht="15.75" customHeight="1" x14ac:dyDescent="0.2">
      <c r="P110" s="200"/>
    </row>
    <row r="111" spans="16:16" ht="15.75" customHeight="1" x14ac:dyDescent="0.2">
      <c r="P111" s="200"/>
    </row>
    <row r="112" spans="16:16" ht="15.75" customHeight="1" x14ac:dyDescent="0.2">
      <c r="P112" s="200"/>
    </row>
    <row r="113" spans="16:16" ht="15.75" customHeight="1" x14ac:dyDescent="0.2">
      <c r="P113" s="200"/>
    </row>
    <row r="114" spans="16:16" ht="15.75" customHeight="1" x14ac:dyDescent="0.2">
      <c r="P114" s="200"/>
    </row>
    <row r="115" spans="16:16" ht="15.75" customHeight="1" x14ac:dyDescent="0.2">
      <c r="P115" s="200"/>
    </row>
    <row r="116" spans="16:16" ht="15.75" customHeight="1" x14ac:dyDescent="0.2">
      <c r="P116" s="200"/>
    </row>
    <row r="117" spans="16:16" ht="15.75" customHeight="1" x14ac:dyDescent="0.2">
      <c r="P117" s="200"/>
    </row>
    <row r="118" spans="16:16" ht="15.75" customHeight="1" x14ac:dyDescent="0.2">
      <c r="P118" s="200"/>
    </row>
    <row r="119" spans="16:16" ht="15.75" customHeight="1" x14ac:dyDescent="0.2">
      <c r="P119" s="200"/>
    </row>
    <row r="120" spans="16:16" ht="15.75" customHeight="1" x14ac:dyDescent="0.2">
      <c r="P120" s="200"/>
    </row>
    <row r="121" spans="16:16" ht="15.75" customHeight="1" x14ac:dyDescent="0.2">
      <c r="P121" s="200"/>
    </row>
    <row r="122" spans="16:16" ht="15.75" customHeight="1" x14ac:dyDescent="0.2">
      <c r="P122" s="200"/>
    </row>
    <row r="123" spans="16:16" ht="15.75" customHeight="1" x14ac:dyDescent="0.2">
      <c r="P123" s="200"/>
    </row>
    <row r="124" spans="16:16" ht="15.75" customHeight="1" x14ac:dyDescent="0.2">
      <c r="P124" s="200"/>
    </row>
    <row r="125" spans="16:16" ht="15.75" customHeight="1" x14ac:dyDescent="0.2">
      <c r="P125" s="200"/>
    </row>
    <row r="126" spans="16:16" ht="15.75" customHeight="1" x14ac:dyDescent="0.2">
      <c r="P126" s="200"/>
    </row>
    <row r="127" spans="16:16" ht="15.75" customHeight="1" x14ac:dyDescent="0.2">
      <c r="P127" s="200"/>
    </row>
    <row r="128" spans="16:16" ht="15.75" customHeight="1" x14ac:dyDescent="0.2">
      <c r="P128" s="200"/>
    </row>
    <row r="129" spans="16:16" ht="15.75" customHeight="1" x14ac:dyDescent="0.2">
      <c r="P129" s="200"/>
    </row>
    <row r="130" spans="16:16" ht="15.75" customHeight="1" x14ac:dyDescent="0.2">
      <c r="P130" s="200"/>
    </row>
    <row r="131" spans="16:16" ht="15.75" customHeight="1" x14ac:dyDescent="0.2">
      <c r="P131" s="200"/>
    </row>
    <row r="132" spans="16:16" ht="15.75" customHeight="1" x14ac:dyDescent="0.2">
      <c r="P132" s="200"/>
    </row>
    <row r="133" spans="16:16" ht="15.75" customHeight="1" x14ac:dyDescent="0.2">
      <c r="P133" s="200"/>
    </row>
    <row r="134" spans="16:16" ht="15.75" customHeight="1" x14ac:dyDescent="0.2">
      <c r="P134" s="200"/>
    </row>
    <row r="135" spans="16:16" ht="15.75" customHeight="1" x14ac:dyDescent="0.2">
      <c r="P135" s="200"/>
    </row>
    <row r="136" spans="16:16" ht="15.75" customHeight="1" x14ac:dyDescent="0.2">
      <c r="P136" s="200"/>
    </row>
    <row r="137" spans="16:16" ht="15.75" customHeight="1" x14ac:dyDescent="0.2">
      <c r="P137" s="200"/>
    </row>
    <row r="138" spans="16:16" ht="15.75" customHeight="1" x14ac:dyDescent="0.2">
      <c r="P138" s="200"/>
    </row>
    <row r="139" spans="16:16" ht="15.75" customHeight="1" x14ac:dyDescent="0.2">
      <c r="P139" s="200"/>
    </row>
    <row r="140" spans="16:16" ht="15.75" customHeight="1" x14ac:dyDescent="0.2">
      <c r="P140" s="200"/>
    </row>
    <row r="141" spans="16:16" ht="15.75" customHeight="1" x14ac:dyDescent="0.2">
      <c r="P141" s="200"/>
    </row>
    <row r="142" spans="16:16" ht="15.75" customHeight="1" x14ac:dyDescent="0.2">
      <c r="P142" s="200"/>
    </row>
    <row r="143" spans="16:16" ht="15.75" customHeight="1" x14ac:dyDescent="0.2">
      <c r="P143" s="200"/>
    </row>
    <row r="144" spans="16:16" ht="15.75" customHeight="1" x14ac:dyDescent="0.2">
      <c r="P144" s="200"/>
    </row>
    <row r="145" spans="16:16" ht="15.75" customHeight="1" x14ac:dyDescent="0.2">
      <c r="P145" s="200"/>
    </row>
    <row r="146" spans="16:16" ht="15.75" customHeight="1" x14ac:dyDescent="0.2">
      <c r="P146" s="200"/>
    </row>
    <row r="147" spans="16:16" ht="15.75" customHeight="1" x14ac:dyDescent="0.2">
      <c r="P147" s="200"/>
    </row>
    <row r="148" spans="16:16" ht="15.75" customHeight="1" x14ac:dyDescent="0.2">
      <c r="P148" s="200"/>
    </row>
    <row r="149" spans="16:16" ht="15.75" customHeight="1" x14ac:dyDescent="0.2">
      <c r="P149" s="200"/>
    </row>
    <row r="150" spans="16:16" ht="15.75" customHeight="1" x14ac:dyDescent="0.2">
      <c r="P150" s="200"/>
    </row>
    <row r="151" spans="16:16" ht="15.75" customHeight="1" x14ac:dyDescent="0.2">
      <c r="P151" s="200"/>
    </row>
    <row r="152" spans="16:16" ht="15.75" customHeight="1" x14ac:dyDescent="0.2">
      <c r="P152" s="200"/>
    </row>
    <row r="153" spans="16:16" ht="15.75" customHeight="1" x14ac:dyDescent="0.2">
      <c r="P153" s="200"/>
    </row>
    <row r="154" spans="16:16" ht="15.75" customHeight="1" x14ac:dyDescent="0.2">
      <c r="P154" s="200"/>
    </row>
    <row r="155" spans="16:16" ht="15.75" customHeight="1" x14ac:dyDescent="0.2">
      <c r="P155" s="200"/>
    </row>
    <row r="156" spans="16:16" ht="15.75" customHeight="1" x14ac:dyDescent="0.2">
      <c r="P156" s="200"/>
    </row>
    <row r="157" spans="16:16" ht="15.75" customHeight="1" x14ac:dyDescent="0.2">
      <c r="P157" s="200"/>
    </row>
    <row r="158" spans="16:16" ht="15.75" customHeight="1" x14ac:dyDescent="0.2">
      <c r="P158" s="200"/>
    </row>
    <row r="159" spans="16:16" ht="15.75" customHeight="1" x14ac:dyDescent="0.2">
      <c r="P159" s="200"/>
    </row>
    <row r="160" spans="16:16" ht="15.75" customHeight="1" x14ac:dyDescent="0.2">
      <c r="P160" s="200"/>
    </row>
    <row r="161" spans="16:16" ht="15.75" customHeight="1" x14ac:dyDescent="0.2">
      <c r="P161" s="200"/>
    </row>
    <row r="162" spans="16:16" ht="15.75" customHeight="1" x14ac:dyDescent="0.2">
      <c r="P162" s="200"/>
    </row>
    <row r="163" spans="16:16" ht="15.75" customHeight="1" x14ac:dyDescent="0.2">
      <c r="P163" s="200"/>
    </row>
    <row r="164" spans="16:16" ht="15.75" customHeight="1" x14ac:dyDescent="0.2">
      <c r="P164" s="200"/>
    </row>
    <row r="165" spans="16:16" ht="15.75" customHeight="1" x14ac:dyDescent="0.2">
      <c r="P165" s="200"/>
    </row>
    <row r="166" spans="16:16" ht="15.75" customHeight="1" x14ac:dyDescent="0.2">
      <c r="P166" s="200"/>
    </row>
    <row r="167" spans="16:16" ht="15.75" customHeight="1" x14ac:dyDescent="0.2">
      <c r="P167" s="200"/>
    </row>
    <row r="168" spans="16:16" ht="15.75" customHeight="1" x14ac:dyDescent="0.2">
      <c r="P168" s="200"/>
    </row>
    <row r="169" spans="16:16" ht="15.75" customHeight="1" x14ac:dyDescent="0.2">
      <c r="P169" s="200"/>
    </row>
    <row r="170" spans="16:16" ht="15.75" customHeight="1" x14ac:dyDescent="0.2">
      <c r="P170" s="200"/>
    </row>
    <row r="171" spans="16:16" ht="15.75" customHeight="1" x14ac:dyDescent="0.2">
      <c r="P171" s="200"/>
    </row>
    <row r="172" spans="16:16" ht="15.75" customHeight="1" x14ac:dyDescent="0.2">
      <c r="P172" s="200"/>
    </row>
    <row r="173" spans="16:16" ht="15.75" customHeight="1" x14ac:dyDescent="0.2">
      <c r="P173" s="200"/>
    </row>
    <row r="174" spans="16:16" ht="15.75" customHeight="1" x14ac:dyDescent="0.2">
      <c r="P174" s="200"/>
    </row>
    <row r="175" spans="16:16" ht="15.75" customHeight="1" x14ac:dyDescent="0.2">
      <c r="P175" s="200"/>
    </row>
    <row r="176" spans="16:16" ht="15.75" customHeight="1" x14ac:dyDescent="0.2">
      <c r="P176" s="200"/>
    </row>
    <row r="177" spans="16:16" ht="15.75" customHeight="1" x14ac:dyDescent="0.2">
      <c r="P177" s="200"/>
    </row>
    <row r="178" spans="16:16" ht="15.75" customHeight="1" x14ac:dyDescent="0.2">
      <c r="P178" s="200"/>
    </row>
    <row r="179" spans="16:16" ht="15.75" customHeight="1" x14ac:dyDescent="0.2">
      <c r="P179" s="200"/>
    </row>
    <row r="180" spans="16:16" ht="15.75" customHeight="1" x14ac:dyDescent="0.2">
      <c r="P180" s="200"/>
    </row>
    <row r="181" spans="16:16" ht="15.75" customHeight="1" x14ac:dyDescent="0.2">
      <c r="P181" s="200"/>
    </row>
    <row r="182" spans="16:16" ht="15.75" customHeight="1" x14ac:dyDescent="0.2">
      <c r="P182" s="200"/>
    </row>
    <row r="183" spans="16:16" ht="15.75" customHeight="1" x14ac:dyDescent="0.2">
      <c r="P183" s="200"/>
    </row>
    <row r="184" spans="16:16" ht="15.75" customHeight="1" x14ac:dyDescent="0.2">
      <c r="P184" s="200"/>
    </row>
    <row r="185" spans="16:16" ht="15.75" customHeight="1" x14ac:dyDescent="0.2">
      <c r="P185" s="200"/>
    </row>
    <row r="186" spans="16:16" ht="15.75" customHeight="1" x14ac:dyDescent="0.2">
      <c r="P186" s="200"/>
    </row>
    <row r="187" spans="16:16" ht="15.75" customHeight="1" x14ac:dyDescent="0.2">
      <c r="P187" s="200"/>
    </row>
    <row r="188" spans="16:16" ht="15.75" customHeight="1" x14ac:dyDescent="0.2">
      <c r="P188" s="200"/>
    </row>
    <row r="189" spans="16:16" ht="15.75" customHeight="1" x14ac:dyDescent="0.2">
      <c r="P189" s="200"/>
    </row>
    <row r="190" spans="16:16" ht="15.75" customHeight="1" x14ac:dyDescent="0.2">
      <c r="P190" s="200"/>
    </row>
    <row r="191" spans="16:16" ht="15.75" customHeight="1" x14ac:dyDescent="0.2">
      <c r="P191" s="200"/>
    </row>
    <row r="192" spans="16:16" ht="15.75" customHeight="1" x14ac:dyDescent="0.2">
      <c r="P192" s="200"/>
    </row>
    <row r="193" spans="16:16" ht="15.75" customHeight="1" x14ac:dyDescent="0.2">
      <c r="P193" s="200"/>
    </row>
    <row r="194" spans="16:16" ht="15.75" customHeight="1" x14ac:dyDescent="0.2">
      <c r="P194" s="200"/>
    </row>
    <row r="195" spans="16:16" ht="15.75" customHeight="1" x14ac:dyDescent="0.2">
      <c r="P195" s="200"/>
    </row>
    <row r="196" spans="16:16" ht="15.75" customHeight="1" x14ac:dyDescent="0.2">
      <c r="P196" s="200"/>
    </row>
    <row r="197" spans="16:16" ht="15.75" customHeight="1" x14ac:dyDescent="0.2">
      <c r="P197" s="200"/>
    </row>
    <row r="198" spans="16:16" ht="15.75" customHeight="1" x14ac:dyDescent="0.2">
      <c r="P198" s="200"/>
    </row>
    <row r="199" spans="16:16" ht="15.75" customHeight="1" x14ac:dyDescent="0.2">
      <c r="P199" s="200"/>
    </row>
    <row r="200" spans="16:16" ht="15.75" customHeight="1" x14ac:dyDescent="0.2">
      <c r="P200" s="200"/>
    </row>
    <row r="201" spans="16:16" ht="15.75" customHeight="1" x14ac:dyDescent="0.2">
      <c r="P201" s="200"/>
    </row>
    <row r="202" spans="16:16" ht="15.75" customHeight="1" x14ac:dyDescent="0.2">
      <c r="P202" s="200"/>
    </row>
    <row r="203" spans="16:16" ht="15.75" customHeight="1" x14ac:dyDescent="0.2">
      <c r="P203" s="200"/>
    </row>
    <row r="204" spans="16:16" ht="15.75" customHeight="1" x14ac:dyDescent="0.2">
      <c r="P204" s="200"/>
    </row>
    <row r="205" spans="16:16" ht="15.75" customHeight="1" x14ac:dyDescent="0.2">
      <c r="P205" s="200"/>
    </row>
    <row r="206" spans="16:16" ht="15.75" customHeight="1" x14ac:dyDescent="0.2">
      <c r="P206" s="200"/>
    </row>
    <row r="207" spans="16:16" ht="15.75" customHeight="1" x14ac:dyDescent="0.2">
      <c r="P207" s="200"/>
    </row>
    <row r="208" spans="16:16" ht="15.75" customHeight="1" x14ac:dyDescent="0.2">
      <c r="P208" s="200"/>
    </row>
    <row r="209" spans="16:16" ht="15.75" customHeight="1" x14ac:dyDescent="0.2">
      <c r="P209" s="200"/>
    </row>
    <row r="210" spans="16:16" ht="15.75" customHeight="1" x14ac:dyDescent="0.2">
      <c r="P210" s="200"/>
    </row>
    <row r="211" spans="16:16" ht="15.75" customHeight="1" x14ac:dyDescent="0.2">
      <c r="P211" s="200"/>
    </row>
    <row r="212" spans="16:16" ht="15.75" customHeight="1" x14ac:dyDescent="0.2">
      <c r="P212" s="200"/>
    </row>
    <row r="213" spans="16:16" ht="15.75" customHeight="1" x14ac:dyDescent="0.2">
      <c r="P213" s="200"/>
    </row>
    <row r="214" spans="16:16" ht="15.75" customHeight="1" x14ac:dyDescent="0.2">
      <c r="P214" s="200"/>
    </row>
    <row r="215" spans="16:16" ht="15.75" customHeight="1" x14ac:dyDescent="0.2">
      <c r="P215" s="200"/>
    </row>
    <row r="216" spans="16:16" ht="15.75" customHeight="1" x14ac:dyDescent="0.2">
      <c r="P216" s="200"/>
    </row>
    <row r="217" spans="16:16" ht="15.75" customHeight="1" x14ac:dyDescent="0.2">
      <c r="P217" s="200"/>
    </row>
    <row r="218" spans="16:16" ht="15.75" customHeight="1" x14ac:dyDescent="0.2">
      <c r="P218" s="200"/>
    </row>
    <row r="219" spans="16:16" ht="15.75" customHeight="1" x14ac:dyDescent="0.2">
      <c r="P219" s="200"/>
    </row>
    <row r="220" spans="16:16" ht="15.75" customHeight="1" x14ac:dyDescent="0.2">
      <c r="P220" s="200"/>
    </row>
    <row r="221" spans="16:16" ht="15.75" customHeight="1" x14ac:dyDescent="0.2">
      <c r="P221" s="200"/>
    </row>
    <row r="222" spans="16:16" ht="15.75" customHeight="1" x14ac:dyDescent="0.2">
      <c r="P222" s="200"/>
    </row>
    <row r="223" spans="16:16" ht="15.75" customHeight="1" x14ac:dyDescent="0.2">
      <c r="P223" s="200"/>
    </row>
    <row r="224" spans="16:16" ht="15.75" customHeight="1" x14ac:dyDescent="0.2">
      <c r="P224" s="200"/>
    </row>
    <row r="225" spans="16:16" ht="15.75" customHeight="1" x14ac:dyDescent="0.2">
      <c r="P225" s="200"/>
    </row>
    <row r="226" spans="16:16" ht="15.75" customHeight="1" x14ac:dyDescent="0.2">
      <c r="P226" s="200"/>
    </row>
    <row r="227" spans="16:16" ht="15.75" customHeight="1" x14ac:dyDescent="0.2">
      <c r="P227" s="200"/>
    </row>
    <row r="228" spans="16:16" ht="15.75" customHeight="1" x14ac:dyDescent="0.2">
      <c r="P228" s="200"/>
    </row>
    <row r="229" spans="16:16" ht="15.75" customHeight="1" x14ac:dyDescent="0.2">
      <c r="P229" s="200"/>
    </row>
    <row r="230" spans="16:16" ht="15.75" customHeight="1" x14ac:dyDescent="0.2">
      <c r="P230" s="200"/>
    </row>
    <row r="231" spans="16:16" ht="15.75" customHeight="1" x14ac:dyDescent="0.2">
      <c r="P231" s="200"/>
    </row>
    <row r="232" spans="16:16" ht="15.75" customHeight="1" x14ac:dyDescent="0.2">
      <c r="P232" s="200"/>
    </row>
    <row r="233" spans="16:16" ht="15.75" customHeight="1" x14ac:dyDescent="0.2">
      <c r="P233" s="200"/>
    </row>
    <row r="234" spans="16:16" ht="15.75" customHeight="1" x14ac:dyDescent="0.2">
      <c r="P234" s="200"/>
    </row>
    <row r="235" spans="16:16" ht="15.75" customHeight="1" x14ac:dyDescent="0.2">
      <c r="P235" s="200"/>
    </row>
    <row r="236" spans="16:16" ht="15.75" customHeight="1" x14ac:dyDescent="0.2">
      <c r="P236" s="200"/>
    </row>
    <row r="237" spans="16:16" ht="15.75" customHeight="1" x14ac:dyDescent="0.2">
      <c r="P237" s="200"/>
    </row>
    <row r="238" spans="16:16" ht="15.75" customHeight="1" x14ac:dyDescent="0.2">
      <c r="P238" s="200"/>
    </row>
    <row r="239" spans="16:16" ht="15.75" customHeight="1" x14ac:dyDescent="0.2">
      <c r="P239" s="200"/>
    </row>
    <row r="240" spans="16:16" ht="15.75" customHeight="1" x14ac:dyDescent="0.2">
      <c r="P240" s="200"/>
    </row>
    <row r="241" spans="16:16" ht="15.75" customHeight="1" x14ac:dyDescent="0.2">
      <c r="P241" s="200"/>
    </row>
    <row r="242" spans="16:16" ht="15.75" customHeight="1" x14ac:dyDescent="0.2">
      <c r="P242" s="200"/>
    </row>
    <row r="243" spans="16:16" ht="15.75" customHeight="1" x14ac:dyDescent="0.2">
      <c r="P243" s="200"/>
    </row>
    <row r="244" spans="16:16" ht="15.75" customHeight="1" x14ac:dyDescent="0.2">
      <c r="P244" s="200"/>
    </row>
    <row r="245" spans="16:16" ht="15.75" customHeight="1" x14ac:dyDescent="0.2">
      <c r="P245" s="200"/>
    </row>
    <row r="246" spans="16:16" ht="15.75" customHeight="1" x14ac:dyDescent="0.2">
      <c r="P246" s="200"/>
    </row>
    <row r="247" spans="16:16" ht="15.75" customHeight="1" x14ac:dyDescent="0.2">
      <c r="P247" s="200"/>
    </row>
    <row r="248" spans="16:16" ht="15.75" customHeight="1" x14ac:dyDescent="0.2">
      <c r="P248" s="200"/>
    </row>
    <row r="249" spans="16:16" ht="15.75" customHeight="1" x14ac:dyDescent="0.2">
      <c r="P249" s="200"/>
    </row>
    <row r="250" spans="16:16" ht="15.75" customHeight="1" x14ac:dyDescent="0.2">
      <c r="P250" s="200"/>
    </row>
    <row r="251" spans="16:16" ht="15.75" customHeight="1" x14ac:dyDescent="0.2">
      <c r="P251" s="200"/>
    </row>
    <row r="252" spans="16:16" ht="15.75" customHeight="1" x14ac:dyDescent="0.2">
      <c r="P252" s="200"/>
    </row>
    <row r="253" spans="16:16" ht="15.75" customHeight="1" x14ac:dyDescent="0.2">
      <c r="P253" s="200"/>
    </row>
    <row r="254" spans="16:16" ht="15.75" customHeight="1" x14ac:dyDescent="0.2"/>
    <row r="255" spans="16:16" ht="15.75" customHeight="1" x14ac:dyDescent="0.2"/>
    <row r="256" spans="16:1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1">
    <mergeCell ref="A53:N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W972"/>
  <sheetViews>
    <sheetView workbookViewId="0">
      <pane ySplit="3" topLeftCell="A4" activePane="bottomLeft" state="frozen"/>
      <selection pane="bottomLeft" activeCell="A5" sqref="A5:BB5"/>
    </sheetView>
  </sheetViews>
  <sheetFormatPr baseColWidth="10" defaultColWidth="12.7109375" defaultRowHeight="15" customHeight="1" x14ac:dyDescent="0.2"/>
  <cols>
    <col min="1" max="1" width="57" customWidth="1"/>
  </cols>
  <sheetData>
    <row r="1" spans="1:75" ht="15.75" customHeight="1" x14ac:dyDescent="0.2">
      <c r="C1" s="409" t="s">
        <v>508</v>
      </c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6"/>
      <c r="O1" s="410" t="s">
        <v>509</v>
      </c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5"/>
      <c r="AT1" s="395"/>
      <c r="AU1" s="395"/>
      <c r="AV1" s="395"/>
      <c r="AW1" s="395"/>
      <c r="AX1" s="395"/>
      <c r="AY1" s="395"/>
      <c r="AZ1" s="395"/>
      <c r="BA1" s="395"/>
      <c r="BB1" s="396"/>
      <c r="BC1" s="213"/>
      <c r="BD1" s="213"/>
      <c r="BE1" s="213"/>
      <c r="BF1" s="213"/>
      <c r="BG1" s="213"/>
      <c r="BH1" s="213"/>
      <c r="BI1" s="213"/>
      <c r="BJ1" s="213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</row>
    <row r="2" spans="1:75" ht="15.75" customHeight="1" x14ac:dyDescent="0.2">
      <c r="A2" s="215" t="s">
        <v>48</v>
      </c>
      <c r="B2" s="215">
        <v>0</v>
      </c>
      <c r="C2" s="215">
        <v>1</v>
      </c>
      <c r="D2" s="215">
        <v>2</v>
      </c>
      <c r="E2" s="215">
        <v>3</v>
      </c>
      <c r="F2" s="215">
        <v>4</v>
      </c>
      <c r="G2" s="215">
        <v>5</v>
      </c>
      <c r="H2" s="215">
        <v>6</v>
      </c>
      <c r="I2" s="215">
        <v>7</v>
      </c>
      <c r="J2" s="215">
        <v>8</v>
      </c>
      <c r="K2" s="215">
        <v>9</v>
      </c>
      <c r="L2" s="215">
        <v>10</v>
      </c>
      <c r="M2" s="215">
        <v>11</v>
      </c>
      <c r="N2" s="215">
        <v>12</v>
      </c>
      <c r="O2" s="215">
        <v>13</v>
      </c>
      <c r="P2" s="215">
        <v>14</v>
      </c>
      <c r="Q2" s="215">
        <v>15</v>
      </c>
      <c r="R2" s="215">
        <v>16</v>
      </c>
      <c r="S2" s="215">
        <v>17</v>
      </c>
      <c r="T2" s="215">
        <v>18</v>
      </c>
      <c r="U2" s="215">
        <v>19</v>
      </c>
      <c r="V2" s="215">
        <v>20</v>
      </c>
      <c r="W2" s="215">
        <v>21</v>
      </c>
      <c r="X2" s="215">
        <v>22</v>
      </c>
      <c r="Y2" s="215">
        <v>23</v>
      </c>
      <c r="Z2" s="215">
        <v>24</v>
      </c>
      <c r="AA2" s="215">
        <v>25</v>
      </c>
      <c r="AB2" s="215">
        <v>26</v>
      </c>
      <c r="AC2" s="215">
        <v>27</v>
      </c>
      <c r="AD2" s="215">
        <v>28</v>
      </c>
      <c r="AE2" s="215">
        <v>29</v>
      </c>
      <c r="AF2" s="215">
        <v>30</v>
      </c>
      <c r="AG2" s="215">
        <v>31</v>
      </c>
      <c r="AH2" s="215">
        <v>32</v>
      </c>
      <c r="AI2" s="215">
        <v>33</v>
      </c>
      <c r="AJ2" s="215">
        <v>34</v>
      </c>
      <c r="AK2" s="215">
        <v>35</v>
      </c>
      <c r="AL2" s="215">
        <f t="shared" ref="AL2:BJ2" si="0">AK2+1</f>
        <v>36</v>
      </c>
      <c r="AM2" s="215">
        <f t="shared" si="0"/>
        <v>37</v>
      </c>
      <c r="AN2" s="215">
        <f t="shared" si="0"/>
        <v>38</v>
      </c>
      <c r="AO2" s="215">
        <f t="shared" si="0"/>
        <v>39</v>
      </c>
      <c r="AP2" s="215">
        <f t="shared" si="0"/>
        <v>40</v>
      </c>
      <c r="AQ2" s="215">
        <f t="shared" si="0"/>
        <v>41</v>
      </c>
      <c r="AR2" s="215">
        <f t="shared" si="0"/>
        <v>42</v>
      </c>
      <c r="AS2" s="215">
        <f t="shared" si="0"/>
        <v>43</v>
      </c>
      <c r="AT2" s="215">
        <f t="shared" si="0"/>
        <v>44</v>
      </c>
      <c r="AU2" s="215">
        <f t="shared" si="0"/>
        <v>45</v>
      </c>
      <c r="AV2" s="215">
        <f t="shared" si="0"/>
        <v>46</v>
      </c>
      <c r="AW2" s="215">
        <f t="shared" si="0"/>
        <v>47</v>
      </c>
      <c r="AX2" s="215">
        <f t="shared" si="0"/>
        <v>48</v>
      </c>
      <c r="AY2" s="215">
        <f t="shared" si="0"/>
        <v>49</v>
      </c>
      <c r="AZ2" s="215">
        <f t="shared" si="0"/>
        <v>50</v>
      </c>
      <c r="BA2" s="215">
        <f t="shared" si="0"/>
        <v>51</v>
      </c>
      <c r="BB2" s="215">
        <f t="shared" si="0"/>
        <v>52</v>
      </c>
      <c r="BC2" s="215">
        <f t="shared" si="0"/>
        <v>53</v>
      </c>
      <c r="BD2" s="215">
        <f t="shared" si="0"/>
        <v>54</v>
      </c>
      <c r="BE2" s="215">
        <f t="shared" si="0"/>
        <v>55</v>
      </c>
      <c r="BF2" s="215">
        <f t="shared" si="0"/>
        <v>56</v>
      </c>
      <c r="BG2" s="215">
        <f t="shared" si="0"/>
        <v>57</v>
      </c>
      <c r="BH2" s="215">
        <f t="shared" si="0"/>
        <v>58</v>
      </c>
      <c r="BI2" s="215">
        <f t="shared" si="0"/>
        <v>59</v>
      </c>
      <c r="BJ2" s="215">
        <f t="shared" si="0"/>
        <v>60</v>
      </c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</row>
    <row r="3" spans="1:75" ht="15.75" customHeight="1" x14ac:dyDescent="0.2">
      <c r="A3" s="215" t="s">
        <v>49</v>
      </c>
      <c r="B3" s="216"/>
      <c r="C3" s="217">
        <v>45292</v>
      </c>
      <c r="D3" s="217">
        <v>45323</v>
      </c>
      <c r="E3" s="217">
        <v>45352</v>
      </c>
      <c r="F3" s="217">
        <v>45383</v>
      </c>
      <c r="G3" s="217">
        <v>45413</v>
      </c>
      <c r="H3" s="217">
        <v>45444</v>
      </c>
      <c r="I3" s="217">
        <v>45474</v>
      </c>
      <c r="J3" s="217">
        <v>45505</v>
      </c>
      <c r="K3" s="217">
        <v>45536</v>
      </c>
      <c r="L3" s="217">
        <v>45579</v>
      </c>
      <c r="M3" s="217">
        <v>45597</v>
      </c>
      <c r="N3" s="217">
        <v>45635</v>
      </c>
      <c r="O3" s="217">
        <v>45658</v>
      </c>
      <c r="P3" s="217">
        <v>45689</v>
      </c>
      <c r="Q3" s="217">
        <v>45717</v>
      </c>
      <c r="R3" s="217">
        <v>45748</v>
      </c>
      <c r="S3" s="217">
        <v>45778</v>
      </c>
      <c r="T3" s="217">
        <v>45809</v>
      </c>
      <c r="U3" s="217">
        <v>45839</v>
      </c>
      <c r="V3" s="217">
        <v>45870</v>
      </c>
      <c r="W3" s="217">
        <v>45901</v>
      </c>
      <c r="X3" s="217">
        <v>45931</v>
      </c>
      <c r="Y3" s="217">
        <v>45962</v>
      </c>
      <c r="Z3" s="217">
        <v>45992</v>
      </c>
      <c r="AA3" s="217">
        <v>46023</v>
      </c>
      <c r="AB3" s="217">
        <v>46054</v>
      </c>
      <c r="AC3" s="217">
        <v>46082</v>
      </c>
      <c r="AD3" s="217">
        <v>46113</v>
      </c>
      <c r="AE3" s="217">
        <v>46143</v>
      </c>
      <c r="AF3" s="217">
        <v>46174</v>
      </c>
      <c r="AG3" s="217">
        <v>46204</v>
      </c>
      <c r="AH3" s="217">
        <v>46235</v>
      </c>
      <c r="AI3" s="217">
        <v>46266</v>
      </c>
      <c r="AJ3" s="217">
        <v>46296</v>
      </c>
      <c r="AK3" s="217">
        <v>46327</v>
      </c>
      <c r="AL3" s="217">
        <v>46328</v>
      </c>
      <c r="AM3" s="218">
        <v>46388</v>
      </c>
      <c r="AN3" s="218">
        <v>46419</v>
      </c>
      <c r="AO3" s="218">
        <f t="shared" ref="AO3:BJ3" si="1">AN3+31</f>
        <v>46450</v>
      </c>
      <c r="AP3" s="218">
        <f t="shared" si="1"/>
        <v>46481</v>
      </c>
      <c r="AQ3" s="218">
        <f t="shared" si="1"/>
        <v>46512</v>
      </c>
      <c r="AR3" s="218">
        <f t="shared" si="1"/>
        <v>46543</v>
      </c>
      <c r="AS3" s="218">
        <f t="shared" si="1"/>
        <v>46574</v>
      </c>
      <c r="AT3" s="218">
        <f t="shared" si="1"/>
        <v>46605</v>
      </c>
      <c r="AU3" s="218">
        <f t="shared" si="1"/>
        <v>46636</v>
      </c>
      <c r="AV3" s="218">
        <f t="shared" si="1"/>
        <v>46667</v>
      </c>
      <c r="AW3" s="218">
        <f t="shared" si="1"/>
        <v>46698</v>
      </c>
      <c r="AX3" s="218">
        <f t="shared" si="1"/>
        <v>46729</v>
      </c>
      <c r="AY3" s="218">
        <f t="shared" si="1"/>
        <v>46760</v>
      </c>
      <c r="AZ3" s="218">
        <f t="shared" si="1"/>
        <v>46791</v>
      </c>
      <c r="BA3" s="218">
        <f t="shared" si="1"/>
        <v>46822</v>
      </c>
      <c r="BB3" s="218">
        <f t="shared" si="1"/>
        <v>46853</v>
      </c>
      <c r="BC3" s="218">
        <f t="shared" si="1"/>
        <v>46884</v>
      </c>
      <c r="BD3" s="218">
        <f t="shared" si="1"/>
        <v>46915</v>
      </c>
      <c r="BE3" s="218">
        <f t="shared" si="1"/>
        <v>46946</v>
      </c>
      <c r="BF3" s="218">
        <f t="shared" si="1"/>
        <v>46977</v>
      </c>
      <c r="BG3" s="218">
        <f t="shared" si="1"/>
        <v>47008</v>
      </c>
      <c r="BH3" s="218">
        <f t="shared" si="1"/>
        <v>47039</v>
      </c>
      <c r="BI3" s="218">
        <f t="shared" si="1"/>
        <v>47070</v>
      </c>
      <c r="BJ3" s="218">
        <f t="shared" si="1"/>
        <v>47101</v>
      </c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</row>
    <row r="4" spans="1:75" ht="15.75" customHeight="1" x14ac:dyDescent="0.2"/>
    <row r="5" spans="1:75" ht="15.75" customHeight="1" x14ac:dyDescent="0.2">
      <c r="A5" s="411" t="s">
        <v>510</v>
      </c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  <c r="AA5" s="386"/>
      <c r="AB5" s="386"/>
      <c r="AC5" s="386"/>
      <c r="AD5" s="386"/>
      <c r="AE5" s="386"/>
      <c r="AF5" s="386"/>
      <c r="AG5" s="386"/>
      <c r="AH5" s="386"/>
      <c r="AI5" s="386"/>
      <c r="AJ5" s="386"/>
      <c r="AK5" s="386"/>
      <c r="AL5" s="386"/>
      <c r="AM5" s="386"/>
      <c r="AN5" s="386"/>
      <c r="AO5" s="386"/>
      <c r="AP5" s="386"/>
      <c r="AQ5" s="386"/>
      <c r="AR5" s="386"/>
      <c r="AS5" s="386"/>
      <c r="AT5" s="386"/>
      <c r="AU5" s="386"/>
      <c r="AV5" s="386"/>
      <c r="AW5" s="386"/>
      <c r="AX5" s="386"/>
      <c r="AY5" s="386"/>
      <c r="AZ5" s="386"/>
      <c r="BA5" s="386"/>
      <c r="BB5" s="386"/>
      <c r="BC5" s="219"/>
      <c r="BD5" s="219"/>
      <c r="BE5" s="219"/>
      <c r="BF5" s="219"/>
      <c r="BG5" s="219"/>
      <c r="BH5" s="219"/>
      <c r="BI5" s="219"/>
      <c r="BJ5" s="219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</row>
    <row r="6" spans="1:75" ht="15.7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1"/>
      <c r="BQ6" s="221"/>
      <c r="BR6" s="221"/>
      <c r="BS6" s="221"/>
      <c r="BT6" s="221"/>
      <c r="BU6" s="221"/>
      <c r="BV6" s="221"/>
      <c r="BW6" s="221"/>
    </row>
    <row r="7" spans="1:75" ht="15.75" customHeight="1" x14ac:dyDescent="0.2">
      <c r="A7" s="222" t="s">
        <v>511</v>
      </c>
      <c r="B7" s="6">
        <f t="shared" ref="B7:BJ7" si="2">B13-B25</f>
        <v>81400.58550000003</v>
      </c>
      <c r="C7" s="6">
        <f t="shared" si="2"/>
        <v>-7496.4684227027747</v>
      </c>
      <c r="D7" s="6">
        <f t="shared" si="2"/>
        <v>10106.135477297223</v>
      </c>
      <c r="E7" s="6">
        <f t="shared" si="2"/>
        <v>-7448.4684227027747</v>
      </c>
      <c r="F7" s="6">
        <f t="shared" si="2"/>
        <v>-6451.6684227027745</v>
      </c>
      <c r="G7" s="6">
        <f t="shared" si="2"/>
        <v>-8824.5684227027741</v>
      </c>
      <c r="H7" s="6">
        <f t="shared" si="2"/>
        <v>-8824.5684227027741</v>
      </c>
      <c r="I7" s="6">
        <f t="shared" si="2"/>
        <v>13009.498260630557</v>
      </c>
      <c r="J7" s="6">
        <f t="shared" si="2"/>
        <v>-13458.407589369443</v>
      </c>
      <c r="K7" s="6">
        <f t="shared" si="2"/>
        <v>-13202.407589369443</v>
      </c>
      <c r="L7" s="6">
        <f t="shared" si="2"/>
        <v>18145.962427297225</v>
      </c>
      <c r="M7" s="6">
        <f t="shared" si="2"/>
        <v>-8129.943422702775</v>
      </c>
      <c r="N7" s="6">
        <f t="shared" si="2"/>
        <v>9456.6604772972241</v>
      </c>
      <c r="O7" s="6">
        <f t="shared" si="2"/>
        <v>132.43333333333385</v>
      </c>
      <c r="P7" s="6">
        <f t="shared" si="2"/>
        <v>516.43333333333385</v>
      </c>
      <c r="Q7" s="6">
        <f t="shared" si="2"/>
        <v>516.43333333333385</v>
      </c>
      <c r="R7" s="6">
        <f t="shared" si="2"/>
        <v>212.43333333333385</v>
      </c>
      <c r="S7" s="6">
        <f t="shared" si="2"/>
        <v>676.43333333333385</v>
      </c>
      <c r="T7" s="6">
        <f t="shared" si="2"/>
        <v>676.43333333333385</v>
      </c>
      <c r="U7" s="6">
        <f t="shared" si="2"/>
        <v>292.43333333333385</v>
      </c>
      <c r="V7" s="6">
        <f t="shared" si="2"/>
        <v>676.43333333333385</v>
      </c>
      <c r="W7" s="6">
        <f t="shared" si="2"/>
        <v>676.43333333333385</v>
      </c>
      <c r="X7" s="6">
        <f t="shared" si="2"/>
        <v>292.43333333333385</v>
      </c>
      <c r="Y7" s="6">
        <f t="shared" si="2"/>
        <v>676.43333333333385</v>
      </c>
      <c r="Z7" s="6">
        <f t="shared" si="2"/>
        <v>676.43333333333385</v>
      </c>
      <c r="AA7" s="6">
        <f t="shared" si="2"/>
        <v>292.43333333333385</v>
      </c>
      <c r="AB7" s="6">
        <f t="shared" si="2"/>
        <v>676.43333333333385</v>
      </c>
      <c r="AC7" s="6">
        <f t="shared" si="2"/>
        <v>676.43333333333385</v>
      </c>
      <c r="AD7" s="6">
        <f t="shared" si="2"/>
        <v>292.43333333333385</v>
      </c>
      <c r="AE7" s="6">
        <f t="shared" si="2"/>
        <v>676.43333333333385</v>
      </c>
      <c r="AF7" s="6">
        <f t="shared" si="2"/>
        <v>676.43333333333385</v>
      </c>
      <c r="AG7" s="6">
        <f t="shared" si="2"/>
        <v>292.43333333333385</v>
      </c>
      <c r="AH7" s="6">
        <f t="shared" si="2"/>
        <v>676.43333333333385</v>
      </c>
      <c r="AI7" s="6">
        <f t="shared" si="2"/>
        <v>676.43333333333385</v>
      </c>
      <c r="AJ7" s="6">
        <f t="shared" si="2"/>
        <v>292.43333333333385</v>
      </c>
      <c r="AK7" s="6">
        <f t="shared" si="2"/>
        <v>676.43333333333385</v>
      </c>
      <c r="AL7" s="6">
        <f t="shared" si="2"/>
        <v>676.43333333333385</v>
      </c>
      <c r="AM7" s="6">
        <f t="shared" si="2"/>
        <v>292.43333333333385</v>
      </c>
      <c r="AN7" s="6">
        <f t="shared" si="2"/>
        <v>676.43333333333385</v>
      </c>
      <c r="AO7" s="6">
        <f t="shared" si="2"/>
        <v>676.43333333333385</v>
      </c>
      <c r="AP7" s="6">
        <f t="shared" si="2"/>
        <v>292.43333333333385</v>
      </c>
      <c r="AQ7" s="6">
        <f t="shared" si="2"/>
        <v>676.43333333333385</v>
      </c>
      <c r="AR7" s="6">
        <f t="shared" si="2"/>
        <v>676.43333333333385</v>
      </c>
      <c r="AS7" s="6">
        <f t="shared" si="2"/>
        <v>292.43333333333385</v>
      </c>
      <c r="AT7" s="6">
        <f t="shared" si="2"/>
        <v>676.43333333333385</v>
      </c>
      <c r="AU7" s="6">
        <f t="shared" si="2"/>
        <v>676.43333333333385</v>
      </c>
      <c r="AV7" s="6">
        <f t="shared" si="2"/>
        <v>292.43333333333385</v>
      </c>
      <c r="AW7" s="6">
        <f t="shared" si="2"/>
        <v>676.43333333333385</v>
      </c>
      <c r="AX7" s="6">
        <f t="shared" si="2"/>
        <v>676.43333333333385</v>
      </c>
      <c r="AY7" s="6">
        <f t="shared" si="2"/>
        <v>292.43333333333385</v>
      </c>
      <c r="AZ7" s="6">
        <f t="shared" si="2"/>
        <v>676.43333333333385</v>
      </c>
      <c r="BA7" s="6">
        <f t="shared" si="2"/>
        <v>676.43333333333385</v>
      </c>
      <c r="BB7" s="6">
        <f t="shared" si="2"/>
        <v>292.43333333333385</v>
      </c>
      <c r="BC7" s="6">
        <f t="shared" si="2"/>
        <v>676.43333333333385</v>
      </c>
      <c r="BD7" s="6">
        <f t="shared" si="2"/>
        <v>676.43333333333385</v>
      </c>
      <c r="BE7" s="6">
        <f t="shared" si="2"/>
        <v>292.43333333333385</v>
      </c>
      <c r="BF7" s="6">
        <f t="shared" si="2"/>
        <v>676.43333333333385</v>
      </c>
      <c r="BG7" s="6">
        <f t="shared" si="2"/>
        <v>676.43333333333385</v>
      </c>
      <c r="BH7" s="6">
        <f t="shared" si="2"/>
        <v>292.43333333333385</v>
      </c>
      <c r="BI7" s="6">
        <f t="shared" si="2"/>
        <v>676.43333333333385</v>
      </c>
      <c r="BJ7" s="6">
        <f t="shared" si="2"/>
        <v>676.43333333333385</v>
      </c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</row>
    <row r="8" spans="1:75" ht="15.75" customHeight="1" x14ac:dyDescent="0.2">
      <c r="A8" s="222" t="s">
        <v>512</v>
      </c>
      <c r="B8" s="223">
        <f>B7</f>
        <v>81400.58550000003</v>
      </c>
      <c r="C8" s="223">
        <f t="shared" ref="C8:BJ8" si="3">B8+C7</f>
        <v>73904.117077297255</v>
      </c>
      <c r="D8" s="223">
        <f t="shared" si="3"/>
        <v>84010.252554594481</v>
      </c>
      <c r="E8" s="223">
        <f t="shared" si="3"/>
        <v>76561.784131891705</v>
      </c>
      <c r="F8" s="223">
        <f t="shared" si="3"/>
        <v>70110.115709188933</v>
      </c>
      <c r="G8" s="223">
        <f t="shared" si="3"/>
        <v>61285.547286486159</v>
      </c>
      <c r="H8" s="223">
        <f t="shared" si="3"/>
        <v>52460.978863783384</v>
      </c>
      <c r="I8" s="223">
        <f t="shared" si="3"/>
        <v>65470.477124413941</v>
      </c>
      <c r="J8" s="223">
        <f t="shared" si="3"/>
        <v>52012.069535044502</v>
      </c>
      <c r="K8" s="223">
        <f t="shared" si="3"/>
        <v>38809.661945675063</v>
      </c>
      <c r="L8" s="223">
        <f t="shared" si="3"/>
        <v>56955.624372972292</v>
      </c>
      <c r="M8" s="223">
        <f t="shared" si="3"/>
        <v>48825.680950269518</v>
      </c>
      <c r="N8" s="223">
        <f t="shared" si="3"/>
        <v>58282.341427566746</v>
      </c>
      <c r="O8" s="223">
        <f t="shared" si="3"/>
        <v>58414.77476090008</v>
      </c>
      <c r="P8" s="223">
        <f t="shared" si="3"/>
        <v>58931.208094233414</v>
      </c>
      <c r="Q8" s="223">
        <f t="shared" si="3"/>
        <v>59447.641427566748</v>
      </c>
      <c r="R8" s="223">
        <f t="shared" si="3"/>
        <v>59660.074760900083</v>
      </c>
      <c r="S8" s="223">
        <f t="shared" si="3"/>
        <v>60336.508094233417</v>
      </c>
      <c r="T8" s="223">
        <f t="shared" si="3"/>
        <v>61012.941427566751</v>
      </c>
      <c r="U8" s="223">
        <f t="shared" si="3"/>
        <v>61305.374760900086</v>
      </c>
      <c r="V8" s="223">
        <f t="shared" si="3"/>
        <v>61981.80809423342</v>
      </c>
      <c r="W8" s="223">
        <f t="shared" si="3"/>
        <v>62658.241427566754</v>
      </c>
      <c r="X8" s="223">
        <f t="shared" si="3"/>
        <v>62950.674760900089</v>
      </c>
      <c r="Y8" s="223">
        <f t="shared" si="3"/>
        <v>63627.108094233423</v>
      </c>
      <c r="Z8" s="223">
        <f t="shared" si="3"/>
        <v>64303.541427566757</v>
      </c>
      <c r="AA8" s="223">
        <f t="shared" si="3"/>
        <v>64595.974760900091</v>
      </c>
      <c r="AB8" s="223">
        <f t="shared" si="3"/>
        <v>65272.408094233426</v>
      </c>
      <c r="AC8" s="223">
        <f t="shared" si="3"/>
        <v>65948.84142756676</v>
      </c>
      <c r="AD8" s="223">
        <f t="shared" si="3"/>
        <v>66241.274760900094</v>
      </c>
      <c r="AE8" s="223">
        <f t="shared" si="3"/>
        <v>66917.708094233429</v>
      </c>
      <c r="AF8" s="223">
        <f t="shared" si="3"/>
        <v>67594.141427566763</v>
      </c>
      <c r="AG8" s="223">
        <f t="shared" si="3"/>
        <v>67886.574760900097</v>
      </c>
      <c r="AH8" s="223">
        <f t="shared" si="3"/>
        <v>68563.008094233432</v>
      </c>
      <c r="AI8" s="223">
        <f t="shared" si="3"/>
        <v>69239.441427566766</v>
      </c>
      <c r="AJ8" s="223">
        <f t="shared" si="3"/>
        <v>69531.8747609001</v>
      </c>
      <c r="AK8" s="223">
        <f t="shared" si="3"/>
        <v>70208.308094233435</v>
      </c>
      <c r="AL8" s="223">
        <f t="shared" si="3"/>
        <v>70884.741427566769</v>
      </c>
      <c r="AM8" s="223">
        <f t="shared" si="3"/>
        <v>71177.174760900103</v>
      </c>
      <c r="AN8" s="223">
        <f t="shared" si="3"/>
        <v>71853.608094233437</v>
      </c>
      <c r="AO8" s="223">
        <f t="shared" si="3"/>
        <v>72530.041427566772</v>
      </c>
      <c r="AP8" s="223">
        <f t="shared" si="3"/>
        <v>72822.474760900106</v>
      </c>
      <c r="AQ8" s="223">
        <f t="shared" si="3"/>
        <v>73498.90809423344</v>
      </c>
      <c r="AR8" s="223">
        <f t="shared" si="3"/>
        <v>74175.341427566775</v>
      </c>
      <c r="AS8" s="223">
        <f t="shared" si="3"/>
        <v>74467.774760900109</v>
      </c>
      <c r="AT8" s="223">
        <f t="shared" si="3"/>
        <v>75144.208094233443</v>
      </c>
      <c r="AU8" s="223">
        <f t="shared" si="3"/>
        <v>75820.641427566778</v>
      </c>
      <c r="AV8" s="223">
        <f t="shared" si="3"/>
        <v>76113.074760900112</v>
      </c>
      <c r="AW8" s="223">
        <f t="shared" si="3"/>
        <v>76789.508094233446</v>
      </c>
      <c r="AX8" s="223">
        <f t="shared" si="3"/>
        <v>77465.94142756678</v>
      </c>
      <c r="AY8" s="223">
        <f t="shared" si="3"/>
        <v>77758.374760900115</v>
      </c>
      <c r="AZ8" s="223">
        <f t="shared" si="3"/>
        <v>78434.808094233449</v>
      </c>
      <c r="BA8" s="223">
        <f t="shared" si="3"/>
        <v>79111.241427566783</v>
      </c>
      <c r="BB8" s="223">
        <f t="shared" si="3"/>
        <v>79403.674760900118</v>
      </c>
      <c r="BC8" s="223">
        <f t="shared" si="3"/>
        <v>80080.108094233452</v>
      </c>
      <c r="BD8" s="223">
        <f t="shared" si="3"/>
        <v>80756.541427566786</v>
      </c>
      <c r="BE8" s="223">
        <f t="shared" si="3"/>
        <v>81048.974760900121</v>
      </c>
      <c r="BF8" s="223">
        <f t="shared" si="3"/>
        <v>81725.408094233455</v>
      </c>
      <c r="BG8" s="223">
        <f t="shared" si="3"/>
        <v>82401.841427566789</v>
      </c>
      <c r="BH8" s="223">
        <f t="shared" si="3"/>
        <v>82694.274760900124</v>
      </c>
      <c r="BI8" s="223">
        <f t="shared" si="3"/>
        <v>83370.708094233458</v>
      </c>
      <c r="BJ8" s="223">
        <f t="shared" si="3"/>
        <v>84047.141427566792</v>
      </c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1"/>
      <c r="BW8" s="221"/>
    </row>
    <row r="9" spans="1:75" ht="15.75" customHeight="1" x14ac:dyDescent="0.2">
      <c r="A9" s="221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</row>
    <row r="10" spans="1:75" ht="15.75" customHeight="1" x14ac:dyDescent="0.2">
      <c r="A10" s="412" t="s">
        <v>513</v>
      </c>
      <c r="B10" s="408"/>
      <c r="C10" s="408"/>
      <c r="D10" s="408"/>
      <c r="E10" s="408"/>
      <c r="F10" s="408"/>
      <c r="G10" s="408"/>
      <c r="H10" s="408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  <c r="AA10" s="408"/>
      <c r="AB10" s="408"/>
      <c r="AC10" s="408"/>
      <c r="AD10" s="408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224"/>
      <c r="BD10" s="224"/>
      <c r="BE10" s="224"/>
      <c r="BF10" s="224"/>
      <c r="BG10" s="224"/>
      <c r="BH10" s="224"/>
      <c r="BI10" s="224"/>
      <c r="BJ10" s="224"/>
      <c r="BK10" s="225"/>
      <c r="BL10" s="225"/>
      <c r="BM10" s="225"/>
      <c r="BN10" s="225"/>
      <c r="BO10" s="225"/>
      <c r="BP10" s="225"/>
      <c r="BQ10" s="225"/>
      <c r="BR10" s="225"/>
      <c r="BS10" s="225"/>
      <c r="BT10" s="225"/>
      <c r="BU10" s="225"/>
      <c r="BV10" s="225"/>
      <c r="BW10" s="225"/>
    </row>
    <row r="11" spans="1:75" ht="15.75" customHeight="1" x14ac:dyDescent="0.2">
      <c r="A11" s="386"/>
      <c r="B11" s="386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W11" s="386"/>
      <c r="X11" s="386"/>
      <c r="Y11" s="386"/>
      <c r="Z11" s="386"/>
      <c r="AA11" s="386"/>
      <c r="AB11" s="386"/>
      <c r="AC11" s="386"/>
      <c r="AD11" s="386"/>
      <c r="AE11" s="386"/>
      <c r="AF11" s="386"/>
      <c r="AG11" s="386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  <c r="AR11" s="386"/>
      <c r="AS11" s="386"/>
      <c r="AT11" s="386"/>
      <c r="AU11" s="386"/>
      <c r="AV11" s="386"/>
      <c r="AW11" s="386"/>
      <c r="AX11" s="386"/>
      <c r="AY11" s="386"/>
      <c r="AZ11" s="386"/>
      <c r="BA11" s="386"/>
      <c r="BB11" s="386"/>
      <c r="BC11" s="224"/>
      <c r="BD11" s="224"/>
      <c r="BE11" s="224"/>
      <c r="BF11" s="224"/>
      <c r="BG11" s="224"/>
      <c r="BH11" s="224"/>
      <c r="BI11" s="224"/>
      <c r="BJ11" s="224"/>
      <c r="BK11" s="225"/>
      <c r="BL11" s="225"/>
      <c r="BM11" s="225"/>
      <c r="BN11" s="225"/>
      <c r="BO11" s="225"/>
      <c r="BP11" s="225"/>
      <c r="BQ11" s="225"/>
      <c r="BR11" s="225"/>
      <c r="BS11" s="225"/>
      <c r="BT11" s="225"/>
      <c r="BU11" s="225"/>
      <c r="BV11" s="225"/>
      <c r="BW11" s="225"/>
    </row>
    <row r="12" spans="1:75" ht="15.75" customHeight="1" x14ac:dyDescent="0.2">
      <c r="A12" s="221"/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1"/>
      <c r="BU12" s="221"/>
      <c r="BV12" s="221"/>
      <c r="BW12" s="221"/>
    </row>
    <row r="13" spans="1:75" ht="15.75" customHeight="1" x14ac:dyDescent="0.2">
      <c r="A13" s="226" t="s">
        <v>514</v>
      </c>
      <c r="B13" s="6">
        <f t="shared" ref="B13:BJ13" si="4">SUM(B16:B21)</f>
        <v>108534.11400000005</v>
      </c>
      <c r="C13" s="6">
        <f t="shared" si="4"/>
        <v>0</v>
      </c>
      <c r="D13" s="6">
        <f t="shared" si="4"/>
        <v>17602.603899999998</v>
      </c>
      <c r="E13" s="6">
        <f t="shared" si="4"/>
        <v>0</v>
      </c>
      <c r="F13" s="6">
        <f t="shared" si="4"/>
        <v>0</v>
      </c>
      <c r="G13" s="6">
        <f t="shared" si="4"/>
        <v>0</v>
      </c>
      <c r="H13" s="6">
        <f t="shared" si="4"/>
        <v>0</v>
      </c>
      <c r="I13" s="6">
        <f t="shared" si="4"/>
        <v>26403.905849999999</v>
      </c>
      <c r="J13" s="6">
        <f t="shared" si="4"/>
        <v>0</v>
      </c>
      <c r="K13" s="6">
        <f t="shared" si="4"/>
        <v>0</v>
      </c>
      <c r="L13" s="6">
        <f t="shared" si="4"/>
        <v>26403.905849999999</v>
      </c>
      <c r="M13" s="6">
        <f t="shared" si="4"/>
        <v>0</v>
      </c>
      <c r="N13" s="6">
        <f t="shared" si="4"/>
        <v>17602.603899999998</v>
      </c>
      <c r="O13" s="6">
        <f t="shared" si="4"/>
        <v>2288.3083333333338</v>
      </c>
      <c r="P13" s="6">
        <f t="shared" si="4"/>
        <v>2288.3083333333338</v>
      </c>
      <c r="Q13" s="6">
        <f t="shared" si="4"/>
        <v>2288.3083333333338</v>
      </c>
      <c r="R13" s="6">
        <f t="shared" si="4"/>
        <v>2288.3083333333338</v>
      </c>
      <c r="S13" s="6">
        <f t="shared" si="4"/>
        <v>2288.3083333333338</v>
      </c>
      <c r="T13" s="6">
        <f t="shared" si="4"/>
        <v>2288.3083333333338</v>
      </c>
      <c r="U13" s="6">
        <f t="shared" si="4"/>
        <v>2288.3083333333338</v>
      </c>
      <c r="V13" s="6">
        <f t="shared" si="4"/>
        <v>2288.3083333333338</v>
      </c>
      <c r="W13" s="6">
        <f t="shared" si="4"/>
        <v>2288.3083333333338</v>
      </c>
      <c r="X13" s="6">
        <f t="shared" si="4"/>
        <v>2288.3083333333338</v>
      </c>
      <c r="Y13" s="6">
        <f t="shared" si="4"/>
        <v>2288.3083333333338</v>
      </c>
      <c r="Z13" s="6">
        <f t="shared" si="4"/>
        <v>2288.3083333333338</v>
      </c>
      <c r="AA13" s="6">
        <f t="shared" si="4"/>
        <v>2288.3083333333338</v>
      </c>
      <c r="AB13" s="6">
        <f t="shared" si="4"/>
        <v>2288.3083333333338</v>
      </c>
      <c r="AC13" s="6">
        <f t="shared" si="4"/>
        <v>2288.3083333333338</v>
      </c>
      <c r="AD13" s="6">
        <f t="shared" si="4"/>
        <v>2288.3083333333338</v>
      </c>
      <c r="AE13" s="6">
        <f t="shared" si="4"/>
        <v>2288.3083333333338</v>
      </c>
      <c r="AF13" s="6">
        <f t="shared" si="4"/>
        <v>2288.3083333333338</v>
      </c>
      <c r="AG13" s="6">
        <f t="shared" si="4"/>
        <v>2288.3083333333338</v>
      </c>
      <c r="AH13" s="6">
        <f t="shared" si="4"/>
        <v>2288.3083333333338</v>
      </c>
      <c r="AI13" s="6">
        <f t="shared" si="4"/>
        <v>2288.3083333333338</v>
      </c>
      <c r="AJ13" s="6">
        <f t="shared" si="4"/>
        <v>2288.3083333333338</v>
      </c>
      <c r="AK13" s="6">
        <f t="shared" si="4"/>
        <v>2288.3083333333338</v>
      </c>
      <c r="AL13" s="6">
        <f t="shared" si="4"/>
        <v>2288.3083333333338</v>
      </c>
      <c r="AM13" s="6">
        <f t="shared" si="4"/>
        <v>2288.3083333333338</v>
      </c>
      <c r="AN13" s="6">
        <f t="shared" si="4"/>
        <v>2288.3083333333338</v>
      </c>
      <c r="AO13" s="6">
        <f t="shared" si="4"/>
        <v>2288.3083333333338</v>
      </c>
      <c r="AP13" s="6">
        <f t="shared" si="4"/>
        <v>2288.3083333333338</v>
      </c>
      <c r="AQ13" s="6">
        <f t="shared" si="4"/>
        <v>2288.3083333333338</v>
      </c>
      <c r="AR13" s="6">
        <f t="shared" si="4"/>
        <v>2288.3083333333338</v>
      </c>
      <c r="AS13" s="6">
        <f t="shared" si="4"/>
        <v>2288.3083333333338</v>
      </c>
      <c r="AT13" s="6">
        <f t="shared" si="4"/>
        <v>2288.3083333333338</v>
      </c>
      <c r="AU13" s="6">
        <f t="shared" si="4"/>
        <v>2288.3083333333338</v>
      </c>
      <c r="AV13" s="6">
        <f t="shared" si="4"/>
        <v>2288.3083333333338</v>
      </c>
      <c r="AW13" s="6">
        <f t="shared" si="4"/>
        <v>2288.3083333333338</v>
      </c>
      <c r="AX13" s="6">
        <f t="shared" si="4"/>
        <v>2288.3083333333338</v>
      </c>
      <c r="AY13" s="6">
        <f t="shared" si="4"/>
        <v>2288.3083333333338</v>
      </c>
      <c r="AZ13" s="6">
        <f t="shared" si="4"/>
        <v>2288.3083333333338</v>
      </c>
      <c r="BA13" s="6">
        <f t="shared" si="4"/>
        <v>2288.3083333333338</v>
      </c>
      <c r="BB13" s="6">
        <f t="shared" si="4"/>
        <v>2288.3083333333338</v>
      </c>
      <c r="BC13" s="6">
        <f t="shared" si="4"/>
        <v>2288.3083333333338</v>
      </c>
      <c r="BD13" s="6">
        <f t="shared" si="4"/>
        <v>2288.3083333333338</v>
      </c>
      <c r="BE13" s="6">
        <f t="shared" si="4"/>
        <v>2288.3083333333338</v>
      </c>
      <c r="BF13" s="6">
        <f t="shared" si="4"/>
        <v>2288.3083333333338</v>
      </c>
      <c r="BG13" s="6">
        <f t="shared" si="4"/>
        <v>2288.3083333333338</v>
      </c>
      <c r="BH13" s="6">
        <f t="shared" si="4"/>
        <v>2288.3083333333338</v>
      </c>
      <c r="BI13" s="6">
        <f t="shared" si="4"/>
        <v>2288.3083333333338</v>
      </c>
      <c r="BJ13" s="6">
        <f t="shared" si="4"/>
        <v>2288.3083333333338</v>
      </c>
      <c r="BK13" s="221"/>
      <c r="BL13" s="221"/>
      <c r="BM13" s="221"/>
      <c r="BN13" s="221"/>
      <c r="BO13" s="221"/>
      <c r="BP13" s="221"/>
      <c r="BQ13" s="221"/>
      <c r="BR13" s="221"/>
      <c r="BS13" s="221"/>
      <c r="BT13" s="221"/>
      <c r="BU13" s="221"/>
      <c r="BV13" s="221"/>
      <c r="BW13" s="221"/>
    </row>
    <row r="14" spans="1:75" ht="15.75" customHeight="1" x14ac:dyDescent="0.2">
      <c r="A14" s="226" t="s">
        <v>515</v>
      </c>
      <c r="B14" s="223">
        <f>B13</f>
        <v>108534.11400000005</v>
      </c>
      <c r="C14" s="223">
        <f t="shared" ref="C14:BJ14" si="5">C13+B14</f>
        <v>108534.11400000005</v>
      </c>
      <c r="D14" s="223">
        <f t="shared" si="5"/>
        <v>126136.71790000005</v>
      </c>
      <c r="E14" s="223">
        <f t="shared" si="5"/>
        <v>126136.71790000005</v>
      </c>
      <c r="F14" s="223">
        <f t="shared" si="5"/>
        <v>126136.71790000005</v>
      </c>
      <c r="G14" s="223">
        <f t="shared" si="5"/>
        <v>126136.71790000005</v>
      </c>
      <c r="H14" s="223">
        <f t="shared" si="5"/>
        <v>126136.71790000005</v>
      </c>
      <c r="I14" s="223">
        <f t="shared" si="5"/>
        <v>152540.62375000006</v>
      </c>
      <c r="J14" s="223">
        <f t="shared" si="5"/>
        <v>152540.62375000006</v>
      </c>
      <c r="K14" s="223">
        <f t="shared" si="5"/>
        <v>152540.62375000006</v>
      </c>
      <c r="L14" s="223">
        <f t="shared" si="5"/>
        <v>178944.52960000007</v>
      </c>
      <c r="M14" s="223">
        <f t="shared" si="5"/>
        <v>178944.52960000007</v>
      </c>
      <c r="N14" s="223">
        <f t="shared" si="5"/>
        <v>196547.13350000005</v>
      </c>
      <c r="O14" s="223">
        <f t="shared" si="5"/>
        <v>198835.44183333337</v>
      </c>
      <c r="P14" s="223">
        <f t="shared" si="5"/>
        <v>201123.75016666669</v>
      </c>
      <c r="Q14" s="223">
        <f t="shared" si="5"/>
        <v>203412.05850000001</v>
      </c>
      <c r="R14" s="223">
        <f t="shared" si="5"/>
        <v>205700.36683333333</v>
      </c>
      <c r="S14" s="223">
        <f t="shared" si="5"/>
        <v>207988.67516666665</v>
      </c>
      <c r="T14" s="223">
        <f t="shared" si="5"/>
        <v>210276.98349999997</v>
      </c>
      <c r="U14" s="223">
        <f t="shared" si="5"/>
        <v>212565.29183333329</v>
      </c>
      <c r="V14" s="223">
        <f t="shared" si="5"/>
        <v>214853.60016666661</v>
      </c>
      <c r="W14" s="223">
        <f t="shared" si="5"/>
        <v>217141.90849999993</v>
      </c>
      <c r="X14" s="223">
        <f t="shared" si="5"/>
        <v>219430.21683333325</v>
      </c>
      <c r="Y14" s="223">
        <f t="shared" si="5"/>
        <v>221718.52516666657</v>
      </c>
      <c r="Z14" s="223">
        <f t="shared" si="5"/>
        <v>224006.83349999989</v>
      </c>
      <c r="AA14" s="223">
        <f t="shared" si="5"/>
        <v>226295.14183333321</v>
      </c>
      <c r="AB14" s="223">
        <f t="shared" si="5"/>
        <v>228583.45016666653</v>
      </c>
      <c r="AC14" s="223">
        <f t="shared" si="5"/>
        <v>230871.75849999985</v>
      </c>
      <c r="AD14" s="223">
        <f t="shared" si="5"/>
        <v>233160.06683333317</v>
      </c>
      <c r="AE14" s="223">
        <f t="shared" si="5"/>
        <v>235448.37516666649</v>
      </c>
      <c r="AF14" s="223">
        <f t="shared" si="5"/>
        <v>237736.68349999981</v>
      </c>
      <c r="AG14" s="223">
        <f t="shared" si="5"/>
        <v>240024.99183333313</v>
      </c>
      <c r="AH14" s="223">
        <f t="shared" si="5"/>
        <v>242313.30016666645</v>
      </c>
      <c r="AI14" s="223">
        <f t="shared" si="5"/>
        <v>244601.60849999977</v>
      </c>
      <c r="AJ14" s="223">
        <f t="shared" si="5"/>
        <v>246889.91683333309</v>
      </c>
      <c r="AK14" s="223">
        <f t="shared" si="5"/>
        <v>249178.22516666641</v>
      </c>
      <c r="AL14" s="223">
        <f t="shared" si="5"/>
        <v>251466.53349999973</v>
      </c>
      <c r="AM14" s="223">
        <f t="shared" si="5"/>
        <v>253754.84183333305</v>
      </c>
      <c r="AN14" s="223">
        <f t="shared" si="5"/>
        <v>256043.15016666637</v>
      </c>
      <c r="AO14" s="223">
        <f t="shared" si="5"/>
        <v>258331.45849999969</v>
      </c>
      <c r="AP14" s="223">
        <f t="shared" si="5"/>
        <v>260619.76683333301</v>
      </c>
      <c r="AQ14" s="223">
        <f t="shared" si="5"/>
        <v>262908.07516666636</v>
      </c>
      <c r="AR14" s="223">
        <f t="shared" si="5"/>
        <v>265196.38349999971</v>
      </c>
      <c r="AS14" s="223">
        <f t="shared" si="5"/>
        <v>267484.69183333305</v>
      </c>
      <c r="AT14" s="223">
        <f t="shared" si="5"/>
        <v>269773.0001666664</v>
      </c>
      <c r="AU14" s="223">
        <f t="shared" si="5"/>
        <v>272061.30849999975</v>
      </c>
      <c r="AV14" s="223">
        <f t="shared" si="5"/>
        <v>274349.6168333331</v>
      </c>
      <c r="AW14" s="223">
        <f t="shared" si="5"/>
        <v>276637.92516666645</v>
      </c>
      <c r="AX14" s="223">
        <f t="shared" si="5"/>
        <v>278926.2334999998</v>
      </c>
      <c r="AY14" s="223">
        <f t="shared" si="5"/>
        <v>281214.54183333315</v>
      </c>
      <c r="AZ14" s="223">
        <f t="shared" si="5"/>
        <v>283502.8501666665</v>
      </c>
      <c r="BA14" s="223">
        <f t="shared" si="5"/>
        <v>285791.15849999984</v>
      </c>
      <c r="BB14" s="223">
        <f t="shared" si="5"/>
        <v>288079.46683333319</v>
      </c>
      <c r="BC14" s="223">
        <f t="shared" si="5"/>
        <v>290367.77516666654</v>
      </c>
      <c r="BD14" s="223">
        <f t="shared" si="5"/>
        <v>292656.08349999989</v>
      </c>
      <c r="BE14" s="223">
        <f t="shared" si="5"/>
        <v>294944.39183333324</v>
      </c>
      <c r="BF14" s="223">
        <f t="shared" si="5"/>
        <v>297232.70016666659</v>
      </c>
      <c r="BG14" s="223">
        <f t="shared" si="5"/>
        <v>299521.00849999994</v>
      </c>
      <c r="BH14" s="223">
        <f t="shared" si="5"/>
        <v>301809.31683333329</v>
      </c>
      <c r="BI14" s="223">
        <f t="shared" si="5"/>
        <v>304097.62516666664</v>
      </c>
      <c r="BJ14" s="223">
        <f t="shared" si="5"/>
        <v>306385.93349999998</v>
      </c>
      <c r="BK14" s="221"/>
      <c r="BL14" s="221"/>
      <c r="BM14" s="221"/>
      <c r="BN14" s="221"/>
      <c r="BO14" s="221"/>
      <c r="BP14" s="221"/>
      <c r="BQ14" s="221"/>
      <c r="BR14" s="221"/>
      <c r="BS14" s="221"/>
      <c r="BT14" s="221"/>
      <c r="BU14" s="221"/>
      <c r="BV14" s="221"/>
      <c r="BW14" s="221"/>
    </row>
    <row r="15" spans="1:75" ht="15.75" customHeight="1" x14ac:dyDescent="0.2">
      <c r="A15" s="221"/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  <c r="BM15" s="221"/>
      <c r="BN15" s="221"/>
      <c r="BO15" s="221"/>
      <c r="BP15" s="221"/>
      <c r="BQ15" s="221"/>
      <c r="BR15" s="221"/>
      <c r="BS15" s="221"/>
      <c r="BT15" s="221"/>
      <c r="BU15" s="221"/>
      <c r="BV15" s="221"/>
      <c r="BW15" s="221"/>
    </row>
    <row r="16" spans="1:75" ht="15.75" customHeight="1" x14ac:dyDescent="0.2">
      <c r="A16" s="222" t="s">
        <v>516</v>
      </c>
      <c r="B16" s="6"/>
      <c r="C16" s="6"/>
      <c r="D16" s="6">
        <f>RESUMEN!$G$6*0.2</f>
        <v>17602.603899999998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221"/>
      <c r="BL16" s="221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  <c r="BW16" s="221"/>
    </row>
    <row r="17" spans="1:75" ht="15.75" customHeight="1" x14ac:dyDescent="0.2">
      <c r="A17" s="222" t="s">
        <v>517</v>
      </c>
      <c r="B17" s="223"/>
      <c r="C17" s="223"/>
      <c r="D17" s="223"/>
      <c r="E17" s="223"/>
      <c r="F17" s="223"/>
      <c r="G17" s="223"/>
      <c r="H17" s="223"/>
      <c r="I17" s="223">
        <f>RESUMEN!$G$6*0.3</f>
        <v>26403.905849999999</v>
      </c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1"/>
      <c r="BL17" s="221"/>
      <c r="BM17" s="221"/>
      <c r="BN17" s="221"/>
      <c r="BO17" s="221"/>
      <c r="BP17" s="221"/>
      <c r="BQ17" s="221"/>
      <c r="BR17" s="221"/>
      <c r="BS17" s="221"/>
      <c r="BT17" s="221"/>
      <c r="BU17" s="221"/>
      <c r="BV17" s="221"/>
      <c r="BW17" s="221"/>
    </row>
    <row r="18" spans="1:75" ht="15.75" customHeight="1" x14ac:dyDescent="0.2">
      <c r="A18" s="222" t="s">
        <v>518</v>
      </c>
      <c r="B18" s="223"/>
      <c r="C18" s="223"/>
      <c r="D18" s="223"/>
      <c r="E18" s="223"/>
      <c r="F18" s="223"/>
      <c r="G18" s="223"/>
      <c r="H18" s="223"/>
      <c r="I18" s="223"/>
      <c r="J18" s="223"/>
      <c r="K18" s="223"/>
      <c r="L18" s="223">
        <f>RESUMEN!$G$6*0.3</f>
        <v>26403.905849999999</v>
      </c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3"/>
      <c r="BK18" s="221"/>
      <c r="BL18" s="221"/>
      <c r="BM18" s="221"/>
      <c r="BN18" s="221"/>
      <c r="BO18" s="221"/>
      <c r="BP18" s="221"/>
      <c r="BQ18" s="221"/>
      <c r="BR18" s="221"/>
      <c r="BS18" s="221"/>
      <c r="BT18" s="221"/>
      <c r="BU18" s="221"/>
      <c r="BV18" s="221"/>
      <c r="BW18" s="221"/>
    </row>
    <row r="19" spans="1:75" ht="15.75" customHeight="1" x14ac:dyDescent="0.2">
      <c r="A19" s="222" t="s">
        <v>62</v>
      </c>
      <c r="B19" s="223"/>
      <c r="C19" s="223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>
        <f>RESUMEN!$G$6*0.2</f>
        <v>17602.603899999998</v>
      </c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223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3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</row>
    <row r="20" spans="1:75" ht="15.75" customHeight="1" x14ac:dyDescent="0.2">
      <c r="A20" s="222" t="s">
        <v>63</v>
      </c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7">
        <f>RESUMEN!$G$7/48</f>
        <v>2288.3083333333338</v>
      </c>
      <c r="P20" s="223">
        <f>RESUMEN!$G$7/48</f>
        <v>2288.3083333333338</v>
      </c>
      <c r="Q20" s="223">
        <f>RESUMEN!$G$7/48</f>
        <v>2288.3083333333338</v>
      </c>
      <c r="R20" s="223">
        <f>RESUMEN!$G$7/48</f>
        <v>2288.3083333333338</v>
      </c>
      <c r="S20" s="223">
        <f>RESUMEN!$G$7/48</f>
        <v>2288.3083333333338</v>
      </c>
      <c r="T20" s="223">
        <f>RESUMEN!$G$7/48</f>
        <v>2288.3083333333338</v>
      </c>
      <c r="U20" s="223">
        <f>RESUMEN!$G$7/48</f>
        <v>2288.3083333333338</v>
      </c>
      <c r="V20" s="223">
        <f>RESUMEN!$G$7/48</f>
        <v>2288.3083333333338</v>
      </c>
      <c r="W20" s="223">
        <f>RESUMEN!$G$7/48</f>
        <v>2288.3083333333338</v>
      </c>
      <c r="X20" s="223">
        <f>RESUMEN!$G$7/48</f>
        <v>2288.3083333333338</v>
      </c>
      <c r="Y20" s="223">
        <f>RESUMEN!$G$7/48</f>
        <v>2288.3083333333338</v>
      </c>
      <c r="Z20" s="223">
        <f>RESUMEN!$G$7/48</f>
        <v>2288.3083333333338</v>
      </c>
      <c r="AA20" s="223">
        <f>RESUMEN!$G$7/48</f>
        <v>2288.3083333333338</v>
      </c>
      <c r="AB20" s="223">
        <f>RESUMEN!$G$7/48</f>
        <v>2288.3083333333338</v>
      </c>
      <c r="AC20" s="223">
        <f>RESUMEN!$G$7/48</f>
        <v>2288.3083333333338</v>
      </c>
      <c r="AD20" s="223">
        <f>RESUMEN!$G$7/48</f>
        <v>2288.3083333333338</v>
      </c>
      <c r="AE20" s="223">
        <f>RESUMEN!$G$7/48</f>
        <v>2288.3083333333338</v>
      </c>
      <c r="AF20" s="223">
        <f>RESUMEN!$G$7/48</f>
        <v>2288.3083333333338</v>
      </c>
      <c r="AG20" s="223">
        <f>RESUMEN!$G$7/48</f>
        <v>2288.3083333333338</v>
      </c>
      <c r="AH20" s="223">
        <f>RESUMEN!$G$7/48</f>
        <v>2288.3083333333338</v>
      </c>
      <c r="AI20" s="223">
        <f>RESUMEN!$G$7/48</f>
        <v>2288.3083333333338</v>
      </c>
      <c r="AJ20" s="223">
        <f>RESUMEN!$G$7/48</f>
        <v>2288.3083333333338</v>
      </c>
      <c r="AK20" s="223">
        <f>RESUMEN!$G$7/48</f>
        <v>2288.3083333333338</v>
      </c>
      <c r="AL20" s="223">
        <f>RESUMEN!$G$7/48</f>
        <v>2288.3083333333338</v>
      </c>
      <c r="AM20" s="223">
        <f>RESUMEN!$G$7/48</f>
        <v>2288.3083333333338</v>
      </c>
      <c r="AN20" s="223">
        <f>RESUMEN!$G$7/48</f>
        <v>2288.3083333333338</v>
      </c>
      <c r="AO20" s="223">
        <f>RESUMEN!$G$7/48</f>
        <v>2288.3083333333338</v>
      </c>
      <c r="AP20" s="223">
        <f>RESUMEN!$G$7/48</f>
        <v>2288.3083333333338</v>
      </c>
      <c r="AQ20" s="223">
        <f>RESUMEN!$G$7/48</f>
        <v>2288.3083333333338</v>
      </c>
      <c r="AR20" s="223">
        <f>RESUMEN!$G$7/48</f>
        <v>2288.3083333333338</v>
      </c>
      <c r="AS20" s="223">
        <f>RESUMEN!$G$7/48</f>
        <v>2288.3083333333338</v>
      </c>
      <c r="AT20" s="223">
        <f>RESUMEN!$G$7/48</f>
        <v>2288.3083333333338</v>
      </c>
      <c r="AU20" s="223">
        <f>RESUMEN!$G$7/48</f>
        <v>2288.3083333333338</v>
      </c>
      <c r="AV20" s="223">
        <f>RESUMEN!$G$7/48</f>
        <v>2288.3083333333338</v>
      </c>
      <c r="AW20" s="223">
        <f>RESUMEN!$G$7/48</f>
        <v>2288.3083333333338</v>
      </c>
      <c r="AX20" s="223">
        <f>RESUMEN!$G$7/48</f>
        <v>2288.3083333333338</v>
      </c>
      <c r="AY20" s="223">
        <f>RESUMEN!$G$7/48</f>
        <v>2288.3083333333338</v>
      </c>
      <c r="AZ20" s="223">
        <f>RESUMEN!$G$7/48</f>
        <v>2288.3083333333338</v>
      </c>
      <c r="BA20" s="223">
        <f>RESUMEN!$G$7/48</f>
        <v>2288.3083333333338</v>
      </c>
      <c r="BB20" s="223">
        <f>RESUMEN!$G$7/48</f>
        <v>2288.3083333333338</v>
      </c>
      <c r="BC20" s="223">
        <f>RESUMEN!$G$7/48</f>
        <v>2288.3083333333338</v>
      </c>
      <c r="BD20" s="223">
        <f>RESUMEN!$G$7/48</f>
        <v>2288.3083333333338</v>
      </c>
      <c r="BE20" s="223">
        <f>RESUMEN!$G$7/48</f>
        <v>2288.3083333333338</v>
      </c>
      <c r="BF20" s="223">
        <f>RESUMEN!$G$7/48</f>
        <v>2288.3083333333338</v>
      </c>
      <c r="BG20" s="223">
        <f>RESUMEN!$G$7/48</f>
        <v>2288.3083333333338</v>
      </c>
      <c r="BH20" s="223">
        <f>RESUMEN!$G$7/48</f>
        <v>2288.3083333333338</v>
      </c>
      <c r="BI20" s="223">
        <f>RESUMEN!$G$7/48</f>
        <v>2288.3083333333338</v>
      </c>
      <c r="BJ20" s="223">
        <f>RESUMEN!$G$7/48</f>
        <v>2288.3083333333338</v>
      </c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</row>
    <row r="21" spans="1:75" ht="15.75" customHeight="1" x14ac:dyDescent="0.2">
      <c r="A21" s="222" t="s">
        <v>66</v>
      </c>
      <c r="B21" s="221">
        <f>FINANCIAMIENTO!F4</f>
        <v>108534.11400000005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1"/>
      <c r="BV21" s="221"/>
      <c r="BW21" s="221"/>
    </row>
    <row r="22" spans="1:75" ht="15.75" customHeight="1" x14ac:dyDescent="0.2">
      <c r="A22" s="221"/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1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1"/>
      <c r="BJ22" s="221"/>
      <c r="BK22" s="221"/>
      <c r="BL22" s="221"/>
      <c r="BM22" s="221"/>
      <c r="BN22" s="221"/>
      <c r="BO22" s="221"/>
      <c r="BP22" s="221"/>
      <c r="BQ22" s="221"/>
      <c r="BR22" s="221"/>
      <c r="BS22" s="221"/>
      <c r="BT22" s="221"/>
      <c r="BU22" s="221"/>
      <c r="BV22" s="221"/>
      <c r="BW22" s="221"/>
    </row>
    <row r="23" spans="1:75" ht="15.75" customHeight="1" x14ac:dyDescent="0.2">
      <c r="A23" s="408" t="s">
        <v>519</v>
      </c>
      <c r="B23" s="386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6"/>
      <c r="Z23" s="386"/>
      <c r="AA23" s="386"/>
      <c r="AB23" s="386"/>
      <c r="AC23" s="386"/>
      <c r="AD23" s="386"/>
      <c r="AE23" s="386"/>
      <c r="AF23" s="386"/>
      <c r="AG23" s="386"/>
      <c r="AH23" s="386"/>
      <c r="AI23" s="386"/>
      <c r="AJ23" s="386"/>
      <c r="AK23" s="386"/>
      <c r="AL23" s="386"/>
      <c r="AM23" s="386"/>
      <c r="AN23" s="386"/>
      <c r="AO23" s="386"/>
      <c r="AP23" s="386"/>
      <c r="AQ23" s="386"/>
      <c r="AR23" s="386"/>
      <c r="AS23" s="386"/>
      <c r="AT23" s="386"/>
      <c r="AU23" s="386"/>
      <c r="AV23" s="386"/>
      <c r="AW23" s="386"/>
      <c r="AX23" s="386"/>
      <c r="AY23" s="386"/>
      <c r="AZ23" s="386"/>
      <c r="BA23" s="386"/>
      <c r="BB23" s="386"/>
      <c r="BC23" s="224"/>
      <c r="BD23" s="224"/>
      <c r="BE23" s="224"/>
      <c r="BF23" s="224"/>
      <c r="BG23" s="224"/>
      <c r="BH23" s="224"/>
      <c r="BI23" s="224"/>
      <c r="BJ23" s="224"/>
      <c r="BK23" s="225"/>
      <c r="BL23" s="225"/>
      <c r="BM23" s="225"/>
      <c r="BN23" s="225"/>
      <c r="BO23" s="225"/>
      <c r="BP23" s="225"/>
      <c r="BQ23" s="225"/>
      <c r="BR23" s="225"/>
      <c r="BS23" s="225"/>
      <c r="BT23" s="225"/>
      <c r="BU23" s="225"/>
      <c r="BV23" s="225"/>
      <c r="BW23" s="225"/>
    </row>
    <row r="24" spans="1:75" ht="15.75" customHeight="1" x14ac:dyDescent="0.2">
      <c r="A24" s="221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  <c r="BW24" s="221"/>
    </row>
    <row r="25" spans="1:75" ht="15.75" customHeight="1" x14ac:dyDescent="0.2">
      <c r="A25" s="226" t="s">
        <v>520</v>
      </c>
      <c r="B25" s="223">
        <f t="shared" ref="B25:BJ25" si="6">-SUM(B29:B43)</f>
        <v>27133.528500000011</v>
      </c>
      <c r="C25" s="223">
        <f t="shared" si="6"/>
        <v>7496.4684227027747</v>
      </c>
      <c r="D25" s="223">
        <f t="shared" si="6"/>
        <v>7496.4684227027747</v>
      </c>
      <c r="E25" s="223">
        <f t="shared" si="6"/>
        <v>7448.4684227027747</v>
      </c>
      <c r="F25" s="223">
        <f t="shared" si="6"/>
        <v>6451.6684227027745</v>
      </c>
      <c r="G25" s="223">
        <f t="shared" si="6"/>
        <v>8824.5684227027741</v>
      </c>
      <c r="H25" s="223">
        <f t="shared" si="6"/>
        <v>8824.5684227027741</v>
      </c>
      <c r="I25" s="223">
        <f t="shared" si="6"/>
        <v>13394.407589369443</v>
      </c>
      <c r="J25" s="223">
        <f t="shared" si="6"/>
        <v>13458.407589369443</v>
      </c>
      <c r="K25" s="223">
        <f t="shared" si="6"/>
        <v>13202.407589369443</v>
      </c>
      <c r="L25" s="223">
        <f t="shared" si="6"/>
        <v>8257.9434227027741</v>
      </c>
      <c r="M25" s="223">
        <f t="shared" si="6"/>
        <v>8129.943422702775</v>
      </c>
      <c r="N25" s="223">
        <f t="shared" si="6"/>
        <v>8145.943422702775</v>
      </c>
      <c r="O25" s="223">
        <f t="shared" si="6"/>
        <v>2155.875</v>
      </c>
      <c r="P25" s="223">
        <f t="shared" si="6"/>
        <v>1771.875</v>
      </c>
      <c r="Q25" s="223">
        <f t="shared" si="6"/>
        <v>1771.875</v>
      </c>
      <c r="R25" s="223">
        <f t="shared" si="6"/>
        <v>2075.875</v>
      </c>
      <c r="S25" s="223">
        <f t="shared" si="6"/>
        <v>1611.875</v>
      </c>
      <c r="T25" s="223">
        <f t="shared" si="6"/>
        <v>1611.875</v>
      </c>
      <c r="U25" s="223">
        <f t="shared" si="6"/>
        <v>1995.875</v>
      </c>
      <c r="V25" s="223">
        <f t="shared" si="6"/>
        <v>1611.875</v>
      </c>
      <c r="W25" s="223">
        <f t="shared" si="6"/>
        <v>1611.875</v>
      </c>
      <c r="X25" s="223">
        <f t="shared" si="6"/>
        <v>1995.875</v>
      </c>
      <c r="Y25" s="223">
        <f t="shared" si="6"/>
        <v>1611.875</v>
      </c>
      <c r="Z25" s="223">
        <f t="shared" si="6"/>
        <v>1611.875</v>
      </c>
      <c r="AA25" s="223">
        <f t="shared" si="6"/>
        <v>1995.875</v>
      </c>
      <c r="AB25" s="223">
        <f t="shared" si="6"/>
        <v>1611.875</v>
      </c>
      <c r="AC25" s="223">
        <f t="shared" si="6"/>
        <v>1611.875</v>
      </c>
      <c r="AD25" s="223">
        <f t="shared" si="6"/>
        <v>1995.875</v>
      </c>
      <c r="AE25" s="223">
        <f t="shared" si="6"/>
        <v>1611.875</v>
      </c>
      <c r="AF25" s="223">
        <f t="shared" si="6"/>
        <v>1611.875</v>
      </c>
      <c r="AG25" s="223">
        <f t="shared" si="6"/>
        <v>1995.875</v>
      </c>
      <c r="AH25" s="223">
        <f t="shared" si="6"/>
        <v>1611.875</v>
      </c>
      <c r="AI25" s="223">
        <f t="shared" si="6"/>
        <v>1611.875</v>
      </c>
      <c r="AJ25" s="223">
        <f t="shared" si="6"/>
        <v>1995.875</v>
      </c>
      <c r="AK25" s="223">
        <f t="shared" si="6"/>
        <v>1611.875</v>
      </c>
      <c r="AL25" s="223">
        <f t="shared" si="6"/>
        <v>1611.875</v>
      </c>
      <c r="AM25" s="223">
        <f t="shared" si="6"/>
        <v>1995.875</v>
      </c>
      <c r="AN25" s="223">
        <f t="shared" si="6"/>
        <v>1611.875</v>
      </c>
      <c r="AO25" s="223">
        <f t="shared" si="6"/>
        <v>1611.875</v>
      </c>
      <c r="AP25" s="223">
        <f t="shared" si="6"/>
        <v>1995.875</v>
      </c>
      <c r="AQ25" s="223">
        <f t="shared" si="6"/>
        <v>1611.875</v>
      </c>
      <c r="AR25" s="223">
        <f t="shared" si="6"/>
        <v>1611.875</v>
      </c>
      <c r="AS25" s="223">
        <f t="shared" si="6"/>
        <v>1995.875</v>
      </c>
      <c r="AT25" s="223">
        <f t="shared" si="6"/>
        <v>1611.875</v>
      </c>
      <c r="AU25" s="223">
        <f t="shared" si="6"/>
        <v>1611.875</v>
      </c>
      <c r="AV25" s="223">
        <f t="shared" si="6"/>
        <v>1995.875</v>
      </c>
      <c r="AW25" s="223">
        <f t="shared" si="6"/>
        <v>1611.875</v>
      </c>
      <c r="AX25" s="223">
        <f t="shared" si="6"/>
        <v>1611.875</v>
      </c>
      <c r="AY25" s="223">
        <f t="shared" si="6"/>
        <v>1995.875</v>
      </c>
      <c r="AZ25" s="223">
        <f t="shared" si="6"/>
        <v>1611.875</v>
      </c>
      <c r="BA25" s="223">
        <f t="shared" si="6"/>
        <v>1611.875</v>
      </c>
      <c r="BB25" s="223">
        <f t="shared" si="6"/>
        <v>1995.875</v>
      </c>
      <c r="BC25" s="223">
        <f t="shared" si="6"/>
        <v>1611.875</v>
      </c>
      <c r="BD25" s="223">
        <f t="shared" si="6"/>
        <v>1611.875</v>
      </c>
      <c r="BE25" s="223">
        <f t="shared" si="6"/>
        <v>1995.875</v>
      </c>
      <c r="BF25" s="223">
        <f t="shared" si="6"/>
        <v>1611.875</v>
      </c>
      <c r="BG25" s="223">
        <f t="shared" si="6"/>
        <v>1611.875</v>
      </c>
      <c r="BH25" s="223">
        <f t="shared" si="6"/>
        <v>1995.875</v>
      </c>
      <c r="BI25" s="223">
        <f t="shared" si="6"/>
        <v>1611.875</v>
      </c>
      <c r="BJ25" s="223">
        <f t="shared" si="6"/>
        <v>1611.875</v>
      </c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  <c r="BW25" s="221"/>
    </row>
    <row r="26" spans="1:75" ht="15.75" customHeight="1" x14ac:dyDescent="0.2">
      <c r="A26" s="226" t="s">
        <v>521</v>
      </c>
      <c r="B26" s="6">
        <f>B25</f>
        <v>27133.528500000011</v>
      </c>
      <c r="C26" s="6">
        <f t="shared" ref="C26:BJ26" si="7">C25+B26</f>
        <v>34629.996922702783</v>
      </c>
      <c r="D26" s="6">
        <f t="shared" si="7"/>
        <v>42126.465345405559</v>
      </c>
      <c r="E26" s="6">
        <f t="shared" si="7"/>
        <v>49574.933768108334</v>
      </c>
      <c r="F26" s="6">
        <f t="shared" si="7"/>
        <v>56026.602190811107</v>
      </c>
      <c r="G26" s="6">
        <f t="shared" si="7"/>
        <v>64851.170613513881</v>
      </c>
      <c r="H26" s="6">
        <f t="shared" si="7"/>
        <v>73675.739036216662</v>
      </c>
      <c r="I26" s="6">
        <f t="shared" si="7"/>
        <v>87070.146625586101</v>
      </c>
      <c r="J26" s="6">
        <f t="shared" si="7"/>
        <v>100528.55421495554</v>
      </c>
      <c r="K26" s="6">
        <f t="shared" si="7"/>
        <v>113730.96180432498</v>
      </c>
      <c r="L26" s="6">
        <f t="shared" si="7"/>
        <v>121988.90522702775</v>
      </c>
      <c r="M26" s="6">
        <f t="shared" si="7"/>
        <v>130118.84864973053</v>
      </c>
      <c r="N26" s="6">
        <f t="shared" si="7"/>
        <v>138264.79207243331</v>
      </c>
      <c r="O26" s="6">
        <f t="shared" si="7"/>
        <v>140420.66707243331</v>
      </c>
      <c r="P26" s="6">
        <f t="shared" si="7"/>
        <v>142192.54207243331</v>
      </c>
      <c r="Q26" s="6">
        <f t="shared" si="7"/>
        <v>143964.41707243331</v>
      </c>
      <c r="R26" s="6">
        <f t="shared" si="7"/>
        <v>146040.29207243331</v>
      </c>
      <c r="S26" s="6">
        <f t="shared" si="7"/>
        <v>147652.16707243331</v>
      </c>
      <c r="T26" s="6">
        <f t="shared" si="7"/>
        <v>149264.04207243331</v>
      </c>
      <c r="U26" s="6">
        <f t="shared" si="7"/>
        <v>151259.91707243331</v>
      </c>
      <c r="V26" s="6">
        <f t="shared" si="7"/>
        <v>152871.79207243331</v>
      </c>
      <c r="W26" s="6">
        <f t="shared" si="7"/>
        <v>154483.66707243331</v>
      </c>
      <c r="X26" s="6">
        <f t="shared" si="7"/>
        <v>156479.54207243331</v>
      </c>
      <c r="Y26" s="6">
        <f t="shared" si="7"/>
        <v>158091.41707243331</v>
      </c>
      <c r="Z26" s="6">
        <f t="shared" si="7"/>
        <v>159703.29207243331</v>
      </c>
      <c r="AA26" s="6">
        <f t="shared" si="7"/>
        <v>161699.16707243331</v>
      </c>
      <c r="AB26" s="6">
        <f t="shared" si="7"/>
        <v>163311.04207243331</v>
      </c>
      <c r="AC26" s="6">
        <f t="shared" si="7"/>
        <v>164922.91707243331</v>
      </c>
      <c r="AD26" s="6">
        <f t="shared" si="7"/>
        <v>166918.79207243331</v>
      </c>
      <c r="AE26" s="6">
        <f t="shared" si="7"/>
        <v>168530.66707243331</v>
      </c>
      <c r="AF26" s="6">
        <f t="shared" si="7"/>
        <v>170142.54207243331</v>
      </c>
      <c r="AG26" s="6">
        <f t="shared" si="7"/>
        <v>172138.41707243331</v>
      </c>
      <c r="AH26" s="6">
        <f t="shared" si="7"/>
        <v>173750.29207243331</v>
      </c>
      <c r="AI26" s="6">
        <f t="shared" si="7"/>
        <v>175362.16707243331</v>
      </c>
      <c r="AJ26" s="6">
        <f t="shared" si="7"/>
        <v>177358.04207243331</v>
      </c>
      <c r="AK26" s="6">
        <f t="shared" si="7"/>
        <v>178969.91707243331</v>
      </c>
      <c r="AL26" s="6">
        <f t="shared" si="7"/>
        <v>180581.79207243331</v>
      </c>
      <c r="AM26" s="6">
        <f t="shared" si="7"/>
        <v>182577.66707243331</v>
      </c>
      <c r="AN26" s="6">
        <f t="shared" si="7"/>
        <v>184189.54207243331</v>
      </c>
      <c r="AO26" s="6">
        <f t="shared" si="7"/>
        <v>185801.41707243331</v>
      </c>
      <c r="AP26" s="6">
        <f t="shared" si="7"/>
        <v>187797.29207243331</v>
      </c>
      <c r="AQ26" s="6">
        <f t="shared" si="7"/>
        <v>189409.16707243331</v>
      </c>
      <c r="AR26" s="6">
        <f t="shared" si="7"/>
        <v>191021.04207243331</v>
      </c>
      <c r="AS26" s="6">
        <f t="shared" si="7"/>
        <v>193016.91707243331</v>
      </c>
      <c r="AT26" s="6">
        <f t="shared" si="7"/>
        <v>194628.79207243331</v>
      </c>
      <c r="AU26" s="6">
        <f t="shared" si="7"/>
        <v>196240.66707243331</v>
      </c>
      <c r="AV26" s="6">
        <f t="shared" si="7"/>
        <v>198236.54207243331</v>
      </c>
      <c r="AW26" s="6">
        <f t="shared" si="7"/>
        <v>199848.41707243331</v>
      </c>
      <c r="AX26" s="6">
        <f t="shared" si="7"/>
        <v>201460.29207243331</v>
      </c>
      <c r="AY26" s="6">
        <f t="shared" si="7"/>
        <v>203456.16707243331</v>
      </c>
      <c r="AZ26" s="6">
        <f t="shared" si="7"/>
        <v>205068.04207243331</v>
      </c>
      <c r="BA26" s="6">
        <f t="shared" si="7"/>
        <v>206679.91707243331</v>
      </c>
      <c r="BB26" s="6">
        <f t="shared" si="7"/>
        <v>208675.79207243331</v>
      </c>
      <c r="BC26" s="6">
        <f t="shared" si="7"/>
        <v>210287.66707243331</v>
      </c>
      <c r="BD26" s="6">
        <f t="shared" si="7"/>
        <v>211899.54207243331</v>
      </c>
      <c r="BE26" s="6">
        <f t="shared" si="7"/>
        <v>213895.41707243331</v>
      </c>
      <c r="BF26" s="6">
        <f t="shared" si="7"/>
        <v>215507.29207243331</v>
      </c>
      <c r="BG26" s="6">
        <f t="shared" si="7"/>
        <v>217119.16707243331</v>
      </c>
      <c r="BH26" s="6">
        <f t="shared" si="7"/>
        <v>219115.04207243331</v>
      </c>
      <c r="BI26" s="6">
        <f t="shared" si="7"/>
        <v>220726.91707243331</v>
      </c>
      <c r="BJ26" s="6">
        <f t="shared" si="7"/>
        <v>222338.79207243331</v>
      </c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  <c r="BW26" s="221"/>
    </row>
    <row r="27" spans="1:75" ht="15.75" customHeight="1" x14ac:dyDescent="0.2">
      <c r="A27" s="221"/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221"/>
      <c r="BO27" s="221"/>
      <c r="BP27" s="221"/>
      <c r="BQ27" s="221"/>
      <c r="BR27" s="221"/>
      <c r="BS27" s="221"/>
      <c r="BT27" s="221"/>
      <c r="BU27" s="221"/>
      <c r="BV27" s="221"/>
      <c r="BW27" s="221"/>
    </row>
    <row r="28" spans="1:75" ht="15.75" customHeight="1" x14ac:dyDescent="0.2">
      <c r="A28" s="228"/>
      <c r="B28" s="229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</row>
    <row r="29" spans="1:75" ht="15.75" customHeight="1" x14ac:dyDescent="0.2">
      <c r="A29" s="222" t="s">
        <v>522</v>
      </c>
      <c r="B29" s="4">
        <f>'FLUJO DE CAJA COMPLETO'!B14</f>
        <v>-27133.528500000011</v>
      </c>
      <c r="C29" s="6">
        <f>'FLUJO DE CAJA COMPLETO'!C9</f>
        <v>-5048.4684227027747</v>
      </c>
      <c r="D29" s="6">
        <f>'FLUJO DE CAJA COMPLETO'!D9</f>
        <v>-5048.4684227027747</v>
      </c>
      <c r="E29" s="6">
        <f>'FLUJO DE CAJA COMPLETO'!E9</f>
        <v>-5048.4684227027747</v>
      </c>
      <c r="F29" s="6">
        <f>'FLUJO DE CAJA COMPLETO'!F9</f>
        <v>-5048.4684227027747</v>
      </c>
      <c r="G29" s="6">
        <f>'FLUJO DE CAJA COMPLETO'!G9</f>
        <v>-5048.4684227027747</v>
      </c>
      <c r="H29" s="6">
        <f>'FLUJO DE CAJA COMPLETO'!H9</f>
        <v>-5048.4684227027747</v>
      </c>
      <c r="I29" s="6">
        <f>'FLUJO DE CAJA COMPLETO'!I9</f>
        <v>-5048.4684227027747</v>
      </c>
      <c r="J29" s="6">
        <f>'FLUJO DE CAJA COMPLETO'!J9</f>
        <v>-5048.4684227027747</v>
      </c>
      <c r="K29" s="6">
        <f>'FLUJO DE CAJA COMPLETO'!K9</f>
        <v>-5048.4684227027747</v>
      </c>
      <c r="L29" s="6">
        <f>'FLUJO DE CAJA COMPLETO'!L9</f>
        <v>-5048.4684227027747</v>
      </c>
      <c r="M29" s="6">
        <f>'FLUJO DE CAJA COMPLETO'!M9</f>
        <v>-5048.4684227027747</v>
      </c>
      <c r="N29" s="6">
        <f>'FLUJO DE CAJA COMPLETO'!N9</f>
        <v>-5048.4684227027747</v>
      </c>
      <c r="O29" s="6">
        <f>'FLUJO DE CAJA COMPLETO'!O9</f>
        <v>0</v>
      </c>
      <c r="P29" s="6">
        <f>'FLUJO DE CAJA COMPLETO'!P9</f>
        <v>0</v>
      </c>
      <c r="Q29" s="6">
        <f>'FLUJO DE CAJA COMPLETO'!Q9</f>
        <v>0</v>
      </c>
      <c r="R29" s="6">
        <f>'FLUJO DE CAJA COMPLETO'!R9</f>
        <v>0</v>
      </c>
      <c r="S29" s="6">
        <f>'FLUJO DE CAJA COMPLETO'!S9</f>
        <v>0</v>
      </c>
      <c r="T29" s="6">
        <f>'FLUJO DE CAJA COMPLETO'!T9</f>
        <v>0</v>
      </c>
      <c r="U29" s="6">
        <f>'FLUJO DE CAJA COMPLETO'!U9</f>
        <v>0</v>
      </c>
      <c r="V29" s="6">
        <f>'FLUJO DE CAJA COMPLETO'!V9</f>
        <v>0</v>
      </c>
      <c r="W29" s="6">
        <f>'FLUJO DE CAJA COMPLETO'!W9</f>
        <v>0</v>
      </c>
      <c r="X29" s="6">
        <f>'FLUJO DE CAJA COMPLETO'!X9</f>
        <v>0</v>
      </c>
      <c r="Y29" s="6">
        <f>'FLUJO DE CAJA COMPLETO'!Y9</f>
        <v>0</v>
      </c>
      <c r="Z29" s="6">
        <f>'FLUJO DE CAJA COMPLETO'!Z9</f>
        <v>0</v>
      </c>
      <c r="AA29" s="6">
        <f>'FLUJO DE CAJA COMPLETO'!AA9</f>
        <v>0</v>
      </c>
      <c r="AB29" s="6">
        <f>'FLUJO DE CAJA COMPLETO'!AB9</f>
        <v>0</v>
      </c>
      <c r="AC29" s="6">
        <f>'FLUJO DE CAJA COMPLETO'!AC9</f>
        <v>0</v>
      </c>
      <c r="AD29" s="6">
        <f>'FLUJO DE CAJA COMPLETO'!AD9</f>
        <v>0</v>
      </c>
      <c r="AE29" s="6">
        <f>'FLUJO DE CAJA COMPLETO'!AE9</f>
        <v>0</v>
      </c>
      <c r="AF29" s="6">
        <f>'FLUJO DE CAJA COMPLETO'!AF9</f>
        <v>0</v>
      </c>
      <c r="AG29" s="6">
        <f>'FLUJO DE CAJA COMPLETO'!AG9</f>
        <v>0</v>
      </c>
      <c r="AH29" s="6">
        <f>'FLUJO DE CAJA COMPLETO'!AH9</f>
        <v>0</v>
      </c>
      <c r="AI29" s="6">
        <f>'FLUJO DE CAJA COMPLETO'!AI9</f>
        <v>0</v>
      </c>
      <c r="AJ29" s="6">
        <f>'FLUJO DE CAJA COMPLETO'!AJ9</f>
        <v>0</v>
      </c>
      <c r="AK29" s="6">
        <f>'FLUJO DE CAJA COMPLETO'!AK9</f>
        <v>0</v>
      </c>
      <c r="AL29" s="6">
        <f>'FLUJO DE CAJA COMPLETO'!AL9</f>
        <v>0</v>
      </c>
      <c r="AM29" s="6">
        <f>'FLUJO DE CAJA COMPLETO'!AM9</f>
        <v>0</v>
      </c>
      <c r="AN29" s="6">
        <f>'FLUJO DE CAJA COMPLETO'!AN9</f>
        <v>0</v>
      </c>
      <c r="AO29" s="6">
        <f>'FLUJO DE CAJA COMPLETO'!AO9</f>
        <v>0</v>
      </c>
      <c r="AP29" s="6">
        <f>'FLUJO DE CAJA COMPLETO'!AP9</f>
        <v>0</v>
      </c>
      <c r="AQ29" s="6">
        <f>'FLUJO DE CAJA COMPLETO'!AQ9</f>
        <v>0</v>
      </c>
      <c r="AR29" s="6">
        <f>'FLUJO DE CAJA COMPLETO'!AR9</f>
        <v>0</v>
      </c>
      <c r="AS29" s="6">
        <f>'FLUJO DE CAJA COMPLETO'!AS9</f>
        <v>0</v>
      </c>
      <c r="AT29" s="6">
        <f>'FLUJO DE CAJA COMPLETO'!AT9</f>
        <v>0</v>
      </c>
      <c r="AU29" s="6">
        <f>'FLUJO DE CAJA COMPLETO'!AU9</f>
        <v>0</v>
      </c>
      <c r="AV29" s="6">
        <f>'FLUJO DE CAJA COMPLETO'!AV9</f>
        <v>0</v>
      </c>
      <c r="AW29" s="6">
        <f>'FLUJO DE CAJA COMPLETO'!AW9</f>
        <v>0</v>
      </c>
      <c r="AX29" s="6">
        <f>'FLUJO DE CAJA COMPLETO'!AX9</f>
        <v>0</v>
      </c>
      <c r="AY29" s="6">
        <f>'FLUJO DE CAJA COMPLETO'!AY9</f>
        <v>0</v>
      </c>
      <c r="AZ29" s="6">
        <f>'FLUJO DE CAJA COMPLETO'!AZ9</f>
        <v>0</v>
      </c>
      <c r="BA29" s="6">
        <f>'FLUJO DE CAJA COMPLETO'!BA9</f>
        <v>0</v>
      </c>
      <c r="BB29" s="6">
        <f>'FLUJO DE CAJA COMPLETO'!BB9</f>
        <v>0</v>
      </c>
      <c r="BC29" s="6">
        <f>'FLUJO DE CAJA COMPLETO'!BC9</f>
        <v>0</v>
      </c>
      <c r="BD29" s="6">
        <f>'FLUJO DE CAJA COMPLETO'!BD9</f>
        <v>0</v>
      </c>
      <c r="BE29" s="6">
        <f>'FLUJO DE CAJA COMPLETO'!BE9</f>
        <v>0</v>
      </c>
      <c r="BF29" s="6">
        <f>'FLUJO DE CAJA COMPLETO'!BF9</f>
        <v>0</v>
      </c>
      <c r="BG29" s="6">
        <f>'FLUJO DE CAJA COMPLETO'!BG9</f>
        <v>0</v>
      </c>
      <c r="BH29" s="6">
        <f>'FLUJO DE CAJA COMPLETO'!BH9</f>
        <v>0</v>
      </c>
      <c r="BI29" s="6">
        <f>'FLUJO DE CAJA COMPLETO'!BI9</f>
        <v>0</v>
      </c>
      <c r="BJ29" s="6">
        <f>'FLUJO DE CAJA COMPLETO'!BJ9</f>
        <v>0</v>
      </c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</row>
    <row r="30" spans="1:75" ht="15.75" customHeight="1" x14ac:dyDescent="0.2">
      <c r="A30" s="222" t="s">
        <v>523</v>
      </c>
      <c r="B30" s="6"/>
      <c r="C30" s="6">
        <f>-'COSTOS DE OPERACION'!C49</f>
        <v>-2448</v>
      </c>
      <c r="D30" s="6">
        <f>-'COSTOS DE OPERACION'!D49</f>
        <v>-2448</v>
      </c>
      <c r="E30" s="6">
        <f>-'COSTOS DE OPERACION'!E49</f>
        <v>-2400</v>
      </c>
      <c r="F30" s="6">
        <f>-'COSTOS DE OPERACION'!F49</f>
        <v>-1403.2</v>
      </c>
      <c r="G30" s="6">
        <f>-'COSTOS DE OPERACION'!G49</f>
        <v>-2768</v>
      </c>
      <c r="H30" s="6">
        <f>-'COSTOS DE OPERACION'!H49</f>
        <v>-2768</v>
      </c>
      <c r="I30" s="6">
        <f>-'COSTOS DE OPERACION'!I49</f>
        <v>-2288</v>
      </c>
      <c r="J30" s="6">
        <f>-'COSTOS DE OPERACION'!J49</f>
        <v>-2352</v>
      </c>
      <c r="K30" s="6">
        <f>-'COSTOS DE OPERACION'!K49</f>
        <v>-2096</v>
      </c>
      <c r="L30" s="6">
        <f>-'COSTOS DE OPERACION'!L49</f>
        <v>-2096</v>
      </c>
      <c r="M30" s="6">
        <f>-'COSTOS DE OPERACION'!M49</f>
        <v>-1968</v>
      </c>
      <c r="N30" s="6">
        <f>-'COSTOS DE OPERACION'!N49</f>
        <v>-1984</v>
      </c>
      <c r="O30" s="6">
        <f>-'COSTOS DE OPERACION'!O49</f>
        <v>-1042.4000000000001</v>
      </c>
      <c r="P30" s="6">
        <f>-'COSTOS DE OPERACION'!P49</f>
        <v>-658.4</v>
      </c>
      <c r="Q30" s="6">
        <f>-'COSTOS DE OPERACION'!Q49</f>
        <v>-658.4</v>
      </c>
      <c r="R30" s="6">
        <f>-'COSTOS DE OPERACION'!R49</f>
        <v>-962.4</v>
      </c>
      <c r="S30" s="6">
        <f>-'COSTOS DE OPERACION'!S49</f>
        <v>-498.4</v>
      </c>
      <c r="T30" s="6">
        <f>-'COSTOS DE OPERACION'!T49</f>
        <v>-498.4</v>
      </c>
      <c r="U30" s="6">
        <f>-'COSTOS DE OPERACION'!U49</f>
        <v>-882.4</v>
      </c>
      <c r="V30" s="6">
        <f>-'COSTOS DE OPERACION'!V49</f>
        <v>-498.4</v>
      </c>
      <c r="W30" s="6">
        <f>-'COSTOS DE OPERACION'!W49</f>
        <v>-498.4</v>
      </c>
      <c r="X30" s="6">
        <f>-'COSTOS DE OPERACION'!X49</f>
        <v>-882.4</v>
      </c>
      <c r="Y30" s="6">
        <f>-'COSTOS DE OPERACION'!Y49</f>
        <v>-498.4</v>
      </c>
      <c r="Z30" s="6">
        <f>-'COSTOS DE OPERACION'!Z49</f>
        <v>-498.4</v>
      </c>
      <c r="AA30" s="6">
        <f>-'COSTOS DE OPERACION'!AA49</f>
        <v>-882.4</v>
      </c>
      <c r="AB30" s="6">
        <f>-'COSTOS DE OPERACION'!AB49</f>
        <v>-498.4</v>
      </c>
      <c r="AC30" s="6">
        <f>-'COSTOS DE OPERACION'!AC49</f>
        <v>-498.4</v>
      </c>
      <c r="AD30" s="6">
        <f>-'COSTOS DE OPERACION'!AD49</f>
        <v>-882.4</v>
      </c>
      <c r="AE30" s="6">
        <f>-'COSTOS DE OPERACION'!AE49</f>
        <v>-498.4</v>
      </c>
      <c r="AF30" s="6">
        <f>-'COSTOS DE OPERACION'!AF49</f>
        <v>-498.4</v>
      </c>
      <c r="AG30" s="6">
        <f>-'COSTOS DE OPERACION'!AG49</f>
        <v>-882.4</v>
      </c>
      <c r="AH30" s="6">
        <f>-'COSTOS DE OPERACION'!AH49</f>
        <v>-498.4</v>
      </c>
      <c r="AI30" s="6">
        <f>-'COSTOS DE OPERACION'!AI49</f>
        <v>-498.4</v>
      </c>
      <c r="AJ30" s="6">
        <f>-'COSTOS DE OPERACION'!AJ49</f>
        <v>-882.4</v>
      </c>
      <c r="AK30" s="6">
        <f>-'COSTOS DE OPERACION'!AK49</f>
        <v>-498.4</v>
      </c>
      <c r="AL30" s="6">
        <f>-'COSTOS DE OPERACION'!AL49</f>
        <v>-498.4</v>
      </c>
      <c r="AM30" s="6">
        <f>-'COSTOS DE OPERACION'!AM49</f>
        <v>-882.4</v>
      </c>
      <c r="AN30" s="6">
        <f>-'COSTOS DE OPERACION'!AN49</f>
        <v>-498.4</v>
      </c>
      <c r="AO30" s="6">
        <f>-'COSTOS DE OPERACION'!AO49</f>
        <v>-498.4</v>
      </c>
      <c r="AP30" s="6">
        <f>-'COSTOS DE OPERACION'!AP49</f>
        <v>-882.4</v>
      </c>
      <c r="AQ30" s="6">
        <f>-'COSTOS DE OPERACION'!AQ49</f>
        <v>-498.4</v>
      </c>
      <c r="AR30" s="6">
        <f>-'COSTOS DE OPERACION'!AR49</f>
        <v>-498.4</v>
      </c>
      <c r="AS30" s="6">
        <f>-'COSTOS DE OPERACION'!AS49</f>
        <v>-882.4</v>
      </c>
      <c r="AT30" s="6">
        <f>-'COSTOS DE OPERACION'!AT49</f>
        <v>-498.4</v>
      </c>
      <c r="AU30" s="6">
        <f>-'COSTOS DE OPERACION'!AU49</f>
        <v>-498.4</v>
      </c>
      <c r="AV30" s="6">
        <f>-'COSTOS DE OPERACION'!AV49</f>
        <v>-882.4</v>
      </c>
      <c r="AW30" s="6">
        <f>-'COSTOS DE OPERACION'!AW49</f>
        <v>-498.4</v>
      </c>
      <c r="AX30" s="6">
        <f>-'COSTOS DE OPERACION'!AX49</f>
        <v>-498.4</v>
      </c>
      <c r="AY30" s="6">
        <f>-'COSTOS DE OPERACION'!AY49</f>
        <v>-882.4</v>
      </c>
      <c r="AZ30" s="6">
        <f>-'COSTOS DE OPERACION'!AZ49</f>
        <v>-498.4</v>
      </c>
      <c r="BA30" s="6">
        <f>-'COSTOS DE OPERACION'!BA49</f>
        <v>-498.4</v>
      </c>
      <c r="BB30" s="6">
        <f>-'COSTOS DE OPERACION'!BB49</f>
        <v>-882.4</v>
      </c>
      <c r="BC30" s="6">
        <f>-'COSTOS DE OPERACION'!BC49</f>
        <v>-498.4</v>
      </c>
      <c r="BD30" s="6">
        <f>-'COSTOS DE OPERACION'!BD49</f>
        <v>-498.4</v>
      </c>
      <c r="BE30" s="6">
        <f>-'COSTOS DE OPERACION'!BE49</f>
        <v>-882.4</v>
      </c>
      <c r="BF30" s="6">
        <f>-'COSTOS DE OPERACION'!BF49</f>
        <v>-498.4</v>
      </c>
      <c r="BG30" s="6">
        <f>-'COSTOS DE OPERACION'!BG49</f>
        <v>-498.4</v>
      </c>
      <c r="BH30" s="6">
        <f>-'COSTOS DE OPERACION'!BH49</f>
        <v>-882.4</v>
      </c>
      <c r="BI30" s="6">
        <f>-'COSTOS DE OPERACION'!BI49</f>
        <v>-498.4</v>
      </c>
      <c r="BJ30" s="6">
        <f>-'COSTOS DE OPERACION'!BJ49</f>
        <v>-498.4</v>
      </c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</row>
    <row r="31" spans="1:75" ht="15.75" customHeight="1" x14ac:dyDescent="0.25">
      <c r="A31" s="230" t="s">
        <v>524</v>
      </c>
      <c r="B31" s="231"/>
      <c r="C31" s="231"/>
      <c r="D31" s="6"/>
      <c r="E31" s="231"/>
      <c r="F31" s="6"/>
      <c r="G31" s="6"/>
      <c r="H31" s="6"/>
      <c r="I31" s="6">
        <f>-ADQUISICIONES!$B$77/3</f>
        <v>-4944.4641666666666</v>
      </c>
      <c r="J31" s="6">
        <f>-ADQUISICIONES!$B$77/3</f>
        <v>-4944.4641666666666</v>
      </c>
      <c r="K31" s="6">
        <f>-ADQUISICIONES!$B$77/3</f>
        <v>-4944.4641666666666</v>
      </c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1"/>
      <c r="BF31" s="231"/>
      <c r="BG31" s="231"/>
      <c r="BH31" s="231"/>
      <c r="BI31" s="231"/>
      <c r="BJ31" s="231"/>
      <c r="BK31" s="232"/>
      <c r="BL31" s="232"/>
      <c r="BM31" s="232"/>
      <c r="BN31" s="232"/>
      <c r="BO31" s="232"/>
      <c r="BP31" s="232"/>
      <c r="BQ31" s="232"/>
      <c r="BR31" s="232"/>
      <c r="BS31" s="232"/>
      <c r="BT31" s="232"/>
      <c r="BU31" s="232"/>
      <c r="BV31" s="232"/>
      <c r="BW31" s="232"/>
    </row>
    <row r="32" spans="1:75" ht="15.75" customHeight="1" x14ac:dyDescent="0.2">
      <c r="A32" s="222" t="s">
        <v>525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</row>
    <row r="33" spans="1:75" ht="15.75" customHeight="1" x14ac:dyDescent="0.2">
      <c r="A33" s="222" t="str">
        <f>+ ADQUISICIONES!A50</f>
        <v>NN7</v>
      </c>
      <c r="B33" s="6"/>
      <c r="C33" s="6"/>
      <c r="D33" s="6"/>
      <c r="E33" s="6"/>
      <c r="F33" s="6"/>
      <c r="G33" s="6"/>
      <c r="H33" s="6"/>
      <c r="I33" s="6">
        <f>-ADQUISICIONES!$G$51</f>
        <v>-1.375</v>
      </c>
      <c r="J33" s="6">
        <f>-ADQUISICIONES!$G$51</f>
        <v>-1.375</v>
      </c>
      <c r="K33" s="6">
        <f>-ADQUISICIONES!$G$51</f>
        <v>-1.375</v>
      </c>
      <c r="L33" s="6">
        <f>-ADQUISICIONES!$G$51</f>
        <v>-1.375</v>
      </c>
      <c r="M33" s="6">
        <f>-ADQUISICIONES!$G$51</f>
        <v>-1.375</v>
      </c>
      <c r="N33" s="6">
        <f>-ADQUISICIONES!$G$51</f>
        <v>-1.375</v>
      </c>
      <c r="O33" s="6">
        <f>-ADQUISICIONES!$G$51</f>
        <v>-1.375</v>
      </c>
      <c r="P33" s="6">
        <f>-ADQUISICIONES!$G$51</f>
        <v>-1.375</v>
      </c>
      <c r="Q33" s="6">
        <f>-ADQUISICIONES!$G$51</f>
        <v>-1.375</v>
      </c>
      <c r="R33" s="6">
        <f>-ADQUISICIONES!$G$51</f>
        <v>-1.375</v>
      </c>
      <c r="S33" s="6">
        <f>-ADQUISICIONES!$G$51</f>
        <v>-1.375</v>
      </c>
      <c r="T33" s="6">
        <f>-ADQUISICIONES!$G$51</f>
        <v>-1.375</v>
      </c>
      <c r="U33" s="6">
        <f>-ADQUISICIONES!$G$51</f>
        <v>-1.375</v>
      </c>
      <c r="V33" s="6">
        <f>-ADQUISICIONES!$G$51</f>
        <v>-1.375</v>
      </c>
      <c r="W33" s="6">
        <f>-ADQUISICIONES!$G$51</f>
        <v>-1.375</v>
      </c>
      <c r="X33" s="6">
        <f>-ADQUISICIONES!$G$51</f>
        <v>-1.375</v>
      </c>
      <c r="Y33" s="6">
        <f>-ADQUISICIONES!$G$51</f>
        <v>-1.375</v>
      </c>
      <c r="Z33" s="6">
        <f>-ADQUISICIONES!$G$51</f>
        <v>-1.375</v>
      </c>
      <c r="AA33" s="6">
        <f>-ADQUISICIONES!$G$51</f>
        <v>-1.375</v>
      </c>
      <c r="AB33" s="6">
        <f>-ADQUISICIONES!$G$51</f>
        <v>-1.375</v>
      </c>
      <c r="AC33" s="6">
        <f>-ADQUISICIONES!$G$51</f>
        <v>-1.375</v>
      </c>
      <c r="AD33" s="6">
        <f>-ADQUISICIONES!$G$51</f>
        <v>-1.375</v>
      </c>
      <c r="AE33" s="6">
        <f>-ADQUISICIONES!$G$51</f>
        <v>-1.375</v>
      </c>
      <c r="AF33" s="6">
        <f>-ADQUISICIONES!$G$51</f>
        <v>-1.375</v>
      </c>
      <c r="AG33" s="6">
        <f>-ADQUISICIONES!$G$51</f>
        <v>-1.375</v>
      </c>
      <c r="AH33" s="6">
        <f>-ADQUISICIONES!$G$51</f>
        <v>-1.375</v>
      </c>
      <c r="AI33" s="6">
        <f>-ADQUISICIONES!$G$51</f>
        <v>-1.375</v>
      </c>
      <c r="AJ33" s="6">
        <f>-ADQUISICIONES!$G$51</f>
        <v>-1.375</v>
      </c>
      <c r="AK33" s="6">
        <f>-ADQUISICIONES!$G$51</f>
        <v>-1.375</v>
      </c>
      <c r="AL33" s="6">
        <f>-ADQUISICIONES!$G$51</f>
        <v>-1.375</v>
      </c>
      <c r="AM33" s="6">
        <f>-ADQUISICIONES!$G$51</f>
        <v>-1.375</v>
      </c>
      <c r="AN33" s="6">
        <f>-ADQUISICIONES!$G$51</f>
        <v>-1.375</v>
      </c>
      <c r="AO33" s="6">
        <f>-ADQUISICIONES!$G$51</f>
        <v>-1.375</v>
      </c>
      <c r="AP33" s="6">
        <f>-ADQUISICIONES!$G$51</f>
        <v>-1.375</v>
      </c>
      <c r="AQ33" s="6">
        <f>-ADQUISICIONES!$G$51</f>
        <v>-1.375</v>
      </c>
      <c r="AR33" s="6">
        <f>-ADQUISICIONES!$G$51</f>
        <v>-1.375</v>
      </c>
      <c r="AS33" s="6">
        <f>-ADQUISICIONES!$G$51</f>
        <v>-1.375</v>
      </c>
      <c r="AT33" s="6">
        <f>-ADQUISICIONES!$G$51</f>
        <v>-1.375</v>
      </c>
      <c r="AU33" s="6">
        <f>-ADQUISICIONES!$G$51</f>
        <v>-1.375</v>
      </c>
      <c r="AV33" s="6">
        <f>-ADQUISICIONES!$G$51</f>
        <v>-1.375</v>
      </c>
      <c r="AW33" s="6">
        <f>-ADQUISICIONES!$G$51</f>
        <v>-1.375</v>
      </c>
      <c r="AX33" s="6">
        <f>-ADQUISICIONES!$G$51</f>
        <v>-1.375</v>
      </c>
      <c r="AY33" s="6">
        <f>-ADQUISICIONES!$G$51</f>
        <v>-1.375</v>
      </c>
      <c r="AZ33" s="6">
        <f>-ADQUISICIONES!$G$51</f>
        <v>-1.375</v>
      </c>
      <c r="BA33" s="6">
        <f>-ADQUISICIONES!$G$51</f>
        <v>-1.375</v>
      </c>
      <c r="BB33" s="6">
        <f>-ADQUISICIONES!$G$51</f>
        <v>-1.375</v>
      </c>
      <c r="BC33" s="6">
        <f>-ADQUISICIONES!$G$51</f>
        <v>-1.375</v>
      </c>
      <c r="BD33" s="6">
        <f>-ADQUISICIONES!$G$51</f>
        <v>-1.375</v>
      </c>
      <c r="BE33" s="6">
        <f>-ADQUISICIONES!$G$51</f>
        <v>-1.375</v>
      </c>
      <c r="BF33" s="6">
        <f>-ADQUISICIONES!$G$51</f>
        <v>-1.375</v>
      </c>
      <c r="BG33" s="6">
        <f>-ADQUISICIONES!$G$51</f>
        <v>-1.375</v>
      </c>
      <c r="BH33" s="6">
        <f>-ADQUISICIONES!$G$51</f>
        <v>-1.375</v>
      </c>
      <c r="BI33" s="6">
        <f>-ADQUISICIONES!$G$51</f>
        <v>-1.375</v>
      </c>
      <c r="BJ33" s="6">
        <f>-ADQUISICIONES!$G$51</f>
        <v>-1.375</v>
      </c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  <c r="BW33" s="221"/>
    </row>
    <row r="34" spans="1:75" ht="15.75" customHeight="1" x14ac:dyDescent="0.2">
      <c r="A34" s="222" t="str">
        <f>+ ADQUISICIONES!A51</f>
        <v>NN8</v>
      </c>
      <c r="B34" s="6"/>
      <c r="C34" s="6"/>
      <c r="D34" s="6"/>
      <c r="E34" s="6"/>
      <c r="F34" s="6"/>
      <c r="G34" s="6"/>
      <c r="H34" s="6"/>
      <c r="I34" s="6">
        <f>-ADQUISICIONES!$G$50</f>
        <v>-1.25</v>
      </c>
      <c r="J34" s="6">
        <f>-ADQUISICIONES!$G$50</f>
        <v>-1.25</v>
      </c>
      <c r="K34" s="6">
        <f>-ADQUISICIONES!$G$50</f>
        <v>-1.25</v>
      </c>
      <c r="L34" s="6">
        <f>-ADQUISICIONES!$G$50</f>
        <v>-1.25</v>
      </c>
      <c r="M34" s="6">
        <f>-ADQUISICIONES!$G$50</f>
        <v>-1.25</v>
      </c>
      <c r="N34" s="6">
        <f>-ADQUISICIONES!$G$50</f>
        <v>-1.25</v>
      </c>
      <c r="O34" s="6">
        <f>-ADQUISICIONES!$G$50</f>
        <v>-1.25</v>
      </c>
      <c r="P34" s="6">
        <f>-ADQUISICIONES!$G$50</f>
        <v>-1.25</v>
      </c>
      <c r="Q34" s="6">
        <f>-ADQUISICIONES!$G$50</f>
        <v>-1.25</v>
      </c>
      <c r="R34" s="6">
        <f>-ADQUISICIONES!$G$50</f>
        <v>-1.25</v>
      </c>
      <c r="S34" s="6">
        <f>-ADQUISICIONES!$G$50</f>
        <v>-1.25</v>
      </c>
      <c r="T34" s="6">
        <f>-ADQUISICIONES!$G$50</f>
        <v>-1.25</v>
      </c>
      <c r="U34" s="6">
        <f>-ADQUISICIONES!$G$50</f>
        <v>-1.25</v>
      </c>
      <c r="V34" s="6">
        <f>-ADQUISICIONES!$G$50</f>
        <v>-1.25</v>
      </c>
      <c r="W34" s="6">
        <f>-ADQUISICIONES!$G$50</f>
        <v>-1.25</v>
      </c>
      <c r="X34" s="6">
        <f>-ADQUISICIONES!$G$50</f>
        <v>-1.25</v>
      </c>
      <c r="Y34" s="6">
        <f>-ADQUISICIONES!$G$50</f>
        <v>-1.25</v>
      </c>
      <c r="Z34" s="6">
        <f>-ADQUISICIONES!$G$50</f>
        <v>-1.25</v>
      </c>
      <c r="AA34" s="6">
        <f>-ADQUISICIONES!$G$50</f>
        <v>-1.25</v>
      </c>
      <c r="AB34" s="6">
        <f>-ADQUISICIONES!$G$50</f>
        <v>-1.25</v>
      </c>
      <c r="AC34" s="6">
        <f>-ADQUISICIONES!$G$50</f>
        <v>-1.25</v>
      </c>
      <c r="AD34" s="6">
        <f>-ADQUISICIONES!$G$50</f>
        <v>-1.25</v>
      </c>
      <c r="AE34" s="6">
        <f>-ADQUISICIONES!$G$50</f>
        <v>-1.25</v>
      </c>
      <c r="AF34" s="6">
        <f>-ADQUISICIONES!$G$50</f>
        <v>-1.25</v>
      </c>
      <c r="AG34" s="6">
        <f>-ADQUISICIONES!$G$50</f>
        <v>-1.25</v>
      </c>
      <c r="AH34" s="6">
        <f>-ADQUISICIONES!$G$50</f>
        <v>-1.25</v>
      </c>
      <c r="AI34" s="6">
        <f>-ADQUISICIONES!$G$50</f>
        <v>-1.25</v>
      </c>
      <c r="AJ34" s="6">
        <f>-ADQUISICIONES!$G$50</f>
        <v>-1.25</v>
      </c>
      <c r="AK34" s="6">
        <f>-ADQUISICIONES!$G$50</f>
        <v>-1.25</v>
      </c>
      <c r="AL34" s="6">
        <f>-ADQUISICIONES!$G$50</f>
        <v>-1.25</v>
      </c>
      <c r="AM34" s="6">
        <f>-ADQUISICIONES!$G$50</f>
        <v>-1.25</v>
      </c>
      <c r="AN34" s="6">
        <f>-ADQUISICIONES!$G$50</f>
        <v>-1.25</v>
      </c>
      <c r="AO34" s="6">
        <f>-ADQUISICIONES!$G$50</f>
        <v>-1.25</v>
      </c>
      <c r="AP34" s="6">
        <f>-ADQUISICIONES!$G$50</f>
        <v>-1.25</v>
      </c>
      <c r="AQ34" s="6">
        <f>-ADQUISICIONES!$G$50</f>
        <v>-1.25</v>
      </c>
      <c r="AR34" s="6">
        <f>-ADQUISICIONES!$G$50</f>
        <v>-1.25</v>
      </c>
      <c r="AS34" s="6">
        <f>-ADQUISICIONES!$G$50</f>
        <v>-1.25</v>
      </c>
      <c r="AT34" s="6">
        <f>-ADQUISICIONES!$G$50</f>
        <v>-1.25</v>
      </c>
      <c r="AU34" s="6">
        <f>-ADQUISICIONES!$G$50</f>
        <v>-1.25</v>
      </c>
      <c r="AV34" s="6">
        <f>-ADQUISICIONES!$G$50</f>
        <v>-1.25</v>
      </c>
      <c r="AW34" s="6">
        <f>-ADQUISICIONES!$G$50</f>
        <v>-1.25</v>
      </c>
      <c r="AX34" s="6">
        <f>-ADQUISICIONES!$G$50</f>
        <v>-1.25</v>
      </c>
      <c r="AY34" s="6">
        <f>-ADQUISICIONES!$G$50</f>
        <v>-1.25</v>
      </c>
      <c r="AZ34" s="6">
        <f>-ADQUISICIONES!$G$50</f>
        <v>-1.25</v>
      </c>
      <c r="BA34" s="6">
        <f>-ADQUISICIONES!$G$50</f>
        <v>-1.25</v>
      </c>
      <c r="BB34" s="6">
        <f>-ADQUISICIONES!$G$50</f>
        <v>-1.25</v>
      </c>
      <c r="BC34" s="6">
        <f>-ADQUISICIONES!$G$50</f>
        <v>-1.25</v>
      </c>
      <c r="BD34" s="6">
        <f>-ADQUISICIONES!$G$50</f>
        <v>-1.25</v>
      </c>
      <c r="BE34" s="6">
        <f>-ADQUISICIONES!$G$50</f>
        <v>-1.25</v>
      </c>
      <c r="BF34" s="6">
        <f>-ADQUISICIONES!$G$50</f>
        <v>-1.25</v>
      </c>
      <c r="BG34" s="6">
        <f>-ADQUISICIONES!$G$50</f>
        <v>-1.25</v>
      </c>
      <c r="BH34" s="6">
        <f>-ADQUISICIONES!$G$50</f>
        <v>-1.25</v>
      </c>
      <c r="BI34" s="6">
        <f>-ADQUISICIONES!$G$50</f>
        <v>-1.25</v>
      </c>
      <c r="BJ34" s="6">
        <f>-ADQUISICIONES!$G$50</f>
        <v>-1.25</v>
      </c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</row>
    <row r="35" spans="1:75" ht="15.75" customHeight="1" x14ac:dyDescent="0.2">
      <c r="A35" s="222" t="str">
        <f>+ ADQUISICIONES!A53</f>
        <v>SIT1</v>
      </c>
      <c r="B35" s="6"/>
      <c r="C35" s="6"/>
      <c r="D35" s="6"/>
      <c r="E35" s="6"/>
      <c r="F35" s="6"/>
      <c r="G35" s="6"/>
      <c r="H35" s="6"/>
      <c r="I35" s="6">
        <f>-ADQUISICIONES!$G$53</f>
        <v>-9.9499999999999993</v>
      </c>
      <c r="J35" s="6">
        <f>-ADQUISICIONES!$G$53</f>
        <v>-9.9499999999999993</v>
      </c>
      <c r="K35" s="6">
        <f>-ADQUISICIONES!$G$53</f>
        <v>-9.9499999999999993</v>
      </c>
      <c r="L35" s="6">
        <f>-ADQUISICIONES!$G$53</f>
        <v>-9.9499999999999993</v>
      </c>
      <c r="M35" s="6">
        <f>-ADQUISICIONES!$G$53</f>
        <v>-9.9499999999999993</v>
      </c>
      <c r="N35" s="6">
        <f>-ADQUISICIONES!$G$53</f>
        <v>-9.9499999999999993</v>
      </c>
      <c r="O35" s="6">
        <f>-ADQUISICIONES!$G$53</f>
        <v>-9.9499999999999993</v>
      </c>
      <c r="P35" s="6">
        <f>-ADQUISICIONES!$G$53</f>
        <v>-9.9499999999999993</v>
      </c>
      <c r="Q35" s="6">
        <f>-ADQUISICIONES!$G$53</f>
        <v>-9.9499999999999993</v>
      </c>
      <c r="R35" s="6">
        <f>-ADQUISICIONES!$G$53</f>
        <v>-9.9499999999999993</v>
      </c>
      <c r="S35" s="6">
        <f>-ADQUISICIONES!$G$53</f>
        <v>-9.9499999999999993</v>
      </c>
      <c r="T35" s="6">
        <f>-ADQUISICIONES!$G$53</f>
        <v>-9.9499999999999993</v>
      </c>
      <c r="U35" s="6">
        <f>-ADQUISICIONES!$G$53</f>
        <v>-9.9499999999999993</v>
      </c>
      <c r="V35" s="6">
        <f>-ADQUISICIONES!$G$53</f>
        <v>-9.9499999999999993</v>
      </c>
      <c r="W35" s="6">
        <f>-ADQUISICIONES!$G$53</f>
        <v>-9.9499999999999993</v>
      </c>
      <c r="X35" s="6">
        <f>-ADQUISICIONES!$G$53</f>
        <v>-9.9499999999999993</v>
      </c>
      <c r="Y35" s="6">
        <f>-ADQUISICIONES!$G$53</f>
        <v>-9.9499999999999993</v>
      </c>
      <c r="Z35" s="6">
        <f>-ADQUISICIONES!$G$53</f>
        <v>-9.9499999999999993</v>
      </c>
      <c r="AA35" s="6">
        <f>-ADQUISICIONES!$G$53</f>
        <v>-9.9499999999999993</v>
      </c>
      <c r="AB35" s="6">
        <f>-ADQUISICIONES!$G$53</f>
        <v>-9.9499999999999993</v>
      </c>
      <c r="AC35" s="6">
        <f>-ADQUISICIONES!$G$53</f>
        <v>-9.9499999999999993</v>
      </c>
      <c r="AD35" s="6">
        <f>-ADQUISICIONES!$G$53</f>
        <v>-9.9499999999999993</v>
      </c>
      <c r="AE35" s="6">
        <f>-ADQUISICIONES!$G$53</f>
        <v>-9.9499999999999993</v>
      </c>
      <c r="AF35" s="6">
        <f>-ADQUISICIONES!$G$53</f>
        <v>-9.9499999999999993</v>
      </c>
      <c r="AG35" s="6">
        <f>-ADQUISICIONES!$G$53</f>
        <v>-9.9499999999999993</v>
      </c>
      <c r="AH35" s="6">
        <f>-ADQUISICIONES!$G$53</f>
        <v>-9.9499999999999993</v>
      </c>
      <c r="AI35" s="6">
        <f>-ADQUISICIONES!$G$53</f>
        <v>-9.9499999999999993</v>
      </c>
      <c r="AJ35" s="6">
        <f>-ADQUISICIONES!$G$53</f>
        <v>-9.9499999999999993</v>
      </c>
      <c r="AK35" s="6">
        <f>-ADQUISICIONES!$G$53</f>
        <v>-9.9499999999999993</v>
      </c>
      <c r="AL35" s="6">
        <f>-ADQUISICIONES!$G$53</f>
        <v>-9.9499999999999993</v>
      </c>
      <c r="AM35" s="6">
        <f>-ADQUISICIONES!$G$53</f>
        <v>-9.9499999999999993</v>
      </c>
      <c r="AN35" s="6">
        <f>-ADQUISICIONES!$G$53</f>
        <v>-9.9499999999999993</v>
      </c>
      <c r="AO35" s="6">
        <f>-ADQUISICIONES!$G$53</f>
        <v>-9.9499999999999993</v>
      </c>
      <c r="AP35" s="6">
        <f>-ADQUISICIONES!$G$53</f>
        <v>-9.9499999999999993</v>
      </c>
      <c r="AQ35" s="6">
        <f>-ADQUISICIONES!$G$53</f>
        <v>-9.9499999999999993</v>
      </c>
      <c r="AR35" s="6">
        <f>-ADQUISICIONES!$G$53</f>
        <v>-9.9499999999999993</v>
      </c>
      <c r="AS35" s="6">
        <f>-ADQUISICIONES!$G$53</f>
        <v>-9.9499999999999993</v>
      </c>
      <c r="AT35" s="6">
        <f>-ADQUISICIONES!$G$53</f>
        <v>-9.9499999999999993</v>
      </c>
      <c r="AU35" s="6">
        <f>-ADQUISICIONES!$G$53</f>
        <v>-9.9499999999999993</v>
      </c>
      <c r="AV35" s="6">
        <f>-ADQUISICIONES!$G$53</f>
        <v>-9.9499999999999993</v>
      </c>
      <c r="AW35" s="6">
        <f>-ADQUISICIONES!$G$53</f>
        <v>-9.9499999999999993</v>
      </c>
      <c r="AX35" s="6">
        <f>-ADQUISICIONES!$G$53</f>
        <v>-9.9499999999999993</v>
      </c>
      <c r="AY35" s="6">
        <f>-ADQUISICIONES!$G$53</f>
        <v>-9.9499999999999993</v>
      </c>
      <c r="AZ35" s="6">
        <f>-ADQUISICIONES!$G$53</f>
        <v>-9.9499999999999993</v>
      </c>
      <c r="BA35" s="6">
        <f>-ADQUISICIONES!$G$53</f>
        <v>-9.9499999999999993</v>
      </c>
      <c r="BB35" s="6">
        <f>-ADQUISICIONES!$G$53</f>
        <v>-9.9499999999999993</v>
      </c>
      <c r="BC35" s="6">
        <f>-ADQUISICIONES!$G$53</f>
        <v>-9.9499999999999993</v>
      </c>
      <c r="BD35" s="6">
        <f>-ADQUISICIONES!$G$53</f>
        <v>-9.9499999999999993</v>
      </c>
      <c r="BE35" s="6">
        <f>-ADQUISICIONES!$G$53</f>
        <v>-9.9499999999999993</v>
      </c>
      <c r="BF35" s="6">
        <f>-ADQUISICIONES!$G$53</f>
        <v>-9.9499999999999993</v>
      </c>
      <c r="BG35" s="6">
        <f>-ADQUISICIONES!$G$53</f>
        <v>-9.9499999999999993</v>
      </c>
      <c r="BH35" s="6">
        <f>-ADQUISICIONES!$G$53</f>
        <v>-9.9499999999999993</v>
      </c>
      <c r="BI35" s="6">
        <f>-ADQUISICIONES!$G$53</f>
        <v>-9.9499999999999993</v>
      </c>
      <c r="BJ35" s="6">
        <f>-ADQUISICIONES!$G$53</f>
        <v>-9.9499999999999993</v>
      </c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</row>
    <row r="36" spans="1:75" ht="15.75" customHeight="1" x14ac:dyDescent="0.2">
      <c r="A36" s="222" t="str">
        <f>+ ADQUISICIONES!A54</f>
        <v>SIT2</v>
      </c>
      <c r="B36" s="6"/>
      <c r="C36" s="6"/>
      <c r="D36" s="6"/>
      <c r="E36" s="6"/>
      <c r="F36" s="6"/>
      <c r="G36" s="6"/>
      <c r="H36" s="6"/>
      <c r="I36" s="6">
        <f>-ADQUISICIONES!$G$54</f>
        <v>-7.2</v>
      </c>
      <c r="J36" s="6">
        <f>-ADQUISICIONES!$G$54</f>
        <v>-7.2</v>
      </c>
      <c r="K36" s="6">
        <f>-ADQUISICIONES!$G$54</f>
        <v>-7.2</v>
      </c>
      <c r="L36" s="6">
        <f>-ADQUISICIONES!$G$54</f>
        <v>-7.2</v>
      </c>
      <c r="M36" s="6">
        <f>-ADQUISICIONES!$G$54</f>
        <v>-7.2</v>
      </c>
      <c r="N36" s="6">
        <f>-ADQUISICIONES!$G$54</f>
        <v>-7.2</v>
      </c>
      <c r="O36" s="6">
        <f>-ADQUISICIONES!$G$54</f>
        <v>-7.2</v>
      </c>
      <c r="P36" s="6">
        <f>-ADQUISICIONES!$G$54</f>
        <v>-7.2</v>
      </c>
      <c r="Q36" s="6">
        <f>-ADQUISICIONES!$G$54</f>
        <v>-7.2</v>
      </c>
      <c r="R36" s="6">
        <f>-ADQUISICIONES!$G$54</f>
        <v>-7.2</v>
      </c>
      <c r="S36" s="6">
        <f>-ADQUISICIONES!$G$54</f>
        <v>-7.2</v>
      </c>
      <c r="T36" s="6">
        <f>-ADQUISICIONES!$G$54</f>
        <v>-7.2</v>
      </c>
      <c r="U36" s="6">
        <f>-ADQUISICIONES!$G$54</f>
        <v>-7.2</v>
      </c>
      <c r="V36" s="6">
        <f>-ADQUISICIONES!$G$54</f>
        <v>-7.2</v>
      </c>
      <c r="W36" s="6">
        <f>-ADQUISICIONES!$G$54</f>
        <v>-7.2</v>
      </c>
      <c r="X36" s="6">
        <f>-ADQUISICIONES!$G$54</f>
        <v>-7.2</v>
      </c>
      <c r="Y36" s="6">
        <f>-ADQUISICIONES!$G$54</f>
        <v>-7.2</v>
      </c>
      <c r="Z36" s="6">
        <f>-ADQUISICIONES!$G$54</f>
        <v>-7.2</v>
      </c>
      <c r="AA36" s="6">
        <f>-ADQUISICIONES!$G$54</f>
        <v>-7.2</v>
      </c>
      <c r="AB36" s="6">
        <f>-ADQUISICIONES!$G$54</f>
        <v>-7.2</v>
      </c>
      <c r="AC36" s="6">
        <f>-ADQUISICIONES!$G$54</f>
        <v>-7.2</v>
      </c>
      <c r="AD36" s="6">
        <f>-ADQUISICIONES!$G$54</f>
        <v>-7.2</v>
      </c>
      <c r="AE36" s="6">
        <f>-ADQUISICIONES!$G$54</f>
        <v>-7.2</v>
      </c>
      <c r="AF36" s="6">
        <f>-ADQUISICIONES!$G$54</f>
        <v>-7.2</v>
      </c>
      <c r="AG36" s="6">
        <f>-ADQUISICIONES!$G$54</f>
        <v>-7.2</v>
      </c>
      <c r="AH36" s="6">
        <f>-ADQUISICIONES!$G$54</f>
        <v>-7.2</v>
      </c>
      <c r="AI36" s="6">
        <f>-ADQUISICIONES!$G$54</f>
        <v>-7.2</v>
      </c>
      <c r="AJ36" s="6">
        <f>-ADQUISICIONES!$G$54</f>
        <v>-7.2</v>
      </c>
      <c r="AK36" s="6">
        <f>-ADQUISICIONES!$G$54</f>
        <v>-7.2</v>
      </c>
      <c r="AL36" s="6">
        <f>-ADQUISICIONES!$G$54</f>
        <v>-7.2</v>
      </c>
      <c r="AM36" s="6">
        <f>-ADQUISICIONES!$G$54</f>
        <v>-7.2</v>
      </c>
      <c r="AN36" s="6">
        <f>-ADQUISICIONES!$G$54</f>
        <v>-7.2</v>
      </c>
      <c r="AO36" s="6">
        <f>-ADQUISICIONES!$G$54</f>
        <v>-7.2</v>
      </c>
      <c r="AP36" s="6">
        <f>-ADQUISICIONES!$G$54</f>
        <v>-7.2</v>
      </c>
      <c r="AQ36" s="6">
        <f>-ADQUISICIONES!$G$54</f>
        <v>-7.2</v>
      </c>
      <c r="AR36" s="6">
        <f>-ADQUISICIONES!$G$54</f>
        <v>-7.2</v>
      </c>
      <c r="AS36" s="6">
        <f>-ADQUISICIONES!$G$54</f>
        <v>-7.2</v>
      </c>
      <c r="AT36" s="6">
        <f>-ADQUISICIONES!$G$54</f>
        <v>-7.2</v>
      </c>
      <c r="AU36" s="6">
        <f>-ADQUISICIONES!$G$54</f>
        <v>-7.2</v>
      </c>
      <c r="AV36" s="6">
        <f>-ADQUISICIONES!$G$54</f>
        <v>-7.2</v>
      </c>
      <c r="AW36" s="6">
        <f>-ADQUISICIONES!$G$54</f>
        <v>-7.2</v>
      </c>
      <c r="AX36" s="6">
        <f>-ADQUISICIONES!$G$54</f>
        <v>-7.2</v>
      </c>
      <c r="AY36" s="6">
        <f>-ADQUISICIONES!$G$54</f>
        <v>-7.2</v>
      </c>
      <c r="AZ36" s="6">
        <f>-ADQUISICIONES!$G$54</f>
        <v>-7.2</v>
      </c>
      <c r="BA36" s="6">
        <f>-ADQUISICIONES!$G$54</f>
        <v>-7.2</v>
      </c>
      <c r="BB36" s="6">
        <f>-ADQUISICIONES!$G$54</f>
        <v>-7.2</v>
      </c>
      <c r="BC36" s="6">
        <f>-ADQUISICIONES!$G$54</f>
        <v>-7.2</v>
      </c>
      <c r="BD36" s="6">
        <f>-ADQUISICIONES!$G$54</f>
        <v>-7.2</v>
      </c>
      <c r="BE36" s="6">
        <f>-ADQUISICIONES!$G$54</f>
        <v>-7.2</v>
      </c>
      <c r="BF36" s="6">
        <f>-ADQUISICIONES!$G$54</f>
        <v>-7.2</v>
      </c>
      <c r="BG36" s="6">
        <f>-ADQUISICIONES!$G$54</f>
        <v>-7.2</v>
      </c>
      <c r="BH36" s="6">
        <f>-ADQUISICIONES!$G$54</f>
        <v>-7.2</v>
      </c>
      <c r="BI36" s="6">
        <f>-ADQUISICIONES!$G$54</f>
        <v>-7.2</v>
      </c>
      <c r="BJ36" s="6">
        <f>-ADQUISICIONES!$G$54</f>
        <v>-7.2</v>
      </c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</row>
    <row r="37" spans="1:75" ht="15.75" customHeight="1" x14ac:dyDescent="0.2">
      <c r="A37" s="222" t="str">
        <f>+ ADQUISICIONES!A55</f>
        <v>SIT3</v>
      </c>
      <c r="B37" s="6"/>
      <c r="C37" s="6"/>
      <c r="D37" s="6"/>
      <c r="E37" s="6"/>
      <c r="F37" s="6"/>
      <c r="G37" s="6">
        <f>-ADQUISICIONES!$G$55</f>
        <v>-27.375</v>
      </c>
      <c r="H37" s="6">
        <f>-ADQUISICIONES!$G$55</f>
        <v>-27.375</v>
      </c>
      <c r="I37" s="6">
        <f>-ADQUISICIONES!$G$55</f>
        <v>-27.375</v>
      </c>
      <c r="J37" s="6">
        <f>-ADQUISICIONES!$G$55</f>
        <v>-27.375</v>
      </c>
      <c r="K37" s="6">
        <f>-ADQUISICIONES!$G$55</f>
        <v>-27.375</v>
      </c>
      <c r="L37" s="6">
        <f>-ADQUISICIONES!$G$55</f>
        <v>-27.375</v>
      </c>
      <c r="M37" s="6">
        <f>-ADQUISICIONES!$G$55</f>
        <v>-27.375</v>
      </c>
      <c r="N37" s="6">
        <f>-ADQUISICIONES!$G$55</f>
        <v>-27.375</v>
      </c>
      <c r="O37" s="6">
        <f>-ADQUISICIONES!$G$55</f>
        <v>-27.375</v>
      </c>
      <c r="P37" s="6">
        <f>-ADQUISICIONES!$G$55</f>
        <v>-27.375</v>
      </c>
      <c r="Q37" s="6">
        <f>-ADQUISICIONES!$G$55</f>
        <v>-27.375</v>
      </c>
      <c r="R37" s="6">
        <f>-ADQUISICIONES!$G$55</f>
        <v>-27.375</v>
      </c>
      <c r="S37" s="6">
        <f>-ADQUISICIONES!$G$55</f>
        <v>-27.375</v>
      </c>
      <c r="T37" s="6">
        <f>-ADQUISICIONES!$G$55</f>
        <v>-27.375</v>
      </c>
      <c r="U37" s="6">
        <f>-ADQUISICIONES!$G$55</f>
        <v>-27.375</v>
      </c>
      <c r="V37" s="6">
        <f>-ADQUISICIONES!$G$55</f>
        <v>-27.375</v>
      </c>
      <c r="W37" s="6">
        <f>-ADQUISICIONES!$G$55</f>
        <v>-27.375</v>
      </c>
      <c r="X37" s="6">
        <f>-ADQUISICIONES!$G$55</f>
        <v>-27.375</v>
      </c>
      <c r="Y37" s="6">
        <f>-ADQUISICIONES!$G$55</f>
        <v>-27.375</v>
      </c>
      <c r="Z37" s="6">
        <f>-ADQUISICIONES!$G$55</f>
        <v>-27.375</v>
      </c>
      <c r="AA37" s="6">
        <f>-ADQUISICIONES!$G$55</f>
        <v>-27.375</v>
      </c>
      <c r="AB37" s="6">
        <f>-ADQUISICIONES!$G$55</f>
        <v>-27.375</v>
      </c>
      <c r="AC37" s="6">
        <f>-ADQUISICIONES!$G$55</f>
        <v>-27.375</v>
      </c>
      <c r="AD37" s="6">
        <f>-ADQUISICIONES!$G$55</f>
        <v>-27.375</v>
      </c>
      <c r="AE37" s="6">
        <f>-ADQUISICIONES!$G$55</f>
        <v>-27.375</v>
      </c>
      <c r="AF37" s="6">
        <f>-ADQUISICIONES!$G$55</f>
        <v>-27.375</v>
      </c>
      <c r="AG37" s="6">
        <f>-ADQUISICIONES!$G$55</f>
        <v>-27.375</v>
      </c>
      <c r="AH37" s="6">
        <f>-ADQUISICIONES!$G$55</f>
        <v>-27.375</v>
      </c>
      <c r="AI37" s="6">
        <f>-ADQUISICIONES!$G$55</f>
        <v>-27.375</v>
      </c>
      <c r="AJ37" s="6">
        <f>-ADQUISICIONES!$G$55</f>
        <v>-27.375</v>
      </c>
      <c r="AK37" s="6">
        <f>-ADQUISICIONES!$G$55</f>
        <v>-27.375</v>
      </c>
      <c r="AL37" s="6">
        <f>-ADQUISICIONES!$G$55</f>
        <v>-27.375</v>
      </c>
      <c r="AM37" s="6">
        <f>-ADQUISICIONES!$G$55</f>
        <v>-27.375</v>
      </c>
      <c r="AN37" s="6">
        <f>-ADQUISICIONES!$G$55</f>
        <v>-27.375</v>
      </c>
      <c r="AO37" s="6">
        <f>-ADQUISICIONES!$G$55</f>
        <v>-27.375</v>
      </c>
      <c r="AP37" s="6">
        <f>-ADQUISICIONES!$G$55</f>
        <v>-27.375</v>
      </c>
      <c r="AQ37" s="6">
        <f>-ADQUISICIONES!$G$55</f>
        <v>-27.375</v>
      </c>
      <c r="AR37" s="6">
        <f>-ADQUISICIONES!$G$55</f>
        <v>-27.375</v>
      </c>
      <c r="AS37" s="6">
        <f>-ADQUISICIONES!$G$55</f>
        <v>-27.375</v>
      </c>
      <c r="AT37" s="6">
        <f>-ADQUISICIONES!$G$55</f>
        <v>-27.375</v>
      </c>
      <c r="AU37" s="6">
        <f>-ADQUISICIONES!$G$55</f>
        <v>-27.375</v>
      </c>
      <c r="AV37" s="6">
        <f>-ADQUISICIONES!$G$55</f>
        <v>-27.375</v>
      </c>
      <c r="AW37" s="6">
        <f>-ADQUISICIONES!$G$55</f>
        <v>-27.375</v>
      </c>
      <c r="AX37" s="6">
        <f>-ADQUISICIONES!$G$55</f>
        <v>-27.375</v>
      </c>
      <c r="AY37" s="6">
        <f>-ADQUISICIONES!$G$55</f>
        <v>-27.375</v>
      </c>
      <c r="AZ37" s="6">
        <f>-ADQUISICIONES!$G$55</f>
        <v>-27.375</v>
      </c>
      <c r="BA37" s="6">
        <f>-ADQUISICIONES!$G$55</f>
        <v>-27.375</v>
      </c>
      <c r="BB37" s="6">
        <f>-ADQUISICIONES!$G$55</f>
        <v>-27.375</v>
      </c>
      <c r="BC37" s="6">
        <f>-ADQUISICIONES!$G$55</f>
        <v>-27.375</v>
      </c>
      <c r="BD37" s="6">
        <f>-ADQUISICIONES!$G$55</f>
        <v>-27.375</v>
      </c>
      <c r="BE37" s="6">
        <f>-ADQUISICIONES!$G$55</f>
        <v>-27.375</v>
      </c>
      <c r="BF37" s="6">
        <f>-ADQUISICIONES!$G$55</f>
        <v>-27.375</v>
      </c>
      <c r="BG37" s="6">
        <f>-ADQUISICIONES!$G$55</f>
        <v>-27.375</v>
      </c>
      <c r="BH37" s="6">
        <f>-ADQUISICIONES!$G$55</f>
        <v>-27.375</v>
      </c>
      <c r="BI37" s="6">
        <f>-ADQUISICIONES!$G$55</f>
        <v>-27.375</v>
      </c>
      <c r="BJ37" s="6">
        <f>-ADQUISICIONES!$G$55</f>
        <v>-27.375</v>
      </c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</row>
    <row r="38" spans="1:75" ht="15.75" customHeight="1" x14ac:dyDescent="0.2">
      <c r="A38" s="222" t="str">
        <f>+ ADQUISICIONES!A56</f>
        <v>SIT4</v>
      </c>
      <c r="B38" s="6"/>
      <c r="C38" s="6"/>
      <c r="D38" s="6"/>
      <c r="E38" s="6"/>
      <c r="F38" s="6"/>
      <c r="G38" s="6">
        <f>-ADQUISICIONES!$G$56</f>
        <v>-3</v>
      </c>
      <c r="H38" s="6">
        <f>-ADQUISICIONES!$G$56</f>
        <v>-3</v>
      </c>
      <c r="I38" s="6">
        <f>-ADQUISICIONES!$G$56</f>
        <v>-3</v>
      </c>
      <c r="J38" s="6">
        <f>-ADQUISICIONES!$G$56</f>
        <v>-3</v>
      </c>
      <c r="K38" s="6">
        <f>-ADQUISICIONES!$G$56</f>
        <v>-3</v>
      </c>
      <c r="L38" s="6">
        <f>-ADQUISICIONES!$G$56</f>
        <v>-3</v>
      </c>
      <c r="M38" s="6">
        <f>-ADQUISICIONES!$G$56</f>
        <v>-3</v>
      </c>
      <c r="N38" s="6">
        <f>-ADQUISICIONES!$G$56</f>
        <v>-3</v>
      </c>
      <c r="O38" s="6">
        <f>-ADQUISICIONES!$G$56</f>
        <v>-3</v>
      </c>
      <c r="P38" s="6">
        <f>-ADQUISICIONES!$G$56</f>
        <v>-3</v>
      </c>
      <c r="Q38" s="6">
        <f>-ADQUISICIONES!$G$56</f>
        <v>-3</v>
      </c>
      <c r="R38" s="6">
        <f>-ADQUISICIONES!$G$56</f>
        <v>-3</v>
      </c>
      <c r="S38" s="6">
        <f>-ADQUISICIONES!$G$56</f>
        <v>-3</v>
      </c>
      <c r="T38" s="6">
        <f>-ADQUISICIONES!$G$56</f>
        <v>-3</v>
      </c>
      <c r="U38" s="6">
        <f>-ADQUISICIONES!$G$56</f>
        <v>-3</v>
      </c>
      <c r="V38" s="6">
        <f>-ADQUISICIONES!$G$56</f>
        <v>-3</v>
      </c>
      <c r="W38" s="6">
        <f>-ADQUISICIONES!$G$56</f>
        <v>-3</v>
      </c>
      <c r="X38" s="6">
        <f>-ADQUISICIONES!$G$56</f>
        <v>-3</v>
      </c>
      <c r="Y38" s="6">
        <f>-ADQUISICIONES!$G$56</f>
        <v>-3</v>
      </c>
      <c r="Z38" s="6">
        <f>-ADQUISICIONES!$G$56</f>
        <v>-3</v>
      </c>
      <c r="AA38" s="6">
        <f>-ADQUISICIONES!$G$56</f>
        <v>-3</v>
      </c>
      <c r="AB38" s="6">
        <f>-ADQUISICIONES!$G$56</f>
        <v>-3</v>
      </c>
      <c r="AC38" s="6">
        <f>-ADQUISICIONES!$G$56</f>
        <v>-3</v>
      </c>
      <c r="AD38" s="6">
        <f>-ADQUISICIONES!$G$56</f>
        <v>-3</v>
      </c>
      <c r="AE38" s="6">
        <f>-ADQUISICIONES!$G$56</f>
        <v>-3</v>
      </c>
      <c r="AF38" s="6">
        <f>-ADQUISICIONES!$G$56</f>
        <v>-3</v>
      </c>
      <c r="AG38" s="6">
        <f>-ADQUISICIONES!$G$56</f>
        <v>-3</v>
      </c>
      <c r="AH38" s="6">
        <f>-ADQUISICIONES!$G$56</f>
        <v>-3</v>
      </c>
      <c r="AI38" s="6">
        <f>-ADQUISICIONES!$G$56</f>
        <v>-3</v>
      </c>
      <c r="AJ38" s="6">
        <f>-ADQUISICIONES!$G$56</f>
        <v>-3</v>
      </c>
      <c r="AK38" s="6">
        <f>-ADQUISICIONES!$G$56</f>
        <v>-3</v>
      </c>
      <c r="AL38" s="6">
        <f>-ADQUISICIONES!$G$56</f>
        <v>-3</v>
      </c>
      <c r="AM38" s="6">
        <f>-ADQUISICIONES!$G$56</f>
        <v>-3</v>
      </c>
      <c r="AN38" s="6">
        <f>-ADQUISICIONES!$G$56</f>
        <v>-3</v>
      </c>
      <c r="AO38" s="6">
        <f>-ADQUISICIONES!$G$56</f>
        <v>-3</v>
      </c>
      <c r="AP38" s="6">
        <f>-ADQUISICIONES!$G$56</f>
        <v>-3</v>
      </c>
      <c r="AQ38" s="6">
        <f>-ADQUISICIONES!$G$56</f>
        <v>-3</v>
      </c>
      <c r="AR38" s="6">
        <f>-ADQUISICIONES!$G$56</f>
        <v>-3</v>
      </c>
      <c r="AS38" s="6">
        <f>-ADQUISICIONES!$G$56</f>
        <v>-3</v>
      </c>
      <c r="AT38" s="6">
        <f>-ADQUISICIONES!$G$56</f>
        <v>-3</v>
      </c>
      <c r="AU38" s="6">
        <f>-ADQUISICIONES!$G$56</f>
        <v>-3</v>
      </c>
      <c r="AV38" s="6">
        <f>-ADQUISICIONES!$G$56</f>
        <v>-3</v>
      </c>
      <c r="AW38" s="6">
        <f>-ADQUISICIONES!$G$56</f>
        <v>-3</v>
      </c>
      <c r="AX38" s="6">
        <f>-ADQUISICIONES!$G$56</f>
        <v>-3</v>
      </c>
      <c r="AY38" s="6">
        <f>-ADQUISICIONES!$G$56</f>
        <v>-3</v>
      </c>
      <c r="AZ38" s="6">
        <f>-ADQUISICIONES!$G$56</f>
        <v>-3</v>
      </c>
      <c r="BA38" s="6">
        <f>-ADQUISICIONES!$G$56</f>
        <v>-3</v>
      </c>
      <c r="BB38" s="6">
        <f>-ADQUISICIONES!$G$56</f>
        <v>-3</v>
      </c>
      <c r="BC38" s="6">
        <f>-ADQUISICIONES!$G$56</f>
        <v>-3</v>
      </c>
      <c r="BD38" s="6">
        <f>-ADQUISICIONES!$G$56</f>
        <v>-3</v>
      </c>
      <c r="BE38" s="6">
        <f>-ADQUISICIONES!$G$56</f>
        <v>-3</v>
      </c>
      <c r="BF38" s="6">
        <f>-ADQUISICIONES!$G$56</f>
        <v>-3</v>
      </c>
      <c r="BG38" s="6">
        <f>-ADQUISICIONES!$G$56</f>
        <v>-3</v>
      </c>
      <c r="BH38" s="6">
        <f>-ADQUISICIONES!$G$56</f>
        <v>-3</v>
      </c>
      <c r="BI38" s="6">
        <f>-ADQUISICIONES!$G$56</f>
        <v>-3</v>
      </c>
      <c r="BJ38" s="6">
        <f>-ADQUISICIONES!$G$56</f>
        <v>-3</v>
      </c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</row>
    <row r="39" spans="1:75" ht="15.75" customHeight="1" x14ac:dyDescent="0.2">
      <c r="A39" s="222" t="str">
        <f>+ ADQUISICIONES!A57</f>
        <v>SIT5</v>
      </c>
      <c r="B39" s="6"/>
      <c r="C39" s="6"/>
      <c r="D39" s="6"/>
      <c r="E39" s="6"/>
      <c r="F39" s="6"/>
      <c r="G39" s="6">
        <f>-ADQUISICIONES!$G$57</f>
        <v>-12.85</v>
      </c>
      <c r="H39" s="6">
        <f>-ADQUISICIONES!$G$57</f>
        <v>-12.85</v>
      </c>
      <c r="I39" s="6">
        <f>-ADQUISICIONES!$G$57</f>
        <v>-12.85</v>
      </c>
      <c r="J39" s="6">
        <f>-ADQUISICIONES!$G$57</f>
        <v>-12.85</v>
      </c>
      <c r="K39" s="6">
        <f>-ADQUISICIONES!$G$57</f>
        <v>-12.85</v>
      </c>
      <c r="L39" s="6">
        <f>-ADQUISICIONES!$G$57</f>
        <v>-12.85</v>
      </c>
      <c r="M39" s="6">
        <f>-ADQUISICIONES!$G$57</f>
        <v>-12.85</v>
      </c>
      <c r="N39" s="6">
        <f>-ADQUISICIONES!$G$57</f>
        <v>-12.85</v>
      </c>
      <c r="O39" s="6">
        <f>-ADQUISICIONES!$G$57</f>
        <v>-12.85</v>
      </c>
      <c r="P39" s="6">
        <f>-ADQUISICIONES!$G$57</f>
        <v>-12.85</v>
      </c>
      <c r="Q39" s="6">
        <f>-ADQUISICIONES!$G$57</f>
        <v>-12.85</v>
      </c>
      <c r="R39" s="6">
        <f>-ADQUISICIONES!$G$57</f>
        <v>-12.85</v>
      </c>
      <c r="S39" s="6">
        <f>-ADQUISICIONES!$G$57</f>
        <v>-12.85</v>
      </c>
      <c r="T39" s="6">
        <f>-ADQUISICIONES!$G$57</f>
        <v>-12.85</v>
      </c>
      <c r="U39" s="6">
        <f>-ADQUISICIONES!$G$57</f>
        <v>-12.85</v>
      </c>
      <c r="V39" s="6">
        <f>-ADQUISICIONES!$G$57</f>
        <v>-12.85</v>
      </c>
      <c r="W39" s="6">
        <f>-ADQUISICIONES!$G$57</f>
        <v>-12.85</v>
      </c>
      <c r="X39" s="6">
        <f>-ADQUISICIONES!$G$57</f>
        <v>-12.85</v>
      </c>
      <c r="Y39" s="6">
        <f>-ADQUISICIONES!$G$57</f>
        <v>-12.85</v>
      </c>
      <c r="Z39" s="6">
        <f>-ADQUISICIONES!$G$57</f>
        <v>-12.85</v>
      </c>
      <c r="AA39" s="6">
        <f>-ADQUISICIONES!$G$57</f>
        <v>-12.85</v>
      </c>
      <c r="AB39" s="6">
        <f>-ADQUISICIONES!$G$57</f>
        <v>-12.85</v>
      </c>
      <c r="AC39" s="6">
        <f>-ADQUISICIONES!$G$57</f>
        <v>-12.85</v>
      </c>
      <c r="AD39" s="6">
        <f>-ADQUISICIONES!$G$57</f>
        <v>-12.85</v>
      </c>
      <c r="AE39" s="6">
        <f>-ADQUISICIONES!$G$57</f>
        <v>-12.85</v>
      </c>
      <c r="AF39" s="6">
        <f>-ADQUISICIONES!$G$57</f>
        <v>-12.85</v>
      </c>
      <c r="AG39" s="6">
        <f>-ADQUISICIONES!$G$57</f>
        <v>-12.85</v>
      </c>
      <c r="AH39" s="6">
        <f>-ADQUISICIONES!$G$57</f>
        <v>-12.85</v>
      </c>
      <c r="AI39" s="6">
        <f>-ADQUISICIONES!$G$57</f>
        <v>-12.85</v>
      </c>
      <c r="AJ39" s="6">
        <f>-ADQUISICIONES!$G$57</f>
        <v>-12.85</v>
      </c>
      <c r="AK39" s="6">
        <f>-ADQUISICIONES!$G$57</f>
        <v>-12.85</v>
      </c>
      <c r="AL39" s="6">
        <f>-ADQUISICIONES!$G$57</f>
        <v>-12.85</v>
      </c>
      <c r="AM39" s="6">
        <f>-ADQUISICIONES!$G$57</f>
        <v>-12.85</v>
      </c>
      <c r="AN39" s="6">
        <f>-ADQUISICIONES!$G$57</f>
        <v>-12.85</v>
      </c>
      <c r="AO39" s="6">
        <f>-ADQUISICIONES!$G$57</f>
        <v>-12.85</v>
      </c>
      <c r="AP39" s="6">
        <f>-ADQUISICIONES!$G$57</f>
        <v>-12.85</v>
      </c>
      <c r="AQ39" s="6">
        <f>-ADQUISICIONES!$G$57</f>
        <v>-12.85</v>
      </c>
      <c r="AR39" s="6">
        <f>-ADQUISICIONES!$G$57</f>
        <v>-12.85</v>
      </c>
      <c r="AS39" s="6">
        <f>-ADQUISICIONES!$G$57</f>
        <v>-12.85</v>
      </c>
      <c r="AT39" s="6">
        <f>-ADQUISICIONES!$G$57</f>
        <v>-12.85</v>
      </c>
      <c r="AU39" s="6">
        <f>-ADQUISICIONES!$G$57</f>
        <v>-12.85</v>
      </c>
      <c r="AV39" s="6">
        <f>-ADQUISICIONES!$G$57</f>
        <v>-12.85</v>
      </c>
      <c r="AW39" s="6">
        <f>-ADQUISICIONES!$G$57</f>
        <v>-12.85</v>
      </c>
      <c r="AX39" s="6">
        <f>-ADQUISICIONES!$G$57</f>
        <v>-12.85</v>
      </c>
      <c r="AY39" s="6">
        <f>-ADQUISICIONES!$G$57</f>
        <v>-12.85</v>
      </c>
      <c r="AZ39" s="6">
        <f>-ADQUISICIONES!$G$57</f>
        <v>-12.85</v>
      </c>
      <c r="BA39" s="6">
        <f>-ADQUISICIONES!$G$57</f>
        <v>-12.85</v>
      </c>
      <c r="BB39" s="6">
        <f>-ADQUISICIONES!$G$57</f>
        <v>-12.85</v>
      </c>
      <c r="BC39" s="6">
        <f>-ADQUISICIONES!$G$57</f>
        <v>-12.85</v>
      </c>
      <c r="BD39" s="6">
        <f>-ADQUISICIONES!$G$57</f>
        <v>-12.85</v>
      </c>
      <c r="BE39" s="6">
        <f>-ADQUISICIONES!$G$57</f>
        <v>-12.85</v>
      </c>
      <c r="BF39" s="6">
        <f>-ADQUISICIONES!$G$57</f>
        <v>-12.85</v>
      </c>
      <c r="BG39" s="6">
        <f>-ADQUISICIONES!$G$57</f>
        <v>-12.85</v>
      </c>
      <c r="BH39" s="6">
        <f>-ADQUISICIONES!$G$57</f>
        <v>-12.85</v>
      </c>
      <c r="BI39" s="6">
        <f>-ADQUISICIONES!$G$57</f>
        <v>-12.85</v>
      </c>
      <c r="BJ39" s="6">
        <f>-ADQUISICIONES!$G$57</f>
        <v>-12.85</v>
      </c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</row>
    <row r="40" spans="1:75" ht="15.75" customHeight="1" x14ac:dyDescent="0.2">
      <c r="A40" s="222" t="str">
        <f>+ ADQUISICIONES!A58</f>
        <v>SIT6</v>
      </c>
      <c r="B40" s="6"/>
      <c r="C40" s="6"/>
      <c r="D40" s="6"/>
      <c r="E40" s="6"/>
      <c r="F40" s="6"/>
      <c r="G40" s="6"/>
      <c r="H40" s="6"/>
      <c r="I40" s="6">
        <f>-ADQUISICIONES!$G$58</f>
        <v>-85.6</v>
      </c>
      <c r="J40" s="6">
        <f>-ADQUISICIONES!$G$58</f>
        <v>-85.6</v>
      </c>
      <c r="K40" s="6">
        <f>-ADQUISICIONES!$G$58</f>
        <v>-85.6</v>
      </c>
      <c r="L40" s="6">
        <f>-ADQUISICIONES!$G$58</f>
        <v>-85.6</v>
      </c>
      <c r="M40" s="6">
        <f>-ADQUISICIONES!$G$58</f>
        <v>-85.6</v>
      </c>
      <c r="N40" s="6">
        <f>-ADQUISICIONES!$G$58</f>
        <v>-85.6</v>
      </c>
      <c r="O40" s="6">
        <f>-ADQUISICIONES!$G$58</f>
        <v>-85.6</v>
      </c>
      <c r="P40" s="6">
        <f>-ADQUISICIONES!$G$58</f>
        <v>-85.6</v>
      </c>
      <c r="Q40" s="6">
        <f>-ADQUISICIONES!$G$58</f>
        <v>-85.6</v>
      </c>
      <c r="R40" s="6">
        <f>-ADQUISICIONES!$G$58</f>
        <v>-85.6</v>
      </c>
      <c r="S40" s="6">
        <f>-ADQUISICIONES!$G$58</f>
        <v>-85.6</v>
      </c>
      <c r="T40" s="6">
        <f>-ADQUISICIONES!$G$58</f>
        <v>-85.6</v>
      </c>
      <c r="U40" s="6">
        <f>-ADQUISICIONES!$G$58</f>
        <v>-85.6</v>
      </c>
      <c r="V40" s="6">
        <f>-ADQUISICIONES!$G$58</f>
        <v>-85.6</v>
      </c>
      <c r="W40" s="6">
        <f>-ADQUISICIONES!$G$58</f>
        <v>-85.6</v>
      </c>
      <c r="X40" s="6">
        <f>-ADQUISICIONES!$G$58</f>
        <v>-85.6</v>
      </c>
      <c r="Y40" s="6">
        <f>-ADQUISICIONES!$G$58</f>
        <v>-85.6</v>
      </c>
      <c r="Z40" s="6">
        <f>-ADQUISICIONES!$G$58</f>
        <v>-85.6</v>
      </c>
      <c r="AA40" s="6">
        <f>-ADQUISICIONES!$G$58</f>
        <v>-85.6</v>
      </c>
      <c r="AB40" s="6">
        <f>-ADQUISICIONES!$G$58</f>
        <v>-85.6</v>
      </c>
      <c r="AC40" s="6">
        <f>-ADQUISICIONES!$G$58</f>
        <v>-85.6</v>
      </c>
      <c r="AD40" s="6">
        <f>-ADQUISICIONES!$G$58</f>
        <v>-85.6</v>
      </c>
      <c r="AE40" s="6">
        <f>-ADQUISICIONES!$G$58</f>
        <v>-85.6</v>
      </c>
      <c r="AF40" s="6">
        <f>-ADQUISICIONES!$G$58</f>
        <v>-85.6</v>
      </c>
      <c r="AG40" s="6">
        <f>-ADQUISICIONES!$G$58</f>
        <v>-85.6</v>
      </c>
      <c r="AH40" s="6">
        <f>-ADQUISICIONES!$G$58</f>
        <v>-85.6</v>
      </c>
      <c r="AI40" s="6">
        <f>-ADQUISICIONES!$G$58</f>
        <v>-85.6</v>
      </c>
      <c r="AJ40" s="6">
        <f>-ADQUISICIONES!$G$58</f>
        <v>-85.6</v>
      </c>
      <c r="AK40" s="6">
        <f>-ADQUISICIONES!$G$58</f>
        <v>-85.6</v>
      </c>
      <c r="AL40" s="6">
        <f>-ADQUISICIONES!$G$58</f>
        <v>-85.6</v>
      </c>
      <c r="AM40" s="6">
        <f>-ADQUISICIONES!$G$58</f>
        <v>-85.6</v>
      </c>
      <c r="AN40" s="6">
        <f>-ADQUISICIONES!$G$58</f>
        <v>-85.6</v>
      </c>
      <c r="AO40" s="6">
        <f>-ADQUISICIONES!$G$58</f>
        <v>-85.6</v>
      </c>
      <c r="AP40" s="6">
        <f>-ADQUISICIONES!$G$58</f>
        <v>-85.6</v>
      </c>
      <c r="AQ40" s="6">
        <f>-ADQUISICIONES!$G$58</f>
        <v>-85.6</v>
      </c>
      <c r="AR40" s="6">
        <f>-ADQUISICIONES!$G$58</f>
        <v>-85.6</v>
      </c>
      <c r="AS40" s="6">
        <f>-ADQUISICIONES!$G$58</f>
        <v>-85.6</v>
      </c>
      <c r="AT40" s="6">
        <f>-ADQUISICIONES!$G$58</f>
        <v>-85.6</v>
      </c>
      <c r="AU40" s="6">
        <f>-ADQUISICIONES!$G$58</f>
        <v>-85.6</v>
      </c>
      <c r="AV40" s="6">
        <f>-ADQUISICIONES!$G$58</f>
        <v>-85.6</v>
      </c>
      <c r="AW40" s="6">
        <f>-ADQUISICIONES!$G$58</f>
        <v>-85.6</v>
      </c>
      <c r="AX40" s="6">
        <f>-ADQUISICIONES!$G$58</f>
        <v>-85.6</v>
      </c>
      <c r="AY40" s="6">
        <f>-ADQUISICIONES!$G$58</f>
        <v>-85.6</v>
      </c>
      <c r="AZ40" s="6">
        <f>-ADQUISICIONES!$G$58</f>
        <v>-85.6</v>
      </c>
      <c r="BA40" s="6">
        <f>-ADQUISICIONES!$G$58</f>
        <v>-85.6</v>
      </c>
      <c r="BB40" s="6">
        <f>-ADQUISICIONES!$G$58</f>
        <v>-85.6</v>
      </c>
      <c r="BC40" s="6">
        <f>-ADQUISICIONES!$G$58</f>
        <v>-85.6</v>
      </c>
      <c r="BD40" s="6">
        <f>-ADQUISICIONES!$G$58</f>
        <v>-85.6</v>
      </c>
      <c r="BE40" s="6">
        <f>-ADQUISICIONES!$G$58</f>
        <v>-85.6</v>
      </c>
      <c r="BF40" s="6">
        <f>-ADQUISICIONES!$G$58</f>
        <v>-85.6</v>
      </c>
      <c r="BG40" s="6">
        <f>-ADQUISICIONES!$G$58</f>
        <v>-85.6</v>
      </c>
      <c r="BH40" s="6">
        <f>-ADQUISICIONES!$G$58</f>
        <v>-85.6</v>
      </c>
      <c r="BI40" s="6">
        <f>-ADQUISICIONES!$G$58</f>
        <v>-85.6</v>
      </c>
      <c r="BJ40" s="6">
        <f>-ADQUISICIONES!$G$58</f>
        <v>-85.6</v>
      </c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</row>
    <row r="41" spans="1:75" ht="15.75" customHeight="1" x14ac:dyDescent="0.2">
      <c r="A41" s="222" t="str">
        <f>+ ADQUISICIONES!A65</f>
        <v>NN14</v>
      </c>
      <c r="B41" s="6"/>
      <c r="C41" s="6"/>
      <c r="D41" s="6"/>
      <c r="E41" s="6"/>
      <c r="F41" s="6"/>
      <c r="G41" s="6">
        <f>-ADQUISICIONES!$G$65</f>
        <v>-2.375</v>
      </c>
      <c r="H41" s="6">
        <f>-ADQUISICIONES!$G$65</f>
        <v>-2.375</v>
      </c>
      <c r="I41" s="6">
        <f>-ADQUISICIONES!$G$65</f>
        <v>-2.375</v>
      </c>
      <c r="J41" s="6">
        <f>-ADQUISICIONES!$G$65</f>
        <v>-2.375</v>
      </c>
      <c r="K41" s="6">
        <f>-ADQUISICIONES!$G$65</f>
        <v>-2.375</v>
      </c>
      <c r="L41" s="6">
        <f>-ADQUISICIONES!$G$65</f>
        <v>-2.375</v>
      </c>
      <c r="M41" s="6">
        <f>-ADQUISICIONES!$G$65</f>
        <v>-2.375</v>
      </c>
      <c r="N41" s="6">
        <f>-ADQUISICIONES!$G$65</f>
        <v>-2.375</v>
      </c>
      <c r="O41" s="6">
        <f>-ADQUISICIONES!$G$65</f>
        <v>-2.375</v>
      </c>
      <c r="P41" s="6">
        <f>-ADQUISICIONES!$G$65</f>
        <v>-2.375</v>
      </c>
      <c r="Q41" s="6">
        <f>-ADQUISICIONES!$G$65</f>
        <v>-2.375</v>
      </c>
      <c r="R41" s="6">
        <f>-ADQUISICIONES!$G$65</f>
        <v>-2.375</v>
      </c>
      <c r="S41" s="6">
        <f>-ADQUISICIONES!$G$65</f>
        <v>-2.375</v>
      </c>
      <c r="T41" s="6">
        <f>-ADQUISICIONES!$G$65</f>
        <v>-2.375</v>
      </c>
      <c r="U41" s="6">
        <f>-ADQUISICIONES!$G$65</f>
        <v>-2.375</v>
      </c>
      <c r="V41" s="6">
        <f>-ADQUISICIONES!$G$65</f>
        <v>-2.375</v>
      </c>
      <c r="W41" s="6">
        <f>-ADQUISICIONES!$G$65</f>
        <v>-2.375</v>
      </c>
      <c r="X41" s="6">
        <f>-ADQUISICIONES!$G$65</f>
        <v>-2.375</v>
      </c>
      <c r="Y41" s="6">
        <f>-ADQUISICIONES!$G$65</f>
        <v>-2.375</v>
      </c>
      <c r="Z41" s="6">
        <f>-ADQUISICIONES!$G$65</f>
        <v>-2.375</v>
      </c>
      <c r="AA41" s="6">
        <f>-ADQUISICIONES!$G$65</f>
        <v>-2.375</v>
      </c>
      <c r="AB41" s="6">
        <f>-ADQUISICIONES!$G$65</f>
        <v>-2.375</v>
      </c>
      <c r="AC41" s="6">
        <f>-ADQUISICIONES!$G$65</f>
        <v>-2.375</v>
      </c>
      <c r="AD41" s="6">
        <f>-ADQUISICIONES!$G$65</f>
        <v>-2.375</v>
      </c>
      <c r="AE41" s="6">
        <f>-ADQUISICIONES!$G$65</f>
        <v>-2.375</v>
      </c>
      <c r="AF41" s="6">
        <f>-ADQUISICIONES!$G$65</f>
        <v>-2.375</v>
      </c>
      <c r="AG41" s="6">
        <f>-ADQUISICIONES!$G$65</f>
        <v>-2.375</v>
      </c>
      <c r="AH41" s="6">
        <f>-ADQUISICIONES!$G$65</f>
        <v>-2.375</v>
      </c>
      <c r="AI41" s="6">
        <f>-ADQUISICIONES!$G$65</f>
        <v>-2.375</v>
      </c>
      <c r="AJ41" s="6">
        <f>-ADQUISICIONES!$G$65</f>
        <v>-2.375</v>
      </c>
      <c r="AK41" s="6">
        <f>-ADQUISICIONES!$G$65</f>
        <v>-2.375</v>
      </c>
      <c r="AL41" s="6">
        <f>-ADQUISICIONES!$G$65</f>
        <v>-2.375</v>
      </c>
      <c r="AM41" s="6">
        <f>-ADQUISICIONES!$G$65</f>
        <v>-2.375</v>
      </c>
      <c r="AN41" s="6">
        <f>-ADQUISICIONES!$G$65</f>
        <v>-2.375</v>
      </c>
      <c r="AO41" s="6">
        <f>-ADQUISICIONES!$G$65</f>
        <v>-2.375</v>
      </c>
      <c r="AP41" s="6">
        <f>-ADQUISICIONES!$G$65</f>
        <v>-2.375</v>
      </c>
      <c r="AQ41" s="6">
        <f>-ADQUISICIONES!$G$65</f>
        <v>-2.375</v>
      </c>
      <c r="AR41" s="6">
        <f>-ADQUISICIONES!$G$65</f>
        <v>-2.375</v>
      </c>
      <c r="AS41" s="6">
        <f>-ADQUISICIONES!$G$65</f>
        <v>-2.375</v>
      </c>
      <c r="AT41" s="6">
        <f>-ADQUISICIONES!$G$65</f>
        <v>-2.375</v>
      </c>
      <c r="AU41" s="6">
        <f>-ADQUISICIONES!$G$65</f>
        <v>-2.375</v>
      </c>
      <c r="AV41" s="6">
        <f>-ADQUISICIONES!$G$65</f>
        <v>-2.375</v>
      </c>
      <c r="AW41" s="6">
        <f>-ADQUISICIONES!$G$65</f>
        <v>-2.375</v>
      </c>
      <c r="AX41" s="6">
        <f>-ADQUISICIONES!$G$65</f>
        <v>-2.375</v>
      </c>
      <c r="AY41" s="6">
        <f>-ADQUISICIONES!$G$65</f>
        <v>-2.375</v>
      </c>
      <c r="AZ41" s="6">
        <f>-ADQUISICIONES!$G$65</f>
        <v>-2.375</v>
      </c>
      <c r="BA41" s="6">
        <f>-ADQUISICIONES!$G$65</f>
        <v>-2.375</v>
      </c>
      <c r="BB41" s="6">
        <f>-ADQUISICIONES!$G$65</f>
        <v>-2.375</v>
      </c>
      <c r="BC41" s="6">
        <f>-ADQUISICIONES!$G$65</f>
        <v>-2.375</v>
      </c>
      <c r="BD41" s="6">
        <f>-ADQUISICIONES!$G$65</f>
        <v>-2.375</v>
      </c>
      <c r="BE41" s="6">
        <f>-ADQUISICIONES!$G$65</f>
        <v>-2.375</v>
      </c>
      <c r="BF41" s="6">
        <f>-ADQUISICIONES!$G$65</f>
        <v>-2.375</v>
      </c>
      <c r="BG41" s="6">
        <f>-ADQUISICIONES!$G$65</f>
        <v>-2.375</v>
      </c>
      <c r="BH41" s="6">
        <f>-ADQUISICIONES!$G$65</f>
        <v>-2.375</v>
      </c>
      <c r="BI41" s="6">
        <f>-ADQUISICIONES!$G$65</f>
        <v>-2.375</v>
      </c>
      <c r="BJ41" s="6">
        <f>-ADQUISICIONES!$G$65</f>
        <v>-2.375</v>
      </c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</row>
    <row r="42" spans="1:75" ht="15.75" customHeight="1" x14ac:dyDescent="0.2">
      <c r="A42" s="222" t="str">
        <f>+ ADQUISICIONES!A71</f>
        <v>SS5</v>
      </c>
      <c r="B42" s="6"/>
      <c r="C42" s="6"/>
      <c r="D42" s="6"/>
      <c r="E42" s="6"/>
      <c r="F42" s="6"/>
      <c r="G42" s="6">
        <f>-ADQUISICIONES!$G$71</f>
        <v>-625</v>
      </c>
      <c r="H42" s="6">
        <f>-ADQUISICIONES!$G$71</f>
        <v>-625</v>
      </c>
      <c r="I42" s="6">
        <f>-ADQUISICIONES!$G$71</f>
        <v>-625</v>
      </c>
      <c r="J42" s="6">
        <f>-ADQUISICIONES!$G$71</f>
        <v>-625</v>
      </c>
      <c r="K42" s="6">
        <f>-ADQUISICIONES!$G$71</f>
        <v>-625</v>
      </c>
      <c r="L42" s="6">
        <f>-ADQUISICIONES!$G$71</f>
        <v>-625</v>
      </c>
      <c r="M42" s="6">
        <f>-ADQUISICIONES!$G$71</f>
        <v>-625</v>
      </c>
      <c r="N42" s="6">
        <f>-ADQUISICIONES!$G$71</f>
        <v>-625</v>
      </c>
      <c r="O42" s="6">
        <f>-ADQUISICIONES!$G$71</f>
        <v>-625</v>
      </c>
      <c r="P42" s="6">
        <f>-ADQUISICIONES!$G$71</f>
        <v>-625</v>
      </c>
      <c r="Q42" s="6">
        <f>-ADQUISICIONES!$G$71</f>
        <v>-625</v>
      </c>
      <c r="R42" s="6">
        <f>-ADQUISICIONES!$G$71</f>
        <v>-625</v>
      </c>
      <c r="S42" s="6">
        <f>-ADQUISICIONES!$G$71</f>
        <v>-625</v>
      </c>
      <c r="T42" s="6">
        <f>-ADQUISICIONES!$G$71</f>
        <v>-625</v>
      </c>
      <c r="U42" s="6">
        <f>-ADQUISICIONES!$G$71</f>
        <v>-625</v>
      </c>
      <c r="V42" s="6">
        <f>-ADQUISICIONES!$G$71</f>
        <v>-625</v>
      </c>
      <c r="W42" s="6">
        <f>-ADQUISICIONES!$G$71</f>
        <v>-625</v>
      </c>
      <c r="X42" s="6">
        <f>-ADQUISICIONES!$G$71</f>
        <v>-625</v>
      </c>
      <c r="Y42" s="6">
        <f>-ADQUISICIONES!$G$71</f>
        <v>-625</v>
      </c>
      <c r="Z42" s="6">
        <f>-ADQUISICIONES!$G$71</f>
        <v>-625</v>
      </c>
      <c r="AA42" s="6">
        <f>-ADQUISICIONES!$G$71</f>
        <v>-625</v>
      </c>
      <c r="AB42" s="6">
        <f>-ADQUISICIONES!$G$71</f>
        <v>-625</v>
      </c>
      <c r="AC42" s="6">
        <f>-ADQUISICIONES!$G$71</f>
        <v>-625</v>
      </c>
      <c r="AD42" s="6">
        <f>-ADQUISICIONES!$G$71</f>
        <v>-625</v>
      </c>
      <c r="AE42" s="6">
        <f>-ADQUISICIONES!$G$71</f>
        <v>-625</v>
      </c>
      <c r="AF42" s="6">
        <f>-ADQUISICIONES!$G$71</f>
        <v>-625</v>
      </c>
      <c r="AG42" s="6">
        <f>-ADQUISICIONES!$G$71</f>
        <v>-625</v>
      </c>
      <c r="AH42" s="6">
        <f>-ADQUISICIONES!$G$71</f>
        <v>-625</v>
      </c>
      <c r="AI42" s="6">
        <f>-ADQUISICIONES!$G$71</f>
        <v>-625</v>
      </c>
      <c r="AJ42" s="6">
        <f>-ADQUISICIONES!$G$71</f>
        <v>-625</v>
      </c>
      <c r="AK42" s="6">
        <f>-ADQUISICIONES!$G$71</f>
        <v>-625</v>
      </c>
      <c r="AL42" s="6">
        <f>-ADQUISICIONES!$G$71</f>
        <v>-625</v>
      </c>
      <c r="AM42" s="6">
        <f>-ADQUISICIONES!$G$71</f>
        <v>-625</v>
      </c>
      <c r="AN42" s="6">
        <f>-ADQUISICIONES!$G$71</f>
        <v>-625</v>
      </c>
      <c r="AO42" s="6">
        <f>-ADQUISICIONES!$G$71</f>
        <v>-625</v>
      </c>
      <c r="AP42" s="6">
        <f>-ADQUISICIONES!$G$71</f>
        <v>-625</v>
      </c>
      <c r="AQ42" s="6">
        <f>-ADQUISICIONES!$G$71</f>
        <v>-625</v>
      </c>
      <c r="AR42" s="6">
        <f>-ADQUISICIONES!$G$71</f>
        <v>-625</v>
      </c>
      <c r="AS42" s="6">
        <f>-ADQUISICIONES!$G$71</f>
        <v>-625</v>
      </c>
      <c r="AT42" s="6">
        <f>-ADQUISICIONES!$G$71</f>
        <v>-625</v>
      </c>
      <c r="AU42" s="6">
        <f>-ADQUISICIONES!$G$71</f>
        <v>-625</v>
      </c>
      <c r="AV42" s="6">
        <f>-ADQUISICIONES!$G$71</f>
        <v>-625</v>
      </c>
      <c r="AW42" s="6">
        <f>-ADQUISICIONES!$G$71</f>
        <v>-625</v>
      </c>
      <c r="AX42" s="6">
        <f>-ADQUISICIONES!$G$71</f>
        <v>-625</v>
      </c>
      <c r="AY42" s="6">
        <f>-ADQUISICIONES!$G$71</f>
        <v>-625</v>
      </c>
      <c r="AZ42" s="6">
        <f>-ADQUISICIONES!$G$71</f>
        <v>-625</v>
      </c>
      <c r="BA42" s="6">
        <f>-ADQUISICIONES!$G$71</f>
        <v>-625</v>
      </c>
      <c r="BB42" s="6">
        <f>-ADQUISICIONES!$G$71</f>
        <v>-625</v>
      </c>
      <c r="BC42" s="6">
        <f>-ADQUISICIONES!$G$71</f>
        <v>-625</v>
      </c>
      <c r="BD42" s="6">
        <f>-ADQUISICIONES!$G$71</f>
        <v>-625</v>
      </c>
      <c r="BE42" s="6">
        <f>-ADQUISICIONES!$G$71</f>
        <v>-625</v>
      </c>
      <c r="BF42" s="6">
        <f>-ADQUISICIONES!$G$71</f>
        <v>-625</v>
      </c>
      <c r="BG42" s="6">
        <f>-ADQUISICIONES!$G$71</f>
        <v>-625</v>
      </c>
      <c r="BH42" s="6">
        <f>-ADQUISICIONES!$G$71</f>
        <v>-625</v>
      </c>
      <c r="BI42" s="6">
        <f>-ADQUISICIONES!$G$71</f>
        <v>-625</v>
      </c>
      <c r="BJ42" s="6">
        <f>-ADQUISICIONES!$G$71</f>
        <v>-625</v>
      </c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</row>
    <row r="43" spans="1:75" ht="15.75" customHeight="1" x14ac:dyDescent="0.2">
      <c r="A43" s="222" t="str">
        <f>+ ADQUISICIONES!A72</f>
        <v>SS6</v>
      </c>
      <c r="B43" s="6"/>
      <c r="C43" s="6"/>
      <c r="D43" s="6"/>
      <c r="E43" s="6"/>
      <c r="F43" s="6"/>
      <c r="G43" s="6">
        <f>-ADQUISICIONES!$G$72</f>
        <v>-337.5</v>
      </c>
      <c r="H43" s="6">
        <f>-ADQUISICIONES!$G$72</f>
        <v>-337.5</v>
      </c>
      <c r="I43" s="6">
        <f>-ADQUISICIONES!$G$72</f>
        <v>-337.5</v>
      </c>
      <c r="J43" s="6">
        <f>-ADQUISICIONES!$G$72</f>
        <v>-337.5</v>
      </c>
      <c r="K43" s="6">
        <f>-ADQUISICIONES!$G$72</f>
        <v>-337.5</v>
      </c>
      <c r="L43" s="6">
        <f>-ADQUISICIONES!$G$72</f>
        <v>-337.5</v>
      </c>
      <c r="M43" s="6">
        <f>-ADQUISICIONES!$G$72</f>
        <v>-337.5</v>
      </c>
      <c r="N43" s="6">
        <f>-ADQUISICIONES!$G$72</f>
        <v>-337.5</v>
      </c>
      <c r="O43" s="6">
        <f>-ADQUISICIONES!$G$72</f>
        <v>-337.5</v>
      </c>
      <c r="P43" s="6">
        <f>-ADQUISICIONES!$G$72</f>
        <v>-337.5</v>
      </c>
      <c r="Q43" s="6">
        <f>-ADQUISICIONES!$G$72</f>
        <v>-337.5</v>
      </c>
      <c r="R43" s="6">
        <f>-ADQUISICIONES!$G$72</f>
        <v>-337.5</v>
      </c>
      <c r="S43" s="6">
        <f>-ADQUISICIONES!$G$72</f>
        <v>-337.5</v>
      </c>
      <c r="T43" s="6">
        <f>-ADQUISICIONES!$G$72</f>
        <v>-337.5</v>
      </c>
      <c r="U43" s="6">
        <f>-ADQUISICIONES!$G$72</f>
        <v>-337.5</v>
      </c>
      <c r="V43" s="6">
        <f>-ADQUISICIONES!$G$72</f>
        <v>-337.5</v>
      </c>
      <c r="W43" s="6">
        <f>-ADQUISICIONES!$G$72</f>
        <v>-337.5</v>
      </c>
      <c r="X43" s="6">
        <f>-ADQUISICIONES!$G$72</f>
        <v>-337.5</v>
      </c>
      <c r="Y43" s="6">
        <f>-ADQUISICIONES!$G$72</f>
        <v>-337.5</v>
      </c>
      <c r="Z43" s="6">
        <f>-ADQUISICIONES!$G$72</f>
        <v>-337.5</v>
      </c>
      <c r="AA43" s="6">
        <f>-ADQUISICIONES!$G$72</f>
        <v>-337.5</v>
      </c>
      <c r="AB43" s="6">
        <f>-ADQUISICIONES!$G$72</f>
        <v>-337.5</v>
      </c>
      <c r="AC43" s="6">
        <f>-ADQUISICIONES!$G$72</f>
        <v>-337.5</v>
      </c>
      <c r="AD43" s="6">
        <f>-ADQUISICIONES!$G$72</f>
        <v>-337.5</v>
      </c>
      <c r="AE43" s="6">
        <f>-ADQUISICIONES!$G$72</f>
        <v>-337.5</v>
      </c>
      <c r="AF43" s="6">
        <f>-ADQUISICIONES!$G$72</f>
        <v>-337.5</v>
      </c>
      <c r="AG43" s="6">
        <f>-ADQUISICIONES!$G$72</f>
        <v>-337.5</v>
      </c>
      <c r="AH43" s="6">
        <f>-ADQUISICIONES!$G$72</f>
        <v>-337.5</v>
      </c>
      <c r="AI43" s="6">
        <f>-ADQUISICIONES!$G$72</f>
        <v>-337.5</v>
      </c>
      <c r="AJ43" s="6">
        <f>-ADQUISICIONES!$G$72</f>
        <v>-337.5</v>
      </c>
      <c r="AK43" s="6">
        <f>-ADQUISICIONES!$G$72</f>
        <v>-337.5</v>
      </c>
      <c r="AL43" s="6">
        <f>-ADQUISICIONES!$G$72</f>
        <v>-337.5</v>
      </c>
      <c r="AM43" s="6">
        <f>-ADQUISICIONES!$G$72</f>
        <v>-337.5</v>
      </c>
      <c r="AN43" s="6">
        <f>-ADQUISICIONES!$G$72</f>
        <v>-337.5</v>
      </c>
      <c r="AO43" s="6">
        <f>-ADQUISICIONES!$G$72</f>
        <v>-337.5</v>
      </c>
      <c r="AP43" s="6">
        <f>-ADQUISICIONES!$G$72</f>
        <v>-337.5</v>
      </c>
      <c r="AQ43" s="6">
        <f>-ADQUISICIONES!$G$72</f>
        <v>-337.5</v>
      </c>
      <c r="AR43" s="6">
        <f>-ADQUISICIONES!$G$72</f>
        <v>-337.5</v>
      </c>
      <c r="AS43" s="6">
        <f>-ADQUISICIONES!$G$72</f>
        <v>-337.5</v>
      </c>
      <c r="AT43" s="6">
        <f>-ADQUISICIONES!$G$72</f>
        <v>-337.5</v>
      </c>
      <c r="AU43" s="6">
        <f>-ADQUISICIONES!$G$72</f>
        <v>-337.5</v>
      </c>
      <c r="AV43" s="6">
        <f>-ADQUISICIONES!$G$72</f>
        <v>-337.5</v>
      </c>
      <c r="AW43" s="6">
        <f>-ADQUISICIONES!$G$72</f>
        <v>-337.5</v>
      </c>
      <c r="AX43" s="6">
        <f>-ADQUISICIONES!$G$72</f>
        <v>-337.5</v>
      </c>
      <c r="AY43" s="6">
        <f>-ADQUISICIONES!$G$72</f>
        <v>-337.5</v>
      </c>
      <c r="AZ43" s="6">
        <f>-ADQUISICIONES!$G$72</f>
        <v>-337.5</v>
      </c>
      <c r="BA43" s="6">
        <f>-ADQUISICIONES!$G$72</f>
        <v>-337.5</v>
      </c>
      <c r="BB43" s="6">
        <f>-ADQUISICIONES!$G$72</f>
        <v>-337.5</v>
      </c>
      <c r="BC43" s="6">
        <f>-ADQUISICIONES!$G$72</f>
        <v>-337.5</v>
      </c>
      <c r="BD43" s="6">
        <f>-ADQUISICIONES!$G$72</f>
        <v>-337.5</v>
      </c>
      <c r="BE43" s="6">
        <f>-ADQUISICIONES!$G$72</f>
        <v>-337.5</v>
      </c>
      <c r="BF43" s="6">
        <f>-ADQUISICIONES!$G$72</f>
        <v>-337.5</v>
      </c>
      <c r="BG43" s="6">
        <f>-ADQUISICIONES!$G$72</f>
        <v>-337.5</v>
      </c>
      <c r="BH43" s="6">
        <f>-ADQUISICIONES!$G$72</f>
        <v>-337.5</v>
      </c>
      <c r="BI43" s="6">
        <f>-ADQUISICIONES!$G$72</f>
        <v>-337.5</v>
      </c>
      <c r="BJ43" s="6">
        <f>-ADQUISICIONES!$G$72</f>
        <v>-337.5</v>
      </c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</row>
    <row r="44" spans="1:75" ht="15.75" customHeight="1" x14ac:dyDescent="0.2">
      <c r="A44" s="222" t="str">
        <f>+ ADQUISICIONES!A73</f>
        <v>SS7</v>
      </c>
      <c r="B44" s="6"/>
      <c r="C44" s="6"/>
      <c r="D44" s="6"/>
      <c r="E44" s="6"/>
      <c r="F44" s="6"/>
      <c r="G44" s="6"/>
      <c r="H44" s="6"/>
      <c r="I44" s="6">
        <f>-ADQUISICIONES!$G$73</f>
        <v>-89</v>
      </c>
      <c r="J44" s="6">
        <f>-ADQUISICIONES!$G$73</f>
        <v>-89</v>
      </c>
      <c r="K44" s="6">
        <f>-ADQUISICIONES!$G$73</f>
        <v>-89</v>
      </c>
      <c r="L44" s="6">
        <f>-ADQUISICIONES!$G$73</f>
        <v>-89</v>
      </c>
      <c r="M44" s="6">
        <f>-ADQUISICIONES!$G$73</f>
        <v>-89</v>
      </c>
      <c r="N44" s="6">
        <f>-ADQUISICIONES!$G$73</f>
        <v>-89</v>
      </c>
      <c r="O44" s="6">
        <f>-ADQUISICIONES!$G$73</f>
        <v>-89</v>
      </c>
      <c r="P44" s="6">
        <f>-ADQUISICIONES!$G$73</f>
        <v>-89</v>
      </c>
      <c r="Q44" s="6">
        <f>-ADQUISICIONES!$G$73</f>
        <v>-89</v>
      </c>
      <c r="R44" s="6">
        <f>-ADQUISICIONES!$G$73</f>
        <v>-89</v>
      </c>
      <c r="S44" s="6">
        <f>-ADQUISICIONES!$G$73</f>
        <v>-89</v>
      </c>
      <c r="T44" s="6">
        <f>-ADQUISICIONES!$G$73</f>
        <v>-89</v>
      </c>
      <c r="U44" s="6">
        <f>-ADQUISICIONES!$G$73</f>
        <v>-89</v>
      </c>
      <c r="V44" s="6">
        <f>-ADQUISICIONES!$G$73</f>
        <v>-89</v>
      </c>
      <c r="W44" s="6">
        <f>-ADQUISICIONES!$G$73</f>
        <v>-89</v>
      </c>
      <c r="X44" s="6">
        <f>-ADQUISICIONES!$G$73</f>
        <v>-89</v>
      </c>
      <c r="Y44" s="6">
        <f>-ADQUISICIONES!$G$73</f>
        <v>-89</v>
      </c>
      <c r="Z44" s="6">
        <f>-ADQUISICIONES!$G$73</f>
        <v>-89</v>
      </c>
      <c r="AA44" s="6">
        <f>-ADQUISICIONES!$G$73</f>
        <v>-89</v>
      </c>
      <c r="AB44" s="6">
        <f>-ADQUISICIONES!$G$73</f>
        <v>-89</v>
      </c>
      <c r="AC44" s="6">
        <f>-ADQUISICIONES!$G$73</f>
        <v>-89</v>
      </c>
      <c r="AD44" s="6">
        <f>-ADQUISICIONES!$G$73</f>
        <v>-89</v>
      </c>
      <c r="AE44" s="6">
        <f>-ADQUISICIONES!$G$73</f>
        <v>-89</v>
      </c>
      <c r="AF44" s="6">
        <f>-ADQUISICIONES!$G$73</f>
        <v>-89</v>
      </c>
      <c r="AG44" s="6">
        <f>-ADQUISICIONES!$G$73</f>
        <v>-89</v>
      </c>
      <c r="AH44" s="6">
        <f>-ADQUISICIONES!$G$73</f>
        <v>-89</v>
      </c>
      <c r="AI44" s="6">
        <f>-ADQUISICIONES!$G$73</f>
        <v>-89</v>
      </c>
      <c r="AJ44" s="6">
        <f>-ADQUISICIONES!$G$73</f>
        <v>-89</v>
      </c>
      <c r="AK44" s="6">
        <f>-ADQUISICIONES!$G$73</f>
        <v>-89</v>
      </c>
      <c r="AL44" s="6">
        <f>-ADQUISICIONES!$G$73</f>
        <v>-89</v>
      </c>
      <c r="AM44" s="6">
        <f>-ADQUISICIONES!$G$73</f>
        <v>-89</v>
      </c>
      <c r="AN44" s="6">
        <f>-ADQUISICIONES!$G$73</f>
        <v>-89</v>
      </c>
      <c r="AO44" s="6">
        <f>-ADQUISICIONES!$G$73</f>
        <v>-89</v>
      </c>
      <c r="AP44" s="6">
        <f>-ADQUISICIONES!$G$73</f>
        <v>-89</v>
      </c>
      <c r="AQ44" s="6">
        <f>-ADQUISICIONES!$G$73</f>
        <v>-89</v>
      </c>
      <c r="AR44" s="6">
        <f>-ADQUISICIONES!$G$73</f>
        <v>-89</v>
      </c>
      <c r="AS44" s="6">
        <f>-ADQUISICIONES!$G$73</f>
        <v>-89</v>
      </c>
      <c r="AT44" s="6">
        <f>-ADQUISICIONES!$G$73</f>
        <v>-89</v>
      </c>
      <c r="AU44" s="6">
        <f>-ADQUISICIONES!$G$73</f>
        <v>-89</v>
      </c>
      <c r="AV44" s="6">
        <f>-ADQUISICIONES!$G$73</f>
        <v>-89</v>
      </c>
      <c r="AW44" s="6">
        <f>-ADQUISICIONES!$G$73</f>
        <v>-89</v>
      </c>
      <c r="AX44" s="6">
        <f>-ADQUISICIONES!$G$73</f>
        <v>-89</v>
      </c>
      <c r="AY44" s="6">
        <f>-ADQUISICIONES!$G$73</f>
        <v>-89</v>
      </c>
      <c r="AZ44" s="6">
        <f>-ADQUISICIONES!$G$73</f>
        <v>-89</v>
      </c>
      <c r="BA44" s="6">
        <f>-ADQUISICIONES!$G$73</f>
        <v>-89</v>
      </c>
      <c r="BB44" s="6">
        <f>-ADQUISICIONES!$G$73</f>
        <v>-89</v>
      </c>
      <c r="BC44" s="6">
        <f>-ADQUISICIONES!$G$73</f>
        <v>-89</v>
      </c>
      <c r="BD44" s="6">
        <f>-ADQUISICIONES!$G$73</f>
        <v>-89</v>
      </c>
      <c r="BE44" s="6">
        <f>-ADQUISICIONES!$G$73</f>
        <v>-89</v>
      </c>
      <c r="BF44" s="6">
        <f>-ADQUISICIONES!$G$73</f>
        <v>-89</v>
      </c>
      <c r="BG44" s="6">
        <f>-ADQUISICIONES!$G$73</f>
        <v>-89</v>
      </c>
      <c r="BH44" s="6">
        <f>-ADQUISICIONES!$G$73</f>
        <v>-89</v>
      </c>
      <c r="BI44" s="6">
        <f>-ADQUISICIONES!$G$73</f>
        <v>-89</v>
      </c>
      <c r="BJ44" s="6">
        <f>-ADQUISICIONES!$G$73</f>
        <v>-89</v>
      </c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</row>
    <row r="45" spans="1:75" ht="15.75" customHeight="1" x14ac:dyDescent="0.2"/>
    <row r="46" spans="1:75" ht="15.75" customHeight="1" x14ac:dyDescent="0.2"/>
    <row r="47" spans="1:75" ht="15.75" customHeight="1" x14ac:dyDescent="0.2"/>
    <row r="48" spans="1:7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mergeCells count="58"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V10:AV11"/>
    <mergeCell ref="Y10:Y11"/>
    <mergeCell ref="Z10:Z11"/>
    <mergeCell ref="AA10:AA11"/>
    <mergeCell ref="AB10:AB11"/>
    <mergeCell ref="AC10:AC11"/>
    <mergeCell ref="C1:N1"/>
    <mergeCell ref="O1:BB1"/>
    <mergeCell ref="A5:BB5"/>
    <mergeCell ref="A10:A11"/>
    <mergeCell ref="B10:B11"/>
    <mergeCell ref="C10:C11"/>
    <mergeCell ref="D10:D11"/>
    <mergeCell ref="AW10:AW11"/>
    <mergeCell ref="AX10:AX11"/>
    <mergeCell ref="AY10:AY11"/>
    <mergeCell ref="AZ10:AZ11"/>
    <mergeCell ref="BA10:BA11"/>
    <mergeCell ref="AD10:AD11"/>
    <mergeCell ref="AE10:AE11"/>
    <mergeCell ref="AF10:AF11"/>
    <mergeCell ref="AU10:AU11"/>
    <mergeCell ref="A23:BB23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BB10:BB11"/>
  </mergeCells>
  <conditionalFormatting sqref="B7:BW8">
    <cfRule type="cellIs" dxfId="6" priority="2" operator="lessThan">
      <formula>0</formula>
    </cfRule>
  </conditionalFormatting>
  <conditionalFormatting sqref="B28:BW44">
    <cfRule type="cellIs" dxfId="5" priority="3" operator="lessThan">
      <formula>0</formula>
    </cfRule>
  </conditionalFormatting>
  <conditionalFormatting sqref="E16:G1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T997"/>
  <sheetViews>
    <sheetView topLeftCell="A3" workbookViewId="0"/>
  </sheetViews>
  <sheetFormatPr baseColWidth="10" defaultColWidth="12.7109375" defaultRowHeight="15" customHeight="1" x14ac:dyDescent="0.2"/>
  <cols>
    <col min="1" max="1" width="33.7109375" customWidth="1"/>
    <col min="8" max="9" width="13.7109375" customWidth="1"/>
  </cols>
  <sheetData>
    <row r="1" spans="1:72" ht="15.75" customHeight="1" x14ac:dyDescent="0.4">
      <c r="A1" s="1" t="s">
        <v>526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</row>
    <row r="2" spans="1:72" ht="15.75" customHeight="1" x14ac:dyDescent="0.2"/>
    <row r="3" spans="1:72" ht="15.75" customHeight="1" x14ac:dyDescent="0.2">
      <c r="A3" s="8" t="s">
        <v>48</v>
      </c>
      <c r="B3" s="8">
        <v>0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H3" s="8">
        <v>32</v>
      </c>
      <c r="AI3" s="8">
        <v>33</v>
      </c>
      <c r="AJ3" s="8">
        <v>34</v>
      </c>
      <c r="AK3" s="50">
        <v>35</v>
      </c>
      <c r="AL3" s="50">
        <f t="shared" ref="AL3:BJ3" si="0">AK3+1</f>
        <v>36</v>
      </c>
      <c r="AM3" s="50">
        <f t="shared" si="0"/>
        <v>37</v>
      </c>
      <c r="AN3" s="50">
        <f t="shared" si="0"/>
        <v>38</v>
      </c>
      <c r="AO3" s="50">
        <f t="shared" si="0"/>
        <v>39</v>
      </c>
      <c r="AP3" s="50">
        <f t="shared" si="0"/>
        <v>40</v>
      </c>
      <c r="AQ3" s="50">
        <f t="shared" si="0"/>
        <v>41</v>
      </c>
      <c r="AR3" s="50">
        <f t="shared" si="0"/>
        <v>42</v>
      </c>
      <c r="AS3" s="50">
        <f t="shared" si="0"/>
        <v>43</v>
      </c>
      <c r="AT3" s="50">
        <f t="shared" si="0"/>
        <v>44</v>
      </c>
      <c r="AU3" s="50">
        <f t="shared" si="0"/>
        <v>45</v>
      </c>
      <c r="AV3" s="50">
        <f t="shared" si="0"/>
        <v>46</v>
      </c>
      <c r="AW3" s="50">
        <f t="shared" si="0"/>
        <v>47</v>
      </c>
      <c r="AX3" s="50">
        <f t="shared" si="0"/>
        <v>48</v>
      </c>
      <c r="AY3" s="50">
        <f t="shared" si="0"/>
        <v>49</v>
      </c>
      <c r="AZ3" s="50">
        <f t="shared" si="0"/>
        <v>50</v>
      </c>
      <c r="BA3" s="50">
        <f t="shared" si="0"/>
        <v>51</v>
      </c>
      <c r="BB3" s="50">
        <f t="shared" si="0"/>
        <v>52</v>
      </c>
      <c r="BC3" s="50">
        <f t="shared" si="0"/>
        <v>53</v>
      </c>
      <c r="BD3" s="50">
        <f t="shared" si="0"/>
        <v>54</v>
      </c>
      <c r="BE3" s="50">
        <f t="shared" si="0"/>
        <v>55</v>
      </c>
      <c r="BF3" s="50">
        <f t="shared" si="0"/>
        <v>56</v>
      </c>
      <c r="BG3" s="50">
        <f t="shared" si="0"/>
        <v>57</v>
      </c>
      <c r="BH3" s="50">
        <f t="shared" si="0"/>
        <v>58</v>
      </c>
      <c r="BI3" s="50">
        <f t="shared" si="0"/>
        <v>59</v>
      </c>
      <c r="BJ3" s="50">
        <f t="shared" si="0"/>
        <v>60</v>
      </c>
      <c r="BK3" s="233"/>
      <c r="BL3" s="233"/>
      <c r="BM3" s="233"/>
      <c r="BN3" s="233"/>
      <c r="BO3" s="233"/>
      <c r="BP3" s="233"/>
      <c r="BQ3" s="233"/>
      <c r="BR3" s="233"/>
      <c r="BS3" s="233"/>
      <c r="BT3" s="233"/>
    </row>
    <row r="4" spans="1:72" ht="15.75" customHeight="1" x14ac:dyDescent="0.2">
      <c r="A4" s="8" t="s">
        <v>49</v>
      </c>
      <c r="B4" s="8"/>
      <c r="C4" s="234">
        <v>45292</v>
      </c>
      <c r="D4" s="234">
        <v>45323</v>
      </c>
      <c r="E4" s="234">
        <v>45352</v>
      </c>
      <c r="F4" s="234">
        <v>45383</v>
      </c>
      <c r="G4" s="234">
        <v>45413</v>
      </c>
      <c r="H4" s="234">
        <v>45444</v>
      </c>
      <c r="I4" s="234">
        <v>45474</v>
      </c>
      <c r="J4" s="234">
        <v>45505</v>
      </c>
      <c r="K4" s="234">
        <v>45536</v>
      </c>
      <c r="L4" s="234">
        <v>45566</v>
      </c>
      <c r="M4" s="234">
        <v>45597</v>
      </c>
      <c r="N4" s="234">
        <v>45627</v>
      </c>
      <c r="O4" s="234">
        <v>45658</v>
      </c>
      <c r="P4" s="234">
        <v>45689</v>
      </c>
      <c r="Q4" s="234">
        <v>45717</v>
      </c>
      <c r="R4" s="234">
        <v>45748</v>
      </c>
      <c r="S4" s="234">
        <v>45778</v>
      </c>
      <c r="T4" s="234">
        <v>45809</v>
      </c>
      <c r="U4" s="234">
        <v>45839</v>
      </c>
      <c r="V4" s="234">
        <v>45870</v>
      </c>
      <c r="W4" s="234">
        <v>45901</v>
      </c>
      <c r="X4" s="234">
        <v>45931</v>
      </c>
      <c r="Y4" s="234">
        <v>45962</v>
      </c>
      <c r="Z4" s="234">
        <v>45992</v>
      </c>
      <c r="AA4" s="234">
        <v>46023</v>
      </c>
      <c r="AB4" s="234">
        <v>46054</v>
      </c>
      <c r="AC4" s="234">
        <v>46082</v>
      </c>
      <c r="AD4" s="234">
        <v>46113</v>
      </c>
      <c r="AE4" s="234">
        <v>46143</v>
      </c>
      <c r="AF4" s="234">
        <v>46174</v>
      </c>
      <c r="AG4" s="234">
        <v>46204</v>
      </c>
      <c r="AH4" s="234">
        <v>46235</v>
      </c>
      <c r="AI4" s="234">
        <v>46266</v>
      </c>
      <c r="AJ4" s="234">
        <v>46296</v>
      </c>
      <c r="AK4" s="235">
        <v>46327</v>
      </c>
      <c r="AL4" s="235">
        <f t="shared" ref="AL4:BJ4" si="1">AK4+31</f>
        <v>46358</v>
      </c>
      <c r="AM4" s="235">
        <f t="shared" si="1"/>
        <v>46389</v>
      </c>
      <c r="AN4" s="235">
        <f t="shared" si="1"/>
        <v>46420</v>
      </c>
      <c r="AO4" s="235">
        <f t="shared" si="1"/>
        <v>46451</v>
      </c>
      <c r="AP4" s="235">
        <f t="shared" si="1"/>
        <v>46482</v>
      </c>
      <c r="AQ4" s="235">
        <f t="shared" si="1"/>
        <v>46513</v>
      </c>
      <c r="AR4" s="235">
        <f t="shared" si="1"/>
        <v>46544</v>
      </c>
      <c r="AS4" s="235">
        <f t="shared" si="1"/>
        <v>46575</v>
      </c>
      <c r="AT4" s="235">
        <f t="shared" si="1"/>
        <v>46606</v>
      </c>
      <c r="AU4" s="235">
        <f t="shared" si="1"/>
        <v>46637</v>
      </c>
      <c r="AV4" s="235">
        <f t="shared" si="1"/>
        <v>46668</v>
      </c>
      <c r="AW4" s="235">
        <f t="shared" si="1"/>
        <v>46699</v>
      </c>
      <c r="AX4" s="235">
        <f t="shared" si="1"/>
        <v>46730</v>
      </c>
      <c r="AY4" s="235">
        <f t="shared" si="1"/>
        <v>46761</v>
      </c>
      <c r="AZ4" s="235">
        <f t="shared" si="1"/>
        <v>46792</v>
      </c>
      <c r="BA4" s="235">
        <f t="shared" si="1"/>
        <v>46823</v>
      </c>
      <c r="BB4" s="235">
        <f t="shared" si="1"/>
        <v>46854</v>
      </c>
      <c r="BC4" s="235">
        <f t="shared" si="1"/>
        <v>46885</v>
      </c>
      <c r="BD4" s="235">
        <f t="shared" si="1"/>
        <v>46916</v>
      </c>
      <c r="BE4" s="235">
        <f t="shared" si="1"/>
        <v>46947</v>
      </c>
      <c r="BF4" s="235">
        <f t="shared" si="1"/>
        <v>46978</v>
      </c>
      <c r="BG4" s="235">
        <f t="shared" si="1"/>
        <v>47009</v>
      </c>
      <c r="BH4" s="235">
        <f t="shared" si="1"/>
        <v>47040</v>
      </c>
      <c r="BI4" s="235">
        <f t="shared" si="1"/>
        <v>47071</v>
      </c>
      <c r="BJ4" s="235">
        <f t="shared" si="1"/>
        <v>47102</v>
      </c>
      <c r="BK4" s="236"/>
      <c r="BL4" s="236"/>
      <c r="BM4" s="236"/>
      <c r="BN4" s="236"/>
      <c r="BO4" s="236"/>
      <c r="BP4" s="236"/>
      <c r="BQ4" s="236"/>
      <c r="BR4" s="236"/>
      <c r="BS4" s="236"/>
      <c r="BT4" s="236"/>
    </row>
    <row r="5" spans="1:72" ht="15.75" customHeight="1" x14ac:dyDescent="0.2">
      <c r="A5" s="3" t="s">
        <v>527</v>
      </c>
      <c r="B5" s="4">
        <f>'FLUJO DE CAJA NETO'!B13</f>
        <v>108534.11400000005</v>
      </c>
      <c r="C5" s="4">
        <f>'FLUJO DE CAJA NETO'!C13</f>
        <v>0</v>
      </c>
      <c r="D5" s="4">
        <f>'FLUJO DE CAJA NETO'!D13</f>
        <v>17602.603899999998</v>
      </c>
      <c r="E5" s="4">
        <f>'FLUJO DE CAJA NETO'!E13</f>
        <v>0</v>
      </c>
      <c r="F5" s="4">
        <f>'FLUJO DE CAJA NETO'!F13</f>
        <v>0</v>
      </c>
      <c r="G5" s="4">
        <f>'FLUJO DE CAJA NETO'!G13</f>
        <v>0</v>
      </c>
      <c r="H5" s="4">
        <f>'FLUJO DE CAJA NETO'!H13</f>
        <v>0</v>
      </c>
      <c r="I5" s="4">
        <f>'FLUJO DE CAJA NETO'!I13</f>
        <v>26403.905849999999</v>
      </c>
      <c r="J5" s="4">
        <f>'FLUJO DE CAJA NETO'!J13</f>
        <v>0</v>
      </c>
      <c r="K5" s="4">
        <f>'FLUJO DE CAJA NETO'!K13</f>
        <v>0</v>
      </c>
      <c r="L5" s="4">
        <f>'FLUJO DE CAJA NETO'!L13</f>
        <v>26403.905849999999</v>
      </c>
      <c r="M5" s="4">
        <f>'FLUJO DE CAJA NETO'!M13</f>
        <v>0</v>
      </c>
      <c r="N5" s="4">
        <f>'FLUJO DE CAJA NETO'!N13</f>
        <v>17602.603899999998</v>
      </c>
      <c r="O5" s="4">
        <f>'FLUJO DE CAJA NETO'!O13+'TARIFAS DE OPERACION'!O49</f>
        <v>4112.3083333333343</v>
      </c>
      <c r="P5" s="4">
        <f>'FLUJO DE CAJA NETO'!P13</f>
        <v>2288.3083333333338</v>
      </c>
      <c r="Q5" s="4">
        <f>'FLUJO DE CAJA NETO'!Q13</f>
        <v>2288.3083333333338</v>
      </c>
      <c r="R5" s="4">
        <f>'FLUJO DE CAJA NETO'!R13</f>
        <v>2288.3083333333338</v>
      </c>
      <c r="S5" s="4">
        <f>'FLUJO DE CAJA NETO'!S13</f>
        <v>2288.3083333333338</v>
      </c>
      <c r="T5" s="4">
        <f>'FLUJO DE CAJA NETO'!T13</f>
        <v>2288.3083333333338</v>
      </c>
      <c r="U5" s="4">
        <f>'FLUJO DE CAJA NETO'!U13</f>
        <v>2288.3083333333338</v>
      </c>
      <c r="V5" s="4">
        <f>'FLUJO DE CAJA NETO'!V13</f>
        <v>2288.3083333333338</v>
      </c>
      <c r="W5" s="4">
        <f>'FLUJO DE CAJA NETO'!W13</f>
        <v>2288.3083333333338</v>
      </c>
      <c r="X5" s="4">
        <f>'FLUJO DE CAJA NETO'!X13</f>
        <v>2288.3083333333338</v>
      </c>
      <c r="Y5" s="4">
        <f>'FLUJO DE CAJA NETO'!Y13</f>
        <v>2288.3083333333338</v>
      </c>
      <c r="Z5" s="4">
        <f>'FLUJO DE CAJA NETO'!Z13</f>
        <v>2288.3083333333338</v>
      </c>
      <c r="AA5" s="4">
        <f>'FLUJO DE CAJA NETO'!AA13</f>
        <v>2288.3083333333338</v>
      </c>
      <c r="AB5" s="4">
        <f>'FLUJO DE CAJA NETO'!AB13</f>
        <v>2288.3083333333338</v>
      </c>
      <c r="AC5" s="4">
        <f>'FLUJO DE CAJA NETO'!AC13</f>
        <v>2288.3083333333338</v>
      </c>
      <c r="AD5" s="4">
        <f>'FLUJO DE CAJA NETO'!AD13</f>
        <v>2288.3083333333338</v>
      </c>
      <c r="AE5" s="4">
        <f>'FLUJO DE CAJA NETO'!AE13</f>
        <v>2288.3083333333338</v>
      </c>
      <c r="AF5" s="4">
        <f>'FLUJO DE CAJA NETO'!AF13</f>
        <v>2288.3083333333338</v>
      </c>
      <c r="AG5" s="4">
        <f>'FLUJO DE CAJA NETO'!AG13</f>
        <v>2288.3083333333338</v>
      </c>
      <c r="AH5" s="4">
        <f>'FLUJO DE CAJA NETO'!AH13</f>
        <v>2288.3083333333338</v>
      </c>
      <c r="AI5" s="4">
        <f>'FLUJO DE CAJA NETO'!AI13</f>
        <v>2288.3083333333338</v>
      </c>
      <c r="AJ5" s="4">
        <f>'FLUJO DE CAJA NETO'!AJ13</f>
        <v>2288.3083333333338</v>
      </c>
      <c r="AK5" s="237">
        <f>'FLUJO DE CAJA NETO'!AK13</f>
        <v>2288.3083333333338</v>
      </c>
      <c r="AL5" s="237">
        <f>'FLUJO DE CAJA NETO'!AL13</f>
        <v>2288.3083333333338</v>
      </c>
      <c r="AM5" s="237">
        <f>'FLUJO DE CAJA NETO'!AM13</f>
        <v>2288.3083333333338</v>
      </c>
      <c r="AN5" s="237">
        <f>'FLUJO DE CAJA NETO'!AN13</f>
        <v>2288.3083333333338</v>
      </c>
      <c r="AO5" s="237">
        <f>'FLUJO DE CAJA NETO'!AO13</f>
        <v>2288.3083333333338</v>
      </c>
      <c r="AP5" s="237">
        <f>'FLUJO DE CAJA NETO'!AP13</f>
        <v>2288.3083333333338</v>
      </c>
      <c r="AQ5" s="237">
        <f>'FLUJO DE CAJA NETO'!AQ13</f>
        <v>2288.3083333333338</v>
      </c>
      <c r="AR5" s="237">
        <f>'FLUJO DE CAJA NETO'!AR13</f>
        <v>2288.3083333333338</v>
      </c>
      <c r="AS5" s="237">
        <f>'FLUJO DE CAJA NETO'!AS13</f>
        <v>2288.3083333333338</v>
      </c>
      <c r="AT5" s="237">
        <f>'FLUJO DE CAJA NETO'!AT13</f>
        <v>2288.3083333333338</v>
      </c>
      <c r="AU5" s="237">
        <f>'FLUJO DE CAJA NETO'!AU13</f>
        <v>2288.3083333333338</v>
      </c>
      <c r="AV5" s="237">
        <f>'FLUJO DE CAJA NETO'!AV13</f>
        <v>2288.3083333333338</v>
      </c>
      <c r="AW5" s="237">
        <f>'FLUJO DE CAJA NETO'!AW13</f>
        <v>2288.3083333333338</v>
      </c>
      <c r="AX5" s="237">
        <f>'FLUJO DE CAJA NETO'!AX13</f>
        <v>2288.3083333333338</v>
      </c>
      <c r="AY5" s="237">
        <f>'FLUJO DE CAJA NETO'!AY13</f>
        <v>2288.3083333333338</v>
      </c>
      <c r="AZ5" s="237">
        <f>'FLUJO DE CAJA NETO'!AZ13</f>
        <v>2288.3083333333338</v>
      </c>
      <c r="BA5" s="237">
        <f>'FLUJO DE CAJA NETO'!BA13</f>
        <v>2288.3083333333338</v>
      </c>
      <c r="BB5" s="237">
        <f>'FLUJO DE CAJA NETO'!BB13</f>
        <v>2288.3083333333338</v>
      </c>
      <c r="BC5" s="237">
        <f>'FLUJO DE CAJA NETO'!BC13</f>
        <v>2288.3083333333338</v>
      </c>
      <c r="BD5" s="237">
        <f>'FLUJO DE CAJA NETO'!BD13</f>
        <v>2288.3083333333338</v>
      </c>
      <c r="BE5" s="237">
        <f>'FLUJO DE CAJA NETO'!BE13</f>
        <v>2288.3083333333338</v>
      </c>
      <c r="BF5" s="237">
        <f>'FLUJO DE CAJA NETO'!BF13</f>
        <v>2288.3083333333338</v>
      </c>
      <c r="BG5" s="237">
        <f>'FLUJO DE CAJA NETO'!BG13</f>
        <v>2288.3083333333338</v>
      </c>
      <c r="BH5" s="237">
        <f>'FLUJO DE CAJA NETO'!BH13</f>
        <v>2288.3083333333338</v>
      </c>
      <c r="BI5" s="237">
        <f>'FLUJO DE CAJA NETO'!BI13</f>
        <v>2288.3083333333338</v>
      </c>
      <c r="BJ5" s="237">
        <f>'FLUJO DE CAJA NETO'!BJ13</f>
        <v>2288.3083333333338</v>
      </c>
      <c r="BK5" s="238"/>
      <c r="BL5" s="238"/>
      <c r="BM5" s="238"/>
      <c r="BN5" s="238"/>
      <c r="BO5" s="238"/>
      <c r="BP5" s="238"/>
      <c r="BQ5" s="238"/>
      <c r="BR5" s="238"/>
      <c r="BS5" s="238"/>
      <c r="BT5" s="238"/>
    </row>
    <row r="6" spans="1:72" ht="15.75" customHeight="1" x14ac:dyDescent="0.2">
      <c r="A6" s="3" t="s">
        <v>528</v>
      </c>
      <c r="B6" s="4"/>
      <c r="C6" s="4">
        <f>-'COSTOS DE OPERACION'!C$49</f>
        <v>-2448</v>
      </c>
      <c r="D6" s="4">
        <f>-'COSTOS DE OPERACION'!D$49</f>
        <v>-2448</v>
      </c>
      <c r="E6" s="4">
        <f>-'COSTOS DE OPERACION'!E$49</f>
        <v>-2400</v>
      </c>
      <c r="F6" s="4">
        <f>-'COSTOS DE OPERACION'!F$49</f>
        <v>-1403.2</v>
      </c>
      <c r="G6" s="4">
        <f>-'COSTOS DE OPERACION'!G$49</f>
        <v>-2768</v>
      </c>
      <c r="H6" s="4">
        <f>-'COSTOS DE OPERACION'!H49</f>
        <v>-2768</v>
      </c>
      <c r="I6" s="4">
        <f>-'COSTOS DE OPERACION'!I49</f>
        <v>-2288</v>
      </c>
      <c r="J6" s="4">
        <f>-'COSTOS DE OPERACION'!J49</f>
        <v>-2352</v>
      </c>
      <c r="K6" s="4">
        <f>-'COSTOS DE OPERACION'!K49</f>
        <v>-2096</v>
      </c>
      <c r="L6" s="4">
        <f>-'COSTOS DE OPERACION'!L49</f>
        <v>-2096</v>
      </c>
      <c r="M6" s="4">
        <f>-'COSTOS DE OPERACION'!M49</f>
        <v>-1968</v>
      </c>
      <c r="N6" s="4">
        <f>-'COSTOS DE OPERACION'!N49</f>
        <v>-1984</v>
      </c>
      <c r="O6" s="4">
        <f>-'COSTOS DE OPERACION'!O49</f>
        <v>-1042.4000000000001</v>
      </c>
      <c r="P6" s="4">
        <f>-'COSTOS DE OPERACION'!P49</f>
        <v>-658.4</v>
      </c>
      <c r="Q6" s="4">
        <f>-'COSTOS DE OPERACION'!Q49</f>
        <v>-658.4</v>
      </c>
      <c r="R6" s="4">
        <f>-'COSTOS DE OPERACION'!R49</f>
        <v>-962.4</v>
      </c>
      <c r="S6" s="4">
        <f>-'COSTOS DE OPERACION'!S49</f>
        <v>-498.4</v>
      </c>
      <c r="T6" s="4">
        <f>-'COSTOS DE OPERACION'!T49</f>
        <v>-498.4</v>
      </c>
      <c r="U6" s="4">
        <f>-'COSTOS DE OPERACION'!U49</f>
        <v>-882.4</v>
      </c>
      <c r="V6" s="4">
        <f>-'COSTOS DE OPERACION'!V49</f>
        <v>-498.4</v>
      </c>
      <c r="W6" s="4">
        <f>-'COSTOS DE OPERACION'!W49</f>
        <v>-498.4</v>
      </c>
      <c r="X6" s="4">
        <f>-'COSTOS DE OPERACION'!X49</f>
        <v>-882.4</v>
      </c>
      <c r="Y6" s="4">
        <f>-'COSTOS DE OPERACION'!Y49</f>
        <v>-498.4</v>
      </c>
      <c r="Z6" s="4">
        <f>-'COSTOS DE OPERACION'!Z49</f>
        <v>-498.4</v>
      </c>
      <c r="AA6" s="4">
        <f>-'COSTOS DE OPERACION'!AA49</f>
        <v>-882.4</v>
      </c>
      <c r="AB6" s="4">
        <f>-'COSTOS DE OPERACION'!AB49</f>
        <v>-498.4</v>
      </c>
      <c r="AC6" s="4">
        <f>-'COSTOS DE OPERACION'!AC49</f>
        <v>-498.4</v>
      </c>
      <c r="AD6" s="4">
        <f>-'COSTOS DE OPERACION'!AD49</f>
        <v>-882.4</v>
      </c>
      <c r="AE6" s="4">
        <f>-'COSTOS DE OPERACION'!AE49</f>
        <v>-498.4</v>
      </c>
      <c r="AF6" s="4">
        <f>-'COSTOS DE OPERACION'!AF49</f>
        <v>-498.4</v>
      </c>
      <c r="AG6" s="4">
        <f>-'COSTOS DE OPERACION'!AG49</f>
        <v>-882.4</v>
      </c>
      <c r="AH6" s="4">
        <f>-'COSTOS DE OPERACION'!AH49</f>
        <v>-498.4</v>
      </c>
      <c r="AI6" s="4">
        <f>-'COSTOS DE OPERACION'!AI49</f>
        <v>-498.4</v>
      </c>
      <c r="AJ6" s="4">
        <f>-'COSTOS DE OPERACION'!AJ49</f>
        <v>-882.4</v>
      </c>
      <c r="AK6" s="4">
        <f>-'COSTOS DE OPERACION'!AK49</f>
        <v>-498.4</v>
      </c>
      <c r="AL6" s="4">
        <f>-'COSTOS DE OPERACION'!AL49</f>
        <v>-498.4</v>
      </c>
      <c r="AM6" s="4">
        <f>-'COSTOS DE OPERACION'!AM49</f>
        <v>-882.4</v>
      </c>
      <c r="AN6" s="4">
        <f>-'COSTOS DE OPERACION'!AN49</f>
        <v>-498.4</v>
      </c>
      <c r="AO6" s="4">
        <f>-'COSTOS DE OPERACION'!AO49</f>
        <v>-498.4</v>
      </c>
      <c r="AP6" s="4">
        <f>-'COSTOS DE OPERACION'!AP49</f>
        <v>-882.4</v>
      </c>
      <c r="AQ6" s="4">
        <f>-'COSTOS DE OPERACION'!AQ49</f>
        <v>-498.4</v>
      </c>
      <c r="AR6" s="4">
        <f>-'COSTOS DE OPERACION'!AR49</f>
        <v>-498.4</v>
      </c>
      <c r="AS6" s="4">
        <f>-'COSTOS DE OPERACION'!AS49</f>
        <v>-882.4</v>
      </c>
      <c r="AT6" s="4">
        <f>-'COSTOS DE OPERACION'!AT49</f>
        <v>-498.4</v>
      </c>
      <c r="AU6" s="4">
        <f>-'COSTOS DE OPERACION'!AU49</f>
        <v>-498.4</v>
      </c>
      <c r="AV6" s="4">
        <f>-'COSTOS DE OPERACION'!AV49</f>
        <v>-882.4</v>
      </c>
      <c r="AW6" s="4">
        <f>-'COSTOS DE OPERACION'!AW49</f>
        <v>-498.4</v>
      </c>
      <c r="AX6" s="4">
        <f>-'COSTOS DE OPERACION'!AX49</f>
        <v>-498.4</v>
      </c>
      <c r="AY6" s="4">
        <f>-'COSTOS DE OPERACION'!AY49</f>
        <v>-882.4</v>
      </c>
      <c r="AZ6" s="4">
        <f>-'COSTOS DE OPERACION'!AZ49</f>
        <v>-498.4</v>
      </c>
      <c r="BA6" s="4">
        <f>-'COSTOS DE OPERACION'!BA49</f>
        <v>-498.4</v>
      </c>
      <c r="BB6" s="4">
        <f>-'COSTOS DE OPERACION'!BB49</f>
        <v>-882.4</v>
      </c>
      <c r="BC6" s="4">
        <f>-'COSTOS DE OPERACION'!BC49</f>
        <v>-498.4</v>
      </c>
      <c r="BD6" s="4">
        <f>-'COSTOS DE OPERACION'!BD49</f>
        <v>-498.4</v>
      </c>
      <c r="BE6" s="4">
        <f>-'COSTOS DE OPERACION'!BE49</f>
        <v>-882.4</v>
      </c>
      <c r="BF6" s="4">
        <f>-'COSTOS DE OPERACION'!BF49</f>
        <v>-498.4</v>
      </c>
      <c r="BG6" s="4">
        <f>-'COSTOS DE OPERACION'!BG49</f>
        <v>-498.4</v>
      </c>
      <c r="BH6" s="4">
        <f>-'COSTOS DE OPERACION'!BH49</f>
        <v>-882.4</v>
      </c>
      <c r="BI6" s="4">
        <f>-'COSTOS DE OPERACION'!BI49</f>
        <v>-498.4</v>
      </c>
      <c r="BJ6" s="4">
        <f>-'COSTOS DE OPERACION'!BJ49</f>
        <v>-498.4</v>
      </c>
      <c r="BK6" s="238"/>
      <c r="BL6" s="238"/>
      <c r="BM6" s="238"/>
      <c r="BN6" s="238"/>
      <c r="BO6" s="238"/>
      <c r="BP6" s="238"/>
      <c r="BQ6" s="238"/>
      <c r="BR6" s="238"/>
      <c r="BS6" s="238"/>
      <c r="BT6" s="238"/>
    </row>
    <row r="7" spans="1:72" ht="15.75" customHeight="1" x14ac:dyDescent="0.2">
      <c r="A7" s="3" t="s">
        <v>529</v>
      </c>
      <c r="B7" s="4"/>
      <c r="C7" s="4">
        <f>'FLUJO DE CAJA NETO'!C31</f>
        <v>0</v>
      </c>
      <c r="D7" s="4">
        <f>'FLUJO DE CAJA NETO'!D31</f>
        <v>0</v>
      </c>
      <c r="E7" s="4">
        <f>'FLUJO DE CAJA NETO'!E31</f>
        <v>0</v>
      </c>
      <c r="F7" s="10"/>
      <c r="G7" s="4">
        <f>'FLUJO DE CAJA NETO'!H31</f>
        <v>0</v>
      </c>
      <c r="H7" s="4"/>
      <c r="I7" s="4">
        <f>'FLUJO DE CAJA NETO'!I31</f>
        <v>-4944.4641666666666</v>
      </c>
      <c r="J7" s="4">
        <f>'FLUJO DE CAJA NETO'!J31</f>
        <v>-4944.4641666666666</v>
      </c>
      <c r="K7" s="4">
        <f>'FLUJO DE CAJA NETO'!K31</f>
        <v>-4944.4641666666666</v>
      </c>
      <c r="L7" s="4">
        <f>'FLUJO DE CAJA NETO'!L31</f>
        <v>0</v>
      </c>
      <c r="M7" s="4">
        <f>'FLUJO DE CAJA NETO'!M31</f>
        <v>0</v>
      </c>
      <c r="N7" s="4">
        <f>'FLUJO DE CAJA NETO'!N31</f>
        <v>0</v>
      </c>
      <c r="O7" s="4">
        <f>'FLUJO DE CAJA NETO'!O31</f>
        <v>0</v>
      </c>
      <c r="P7" s="4">
        <f>'FLUJO DE CAJA NETO'!P31</f>
        <v>0</v>
      </c>
      <c r="Q7" s="4">
        <f>'FLUJO DE CAJA NETO'!Q31</f>
        <v>0</v>
      </c>
      <c r="R7" s="4">
        <f>'FLUJO DE CAJA NETO'!R31</f>
        <v>0</v>
      </c>
      <c r="S7" s="4">
        <f>'FLUJO DE CAJA NETO'!S31</f>
        <v>0</v>
      </c>
      <c r="T7" s="4">
        <f>'FLUJO DE CAJA NETO'!T31</f>
        <v>0</v>
      </c>
      <c r="U7" s="4">
        <f>'FLUJO DE CAJA NETO'!U31</f>
        <v>0</v>
      </c>
      <c r="V7" s="4">
        <f>'FLUJO DE CAJA NETO'!V31</f>
        <v>0</v>
      </c>
      <c r="W7" s="4">
        <f>'FLUJO DE CAJA NETO'!W31</f>
        <v>0</v>
      </c>
      <c r="X7" s="4">
        <f>'FLUJO DE CAJA NETO'!X31</f>
        <v>0</v>
      </c>
      <c r="Y7" s="4">
        <f>'FLUJO DE CAJA NETO'!Y31</f>
        <v>0</v>
      </c>
      <c r="Z7" s="4">
        <f>'FLUJO DE CAJA NETO'!Z31</f>
        <v>0</v>
      </c>
      <c r="AA7" s="4">
        <f>'FLUJO DE CAJA NETO'!AA31</f>
        <v>0</v>
      </c>
      <c r="AB7" s="4">
        <f>'FLUJO DE CAJA NETO'!AB31</f>
        <v>0</v>
      </c>
      <c r="AC7" s="4">
        <f>'FLUJO DE CAJA NETO'!AC31</f>
        <v>0</v>
      </c>
      <c r="AD7" s="4">
        <f>'FLUJO DE CAJA NETO'!AD31</f>
        <v>0</v>
      </c>
      <c r="AE7" s="4">
        <f>'FLUJO DE CAJA NETO'!AE31</f>
        <v>0</v>
      </c>
      <c r="AF7" s="4">
        <f>'FLUJO DE CAJA NETO'!AF31</f>
        <v>0</v>
      </c>
      <c r="AG7" s="4">
        <f>'FLUJO DE CAJA NETO'!AG31</f>
        <v>0</v>
      </c>
      <c r="AH7" s="4">
        <f>'FLUJO DE CAJA NETO'!AH31</f>
        <v>0</v>
      </c>
      <c r="AI7" s="4">
        <f>'FLUJO DE CAJA NETO'!AI31</f>
        <v>0</v>
      </c>
      <c r="AJ7" s="4">
        <f>'FLUJO DE CAJA NETO'!AJ31</f>
        <v>0</v>
      </c>
      <c r="AK7" s="237">
        <f>'FLUJO DE CAJA NETO'!AK31</f>
        <v>0</v>
      </c>
      <c r="AL7" s="237">
        <f>'FLUJO DE CAJA NETO'!AL31</f>
        <v>0</v>
      </c>
      <c r="AM7" s="237">
        <f>'FLUJO DE CAJA NETO'!AM31</f>
        <v>0</v>
      </c>
      <c r="AN7" s="237">
        <f>'FLUJO DE CAJA NETO'!AN31</f>
        <v>0</v>
      </c>
      <c r="AO7" s="237">
        <f>'FLUJO DE CAJA NETO'!AO31</f>
        <v>0</v>
      </c>
      <c r="AP7" s="237">
        <f>'FLUJO DE CAJA NETO'!AP31</f>
        <v>0</v>
      </c>
      <c r="AQ7" s="237">
        <f>'FLUJO DE CAJA NETO'!AQ31</f>
        <v>0</v>
      </c>
      <c r="AR7" s="237">
        <f>'FLUJO DE CAJA NETO'!AR31</f>
        <v>0</v>
      </c>
      <c r="AS7" s="237">
        <f>'FLUJO DE CAJA NETO'!AS31</f>
        <v>0</v>
      </c>
      <c r="AT7" s="237">
        <f>'FLUJO DE CAJA NETO'!AT31</f>
        <v>0</v>
      </c>
      <c r="AU7" s="237">
        <f>'FLUJO DE CAJA NETO'!AU31</f>
        <v>0</v>
      </c>
      <c r="AV7" s="237">
        <f>'FLUJO DE CAJA NETO'!AV31</f>
        <v>0</v>
      </c>
      <c r="AW7" s="237">
        <f>'FLUJO DE CAJA NETO'!AW31</f>
        <v>0</v>
      </c>
      <c r="AX7" s="237">
        <f>'FLUJO DE CAJA NETO'!AX31</f>
        <v>0</v>
      </c>
      <c r="AY7" s="237">
        <f>'FLUJO DE CAJA NETO'!AY31</f>
        <v>0</v>
      </c>
      <c r="AZ7" s="237">
        <f>'FLUJO DE CAJA NETO'!AZ31</f>
        <v>0</v>
      </c>
      <c r="BA7" s="237">
        <f>'FLUJO DE CAJA NETO'!BA31</f>
        <v>0</v>
      </c>
      <c r="BB7" s="237">
        <f>'FLUJO DE CAJA NETO'!BB31</f>
        <v>0</v>
      </c>
      <c r="BC7" s="237">
        <f>'FLUJO DE CAJA NETO'!BX31</f>
        <v>0</v>
      </c>
      <c r="BD7" s="237">
        <f>'FLUJO DE CAJA NETO'!BY31</f>
        <v>0</v>
      </c>
      <c r="BE7" s="237">
        <f>'FLUJO DE CAJA NETO'!BZ31</f>
        <v>0</v>
      </c>
      <c r="BF7" s="237">
        <f>'FLUJO DE CAJA NETO'!CA31</f>
        <v>0</v>
      </c>
      <c r="BG7" s="237">
        <f>'FLUJO DE CAJA NETO'!CB31</f>
        <v>0</v>
      </c>
      <c r="BH7" s="237">
        <f>'FLUJO DE CAJA NETO'!CC31</f>
        <v>0</v>
      </c>
      <c r="BI7" s="237">
        <f>'FLUJO DE CAJA NETO'!CD31</f>
        <v>0</v>
      </c>
      <c r="BJ7" s="237">
        <f>'FLUJO DE CAJA NETO'!CE31</f>
        <v>0</v>
      </c>
      <c r="BK7" s="238"/>
      <c r="BL7" s="238"/>
      <c r="BM7" s="238"/>
      <c r="BN7" s="238"/>
      <c r="BO7" s="238"/>
      <c r="BP7" s="238"/>
      <c r="BQ7" s="238"/>
      <c r="BR7" s="238"/>
      <c r="BS7" s="238"/>
      <c r="BT7" s="238"/>
    </row>
    <row r="8" spans="1:72" ht="15.75" customHeight="1" x14ac:dyDescent="0.2">
      <c r="A8" s="3" t="s">
        <v>530</v>
      </c>
      <c r="B8" s="4"/>
      <c r="C8" s="4"/>
      <c r="D8" s="4"/>
      <c r="E8" s="4"/>
      <c r="F8" s="4"/>
      <c r="G8" s="4">
        <f>SUM('FLUJO DE CAJA NETO'!G33:G37)</f>
        <v>-27.375</v>
      </c>
      <c r="H8" s="4">
        <f>SUM('FLUJO DE CAJA NETO'!H33:H37)</f>
        <v>-27.375</v>
      </c>
      <c r="I8" s="4">
        <f>SUM('FLUJO DE CAJA NETO'!I34:I37)</f>
        <v>-45.774999999999999</v>
      </c>
      <c r="J8" s="4">
        <f>SUM('FLUJO DE CAJA NETO'!J33:J37)</f>
        <v>-47.15</v>
      </c>
      <c r="K8" s="4">
        <f>SUM('FLUJO DE CAJA NETO'!K33:K37)</f>
        <v>-47.15</v>
      </c>
      <c r="L8" s="4">
        <f>SUM('FLUJO DE CAJA NETO'!L33:L37)</f>
        <v>-47.15</v>
      </c>
      <c r="M8" s="4">
        <f>SUM('FLUJO DE CAJA NETO'!M33:M37)</f>
        <v>-47.15</v>
      </c>
      <c r="N8" s="4">
        <f>SUM('FLUJO DE CAJA NETO'!N33:N37)</f>
        <v>-47.15</v>
      </c>
      <c r="O8" s="4">
        <f>SUM('FLUJO DE CAJA NETO'!O33:O37)</f>
        <v>-47.15</v>
      </c>
      <c r="P8" s="4">
        <f>SUM('FLUJO DE CAJA NETO'!P33:P37)</f>
        <v>-47.15</v>
      </c>
      <c r="Q8" s="4">
        <f>SUM('FLUJO DE CAJA NETO'!Q33:Q37)</f>
        <v>-47.15</v>
      </c>
      <c r="R8" s="4">
        <f>SUM('FLUJO DE CAJA NETO'!R33:R37)</f>
        <v>-47.15</v>
      </c>
      <c r="S8" s="4">
        <f>SUM('FLUJO DE CAJA NETO'!S33:S37)</f>
        <v>-47.15</v>
      </c>
      <c r="T8" s="4">
        <f>SUM('FLUJO DE CAJA NETO'!T33:T37)</f>
        <v>-47.15</v>
      </c>
      <c r="U8" s="4">
        <f>SUM('FLUJO DE CAJA NETO'!U33:U37)</f>
        <v>-47.15</v>
      </c>
      <c r="V8" s="4">
        <f>SUM('FLUJO DE CAJA NETO'!V33:V37)</f>
        <v>-47.15</v>
      </c>
      <c r="W8" s="4">
        <f>SUM('FLUJO DE CAJA NETO'!W33:W37)</f>
        <v>-47.15</v>
      </c>
      <c r="X8" s="4">
        <f>SUM('FLUJO DE CAJA NETO'!X33:X37)</f>
        <v>-47.15</v>
      </c>
      <c r="Y8" s="4">
        <f>SUM('FLUJO DE CAJA NETO'!Y33:Y37)</f>
        <v>-47.15</v>
      </c>
      <c r="Z8" s="4">
        <f>SUM('FLUJO DE CAJA NETO'!Z33:Z37)</f>
        <v>-47.15</v>
      </c>
      <c r="AA8" s="4">
        <f>SUM('FLUJO DE CAJA NETO'!AA33:AA37)</f>
        <v>-47.15</v>
      </c>
      <c r="AB8" s="4">
        <f>SUM('FLUJO DE CAJA NETO'!AB33:AB37)</f>
        <v>-47.15</v>
      </c>
      <c r="AC8" s="4">
        <f>SUM('FLUJO DE CAJA NETO'!AC33:AC37)</f>
        <v>-47.15</v>
      </c>
      <c r="AD8" s="4">
        <f>SUM('FLUJO DE CAJA NETO'!AD33:AD37)</f>
        <v>-47.15</v>
      </c>
      <c r="AE8" s="4">
        <f>SUM('FLUJO DE CAJA NETO'!AE33:AE37)</f>
        <v>-47.15</v>
      </c>
      <c r="AF8" s="4">
        <f>SUM('FLUJO DE CAJA NETO'!AF33:AF37)</f>
        <v>-47.15</v>
      </c>
      <c r="AG8" s="4">
        <f>SUM('FLUJO DE CAJA NETO'!AG33:AG37)</f>
        <v>-47.15</v>
      </c>
      <c r="AH8" s="4">
        <f>SUM('FLUJO DE CAJA NETO'!AH33:AH37)</f>
        <v>-47.15</v>
      </c>
      <c r="AI8" s="4">
        <f>SUM('FLUJO DE CAJA NETO'!AI33:AI37)</f>
        <v>-47.15</v>
      </c>
      <c r="AJ8" s="4">
        <f>SUM('FLUJO DE CAJA NETO'!AJ33:AJ37)</f>
        <v>-47.15</v>
      </c>
      <c r="AK8" s="237">
        <f>SUM('FLUJO DE CAJA NETO'!AK33:AK37)</f>
        <v>-47.15</v>
      </c>
      <c r="AL8" s="237">
        <f>SUM('FLUJO DE CAJA NETO'!AL33:AL37)</f>
        <v>-47.15</v>
      </c>
      <c r="AM8" s="237">
        <f>SUM('FLUJO DE CAJA NETO'!AM33:AM37)</f>
        <v>-47.15</v>
      </c>
      <c r="AN8" s="237">
        <f>SUM('FLUJO DE CAJA NETO'!AN33:AN37)</f>
        <v>-47.15</v>
      </c>
      <c r="AO8" s="237">
        <f>SUM('FLUJO DE CAJA NETO'!AO33:AO37)</f>
        <v>-47.15</v>
      </c>
      <c r="AP8" s="237">
        <f>SUM('FLUJO DE CAJA NETO'!AP33:AP37)</f>
        <v>-47.15</v>
      </c>
      <c r="AQ8" s="237">
        <f>SUM('FLUJO DE CAJA NETO'!AQ33:AQ37)</f>
        <v>-47.15</v>
      </c>
      <c r="AR8" s="237">
        <f>SUM('FLUJO DE CAJA NETO'!AR33:AR37)</f>
        <v>-47.15</v>
      </c>
      <c r="AS8" s="237">
        <f>SUM('FLUJO DE CAJA NETO'!AS33:AS37)</f>
        <v>-47.15</v>
      </c>
      <c r="AT8" s="237">
        <f>SUM('FLUJO DE CAJA NETO'!AT33:AT37)</f>
        <v>-47.15</v>
      </c>
      <c r="AU8" s="237">
        <f>SUM('FLUJO DE CAJA NETO'!AU33:AU37)</f>
        <v>-47.15</v>
      </c>
      <c r="AV8" s="237">
        <f>SUM('FLUJO DE CAJA NETO'!AV33:AV37)</f>
        <v>-47.15</v>
      </c>
      <c r="AW8" s="237">
        <f>SUM('FLUJO DE CAJA NETO'!AW33:AW37)</f>
        <v>-47.15</v>
      </c>
      <c r="AX8" s="237">
        <f>SUM('FLUJO DE CAJA NETO'!AX33:AX37)</f>
        <v>-47.15</v>
      </c>
      <c r="AY8" s="237">
        <f>SUM('FLUJO DE CAJA NETO'!AY33:AY37)</f>
        <v>-47.15</v>
      </c>
      <c r="AZ8" s="237">
        <f>SUM('FLUJO DE CAJA NETO'!AZ33:AZ37)</f>
        <v>-47.15</v>
      </c>
      <c r="BA8" s="237">
        <f>SUM('FLUJO DE CAJA NETO'!BA33:BA37)</f>
        <v>-47.15</v>
      </c>
      <c r="BB8" s="237">
        <f>SUM('FLUJO DE CAJA NETO'!BB33:BB37)</f>
        <v>-47.15</v>
      </c>
      <c r="BC8" s="237">
        <f>SUM('FLUJO DE CAJA NETO'!BC33:BC37)</f>
        <v>-47.15</v>
      </c>
      <c r="BD8" s="237">
        <f>SUM('FLUJO DE CAJA NETO'!BD33:BD37)</f>
        <v>-47.15</v>
      </c>
      <c r="BE8" s="237">
        <f>SUM('FLUJO DE CAJA NETO'!BE33:BE37)</f>
        <v>-47.15</v>
      </c>
      <c r="BF8" s="237">
        <f>SUM('FLUJO DE CAJA NETO'!BF33:BF37)</f>
        <v>-47.15</v>
      </c>
      <c r="BG8" s="237">
        <f>SUM('FLUJO DE CAJA NETO'!BG33:BG37)</f>
        <v>-47.15</v>
      </c>
      <c r="BH8" s="237">
        <f>SUM('FLUJO DE CAJA NETO'!BH33:BH37)</f>
        <v>-47.15</v>
      </c>
      <c r="BI8" s="237">
        <f>SUM('FLUJO DE CAJA NETO'!BI33:BI37)</f>
        <v>-47.15</v>
      </c>
      <c r="BJ8" s="237">
        <f>SUM('FLUJO DE CAJA NETO'!BJ33:BJ37)</f>
        <v>-47.15</v>
      </c>
      <c r="BK8" s="238"/>
      <c r="BL8" s="238"/>
      <c r="BM8" s="238"/>
      <c r="BN8" s="238"/>
      <c r="BO8" s="238"/>
      <c r="BP8" s="238"/>
      <c r="BQ8" s="238"/>
      <c r="BR8" s="238"/>
      <c r="BS8" s="238"/>
      <c r="BT8" s="238"/>
    </row>
    <row r="9" spans="1:72" ht="15.75" customHeight="1" x14ac:dyDescent="0.2">
      <c r="A9" s="3" t="s">
        <v>531</v>
      </c>
      <c r="B9" s="4"/>
      <c r="C9" s="4">
        <f>-FINANCIAMIENTO!$C$18</f>
        <v>-5048.4684227027747</v>
      </c>
      <c r="D9" s="4">
        <f>-FINANCIAMIENTO!$C$18</f>
        <v>-5048.4684227027747</v>
      </c>
      <c r="E9" s="4">
        <f>-FINANCIAMIENTO!$C$18</f>
        <v>-5048.4684227027747</v>
      </c>
      <c r="F9" s="4">
        <f>-FINANCIAMIENTO!$C$18</f>
        <v>-5048.4684227027747</v>
      </c>
      <c r="G9" s="4">
        <f>-FINANCIAMIENTO!$C$18</f>
        <v>-5048.4684227027747</v>
      </c>
      <c r="H9" s="4">
        <f>-FINANCIAMIENTO!$C$18</f>
        <v>-5048.4684227027747</v>
      </c>
      <c r="I9" s="4">
        <f>-FINANCIAMIENTO!$C$18</f>
        <v>-5048.4684227027747</v>
      </c>
      <c r="J9" s="4">
        <f>-FINANCIAMIENTO!$C$18</f>
        <v>-5048.4684227027747</v>
      </c>
      <c r="K9" s="4">
        <f>-FINANCIAMIENTO!$C$18</f>
        <v>-5048.4684227027747</v>
      </c>
      <c r="L9" s="4">
        <f>-FINANCIAMIENTO!$C$18</f>
        <v>-5048.4684227027747</v>
      </c>
      <c r="M9" s="4">
        <f>-FINANCIAMIENTO!$C$18</f>
        <v>-5048.4684227027747</v>
      </c>
      <c r="N9" s="4">
        <f>-FINANCIAMIENTO!$C$18</f>
        <v>-5048.4684227027747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8"/>
      <c r="BL9" s="238"/>
      <c r="BM9" s="238"/>
      <c r="BN9" s="238"/>
      <c r="BO9" s="238"/>
      <c r="BP9" s="238"/>
      <c r="BQ9" s="238"/>
      <c r="BR9" s="238"/>
      <c r="BS9" s="238"/>
      <c r="BT9" s="238"/>
    </row>
    <row r="10" spans="1:72" ht="15.75" customHeight="1" x14ac:dyDescent="0.2">
      <c r="A10" s="3" t="s">
        <v>532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239">
        <f>-ADQUISICIONES!J8</f>
        <v>-1300.856476388889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>
        <f>-ADQUISICIONES!J8</f>
        <v>-1300.856476388889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>
        <f>-ADQUISICIONES!J8</f>
        <v>-1300.856476388889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f>-ADQUISICIONES!J8</f>
        <v>-1300.856476388889</v>
      </c>
      <c r="BD10" s="4"/>
      <c r="BE10" s="4"/>
      <c r="BF10" s="4"/>
      <c r="BG10" s="4"/>
      <c r="BH10" s="4"/>
      <c r="BI10" s="4"/>
      <c r="BJ10" s="4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</row>
    <row r="11" spans="1:72" ht="15.75" customHeight="1" x14ac:dyDescent="0.2">
      <c r="A11" s="3" t="s">
        <v>533</v>
      </c>
      <c r="B11" s="240"/>
      <c r="C11" s="240">
        <f t="shared" ref="C11:BJ11" si="2">SUM(C5:C10)</f>
        <v>-7496.4684227027747</v>
      </c>
      <c r="D11" s="240">
        <f t="shared" si="2"/>
        <v>10106.135477297223</v>
      </c>
      <c r="E11" s="240">
        <f t="shared" si="2"/>
        <v>-7448.4684227027747</v>
      </c>
      <c r="F11" s="240">
        <f t="shared" si="2"/>
        <v>-6451.6684227027745</v>
      </c>
      <c r="G11" s="240">
        <f t="shared" si="2"/>
        <v>-7843.8434227027747</v>
      </c>
      <c r="H11" s="240">
        <f t="shared" si="2"/>
        <v>-7843.8434227027747</v>
      </c>
      <c r="I11" s="240">
        <f t="shared" si="2"/>
        <v>14077.198260630554</v>
      </c>
      <c r="J11" s="240">
        <f t="shared" si="2"/>
        <v>-12392.082589369442</v>
      </c>
      <c r="K11" s="240">
        <f t="shared" si="2"/>
        <v>-12136.082589369442</v>
      </c>
      <c r="L11" s="240">
        <f t="shared" si="2"/>
        <v>19212.287427297222</v>
      </c>
      <c r="M11" s="240">
        <f t="shared" si="2"/>
        <v>-7063.6184227027752</v>
      </c>
      <c r="N11" s="240">
        <f t="shared" si="2"/>
        <v>10522.985477297225</v>
      </c>
      <c r="O11" s="240">
        <f t="shared" si="2"/>
        <v>3022.7583333333341</v>
      </c>
      <c r="P11" s="240">
        <f t="shared" si="2"/>
        <v>1582.7583333333337</v>
      </c>
      <c r="Q11" s="240">
        <f t="shared" si="2"/>
        <v>1582.7583333333337</v>
      </c>
      <c r="R11" s="240">
        <f t="shared" si="2"/>
        <v>1278.7583333333337</v>
      </c>
      <c r="S11" s="240">
        <f t="shared" si="2"/>
        <v>441.90185694444472</v>
      </c>
      <c r="T11" s="240">
        <f t="shared" si="2"/>
        <v>1742.7583333333337</v>
      </c>
      <c r="U11" s="240">
        <f t="shared" si="2"/>
        <v>1358.7583333333337</v>
      </c>
      <c r="V11" s="240">
        <f t="shared" si="2"/>
        <v>1742.7583333333337</v>
      </c>
      <c r="W11" s="240">
        <f t="shared" si="2"/>
        <v>1742.7583333333337</v>
      </c>
      <c r="X11" s="240">
        <f t="shared" si="2"/>
        <v>1358.7583333333337</v>
      </c>
      <c r="Y11" s="240">
        <f t="shared" si="2"/>
        <v>1742.7583333333337</v>
      </c>
      <c r="Z11" s="240">
        <f t="shared" si="2"/>
        <v>1742.7583333333337</v>
      </c>
      <c r="AA11" s="240">
        <f t="shared" si="2"/>
        <v>1358.7583333333337</v>
      </c>
      <c r="AB11" s="240">
        <f t="shared" si="2"/>
        <v>1742.7583333333337</v>
      </c>
      <c r="AC11" s="240">
        <f t="shared" si="2"/>
        <v>1742.7583333333337</v>
      </c>
      <c r="AD11" s="240">
        <f t="shared" si="2"/>
        <v>1358.7583333333337</v>
      </c>
      <c r="AE11" s="240">
        <f t="shared" si="2"/>
        <v>441.90185694444472</v>
      </c>
      <c r="AF11" s="240">
        <f t="shared" si="2"/>
        <v>1742.7583333333337</v>
      </c>
      <c r="AG11" s="240">
        <f t="shared" si="2"/>
        <v>1358.7583333333337</v>
      </c>
      <c r="AH11" s="240">
        <f t="shared" si="2"/>
        <v>1742.7583333333337</v>
      </c>
      <c r="AI11" s="240">
        <f t="shared" si="2"/>
        <v>1742.7583333333337</v>
      </c>
      <c r="AJ11" s="240">
        <f t="shared" si="2"/>
        <v>1358.7583333333337</v>
      </c>
      <c r="AK11" s="241">
        <f t="shared" si="2"/>
        <v>1742.7583333333337</v>
      </c>
      <c r="AL11" s="241">
        <f t="shared" si="2"/>
        <v>1742.7583333333337</v>
      </c>
      <c r="AM11" s="241">
        <f t="shared" si="2"/>
        <v>1358.7583333333337</v>
      </c>
      <c r="AN11" s="241">
        <f t="shared" si="2"/>
        <v>1742.7583333333337</v>
      </c>
      <c r="AO11" s="241">
        <f t="shared" si="2"/>
        <v>1742.7583333333337</v>
      </c>
      <c r="AP11" s="241">
        <f t="shared" si="2"/>
        <v>1358.7583333333337</v>
      </c>
      <c r="AQ11" s="241">
        <f t="shared" si="2"/>
        <v>441.90185694444472</v>
      </c>
      <c r="AR11" s="241">
        <f t="shared" si="2"/>
        <v>1742.7583333333337</v>
      </c>
      <c r="AS11" s="241">
        <f t="shared" si="2"/>
        <v>1358.7583333333337</v>
      </c>
      <c r="AT11" s="241">
        <f t="shared" si="2"/>
        <v>1742.7583333333337</v>
      </c>
      <c r="AU11" s="241">
        <f t="shared" si="2"/>
        <v>1742.7583333333337</v>
      </c>
      <c r="AV11" s="241">
        <f t="shared" si="2"/>
        <v>1358.7583333333337</v>
      </c>
      <c r="AW11" s="241">
        <f t="shared" si="2"/>
        <v>1742.7583333333337</v>
      </c>
      <c r="AX11" s="241">
        <f t="shared" si="2"/>
        <v>1742.7583333333337</v>
      </c>
      <c r="AY11" s="241">
        <f t="shared" si="2"/>
        <v>1358.7583333333337</v>
      </c>
      <c r="AZ11" s="241">
        <f t="shared" si="2"/>
        <v>1742.7583333333337</v>
      </c>
      <c r="BA11" s="241">
        <f t="shared" si="2"/>
        <v>1742.7583333333337</v>
      </c>
      <c r="BB11" s="241">
        <f t="shared" si="2"/>
        <v>1358.7583333333337</v>
      </c>
      <c r="BC11" s="241">
        <f t="shared" si="2"/>
        <v>441.90185694444472</v>
      </c>
      <c r="BD11" s="241">
        <f t="shared" si="2"/>
        <v>1742.7583333333337</v>
      </c>
      <c r="BE11" s="241">
        <f t="shared" si="2"/>
        <v>1358.7583333333337</v>
      </c>
      <c r="BF11" s="241">
        <f t="shared" si="2"/>
        <v>1742.7583333333337</v>
      </c>
      <c r="BG11" s="241">
        <f t="shared" si="2"/>
        <v>1742.7583333333337</v>
      </c>
      <c r="BH11" s="241">
        <f t="shared" si="2"/>
        <v>1358.7583333333337</v>
      </c>
      <c r="BI11" s="241">
        <f t="shared" si="2"/>
        <v>1742.7583333333337</v>
      </c>
      <c r="BJ11" s="241">
        <f t="shared" si="2"/>
        <v>1742.7583333333337</v>
      </c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</row>
    <row r="12" spans="1:72" ht="15.75" customHeight="1" x14ac:dyDescent="0.2">
      <c r="A12" s="3" t="s">
        <v>534</v>
      </c>
      <c r="B12" s="4"/>
      <c r="C12" s="4">
        <f t="shared" ref="C12:BJ12" si="3">C11*-27%</f>
        <v>2024.0464741297492</v>
      </c>
      <c r="D12" s="4">
        <f t="shared" si="3"/>
        <v>-2728.6565788702501</v>
      </c>
      <c r="E12" s="4">
        <f t="shared" si="3"/>
        <v>2011.0864741297494</v>
      </c>
      <c r="F12" s="4">
        <f t="shared" si="3"/>
        <v>1741.9504741297492</v>
      </c>
      <c r="G12" s="4">
        <f t="shared" si="3"/>
        <v>2117.8377241297494</v>
      </c>
      <c r="H12" s="4">
        <f t="shared" si="3"/>
        <v>2117.8377241297494</v>
      </c>
      <c r="I12" s="4">
        <f t="shared" si="3"/>
        <v>-3800.8435303702499</v>
      </c>
      <c r="J12" s="4">
        <f t="shared" si="3"/>
        <v>3345.8622991297493</v>
      </c>
      <c r="K12" s="4">
        <f t="shared" si="3"/>
        <v>3276.7422991297494</v>
      </c>
      <c r="L12" s="4">
        <f t="shared" si="3"/>
        <v>-5187.31760537025</v>
      </c>
      <c r="M12" s="4">
        <f t="shared" si="3"/>
        <v>1907.1769741297494</v>
      </c>
      <c r="N12" s="4">
        <f t="shared" si="3"/>
        <v>-2841.2060788702511</v>
      </c>
      <c r="O12" s="4">
        <f t="shared" si="3"/>
        <v>-816.14475000000027</v>
      </c>
      <c r="P12" s="4">
        <f t="shared" si="3"/>
        <v>-427.34475000000009</v>
      </c>
      <c r="Q12" s="4">
        <f t="shared" si="3"/>
        <v>-427.34475000000009</v>
      </c>
      <c r="R12" s="4">
        <f t="shared" si="3"/>
        <v>-345.26475000000011</v>
      </c>
      <c r="S12" s="4">
        <f t="shared" si="3"/>
        <v>-119.31350137500009</v>
      </c>
      <c r="T12" s="4">
        <f t="shared" si="3"/>
        <v>-470.54475000000014</v>
      </c>
      <c r="U12" s="4">
        <f t="shared" si="3"/>
        <v>-366.86475000000013</v>
      </c>
      <c r="V12" s="4">
        <f t="shared" si="3"/>
        <v>-470.54475000000014</v>
      </c>
      <c r="W12" s="4">
        <f t="shared" si="3"/>
        <v>-470.54475000000014</v>
      </c>
      <c r="X12" s="4">
        <f t="shared" si="3"/>
        <v>-366.86475000000013</v>
      </c>
      <c r="Y12" s="4">
        <f t="shared" si="3"/>
        <v>-470.54475000000014</v>
      </c>
      <c r="Z12" s="4">
        <f t="shared" si="3"/>
        <v>-470.54475000000014</v>
      </c>
      <c r="AA12" s="4">
        <f t="shared" si="3"/>
        <v>-366.86475000000013</v>
      </c>
      <c r="AB12" s="4">
        <f t="shared" si="3"/>
        <v>-470.54475000000014</v>
      </c>
      <c r="AC12" s="4">
        <f t="shared" si="3"/>
        <v>-470.54475000000014</v>
      </c>
      <c r="AD12" s="4">
        <f t="shared" si="3"/>
        <v>-366.86475000000013</v>
      </c>
      <c r="AE12" s="4">
        <f t="shared" si="3"/>
        <v>-119.31350137500009</v>
      </c>
      <c r="AF12" s="4">
        <f t="shared" si="3"/>
        <v>-470.54475000000014</v>
      </c>
      <c r="AG12" s="4">
        <f t="shared" si="3"/>
        <v>-366.86475000000013</v>
      </c>
      <c r="AH12" s="4">
        <f t="shared" si="3"/>
        <v>-470.54475000000014</v>
      </c>
      <c r="AI12" s="4">
        <f t="shared" si="3"/>
        <v>-470.54475000000014</v>
      </c>
      <c r="AJ12" s="4">
        <f t="shared" si="3"/>
        <v>-366.86475000000013</v>
      </c>
      <c r="AK12" s="4">
        <f t="shared" si="3"/>
        <v>-470.54475000000014</v>
      </c>
      <c r="AL12" s="4">
        <f t="shared" si="3"/>
        <v>-470.54475000000014</v>
      </c>
      <c r="AM12" s="4">
        <f t="shared" si="3"/>
        <v>-366.86475000000013</v>
      </c>
      <c r="AN12" s="4">
        <f t="shared" si="3"/>
        <v>-470.54475000000014</v>
      </c>
      <c r="AO12" s="4">
        <f t="shared" si="3"/>
        <v>-470.54475000000014</v>
      </c>
      <c r="AP12" s="4">
        <f t="shared" si="3"/>
        <v>-366.86475000000013</v>
      </c>
      <c r="AQ12" s="4">
        <f t="shared" si="3"/>
        <v>-119.31350137500009</v>
      </c>
      <c r="AR12" s="4">
        <f t="shared" si="3"/>
        <v>-470.54475000000014</v>
      </c>
      <c r="AS12" s="4">
        <f t="shared" si="3"/>
        <v>-366.86475000000013</v>
      </c>
      <c r="AT12" s="4">
        <f t="shared" si="3"/>
        <v>-470.54475000000014</v>
      </c>
      <c r="AU12" s="4">
        <f t="shared" si="3"/>
        <v>-470.54475000000014</v>
      </c>
      <c r="AV12" s="4">
        <f t="shared" si="3"/>
        <v>-366.86475000000013</v>
      </c>
      <c r="AW12" s="4">
        <f t="shared" si="3"/>
        <v>-470.54475000000014</v>
      </c>
      <c r="AX12" s="4">
        <f t="shared" si="3"/>
        <v>-470.54475000000014</v>
      </c>
      <c r="AY12" s="4">
        <f t="shared" si="3"/>
        <v>-366.86475000000013</v>
      </c>
      <c r="AZ12" s="4">
        <f t="shared" si="3"/>
        <v>-470.54475000000014</v>
      </c>
      <c r="BA12" s="4">
        <f t="shared" si="3"/>
        <v>-470.54475000000014</v>
      </c>
      <c r="BB12" s="4">
        <f t="shared" si="3"/>
        <v>-366.86475000000013</v>
      </c>
      <c r="BC12" s="4">
        <f t="shared" si="3"/>
        <v>-119.31350137500009</v>
      </c>
      <c r="BD12" s="4">
        <f t="shared" si="3"/>
        <v>-470.54475000000014</v>
      </c>
      <c r="BE12" s="4">
        <f t="shared" si="3"/>
        <v>-366.86475000000013</v>
      </c>
      <c r="BF12" s="4">
        <f t="shared" si="3"/>
        <v>-470.54475000000014</v>
      </c>
      <c r="BG12" s="4">
        <f t="shared" si="3"/>
        <v>-470.54475000000014</v>
      </c>
      <c r="BH12" s="4">
        <f t="shared" si="3"/>
        <v>-366.86475000000013</v>
      </c>
      <c r="BI12" s="4">
        <f t="shared" si="3"/>
        <v>-470.54475000000014</v>
      </c>
      <c r="BJ12" s="4">
        <f t="shared" si="3"/>
        <v>-470.54475000000014</v>
      </c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</row>
    <row r="13" spans="1:72" ht="15.75" customHeight="1" x14ac:dyDescent="0.2">
      <c r="A13" s="243" t="s">
        <v>535</v>
      </c>
      <c r="B13" s="240"/>
      <c r="C13" s="240">
        <f t="shared" ref="C13:BJ13" si="4">SUM(C11:C12)</f>
        <v>-5472.4219485730255</v>
      </c>
      <c r="D13" s="240">
        <f t="shared" si="4"/>
        <v>7377.4788984269726</v>
      </c>
      <c r="E13" s="240">
        <f t="shared" si="4"/>
        <v>-5437.3819485730255</v>
      </c>
      <c r="F13" s="240">
        <f t="shared" si="4"/>
        <v>-4709.7179485730248</v>
      </c>
      <c r="G13" s="240">
        <f t="shared" si="4"/>
        <v>-5726.0056985730253</v>
      </c>
      <c r="H13" s="240">
        <f t="shared" si="4"/>
        <v>-5726.0056985730253</v>
      </c>
      <c r="I13" s="240">
        <f t="shared" si="4"/>
        <v>10276.354730260304</v>
      </c>
      <c r="J13" s="240">
        <f t="shared" si="4"/>
        <v>-9046.220290239693</v>
      </c>
      <c r="K13" s="240">
        <f t="shared" si="4"/>
        <v>-8859.340290239692</v>
      </c>
      <c r="L13" s="240">
        <f t="shared" si="4"/>
        <v>14024.969821926972</v>
      </c>
      <c r="M13" s="240">
        <f t="shared" si="4"/>
        <v>-5156.4414485730258</v>
      </c>
      <c r="N13" s="240">
        <f t="shared" si="4"/>
        <v>7681.7793984269738</v>
      </c>
      <c r="O13" s="240">
        <f t="shared" si="4"/>
        <v>2206.6135833333337</v>
      </c>
      <c r="P13" s="240">
        <f t="shared" si="4"/>
        <v>1155.4135833333335</v>
      </c>
      <c r="Q13" s="240">
        <f t="shared" si="4"/>
        <v>1155.4135833333335</v>
      </c>
      <c r="R13" s="240">
        <f t="shared" si="4"/>
        <v>933.49358333333362</v>
      </c>
      <c r="S13" s="240">
        <f t="shared" si="4"/>
        <v>322.58835556944462</v>
      </c>
      <c r="T13" s="240">
        <f t="shared" si="4"/>
        <v>1272.2135833333336</v>
      </c>
      <c r="U13" s="240">
        <f t="shared" si="4"/>
        <v>991.89358333333348</v>
      </c>
      <c r="V13" s="240">
        <f t="shared" si="4"/>
        <v>1272.2135833333336</v>
      </c>
      <c r="W13" s="240">
        <f t="shared" si="4"/>
        <v>1272.2135833333336</v>
      </c>
      <c r="X13" s="240">
        <f t="shared" si="4"/>
        <v>991.89358333333348</v>
      </c>
      <c r="Y13" s="240">
        <f t="shared" si="4"/>
        <v>1272.2135833333336</v>
      </c>
      <c r="Z13" s="240">
        <f t="shared" si="4"/>
        <v>1272.2135833333336</v>
      </c>
      <c r="AA13" s="240">
        <f t="shared" si="4"/>
        <v>991.89358333333348</v>
      </c>
      <c r="AB13" s="240">
        <f t="shared" si="4"/>
        <v>1272.2135833333336</v>
      </c>
      <c r="AC13" s="240">
        <f t="shared" si="4"/>
        <v>1272.2135833333336</v>
      </c>
      <c r="AD13" s="240">
        <f t="shared" si="4"/>
        <v>991.89358333333348</v>
      </c>
      <c r="AE13" s="240">
        <f t="shared" si="4"/>
        <v>322.58835556944462</v>
      </c>
      <c r="AF13" s="240">
        <f t="shared" si="4"/>
        <v>1272.2135833333336</v>
      </c>
      <c r="AG13" s="240">
        <f t="shared" si="4"/>
        <v>991.89358333333348</v>
      </c>
      <c r="AH13" s="240">
        <f t="shared" si="4"/>
        <v>1272.2135833333336</v>
      </c>
      <c r="AI13" s="240">
        <f t="shared" si="4"/>
        <v>1272.2135833333336</v>
      </c>
      <c r="AJ13" s="240">
        <f t="shared" si="4"/>
        <v>991.89358333333348</v>
      </c>
      <c r="AK13" s="241">
        <f t="shared" si="4"/>
        <v>1272.2135833333336</v>
      </c>
      <c r="AL13" s="241">
        <f t="shared" si="4"/>
        <v>1272.2135833333336</v>
      </c>
      <c r="AM13" s="241">
        <f t="shared" si="4"/>
        <v>991.89358333333348</v>
      </c>
      <c r="AN13" s="241">
        <f t="shared" si="4"/>
        <v>1272.2135833333336</v>
      </c>
      <c r="AO13" s="241">
        <f t="shared" si="4"/>
        <v>1272.2135833333336</v>
      </c>
      <c r="AP13" s="241">
        <f t="shared" si="4"/>
        <v>991.89358333333348</v>
      </c>
      <c r="AQ13" s="241">
        <f t="shared" si="4"/>
        <v>322.58835556944462</v>
      </c>
      <c r="AR13" s="241">
        <f t="shared" si="4"/>
        <v>1272.2135833333336</v>
      </c>
      <c r="AS13" s="241">
        <f t="shared" si="4"/>
        <v>991.89358333333348</v>
      </c>
      <c r="AT13" s="241">
        <f t="shared" si="4"/>
        <v>1272.2135833333336</v>
      </c>
      <c r="AU13" s="241">
        <f t="shared" si="4"/>
        <v>1272.2135833333336</v>
      </c>
      <c r="AV13" s="241">
        <f t="shared" si="4"/>
        <v>991.89358333333348</v>
      </c>
      <c r="AW13" s="241">
        <f t="shared" si="4"/>
        <v>1272.2135833333336</v>
      </c>
      <c r="AX13" s="241">
        <f t="shared" si="4"/>
        <v>1272.2135833333336</v>
      </c>
      <c r="AY13" s="241">
        <f t="shared" si="4"/>
        <v>991.89358333333348</v>
      </c>
      <c r="AZ13" s="241">
        <f t="shared" si="4"/>
        <v>1272.2135833333336</v>
      </c>
      <c r="BA13" s="241">
        <f t="shared" si="4"/>
        <v>1272.2135833333336</v>
      </c>
      <c r="BB13" s="244">
        <f t="shared" si="4"/>
        <v>991.89358333333348</v>
      </c>
      <c r="BC13" s="244">
        <f t="shared" si="4"/>
        <v>322.58835556944462</v>
      </c>
      <c r="BD13" s="244">
        <f t="shared" si="4"/>
        <v>1272.2135833333336</v>
      </c>
      <c r="BE13" s="244">
        <f t="shared" si="4"/>
        <v>991.89358333333348</v>
      </c>
      <c r="BF13" s="244">
        <f t="shared" si="4"/>
        <v>1272.2135833333336</v>
      </c>
      <c r="BG13" s="244">
        <f t="shared" si="4"/>
        <v>1272.2135833333336</v>
      </c>
      <c r="BH13" s="244">
        <f t="shared" si="4"/>
        <v>991.89358333333348</v>
      </c>
      <c r="BI13" s="244">
        <f t="shared" si="4"/>
        <v>1272.2135833333336</v>
      </c>
      <c r="BJ13" s="244">
        <f t="shared" si="4"/>
        <v>1272.2135833333336</v>
      </c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</row>
    <row r="14" spans="1:72" ht="15.75" customHeight="1" x14ac:dyDescent="0.2">
      <c r="A14" s="3" t="s">
        <v>536</v>
      </c>
      <c r="B14" s="240">
        <f>-RESUMEN!$B$8*PARÁMETROS!B14</f>
        <v>-27133.528500000011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7">
        <f>RESUMEN!B8*0.3+(-B14)</f>
        <v>67833.821250000023</v>
      </c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</row>
    <row r="15" spans="1:72" ht="15.75" customHeight="1" x14ac:dyDescent="0.2">
      <c r="A15" s="3" t="s">
        <v>532</v>
      </c>
      <c r="B15" s="4"/>
      <c r="C15" s="4"/>
      <c r="D15" s="4"/>
      <c r="E15" s="4"/>
      <c r="F15" s="4">
        <f t="shared" ref="F15:BJ15" si="5">-F10</f>
        <v>0</v>
      </c>
      <c r="G15" s="4">
        <f t="shared" si="5"/>
        <v>0</v>
      </c>
      <c r="H15" s="4">
        <f t="shared" si="5"/>
        <v>0</v>
      </c>
      <c r="I15" s="4">
        <f t="shared" si="5"/>
        <v>0</v>
      </c>
      <c r="J15" s="4">
        <f t="shared" si="5"/>
        <v>0</v>
      </c>
      <c r="K15" s="4">
        <f t="shared" si="5"/>
        <v>0</v>
      </c>
      <c r="L15" s="4">
        <f t="shared" si="5"/>
        <v>0</v>
      </c>
      <c r="M15" s="4">
        <f t="shared" si="5"/>
        <v>0</v>
      </c>
      <c r="N15" s="4">
        <f t="shared" si="5"/>
        <v>0</v>
      </c>
      <c r="O15" s="4">
        <f t="shared" si="5"/>
        <v>0</v>
      </c>
      <c r="P15" s="4">
        <f t="shared" si="5"/>
        <v>0</v>
      </c>
      <c r="Q15" s="4">
        <f t="shared" si="5"/>
        <v>0</v>
      </c>
      <c r="R15" s="4">
        <f t="shared" si="5"/>
        <v>0</v>
      </c>
      <c r="S15" s="4">
        <f t="shared" si="5"/>
        <v>1300.856476388889</v>
      </c>
      <c r="T15" s="4">
        <f t="shared" si="5"/>
        <v>0</v>
      </c>
      <c r="U15" s="4">
        <f t="shared" si="5"/>
        <v>0</v>
      </c>
      <c r="V15" s="4">
        <f t="shared" si="5"/>
        <v>0</v>
      </c>
      <c r="W15" s="4">
        <f t="shared" si="5"/>
        <v>0</v>
      </c>
      <c r="X15" s="4">
        <f t="shared" si="5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5"/>
        <v>0</v>
      </c>
      <c r="AC15" s="4">
        <f t="shared" si="5"/>
        <v>0</v>
      </c>
      <c r="AD15" s="4">
        <f t="shared" si="5"/>
        <v>0</v>
      </c>
      <c r="AE15" s="4">
        <f t="shared" si="5"/>
        <v>1300.856476388889</v>
      </c>
      <c r="AF15" s="4">
        <f t="shared" si="5"/>
        <v>0</v>
      </c>
      <c r="AG15" s="4">
        <f t="shared" si="5"/>
        <v>0</v>
      </c>
      <c r="AH15" s="4">
        <f t="shared" si="5"/>
        <v>0</v>
      </c>
      <c r="AI15" s="4">
        <f t="shared" si="5"/>
        <v>0</v>
      </c>
      <c r="AJ15" s="4">
        <f t="shared" si="5"/>
        <v>0</v>
      </c>
      <c r="AK15" s="237">
        <f t="shared" si="5"/>
        <v>0</v>
      </c>
      <c r="AL15" s="237">
        <f t="shared" si="5"/>
        <v>0</v>
      </c>
      <c r="AM15" s="237">
        <f t="shared" si="5"/>
        <v>0</v>
      </c>
      <c r="AN15" s="237">
        <f t="shared" si="5"/>
        <v>0</v>
      </c>
      <c r="AO15" s="237">
        <f t="shared" si="5"/>
        <v>0</v>
      </c>
      <c r="AP15" s="237">
        <f t="shared" si="5"/>
        <v>0</v>
      </c>
      <c r="AQ15" s="237">
        <f t="shared" si="5"/>
        <v>1300.856476388889</v>
      </c>
      <c r="AR15" s="237">
        <f t="shared" si="5"/>
        <v>0</v>
      </c>
      <c r="AS15" s="237">
        <f t="shared" si="5"/>
        <v>0</v>
      </c>
      <c r="AT15" s="237">
        <f t="shared" si="5"/>
        <v>0</v>
      </c>
      <c r="AU15" s="237">
        <f t="shared" si="5"/>
        <v>0</v>
      </c>
      <c r="AV15" s="237">
        <f t="shared" si="5"/>
        <v>0</v>
      </c>
      <c r="AW15" s="237">
        <f t="shared" si="5"/>
        <v>0</v>
      </c>
      <c r="AX15" s="237">
        <f t="shared" si="5"/>
        <v>0</v>
      </c>
      <c r="AY15" s="237">
        <f t="shared" si="5"/>
        <v>0</v>
      </c>
      <c r="AZ15" s="237">
        <f t="shared" si="5"/>
        <v>0</v>
      </c>
      <c r="BA15" s="237">
        <f t="shared" si="5"/>
        <v>0</v>
      </c>
      <c r="BB15" s="237">
        <f t="shared" si="5"/>
        <v>0</v>
      </c>
      <c r="BC15" s="237">
        <f t="shared" si="5"/>
        <v>1300.856476388889</v>
      </c>
      <c r="BD15" s="237">
        <f t="shared" si="5"/>
        <v>0</v>
      </c>
      <c r="BE15" s="237">
        <f t="shared" si="5"/>
        <v>0</v>
      </c>
      <c r="BF15" s="237">
        <f t="shared" si="5"/>
        <v>0</v>
      </c>
      <c r="BG15" s="237">
        <f t="shared" si="5"/>
        <v>0</v>
      </c>
      <c r="BH15" s="237">
        <f t="shared" si="5"/>
        <v>0</v>
      </c>
      <c r="BI15" s="237">
        <f t="shared" si="5"/>
        <v>0</v>
      </c>
      <c r="BJ15" s="237">
        <f t="shared" si="5"/>
        <v>0</v>
      </c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</row>
    <row r="16" spans="1:72" ht="15.75" customHeight="1" x14ac:dyDescent="0.2">
      <c r="A16" s="3" t="s">
        <v>537</v>
      </c>
      <c r="B16" s="240">
        <f>SUM(B5:B14)</f>
        <v>81400.58550000003</v>
      </c>
      <c r="C16" s="240">
        <f t="shared" ref="C16:BJ16" si="6">SUM(C13:C15)</f>
        <v>-5472.4219485730255</v>
      </c>
      <c r="D16" s="240">
        <f t="shared" si="6"/>
        <v>7377.4788984269726</v>
      </c>
      <c r="E16" s="240">
        <f t="shared" si="6"/>
        <v>-5437.3819485730255</v>
      </c>
      <c r="F16" s="240">
        <f t="shared" si="6"/>
        <v>-4709.7179485730248</v>
      </c>
      <c r="G16" s="240">
        <f t="shared" si="6"/>
        <v>-5726.0056985730253</v>
      </c>
      <c r="H16" s="240">
        <f t="shared" si="6"/>
        <v>-5726.0056985730253</v>
      </c>
      <c r="I16" s="240">
        <f t="shared" si="6"/>
        <v>10276.354730260304</v>
      </c>
      <c r="J16" s="240">
        <f t="shared" si="6"/>
        <v>-9046.220290239693</v>
      </c>
      <c r="K16" s="240">
        <f t="shared" si="6"/>
        <v>-8859.340290239692</v>
      </c>
      <c r="L16" s="240">
        <f t="shared" si="6"/>
        <v>14024.969821926972</v>
      </c>
      <c r="M16" s="240">
        <f t="shared" si="6"/>
        <v>-5156.4414485730258</v>
      </c>
      <c r="N16" s="240">
        <f t="shared" si="6"/>
        <v>7681.7793984269738</v>
      </c>
      <c r="O16" s="240">
        <f t="shared" si="6"/>
        <v>2206.6135833333337</v>
      </c>
      <c r="P16" s="240">
        <f t="shared" si="6"/>
        <v>1155.4135833333335</v>
      </c>
      <c r="Q16" s="240">
        <f t="shared" si="6"/>
        <v>1155.4135833333335</v>
      </c>
      <c r="R16" s="240">
        <f t="shared" si="6"/>
        <v>933.49358333333362</v>
      </c>
      <c r="S16" s="240">
        <f t="shared" si="6"/>
        <v>1623.4448319583335</v>
      </c>
      <c r="T16" s="240">
        <f t="shared" si="6"/>
        <v>1272.2135833333336</v>
      </c>
      <c r="U16" s="240">
        <f t="shared" si="6"/>
        <v>991.89358333333348</v>
      </c>
      <c r="V16" s="240">
        <f t="shared" si="6"/>
        <v>1272.2135833333336</v>
      </c>
      <c r="W16" s="240">
        <f t="shared" si="6"/>
        <v>1272.2135833333336</v>
      </c>
      <c r="X16" s="240">
        <f t="shared" si="6"/>
        <v>991.89358333333348</v>
      </c>
      <c r="Y16" s="240">
        <f t="shared" si="6"/>
        <v>1272.2135833333336</v>
      </c>
      <c r="Z16" s="240">
        <f t="shared" si="6"/>
        <v>1272.2135833333336</v>
      </c>
      <c r="AA16" s="240">
        <f t="shared" si="6"/>
        <v>991.89358333333348</v>
      </c>
      <c r="AB16" s="240">
        <f t="shared" si="6"/>
        <v>1272.2135833333336</v>
      </c>
      <c r="AC16" s="240">
        <f t="shared" si="6"/>
        <v>1272.2135833333336</v>
      </c>
      <c r="AD16" s="240">
        <f t="shared" si="6"/>
        <v>991.89358333333348</v>
      </c>
      <c r="AE16" s="240">
        <f t="shared" si="6"/>
        <v>1623.4448319583335</v>
      </c>
      <c r="AF16" s="240">
        <f t="shared" si="6"/>
        <v>1272.2135833333336</v>
      </c>
      <c r="AG16" s="240">
        <f t="shared" si="6"/>
        <v>991.89358333333348</v>
      </c>
      <c r="AH16" s="240">
        <f t="shared" si="6"/>
        <v>1272.2135833333336</v>
      </c>
      <c r="AI16" s="240">
        <f t="shared" si="6"/>
        <v>1272.2135833333336</v>
      </c>
      <c r="AJ16" s="240">
        <f t="shared" si="6"/>
        <v>991.89358333333348</v>
      </c>
      <c r="AK16" s="241">
        <f t="shared" si="6"/>
        <v>1272.2135833333336</v>
      </c>
      <c r="AL16" s="241">
        <f t="shared" si="6"/>
        <v>1272.2135833333336</v>
      </c>
      <c r="AM16" s="241">
        <f t="shared" si="6"/>
        <v>991.89358333333348</v>
      </c>
      <c r="AN16" s="241">
        <f t="shared" si="6"/>
        <v>1272.2135833333336</v>
      </c>
      <c r="AO16" s="241">
        <f t="shared" si="6"/>
        <v>1272.2135833333336</v>
      </c>
      <c r="AP16" s="241">
        <f t="shared" si="6"/>
        <v>991.89358333333348</v>
      </c>
      <c r="AQ16" s="241">
        <f t="shared" si="6"/>
        <v>1623.4448319583335</v>
      </c>
      <c r="AR16" s="241">
        <f t="shared" si="6"/>
        <v>1272.2135833333336</v>
      </c>
      <c r="AS16" s="241">
        <f t="shared" si="6"/>
        <v>991.89358333333348</v>
      </c>
      <c r="AT16" s="241">
        <f t="shared" si="6"/>
        <v>1272.2135833333336</v>
      </c>
      <c r="AU16" s="241">
        <f t="shared" si="6"/>
        <v>1272.2135833333336</v>
      </c>
      <c r="AV16" s="241">
        <f t="shared" si="6"/>
        <v>991.89358333333348</v>
      </c>
      <c r="AW16" s="241">
        <f t="shared" si="6"/>
        <v>1272.2135833333336</v>
      </c>
      <c r="AX16" s="241">
        <f t="shared" si="6"/>
        <v>1272.2135833333336</v>
      </c>
      <c r="AY16" s="241">
        <f t="shared" si="6"/>
        <v>991.89358333333348</v>
      </c>
      <c r="AZ16" s="241">
        <f t="shared" si="6"/>
        <v>1272.2135833333336</v>
      </c>
      <c r="BA16" s="241">
        <f t="shared" si="6"/>
        <v>1272.2135833333336</v>
      </c>
      <c r="BB16" s="241">
        <f t="shared" si="6"/>
        <v>991.89358333333348</v>
      </c>
      <c r="BC16" s="241">
        <f t="shared" si="6"/>
        <v>1623.4448319583335</v>
      </c>
      <c r="BD16" s="241">
        <f t="shared" si="6"/>
        <v>1272.2135833333336</v>
      </c>
      <c r="BE16" s="241">
        <f t="shared" si="6"/>
        <v>991.89358333333348</v>
      </c>
      <c r="BF16" s="241">
        <f t="shared" si="6"/>
        <v>1272.2135833333336</v>
      </c>
      <c r="BG16" s="241">
        <f t="shared" si="6"/>
        <v>1272.2135833333336</v>
      </c>
      <c r="BH16" s="241">
        <f t="shared" si="6"/>
        <v>991.89358333333348</v>
      </c>
      <c r="BI16" s="241">
        <f t="shared" si="6"/>
        <v>1272.2135833333336</v>
      </c>
      <c r="BJ16" s="241">
        <f t="shared" si="6"/>
        <v>69106.034833333353</v>
      </c>
      <c r="BK16" s="242"/>
      <c r="BL16" s="242"/>
      <c r="BM16" s="242"/>
      <c r="BN16" s="242"/>
      <c r="BO16" s="242"/>
      <c r="BP16" s="242"/>
      <c r="BQ16" s="242"/>
      <c r="BR16" s="242"/>
      <c r="BS16" s="242"/>
      <c r="BT16" s="242"/>
    </row>
    <row r="17" spans="1:72" ht="15.75" customHeight="1" x14ac:dyDescent="0.2">
      <c r="A17" s="3" t="s">
        <v>538</v>
      </c>
      <c r="B17" s="245"/>
      <c r="C17" s="245">
        <f>PARÁMETROS!$B$13</f>
        <v>1.3888430348409919E-2</v>
      </c>
      <c r="D17" s="245">
        <f>PARÁMETROS!$B$13</f>
        <v>1.3888430348409919E-2</v>
      </c>
      <c r="E17" s="245">
        <f>PARÁMETROS!$B$13</f>
        <v>1.3888430348409919E-2</v>
      </c>
      <c r="F17" s="245">
        <f>PARÁMETROS!$B$13</f>
        <v>1.3888430348409919E-2</v>
      </c>
      <c r="G17" s="245">
        <f>PARÁMETROS!$B$13</f>
        <v>1.3888430348409919E-2</v>
      </c>
      <c r="H17" s="245">
        <f>PARÁMETROS!$B$13</f>
        <v>1.3888430348409919E-2</v>
      </c>
      <c r="I17" s="245">
        <f>PARÁMETROS!$B$13</f>
        <v>1.3888430348409919E-2</v>
      </c>
      <c r="J17" s="245">
        <f>PARÁMETROS!$B$13</f>
        <v>1.3888430348409919E-2</v>
      </c>
      <c r="K17" s="245">
        <f>PARÁMETROS!$B$13</f>
        <v>1.3888430348409919E-2</v>
      </c>
      <c r="L17" s="245">
        <f>PARÁMETROS!$B$13</f>
        <v>1.3888430348409919E-2</v>
      </c>
      <c r="M17" s="245">
        <f>PARÁMETROS!$B$13</f>
        <v>1.3888430348409919E-2</v>
      </c>
      <c r="N17" s="245">
        <f>PARÁMETROS!$B$13</f>
        <v>1.3888430348409919E-2</v>
      </c>
      <c r="O17" s="245">
        <f>PARÁMETROS!$B$13</f>
        <v>1.3888430348409919E-2</v>
      </c>
      <c r="P17" s="245">
        <f>PARÁMETROS!$B$13</f>
        <v>1.3888430348409919E-2</v>
      </c>
      <c r="Q17" s="245">
        <f>PARÁMETROS!$B$13</f>
        <v>1.3888430348409919E-2</v>
      </c>
      <c r="R17" s="245">
        <f>PARÁMETROS!$B$13</f>
        <v>1.3888430348409919E-2</v>
      </c>
      <c r="S17" s="245">
        <f>PARÁMETROS!$B$13</f>
        <v>1.3888430348409919E-2</v>
      </c>
      <c r="T17" s="245">
        <f>PARÁMETROS!$B$13</f>
        <v>1.3888430348409919E-2</v>
      </c>
      <c r="U17" s="245">
        <f>PARÁMETROS!$B$13</f>
        <v>1.3888430348409919E-2</v>
      </c>
      <c r="V17" s="245">
        <f>PARÁMETROS!$B$13</f>
        <v>1.3888430348409919E-2</v>
      </c>
      <c r="W17" s="245">
        <f>PARÁMETROS!$B$13</f>
        <v>1.3888430348409919E-2</v>
      </c>
      <c r="X17" s="245">
        <f>PARÁMETROS!$B$13</f>
        <v>1.3888430348409919E-2</v>
      </c>
      <c r="Y17" s="245">
        <f>PARÁMETROS!$B$13</f>
        <v>1.3888430348409919E-2</v>
      </c>
      <c r="Z17" s="245">
        <f>PARÁMETROS!$B$13</f>
        <v>1.3888430348409919E-2</v>
      </c>
      <c r="AA17" s="245">
        <f>PARÁMETROS!$B$13</f>
        <v>1.3888430348409919E-2</v>
      </c>
      <c r="AB17" s="245">
        <f>PARÁMETROS!$B$13</f>
        <v>1.3888430348409919E-2</v>
      </c>
      <c r="AC17" s="245">
        <f>PARÁMETROS!$B$13</f>
        <v>1.3888430348409919E-2</v>
      </c>
      <c r="AD17" s="245">
        <f>PARÁMETROS!$B$13</f>
        <v>1.3888430348409919E-2</v>
      </c>
      <c r="AE17" s="245">
        <f>PARÁMETROS!$B$13</f>
        <v>1.3888430348409919E-2</v>
      </c>
      <c r="AF17" s="245">
        <f>PARÁMETROS!$B$13</f>
        <v>1.3888430348409919E-2</v>
      </c>
      <c r="AG17" s="245">
        <f>PARÁMETROS!$B$13</f>
        <v>1.3888430348409919E-2</v>
      </c>
      <c r="AH17" s="245">
        <f>PARÁMETROS!$B$13</f>
        <v>1.3888430348409919E-2</v>
      </c>
      <c r="AI17" s="245">
        <f>PARÁMETROS!$B$13</f>
        <v>1.3888430348409919E-2</v>
      </c>
      <c r="AJ17" s="245">
        <f>PARÁMETROS!$B$13</f>
        <v>1.3888430348409919E-2</v>
      </c>
      <c r="AK17" s="246">
        <f>PARÁMETROS!$B$13</f>
        <v>1.3888430348409919E-2</v>
      </c>
      <c r="AL17" s="246">
        <f>PARÁMETROS!$B$13</f>
        <v>1.3888430348409919E-2</v>
      </c>
      <c r="AM17" s="246">
        <f>PARÁMETROS!$B$13</f>
        <v>1.3888430348409919E-2</v>
      </c>
      <c r="AN17" s="246">
        <f>PARÁMETROS!$B$13</f>
        <v>1.3888430348409919E-2</v>
      </c>
      <c r="AO17" s="246">
        <f>PARÁMETROS!$B$13</f>
        <v>1.3888430348409919E-2</v>
      </c>
      <c r="AP17" s="246">
        <f>PARÁMETROS!$B$13</f>
        <v>1.3888430348409919E-2</v>
      </c>
      <c r="AQ17" s="246">
        <f>PARÁMETROS!$B$13</f>
        <v>1.3888430348409919E-2</v>
      </c>
      <c r="AR17" s="246">
        <f>PARÁMETROS!$B$13</f>
        <v>1.3888430348409919E-2</v>
      </c>
      <c r="AS17" s="246">
        <f>PARÁMETROS!$B$13</f>
        <v>1.3888430348409919E-2</v>
      </c>
      <c r="AT17" s="246">
        <f>PARÁMETROS!$B$13</f>
        <v>1.3888430348409919E-2</v>
      </c>
      <c r="AU17" s="246">
        <f>PARÁMETROS!$B$13</f>
        <v>1.3888430348409919E-2</v>
      </c>
      <c r="AV17" s="246">
        <f>PARÁMETROS!$B$13</f>
        <v>1.3888430348409919E-2</v>
      </c>
      <c r="AW17" s="246">
        <f>PARÁMETROS!$B$13</f>
        <v>1.3888430348409919E-2</v>
      </c>
      <c r="AX17" s="246">
        <f>PARÁMETROS!$B$13</f>
        <v>1.3888430348409919E-2</v>
      </c>
      <c r="AY17" s="246">
        <f>PARÁMETROS!$B$13</f>
        <v>1.3888430348409919E-2</v>
      </c>
      <c r="AZ17" s="246">
        <f>PARÁMETROS!$B$13</f>
        <v>1.3888430348409919E-2</v>
      </c>
      <c r="BA17" s="246">
        <f>PARÁMETROS!$B$13</f>
        <v>1.3888430348409919E-2</v>
      </c>
      <c r="BB17" s="246">
        <f>PARÁMETROS!$B$13</f>
        <v>1.3888430348409919E-2</v>
      </c>
      <c r="BC17" s="246">
        <f>PARÁMETROS!$B$13</f>
        <v>1.3888430348409919E-2</v>
      </c>
      <c r="BD17" s="246">
        <f>PARÁMETROS!$B$13</f>
        <v>1.3888430348409919E-2</v>
      </c>
      <c r="BE17" s="246">
        <f>PARÁMETROS!$B$13</f>
        <v>1.3888430348409919E-2</v>
      </c>
      <c r="BF17" s="246">
        <f>PARÁMETROS!$B$13</f>
        <v>1.3888430348409919E-2</v>
      </c>
      <c r="BG17" s="246">
        <f>PARÁMETROS!$B$13</f>
        <v>1.3888430348409919E-2</v>
      </c>
      <c r="BH17" s="246">
        <f>PARÁMETROS!$B$13</f>
        <v>1.3888430348409919E-2</v>
      </c>
      <c r="BI17" s="246">
        <f>PARÁMETROS!$B$13</f>
        <v>1.3888430348409919E-2</v>
      </c>
      <c r="BJ17" s="246">
        <f>PARÁMETROS!$B$13</f>
        <v>1.3888430348409919E-2</v>
      </c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</row>
    <row r="18" spans="1:72" ht="15.75" customHeight="1" x14ac:dyDescent="0.2">
      <c r="A18" s="3" t="s">
        <v>539</v>
      </c>
      <c r="B18" s="4"/>
      <c r="C18" s="248">
        <f t="shared" ref="C18:BJ18" si="7">1+C17</f>
        <v>1.0138884303484099</v>
      </c>
      <c r="D18" s="248">
        <f t="shared" si="7"/>
        <v>1.0138884303484099</v>
      </c>
      <c r="E18" s="248">
        <f t="shared" si="7"/>
        <v>1.0138884303484099</v>
      </c>
      <c r="F18" s="248">
        <f t="shared" si="7"/>
        <v>1.0138884303484099</v>
      </c>
      <c r="G18" s="248">
        <f t="shared" si="7"/>
        <v>1.0138884303484099</v>
      </c>
      <c r="H18" s="248">
        <f t="shared" si="7"/>
        <v>1.0138884303484099</v>
      </c>
      <c r="I18" s="248">
        <f t="shared" si="7"/>
        <v>1.0138884303484099</v>
      </c>
      <c r="J18" s="248">
        <f t="shared" si="7"/>
        <v>1.0138884303484099</v>
      </c>
      <c r="K18" s="248">
        <f t="shared" si="7"/>
        <v>1.0138884303484099</v>
      </c>
      <c r="L18" s="248">
        <f t="shared" si="7"/>
        <v>1.0138884303484099</v>
      </c>
      <c r="M18" s="248">
        <f t="shared" si="7"/>
        <v>1.0138884303484099</v>
      </c>
      <c r="N18" s="248">
        <f t="shared" si="7"/>
        <v>1.0138884303484099</v>
      </c>
      <c r="O18" s="248">
        <f t="shared" si="7"/>
        <v>1.0138884303484099</v>
      </c>
      <c r="P18" s="248">
        <f t="shared" si="7"/>
        <v>1.0138884303484099</v>
      </c>
      <c r="Q18" s="248">
        <f t="shared" si="7"/>
        <v>1.0138884303484099</v>
      </c>
      <c r="R18" s="248">
        <f t="shared" si="7"/>
        <v>1.0138884303484099</v>
      </c>
      <c r="S18" s="248">
        <f t="shared" si="7"/>
        <v>1.0138884303484099</v>
      </c>
      <c r="T18" s="248">
        <f t="shared" si="7"/>
        <v>1.0138884303484099</v>
      </c>
      <c r="U18" s="248">
        <f t="shared" si="7"/>
        <v>1.0138884303484099</v>
      </c>
      <c r="V18" s="248">
        <f t="shared" si="7"/>
        <v>1.0138884303484099</v>
      </c>
      <c r="W18" s="248">
        <f t="shared" si="7"/>
        <v>1.0138884303484099</v>
      </c>
      <c r="X18" s="248">
        <f t="shared" si="7"/>
        <v>1.0138884303484099</v>
      </c>
      <c r="Y18" s="248">
        <f t="shared" si="7"/>
        <v>1.0138884303484099</v>
      </c>
      <c r="Z18" s="248">
        <f t="shared" si="7"/>
        <v>1.0138884303484099</v>
      </c>
      <c r="AA18" s="248">
        <f t="shared" si="7"/>
        <v>1.0138884303484099</v>
      </c>
      <c r="AB18" s="248">
        <f t="shared" si="7"/>
        <v>1.0138884303484099</v>
      </c>
      <c r="AC18" s="248">
        <f t="shared" si="7"/>
        <v>1.0138884303484099</v>
      </c>
      <c r="AD18" s="248">
        <f t="shared" si="7"/>
        <v>1.0138884303484099</v>
      </c>
      <c r="AE18" s="248">
        <f t="shared" si="7"/>
        <v>1.0138884303484099</v>
      </c>
      <c r="AF18" s="248">
        <f t="shared" si="7"/>
        <v>1.0138884303484099</v>
      </c>
      <c r="AG18" s="248">
        <f t="shared" si="7"/>
        <v>1.0138884303484099</v>
      </c>
      <c r="AH18" s="248">
        <f t="shared" si="7"/>
        <v>1.0138884303484099</v>
      </c>
      <c r="AI18" s="248">
        <f t="shared" si="7"/>
        <v>1.0138884303484099</v>
      </c>
      <c r="AJ18" s="248">
        <f t="shared" si="7"/>
        <v>1.0138884303484099</v>
      </c>
      <c r="AK18" s="249">
        <f t="shared" si="7"/>
        <v>1.0138884303484099</v>
      </c>
      <c r="AL18" s="249">
        <f t="shared" si="7"/>
        <v>1.0138884303484099</v>
      </c>
      <c r="AM18" s="249">
        <f t="shared" si="7"/>
        <v>1.0138884303484099</v>
      </c>
      <c r="AN18" s="249">
        <f t="shared" si="7"/>
        <v>1.0138884303484099</v>
      </c>
      <c r="AO18" s="249">
        <f t="shared" si="7"/>
        <v>1.0138884303484099</v>
      </c>
      <c r="AP18" s="249">
        <f t="shared" si="7"/>
        <v>1.0138884303484099</v>
      </c>
      <c r="AQ18" s="249">
        <f t="shared" si="7"/>
        <v>1.0138884303484099</v>
      </c>
      <c r="AR18" s="249">
        <f t="shared" si="7"/>
        <v>1.0138884303484099</v>
      </c>
      <c r="AS18" s="249">
        <f t="shared" si="7"/>
        <v>1.0138884303484099</v>
      </c>
      <c r="AT18" s="249">
        <f t="shared" si="7"/>
        <v>1.0138884303484099</v>
      </c>
      <c r="AU18" s="249">
        <f t="shared" si="7"/>
        <v>1.0138884303484099</v>
      </c>
      <c r="AV18" s="249">
        <f t="shared" si="7"/>
        <v>1.0138884303484099</v>
      </c>
      <c r="AW18" s="249">
        <f t="shared" si="7"/>
        <v>1.0138884303484099</v>
      </c>
      <c r="AX18" s="249">
        <f t="shared" si="7"/>
        <v>1.0138884303484099</v>
      </c>
      <c r="AY18" s="249">
        <f t="shared" si="7"/>
        <v>1.0138884303484099</v>
      </c>
      <c r="AZ18" s="249">
        <f t="shared" si="7"/>
        <v>1.0138884303484099</v>
      </c>
      <c r="BA18" s="249">
        <f t="shared" si="7"/>
        <v>1.0138884303484099</v>
      </c>
      <c r="BB18" s="249">
        <f t="shared" si="7"/>
        <v>1.0138884303484099</v>
      </c>
      <c r="BC18" s="249">
        <f t="shared" si="7"/>
        <v>1.0138884303484099</v>
      </c>
      <c r="BD18" s="249">
        <f t="shared" si="7"/>
        <v>1.0138884303484099</v>
      </c>
      <c r="BE18" s="249">
        <f t="shared" si="7"/>
        <v>1.0138884303484099</v>
      </c>
      <c r="BF18" s="249">
        <f t="shared" si="7"/>
        <v>1.0138884303484099</v>
      </c>
      <c r="BG18" s="249">
        <f t="shared" si="7"/>
        <v>1.0138884303484099</v>
      </c>
      <c r="BH18" s="249">
        <f t="shared" si="7"/>
        <v>1.0138884303484099</v>
      </c>
      <c r="BI18" s="249">
        <f t="shared" si="7"/>
        <v>1.0138884303484099</v>
      </c>
      <c r="BJ18" s="249">
        <f t="shared" si="7"/>
        <v>1.0138884303484099</v>
      </c>
      <c r="BK18" s="250"/>
      <c r="BL18" s="250"/>
      <c r="BM18" s="250"/>
      <c r="BN18" s="250"/>
      <c r="BO18" s="250"/>
      <c r="BP18" s="250"/>
      <c r="BQ18" s="250"/>
      <c r="BR18" s="250"/>
      <c r="BS18" s="250"/>
      <c r="BT18" s="250"/>
    </row>
    <row r="19" spans="1:72" ht="15.75" customHeight="1" x14ac:dyDescent="0.2">
      <c r="A19" s="3" t="s">
        <v>540</v>
      </c>
      <c r="B19" s="4"/>
      <c r="C19" s="248">
        <f>C18</f>
        <v>1.0138884303484099</v>
      </c>
      <c r="D19" s="248">
        <f t="shared" ref="D19:BJ19" si="8">C19*D18</f>
        <v>1.0279697491943625</v>
      </c>
      <c r="E19" s="248">
        <f t="shared" si="8"/>
        <v>1.0422466354563207</v>
      </c>
      <c r="F19" s="248">
        <f t="shared" si="8"/>
        <v>1.0567218052587204</v>
      </c>
      <c r="G19" s="248">
        <f t="shared" si="8"/>
        <v>1.0713980124487021</v>
      </c>
      <c r="H19" s="248">
        <f t="shared" si="8"/>
        <v>1.0862780491200208</v>
      </c>
      <c r="I19" s="248">
        <f t="shared" si="8"/>
        <v>1.1013647461442309</v>
      </c>
      <c r="J19" s="248">
        <f t="shared" si="8"/>
        <v>1.1166609737092492</v>
      </c>
      <c r="K19" s="248">
        <f t="shared" si="8"/>
        <v>1.1321696418653977</v>
      </c>
      <c r="L19" s="248">
        <f t="shared" si="8"/>
        <v>1.1478937010790295</v>
      </c>
      <c r="M19" s="248">
        <f t="shared" si="8"/>
        <v>1.1638361427938442</v>
      </c>
      <c r="N19" s="248">
        <f t="shared" si="8"/>
        <v>1.1799999999999986</v>
      </c>
      <c r="O19" s="248">
        <f t="shared" si="8"/>
        <v>1.1963883478111224</v>
      </c>
      <c r="P19" s="248">
        <f t="shared" si="8"/>
        <v>1.2130043040493463</v>
      </c>
      <c r="Q19" s="248">
        <f t="shared" si="8"/>
        <v>1.2298510298384571</v>
      </c>
      <c r="R19" s="248">
        <f t="shared" si="8"/>
        <v>1.2469317302052887</v>
      </c>
      <c r="S19" s="248">
        <f t="shared" si="8"/>
        <v>1.264249654689467</v>
      </c>
      <c r="T19" s="248">
        <f t="shared" si="8"/>
        <v>1.2818080979616231</v>
      </c>
      <c r="U19" s="248">
        <f t="shared" si="8"/>
        <v>1.2996104004501909</v>
      </c>
      <c r="V19" s="248">
        <f t="shared" si="8"/>
        <v>1.3176599489769125</v>
      </c>
      <c r="W19" s="248">
        <f t="shared" si="8"/>
        <v>1.3359601774011678</v>
      </c>
      <c r="X19" s="248">
        <f t="shared" si="8"/>
        <v>1.3545145672732533</v>
      </c>
      <c r="Y19" s="248">
        <f t="shared" si="8"/>
        <v>1.3733266484967344</v>
      </c>
      <c r="Z19" s="248">
        <f t="shared" si="8"/>
        <v>1.3923999999999965</v>
      </c>
      <c r="AA19" s="248">
        <f t="shared" si="8"/>
        <v>1.4117382504171225</v>
      </c>
      <c r="AB19" s="248">
        <f t="shared" si="8"/>
        <v>1.4313450787782269</v>
      </c>
      <c r="AC19" s="248">
        <f t="shared" si="8"/>
        <v>1.4512242152093777</v>
      </c>
      <c r="AD19" s="248">
        <f t="shared" si="8"/>
        <v>1.471379441642239</v>
      </c>
      <c r="AE19" s="248">
        <f t="shared" si="8"/>
        <v>1.4918145925335695</v>
      </c>
      <c r="AF19" s="248">
        <f t="shared" si="8"/>
        <v>1.5125335555947135</v>
      </c>
      <c r="AG19" s="248">
        <f t="shared" si="8"/>
        <v>1.5335402725312235</v>
      </c>
      <c r="AH19" s="248">
        <f t="shared" si="8"/>
        <v>1.554838739792755</v>
      </c>
      <c r="AI19" s="248">
        <f t="shared" si="8"/>
        <v>1.576433009333376</v>
      </c>
      <c r="AJ19" s="248">
        <f t="shared" si="8"/>
        <v>1.5983271893824369</v>
      </c>
      <c r="AK19" s="249">
        <f t="shared" si="8"/>
        <v>1.6205254452261446</v>
      </c>
      <c r="AL19" s="249">
        <f t="shared" si="8"/>
        <v>1.6430319999999938</v>
      </c>
      <c r="AM19" s="249">
        <f t="shared" si="8"/>
        <v>1.6658511354922023</v>
      </c>
      <c r="AN19" s="249">
        <f t="shared" si="8"/>
        <v>1.6889871929583054</v>
      </c>
      <c r="AO19" s="249">
        <f t="shared" si="8"/>
        <v>1.7124445739470631</v>
      </c>
      <c r="AP19" s="249">
        <f t="shared" si="8"/>
        <v>1.7362277411378393</v>
      </c>
      <c r="AQ19" s="249">
        <f t="shared" si="8"/>
        <v>1.7603412191896093</v>
      </c>
      <c r="AR19" s="249">
        <f t="shared" si="8"/>
        <v>1.7847895956017592</v>
      </c>
      <c r="AS19" s="249">
        <f t="shared" si="8"/>
        <v>1.809577521586841</v>
      </c>
      <c r="AT19" s="249">
        <f t="shared" si="8"/>
        <v>1.8347097129554482</v>
      </c>
      <c r="AU19" s="249">
        <f t="shared" si="8"/>
        <v>1.8601909510133809</v>
      </c>
      <c r="AV19" s="249">
        <f t="shared" si="8"/>
        <v>1.8860260834712728</v>
      </c>
      <c r="AW19" s="249">
        <f t="shared" si="8"/>
        <v>1.912220025366848</v>
      </c>
      <c r="AX19" s="249">
        <f t="shared" si="8"/>
        <v>1.93877775999999</v>
      </c>
      <c r="AY19" s="249">
        <f t="shared" si="8"/>
        <v>1.9657043398807961</v>
      </c>
      <c r="AZ19" s="249">
        <f t="shared" si="8"/>
        <v>1.9930048876907975</v>
      </c>
      <c r="BA19" s="249">
        <f t="shared" si="8"/>
        <v>2.0206845972575316</v>
      </c>
      <c r="BB19" s="249">
        <f t="shared" si="8"/>
        <v>2.0487487345426474</v>
      </c>
      <c r="BC19" s="249">
        <f t="shared" si="8"/>
        <v>2.0772026386437359</v>
      </c>
      <c r="BD19" s="249">
        <f t="shared" si="8"/>
        <v>2.1060517228100726</v>
      </c>
      <c r="BE19" s="249">
        <f t="shared" si="8"/>
        <v>2.1353014754724691</v>
      </c>
      <c r="BF19" s="249">
        <f t="shared" si="8"/>
        <v>2.1649574612874254</v>
      </c>
      <c r="BG19" s="249">
        <f t="shared" si="8"/>
        <v>2.1950253221957863</v>
      </c>
      <c r="BH19" s="249">
        <f t="shared" si="8"/>
        <v>2.2255107784960986</v>
      </c>
      <c r="BI19" s="249">
        <f t="shared" si="8"/>
        <v>2.2564196299328771</v>
      </c>
      <c r="BJ19" s="249">
        <f t="shared" si="8"/>
        <v>2.2877577567999849</v>
      </c>
      <c r="BK19" s="250"/>
      <c r="BL19" s="250"/>
      <c r="BM19" s="250"/>
      <c r="BN19" s="250"/>
      <c r="BO19" s="250"/>
      <c r="BP19" s="250"/>
      <c r="BQ19" s="250"/>
      <c r="BR19" s="250"/>
      <c r="BS19" s="250"/>
      <c r="BT19" s="250"/>
    </row>
    <row r="20" spans="1:72" ht="15.75" customHeight="1" x14ac:dyDescent="0.2">
      <c r="A20" s="3" t="s">
        <v>541</v>
      </c>
      <c r="B20" s="240">
        <f>B16</f>
        <v>81400.58550000003</v>
      </c>
      <c r="C20" s="240">
        <f t="shared" ref="C20:BJ20" si="9">C16/C19</f>
        <v>-5397.4597053962798</v>
      </c>
      <c r="D20" s="240">
        <f t="shared" si="9"/>
        <v>7176.7470824981274</v>
      </c>
      <c r="E20" s="240">
        <f t="shared" si="9"/>
        <v>-5216.9820113570422</v>
      </c>
      <c r="F20" s="240">
        <f t="shared" si="9"/>
        <v>-4456.9137545334652</v>
      </c>
      <c r="G20" s="240">
        <f t="shared" si="9"/>
        <v>-5344.4244174824644</v>
      </c>
      <c r="H20" s="240">
        <f t="shared" si="9"/>
        <v>-5271.2155080474886</v>
      </c>
      <c r="I20" s="240">
        <f t="shared" si="9"/>
        <v>9330.5644349311224</v>
      </c>
      <c r="J20" s="240">
        <f t="shared" si="9"/>
        <v>-8101.134098195057</v>
      </c>
      <c r="K20" s="240">
        <f t="shared" si="9"/>
        <v>-7825.0996693770812</v>
      </c>
      <c r="L20" s="240">
        <f t="shared" si="9"/>
        <v>12218.00399178372</v>
      </c>
      <c r="M20" s="240">
        <f t="shared" si="9"/>
        <v>-4430.5562088789766</v>
      </c>
      <c r="N20" s="240">
        <f t="shared" si="9"/>
        <v>6509.9825410398162</v>
      </c>
      <c r="O20" s="240">
        <f t="shared" si="9"/>
        <v>1844.395749399006</v>
      </c>
      <c r="P20" s="240">
        <f t="shared" si="9"/>
        <v>952.52224536734207</v>
      </c>
      <c r="Q20" s="240">
        <f t="shared" si="9"/>
        <v>939.47442031666139</v>
      </c>
      <c r="R20" s="240">
        <f t="shared" si="9"/>
        <v>748.63247178708639</v>
      </c>
      <c r="S20" s="240">
        <f t="shared" si="9"/>
        <v>1284.1172832727364</v>
      </c>
      <c r="T20" s="240">
        <f t="shared" si="9"/>
        <v>992.51485878147673</v>
      </c>
      <c r="U20" s="240">
        <f t="shared" si="9"/>
        <v>763.22379613900989</v>
      </c>
      <c r="V20" s="240">
        <f t="shared" si="9"/>
        <v>965.5097920530518</v>
      </c>
      <c r="W20" s="240">
        <f t="shared" si="9"/>
        <v>952.2840611972133</v>
      </c>
      <c r="X20" s="240">
        <f t="shared" si="9"/>
        <v>732.28712876089253</v>
      </c>
      <c r="Y20" s="240">
        <f t="shared" si="9"/>
        <v>926.37362329342352</v>
      </c>
      <c r="Z20" s="240">
        <f t="shared" si="9"/>
        <v>913.6839868811669</v>
      </c>
      <c r="AA20" s="240">
        <f t="shared" si="9"/>
        <v>702.60445450157727</v>
      </c>
      <c r="AB20" s="240">
        <f t="shared" si="9"/>
        <v>888.82380789632828</v>
      </c>
      <c r="AC20" s="240">
        <f t="shared" si="9"/>
        <v>876.64853576728865</v>
      </c>
      <c r="AD20" s="240">
        <f t="shared" si="9"/>
        <v>674.12494375091933</v>
      </c>
      <c r="AE20" s="240">
        <f t="shared" si="9"/>
        <v>1088.234985824354</v>
      </c>
      <c r="AF20" s="240">
        <f t="shared" si="9"/>
        <v>841.1142871029474</v>
      </c>
      <c r="AG20" s="240">
        <f t="shared" si="9"/>
        <v>646.7998272364498</v>
      </c>
      <c r="AH20" s="240">
        <f t="shared" si="9"/>
        <v>818.22863733309566</v>
      </c>
      <c r="AI20" s="240">
        <f t="shared" si="9"/>
        <v>807.02039084509704</v>
      </c>
      <c r="AJ20" s="240">
        <f t="shared" si="9"/>
        <v>620.58231250923177</v>
      </c>
      <c r="AK20" s="241">
        <f t="shared" si="9"/>
        <v>785.06239262154634</v>
      </c>
      <c r="AL20" s="241">
        <f t="shared" si="9"/>
        <v>774.30846345861698</v>
      </c>
      <c r="AM20" s="241">
        <f t="shared" si="9"/>
        <v>595.4275038148968</v>
      </c>
      <c r="AN20" s="241">
        <f t="shared" si="9"/>
        <v>753.24051516638099</v>
      </c>
      <c r="AO20" s="241">
        <f t="shared" si="9"/>
        <v>742.92248793838144</v>
      </c>
      <c r="AP20" s="241">
        <f t="shared" si="9"/>
        <v>571.29232521264441</v>
      </c>
      <c r="AQ20" s="241">
        <f t="shared" si="9"/>
        <v>922.23303883419976</v>
      </c>
      <c r="AR20" s="241">
        <f t="shared" si="9"/>
        <v>712.8087178838548</v>
      </c>
      <c r="AS20" s="241">
        <f t="shared" si="9"/>
        <v>548.13544681055146</v>
      </c>
      <c r="AT20" s="241">
        <f t="shared" si="9"/>
        <v>693.4140994348279</v>
      </c>
      <c r="AU20" s="241">
        <f t="shared" si="9"/>
        <v>683.91558546194767</v>
      </c>
      <c r="AV20" s="241">
        <f t="shared" si="9"/>
        <v>525.9172139908751</v>
      </c>
      <c r="AW20" s="241">
        <f t="shared" si="9"/>
        <v>665.3071123911418</v>
      </c>
      <c r="AX20" s="241">
        <f t="shared" si="9"/>
        <v>656.19361310052375</v>
      </c>
      <c r="AY20" s="241">
        <f t="shared" si="9"/>
        <v>504.59957950415054</v>
      </c>
      <c r="AZ20" s="241">
        <f t="shared" si="9"/>
        <v>638.3394196325271</v>
      </c>
      <c r="BA20" s="241">
        <f t="shared" si="9"/>
        <v>629.59532876134108</v>
      </c>
      <c r="BB20" s="241">
        <f t="shared" si="9"/>
        <v>484.14603831580104</v>
      </c>
      <c r="BC20" s="241">
        <f t="shared" si="9"/>
        <v>781.55342274084842</v>
      </c>
      <c r="BD20" s="241">
        <f t="shared" si="9"/>
        <v>604.0751846473355</v>
      </c>
      <c r="BE20" s="241">
        <f t="shared" si="9"/>
        <v>464.52156509368842</v>
      </c>
      <c r="BF20" s="241">
        <f t="shared" si="9"/>
        <v>587.63906731765167</v>
      </c>
      <c r="BG20" s="241">
        <f t="shared" si="9"/>
        <v>579.58947920504124</v>
      </c>
      <c r="BH20" s="241">
        <f t="shared" si="9"/>
        <v>445.69255422955587</v>
      </c>
      <c r="BI20" s="241">
        <f t="shared" si="9"/>
        <v>563.81958677215493</v>
      </c>
      <c r="BJ20" s="241">
        <f t="shared" si="9"/>
        <v>30206.884722793307</v>
      </c>
      <c r="BK20" s="242"/>
      <c r="BL20" s="242"/>
      <c r="BM20" s="242"/>
      <c r="BN20" s="242"/>
      <c r="BO20" s="242"/>
      <c r="BP20" s="242"/>
      <c r="BQ20" s="242"/>
      <c r="BR20" s="242"/>
      <c r="BS20" s="242"/>
      <c r="BT20" s="242"/>
    </row>
    <row r="21" spans="1:72" ht="15.75" customHeight="1" x14ac:dyDescent="0.2">
      <c r="A21" s="3" t="s">
        <v>542</v>
      </c>
      <c r="B21" s="240">
        <f>B16</f>
        <v>81400.58550000003</v>
      </c>
      <c r="C21" s="240">
        <f t="shared" ref="C21:BJ21" si="10">C20+B21</f>
        <v>76003.125794603751</v>
      </c>
      <c r="D21" s="240">
        <f t="shared" si="10"/>
        <v>83179.87287710188</v>
      </c>
      <c r="E21" s="240">
        <f t="shared" si="10"/>
        <v>77962.890865744834</v>
      </c>
      <c r="F21" s="240">
        <f t="shared" si="10"/>
        <v>73505.977111211367</v>
      </c>
      <c r="G21" s="240">
        <f t="shared" si="10"/>
        <v>68161.552693728896</v>
      </c>
      <c r="H21" s="240">
        <f t="shared" si="10"/>
        <v>62890.337185681405</v>
      </c>
      <c r="I21" s="240">
        <f t="shared" si="10"/>
        <v>72220.901620612523</v>
      </c>
      <c r="J21" s="240">
        <f t="shared" si="10"/>
        <v>64119.767522417467</v>
      </c>
      <c r="K21" s="240">
        <f t="shared" si="10"/>
        <v>56294.667853040388</v>
      </c>
      <c r="L21" s="240">
        <f t="shared" si="10"/>
        <v>68512.671844824101</v>
      </c>
      <c r="M21" s="240">
        <f t="shared" si="10"/>
        <v>64082.115635945127</v>
      </c>
      <c r="N21" s="240">
        <f t="shared" si="10"/>
        <v>70592.098176984946</v>
      </c>
      <c r="O21" s="240">
        <f t="shared" si="10"/>
        <v>72436.493926383948</v>
      </c>
      <c r="P21" s="240">
        <f t="shared" si="10"/>
        <v>73389.016171751296</v>
      </c>
      <c r="Q21" s="240">
        <f t="shared" si="10"/>
        <v>74328.490592067959</v>
      </c>
      <c r="R21" s="240">
        <f t="shared" si="10"/>
        <v>75077.123063855048</v>
      </c>
      <c r="S21" s="240">
        <f t="shared" si="10"/>
        <v>76361.240347127779</v>
      </c>
      <c r="T21" s="240">
        <f t="shared" si="10"/>
        <v>77353.755205909256</v>
      </c>
      <c r="U21" s="240">
        <f t="shared" si="10"/>
        <v>78116.979002048261</v>
      </c>
      <c r="V21" s="240">
        <f t="shared" si="10"/>
        <v>79082.488794101315</v>
      </c>
      <c r="W21" s="240">
        <f t="shared" si="10"/>
        <v>80034.772855298535</v>
      </c>
      <c r="X21" s="240">
        <f t="shared" si="10"/>
        <v>80767.059984059422</v>
      </c>
      <c r="Y21" s="240">
        <f t="shared" si="10"/>
        <v>81693.433607352839</v>
      </c>
      <c r="Z21" s="240">
        <f t="shared" si="10"/>
        <v>82607.117594234005</v>
      </c>
      <c r="AA21" s="240">
        <f t="shared" si="10"/>
        <v>83309.722048735581</v>
      </c>
      <c r="AB21" s="240">
        <f t="shared" si="10"/>
        <v>84198.545856631914</v>
      </c>
      <c r="AC21" s="240">
        <f t="shared" si="10"/>
        <v>85075.194392399208</v>
      </c>
      <c r="AD21" s="240">
        <f t="shared" si="10"/>
        <v>85749.319336150133</v>
      </c>
      <c r="AE21" s="240">
        <f t="shared" si="10"/>
        <v>86837.554321974487</v>
      </c>
      <c r="AF21" s="240">
        <f t="shared" si="10"/>
        <v>87678.668609077431</v>
      </c>
      <c r="AG21" s="240">
        <f t="shared" si="10"/>
        <v>88325.46843631388</v>
      </c>
      <c r="AH21" s="240">
        <f t="shared" si="10"/>
        <v>89143.697073646981</v>
      </c>
      <c r="AI21" s="240">
        <f t="shared" si="10"/>
        <v>89950.717464492074</v>
      </c>
      <c r="AJ21" s="240">
        <f t="shared" si="10"/>
        <v>90571.299777001303</v>
      </c>
      <c r="AK21" s="241">
        <f t="shared" si="10"/>
        <v>91356.362169622851</v>
      </c>
      <c r="AL21" s="241">
        <f t="shared" si="10"/>
        <v>92130.670633081463</v>
      </c>
      <c r="AM21" s="241">
        <f t="shared" si="10"/>
        <v>92726.098136896355</v>
      </c>
      <c r="AN21" s="241">
        <f t="shared" si="10"/>
        <v>93479.338652062739</v>
      </c>
      <c r="AO21" s="241">
        <f t="shared" si="10"/>
        <v>94222.261140001123</v>
      </c>
      <c r="AP21" s="241">
        <f t="shared" si="10"/>
        <v>94793.553465213772</v>
      </c>
      <c r="AQ21" s="241">
        <f t="shared" si="10"/>
        <v>95715.786504047966</v>
      </c>
      <c r="AR21" s="241">
        <f t="shared" si="10"/>
        <v>96428.595221931828</v>
      </c>
      <c r="AS21" s="241">
        <f t="shared" si="10"/>
        <v>96976.730668742384</v>
      </c>
      <c r="AT21" s="241">
        <f t="shared" si="10"/>
        <v>97670.144768177212</v>
      </c>
      <c r="AU21" s="241">
        <f t="shared" si="10"/>
        <v>98354.060353639157</v>
      </c>
      <c r="AV21" s="241">
        <f t="shared" si="10"/>
        <v>98879.977567630034</v>
      </c>
      <c r="AW21" s="241">
        <f t="shared" si="10"/>
        <v>99545.28468002117</v>
      </c>
      <c r="AX21" s="241">
        <f t="shared" si="10"/>
        <v>100201.47829312169</v>
      </c>
      <c r="AY21" s="241">
        <f t="shared" si="10"/>
        <v>100706.07787262584</v>
      </c>
      <c r="AZ21" s="241">
        <f t="shared" si="10"/>
        <v>101344.41729225837</v>
      </c>
      <c r="BA21" s="241">
        <f t="shared" si="10"/>
        <v>101974.0126210197</v>
      </c>
      <c r="BB21" s="241">
        <f t="shared" si="10"/>
        <v>102458.1586593355</v>
      </c>
      <c r="BC21" s="241">
        <f t="shared" si="10"/>
        <v>103239.71208207635</v>
      </c>
      <c r="BD21" s="241">
        <f t="shared" si="10"/>
        <v>103843.78726672368</v>
      </c>
      <c r="BE21" s="241">
        <f t="shared" si="10"/>
        <v>104308.30883181737</v>
      </c>
      <c r="BF21" s="241">
        <f t="shared" si="10"/>
        <v>104895.94789913502</v>
      </c>
      <c r="BG21" s="241">
        <f t="shared" si="10"/>
        <v>105475.53737834006</v>
      </c>
      <c r="BH21" s="241">
        <f t="shared" si="10"/>
        <v>105921.22993256961</v>
      </c>
      <c r="BI21" s="241">
        <f t="shared" si="10"/>
        <v>106485.04951934176</v>
      </c>
      <c r="BJ21" s="241">
        <f t="shared" si="10"/>
        <v>136691.93424213506</v>
      </c>
      <c r="BK21" s="242"/>
      <c r="BL21" s="242"/>
      <c r="BM21" s="242"/>
      <c r="BN21" s="242"/>
      <c r="BO21" s="242"/>
      <c r="BP21" s="242"/>
      <c r="BQ21" s="242"/>
      <c r="BR21" s="242"/>
      <c r="BS21" s="242"/>
      <c r="BT21" s="242"/>
    </row>
    <row r="22" spans="1:72" ht="15.75" customHeight="1" x14ac:dyDescent="0.2">
      <c r="A22" s="9"/>
      <c r="B22" s="9"/>
      <c r="C22" s="9"/>
      <c r="D22" s="9"/>
      <c r="E22" s="9"/>
      <c r="F22" s="9"/>
      <c r="G22" s="9"/>
      <c r="H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ht="15.75" customHeight="1" x14ac:dyDescent="0.2">
      <c r="A23" s="3" t="s">
        <v>543</v>
      </c>
      <c r="B23" s="4">
        <f>BJ21</f>
        <v>136691.93424213506</v>
      </c>
      <c r="C23" s="251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  <c r="BN23" s="252"/>
      <c r="BO23" s="252"/>
      <c r="BP23" s="252"/>
      <c r="BQ23" s="252"/>
      <c r="BR23" s="252"/>
      <c r="BS23" s="252"/>
      <c r="BT23" s="252"/>
    </row>
    <row r="24" spans="1:72" ht="15.75" customHeight="1" x14ac:dyDescent="0.2">
      <c r="A24" s="3" t="s">
        <v>67</v>
      </c>
      <c r="B24" s="4">
        <f>FINANCIAMIENTO!B14</f>
        <v>60384.820539666202</v>
      </c>
      <c r="C24" s="251"/>
      <c r="D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BK24" s="252"/>
      <c r="BL24" s="252"/>
      <c r="BM24" s="252"/>
      <c r="BN24" s="252"/>
      <c r="BO24" s="252"/>
      <c r="BP24" s="252"/>
      <c r="BQ24" s="252"/>
      <c r="BR24" s="252"/>
      <c r="BS24" s="252"/>
      <c r="BT24" s="252"/>
    </row>
    <row r="25" spans="1:72" ht="15.75" customHeight="1" x14ac:dyDescent="0.2">
      <c r="A25" s="3" t="s">
        <v>544</v>
      </c>
      <c r="B25" s="4">
        <f>SUM(B23:B24,1)</f>
        <v>197077.75478180125</v>
      </c>
      <c r="C25" s="251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252"/>
      <c r="BT25" s="252"/>
    </row>
    <row r="26" spans="1:72" ht="15.75" customHeight="1" x14ac:dyDescent="0.2">
      <c r="A26" s="3" t="s">
        <v>21</v>
      </c>
      <c r="B26" s="253">
        <f>IRR(C16:BJ16)</f>
        <v>6.4893093361412912E-2</v>
      </c>
      <c r="C26" s="251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2"/>
      <c r="BD26" s="252"/>
      <c r="BE26" s="252"/>
      <c r="BF26" s="252"/>
      <c r="BG26" s="252"/>
      <c r="BH26" s="252"/>
      <c r="BI26" s="252"/>
      <c r="BJ26" s="252"/>
      <c r="BK26" s="252"/>
      <c r="BL26" s="252"/>
      <c r="BM26" s="252"/>
      <c r="BN26" s="252"/>
      <c r="BO26" s="252"/>
      <c r="BP26" s="252"/>
      <c r="BQ26" s="252"/>
      <c r="BR26" s="252"/>
      <c r="BS26" s="252"/>
      <c r="BT26" s="252"/>
    </row>
    <row r="27" spans="1:72" ht="15.75" customHeight="1" x14ac:dyDescent="0.2">
      <c r="F27" s="252"/>
    </row>
    <row r="28" spans="1:72" ht="29.25" x14ac:dyDescent="0.4">
      <c r="A28" s="254" t="s">
        <v>545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</row>
    <row r="29" spans="1:72" ht="15.75" customHeight="1" x14ac:dyDescent="0.4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customHeight="1" x14ac:dyDescent="0.2">
      <c r="A30" s="255" t="s">
        <v>546</v>
      </c>
      <c r="B30" s="255">
        <v>0</v>
      </c>
      <c r="C30" s="256">
        <v>1</v>
      </c>
      <c r="D30" s="256">
        <v>2</v>
      </c>
      <c r="E30" s="256">
        <v>3</v>
      </c>
      <c r="F30" s="256">
        <v>4</v>
      </c>
      <c r="G30" s="256">
        <v>5</v>
      </c>
      <c r="I30" s="8"/>
      <c r="J30" s="8" t="s">
        <v>547</v>
      </c>
      <c r="K30" s="8" t="s">
        <v>548</v>
      </c>
      <c r="L30" s="8" t="s">
        <v>549</v>
      </c>
      <c r="M30" s="8" t="s">
        <v>550</v>
      </c>
      <c r="N30" s="8" t="s">
        <v>551</v>
      </c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</row>
    <row r="31" spans="1:72" ht="15.75" customHeight="1" x14ac:dyDescent="0.2">
      <c r="A31" s="257" t="s">
        <v>552</v>
      </c>
      <c r="B31" s="258"/>
      <c r="C31" s="259">
        <f t="shared" ref="C31:C34" si="11">SUM(C5:N5)</f>
        <v>88013.019499999995</v>
      </c>
      <c r="D31" s="259">
        <f t="shared" ref="D31:D34" si="12">SUM(O5:Z5)</f>
        <v>29283.700000000012</v>
      </c>
      <c r="E31" s="259">
        <f t="shared" ref="E31:E34" si="13">SUM(AA5:AL5)</f>
        <v>27459.700000000008</v>
      </c>
      <c r="F31" s="259">
        <f t="shared" ref="F31:F34" si="14">SUM(AM5:AX5)</f>
        <v>27459.700000000008</v>
      </c>
      <c r="G31" s="259">
        <f t="shared" ref="G31:G34" si="15">SUM(AY5:BJ5)</f>
        <v>27459.700000000008</v>
      </c>
      <c r="I31" s="8" t="s">
        <v>553</v>
      </c>
      <c r="J31" s="260">
        <f>B50</f>
        <v>94967.349750000023</v>
      </c>
      <c r="K31" s="260">
        <f t="shared" ref="K31:N31" si="16">J31-J34</f>
        <v>81693.01856097432</v>
      </c>
      <c r="L31" s="260">
        <f t="shared" si="16"/>
        <v>66029.307757923991</v>
      </c>
      <c r="M31" s="260">
        <f t="shared" si="16"/>
        <v>47546.129010324606</v>
      </c>
      <c r="N31" s="260">
        <f t="shared" si="16"/>
        <v>25735.978088157332</v>
      </c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</row>
    <row r="32" spans="1:72" ht="15.75" customHeight="1" x14ac:dyDescent="0.2">
      <c r="A32" s="257" t="s">
        <v>554</v>
      </c>
      <c r="B32" s="258"/>
      <c r="C32" s="259">
        <f t="shared" si="11"/>
        <v>-27019.200000000001</v>
      </c>
      <c r="D32" s="259">
        <f t="shared" si="12"/>
        <v>-8076.7999999999984</v>
      </c>
      <c r="E32" s="259">
        <f t="shared" si="13"/>
        <v>-7516.7999999999984</v>
      </c>
      <c r="F32" s="259">
        <f t="shared" si="14"/>
        <v>-7516.7999999999984</v>
      </c>
      <c r="G32" s="259">
        <f t="shared" si="15"/>
        <v>-7516.7999999999984</v>
      </c>
      <c r="I32" s="8" t="s">
        <v>555</v>
      </c>
      <c r="J32" s="260">
        <f t="shared" ref="J32:N32" si="17">-PMT($B$48,$B$49,$J$31)</f>
        <v>30368.454144025702</v>
      </c>
      <c r="K32" s="260">
        <f t="shared" si="17"/>
        <v>30368.454144025702</v>
      </c>
      <c r="L32" s="260">
        <f t="shared" si="17"/>
        <v>30368.454144025702</v>
      </c>
      <c r="M32" s="260">
        <f t="shared" si="17"/>
        <v>30368.454144025702</v>
      </c>
      <c r="N32" s="260">
        <f t="shared" si="17"/>
        <v>30368.454144025702</v>
      </c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</row>
    <row r="33" spans="1:72" ht="15.75" customHeight="1" x14ac:dyDescent="0.2">
      <c r="A33" s="257" t="s">
        <v>556</v>
      </c>
      <c r="B33" s="258"/>
      <c r="C33" s="259">
        <f t="shared" si="11"/>
        <v>-14833.3925</v>
      </c>
      <c r="D33" s="259">
        <f t="shared" si="12"/>
        <v>0</v>
      </c>
      <c r="E33" s="259">
        <f t="shared" si="13"/>
        <v>0</v>
      </c>
      <c r="F33" s="259">
        <f t="shared" si="14"/>
        <v>0</v>
      </c>
      <c r="G33" s="259">
        <f t="shared" si="15"/>
        <v>0</v>
      </c>
      <c r="I33" s="8" t="s">
        <v>557</v>
      </c>
      <c r="J33" s="260">
        <f t="shared" ref="J33:N33" si="18">J31*$B$48</f>
        <v>17094.122955000003</v>
      </c>
      <c r="K33" s="260">
        <f t="shared" si="18"/>
        <v>14704.743340975378</v>
      </c>
      <c r="L33" s="260">
        <f t="shared" si="18"/>
        <v>11885.275396426317</v>
      </c>
      <c r="M33" s="260">
        <f t="shared" si="18"/>
        <v>8558.3032218584285</v>
      </c>
      <c r="N33" s="260">
        <f t="shared" si="18"/>
        <v>4632.4760558683192</v>
      </c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</row>
    <row r="34" spans="1:72" ht="15.75" customHeight="1" x14ac:dyDescent="0.2">
      <c r="A34" s="257" t="s">
        <v>558</v>
      </c>
      <c r="B34" s="258"/>
      <c r="C34" s="259">
        <f t="shared" si="11"/>
        <v>-336.27499999999998</v>
      </c>
      <c r="D34" s="259">
        <f t="shared" si="12"/>
        <v>-565.79999999999984</v>
      </c>
      <c r="E34" s="259">
        <f t="shared" si="13"/>
        <v>-565.79999999999984</v>
      </c>
      <c r="F34" s="259">
        <f t="shared" si="14"/>
        <v>-565.79999999999984</v>
      </c>
      <c r="G34" s="259">
        <f t="shared" si="15"/>
        <v>-565.79999999999984</v>
      </c>
      <c r="I34" s="8" t="s">
        <v>559</v>
      </c>
      <c r="J34" s="260">
        <f t="shared" ref="J34:N34" si="19">J32-J33</f>
        <v>13274.331189025699</v>
      </c>
      <c r="K34" s="260">
        <f t="shared" si="19"/>
        <v>15663.710803050324</v>
      </c>
      <c r="L34" s="260">
        <f t="shared" si="19"/>
        <v>18483.178747599384</v>
      </c>
      <c r="M34" s="260">
        <f t="shared" si="19"/>
        <v>21810.150922167275</v>
      </c>
      <c r="N34" s="260">
        <f t="shared" si="19"/>
        <v>25735.978088157382</v>
      </c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</row>
    <row r="35" spans="1:72" ht="15.75" customHeight="1" x14ac:dyDescent="0.2">
      <c r="A35" s="257" t="s">
        <v>560</v>
      </c>
      <c r="B35" s="258"/>
      <c r="C35" s="259">
        <f t="shared" ref="C35:D35" si="20">SUM(N10:Y10)</f>
        <v>-1300.856476388889</v>
      </c>
      <c r="D35" s="259">
        <f t="shared" si="20"/>
        <v>-1300.856476388889</v>
      </c>
      <c r="E35" s="259">
        <f>SUM(AA10:AL10)</f>
        <v>-1300.856476388889</v>
      </c>
      <c r="F35" s="259">
        <f>SUM(AM10:AX10)</f>
        <v>-1300.856476388889</v>
      </c>
      <c r="G35" s="259">
        <f>SUM(AY10:BJ10)</f>
        <v>-1300.856476388889</v>
      </c>
      <c r="I35" s="8"/>
      <c r="J35" s="261"/>
      <c r="K35" s="261"/>
      <c r="L35" s="261"/>
      <c r="M35" s="261"/>
      <c r="N35" s="261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</row>
    <row r="36" spans="1:72" ht="15.75" customHeight="1" x14ac:dyDescent="0.2">
      <c r="A36" s="262" t="s">
        <v>561</v>
      </c>
      <c r="B36" s="263"/>
      <c r="C36" s="259">
        <f t="shared" ref="C36:G36" si="21">SUM(C31:C35)</f>
        <v>44523.295523611108</v>
      </c>
      <c r="D36" s="259">
        <f t="shared" si="21"/>
        <v>19340.243523611123</v>
      </c>
      <c r="E36" s="259">
        <f t="shared" si="21"/>
        <v>18076.24352361112</v>
      </c>
      <c r="F36" s="259">
        <f t="shared" si="21"/>
        <v>18076.24352361112</v>
      </c>
      <c r="G36" s="259">
        <f t="shared" si="21"/>
        <v>18076.24352361112</v>
      </c>
      <c r="I36" s="8" t="s">
        <v>557</v>
      </c>
      <c r="J36" s="260">
        <f t="shared" ref="J36:N36" si="22">-J33</f>
        <v>-17094.122955000003</v>
      </c>
      <c r="K36" s="260">
        <f t="shared" si="22"/>
        <v>-14704.743340975378</v>
      </c>
      <c r="L36" s="260">
        <f t="shared" si="22"/>
        <v>-11885.275396426317</v>
      </c>
      <c r="M36" s="260">
        <f t="shared" si="22"/>
        <v>-8558.3032218584285</v>
      </c>
      <c r="N36" s="260">
        <f t="shared" si="22"/>
        <v>-4632.4760558683192</v>
      </c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</row>
    <row r="37" spans="1:72" ht="15.75" customHeight="1" x14ac:dyDescent="0.2">
      <c r="A37" s="257" t="s">
        <v>562</v>
      </c>
      <c r="B37" s="258"/>
      <c r="C37" s="264">
        <f t="shared" ref="C37:G37" si="23">-C36*0.27</f>
        <v>-12021.289791375</v>
      </c>
      <c r="D37" s="264">
        <f t="shared" si="23"/>
        <v>-5221.865751375004</v>
      </c>
      <c r="E37" s="264">
        <f t="shared" si="23"/>
        <v>-4880.5857513750025</v>
      </c>
      <c r="F37" s="264">
        <f t="shared" si="23"/>
        <v>-4880.5857513750025</v>
      </c>
      <c r="G37" s="264">
        <f t="shared" si="23"/>
        <v>-4880.5857513750025</v>
      </c>
      <c r="I37" s="8" t="s">
        <v>563</v>
      </c>
      <c r="J37" s="260">
        <f t="shared" ref="J37:N37" si="24">J36*-0.27</f>
        <v>4615.4131978500009</v>
      </c>
      <c r="K37" s="260">
        <f t="shared" si="24"/>
        <v>3970.2807020633522</v>
      </c>
      <c r="L37" s="260">
        <f t="shared" si="24"/>
        <v>3209.0243570351058</v>
      </c>
      <c r="M37" s="260">
        <f t="shared" si="24"/>
        <v>2310.7418699017758</v>
      </c>
      <c r="N37" s="260">
        <f t="shared" si="24"/>
        <v>1250.7685350844463</v>
      </c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</row>
    <row r="38" spans="1:72" ht="15.75" customHeight="1" x14ac:dyDescent="0.2">
      <c r="A38" s="262" t="s">
        <v>564</v>
      </c>
      <c r="B38" s="263"/>
      <c r="C38" s="265">
        <f t="shared" ref="C38:G38" si="25">C36+C37</f>
        <v>32502.00573223611</v>
      </c>
      <c r="D38" s="265">
        <f t="shared" si="25"/>
        <v>14118.377772236119</v>
      </c>
      <c r="E38" s="265">
        <f t="shared" si="25"/>
        <v>13195.657772236118</v>
      </c>
      <c r="F38" s="265">
        <f t="shared" si="25"/>
        <v>13195.657772236118</v>
      </c>
      <c r="G38" s="265">
        <f t="shared" si="25"/>
        <v>13195.657772236118</v>
      </c>
      <c r="I38" s="8" t="s">
        <v>559</v>
      </c>
      <c r="J38" s="260">
        <f t="shared" ref="J38:N38" si="26">-J34</f>
        <v>-13274.331189025699</v>
      </c>
      <c r="K38" s="260">
        <f t="shared" si="26"/>
        <v>-15663.710803050324</v>
      </c>
      <c r="L38" s="260">
        <f t="shared" si="26"/>
        <v>-18483.178747599384</v>
      </c>
      <c r="M38" s="260">
        <f t="shared" si="26"/>
        <v>-21810.150922167275</v>
      </c>
      <c r="N38" s="260">
        <f t="shared" si="26"/>
        <v>-25735.978088157382</v>
      </c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</row>
    <row r="39" spans="1:72" ht="15.75" customHeight="1" x14ac:dyDescent="0.2">
      <c r="A39" s="257" t="s">
        <v>565</v>
      </c>
      <c r="B39" s="259">
        <f>$B$16</f>
        <v>81400.58550000003</v>
      </c>
      <c r="C39" s="258"/>
      <c r="D39" s="258"/>
      <c r="E39" s="259">
        <f t="shared" ref="E39:G39" si="27">-$B$16</f>
        <v>-81400.58550000003</v>
      </c>
      <c r="F39" s="259">
        <f t="shared" si="27"/>
        <v>-81400.58550000003</v>
      </c>
      <c r="G39" s="259">
        <f t="shared" si="27"/>
        <v>-81400.58550000003</v>
      </c>
      <c r="I39" s="8" t="s">
        <v>566</v>
      </c>
      <c r="J39" s="260">
        <f t="shared" ref="J39:N39" si="28">SUM(J36:J38)</f>
        <v>-25753.040946175701</v>
      </c>
      <c r="K39" s="260">
        <f t="shared" si="28"/>
        <v>-26398.17344196235</v>
      </c>
      <c r="L39" s="260">
        <f t="shared" si="28"/>
        <v>-27159.429786990597</v>
      </c>
      <c r="M39" s="260">
        <f t="shared" si="28"/>
        <v>-28057.712274123929</v>
      </c>
      <c r="N39" s="260">
        <f t="shared" si="28"/>
        <v>-29117.685608941254</v>
      </c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</row>
    <row r="40" spans="1:72" ht="15.75" customHeight="1" x14ac:dyDescent="0.2">
      <c r="A40" s="257" t="s">
        <v>560</v>
      </c>
      <c r="B40" s="258"/>
      <c r="C40" s="259">
        <f>SUM(C15:N15)</f>
        <v>0</v>
      </c>
      <c r="D40" s="259">
        <f>SUM(O15:Z15)</f>
        <v>1300.856476388889</v>
      </c>
      <c r="E40" s="259">
        <f t="shared" ref="E40:F40" si="29">SUM(AA15:AK15)</f>
        <v>1300.856476388889</v>
      </c>
      <c r="F40" s="259">
        <f t="shared" si="29"/>
        <v>1300.856476388889</v>
      </c>
      <c r="G40" s="259">
        <f>SUM(AC15:BU15)</f>
        <v>3902.5694291666669</v>
      </c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</row>
    <row r="41" spans="1:72" ht="15.75" customHeight="1" x14ac:dyDescent="0.2">
      <c r="A41" s="257" t="s">
        <v>567</v>
      </c>
      <c r="B41" s="259">
        <f>SUM(B39:B40)</f>
        <v>81400.58550000003</v>
      </c>
      <c r="C41" s="259">
        <f t="shared" ref="C41:G41" si="30">SUM(C38:C40)</f>
        <v>32502.00573223611</v>
      </c>
      <c r="D41" s="259">
        <f t="shared" si="30"/>
        <v>15419.234248625009</v>
      </c>
      <c r="E41" s="259">
        <f t="shared" si="30"/>
        <v>-66904.071251375033</v>
      </c>
      <c r="F41" s="259">
        <f t="shared" si="30"/>
        <v>-66904.071251375033</v>
      </c>
      <c r="G41" s="259">
        <f t="shared" si="30"/>
        <v>-64302.358298597253</v>
      </c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</row>
    <row r="42" spans="1:72" ht="15.75" customHeight="1" x14ac:dyDescent="0.2">
      <c r="A42" s="3" t="s">
        <v>568</v>
      </c>
      <c r="B42" s="258"/>
      <c r="C42" s="266">
        <v>0.18</v>
      </c>
      <c r="D42" s="266">
        <v>0.18</v>
      </c>
      <c r="E42" s="266">
        <v>0.18</v>
      </c>
      <c r="F42" s="266">
        <v>0.18</v>
      </c>
      <c r="G42" s="266">
        <v>0.18</v>
      </c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</row>
    <row r="43" spans="1:72" ht="15.75" customHeight="1" x14ac:dyDescent="0.2">
      <c r="A43" s="257" t="s">
        <v>569</v>
      </c>
      <c r="B43" s="258"/>
      <c r="C43" s="259">
        <f t="shared" ref="C43:G43" si="31">C42+1</f>
        <v>1.18</v>
      </c>
      <c r="D43" s="259">
        <f t="shared" si="31"/>
        <v>1.18</v>
      </c>
      <c r="E43" s="259">
        <f t="shared" si="31"/>
        <v>1.18</v>
      </c>
      <c r="F43" s="259">
        <f t="shared" si="31"/>
        <v>1.18</v>
      </c>
      <c r="G43" s="259">
        <f t="shared" si="31"/>
        <v>1.18</v>
      </c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09"/>
      <c r="BO43" s="109"/>
      <c r="BP43" s="109"/>
      <c r="BQ43" s="109"/>
      <c r="BR43" s="109"/>
      <c r="BS43" s="109"/>
      <c r="BT43" s="109"/>
    </row>
    <row r="44" spans="1:72" ht="15.75" customHeight="1" x14ac:dyDescent="0.2">
      <c r="A44" s="257" t="s">
        <v>570</v>
      </c>
      <c r="B44" s="258"/>
      <c r="C44" s="259">
        <f>C43</f>
        <v>1.18</v>
      </c>
      <c r="D44" s="259">
        <f t="shared" ref="D44:G44" si="32">C44*D43</f>
        <v>1.3923999999999999</v>
      </c>
      <c r="E44" s="259">
        <f t="shared" si="32"/>
        <v>1.6430319999999998</v>
      </c>
      <c r="F44" s="259">
        <f t="shared" si="32"/>
        <v>1.9387777599999998</v>
      </c>
      <c r="G44" s="259">
        <f t="shared" si="32"/>
        <v>2.2877577567999996</v>
      </c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</row>
    <row r="45" spans="1:72" ht="15.75" customHeight="1" x14ac:dyDescent="0.2">
      <c r="A45" s="257" t="s">
        <v>571</v>
      </c>
      <c r="B45" s="258"/>
      <c r="C45" s="259">
        <f t="shared" ref="C45:G45" si="33">C41/C44</f>
        <v>27544.072654437383</v>
      </c>
      <c r="D45" s="259">
        <f t="shared" si="33"/>
        <v>11073.853956208712</v>
      </c>
      <c r="E45" s="259">
        <f t="shared" si="33"/>
        <v>-40719.883271521823</v>
      </c>
      <c r="F45" s="259">
        <f t="shared" si="33"/>
        <v>-34508.375653832052</v>
      </c>
      <c r="G45" s="259">
        <f t="shared" si="33"/>
        <v>-28107.153437669971</v>
      </c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</row>
    <row r="46" spans="1:72" ht="15.75" customHeight="1" x14ac:dyDescent="0.2">
      <c r="A46" s="257" t="s">
        <v>572</v>
      </c>
      <c r="B46" s="259">
        <f>B21</f>
        <v>81400.58550000003</v>
      </c>
      <c r="C46" s="259">
        <f t="shared" ref="C46:G46" si="34">B46+C45</f>
        <v>108944.65815443741</v>
      </c>
      <c r="D46" s="259">
        <f t="shared" si="34"/>
        <v>120018.51211064612</v>
      </c>
      <c r="E46" s="259">
        <f t="shared" si="34"/>
        <v>79298.628839124285</v>
      </c>
      <c r="F46" s="259">
        <f t="shared" si="34"/>
        <v>44790.253185292233</v>
      </c>
      <c r="G46" s="259">
        <f t="shared" si="34"/>
        <v>16683.099747622262</v>
      </c>
    </row>
    <row r="47" spans="1:72" ht="15.75" customHeight="1" x14ac:dyDescent="0.2">
      <c r="A47" s="267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</row>
    <row r="48" spans="1:72" ht="15.75" customHeight="1" x14ac:dyDescent="0.2">
      <c r="A48" s="3" t="s">
        <v>573</v>
      </c>
      <c r="B48" s="266">
        <v>0.18</v>
      </c>
    </row>
    <row r="49" spans="1:72" ht="15.75" customHeight="1" x14ac:dyDescent="0.2">
      <c r="A49" s="3" t="s">
        <v>574</v>
      </c>
      <c r="B49" s="258">
        <v>5</v>
      </c>
    </row>
    <row r="50" spans="1:72" ht="15.75" customHeight="1" x14ac:dyDescent="0.2">
      <c r="A50" s="3" t="s">
        <v>575</v>
      </c>
      <c r="B50" s="258">
        <f>RESUMEN!B8*0.7</f>
        <v>94967.349750000023</v>
      </c>
    </row>
    <row r="51" spans="1:72" ht="15.75" customHeight="1" x14ac:dyDescent="0.2">
      <c r="A51" s="267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</row>
    <row r="52" spans="1:72" ht="15.75" customHeight="1" x14ac:dyDescent="0.2">
      <c r="A52" s="3" t="s">
        <v>576</v>
      </c>
      <c r="B52" s="259">
        <f>E46</f>
        <v>79298.628839124285</v>
      </c>
    </row>
    <row r="53" spans="1:72" ht="15.75" customHeight="1" x14ac:dyDescent="0.2">
      <c r="A53" s="3" t="s">
        <v>577</v>
      </c>
      <c r="B53" s="259">
        <f t="array" ref="B53">NPV(B48,J39:L39)+B50</f>
        <v>37653.914185774105</v>
      </c>
    </row>
    <row r="54" spans="1:72" ht="15.75" customHeight="1" x14ac:dyDescent="0.2">
      <c r="A54" s="3" t="s">
        <v>578</v>
      </c>
      <c r="B54" s="259">
        <f>SUM(B52:B53)</f>
        <v>116952.54302489839</v>
      </c>
    </row>
    <row r="55" spans="1:72" ht="15.75" customHeight="1" x14ac:dyDescent="0.2"/>
    <row r="56" spans="1:72" ht="15.75" customHeight="1" x14ac:dyDescent="0.2"/>
    <row r="57" spans="1:72" ht="15.75" customHeight="1" x14ac:dyDescent="0.2"/>
    <row r="58" spans="1:72" ht="15.75" customHeight="1" x14ac:dyDescent="0.2"/>
    <row r="59" spans="1:72" ht="15.75" customHeight="1" x14ac:dyDescent="0.2"/>
    <row r="60" spans="1:72" ht="15.75" customHeight="1" x14ac:dyDescent="0.2"/>
    <row r="61" spans="1:72" ht="15.75" customHeight="1" x14ac:dyDescent="0.2"/>
    <row r="62" spans="1:72" ht="15.75" customHeight="1" x14ac:dyDescent="0.2"/>
    <row r="63" spans="1:72" ht="15.75" customHeight="1" x14ac:dyDescent="0.2"/>
    <row r="64" spans="1:7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conditionalFormatting sqref="B23:B26">
    <cfRule type="cellIs" dxfId="3" priority="4" operator="lessThan">
      <formula>0</formula>
    </cfRule>
  </conditionalFormatting>
  <conditionalFormatting sqref="B5:BT21">
    <cfRule type="cellIs" dxfId="2" priority="1" operator="lessThan">
      <formula>0</formula>
    </cfRule>
  </conditionalFormatting>
  <conditionalFormatting sqref="F31:G46 B31:E54">
    <cfRule type="cellIs" dxfId="1" priority="2" operator="lessThan">
      <formula>0</formula>
    </cfRule>
  </conditionalFormatting>
  <conditionalFormatting sqref="I31:N39"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1021"/>
  <sheetViews>
    <sheetView tabSelected="1" workbookViewId="0">
      <selection activeCell="B67" sqref="B67:B73"/>
    </sheetView>
  </sheetViews>
  <sheetFormatPr baseColWidth="10" defaultColWidth="12.7109375" defaultRowHeight="15" customHeight="1" x14ac:dyDescent="0.2"/>
  <cols>
    <col min="1" max="1" width="71.140625" customWidth="1"/>
    <col min="2" max="2" width="33.7109375" customWidth="1"/>
    <col min="3" max="3" width="14.28515625" customWidth="1"/>
    <col min="4" max="4" width="12.7109375" customWidth="1"/>
    <col min="5" max="5" width="10.7109375" customWidth="1"/>
    <col min="6" max="6" width="10.28515625" customWidth="1"/>
    <col min="7" max="7" width="9.42578125" customWidth="1"/>
    <col min="8" max="8" width="15.28515625" customWidth="1"/>
    <col min="9" max="9" width="19.28515625" customWidth="1"/>
    <col min="10" max="10" width="18.140625" customWidth="1"/>
  </cols>
  <sheetData>
    <row r="1" spans="1:21" ht="15.75" customHeight="1" x14ac:dyDescent="0.2">
      <c r="A1" s="268" t="s">
        <v>32</v>
      </c>
      <c r="B1" s="269"/>
      <c r="C1" s="12"/>
      <c r="D1" s="270"/>
      <c r="E1" s="27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75" customHeight="1" x14ac:dyDescent="0.2">
      <c r="A2" s="272" t="s">
        <v>5</v>
      </c>
      <c r="B2" s="273">
        <f>PARÁMETROS!$B2</f>
        <v>900</v>
      </c>
      <c r="C2" s="12"/>
      <c r="D2" s="12"/>
      <c r="E2" s="274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5.75" customHeight="1" x14ac:dyDescent="0.2">
      <c r="A3" s="275" t="s">
        <v>579</v>
      </c>
      <c r="B3" s="276">
        <f>PARÁMETROS!$B3</f>
        <v>800</v>
      </c>
      <c r="C3" s="12"/>
      <c r="D3" s="12"/>
      <c r="E3" s="274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5.75" customHeight="1" x14ac:dyDescent="0.2">
      <c r="A4" s="272" t="s">
        <v>3</v>
      </c>
      <c r="B4" s="273">
        <f>PARÁMETROS!$B4</f>
        <v>36000</v>
      </c>
      <c r="C4" s="39"/>
      <c r="D4" s="12"/>
      <c r="E4" s="274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5.75" customHeight="1" x14ac:dyDescent="0.2">
      <c r="A5" s="275" t="s">
        <v>198</v>
      </c>
      <c r="B5" s="277">
        <f>PARÁMETROS!$B5</f>
        <v>160</v>
      </c>
      <c r="C5" s="12"/>
      <c r="D5" s="12"/>
      <c r="E5" s="274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5.75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278"/>
      <c r="K6" s="278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15.75" customHeight="1" x14ac:dyDescent="0.2">
      <c r="A7" s="268" t="s">
        <v>580</v>
      </c>
      <c r="B7" s="268" t="s">
        <v>581</v>
      </c>
      <c r="C7" s="268" t="s">
        <v>582</v>
      </c>
      <c r="D7" s="268" t="s">
        <v>583</v>
      </c>
      <c r="E7" s="268" t="s">
        <v>584</v>
      </c>
      <c r="F7" s="268" t="s">
        <v>585</v>
      </c>
      <c r="G7" s="268" t="s">
        <v>586</v>
      </c>
      <c r="H7" s="268" t="s">
        <v>587</v>
      </c>
      <c r="I7" s="268" t="s">
        <v>588</v>
      </c>
      <c r="J7" s="279" t="s">
        <v>589</v>
      </c>
      <c r="K7" s="278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5.75" customHeight="1" x14ac:dyDescent="0.2">
      <c r="A8" s="280" t="s">
        <v>590</v>
      </c>
      <c r="B8" s="109"/>
      <c r="C8" s="109"/>
      <c r="D8" s="109"/>
      <c r="E8" s="109"/>
      <c r="F8" s="109"/>
      <c r="G8" s="109"/>
      <c r="H8" s="109"/>
      <c r="I8" s="109"/>
      <c r="J8" s="281">
        <f>SUM(I9:I48)</f>
        <v>1300.856476388889</v>
      </c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</row>
    <row r="9" spans="1:21" ht="15.75" customHeight="1" x14ac:dyDescent="0.2">
      <c r="A9" s="272" t="s">
        <v>604</v>
      </c>
      <c r="B9" s="272" t="s">
        <v>604</v>
      </c>
      <c r="C9" s="282">
        <v>5671</v>
      </c>
      <c r="D9" s="283">
        <f t="shared" ref="D9:D26" si="0">C9*$B$2</f>
        <v>5103900</v>
      </c>
      <c r="E9" s="273">
        <f t="shared" ref="E9:E26" si="1">D9/$B$4</f>
        <v>141.77500000000001</v>
      </c>
      <c r="F9" s="272">
        <v>4</v>
      </c>
      <c r="G9" s="273">
        <f t="shared" ref="G9:G26" si="2">F9*E9</f>
        <v>567.1</v>
      </c>
      <c r="H9" s="284">
        <v>10</v>
      </c>
      <c r="I9" s="273">
        <f t="shared" ref="I9:I26" si="3">(G9/H9)</f>
        <v>56.71</v>
      </c>
      <c r="J9" s="278"/>
      <c r="K9" s="278"/>
      <c r="L9" s="285"/>
      <c r="M9" s="285"/>
      <c r="N9" s="285"/>
      <c r="O9" s="285"/>
      <c r="P9" s="285"/>
      <c r="Q9" s="285"/>
      <c r="R9" s="285"/>
      <c r="S9" s="285"/>
      <c r="T9" s="285"/>
      <c r="U9" s="285"/>
    </row>
    <row r="10" spans="1:21" ht="15.75" customHeight="1" x14ac:dyDescent="0.2">
      <c r="A10" s="275" t="s">
        <v>605</v>
      </c>
      <c r="B10" s="275" t="s">
        <v>605</v>
      </c>
      <c r="C10" s="286">
        <v>7640</v>
      </c>
      <c r="D10" s="287">
        <f t="shared" si="0"/>
        <v>6876000</v>
      </c>
      <c r="E10" s="276">
        <f t="shared" si="1"/>
        <v>191</v>
      </c>
      <c r="F10" s="275">
        <v>50</v>
      </c>
      <c r="G10" s="276">
        <f t="shared" si="2"/>
        <v>9550</v>
      </c>
      <c r="H10" s="288">
        <v>10</v>
      </c>
      <c r="I10" s="276">
        <f t="shared" si="3"/>
        <v>955</v>
      </c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</row>
    <row r="11" spans="1:21" ht="15.75" customHeight="1" x14ac:dyDescent="0.2">
      <c r="A11" s="272" t="s">
        <v>606</v>
      </c>
      <c r="B11" s="272" t="s">
        <v>606</v>
      </c>
      <c r="C11" s="282">
        <v>1100.79</v>
      </c>
      <c r="D11" s="283">
        <f t="shared" si="0"/>
        <v>990711</v>
      </c>
      <c r="E11" s="273">
        <f t="shared" si="1"/>
        <v>27.519749999999998</v>
      </c>
      <c r="F11" s="272">
        <v>50</v>
      </c>
      <c r="G11" s="273">
        <f t="shared" si="2"/>
        <v>1375.9875</v>
      </c>
      <c r="H11" s="284">
        <v>10</v>
      </c>
      <c r="I11" s="273">
        <f t="shared" si="3"/>
        <v>137.59875</v>
      </c>
      <c r="J11" s="278"/>
      <c r="K11" s="278"/>
      <c r="L11" s="285"/>
      <c r="M11" s="285"/>
      <c r="N11" s="285"/>
      <c r="O11" s="285"/>
      <c r="P11" s="285"/>
      <c r="Q11" s="285"/>
      <c r="R11" s="285"/>
      <c r="S11" s="285"/>
      <c r="T11" s="285"/>
      <c r="U11" s="285"/>
    </row>
    <row r="12" spans="1:21" ht="15.75" customHeight="1" x14ac:dyDescent="0.2">
      <c r="A12" s="272" t="s">
        <v>607</v>
      </c>
      <c r="B12" s="272" t="s">
        <v>607</v>
      </c>
      <c r="C12" s="286">
        <v>7293.62</v>
      </c>
      <c r="D12" s="289">
        <f t="shared" si="0"/>
        <v>6564258</v>
      </c>
      <c r="E12" s="276">
        <f t="shared" si="1"/>
        <v>182.34049999999999</v>
      </c>
      <c r="F12" s="275">
        <v>2</v>
      </c>
      <c r="G12" s="276">
        <f t="shared" si="2"/>
        <v>364.68099999999998</v>
      </c>
      <c r="H12" s="288">
        <v>10</v>
      </c>
      <c r="I12" s="276">
        <f t="shared" si="3"/>
        <v>36.4681</v>
      </c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</row>
    <row r="13" spans="1:21" ht="15.75" customHeight="1" x14ac:dyDescent="0.2">
      <c r="A13" s="275" t="s">
        <v>608</v>
      </c>
      <c r="B13" s="275" t="s">
        <v>608</v>
      </c>
      <c r="C13" s="282">
        <v>887.95</v>
      </c>
      <c r="D13" s="283">
        <f t="shared" si="0"/>
        <v>799155</v>
      </c>
      <c r="E13" s="273">
        <f t="shared" si="1"/>
        <v>22.19875</v>
      </c>
      <c r="F13" s="272">
        <v>5</v>
      </c>
      <c r="G13" s="273">
        <f t="shared" si="2"/>
        <v>110.99375000000001</v>
      </c>
      <c r="H13" s="284">
        <v>10</v>
      </c>
      <c r="I13" s="273">
        <f t="shared" si="3"/>
        <v>11.099375</v>
      </c>
      <c r="J13" s="278"/>
      <c r="K13" s="278"/>
      <c r="L13" s="285"/>
      <c r="M13" s="285"/>
      <c r="N13" s="285"/>
      <c r="O13" s="285"/>
      <c r="P13" s="285"/>
      <c r="Q13" s="285"/>
      <c r="R13" s="285"/>
      <c r="S13" s="285"/>
      <c r="T13" s="285"/>
      <c r="U13" s="285"/>
    </row>
    <row r="14" spans="1:21" ht="15.75" customHeight="1" x14ac:dyDescent="0.2">
      <c r="A14" s="272" t="s">
        <v>609</v>
      </c>
      <c r="B14" s="272" t="s">
        <v>609</v>
      </c>
      <c r="C14" s="286">
        <v>3923.99</v>
      </c>
      <c r="D14" s="289">
        <f t="shared" si="0"/>
        <v>3531591</v>
      </c>
      <c r="E14" s="276">
        <f t="shared" si="1"/>
        <v>98.09975</v>
      </c>
      <c r="F14" s="275">
        <v>2</v>
      </c>
      <c r="G14" s="276">
        <f t="shared" si="2"/>
        <v>196.1995</v>
      </c>
      <c r="H14" s="288">
        <v>10</v>
      </c>
      <c r="I14" s="276">
        <f t="shared" si="3"/>
        <v>19.619949999999999</v>
      </c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</row>
    <row r="15" spans="1:21" ht="15.75" customHeight="1" x14ac:dyDescent="0.2">
      <c r="A15" s="272" t="s">
        <v>610</v>
      </c>
      <c r="B15" s="272" t="s">
        <v>610</v>
      </c>
      <c r="C15" s="282">
        <v>1110.99</v>
      </c>
      <c r="D15" s="283">
        <f t="shared" si="0"/>
        <v>999891</v>
      </c>
      <c r="E15" s="273">
        <f t="shared" si="1"/>
        <v>27.774750000000001</v>
      </c>
      <c r="F15" s="272">
        <v>4</v>
      </c>
      <c r="G15" s="273">
        <f t="shared" si="2"/>
        <v>111.099</v>
      </c>
      <c r="H15" s="284">
        <v>10</v>
      </c>
      <c r="I15" s="273">
        <f t="shared" si="3"/>
        <v>11.1099</v>
      </c>
      <c r="J15" s="278"/>
      <c r="K15" s="278"/>
      <c r="L15" s="285"/>
      <c r="M15" s="285"/>
      <c r="N15" s="285"/>
      <c r="O15" s="285"/>
      <c r="P15" s="285"/>
      <c r="Q15" s="285"/>
      <c r="R15" s="285"/>
      <c r="S15" s="285"/>
      <c r="T15" s="285"/>
      <c r="U15" s="285"/>
    </row>
    <row r="16" spans="1:21" ht="15.75" customHeight="1" x14ac:dyDescent="0.2">
      <c r="A16" s="275" t="s">
        <v>611</v>
      </c>
      <c r="B16" s="275" t="s">
        <v>611</v>
      </c>
      <c r="C16" s="286">
        <v>5538</v>
      </c>
      <c r="D16" s="289">
        <f t="shared" si="0"/>
        <v>4984200</v>
      </c>
      <c r="E16" s="276">
        <f t="shared" si="1"/>
        <v>138.44999999999999</v>
      </c>
      <c r="F16" s="275">
        <v>1</v>
      </c>
      <c r="G16" s="276">
        <f t="shared" si="2"/>
        <v>138.44999999999999</v>
      </c>
      <c r="H16" s="288">
        <v>20</v>
      </c>
      <c r="I16" s="276">
        <f t="shared" si="3"/>
        <v>6.9224999999999994</v>
      </c>
      <c r="J16" s="278"/>
      <c r="K16" s="278"/>
      <c r="L16" s="278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1:21" ht="15.75" customHeight="1" x14ac:dyDescent="0.2">
      <c r="A17" s="272" t="s">
        <v>612</v>
      </c>
      <c r="B17" s="272" t="s">
        <v>612</v>
      </c>
      <c r="C17" s="282">
        <v>1272</v>
      </c>
      <c r="D17" s="283">
        <f t="shared" si="0"/>
        <v>1144800</v>
      </c>
      <c r="E17" s="273">
        <f t="shared" si="1"/>
        <v>31.8</v>
      </c>
      <c r="F17" s="272">
        <v>1</v>
      </c>
      <c r="G17" s="273">
        <f t="shared" si="2"/>
        <v>31.8</v>
      </c>
      <c r="H17" s="284">
        <v>20</v>
      </c>
      <c r="I17" s="273">
        <f t="shared" si="3"/>
        <v>1.59</v>
      </c>
      <c r="J17" s="278"/>
      <c r="K17" s="278"/>
      <c r="L17" s="285"/>
      <c r="M17" s="285"/>
      <c r="N17" s="285"/>
      <c r="O17" s="285"/>
      <c r="P17" s="285"/>
      <c r="Q17" s="285"/>
      <c r="R17" s="285"/>
      <c r="S17" s="285"/>
      <c r="T17" s="285"/>
      <c r="U17" s="285"/>
    </row>
    <row r="18" spans="1:21" ht="15.75" customHeight="1" x14ac:dyDescent="0.2">
      <c r="A18" s="272" t="s">
        <v>613</v>
      </c>
      <c r="B18" s="272" t="s">
        <v>613</v>
      </c>
      <c r="C18" s="286">
        <v>324</v>
      </c>
      <c r="D18" s="289">
        <f t="shared" si="0"/>
        <v>291600</v>
      </c>
      <c r="E18" s="276">
        <f t="shared" si="1"/>
        <v>8.1</v>
      </c>
      <c r="F18" s="275">
        <v>10</v>
      </c>
      <c r="G18" s="276">
        <f t="shared" si="2"/>
        <v>81</v>
      </c>
      <c r="H18" s="288">
        <v>20</v>
      </c>
      <c r="I18" s="276">
        <f t="shared" si="3"/>
        <v>4.05</v>
      </c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1:21" ht="15.75" customHeight="1" x14ac:dyDescent="0.2">
      <c r="A19" s="275" t="s">
        <v>614</v>
      </c>
      <c r="B19" s="275" t="s">
        <v>614</v>
      </c>
      <c r="C19" s="282">
        <v>8585</v>
      </c>
      <c r="D19" s="283">
        <f t="shared" si="0"/>
        <v>7726500</v>
      </c>
      <c r="E19" s="273">
        <f t="shared" si="1"/>
        <v>214.625</v>
      </c>
      <c r="F19" s="272">
        <v>1</v>
      </c>
      <c r="G19" s="273">
        <f t="shared" si="2"/>
        <v>214.625</v>
      </c>
      <c r="H19" s="284">
        <v>10</v>
      </c>
      <c r="I19" s="273">
        <f t="shared" si="3"/>
        <v>21.462499999999999</v>
      </c>
      <c r="J19" s="278"/>
      <c r="K19" s="278"/>
      <c r="L19" s="285"/>
      <c r="M19" s="285"/>
      <c r="N19" s="285"/>
      <c r="O19" s="285"/>
      <c r="P19" s="285"/>
      <c r="Q19" s="285"/>
      <c r="R19" s="285"/>
      <c r="S19" s="285"/>
      <c r="T19" s="285"/>
      <c r="U19" s="285"/>
    </row>
    <row r="20" spans="1:21" ht="15.75" customHeight="1" x14ac:dyDescent="0.2">
      <c r="A20" s="272" t="s">
        <v>615</v>
      </c>
      <c r="B20" s="272" t="s">
        <v>615</v>
      </c>
      <c r="C20" s="286">
        <v>495</v>
      </c>
      <c r="D20" s="289">
        <f t="shared" si="0"/>
        <v>445500</v>
      </c>
      <c r="E20" s="276">
        <f t="shared" si="1"/>
        <v>12.375</v>
      </c>
      <c r="F20" s="275">
        <v>1</v>
      </c>
      <c r="G20" s="276">
        <f t="shared" si="2"/>
        <v>12.375</v>
      </c>
      <c r="H20" s="288">
        <v>20</v>
      </c>
      <c r="I20" s="276">
        <f t="shared" si="3"/>
        <v>0.61875000000000002</v>
      </c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</row>
    <row r="21" spans="1:21" ht="15.75" customHeight="1" x14ac:dyDescent="0.2">
      <c r="A21" s="272" t="s">
        <v>616</v>
      </c>
      <c r="B21" s="272" t="s">
        <v>616</v>
      </c>
      <c r="C21" s="282">
        <v>1599.99</v>
      </c>
      <c r="D21" s="283">
        <f t="shared" si="0"/>
        <v>1439991</v>
      </c>
      <c r="E21" s="273">
        <f t="shared" si="1"/>
        <v>39.999749999999999</v>
      </c>
      <c r="F21" s="272">
        <v>1</v>
      </c>
      <c r="G21" s="273">
        <f t="shared" si="2"/>
        <v>39.999749999999999</v>
      </c>
      <c r="H21" s="284">
        <v>10</v>
      </c>
      <c r="I21" s="273">
        <f t="shared" si="3"/>
        <v>3.9999750000000001</v>
      </c>
      <c r="J21" s="278"/>
      <c r="K21" s="278"/>
      <c r="L21" s="285"/>
      <c r="M21" s="285"/>
      <c r="N21" s="285"/>
      <c r="O21" s="285"/>
      <c r="P21" s="285"/>
      <c r="Q21" s="285"/>
      <c r="R21" s="285"/>
      <c r="S21" s="285"/>
      <c r="T21" s="285"/>
      <c r="U21" s="285"/>
    </row>
    <row r="22" spans="1:21" ht="15.75" customHeight="1" x14ac:dyDescent="0.2">
      <c r="A22" s="275" t="s">
        <v>617</v>
      </c>
      <c r="B22" s="275" t="s">
        <v>617</v>
      </c>
      <c r="C22" s="286">
        <v>75.2</v>
      </c>
      <c r="D22" s="289">
        <f t="shared" si="0"/>
        <v>67680</v>
      </c>
      <c r="E22" s="276">
        <f t="shared" si="1"/>
        <v>1.88</v>
      </c>
      <c r="F22" s="275">
        <v>10</v>
      </c>
      <c r="G22" s="276">
        <f t="shared" si="2"/>
        <v>18.799999999999997</v>
      </c>
      <c r="H22" s="288">
        <v>20</v>
      </c>
      <c r="I22" s="276">
        <f t="shared" si="3"/>
        <v>0.93999999999999984</v>
      </c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</row>
    <row r="23" spans="1:21" ht="15.75" customHeight="1" x14ac:dyDescent="0.2">
      <c r="A23" s="272" t="s">
        <v>618</v>
      </c>
      <c r="B23" s="272" t="s">
        <v>618</v>
      </c>
      <c r="C23" s="282">
        <v>6353.91</v>
      </c>
      <c r="D23" s="283">
        <f t="shared" si="0"/>
        <v>5718519</v>
      </c>
      <c r="E23" s="273">
        <f t="shared" si="1"/>
        <v>158.84774999999999</v>
      </c>
      <c r="F23" s="272">
        <v>2</v>
      </c>
      <c r="G23" s="273">
        <f t="shared" si="2"/>
        <v>317.69549999999998</v>
      </c>
      <c r="H23" s="284">
        <v>20</v>
      </c>
      <c r="I23" s="273">
        <f t="shared" si="3"/>
        <v>15.884774999999999</v>
      </c>
      <c r="J23" s="278"/>
      <c r="K23" s="278"/>
      <c r="L23" s="285"/>
      <c r="M23" s="285"/>
      <c r="N23" s="285"/>
      <c r="O23" s="285"/>
      <c r="P23" s="285"/>
      <c r="Q23" s="285"/>
      <c r="R23" s="285"/>
      <c r="S23" s="285"/>
      <c r="T23" s="285"/>
      <c r="U23" s="285"/>
    </row>
    <row r="24" spans="1:21" ht="15.75" customHeight="1" x14ac:dyDescent="0.2">
      <c r="A24" s="272" t="s">
        <v>619</v>
      </c>
      <c r="B24" s="272" t="s">
        <v>619</v>
      </c>
      <c r="C24" s="286">
        <v>87.78</v>
      </c>
      <c r="D24" s="289">
        <f t="shared" si="0"/>
        <v>79002</v>
      </c>
      <c r="E24" s="276">
        <f t="shared" si="1"/>
        <v>2.1945000000000001</v>
      </c>
      <c r="F24" s="275">
        <v>2</v>
      </c>
      <c r="G24" s="276">
        <f t="shared" si="2"/>
        <v>4.3890000000000002</v>
      </c>
      <c r="H24" s="288">
        <v>15</v>
      </c>
      <c r="I24" s="276">
        <f t="shared" si="3"/>
        <v>0.29260000000000003</v>
      </c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</row>
    <row r="25" spans="1:21" ht="15.75" customHeight="1" x14ac:dyDescent="0.2">
      <c r="A25" s="275" t="s">
        <v>620</v>
      </c>
      <c r="B25" s="275" t="s">
        <v>620</v>
      </c>
      <c r="C25" s="282">
        <v>299.89999999999998</v>
      </c>
      <c r="D25" s="283">
        <f t="shared" si="0"/>
        <v>269910</v>
      </c>
      <c r="E25" s="273">
        <f t="shared" si="1"/>
        <v>7.4974999999999996</v>
      </c>
      <c r="F25" s="272">
        <v>2</v>
      </c>
      <c r="G25" s="273">
        <f t="shared" si="2"/>
        <v>14.994999999999999</v>
      </c>
      <c r="H25" s="284">
        <v>15</v>
      </c>
      <c r="I25" s="273">
        <f t="shared" si="3"/>
        <v>0.99966666666666659</v>
      </c>
      <c r="J25" s="278"/>
      <c r="K25" s="278"/>
      <c r="L25" s="285"/>
      <c r="M25" s="285"/>
      <c r="N25" s="285"/>
      <c r="O25" s="285"/>
      <c r="P25" s="285"/>
      <c r="Q25" s="285"/>
      <c r="R25" s="285"/>
      <c r="S25" s="285"/>
      <c r="T25" s="285"/>
      <c r="U25" s="285"/>
    </row>
    <row r="26" spans="1:21" ht="15.75" customHeight="1" x14ac:dyDescent="0.2">
      <c r="A26" s="272" t="s">
        <v>621</v>
      </c>
      <c r="B26" s="272" t="s">
        <v>621</v>
      </c>
      <c r="C26" s="286">
        <v>1136.43</v>
      </c>
      <c r="D26" s="289">
        <f t="shared" si="0"/>
        <v>1022787</v>
      </c>
      <c r="E26" s="276">
        <f t="shared" si="1"/>
        <v>28.41075</v>
      </c>
      <c r="F26" s="275">
        <v>2</v>
      </c>
      <c r="G26" s="276">
        <f t="shared" si="2"/>
        <v>56.8215</v>
      </c>
      <c r="H26" s="288">
        <v>15</v>
      </c>
      <c r="I26" s="276">
        <f t="shared" si="3"/>
        <v>3.7881</v>
      </c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</row>
    <row r="27" spans="1:21" ht="15.75" customHeight="1" x14ac:dyDescent="0.2">
      <c r="A27" s="292" t="s">
        <v>591</v>
      </c>
      <c r="B27" s="292"/>
      <c r="C27" s="292"/>
      <c r="D27" s="292"/>
      <c r="E27" s="292"/>
      <c r="F27" s="292"/>
      <c r="G27" s="292"/>
      <c r="H27" s="292"/>
      <c r="I27" s="292"/>
      <c r="J27" s="278"/>
      <c r="K27" s="278"/>
      <c r="L27" s="285"/>
      <c r="M27" s="285"/>
      <c r="N27" s="285"/>
      <c r="O27" s="285"/>
      <c r="P27" s="285"/>
      <c r="Q27" s="285"/>
      <c r="R27" s="285"/>
      <c r="S27" s="285"/>
      <c r="T27" s="285"/>
      <c r="U27" s="285"/>
    </row>
    <row r="28" spans="1:21" ht="15.75" customHeight="1" x14ac:dyDescent="0.2">
      <c r="A28" s="272" t="s">
        <v>622</v>
      </c>
      <c r="B28" s="293"/>
      <c r="C28" s="294">
        <v>110.99</v>
      </c>
      <c r="D28" s="295">
        <f t="shared" ref="D28:D33" si="4">C28*$B$2</f>
        <v>99891</v>
      </c>
      <c r="E28" s="296">
        <f t="shared" ref="E28:E33" si="5">D28/$B$4</f>
        <v>2.77475</v>
      </c>
      <c r="F28" s="297">
        <v>6</v>
      </c>
      <c r="G28" s="296">
        <f t="shared" ref="G28:G33" si="6">F28*E28</f>
        <v>16.648499999999999</v>
      </c>
      <c r="H28" s="298">
        <v>10</v>
      </c>
      <c r="I28" s="296">
        <f t="shared" ref="I28:I33" si="7">G28/(H28)/12</f>
        <v>0.13873749999999999</v>
      </c>
      <c r="J28" s="109"/>
      <c r="K28" s="109"/>
      <c r="L28" s="299"/>
      <c r="M28" s="299"/>
      <c r="N28" s="299"/>
      <c r="O28" s="299"/>
      <c r="P28" s="299"/>
      <c r="Q28" s="299"/>
      <c r="R28" s="299"/>
      <c r="S28" s="299"/>
      <c r="T28" s="299"/>
      <c r="U28" s="299"/>
    </row>
    <row r="29" spans="1:21" ht="15.75" customHeight="1" x14ac:dyDescent="0.2">
      <c r="A29" s="300" t="s">
        <v>623</v>
      </c>
      <c r="B29" s="301"/>
      <c r="C29" s="302">
        <v>996.93</v>
      </c>
      <c r="D29" s="303">
        <f t="shared" si="4"/>
        <v>897237</v>
      </c>
      <c r="E29" s="304">
        <f t="shared" si="5"/>
        <v>24.923249999999999</v>
      </c>
      <c r="F29" s="305">
        <v>1</v>
      </c>
      <c r="G29" s="304">
        <f t="shared" si="6"/>
        <v>24.923249999999999</v>
      </c>
      <c r="H29" s="306">
        <v>10</v>
      </c>
      <c r="I29" s="304">
        <f t="shared" si="7"/>
        <v>0.20769375000000001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1:21" ht="15.75" customHeight="1" x14ac:dyDescent="0.2">
      <c r="A30" s="272" t="s">
        <v>624</v>
      </c>
      <c r="B30" s="307"/>
      <c r="C30" s="308">
        <v>293.76</v>
      </c>
      <c r="D30" s="309">
        <f t="shared" si="4"/>
        <v>264384</v>
      </c>
      <c r="E30" s="310">
        <f t="shared" si="5"/>
        <v>7.3440000000000003</v>
      </c>
      <c r="F30" s="311">
        <v>1</v>
      </c>
      <c r="G30" s="310">
        <f t="shared" si="6"/>
        <v>7.3440000000000003</v>
      </c>
      <c r="H30" s="312">
        <v>20</v>
      </c>
      <c r="I30" s="310">
        <f t="shared" si="7"/>
        <v>3.0600000000000002E-2</v>
      </c>
      <c r="J30" s="109"/>
      <c r="K30" s="109"/>
      <c r="L30" s="299"/>
      <c r="M30" s="299"/>
      <c r="N30" s="299"/>
      <c r="O30" s="299"/>
      <c r="P30" s="299"/>
      <c r="Q30" s="299"/>
      <c r="R30" s="299"/>
      <c r="S30" s="299"/>
      <c r="T30" s="299"/>
      <c r="U30" s="299"/>
    </row>
    <row r="31" spans="1:21" ht="15.75" customHeight="1" x14ac:dyDescent="0.2">
      <c r="A31" s="300" t="s">
        <v>625</v>
      </c>
      <c r="B31" s="301"/>
      <c r="C31" s="302">
        <v>937.94</v>
      </c>
      <c r="D31" s="303">
        <f t="shared" si="4"/>
        <v>844146</v>
      </c>
      <c r="E31" s="304">
        <f t="shared" si="5"/>
        <v>23.448499999999999</v>
      </c>
      <c r="F31" s="305">
        <v>20</v>
      </c>
      <c r="G31" s="304">
        <f t="shared" si="6"/>
        <v>468.96999999999997</v>
      </c>
      <c r="H31" s="306">
        <v>10</v>
      </c>
      <c r="I31" s="304">
        <f t="shared" si="7"/>
        <v>3.9080833333333334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</row>
    <row r="32" spans="1:21" ht="15.75" customHeight="1" x14ac:dyDescent="0.2">
      <c r="A32" s="272" t="s">
        <v>626</v>
      </c>
      <c r="B32" s="293"/>
      <c r="C32" s="294">
        <v>528.03</v>
      </c>
      <c r="D32" s="295">
        <f t="shared" si="4"/>
        <v>475227</v>
      </c>
      <c r="E32" s="296">
        <f t="shared" si="5"/>
        <v>13.200749999999999</v>
      </c>
      <c r="F32" s="297">
        <v>1</v>
      </c>
      <c r="G32" s="296">
        <f t="shared" si="6"/>
        <v>13.200749999999999</v>
      </c>
      <c r="H32" s="298">
        <v>10</v>
      </c>
      <c r="I32" s="296">
        <f t="shared" si="7"/>
        <v>0.11000624999999999</v>
      </c>
      <c r="J32" s="109"/>
      <c r="K32" s="109"/>
      <c r="L32" s="299"/>
      <c r="M32" s="299"/>
      <c r="N32" s="299"/>
      <c r="O32" s="299"/>
      <c r="P32" s="299"/>
      <c r="Q32" s="299"/>
      <c r="R32" s="299"/>
      <c r="S32" s="299"/>
      <c r="T32" s="299"/>
      <c r="U32" s="299"/>
    </row>
    <row r="33" spans="1:21" ht="15.75" customHeight="1" x14ac:dyDescent="0.2">
      <c r="A33" s="300" t="s">
        <v>627</v>
      </c>
      <c r="B33" s="301"/>
      <c r="C33" s="302">
        <v>504.21</v>
      </c>
      <c r="D33" s="303">
        <f t="shared" si="4"/>
        <v>453789</v>
      </c>
      <c r="E33" s="304">
        <f t="shared" si="5"/>
        <v>12.60525</v>
      </c>
      <c r="F33" s="305">
        <v>4</v>
      </c>
      <c r="G33" s="304">
        <f t="shared" si="6"/>
        <v>50.420999999999999</v>
      </c>
      <c r="H33" s="306">
        <v>10</v>
      </c>
      <c r="I33" s="304">
        <f t="shared" si="7"/>
        <v>0.42017499999999997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</row>
    <row r="34" spans="1:21" ht="15.75" customHeight="1" x14ac:dyDescent="0.2">
      <c r="A34" s="413" t="s">
        <v>592</v>
      </c>
      <c r="B34" s="407"/>
      <c r="C34" s="407"/>
      <c r="D34" s="407"/>
      <c r="E34" s="407"/>
      <c r="F34" s="407"/>
      <c r="G34" s="407"/>
      <c r="H34" s="407"/>
      <c r="I34" s="407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</row>
    <row r="35" spans="1:21" ht="15.75" customHeight="1" x14ac:dyDescent="0.2">
      <c r="A35" s="290" t="s">
        <v>628</v>
      </c>
      <c r="B35" s="313"/>
      <c r="C35" s="314">
        <v>687.64</v>
      </c>
      <c r="D35" s="283">
        <f t="shared" ref="D35:D41" si="8">C35*$B$2</f>
        <v>618876</v>
      </c>
      <c r="E35" s="273">
        <f t="shared" ref="E35:E41" si="9">D35/$B$4</f>
        <v>17.190999999999999</v>
      </c>
      <c r="F35" s="272">
        <v>30</v>
      </c>
      <c r="G35" s="273">
        <f t="shared" ref="G35:G41" si="10">F35*E35</f>
        <v>515.73</v>
      </c>
      <c r="H35" s="284">
        <v>12</v>
      </c>
      <c r="I35" s="273">
        <f t="shared" ref="I35:I41" si="11">G35/(H35)/12</f>
        <v>3.5814583333333334</v>
      </c>
      <c r="J35" s="278"/>
      <c r="K35" s="278"/>
      <c r="L35" s="285"/>
      <c r="M35" s="285"/>
      <c r="N35" s="285"/>
      <c r="O35" s="285"/>
      <c r="P35" s="285"/>
      <c r="Q35" s="285"/>
      <c r="R35" s="285"/>
      <c r="S35" s="285"/>
      <c r="T35" s="285"/>
      <c r="U35" s="285"/>
    </row>
    <row r="36" spans="1:21" ht="15.75" customHeight="1" x14ac:dyDescent="0.2">
      <c r="A36" s="291" t="s">
        <v>629</v>
      </c>
      <c r="B36" s="315"/>
      <c r="C36" s="286">
        <v>130</v>
      </c>
      <c r="D36" s="316">
        <f t="shared" si="8"/>
        <v>117000</v>
      </c>
      <c r="E36" s="316">
        <f t="shared" si="9"/>
        <v>3.25</v>
      </c>
      <c r="F36" s="291">
        <v>20</v>
      </c>
      <c r="G36" s="317">
        <f t="shared" si="10"/>
        <v>65</v>
      </c>
      <c r="H36" s="288">
        <v>10</v>
      </c>
      <c r="I36" s="276">
        <f t="shared" si="11"/>
        <v>0.54166666666666663</v>
      </c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</row>
    <row r="37" spans="1:21" ht="15.75" customHeight="1" x14ac:dyDescent="0.2">
      <c r="A37" s="290" t="s">
        <v>630</v>
      </c>
      <c r="B37" s="313"/>
      <c r="C37" s="282">
        <v>218</v>
      </c>
      <c r="D37" s="318">
        <f t="shared" si="8"/>
        <v>196200</v>
      </c>
      <c r="E37" s="318">
        <f t="shared" si="9"/>
        <v>5.45</v>
      </c>
      <c r="F37" s="290">
        <v>5</v>
      </c>
      <c r="G37" s="319">
        <f t="shared" si="10"/>
        <v>27.25</v>
      </c>
      <c r="H37" s="284">
        <v>12</v>
      </c>
      <c r="I37" s="273">
        <f t="shared" si="11"/>
        <v>0.18923611111111113</v>
      </c>
      <c r="J37" s="278"/>
      <c r="K37" s="278"/>
      <c r="L37" s="285"/>
      <c r="M37" s="285"/>
      <c r="N37" s="285"/>
      <c r="O37" s="285"/>
      <c r="P37" s="285"/>
      <c r="Q37" s="285"/>
      <c r="R37" s="285"/>
      <c r="S37" s="285"/>
      <c r="T37" s="285"/>
      <c r="U37" s="285"/>
    </row>
    <row r="38" spans="1:21" ht="15.75" customHeight="1" x14ac:dyDescent="0.2">
      <c r="A38" s="291" t="s">
        <v>631</v>
      </c>
      <c r="B38" s="275"/>
      <c r="C38" s="286">
        <v>70.7</v>
      </c>
      <c r="D38" s="289">
        <f t="shared" si="8"/>
        <v>63630</v>
      </c>
      <c r="E38" s="276">
        <f t="shared" si="9"/>
        <v>1.7675000000000001</v>
      </c>
      <c r="F38" s="275">
        <v>1</v>
      </c>
      <c r="G38" s="276">
        <f t="shared" si="10"/>
        <v>1.7675000000000001</v>
      </c>
      <c r="H38" s="288">
        <v>15</v>
      </c>
      <c r="I38" s="276">
        <f t="shared" si="11"/>
        <v>9.8194444444444449E-3</v>
      </c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</row>
    <row r="39" spans="1:21" ht="15.75" customHeight="1" x14ac:dyDescent="0.2">
      <c r="A39" s="290" t="s">
        <v>632</v>
      </c>
      <c r="B39" s="272"/>
      <c r="C39" s="282">
        <v>87.88</v>
      </c>
      <c r="D39" s="283">
        <f t="shared" si="8"/>
        <v>79092</v>
      </c>
      <c r="E39" s="273">
        <f t="shared" si="9"/>
        <v>2.1970000000000001</v>
      </c>
      <c r="F39" s="272">
        <v>1</v>
      </c>
      <c r="G39" s="273">
        <f t="shared" si="10"/>
        <v>2.1970000000000001</v>
      </c>
      <c r="H39" s="284">
        <v>10</v>
      </c>
      <c r="I39" s="273">
        <f t="shared" si="11"/>
        <v>1.8308333333333333E-2</v>
      </c>
      <c r="J39" s="278"/>
      <c r="K39" s="278"/>
      <c r="L39" s="285"/>
      <c r="M39" s="285"/>
      <c r="N39" s="285"/>
      <c r="O39" s="285"/>
      <c r="P39" s="285"/>
      <c r="Q39" s="285"/>
      <c r="R39" s="285"/>
      <c r="S39" s="285"/>
      <c r="T39" s="285"/>
      <c r="U39" s="285"/>
    </row>
    <row r="40" spans="1:21" ht="15.75" customHeight="1" x14ac:dyDescent="0.2">
      <c r="A40" s="291" t="s">
        <v>633</v>
      </c>
      <c r="B40" s="275"/>
      <c r="C40" s="286">
        <v>480.48</v>
      </c>
      <c r="D40" s="289">
        <f t="shared" si="8"/>
        <v>432432</v>
      </c>
      <c r="E40" s="276">
        <f t="shared" si="9"/>
        <v>12.012</v>
      </c>
      <c r="F40" s="275">
        <v>2</v>
      </c>
      <c r="G40" s="276">
        <f t="shared" si="10"/>
        <v>24.024000000000001</v>
      </c>
      <c r="H40" s="288">
        <v>8</v>
      </c>
      <c r="I40" s="276">
        <f t="shared" si="11"/>
        <v>0.25025000000000003</v>
      </c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</row>
    <row r="41" spans="1:21" ht="15.75" customHeight="1" x14ac:dyDescent="0.2">
      <c r="A41" s="290" t="s">
        <v>634</v>
      </c>
      <c r="B41" s="272"/>
      <c r="C41" s="272">
        <v>1613.4</v>
      </c>
      <c r="D41" s="283">
        <f t="shared" si="8"/>
        <v>1452060</v>
      </c>
      <c r="E41" s="273">
        <f t="shared" si="9"/>
        <v>40.335000000000001</v>
      </c>
      <c r="F41" s="272">
        <v>1</v>
      </c>
      <c r="G41" s="273">
        <f t="shared" si="10"/>
        <v>40.335000000000001</v>
      </c>
      <c r="H41" s="284">
        <v>15</v>
      </c>
      <c r="I41" s="273">
        <f t="shared" si="11"/>
        <v>0.22408333333333333</v>
      </c>
      <c r="J41" s="278"/>
      <c r="K41" s="278"/>
      <c r="L41" s="285"/>
      <c r="M41" s="285"/>
      <c r="N41" s="285"/>
      <c r="O41" s="285"/>
      <c r="P41" s="285"/>
      <c r="Q41" s="285"/>
      <c r="R41" s="285"/>
      <c r="S41" s="285"/>
      <c r="T41" s="285"/>
      <c r="U41" s="285"/>
    </row>
    <row r="42" spans="1:21" ht="15.75" customHeight="1" x14ac:dyDescent="0.2">
      <c r="A42" s="414" t="s">
        <v>593</v>
      </c>
      <c r="B42" s="395"/>
      <c r="C42" s="395"/>
      <c r="D42" s="395"/>
      <c r="E42" s="395"/>
      <c r="F42" s="395"/>
      <c r="G42" s="395"/>
      <c r="H42" s="395"/>
      <c r="I42" s="395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</row>
    <row r="43" spans="1:21" ht="15.75" customHeight="1" x14ac:dyDescent="0.2">
      <c r="A43" s="285" t="s">
        <v>635</v>
      </c>
      <c r="B43" s="290"/>
      <c r="C43" s="282">
        <v>55.62</v>
      </c>
      <c r="D43" s="283">
        <f t="shared" ref="D43:D48" si="12">C43*$B$2</f>
        <v>50058</v>
      </c>
      <c r="E43" s="273">
        <f t="shared" ref="E43:E48" si="13">D43/$B$4</f>
        <v>1.3905000000000001</v>
      </c>
      <c r="F43" s="272">
        <v>100</v>
      </c>
      <c r="G43" s="273">
        <f t="shared" ref="G43:G48" si="14">F43*E43</f>
        <v>139.05000000000001</v>
      </c>
      <c r="H43" s="284">
        <v>10</v>
      </c>
      <c r="I43" s="273">
        <f t="shared" ref="I43:I48" si="15">G43/(H43)/12</f>
        <v>1.1587500000000002</v>
      </c>
      <c r="J43" s="278"/>
      <c r="K43" s="278"/>
      <c r="L43" s="285"/>
      <c r="M43" s="285"/>
      <c r="N43" s="285"/>
      <c r="O43" s="285"/>
      <c r="P43" s="285"/>
      <c r="Q43" s="285"/>
      <c r="R43" s="285"/>
      <c r="S43" s="285"/>
      <c r="T43" s="285"/>
      <c r="U43" s="285"/>
    </row>
    <row r="44" spans="1:21" ht="15.75" customHeight="1" x14ac:dyDescent="0.2">
      <c r="A44" s="275" t="s">
        <v>636</v>
      </c>
      <c r="B44" s="275"/>
      <c r="C44" s="286">
        <v>53.55</v>
      </c>
      <c r="D44" s="289">
        <f t="shared" si="12"/>
        <v>48195</v>
      </c>
      <c r="E44" s="276">
        <f t="shared" si="13"/>
        <v>1.3387500000000001</v>
      </c>
      <c r="F44" s="275">
        <v>100</v>
      </c>
      <c r="G44" s="276">
        <f t="shared" si="14"/>
        <v>133.875</v>
      </c>
      <c r="H44" s="288">
        <v>10</v>
      </c>
      <c r="I44" s="276">
        <f t="shared" si="15"/>
        <v>1.1156249999999999</v>
      </c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</row>
    <row r="45" spans="1:21" ht="15.75" customHeight="1" x14ac:dyDescent="0.2">
      <c r="A45" s="285" t="s">
        <v>637</v>
      </c>
      <c r="B45" s="272"/>
      <c r="C45" s="282">
        <v>62.92</v>
      </c>
      <c r="D45" s="283">
        <f t="shared" si="12"/>
        <v>56628</v>
      </c>
      <c r="E45" s="273">
        <f t="shared" si="13"/>
        <v>1.573</v>
      </c>
      <c r="F45" s="299">
        <v>25</v>
      </c>
      <c r="G45" s="273">
        <f t="shared" si="14"/>
        <v>39.324999999999996</v>
      </c>
      <c r="H45" s="284">
        <v>10</v>
      </c>
      <c r="I45" s="273">
        <f t="shared" si="15"/>
        <v>0.32770833333333332</v>
      </c>
      <c r="J45" s="278"/>
      <c r="K45" s="278"/>
      <c r="L45" s="285"/>
      <c r="M45" s="285"/>
      <c r="N45" s="285"/>
      <c r="O45" s="285"/>
      <c r="P45" s="285"/>
      <c r="Q45" s="285"/>
      <c r="R45" s="285"/>
      <c r="S45" s="285"/>
      <c r="T45" s="285"/>
      <c r="U45" s="285"/>
    </row>
    <row r="46" spans="1:21" ht="15.75" customHeight="1" x14ac:dyDescent="0.2">
      <c r="A46" s="275" t="s">
        <v>638</v>
      </c>
      <c r="B46" s="275"/>
      <c r="C46" s="286">
        <v>42.72</v>
      </c>
      <c r="D46" s="289">
        <f t="shared" si="12"/>
        <v>38448</v>
      </c>
      <c r="E46" s="276">
        <f t="shared" si="13"/>
        <v>1.0680000000000001</v>
      </c>
      <c r="F46" s="275">
        <v>25</v>
      </c>
      <c r="G46" s="276">
        <f t="shared" si="14"/>
        <v>26.700000000000003</v>
      </c>
      <c r="H46" s="288">
        <v>10</v>
      </c>
      <c r="I46" s="276">
        <f t="shared" si="15"/>
        <v>0.22250000000000003</v>
      </c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</row>
    <row r="47" spans="1:21" ht="15.75" customHeight="1" x14ac:dyDescent="0.2">
      <c r="A47" s="285" t="s">
        <v>639</v>
      </c>
      <c r="B47" s="272"/>
      <c r="C47" s="282">
        <v>554.9</v>
      </c>
      <c r="D47" s="283">
        <f t="shared" si="12"/>
        <v>499410</v>
      </c>
      <c r="E47" s="273">
        <f t="shared" si="13"/>
        <v>13.8725</v>
      </c>
      <c r="F47" s="272">
        <v>2</v>
      </c>
      <c r="G47" s="273">
        <f t="shared" si="14"/>
        <v>27.745000000000001</v>
      </c>
      <c r="H47" s="284">
        <v>10</v>
      </c>
      <c r="I47" s="273">
        <f t="shared" si="15"/>
        <v>0.23120833333333335</v>
      </c>
      <c r="J47" s="278"/>
      <c r="K47" s="278"/>
      <c r="L47" s="285"/>
      <c r="M47" s="285"/>
      <c r="N47" s="285"/>
      <c r="O47" s="285"/>
      <c r="P47" s="285"/>
      <c r="Q47" s="285"/>
      <c r="R47" s="285"/>
      <c r="S47" s="285"/>
      <c r="T47" s="285"/>
      <c r="U47" s="285"/>
    </row>
    <row r="48" spans="1:21" ht="15.75" customHeight="1" x14ac:dyDescent="0.2">
      <c r="A48" s="275" t="s">
        <v>640</v>
      </c>
      <c r="B48" s="275"/>
      <c r="C48" s="286">
        <v>75</v>
      </c>
      <c r="D48" s="289">
        <f t="shared" si="12"/>
        <v>67500</v>
      </c>
      <c r="E48" s="276">
        <f t="shared" si="13"/>
        <v>1.875</v>
      </c>
      <c r="F48" s="275">
        <v>1</v>
      </c>
      <c r="G48" s="276">
        <f t="shared" si="14"/>
        <v>1.875</v>
      </c>
      <c r="H48" s="288">
        <v>10</v>
      </c>
      <c r="I48" s="276">
        <f t="shared" si="15"/>
        <v>1.5625E-2</v>
      </c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</row>
    <row r="49" spans="1:21" ht="15.75" customHeight="1" x14ac:dyDescent="0.2">
      <c r="A49" s="320" t="s">
        <v>594</v>
      </c>
      <c r="B49" s="321"/>
      <c r="C49" s="321"/>
      <c r="D49" s="321"/>
      <c r="E49" s="321"/>
      <c r="F49" s="321"/>
      <c r="G49" s="321"/>
      <c r="H49" s="321"/>
      <c r="I49" s="321"/>
      <c r="J49" s="278"/>
      <c r="K49" s="278"/>
      <c r="L49" s="285"/>
      <c r="M49" s="285"/>
      <c r="N49" s="285"/>
      <c r="O49" s="285"/>
      <c r="P49" s="285"/>
      <c r="Q49" s="285"/>
      <c r="R49" s="285"/>
      <c r="S49" s="285"/>
      <c r="T49" s="285"/>
      <c r="U49" s="285"/>
    </row>
    <row r="50" spans="1:21" ht="15.75" customHeight="1" x14ac:dyDescent="0.2">
      <c r="A50" s="278" t="s">
        <v>641</v>
      </c>
      <c r="B50" s="275"/>
      <c r="C50" s="286">
        <v>50</v>
      </c>
      <c r="D50" s="316">
        <f t="shared" ref="D50:D51" si="16">C50*$B$2</f>
        <v>45000</v>
      </c>
      <c r="E50" s="317">
        <f t="shared" ref="E50:E51" si="17">D50/$B$4</f>
        <v>1.25</v>
      </c>
      <c r="F50" s="291">
        <v>1</v>
      </c>
      <c r="G50" s="317">
        <f t="shared" ref="G50:G51" si="18">F50*E50</f>
        <v>1.25</v>
      </c>
      <c r="H50" s="288">
        <v>0</v>
      </c>
      <c r="I50" s="276">
        <v>0</v>
      </c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</row>
    <row r="51" spans="1:21" ht="15.75" customHeight="1" x14ac:dyDescent="0.2">
      <c r="A51" s="272" t="s">
        <v>642</v>
      </c>
      <c r="B51" s="272"/>
      <c r="C51" s="282">
        <v>55</v>
      </c>
      <c r="D51" s="318">
        <f t="shared" si="16"/>
        <v>49500</v>
      </c>
      <c r="E51" s="319">
        <f t="shared" si="17"/>
        <v>1.375</v>
      </c>
      <c r="F51" s="290">
        <v>1</v>
      </c>
      <c r="G51" s="319">
        <f t="shared" si="18"/>
        <v>1.375</v>
      </c>
      <c r="H51" s="284">
        <v>0</v>
      </c>
      <c r="I51" s="273">
        <v>0</v>
      </c>
      <c r="J51" s="278"/>
      <c r="K51" s="278"/>
      <c r="L51" s="285"/>
      <c r="M51" s="285"/>
      <c r="N51" s="285"/>
      <c r="O51" s="285"/>
      <c r="P51" s="285"/>
      <c r="Q51" s="285"/>
      <c r="R51" s="285"/>
      <c r="S51" s="285"/>
      <c r="T51" s="285"/>
      <c r="U51" s="285"/>
    </row>
    <row r="52" spans="1:21" ht="15.75" customHeight="1" x14ac:dyDescent="0.2">
      <c r="A52" s="322" t="s">
        <v>595</v>
      </c>
      <c r="B52" s="275"/>
      <c r="C52" s="286"/>
      <c r="D52" s="316"/>
      <c r="E52" s="317"/>
      <c r="F52" s="291"/>
      <c r="G52" s="317"/>
      <c r="H52" s="288"/>
      <c r="I52" s="276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</row>
    <row r="53" spans="1:21" ht="15.75" customHeight="1" x14ac:dyDescent="0.2">
      <c r="A53" s="272" t="s">
        <v>643</v>
      </c>
      <c r="B53" s="272"/>
      <c r="C53" s="282">
        <v>398</v>
      </c>
      <c r="D53" s="318">
        <f t="shared" ref="D53:D58" si="19">C53*$B$2</f>
        <v>358200</v>
      </c>
      <c r="E53" s="319">
        <f t="shared" ref="E53:E58" si="20">D53/$B$4</f>
        <v>9.9499999999999993</v>
      </c>
      <c r="F53" s="290">
        <v>1</v>
      </c>
      <c r="G53" s="319">
        <f t="shared" ref="G53:G58" si="21">F53*E53</f>
        <v>9.9499999999999993</v>
      </c>
      <c r="H53" s="284">
        <v>0</v>
      </c>
      <c r="I53" s="273">
        <v>0</v>
      </c>
      <c r="J53" s="278"/>
      <c r="K53" s="278"/>
      <c r="L53" s="285"/>
      <c r="M53" s="285"/>
      <c r="N53" s="285"/>
      <c r="O53" s="285"/>
      <c r="P53" s="285"/>
      <c r="Q53" s="285"/>
      <c r="R53" s="285"/>
      <c r="S53" s="285"/>
      <c r="T53" s="285"/>
      <c r="U53" s="285"/>
    </row>
    <row r="54" spans="1:21" ht="15.75" customHeight="1" x14ac:dyDescent="0.2">
      <c r="A54" s="275" t="s">
        <v>644</v>
      </c>
      <c r="B54" s="275"/>
      <c r="C54" s="286">
        <v>288</v>
      </c>
      <c r="D54" s="316">
        <f t="shared" si="19"/>
        <v>259200</v>
      </c>
      <c r="E54" s="317">
        <f t="shared" si="20"/>
        <v>7.2</v>
      </c>
      <c r="F54" s="291">
        <v>1</v>
      </c>
      <c r="G54" s="317">
        <f t="shared" si="21"/>
        <v>7.2</v>
      </c>
      <c r="H54" s="288">
        <v>0</v>
      </c>
      <c r="I54" s="276">
        <v>0</v>
      </c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</row>
    <row r="55" spans="1:21" ht="15.75" customHeight="1" x14ac:dyDescent="0.2">
      <c r="A55" s="272" t="s">
        <v>645</v>
      </c>
      <c r="B55" s="272"/>
      <c r="C55" s="282">
        <v>365</v>
      </c>
      <c r="D55" s="318">
        <f t="shared" si="19"/>
        <v>328500</v>
      </c>
      <c r="E55" s="319">
        <f t="shared" si="20"/>
        <v>9.125</v>
      </c>
      <c r="F55" s="290">
        <v>3</v>
      </c>
      <c r="G55" s="319">
        <f t="shared" si="21"/>
        <v>27.375</v>
      </c>
      <c r="H55" s="284">
        <v>0</v>
      </c>
      <c r="I55" s="273">
        <v>0</v>
      </c>
      <c r="J55" s="278"/>
      <c r="K55" s="278"/>
      <c r="L55" s="285"/>
      <c r="M55" s="285"/>
      <c r="N55" s="285"/>
      <c r="O55" s="285"/>
      <c r="P55" s="285"/>
      <c r="Q55" s="285"/>
      <c r="R55" s="285"/>
      <c r="S55" s="285"/>
      <c r="T55" s="285"/>
      <c r="U55" s="285"/>
    </row>
    <row r="56" spans="1:21" ht="15.75" customHeight="1" x14ac:dyDescent="0.2">
      <c r="A56" s="275" t="s">
        <v>646</v>
      </c>
      <c r="B56" s="275"/>
      <c r="C56" s="286">
        <v>120</v>
      </c>
      <c r="D56" s="316">
        <f t="shared" si="19"/>
        <v>108000</v>
      </c>
      <c r="E56" s="317">
        <f t="shared" si="20"/>
        <v>3</v>
      </c>
      <c r="F56" s="291">
        <v>1</v>
      </c>
      <c r="G56" s="317">
        <f t="shared" si="21"/>
        <v>3</v>
      </c>
      <c r="H56" s="288">
        <v>0</v>
      </c>
      <c r="I56" s="276">
        <v>0</v>
      </c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</row>
    <row r="57" spans="1:21" ht="15.75" customHeight="1" x14ac:dyDescent="0.2">
      <c r="A57" s="272" t="s">
        <v>647</v>
      </c>
      <c r="B57" s="272"/>
      <c r="C57" s="282">
        <v>514</v>
      </c>
      <c r="D57" s="318">
        <f t="shared" si="19"/>
        <v>462600</v>
      </c>
      <c r="E57" s="319">
        <f t="shared" si="20"/>
        <v>12.85</v>
      </c>
      <c r="F57" s="290">
        <v>1</v>
      </c>
      <c r="G57" s="319">
        <f t="shared" si="21"/>
        <v>12.85</v>
      </c>
      <c r="H57" s="284">
        <v>0</v>
      </c>
      <c r="I57" s="273">
        <v>0</v>
      </c>
      <c r="J57" s="278"/>
      <c r="K57" s="278"/>
      <c r="L57" s="285"/>
      <c r="M57" s="285"/>
      <c r="N57" s="285"/>
      <c r="O57" s="285"/>
      <c r="P57" s="285"/>
      <c r="Q57" s="285"/>
      <c r="R57" s="285"/>
      <c r="S57" s="285"/>
      <c r="T57" s="285"/>
      <c r="U57" s="285"/>
    </row>
    <row r="58" spans="1:21" ht="15.75" customHeight="1" x14ac:dyDescent="0.2">
      <c r="A58" s="275" t="s">
        <v>648</v>
      </c>
      <c r="B58" s="275"/>
      <c r="C58" s="286">
        <v>3424</v>
      </c>
      <c r="D58" s="316">
        <f t="shared" si="19"/>
        <v>3081600</v>
      </c>
      <c r="E58" s="317">
        <f t="shared" si="20"/>
        <v>85.6</v>
      </c>
      <c r="F58" s="291">
        <v>1</v>
      </c>
      <c r="G58" s="317">
        <f t="shared" si="21"/>
        <v>85.6</v>
      </c>
      <c r="H58" s="288">
        <v>0</v>
      </c>
      <c r="I58" s="276">
        <v>0</v>
      </c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</row>
    <row r="59" spans="1:21" ht="15.75" customHeight="1" x14ac:dyDescent="0.2">
      <c r="A59" s="415" t="s">
        <v>596</v>
      </c>
      <c r="B59" s="395"/>
      <c r="C59" s="395"/>
      <c r="D59" s="395"/>
      <c r="E59" s="395"/>
      <c r="F59" s="395"/>
      <c r="G59" s="395"/>
      <c r="H59" s="395"/>
      <c r="I59" s="396"/>
      <c r="J59" s="278"/>
      <c r="K59" s="278"/>
      <c r="L59" s="285"/>
      <c r="M59" s="285"/>
      <c r="N59" s="285"/>
      <c r="O59" s="285"/>
      <c r="P59" s="285"/>
      <c r="Q59" s="285"/>
      <c r="R59" s="285"/>
      <c r="S59" s="285"/>
      <c r="T59" s="285"/>
      <c r="U59" s="285"/>
    </row>
    <row r="60" spans="1:21" ht="15.75" customHeight="1" x14ac:dyDescent="0.2">
      <c r="A60" s="291" t="s">
        <v>649</v>
      </c>
      <c r="B60" s="291"/>
      <c r="C60" s="286">
        <v>0</v>
      </c>
      <c r="D60" s="316">
        <f t="shared" ref="D60:D65" si="22">C60*$B$2</f>
        <v>0</v>
      </c>
      <c r="E60" s="291">
        <f t="shared" ref="E60:E65" si="23">D60/$B$4</f>
        <v>0</v>
      </c>
      <c r="F60" s="291">
        <v>1</v>
      </c>
      <c r="G60" s="317">
        <f t="shared" ref="G60:G65" si="24">F60*E60</f>
        <v>0</v>
      </c>
      <c r="H60" s="288">
        <v>0</v>
      </c>
      <c r="I60" s="276">
        <v>0</v>
      </c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</row>
    <row r="61" spans="1:21" ht="15.75" customHeight="1" x14ac:dyDescent="0.2">
      <c r="A61" s="290" t="s">
        <v>650</v>
      </c>
      <c r="B61" s="290"/>
      <c r="C61" s="282">
        <v>0</v>
      </c>
      <c r="D61" s="318">
        <f t="shared" si="22"/>
        <v>0</v>
      </c>
      <c r="E61" s="290">
        <f t="shared" si="23"/>
        <v>0</v>
      </c>
      <c r="F61" s="290">
        <v>1</v>
      </c>
      <c r="G61" s="319">
        <f t="shared" si="24"/>
        <v>0</v>
      </c>
      <c r="H61" s="284">
        <v>0</v>
      </c>
      <c r="I61" s="273">
        <v>0</v>
      </c>
      <c r="J61" s="278"/>
      <c r="K61" s="278"/>
      <c r="L61" s="285"/>
      <c r="M61" s="285"/>
      <c r="N61" s="285"/>
      <c r="O61" s="285"/>
      <c r="P61" s="285"/>
      <c r="Q61" s="285"/>
      <c r="R61" s="285"/>
      <c r="S61" s="285"/>
      <c r="T61" s="285"/>
      <c r="U61" s="285"/>
    </row>
    <row r="62" spans="1:21" ht="15.75" customHeight="1" x14ac:dyDescent="0.2">
      <c r="A62" s="291" t="s">
        <v>651</v>
      </c>
      <c r="B62" s="291"/>
      <c r="C62" s="286">
        <v>0</v>
      </c>
      <c r="D62" s="316">
        <f t="shared" si="22"/>
        <v>0</v>
      </c>
      <c r="E62" s="291">
        <f t="shared" si="23"/>
        <v>0</v>
      </c>
      <c r="F62" s="291">
        <v>1</v>
      </c>
      <c r="G62" s="317">
        <f t="shared" si="24"/>
        <v>0</v>
      </c>
      <c r="H62" s="288">
        <v>0</v>
      </c>
      <c r="I62" s="276">
        <v>0</v>
      </c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</row>
    <row r="63" spans="1:21" ht="15.75" customHeight="1" x14ac:dyDescent="0.2">
      <c r="A63" s="290" t="s">
        <v>652</v>
      </c>
      <c r="B63" s="285"/>
      <c r="C63" s="282">
        <v>0</v>
      </c>
      <c r="D63" s="318">
        <f t="shared" si="22"/>
        <v>0</v>
      </c>
      <c r="E63" s="290">
        <f t="shared" si="23"/>
        <v>0</v>
      </c>
      <c r="F63" s="290">
        <v>1</v>
      </c>
      <c r="G63" s="319">
        <f t="shared" si="24"/>
        <v>0</v>
      </c>
      <c r="H63" s="284">
        <v>0</v>
      </c>
      <c r="I63" s="273">
        <v>0</v>
      </c>
      <c r="J63" s="278"/>
      <c r="K63" s="278"/>
      <c r="L63" s="285"/>
      <c r="M63" s="285"/>
      <c r="N63" s="285"/>
      <c r="O63" s="285"/>
      <c r="P63" s="285"/>
      <c r="Q63" s="285"/>
      <c r="R63" s="285"/>
      <c r="S63" s="285"/>
      <c r="T63" s="285"/>
      <c r="U63" s="285"/>
    </row>
    <row r="64" spans="1:21" ht="15.75" customHeight="1" x14ac:dyDescent="0.2">
      <c r="A64" s="291" t="s">
        <v>653</v>
      </c>
      <c r="B64" s="291"/>
      <c r="C64" s="286">
        <v>0</v>
      </c>
      <c r="D64" s="316">
        <f t="shared" si="22"/>
        <v>0</v>
      </c>
      <c r="E64" s="291">
        <f t="shared" si="23"/>
        <v>0</v>
      </c>
      <c r="F64" s="291">
        <v>1</v>
      </c>
      <c r="G64" s="317">
        <f t="shared" si="24"/>
        <v>0</v>
      </c>
      <c r="H64" s="288">
        <v>0</v>
      </c>
      <c r="I64" s="276">
        <v>0</v>
      </c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</row>
    <row r="65" spans="1:21" ht="15" customHeight="1" x14ac:dyDescent="0.2">
      <c r="A65" s="290" t="s">
        <v>654</v>
      </c>
      <c r="B65" s="290"/>
      <c r="C65" s="282">
        <v>95</v>
      </c>
      <c r="D65" s="318">
        <f t="shared" si="22"/>
        <v>85500</v>
      </c>
      <c r="E65" s="290">
        <f t="shared" si="23"/>
        <v>2.375</v>
      </c>
      <c r="F65" s="290">
        <v>1</v>
      </c>
      <c r="G65" s="319">
        <f t="shared" si="24"/>
        <v>2.375</v>
      </c>
      <c r="H65" s="284">
        <v>0</v>
      </c>
      <c r="I65" s="273">
        <v>0</v>
      </c>
      <c r="J65" s="278"/>
      <c r="K65" s="278"/>
      <c r="L65" s="285"/>
      <c r="M65" s="285"/>
      <c r="N65" s="285"/>
      <c r="O65" s="285"/>
      <c r="P65" s="285"/>
      <c r="Q65" s="285"/>
      <c r="R65" s="285"/>
      <c r="S65" s="285"/>
      <c r="T65" s="285"/>
      <c r="U65" s="285"/>
    </row>
    <row r="66" spans="1:21" ht="15" customHeight="1" x14ac:dyDescent="0.2">
      <c r="A66" s="414" t="s">
        <v>597</v>
      </c>
      <c r="B66" s="395"/>
      <c r="C66" s="395"/>
      <c r="D66" s="395"/>
      <c r="E66" s="395"/>
      <c r="F66" s="395"/>
      <c r="G66" s="395"/>
      <c r="H66" s="395"/>
      <c r="I66" s="396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</row>
    <row r="67" spans="1:21" ht="15" customHeight="1" x14ac:dyDescent="0.2">
      <c r="A67" s="290" t="s">
        <v>655</v>
      </c>
      <c r="B67" s="290"/>
      <c r="C67" s="323">
        <v>0.75</v>
      </c>
      <c r="D67" s="318">
        <f t="shared" ref="D67:D73" si="25">C67*$B$2</f>
        <v>675</v>
      </c>
      <c r="E67" s="290">
        <f t="shared" ref="E67:E73" si="26">D67/$B$4</f>
        <v>1.8749999999999999E-2</v>
      </c>
      <c r="F67" s="290">
        <v>8000</v>
      </c>
      <c r="G67" s="319">
        <f t="shared" ref="G67:G73" si="27">F67*E67</f>
        <v>150</v>
      </c>
      <c r="H67" s="284">
        <v>0</v>
      </c>
      <c r="I67" s="273">
        <v>0</v>
      </c>
      <c r="J67" s="278"/>
      <c r="K67" s="278"/>
      <c r="L67" s="285"/>
      <c r="M67" s="285"/>
      <c r="N67" s="285"/>
      <c r="O67" s="285"/>
      <c r="P67" s="285"/>
      <c r="Q67" s="285"/>
      <c r="R67" s="285"/>
      <c r="S67" s="285"/>
      <c r="T67" s="285"/>
      <c r="U67" s="285"/>
    </row>
    <row r="68" spans="1:21" ht="15" customHeight="1" x14ac:dyDescent="0.2">
      <c r="A68" s="291" t="s">
        <v>656</v>
      </c>
      <c r="B68" s="291"/>
      <c r="C68" s="324">
        <v>7.0000000000000001E-3</v>
      </c>
      <c r="D68" s="316">
        <f t="shared" si="25"/>
        <v>6.3</v>
      </c>
      <c r="E68" s="291">
        <f t="shared" si="26"/>
        <v>1.75E-4</v>
      </c>
      <c r="F68" s="291">
        <v>500000</v>
      </c>
      <c r="G68" s="317">
        <f t="shared" si="27"/>
        <v>87.5</v>
      </c>
      <c r="H68" s="288">
        <v>0</v>
      </c>
      <c r="I68" s="276">
        <v>0</v>
      </c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</row>
    <row r="69" spans="1:21" ht="15" customHeight="1" x14ac:dyDescent="0.2">
      <c r="A69" s="290" t="s">
        <v>657</v>
      </c>
      <c r="B69" s="290"/>
      <c r="C69" s="325">
        <v>0</v>
      </c>
      <c r="D69" s="318">
        <f t="shared" si="25"/>
        <v>0</v>
      </c>
      <c r="E69" s="290">
        <f t="shared" si="26"/>
        <v>0</v>
      </c>
      <c r="F69" s="290">
        <v>8000</v>
      </c>
      <c r="G69" s="319">
        <f t="shared" si="27"/>
        <v>0</v>
      </c>
      <c r="H69" s="284">
        <v>0</v>
      </c>
      <c r="I69" s="273">
        <v>0</v>
      </c>
      <c r="J69" s="278"/>
      <c r="K69" s="278"/>
      <c r="L69" s="285"/>
      <c r="M69" s="285"/>
      <c r="N69" s="285"/>
      <c r="O69" s="285"/>
      <c r="P69" s="285"/>
      <c r="Q69" s="285"/>
      <c r="R69" s="285"/>
      <c r="S69" s="285"/>
      <c r="T69" s="285"/>
      <c r="U69" s="285"/>
    </row>
    <row r="70" spans="1:21" ht="15" customHeight="1" x14ac:dyDescent="0.2">
      <c r="A70" s="291" t="s">
        <v>658</v>
      </c>
      <c r="B70" s="291"/>
      <c r="C70" s="286">
        <v>6.5100000000000005E-2</v>
      </c>
      <c r="D70" s="316">
        <f t="shared" si="25"/>
        <v>58.59</v>
      </c>
      <c r="E70" s="291">
        <f t="shared" si="26"/>
        <v>1.6275E-3</v>
      </c>
      <c r="F70" s="291">
        <v>50000</v>
      </c>
      <c r="G70" s="326">
        <f t="shared" si="27"/>
        <v>81.375</v>
      </c>
      <c r="H70" s="288">
        <v>0</v>
      </c>
      <c r="I70" s="276">
        <v>0</v>
      </c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</row>
    <row r="71" spans="1:21" ht="15.75" customHeight="1" x14ac:dyDescent="0.2">
      <c r="A71" s="290" t="s">
        <v>659</v>
      </c>
      <c r="B71" s="290"/>
      <c r="C71" s="282">
        <v>5</v>
      </c>
      <c r="D71" s="318">
        <f t="shared" si="25"/>
        <v>4500</v>
      </c>
      <c r="E71" s="290">
        <f t="shared" si="26"/>
        <v>0.125</v>
      </c>
      <c r="F71" s="290">
        <v>5000</v>
      </c>
      <c r="G71" s="319">
        <f t="shared" si="27"/>
        <v>625</v>
      </c>
      <c r="H71" s="284">
        <v>0</v>
      </c>
      <c r="I71" s="273">
        <v>0</v>
      </c>
      <c r="J71" s="278"/>
      <c r="K71" s="278"/>
      <c r="L71" s="285"/>
      <c r="M71" s="285"/>
      <c r="N71" s="285"/>
      <c r="O71" s="285"/>
      <c r="P71" s="285"/>
      <c r="Q71" s="285"/>
      <c r="R71" s="285"/>
      <c r="S71" s="285"/>
      <c r="T71" s="285"/>
      <c r="U71" s="285"/>
    </row>
    <row r="72" spans="1:21" ht="15.75" customHeight="1" x14ac:dyDescent="0.2">
      <c r="A72" s="291" t="s">
        <v>660</v>
      </c>
      <c r="B72" s="291"/>
      <c r="C72" s="286">
        <v>1.35</v>
      </c>
      <c r="D72" s="316">
        <f t="shared" si="25"/>
        <v>1215</v>
      </c>
      <c r="E72" s="291">
        <f t="shared" si="26"/>
        <v>3.3750000000000002E-2</v>
      </c>
      <c r="F72" s="291">
        <v>10000</v>
      </c>
      <c r="G72" s="317">
        <f t="shared" si="27"/>
        <v>337.5</v>
      </c>
      <c r="H72" s="288">
        <v>0</v>
      </c>
      <c r="I72" s="276">
        <v>0</v>
      </c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</row>
    <row r="73" spans="1:21" ht="15.75" customHeight="1" x14ac:dyDescent="0.2">
      <c r="A73" s="290" t="s">
        <v>661</v>
      </c>
      <c r="B73" s="290"/>
      <c r="C73" s="327">
        <v>3.56E-2</v>
      </c>
      <c r="D73" s="318">
        <f t="shared" si="25"/>
        <v>32.04</v>
      </c>
      <c r="E73" s="290">
        <f t="shared" si="26"/>
        <v>8.8999999999999995E-4</v>
      </c>
      <c r="F73" s="272">
        <v>100000</v>
      </c>
      <c r="G73" s="319">
        <f t="shared" si="27"/>
        <v>89</v>
      </c>
      <c r="H73" s="284">
        <v>0</v>
      </c>
      <c r="I73" s="273">
        <v>0</v>
      </c>
      <c r="J73" s="278"/>
      <c r="K73" s="278"/>
      <c r="L73" s="285"/>
      <c r="M73" s="285"/>
      <c r="N73" s="285"/>
      <c r="O73" s="285"/>
      <c r="P73" s="285"/>
      <c r="Q73" s="285"/>
      <c r="R73" s="285"/>
      <c r="S73" s="285"/>
      <c r="T73" s="285"/>
      <c r="U73" s="285"/>
    </row>
    <row r="74" spans="1:21" ht="15.75" customHeight="1" x14ac:dyDescent="0.2">
      <c r="A74" s="291"/>
      <c r="E74" s="328"/>
      <c r="G74" s="328"/>
      <c r="H74" s="328"/>
      <c r="I74" s="328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</row>
    <row r="75" spans="1:21" ht="15.75" customHeight="1" x14ac:dyDescent="0.25">
      <c r="A75" s="12"/>
      <c r="B75" s="96" t="s">
        <v>598</v>
      </c>
      <c r="C75" s="96" t="s">
        <v>599</v>
      </c>
      <c r="D75" s="12"/>
      <c r="E75" s="12"/>
      <c r="F75" s="12"/>
      <c r="G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1" ht="15.75" customHeight="1" x14ac:dyDescent="0.25">
      <c r="A76" s="96" t="s">
        <v>600</v>
      </c>
      <c r="B76" s="43"/>
      <c r="C76" s="49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1" ht="15.75" customHeight="1" x14ac:dyDescent="0.25">
      <c r="A77" s="96" t="s">
        <v>601</v>
      </c>
      <c r="B77" s="43">
        <f>SUM(G9:G26)+SUM(G28:G33)+SUM(G35:G41)+SUM(G43:G48)</f>
        <v>14833.3925</v>
      </c>
      <c r="C77" s="39">
        <v>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1" ht="15.75" customHeight="1" x14ac:dyDescent="0.25">
      <c r="A78" s="96" t="s">
        <v>602</v>
      </c>
      <c r="B78" s="49"/>
      <c r="C78" s="317">
        <f>SUM(G60:G65)</f>
        <v>2.375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1" ht="15.75" customHeight="1" x14ac:dyDescent="0.25">
      <c r="A79" s="96" t="s">
        <v>603</v>
      </c>
      <c r="B79" s="49"/>
      <c r="C79" s="49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1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15.75" customHeight="1" x14ac:dyDescent="0.2">
      <c r="A81" s="12"/>
      <c r="B81" s="274"/>
      <c r="C81" s="274"/>
      <c r="D81" s="274"/>
      <c r="E81" s="274"/>
      <c r="F81" s="274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ht="15.75" customHeight="1" x14ac:dyDescent="0.2">
      <c r="A82" s="12"/>
      <c r="B82" s="329"/>
      <c r="C82" s="330"/>
      <c r="D82" s="331"/>
      <c r="E82" s="274"/>
      <c r="F82" s="274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:21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:21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:21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:21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:21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:21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:21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:21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:21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:21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:21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:21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:21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:21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1:21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1:21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spans="1:21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spans="1:21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spans="1:21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spans="1:21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spans="1:21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spans="1:21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spans="1:21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spans="1:21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spans="1:21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spans="1:21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spans="1:21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spans="1:21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spans="1:21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spans="1:21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spans="1:21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spans="1:21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spans="1:21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1:21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spans="1:21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spans="1:21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spans="1:21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spans="1:21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spans="1:21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spans="1:21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spans="1:21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spans="1:21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spans="1:21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spans="1:21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spans="1:21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spans="1:21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spans="1:21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spans="1:21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spans="1:21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spans="1:21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spans="1:21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spans="1:21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spans="1:21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spans="1:21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spans="1:21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spans="1:21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spans="1:21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spans="1:21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spans="1:21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spans="1:21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spans="1:21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spans="1:21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spans="1:21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spans="1:21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spans="1:21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spans="1:21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spans="1:21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spans="1:21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spans="1:21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spans="1:21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spans="1:21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spans="1:21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spans="1:21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spans="1:21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spans="1:21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spans="1:21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spans="1:21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spans="1:21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spans="1:21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1:21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spans="1:21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spans="1:21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spans="1:21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spans="1:21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spans="1:21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spans="1:21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spans="1:21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spans="1:21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spans="1:21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spans="1:21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spans="1:21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spans="1:21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spans="1:21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spans="1:21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spans="1:21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spans="1:21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spans="1:21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spans="1:21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spans="1:21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spans="1:21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spans="1:21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spans="1:21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spans="1:21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spans="1:21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spans="1:21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spans="1:21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spans="1:21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spans="1:21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spans="1:21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spans="1:21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spans="1:21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spans="1:21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spans="1:21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spans="1:21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spans="1:21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spans="1:21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spans="1:21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1:21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1:21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1:21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1:21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1:21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1:21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1:21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1:21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:21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1:21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1:21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1:21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spans="1:21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spans="1:21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spans="1:21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spans="1:21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spans="1:21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spans="1:21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spans="1:21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spans="1:21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spans="1:21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spans="1:21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spans="1:21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spans="1:21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spans="1:21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spans="1:21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spans="1:21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spans="1:21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spans="1:21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spans="1:21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spans="1:21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spans="1:21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spans="1:21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spans="1:21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spans="1:21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spans="1:21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spans="1:21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spans="1:21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spans="1:21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spans="1:21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spans="1:21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spans="1:21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spans="1:21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spans="1:21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spans="1:21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spans="1:21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spans="1:21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spans="1:21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spans="1:21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spans="1:21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spans="1:21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spans="1:21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spans="1:21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spans="1:21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spans="1:21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spans="1:21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spans="1:21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spans="1:21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spans="1:21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spans="1:21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spans="1:21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spans="1:21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spans="1:21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spans="1:21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spans="1:21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spans="1:21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spans="1:21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spans="1:21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spans="1:21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spans="1:21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spans="1:21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spans="1:21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spans="1:21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spans="1:21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spans="1:21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spans="1:21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spans="1:21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spans="1:21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spans="1:21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spans="1:21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spans="1:21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spans="1:21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spans="1:21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spans="1:21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spans="1:21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spans="1:21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spans="1:21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spans="1:21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spans="1:21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spans="1:21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spans="1:21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spans="1:21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spans="1:21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spans="1:21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spans="1:21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spans="1:21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spans="1:21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spans="1:21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spans="1:21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spans="1:21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spans="1:21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spans="1:21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spans="1:21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spans="1:21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spans="1:21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spans="1:21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spans="1:21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spans="1:21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spans="1:21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spans="1:21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spans="1:21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spans="1:21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spans="1:21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spans="1:21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spans="1:21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spans="1:21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spans="1:21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spans="1:21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spans="1:21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spans="1:21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spans="1:21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spans="1:21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spans="1:21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spans="1:21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spans="1:21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spans="1:21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spans="1:21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spans="1:21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spans="1:21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spans="1:21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spans="1:21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spans="1:21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spans="1:21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spans="1:21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spans="1:21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spans="1:21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spans="1:21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spans="1:21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spans="1:21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spans="1:21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spans="1:21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spans="1:21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spans="1:21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spans="1:21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spans="1:21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spans="1:21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spans="1:21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spans="1:21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spans="1:21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spans="1:21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spans="1:21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spans="1:21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spans="1:21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spans="1:21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spans="1:21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spans="1:21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spans="1:21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spans="1:21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spans="1:21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spans="1:21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spans="1:21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spans="1:21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spans="1:21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spans="1:21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spans="1:21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spans="1:21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spans="1:21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spans="1:21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spans="1:21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spans="1:21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spans="1:21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spans="1:21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spans="1:21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spans="1:21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spans="1:21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spans="1:21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spans="1:21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spans="1:21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spans="1:21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spans="1:21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spans="1:21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spans="1:21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spans="1:21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spans="1:21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spans="1:21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spans="1:21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spans="1:21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spans="1:21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spans="1:21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spans="1:21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spans="1:21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spans="1:21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spans="1:21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spans="1:21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spans="1:21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spans="1:21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spans="1:21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spans="1:21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spans="1:21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spans="1:21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spans="1:21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spans="1:21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spans="1:21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spans="1:21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spans="1:21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spans="1:21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spans="1:21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spans="1:21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spans="1:21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spans="1:21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spans="1:21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spans="1:21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spans="1:21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spans="1:21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spans="1:21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spans="1:21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spans="1:21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spans="1:21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spans="1:21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spans="1:21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spans="1:21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spans="1:21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spans="1:21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spans="1:21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spans="1:21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spans="1:21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spans="1:21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spans="1:21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spans="1:21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spans="1:21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spans="1:21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spans="1:21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spans="1:21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spans="1:21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spans="1:21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spans="1:21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spans="1:21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spans="1:21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spans="1:21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spans="1:21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spans="1:21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spans="1:21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spans="1:21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spans="1:21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spans="1:21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spans="1:21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spans="1:21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spans="1:21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spans="1:21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spans="1:21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spans="1:21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spans="1:21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spans="1:21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spans="1:21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spans="1:21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spans="1:21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spans="1:21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spans="1:21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spans="1:21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spans="1:21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spans="1:21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spans="1:21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spans="1:21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spans="1:21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spans="1:21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spans="1:21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spans="1:21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spans="1:21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spans="1:21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spans="1:21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spans="1:21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spans="1:21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spans="1:21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spans="1:21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spans="1:21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spans="1:21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spans="1:21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spans="1:21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spans="1:21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spans="1:21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spans="1:21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spans="1:21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spans="1:21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spans="1:21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spans="1:21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spans="1:21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spans="1:21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spans="1:21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spans="1:21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spans="1:21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spans="1:21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spans="1:21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spans="1:21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spans="1:21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spans="1:21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spans="1:21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spans="1:21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spans="1:21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spans="1:21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spans="1:21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spans="1:21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spans="1:21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spans="1:21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spans="1:21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spans="1:21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spans="1:21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spans="1:21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spans="1:21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spans="1:21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spans="1:21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spans="1:21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spans="1:21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spans="1:21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spans="1:21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spans="1:21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spans="1:21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spans="1:21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spans="1:21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spans="1:21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spans="1:21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spans="1:21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spans="1:21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spans="1:21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spans="1:21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spans="1:21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spans="1:21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spans="1:21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spans="1:21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spans="1:21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spans="1:21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spans="1:21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spans="1:21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spans="1:21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spans="1:21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spans="1:21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spans="1:21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spans="1:21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spans="1:21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spans="1:21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spans="1:21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spans="1:21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spans="1:21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spans="1:21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spans="1:21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spans="1:21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spans="1:21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spans="1:21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spans="1:21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spans="1:21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spans="1:21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spans="1:21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spans="1:21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spans="1:21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spans="1:21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spans="1:21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spans="1:21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spans="1:21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spans="1:21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spans="1:21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spans="1:21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spans="1:21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spans="1:21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spans="1:21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spans="1:21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spans="1:21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spans="1:21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spans="1:21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spans="1:21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spans="1:21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spans="1:21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spans="1:21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spans="1:21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spans="1:21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spans="1:21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spans="1:21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spans="1:21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spans="1:21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spans="1:21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spans="1:21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spans="1:21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spans="1:21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spans="1:21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spans="1:21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spans="1:21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spans="1:21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spans="1:21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spans="1:21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spans="1:21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spans="1:21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spans="1:21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spans="1:21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spans="1:21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spans="1:21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spans="1:21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spans="1:21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spans="1:21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spans="1:21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spans="1:21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spans="1:21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spans="1:21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spans="1:21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spans="1:21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spans="1:21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spans="1:21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spans="1:21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spans="1:21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spans="1:21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spans="1:21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spans="1:21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spans="1:21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spans="1:21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spans="1:21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spans="1:21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spans="1:21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spans="1:21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spans="1:21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spans="1:21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spans="1:21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spans="1:21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spans="1:21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spans="1:21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spans="1:21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spans="1:21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spans="1:21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spans="1:21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spans="1:21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spans="1:21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spans="1:21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spans="1:21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spans="1:21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spans="1:21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 spans="1:21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 spans="1:21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 spans="1:21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 spans="1:21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 spans="1:21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 spans="1:21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 spans="1:21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 spans="1:21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 spans="1:21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 spans="1:21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 spans="1:21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 spans="1:21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 spans="1:21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 spans="1:21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 spans="1:21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spans="1:21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 spans="1:21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 spans="1:21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 spans="1:21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 spans="1:21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 spans="1:21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 spans="1:21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 spans="1:21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 spans="1:21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 spans="1:21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 spans="1:21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 spans="1:21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 spans="1:21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 spans="1:21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 spans="1:21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 spans="1:21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 spans="1:21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 spans="1:21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 spans="1:21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 spans="1:21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 spans="1:21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 spans="1:21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 spans="1:21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spans="1:21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 spans="1:21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 spans="1:21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 spans="1:21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 spans="1:21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 spans="1:21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 spans="1:21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 spans="1:21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 spans="1:21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 spans="1:21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 spans="1:21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 spans="1:21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 spans="1:21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 spans="1:21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 spans="1:21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 spans="1:21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 spans="1:21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 spans="1:21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 spans="1:21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 spans="1:21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 spans="1:21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 spans="1:21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 spans="1:21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 spans="1:21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 spans="1:21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 spans="1:21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 spans="1:21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 spans="1:21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 spans="1:21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 spans="1:21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 spans="1:21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 spans="1:21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 spans="1:21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 spans="1:21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 spans="1:21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 spans="1:21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 spans="1:21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 spans="1:21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 spans="1:21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 spans="1:21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 spans="1:21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 spans="1:21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 spans="1:21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 spans="1:21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 spans="1:21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 spans="1:21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 spans="1:21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 spans="1:21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 spans="1:21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 spans="1:21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 spans="1:21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 spans="1:21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 spans="1:21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 spans="1:21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 spans="1:21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 spans="1:21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 spans="1:21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 spans="1:21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 spans="1:21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 spans="1:21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 spans="1:21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 spans="1:21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 spans="1:21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 spans="1:21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 spans="1:21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 spans="1:21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 spans="1:21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 spans="1:21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 spans="1:21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 spans="1:21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 spans="1:21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 spans="1:21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 spans="1:21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 spans="1:21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 spans="1:21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 spans="1:21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 spans="1:21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 spans="1:21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 spans="1:21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 spans="1:21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 spans="1:21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 spans="1:21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 spans="1:21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 spans="1:21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 spans="1:21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 spans="1:21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 spans="1:21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 spans="1:21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 spans="1:21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 spans="1:21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 spans="1:21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 spans="1:21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 spans="1:21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 spans="1:21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 spans="1:21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 spans="1:21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 spans="1:21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 spans="1:21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 spans="1:21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 spans="1:21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 spans="1:21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 spans="1:21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 spans="1:21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 spans="1:21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 spans="1:21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 spans="1:21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 spans="1:21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 spans="1:21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 spans="1:21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 spans="1:21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 spans="1:21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 spans="1:21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 spans="1:21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 spans="1:21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 spans="1:21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 spans="1:21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 spans="1:21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 spans="1:21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 spans="1:21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 spans="1:21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 spans="1:21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 spans="1:21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 spans="1:21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 spans="1:21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 spans="1:21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 spans="1:21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 spans="1:21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 spans="1:21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 spans="1:21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 spans="1:21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 spans="1:21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 spans="1:21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 spans="1:21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 spans="1:21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 spans="1:21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 spans="1:21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 spans="1:21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 spans="1:21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 spans="1:21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 spans="1:21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 spans="1:21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 spans="1:21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 spans="1:21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 spans="1:21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 spans="1:21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 spans="1:21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 spans="1:21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 spans="1:21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 spans="1:21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 spans="1:21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 spans="1:21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 spans="1:21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 spans="1:21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 spans="1:21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 spans="1:21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 spans="1:21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 spans="1:21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 spans="1:21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 spans="1:21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 spans="1:21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 spans="1:21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 spans="1:21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 spans="1:21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 spans="1:21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 spans="1:21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 spans="1:21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 spans="1:21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 spans="1:21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 spans="1:21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 spans="1:21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 spans="1:21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 spans="1:21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 spans="1:21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 spans="1:21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 spans="1:21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 spans="1:21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 spans="1:21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 spans="1:21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 spans="1:21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 spans="1:21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 spans="1:21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 spans="1:21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 spans="1:21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 spans="1:21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 spans="1:21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 spans="1:21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 spans="1:21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 spans="1:21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 spans="1:21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 spans="1:21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 spans="1:21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 spans="1:21" ht="15.75" customHeight="1" x14ac:dyDescent="0.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  <row r="1002" spans="1:21" ht="15.75" customHeight="1" x14ac:dyDescent="0.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</row>
    <row r="1003" spans="1:21" ht="15.75" customHeight="1" x14ac:dyDescent="0.2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</row>
    <row r="1004" spans="1:21" ht="15.75" customHeight="1" x14ac:dyDescent="0.2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</row>
    <row r="1005" spans="1:21" ht="15.75" customHeight="1" x14ac:dyDescent="0.2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</row>
    <row r="1006" spans="1:21" ht="15.75" customHeight="1" x14ac:dyDescent="0.2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</row>
    <row r="1007" spans="1:21" ht="15.75" customHeight="1" x14ac:dyDescent="0.2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</row>
    <row r="1008" spans="1:21" ht="15.75" customHeight="1" x14ac:dyDescent="0.2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</row>
    <row r="1009" spans="1:21" ht="15.75" customHeight="1" x14ac:dyDescent="0.2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</row>
    <row r="1010" spans="1:21" ht="15.75" customHeight="1" x14ac:dyDescent="0.2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</row>
    <row r="1011" spans="1:21" ht="15.75" customHeight="1" x14ac:dyDescent="0.2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</row>
    <row r="1012" spans="1:21" ht="15.75" customHeight="1" x14ac:dyDescent="0.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</row>
    <row r="1013" spans="1:21" ht="15.75" customHeight="1" x14ac:dyDescent="0.2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</row>
    <row r="1014" spans="1:21" ht="15.75" customHeight="1" x14ac:dyDescent="0.2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</row>
    <row r="1015" spans="1:21" ht="15.75" customHeight="1" x14ac:dyDescent="0.2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</row>
    <row r="1016" spans="1:21" ht="15.75" customHeight="1" x14ac:dyDescent="0.2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 spans="1:21" ht="15.75" customHeight="1" x14ac:dyDescent="0.2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</row>
    <row r="1018" spans="1:21" ht="15.75" customHeight="1" x14ac:dyDescent="0.2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</row>
    <row r="1019" spans="1:21" ht="15.75" customHeight="1" x14ac:dyDescent="0.2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</row>
    <row r="1020" spans="1:21" ht="15.75" customHeight="1" x14ac:dyDescent="0.2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</row>
    <row r="1021" spans="1:21" ht="15.75" customHeight="1" x14ac:dyDescent="0.2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</row>
  </sheetData>
  <mergeCells count="4">
    <mergeCell ref="A34:I34"/>
    <mergeCell ref="A42:I42"/>
    <mergeCell ref="A59:I59"/>
    <mergeCell ref="A66:I66"/>
  </mergeCells>
  <phoneticPr fontId="3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PARÁMETROS</vt:lpstr>
      <vt:lpstr>CURVA S</vt:lpstr>
      <vt:lpstr>FINANCIAMIENTO</vt:lpstr>
      <vt:lpstr>PCUESFUERZO</vt:lpstr>
      <vt:lpstr>Costos HH - Sueldos</vt:lpstr>
      <vt:lpstr>Costos HH por MES</vt:lpstr>
      <vt:lpstr>COSTOS DE OPERACION</vt:lpstr>
      <vt:lpstr>TARIFAS DE OPERACION</vt:lpstr>
      <vt:lpstr>FLUJO DE CAJA NETO</vt:lpstr>
      <vt:lpstr>FLUJO DE CAJA COMPLETO</vt:lpstr>
      <vt:lpstr>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Antonio Moya</cp:lastModifiedBy>
  <dcterms:created xsi:type="dcterms:W3CDTF">2024-05-29T23:38:44Z</dcterms:created>
  <dcterms:modified xsi:type="dcterms:W3CDTF">2026-10-22T11:25:24Z</dcterms:modified>
</cp:coreProperties>
</file>