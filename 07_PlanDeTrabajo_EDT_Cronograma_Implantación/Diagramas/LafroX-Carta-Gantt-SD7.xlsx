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éeme" sheetId="1" state="visible" r:id="rId1"/>
    <sheet xmlns:r="http://schemas.openxmlformats.org/officeDocument/2006/relationships" name="Parámetros" sheetId="2" state="visible" r:id="rId2"/>
    <sheet xmlns:r="http://schemas.openxmlformats.org/officeDocument/2006/relationships" name="Hitos" sheetId="3" state="visible" r:id="rId3"/>
    <sheet xmlns:r="http://schemas.openxmlformats.org/officeDocument/2006/relationships" name="Períodos Art. 17" sheetId="4" state="visible" r:id="rId4"/>
    <sheet xmlns:r="http://schemas.openxmlformats.org/officeDocument/2006/relationships" name="Gantt cuentas" sheetId="5" state="visible" r:id="rId5"/>
    <sheet xmlns:r="http://schemas.openxmlformats.org/officeDocument/2006/relationships" name="Gantt paquetes" sheetId="6" state="visible" r:id="rId6"/>
    <sheet xmlns:r="http://schemas.openxmlformats.org/officeDocument/2006/relationships" name="Actividades hasta H2" sheetId="7" state="visible" r:id="rId7"/>
    <sheet xmlns:r="http://schemas.openxmlformats.org/officeDocument/2006/relationships" name="Esfuerzo continuo" sheetId="8" state="visible" r:id="rId8"/>
    <sheet xmlns:r="http://schemas.openxmlformats.org/officeDocument/2006/relationships" name="Glosario" sheetId="9" state="visible" r:id="rId9"/>
  </sheets>
  <definedNames>
    <definedName name="_xlnm._FilterDatabase" localSheetId="6" hidden="1">'Actividades hasta H2'!$A$1:$L$565</definedName>
  </definedNames>
  <calcPr calcId="124519" fullCalcOnLoad="1"/>
</workbook>
</file>

<file path=xl/styles.xml><?xml version="1.0" encoding="utf-8"?>
<styleSheet xmlns="http://schemas.openxmlformats.org/spreadsheetml/2006/main">
  <numFmts count="3">
    <numFmt numFmtId="164" formatCode="dd\-mm\-yyyy"/>
    <numFmt numFmtId="165" formatCode="mmm\-yyyy"/>
    <numFmt numFmtId="166" formatCode="0.0%"/>
  </numFmts>
  <fonts count="13">
    <font>
      <name val="Calibri"/>
      <color theme="1"/>
      <sz val="11"/>
      <scheme val="minor"/>
    </font>
    <font>
      <name val="Arial"/>
      <b val="1"/>
      <color theme="1"/>
      <sz val="14"/>
    </font>
    <font>
      <name val="Arial"/>
      <b val="1"/>
      <color theme="1"/>
      <sz val="10"/>
    </font>
    <font>
      <name val="Arial"/>
      <b val="1"/>
      <color rgb="FFFFFFFF"/>
      <sz val="10"/>
    </font>
    <font>
      <name val="Arial"/>
      <color theme="1"/>
      <sz val="10"/>
    </font>
    <font>
      <name val="Arial"/>
      <color rgb="FF0000FF"/>
      <sz val="10"/>
    </font>
    <font>
      <name val="Arial"/>
      <b val="1"/>
      <color rgb="FF1F3864"/>
      <sz val="11"/>
    </font>
    <font>
      <name val="Calibri"/>
      <color theme="1"/>
      <sz val="11"/>
    </font>
    <font>
      <name val="Arial"/>
      <color theme="1"/>
      <sz val="9"/>
    </font>
    <font>
      <name val="Arial"/>
      <i val="1"/>
      <color theme="1"/>
      <sz val="9"/>
    </font>
    <font>
      <name val="Arial"/>
      <color theme="1"/>
      <sz val="8"/>
    </font>
    <font>
      <name val="Arial"/>
      <b val="1"/>
      <color rgb="FFC00000"/>
      <sz val="8"/>
    </font>
    <font>
      <name val="Arial"/>
      <color theme="1"/>
      <sz val="6"/>
    </font>
  </fonts>
  <fills count="14">
    <fill>
      <patternFill/>
    </fill>
    <fill>
      <patternFill patternType="lightGray"/>
    </fill>
    <fill>
      <patternFill patternType="solid">
        <fgColor rgb="FF1F3864"/>
        <bgColor rgb="FF1F3864"/>
      </patternFill>
    </fill>
    <fill>
      <patternFill patternType="solid">
        <fgColor rgb="FFFFFF00"/>
        <bgColor rgb="FFFFFF00"/>
      </patternFill>
    </fill>
    <fill>
      <patternFill patternType="solid">
        <fgColor rgb="FF1F4E79"/>
        <bgColor rgb="FF1F4E79"/>
      </patternFill>
    </fill>
    <fill>
      <patternFill patternType="solid">
        <fgColor rgb="FF2E75B6"/>
        <bgColor rgb="FF2E75B6"/>
      </patternFill>
    </fill>
    <fill>
      <patternFill patternType="solid">
        <fgColor rgb="FF1E8449"/>
        <bgColor rgb="FF1E8449"/>
      </patternFill>
    </fill>
    <fill>
      <patternFill patternType="solid">
        <fgColor rgb="FFC55A11"/>
        <bgColor rgb="FFC55A11"/>
      </patternFill>
    </fill>
    <fill>
      <patternFill patternType="solid">
        <fgColor rgb="FF7030A0"/>
        <bgColor rgb="FF7030A0"/>
      </patternFill>
    </fill>
    <fill>
      <patternFill patternType="solid">
        <fgColor rgb="FF806000"/>
        <bgColor rgb="FF806000"/>
      </patternFill>
    </fill>
    <fill>
      <patternFill patternType="solid">
        <fgColor rgb="FFBF8F00"/>
        <bgColor rgb="FFBF8F00"/>
      </patternFill>
    </fill>
    <fill>
      <patternFill patternType="solid">
        <fgColor rgb="FF595959"/>
        <bgColor rgb="FF595959"/>
      </patternFill>
    </fill>
    <fill>
      <patternFill patternType="solid">
        <fgColor rgb="FFA50021"/>
        <bgColor rgb="FFA50021"/>
      </patternFill>
    </fill>
    <fill>
      <patternFill patternType="solid">
        <fgColor rgb="FFF2F2F2"/>
        <bgColor rgb="FFF2F2F2"/>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numFmtId="0" fontId="0" fillId="0" borderId="0"/>
  </cellStyleXfs>
  <cellXfs count="37">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vertical="top" wrapText="1"/>
    </xf>
    <xf numFmtId="164" fontId="5" fillId="3" borderId="2" pivotButton="0" quotePrefix="0" xfId="0"/>
    <xf numFmtId="0" fontId="6" fillId="0" borderId="0" applyAlignment="1" pivotButton="0" quotePrefix="0" xfId="0">
      <alignment vertical="top" wrapText="1"/>
    </xf>
    <xf numFmtId="0" fontId="4" fillId="0" borderId="0" pivotButton="0" quotePrefix="0" xfId="0"/>
    <xf numFmtId="0" fontId="4" fillId="0" borderId="1" applyAlignment="1" pivotButton="0" quotePrefix="0" xfId="0">
      <alignment vertical="top" wrapText="1"/>
    </xf>
    <xf numFmtId="165" fontId="4" fillId="0" borderId="1" applyAlignment="1" pivotButton="0" quotePrefix="0" xfId="0">
      <alignment vertical="top" wrapText="1"/>
    </xf>
    <xf numFmtId="9" fontId="4" fillId="0" borderId="1" applyAlignment="1" pivotButton="0" quotePrefix="0" xfId="0">
      <alignment vertical="top" wrapText="1"/>
    </xf>
    <xf numFmtId="164" fontId="4" fillId="0" borderId="1" pivotButton="0" quotePrefix="0" xfId="0"/>
    <xf numFmtId="0" fontId="4" fillId="0" borderId="1" pivotButton="0" quotePrefix="0" xfId="0"/>
    <xf numFmtId="166" fontId="4" fillId="0" borderId="1" pivotButton="0" quotePrefix="0" xfId="0"/>
    <xf numFmtId="0" fontId="7" fillId="4" borderId="2" pivotButton="0" quotePrefix="0" xfId="0"/>
    <xf numFmtId="0" fontId="8" fillId="0" borderId="0" pivotButton="0" quotePrefix="0" xfId="0"/>
    <xf numFmtId="0" fontId="7" fillId="5" borderId="2" pivotButton="0" quotePrefix="0" xfId="0"/>
    <xf numFmtId="0" fontId="7" fillId="6" borderId="2" pivotButton="0" quotePrefix="0" xfId="0"/>
    <xf numFmtId="0" fontId="7" fillId="7" borderId="2" pivotButton="0" quotePrefix="0" xfId="0"/>
    <xf numFmtId="0" fontId="7" fillId="8" borderId="2" pivotButton="0" quotePrefix="0" xfId="0"/>
    <xf numFmtId="0" fontId="7" fillId="9" borderId="2" pivotButton="0" quotePrefix="0" xfId="0"/>
    <xf numFmtId="0" fontId="7" fillId="10" borderId="2" pivotButton="0" quotePrefix="0" xfId="0"/>
    <xf numFmtId="0" fontId="7" fillId="11" borderId="2" pivotButton="0" quotePrefix="0" xfId="0"/>
    <xf numFmtId="0" fontId="7" fillId="12" borderId="2" pivotButton="0" quotePrefix="0" xfId="0"/>
    <xf numFmtId="0" fontId="9" fillId="0" borderId="0" pivotButton="0" quotePrefix="0" xfId="0"/>
    <xf numFmtId="0" fontId="3" fillId="2" borderId="2" applyAlignment="1" pivotButton="0" quotePrefix="0" xfId="0">
      <alignment horizontal="center" vertical="center"/>
    </xf>
    <xf numFmtId="17" fontId="10" fillId="0" borderId="0" applyAlignment="1" pivotButton="0" quotePrefix="0" xfId="0">
      <alignment horizontal="center" textRotation="90"/>
    </xf>
    <xf numFmtId="9" fontId="2" fillId="0" borderId="0" pivotButton="0" quotePrefix="0" xfId="0"/>
    <xf numFmtId="0" fontId="2" fillId="0" borderId="0" applyAlignment="1" pivotButton="0" quotePrefix="0" xfId="0">
      <alignment vertical="top" wrapText="1"/>
    </xf>
    <xf numFmtId="0" fontId="11" fillId="0" borderId="0" applyAlignment="1" pivotButton="0" quotePrefix="0" xfId="0">
      <alignment horizontal="center" vertical="center"/>
    </xf>
    <xf numFmtId="3" fontId="4" fillId="0" borderId="1" pivotButton="0" quotePrefix="0" xfId="0"/>
    <xf numFmtId="0" fontId="2" fillId="0" borderId="1" applyAlignment="1" pivotButton="0" quotePrefix="0" xfId="0">
      <alignment vertical="top" wrapText="1"/>
    </xf>
    <xf numFmtId="0" fontId="2" fillId="13" borderId="1" pivotButton="0" quotePrefix="0" xfId="0"/>
    <xf numFmtId="0" fontId="12" fillId="0" borderId="0" applyAlignment="1" pivotButton="0" quotePrefix="0" xfId="0">
      <alignment horizontal="center" vertical="center"/>
    </xf>
    <xf numFmtId="3" fontId="2" fillId="0" borderId="0" pivotButton="0" quotePrefix="0" xfId="0"/>
    <xf numFmtId="0" fontId="0" fillId="0" borderId="0" pivotButton="0" quotePrefix="0" xfId="0"/>
  </cellXfs>
  <cellStyles count="1">
    <cellStyle name="Normal" xfId="0" builtinId="0"/>
  </cellStyles>
  <dxfs count="11">
    <dxf>
      <font/>
      <fill>
        <patternFill patternType="solid">
          <fgColor rgb="FFFCE4D6"/>
          <bgColor rgb="FFFCE4D6"/>
        </patternFill>
      </fill>
      <border/>
    </dxf>
    <dxf>
      <font>
        <color rgb="FFA6A6A6"/>
      </font>
      <fill>
        <patternFill patternType="solid">
          <fgColor rgb="FFA6A6A6"/>
          <bgColor rgb="FFA6A6A6"/>
        </patternFill>
      </fill>
      <border/>
    </dxf>
    <dxf>
      <font>
        <color rgb="FF1F4E79"/>
      </font>
      <fill>
        <patternFill patternType="solid">
          <fgColor rgb="FF1F4E79"/>
          <bgColor rgb="FF1F4E79"/>
        </patternFill>
      </fill>
      <border/>
    </dxf>
    <dxf>
      <font>
        <color rgb="FF2E75B6"/>
      </font>
      <fill>
        <patternFill patternType="solid">
          <fgColor rgb="FF2E75B6"/>
          <bgColor rgb="FF2E75B6"/>
        </patternFill>
      </fill>
      <border/>
    </dxf>
    <dxf>
      <font>
        <color rgb="FF1E8449"/>
      </font>
      <fill>
        <patternFill patternType="solid">
          <fgColor rgb="FF1E8449"/>
          <bgColor rgb="FF1E8449"/>
        </patternFill>
      </fill>
      <border/>
    </dxf>
    <dxf>
      <font>
        <color rgb="FFC55A11"/>
      </font>
      <fill>
        <patternFill patternType="solid">
          <fgColor rgb="FFC55A11"/>
          <bgColor rgb="FFC55A11"/>
        </patternFill>
      </fill>
      <border/>
    </dxf>
    <dxf>
      <font>
        <color rgb="FF7030A0"/>
      </font>
      <fill>
        <patternFill patternType="solid">
          <fgColor rgb="FF7030A0"/>
          <bgColor rgb="FF7030A0"/>
        </patternFill>
      </fill>
      <border/>
    </dxf>
    <dxf>
      <font>
        <color rgb="FF806000"/>
      </font>
      <fill>
        <patternFill patternType="solid">
          <fgColor rgb="FF806000"/>
          <bgColor rgb="FF806000"/>
        </patternFill>
      </fill>
      <border/>
    </dxf>
    <dxf>
      <font>
        <color rgb="FFBF8F00"/>
      </font>
      <fill>
        <patternFill patternType="solid">
          <fgColor rgb="FFBF8F00"/>
          <bgColor rgb="FFBF8F00"/>
        </patternFill>
      </fill>
      <border/>
    </dxf>
    <dxf>
      <font>
        <color rgb="FF595959"/>
      </font>
      <fill>
        <patternFill patternType="solid">
          <fgColor rgb="FF595959"/>
          <bgColor rgb="FF595959"/>
        </patternFill>
      </fill>
      <border/>
    </dxf>
    <dxf>
      <font>
        <color rgb="FFA50021"/>
      </font>
      <fill>
        <patternFill patternType="solid">
          <fgColor rgb="FFA50021"/>
          <bgColor rgb="FFA50021"/>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B3" authorId="0" shapeId="0">
      <text>
        <t>======
ID#AAACIFmFzEw
LafroX    (2026-10-08 01:37:34)
Dato editable. Fuente: SD7, Anexo 7.A (supuesto de inicio en febrero de 2027).</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7"/>
  <sheetViews>
    <sheetView workbookViewId="0">
      <selection activeCell="A1" sqref="A1"/>
    </sheetView>
  </sheetViews>
  <sheetFormatPr baseColWidth="8" defaultColWidth="14.43" defaultRowHeight="15" customHeight="1"/>
  <cols>
    <col width="4" customWidth="1" style="36" min="1" max="1"/>
    <col width="120" customWidth="1" style="36" min="2" max="2"/>
    <col width="8.859999999999999" customWidth="1" style="36" min="3" max="26"/>
  </cols>
  <sheetData>
    <row r="1" ht="14.25" customHeight="1" s="36"/>
    <row r="2" ht="21.75" customHeight="1" s="36">
      <c r="B2" s="2" t="inlineStr">
        <is>
          <t>LafroX — Carta Gantt del Subdocumento 7 (Formulario T-14)</t>
        </is>
      </c>
    </row>
    <row r="3" ht="45" customHeight="1" s="36">
      <c r="B3" s="5" t="inlineStr">
        <is>
          <t>Licitación TFEP-01/2026, Caso 02 — Logística, Distribuidora Puelche S.A. Versión del 9 de octubre de 2026, generada desde el Formulario T-14 (EDT y carta Gantt, sección 3.1) y el Formulario T-15 (programación por paquete, secciones 4.2, 5 y 6).</t>
        </is>
      </c>
    </row>
    <row r="4" ht="21.75" customHeight="1" s="36">
      <c r="B4" s="7" t="inlineStr">
        <is>
          <t>1. Qué es una carta Gantt</t>
        </is>
      </c>
    </row>
    <row r="5" ht="60" customHeight="1" s="36">
      <c r="B5" s="5" t="inlineStr">
        <is>
          <t>Una carta Gantt es un cronograma dibujado como barras sobre una línea de tiempo: cada fila es un trabajo y cada barra muestra cuándo empieza y cuándo termina. Sirve para ver de un vistazo qué se hace en paralelo, qué viene después de qué y cuánto falta para cada fecha comprometida. No muestra por sí sola las dependencias entre trabajos ni las horas: esos datos están en las hojas «Gantt paquetes» y «Actividades hasta H2».</t>
        </is>
      </c>
    </row>
    <row r="6" ht="21.75" customHeight="1" s="36">
      <c r="B6" s="7" t="inlineStr">
        <is>
          <t>2. Cómo está organizada esta planilla</t>
        </is>
      </c>
    </row>
    <row r="7" ht="30" customHeight="1" s="36">
      <c r="B7" s="5" t="inlineStr">
        <is>
          <t>• Parámetros: la fecha de inicio del contrato (supuesto: febrero de 2027). Es la única celda que se edita; todas las fechas de la planilla se recalculan a partir de ella.</t>
        </is>
      </c>
    </row>
    <row r="8" ht="30" customHeight="1" s="36">
      <c r="B8" s="5" t="inlineStr">
        <is>
          <t>• Períodos Art. 17: los períodos contractuales fijos de las Bases Administrativas (desarrollo, marcha blanca, producción y operación de cada etapa).</t>
        </is>
      </c>
    </row>
    <row r="9" ht="30" customHeight="1" s="36">
      <c r="B9" s="5" t="inlineStr">
        <is>
          <t>• Hitos: los doce hitos del Formulario E-25, con su mes contractual, su fecha calendario, la fecha en que LafroX entrega, la fecha límite para que el CLIENTE alcance a revisar y la reserva entre ambas.</t>
        </is>
      </c>
    </row>
    <row r="10" ht="30" customHeight="1" s="36">
      <c r="B10" s="5" t="inlineStr">
        <is>
          <t>• Gantt cuentas: la carta Gantt resumida, una fila por cuenta de control (49 filas), sobre los 56 meses del contrato.</t>
        </is>
      </c>
    </row>
    <row r="11" ht="30" customHeight="1" s="36">
      <c r="B11" s="5" t="inlineStr">
        <is>
          <t>• Gantt paquetes: la carta Gantt detallada, una fila por paquete de trabajo de la EDT (222 filas), con su clase, su responsable y sus horas hombre.</t>
        </is>
      </c>
    </row>
    <row r="12" ht="30" customHeight="1" s="36">
      <c r="B12" s="5" t="inlineStr">
        <is>
          <t>• Actividades hasta H2: las 108 actividades de los paquetes que terminan hasta el H2 (mes 4), con personas, horas, fechas y predecesoras. Los demás paquetes tienen fecha en la hoja «Gantt paquetes» y se detallan en actividades por planificación gradual antes de cada fase (H2, H4, H8 y H9).</t>
        </is>
      </c>
    </row>
    <row r="13" ht="30" customHeight="1" s="36">
      <c r="B13" s="5" t="inlineStr">
        <is>
          <t>• Glosario: la definición de cada término usado (hito, cuenta de control, paquete, actividad, marcha blanca, reserva, P80, etc.).</t>
        </is>
      </c>
    </row>
    <row r="14" ht="21.75" customHeight="1" s="36">
      <c r="B14" s="7" t="inlineStr">
        <is>
          <t>3. Cómo leer la carta Gantt</t>
        </is>
      </c>
    </row>
    <row r="15" ht="45" customHeight="1" s="36">
      <c r="B15" s="5" t="inlineStr">
        <is>
          <t>• Cada columna de la derecha es un mes contractual (1 a 56). La fila superior indica el número de mes, la siguiente el mes calendario según la fecha de inicio y la tercera marca los meses de congelamiento (septiembre y diciembre), en los que el caso prohíbe pasos a producción.</t>
        </is>
      </c>
    </row>
    <row r="16" ht="15" customHeight="1" s="36">
      <c r="B16" s="5" t="inlineStr">
        <is>
          <t>• La fila «Hitos» muestra el código del hito del E-25 en el mes en que debe firmarse su acta.</t>
        </is>
      </c>
    </row>
    <row r="17" ht="30" customHeight="1" s="36">
      <c r="B17" s="5" t="inlineStr">
        <is>
          <t>• Una celda coloreada significa que el trabajo de esa fila está activo ese mes. El color identifica la fase de la EDT (ver la leyenda en la hoja «Gantt cuentas»).</t>
        </is>
      </c>
    </row>
    <row r="18" ht="15" customHeight="1" s="36">
      <c r="B18" s="5" t="inlineStr">
        <is>
          <t>• Las columnas «Inicio» y «Fin» son meses contractuales; «Duración» se calcula como Fin − Inicio + 1.</t>
        </is>
      </c>
    </row>
    <row r="19" ht="21.75" customHeight="1" s="36">
      <c r="B19" s="7" t="inlineStr">
        <is>
          <t>4. Qué es un hito</t>
        </is>
      </c>
    </row>
    <row r="20" ht="75" customHeight="1" s="36">
      <c r="B20" s="5" t="inlineStr">
        <is>
          <t>Un hito es un punto verificable del cronograma contractual, asociado a entregables y criterios de aceptación y, cuando corresponde, a un pago (Bases Administrativas, glosario y Art. 18.1). No tiene duración: ocurre en una fecha. Un hito se entiende cumplido sólo cuando la Contraparte Técnica firma su acta de aceptación. Como el CLIENTE dispone de diez días hábiles para revisar cada entregable (Art. 18.3), LafroX entrega el trabajo antes del cierre del mes del hito; esa diferencia es la «fecha límite de entrega» de la hoja «Hitos».</t>
        </is>
      </c>
    </row>
    <row r="21" ht="21.75" customHeight="1" s="36">
      <c r="B21" s="7" t="inlineStr">
        <is>
          <t>5. De dónde salen los datos</t>
        </is>
      </c>
    </row>
    <row r="22" ht="30" customHeight="1" s="36">
      <c r="B22" s="5" t="inlineStr">
        <is>
          <t>• Meses de cada paquete: Formulario T-15, sección 4.2. Para los paquetes con entregable, son los meses de su programación nivelada (T-15, Tabla 6.1); para los de esfuerzo continuo, su ventana de servicio.</t>
        </is>
      </c>
    </row>
    <row r="23" ht="45" customHeight="1" s="36">
      <c r="B23" s="5" t="inlineStr">
        <is>
          <t>• Fechas: T-15, Tablas 6.1 y 6.1b, calculadas en días hábiles de lunes a viernes, sin feriados, con dependencias del Anexo 7.B, diez días hábiles de revisión antes de cada hito y un tope diario de 40 desarrolladores de los 48 declarados en el SD1.</t>
        </is>
      </c>
    </row>
    <row r="24" ht="30" customHeight="1" s="36">
      <c r="B24" s="5" t="inlineStr">
        <is>
          <t>• Probabilidades por hito: simulación de Monte Carlo del SD8, Anexo 8.C (5.000 iteraciones con la variación de duración y los riesgos del registro).</t>
        </is>
      </c>
    </row>
    <row r="25" ht="30" customHeight="1" s="36">
      <c r="B25" s="5" t="inlineStr">
        <is>
          <t>• Si cambia la fecha de inicio, las fechas se trasladan, pero los congelamientos caen en otros meses contractuales: el T-15 exige repetir el análisis de calendario antes de aprobar la línea base (Anexo 7.A).</t>
        </is>
      </c>
    </row>
    <row r="26" ht="21.75" customHeight="1" s="36">
      <c r="B26" s="7" t="inlineStr">
        <is>
          <t>6. Convenciones de formato</t>
        </is>
      </c>
    </row>
    <row r="27" ht="30" customHeight="1" s="36">
      <c r="B27" s="5" t="inlineStr">
        <is>
          <t>• Texto azul sobre fondo amarillo: dato que se puede editar (sólo la fecha de inicio). Texto negro: fórmula o dato tomado de los formularios. Fondo naranja claro en la fila de meses: mes de congelamiento.</t>
        </is>
      </c>
    </row>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ColWidth="14.43" defaultRowHeight="15" customHeight="1"/>
  <cols>
    <col width="38" customWidth="1" style="36" min="1" max="1"/>
    <col width="16" customWidth="1" style="36" min="2" max="2"/>
    <col width="90" customWidth="1" style="36" min="3" max="3"/>
    <col width="8.859999999999999" customWidth="1" style="36" min="4" max="26"/>
  </cols>
  <sheetData>
    <row r="1" ht="14.25" customHeight="1" s="36">
      <c r="A1" s="1" t="inlineStr">
        <is>
          <t>Parámetros de la planilla</t>
        </is>
      </c>
    </row>
    <row r="2" ht="14.25" customHeight="1" s="36"/>
    <row r="3" ht="14.25" customHeight="1" s="36">
      <c r="A3" s="3" t="inlineStr">
        <is>
          <t>Fecha de inicio del contrato (mes 1)</t>
        </is>
      </c>
      <c r="B3" s="6" t="n">
        <v>46419</v>
      </c>
      <c r="C3" s="5" t="inlineStr">
        <is>
          <t>Supuesto de calendario del SD7, Anexo 7.A: inicio en febrero de 2027. Editar sólo esta celda; debe ser un día 1 de mes.</t>
        </is>
      </c>
    </row>
    <row r="4" ht="14.25" customHeight="1" s="36">
      <c r="A4" s="3" t="inlineStr">
        <is>
          <t>Días hábiles de revisión del CLIENTE</t>
        </is>
      </c>
      <c r="B4" s="8" t="n">
        <v>10</v>
      </c>
      <c r="C4" s="5" t="inlineStr">
        <is>
          <t>Bases Administrativas, Art. 18.3: el CLIENTE dispone de diez días hábiles para revisar cada entregable.</t>
        </is>
      </c>
    </row>
    <row r="5" ht="14.25" customHeight="1" s="36">
      <c r="A5" s="3" t="inlineStr">
        <is>
          <t>Duración del contrato (meses)</t>
        </is>
      </c>
      <c r="B5" s="8" t="n">
        <v>56</v>
      </c>
      <c r="C5" s="5" t="inlineStr">
        <is>
          <t>Bases Administrativas, Art. 17°.</t>
        </is>
      </c>
    </row>
    <row r="6" ht="14.25" customHeight="1" s="36"/>
    <row r="7" ht="14.25" customHeight="1" s="36"/>
    <row r="8" ht="14.25" customHeight="1" s="36"/>
    <row r="9" ht="14.25" customHeight="1" s="36"/>
    <row r="10" ht="14.25" customHeight="1" s="36"/>
    <row r="11" ht="14.25" customHeight="1" s="36"/>
    <row r="12" ht="14.25" customHeight="1" s="36"/>
    <row r="13" ht="14.25" customHeight="1" s="36"/>
    <row r="14" ht="14.25" customHeight="1" s="36"/>
    <row r="15" ht="14.25" customHeight="1" s="36"/>
    <row r="16" ht="14.25" customHeight="1" s="36"/>
    <row r="17" ht="14.25" customHeight="1" s="36"/>
    <row r="18" ht="14.25" customHeight="1" s="36"/>
    <row r="19" ht="14.25" customHeight="1" s="36"/>
    <row r="20" ht="14.25" customHeight="1" s="36"/>
    <row r="21" ht="14.25" customHeight="1" s="36"/>
    <row r="22" ht="14.25" customHeight="1" s="36"/>
    <row r="23" ht="14.25" customHeight="1" s="36"/>
    <row r="24" ht="14.25" customHeight="1" s="36"/>
    <row r="25" ht="14.25" customHeight="1" s="36"/>
    <row r="26" ht="14.25" customHeight="1" s="36"/>
    <row r="27" ht="14.25" customHeight="1" s="36"/>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7" customWidth="1" style="36" min="1" max="1"/>
    <col width="60" customWidth="1" style="36" min="2" max="2"/>
    <col width="9" customWidth="1" style="36" min="3" max="3"/>
    <col width="10" customWidth="1" style="36" min="4" max="4"/>
    <col width="12" customWidth="1" style="36" min="5" max="6"/>
    <col width="22" customWidth="1" style="36" min="7" max="7"/>
    <col width="14" customWidth="1" style="36" min="8" max="8"/>
    <col width="18" customWidth="1" style="36" min="9" max="9"/>
    <col width="11" customWidth="1" style="36" min="10" max="10"/>
    <col width="14" customWidth="1" style="36" min="11" max="11"/>
    <col width="13" customWidth="1" style="36" min="12" max="12"/>
    <col width="12" customWidth="1" style="36" min="13" max="13"/>
    <col width="8.859999999999999" customWidth="1" style="36" min="14" max="26"/>
  </cols>
  <sheetData>
    <row r="1" ht="14.25" customHeight="1" s="36">
      <c r="A1" s="4" t="inlineStr">
        <is>
          <t>Hito</t>
        </is>
      </c>
      <c r="B1" s="4" t="inlineStr">
        <is>
          <t>Descripción y entregable que lo gatilla (Formulario E-25)</t>
        </is>
      </c>
      <c r="C1" s="4" t="inlineStr">
        <is>
          <t>Etapa</t>
        </is>
      </c>
      <c r="D1" s="4" t="inlineStr">
        <is>
          <t>Mes contractual</t>
        </is>
      </c>
      <c r="E1" s="4" t="inlineStr">
        <is>
          <t>Mes calendario</t>
        </is>
      </c>
      <c r="F1" s="4" t="inlineStr">
        <is>
          <t>% de pago (sobre la implementación)</t>
        </is>
      </c>
      <c r="G1" s="4" t="inlineStr">
        <is>
          <t>Paquetes que lo gatillan</t>
        </is>
      </c>
      <c r="H1" s="4" t="inlineStr">
        <is>
          <t>Entrega programada de LafroX</t>
        </is>
      </c>
      <c r="I1" s="4" t="inlineStr">
        <is>
          <t>Fecha límite de entrega (último día hábil del mes − revisión)</t>
        </is>
      </c>
      <c r="J1" s="4" t="inlineStr">
        <is>
          <t>Reserva (días hábiles)</t>
        </is>
      </c>
      <c r="K1" s="4" t="inlineStr">
        <is>
          <t>Probabilidad de entrega a tiempo (simulación SD8)</t>
        </is>
      </c>
      <c r="L1" s="4" t="inlineStr">
        <is>
          <t>Fecha P80 simulada</t>
        </is>
      </c>
      <c r="M1" s="4" t="inlineStr">
        <is>
          <t>Día hábil n.º de la entrega (dato del T-15)</t>
        </is>
      </c>
    </row>
    <row r="2" ht="14.25" customHeight="1" s="36">
      <c r="A2" s="9" t="inlineStr">
        <is>
          <t>H1</t>
        </is>
      </c>
      <c r="B2" s="9" t="inlineStr">
        <is>
          <t>Cierre del levantamiento y aprobación de la línea base de alcance y de la matriz de trazabilidad de requerimientos.</t>
        </is>
      </c>
      <c r="C2" s="9" t="inlineStr">
        <is>
          <t>Etapa 1</t>
        </is>
      </c>
      <c r="D2" s="9" t="n">
        <v>2</v>
      </c>
      <c r="E2" s="10">
        <f>EDATE('Parámetros'!$B$3,D2-1)</f>
        <v/>
      </c>
      <c r="F2" s="11" t="n">
        <v>0.08</v>
      </c>
      <c r="G2" s="9" t="inlineStr">
        <is>
          <t>1.2.1, 1.2.4</t>
        </is>
      </c>
      <c r="H2" s="12">
        <f>WORKDAY('Parámetros'!$B$3-1,M2+1)</f>
        <v/>
      </c>
      <c r="I2" s="12">
        <f>WORKDAY(EOMONTH(E2,0)+1,-1-'Parámetros'!$B$4)</f>
        <v/>
      </c>
      <c r="J2" s="13">
        <f>NETWORKDAYS(H2,I2)-1</f>
        <v/>
      </c>
      <c r="K2" s="14" t="n">
        <v>1</v>
      </c>
      <c r="L2" s="12">
        <f>WORKDAY('Parámetros'!$B$3-1,29)</f>
        <v/>
      </c>
      <c r="M2" s="13" t="n">
        <v>26</v>
      </c>
    </row>
    <row r="3" ht="14.25" customHeight="1" s="36">
      <c r="A3" s="9" t="inlineStr">
        <is>
          <t>H2</t>
        </is>
      </c>
      <c r="B3" s="9" t="inlineStr">
        <is>
          <t>Aprobación del documento de arquitectura, del plan de seguridad y del modelo de datos.</t>
        </is>
      </c>
      <c r="C3" s="9" t="inlineStr">
        <is>
          <t>Etapa 1</t>
        </is>
      </c>
      <c r="D3" s="9" t="n">
        <v>4</v>
      </c>
      <c r="E3" s="10">
        <f>EDATE('Parámetros'!$B$3,D3-1)</f>
        <v/>
      </c>
      <c r="F3" s="11" t="n">
        <v>0.07000000000000001</v>
      </c>
      <c r="G3" s="9" t="inlineStr">
        <is>
          <t>2.1.1–2.1.3, 2.2.1, 2.2.3, 2.2.4 (acta 2.4.1)</t>
        </is>
      </c>
      <c r="H3" s="12">
        <f>WORKDAY('Parámetros'!$B$3-1,M3+1)</f>
        <v/>
      </c>
      <c r="I3" s="12">
        <f>WORKDAY(EOMONTH(E3,0)+1,-1-'Parámetros'!$B$4)</f>
        <v/>
      </c>
      <c r="J3" s="13">
        <f>NETWORKDAYS(H3,I3)-1</f>
        <v/>
      </c>
      <c r="K3" s="14" t="n">
        <v>0.9736</v>
      </c>
      <c r="L3" s="12">
        <f>WORKDAY('Parámetros'!$B$3-1,71)</f>
        <v/>
      </c>
      <c r="M3" s="13" t="n">
        <v>63</v>
      </c>
    </row>
    <row r="4" ht="14.25" customHeight="1" s="36">
      <c r="A4" s="9" t="inlineStr">
        <is>
          <t>H3</t>
        </is>
      </c>
      <c r="B4" s="9" t="inlineStr">
        <is>
          <t>Entrega de la infraestructura híbrida y habilitación de los ambientes de Desarrollo, QA, Preproducción y Producción, con observabilidad operativa.</t>
        </is>
      </c>
      <c r="C4" s="9" t="inlineStr">
        <is>
          <t>Etapa 1</t>
        </is>
      </c>
      <c r="D4" s="9" t="n">
        <v>6</v>
      </c>
      <c r="E4" s="10">
        <f>EDATE('Parámetros'!$B$3,D4-1)</f>
        <v/>
      </c>
      <c r="F4" s="11" t="n">
        <v>0.1</v>
      </c>
      <c r="G4" s="9" t="inlineStr">
        <is>
          <t>3.1.1–3.1.3, 3.1.5, 6.6.3</t>
        </is>
      </c>
      <c r="H4" s="12">
        <f>WORKDAY('Parámetros'!$B$3-1,M4+1)</f>
        <v/>
      </c>
      <c r="I4" s="12">
        <f>WORKDAY(EOMONTH(E4,0)+1,-1-'Parámetros'!$B$4)</f>
        <v/>
      </c>
      <c r="J4" s="13">
        <f>NETWORKDAYS(H4,I4)-1</f>
        <v/>
      </c>
      <c r="K4" s="14" t="n">
        <v>0.8832</v>
      </c>
      <c r="L4" s="12">
        <f>WORKDAY('Parámetros'!$B$3-1,117)</f>
        <v/>
      </c>
      <c r="M4" s="13" t="n">
        <v>100</v>
      </c>
    </row>
    <row r="5" ht="14.25" customHeight="1" s="36">
      <c r="A5" s="9" t="inlineStr">
        <is>
          <t>H4</t>
        </is>
      </c>
      <c r="B5" s="9" t="inlineStr">
        <is>
          <t>Entrega del software de la Etapa 1 para pruebas, con QA superado y evidencia de cobertura.</t>
        </is>
      </c>
      <c r="C5" s="9" t="inlineStr">
        <is>
          <t>Etapa 1</t>
        </is>
      </c>
      <c r="D5" s="9" t="n">
        <v>10</v>
      </c>
      <c r="E5" s="10">
        <f>EDATE('Parámetros'!$B$3,D5-1)</f>
        <v/>
      </c>
      <c r="F5" s="11" t="n">
        <v>0.1</v>
      </c>
      <c r="G5" s="9" t="inlineStr">
        <is>
          <t>3.4, 3.6.1–3.6.4 → 3.8.1</t>
        </is>
      </c>
      <c r="H5" s="12">
        <f>WORKDAY('Parámetros'!$B$3-1,M5+1)</f>
        <v/>
      </c>
      <c r="I5" s="12">
        <f>WORKDAY(EOMONTH(E5,0)+1,-1-'Parámetros'!$B$4)</f>
        <v/>
      </c>
      <c r="J5" s="13">
        <f>NETWORKDAYS(H5,I5)-1</f>
        <v/>
      </c>
      <c r="K5" s="14" t="n">
        <v>0.8653999999999999</v>
      </c>
      <c r="L5" s="12">
        <f>WORKDAY('Parámetros'!$B$3-1,206)</f>
        <v/>
      </c>
      <c r="M5" s="13" t="n">
        <v>187</v>
      </c>
    </row>
    <row r="6" ht="14.25" customHeight="1" s="36">
      <c r="A6" s="9" t="inlineStr">
        <is>
          <t>H5</t>
        </is>
      </c>
      <c r="B6" s="9" t="inlineStr">
        <is>
          <t>Certificación de la solución de la Etapa 1: pruebas de aceptación de usuario, de carga, de resiliencia y de seguridad ofensiva aprobadas.</t>
        </is>
      </c>
      <c r="C6" s="9" t="inlineStr">
        <is>
          <t>Etapa 1</t>
        </is>
      </c>
      <c r="D6" s="9" t="n">
        <v>12</v>
      </c>
      <c r="E6" s="10">
        <f>EDATE('Parámetros'!$B$3,D6-1)</f>
        <v/>
      </c>
      <c r="F6" s="11" t="n">
        <v>0.1</v>
      </c>
      <c r="G6" s="9" t="inlineStr">
        <is>
          <t>3.8.2–3.8.8</t>
        </is>
      </c>
      <c r="H6" s="12">
        <f>WORKDAY('Parámetros'!$B$3-1,M6+1)</f>
        <v/>
      </c>
      <c r="I6" s="12">
        <f>WORKDAY(EOMONTH(E6,0)+1,-1-'Parámetros'!$B$4)</f>
        <v/>
      </c>
      <c r="J6" s="13">
        <f>NETWORKDAYS(H6,I6)-1</f>
        <v/>
      </c>
      <c r="K6" s="14" t="n">
        <v>0.8884</v>
      </c>
      <c r="L6" s="12">
        <f>WORKDAY('Parámetros'!$B$3-1,249)</f>
        <v/>
      </c>
      <c r="M6" s="13" t="n">
        <v>215</v>
      </c>
    </row>
    <row r="7" ht="14.25" customHeight="1" s="36">
      <c r="A7" s="9" t="inlineStr">
        <is>
          <t>H6</t>
        </is>
      </c>
      <c r="B7" s="9" t="inlineStr">
        <is>
          <t>Inicio de la marcha blanca de la Etapa 1, con plan de reversión activo y usuarios capacitados.</t>
        </is>
      </c>
      <c r="C7" s="9" t="inlineStr">
        <is>
          <t>Etapa 1</t>
        </is>
      </c>
      <c r="D7" s="9" t="n">
        <v>13</v>
      </c>
      <c r="E7" s="10">
        <f>EDATE('Parámetros'!$B$3,D7-1)</f>
        <v/>
      </c>
      <c r="F7" s="11" t="n">
        <v>0.05</v>
      </c>
      <c r="G7" s="9" t="inlineStr">
        <is>
          <t>4.2.1</t>
        </is>
      </c>
      <c r="H7" s="13" t="inlineStr">
        <is>
          <t>Fecha fija del Art. 17°</t>
        </is>
      </c>
      <c r="I7" s="13" t="inlineStr">
        <is>
          <t>—</t>
        </is>
      </c>
      <c r="J7" s="13" t="inlineStr">
        <is>
          <t>—</t>
        </is>
      </c>
      <c r="K7" s="13" t="inlineStr">
        <is>
          <t>—</t>
        </is>
      </c>
      <c r="L7" s="13" t="inlineStr">
        <is>
          <t>—</t>
        </is>
      </c>
      <c r="M7" s="13" t="n"/>
    </row>
    <row r="8" ht="14.25" customHeight="1" s="36">
      <c r="A8" s="9" t="inlineStr">
        <is>
          <t>H7</t>
        </is>
      </c>
      <c r="B8" s="9" t="inlineStr">
        <is>
          <t>Paso a producción de la Etapa 1 y cierre conforme de la marcha blanca.</t>
        </is>
      </c>
      <c r="C8" s="9" t="inlineStr">
        <is>
          <t>Etapa 1</t>
        </is>
      </c>
      <c r="D8" s="9" t="n">
        <v>16</v>
      </c>
      <c r="E8" s="10">
        <f>EDATE('Parámetros'!$B$3,D8-1)</f>
        <v/>
      </c>
      <c r="F8" s="11" t="n">
        <v>0.1</v>
      </c>
      <c r="G8" s="9" t="inlineStr">
        <is>
          <t>4.2.3</t>
        </is>
      </c>
      <c r="H8" s="13" t="inlineStr">
        <is>
          <t>Fecha fija del Art. 17°</t>
        </is>
      </c>
      <c r="I8" s="13" t="inlineStr">
        <is>
          <t>—</t>
        </is>
      </c>
      <c r="J8" s="13" t="inlineStr">
        <is>
          <t>—</t>
        </is>
      </c>
      <c r="K8" s="13" t="inlineStr">
        <is>
          <t>—</t>
        </is>
      </c>
      <c r="L8" s="13" t="inlineStr">
        <is>
          <t>—</t>
        </is>
      </c>
      <c r="M8" s="13" t="n"/>
    </row>
    <row r="9" ht="14.25" customHeight="1" s="36">
      <c r="A9" s="9" t="inlineStr">
        <is>
          <t>H8</t>
        </is>
      </c>
      <c r="B9" s="9" t="inlineStr">
        <is>
          <t>Aprobación de la línea base de alcance de la Etapa 2 y de su diseño detallado.</t>
        </is>
      </c>
      <c r="C9" s="9" t="inlineStr">
        <is>
          <t>Etapa 2</t>
        </is>
      </c>
      <c r="D9" s="9" t="n">
        <v>14</v>
      </c>
      <c r="E9" s="10">
        <f>EDATE('Parámetros'!$B$3,D9-1)</f>
        <v/>
      </c>
      <c r="F9" s="11" t="n">
        <v>0.05</v>
      </c>
      <c r="G9" s="9" t="inlineStr">
        <is>
          <t>1.2.5, 2.1.4 (acta 2.4.2)</t>
        </is>
      </c>
      <c r="H9" s="12">
        <f>WORKDAY('Parámetros'!$B$3-1,M9+1)</f>
        <v/>
      </c>
      <c r="I9" s="12">
        <f>WORKDAY(EOMONTH(E9,0)+1,-1-'Parámetros'!$B$4)</f>
        <v/>
      </c>
      <c r="J9" s="13">
        <f>NETWORKDAYS(H9,I9)-1</f>
        <v/>
      </c>
      <c r="K9" s="14" t="n">
        <v>0.9108000000000001</v>
      </c>
      <c r="L9" s="12">
        <f>WORKDAY('Parámetros'!$B$3-1,294)</f>
        <v/>
      </c>
      <c r="M9" s="13" t="n">
        <v>290</v>
      </c>
    </row>
    <row r="10" ht="14.25" customHeight="1" s="36">
      <c r="A10" s="9" t="inlineStr">
        <is>
          <t>H9</t>
        </is>
      </c>
      <c r="B10" s="9" t="inlineStr">
        <is>
          <t>Entrega del software de la Etapa 2 para pruebas, con QA superado.</t>
        </is>
      </c>
      <c r="C10" s="9" t="inlineStr">
        <is>
          <t>Etapa 2</t>
        </is>
      </c>
      <c r="D10" s="9" t="n">
        <v>17</v>
      </c>
      <c r="E10" s="10">
        <f>EDATE('Parámetros'!$B$3,D10-1)</f>
        <v/>
      </c>
      <c r="F10" s="11" t="n">
        <v>0.1</v>
      </c>
      <c r="G10" s="9" t="inlineStr">
        <is>
          <t>3.9.1</t>
        </is>
      </c>
      <c r="H10" s="12">
        <f>WORKDAY('Parámetros'!$B$3-1,M10+1)</f>
        <v/>
      </c>
      <c r="I10" s="12">
        <f>WORKDAY(EOMONTH(E10,0)+1,-1-'Parámetros'!$B$4)</f>
        <v/>
      </c>
      <c r="J10" s="13">
        <f>NETWORKDAYS(H10,I10)-1</f>
        <v/>
      </c>
      <c r="K10" s="14" t="n">
        <v>1</v>
      </c>
      <c r="L10" s="12">
        <f>WORKDAY('Parámetros'!$B$3-1,346)</f>
        <v/>
      </c>
      <c r="M10" s="13" t="n">
        <v>338</v>
      </c>
    </row>
    <row r="11" ht="14.25" customHeight="1" s="36">
      <c r="A11" s="9" t="inlineStr">
        <is>
          <t>H10</t>
        </is>
      </c>
      <c r="B11" s="9" t="inlineStr">
        <is>
          <t>Certificación de la solución de la Etapa 2 y cierre del desarrollo.</t>
        </is>
      </c>
      <c r="C11" s="9" t="inlineStr">
        <is>
          <t>Etapa 2</t>
        </is>
      </c>
      <c r="D11" s="9" t="n">
        <v>18</v>
      </c>
      <c r="E11" s="10">
        <f>EDATE('Parámetros'!$B$3,D11-1)</f>
        <v/>
      </c>
      <c r="F11" s="11" t="n">
        <v>0.1</v>
      </c>
      <c r="G11" s="9" t="inlineStr">
        <is>
          <t>3.9.2–3.9.7 (acta 3.9.6)</t>
        </is>
      </c>
      <c r="H11" s="12">
        <f>WORKDAY('Parámetros'!$B$3-1,M11+1)</f>
        <v/>
      </c>
      <c r="I11" s="12">
        <f>WORKDAY(EOMONTH(E11,0)+1,-1-'Parámetros'!$B$4)</f>
        <v/>
      </c>
      <c r="J11" s="13">
        <f>NETWORKDAYS(H11,I11)-1</f>
        <v/>
      </c>
      <c r="K11" s="14" t="n">
        <v>1</v>
      </c>
      <c r="L11" s="12">
        <f>WORKDAY('Parámetros'!$B$3-1,369)</f>
        <v/>
      </c>
      <c r="M11" s="13" t="n">
        <v>355</v>
      </c>
    </row>
    <row r="12" ht="14.25" customHeight="1" s="36">
      <c r="A12" s="9" t="inlineStr">
        <is>
          <t>H11</t>
        </is>
      </c>
      <c r="B12" s="9" t="inlineStr">
        <is>
          <t>Inicio de la marcha blanca de la Etapa 2 en convivencia con la Etapa 1 en producción.</t>
        </is>
      </c>
      <c r="C12" s="9" t="inlineStr">
        <is>
          <t>Etapa 2</t>
        </is>
      </c>
      <c r="D12" s="9" t="n">
        <v>19</v>
      </c>
      <c r="E12" s="10">
        <f>EDATE('Parámetros'!$B$3,D12-1)</f>
        <v/>
      </c>
      <c r="F12" s="11" t="n">
        <v>0.05</v>
      </c>
      <c r="G12" s="9" t="inlineStr">
        <is>
          <t>4.3.1</t>
        </is>
      </c>
      <c r="H12" s="13" t="inlineStr">
        <is>
          <t>Fecha fija del Art. 17°</t>
        </is>
      </c>
      <c r="I12" s="13" t="inlineStr">
        <is>
          <t>—</t>
        </is>
      </c>
      <c r="J12" s="13" t="inlineStr">
        <is>
          <t>—</t>
        </is>
      </c>
      <c r="K12" s="13" t="inlineStr">
        <is>
          <t>—</t>
        </is>
      </c>
      <c r="L12" s="13" t="inlineStr">
        <is>
          <t>—</t>
        </is>
      </c>
      <c r="M12" s="13" t="n"/>
    </row>
    <row r="13" ht="14.25" customHeight="1" s="36">
      <c r="A13" s="9" t="inlineStr">
        <is>
          <t>H12</t>
        </is>
      </c>
      <c r="B13" s="9" t="inlineStr">
        <is>
          <t>Paso a producción de la Etapa 2 y aceptación final del proyecto de implementación.</t>
        </is>
      </c>
      <c r="C13" s="9" t="inlineStr">
        <is>
          <t>Etapa 2</t>
        </is>
      </c>
      <c r="D13" s="9" t="n">
        <v>21</v>
      </c>
      <c r="E13" s="10">
        <f>EDATE('Parámetros'!$B$3,D13-1)</f>
        <v/>
      </c>
      <c r="F13" s="11" t="n">
        <v>0.1</v>
      </c>
      <c r="G13" s="9" t="inlineStr">
        <is>
          <t>4.3.3, 4.3.4</t>
        </is>
      </c>
      <c r="H13" s="13" t="inlineStr">
        <is>
          <t>Fecha fija del Art. 17°</t>
        </is>
      </c>
      <c r="I13" s="13" t="inlineStr">
        <is>
          <t>—</t>
        </is>
      </c>
      <c r="J13" s="13" t="inlineStr">
        <is>
          <t>—</t>
        </is>
      </c>
      <c r="K13" s="13" t="inlineStr">
        <is>
          <t>—</t>
        </is>
      </c>
      <c r="L13" s="13" t="inlineStr">
        <is>
          <t>—</t>
        </is>
      </c>
      <c r="M13" s="13" t="n"/>
    </row>
    <row r="14" ht="14.25" customHeight="1" s="36">
      <c r="B14" s="3" t="inlineStr">
        <is>
          <t>Total implementación</t>
        </is>
      </c>
      <c r="F14" s="28">
        <f>SUM(F2:F13)</f>
        <v/>
      </c>
    </row>
    <row r="15" ht="14.25" customHeight="1" s="36"/>
    <row r="16" ht="30" customHeight="1" s="36">
      <c r="B16" s="29" t="inlineStr">
        <is>
          <t>Cómo leer esta hoja:</t>
        </is>
      </c>
    </row>
    <row r="17" ht="30" customHeight="1" s="36">
      <c r="B17" s="5" t="inlineStr">
        <is>
          <t>• Mes contractual: mes del contrato en que se firma el acta del hito (Formulario E-25). Mes calendario: ese mes según la fecha de inicio de la hoja «Parámetros».</t>
        </is>
      </c>
    </row>
    <row r="18" ht="30" customHeight="1" s="36">
      <c r="B18" s="5" t="inlineStr">
        <is>
          <t>• Entrega programada: día en que LafroX termina y presenta el último entregable que gatilla el hito (Formulario T-15, Tabla 5.2).</t>
        </is>
      </c>
    </row>
    <row r="19" ht="30" customHeight="1" s="36">
      <c r="B19" s="5" t="inlineStr">
        <is>
          <t>• Fecha límite de entrega: último día hábil del mes del hito menos los diez días hábiles que el CLIENTE tiene para revisar (Art. 18.3). Si LafroX entrega después de esa fecha, el acta no alcanza a firmarse dentro del mes.</t>
        </is>
      </c>
    </row>
    <row r="20" ht="30" customHeight="1" s="36">
      <c r="B20" s="5" t="inlineStr">
        <is>
          <t>• Reserva: días hábiles entre la entrega programada y la fecha límite. Absorbe atrasos sin mover el hito.</t>
        </is>
      </c>
    </row>
    <row r="21" ht="30" customHeight="1" s="36">
      <c r="B21" s="5" t="inlineStr">
        <is>
          <t>• Probabilidad y P80: resultado de la simulación de Monte Carlo del SD8 (Anexo 8.C). P80 es la fecha de entrega que se alcanza en el 80 % de los escenarios; queda antes de la fecha límite en todos los hitos. El H4 exige además todas las integraciones externas de la Etapa 1.</t>
        </is>
      </c>
    </row>
    <row r="22" ht="30" customHeight="1" s="36">
      <c r="B22" s="5" t="inlineStr">
        <is>
          <t>• H6, H7, H11 y H12 no tienen entrega previa calculada: son el inicio o el cierre de una marcha blanca, en fechas fijas del Art. 17°. H7 y H12 se firman en un día permitido del mes, después de los tres primeros días hábiles.</t>
        </is>
      </c>
    </row>
    <row r="23" ht="30" customHeight="1" s="36">
      <c r="B23" s="5" t="inlineStr">
        <is>
          <t>• Además de estos doce hitos, la Operación tiene un hito mensual en producción (36 pagos, meses 21 a 56), con descuentos por incumplimiento de niveles de servicio.</t>
        </is>
      </c>
    </row>
    <row r="24" ht="14.25" customHeight="1" s="36"/>
    <row r="25" ht="14.25" customHeight="1" s="36"/>
    <row r="26" ht="14.25" customHeight="1" s="36"/>
    <row r="27" ht="14.25" customHeight="1" s="36"/>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mergeCells count="8">
    <mergeCell ref="B18:I18"/>
    <mergeCell ref="B21:I21"/>
    <mergeCell ref="B16:I16"/>
    <mergeCell ref="B20:I20"/>
    <mergeCell ref="B19:I19"/>
    <mergeCell ref="B22:I22"/>
    <mergeCell ref="B23:I23"/>
    <mergeCell ref="B17:I17"/>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ColWidth="14.43" defaultRowHeight="15" customHeight="1"/>
  <cols>
    <col width="38" customWidth="1" style="36" min="1" max="1"/>
    <col width="10" customWidth="1" style="36" min="2" max="3"/>
    <col width="12" customWidth="1" style="36" min="4" max="4"/>
    <col width="14" customWidth="1" style="36" min="5" max="6"/>
    <col width="80" customWidth="1" style="36" min="7" max="7"/>
    <col width="8.859999999999999" customWidth="1" style="36" min="8" max="26"/>
  </cols>
  <sheetData>
    <row r="1" ht="14.25" customHeight="1" s="36">
      <c r="A1" s="4" t="inlineStr">
        <is>
          <t>Período contractual</t>
        </is>
      </c>
      <c r="B1" s="4" t="inlineStr">
        <is>
          <t>Mes inicio</t>
        </is>
      </c>
      <c r="C1" s="4" t="inlineStr">
        <is>
          <t>Mes fin</t>
        </is>
      </c>
      <c r="D1" s="4" t="inlineStr">
        <is>
          <t>Duración (meses)</t>
        </is>
      </c>
      <c r="E1" s="4" t="inlineStr">
        <is>
          <t>Inicio calendario</t>
        </is>
      </c>
      <c r="F1" s="4" t="inlineStr">
        <is>
          <t>Fin calendario</t>
        </is>
      </c>
      <c r="G1" s="4" t="inlineStr">
        <is>
          <t>Qué ocurre</t>
        </is>
      </c>
    </row>
    <row r="2" ht="14.25" customHeight="1" s="36">
      <c r="A2" s="9" t="inlineStr">
        <is>
          <t>Etapa 1 · Desarrollo</t>
        </is>
      </c>
      <c r="B2" s="9" t="n">
        <v>1</v>
      </c>
      <c r="C2" s="9" t="n">
        <v>12</v>
      </c>
      <c r="D2" s="9">
        <f>C2-B2+1</f>
        <v/>
      </c>
      <c r="E2" s="10">
        <f>EDATE('Parámetros'!$B$3,B2-1)</f>
        <v/>
      </c>
      <c r="F2" s="10">
        <f>EOMONTH(EDATE('Parámetros'!$B$3,C2-1),0)</f>
        <v/>
      </c>
      <c r="G2" s="9" t="inlineStr">
        <is>
          <t>Se diseña, construye y certifica la Etapa 1 (recepción, inventario, preparación, preventa, rutas, reparto, cobranza, devoluciones, calidad, telemetría e indicadores).</t>
        </is>
      </c>
    </row>
    <row r="3" ht="14.25" customHeight="1" s="36">
      <c r="A3" s="9" t="inlineStr">
        <is>
          <t>Etapa 1 · Marcha blanca</t>
        </is>
      </c>
      <c r="B3" s="9" t="n">
        <v>13</v>
      </c>
      <c r="C3" s="9" t="n">
        <v>15</v>
      </c>
      <c r="D3" s="9">
        <f>C3-B3+1</f>
        <v/>
      </c>
      <c r="E3" s="10">
        <f>EDATE('Parámetros'!$B$3,B3-1)</f>
        <v/>
      </c>
      <c r="F3" s="10">
        <f>EOMONTH(EDATE('Parámetros'!$B$3,C3-1),0)</f>
        <v/>
      </c>
      <c r="G3" s="9" t="inlineStr">
        <is>
          <t>La Etapa 1 opera con usuarios reales en convivencia con la forma actual de trabajo; se mide diariamente hasta cumplir las seis condiciones del Art. 17.3.</t>
        </is>
      </c>
    </row>
    <row r="4" ht="14.25" customHeight="1" s="36">
      <c r="A4" s="9" t="inlineStr">
        <is>
          <t>Etapa 1 · Producción</t>
        </is>
      </c>
      <c r="B4" s="9" t="n">
        <v>16</v>
      </c>
      <c r="C4" s="9" t="n">
        <v>56</v>
      </c>
      <c r="D4" s="9">
        <f>C4-B4+1</f>
        <v/>
      </c>
      <c r="E4" s="10">
        <f>EDATE('Parámetros'!$B$3,B4-1)</f>
        <v/>
      </c>
      <c r="F4" s="10">
        <f>EOMONTH(EDATE('Parámetros'!$B$3,C4-1),0)</f>
        <v/>
      </c>
      <c r="G4" s="9" t="inlineStr">
        <is>
          <t>La Etapa 1 queda en producción desde el H7; hasta el mes 20 recibe soporte puente y estabilización.</t>
        </is>
      </c>
    </row>
    <row r="5" ht="14.25" customHeight="1" s="36">
      <c r="A5" s="9" t="inlineStr">
        <is>
          <t>Etapa 2 · Desarrollo</t>
        </is>
      </c>
      <c r="B5" s="9" t="n">
        <v>13</v>
      </c>
      <c r="C5" s="9" t="n">
        <v>18</v>
      </c>
      <c r="D5" s="9">
        <f>C5-B5+1</f>
        <v/>
      </c>
      <c r="E5" s="10">
        <f>EDATE('Parámetros'!$B$3,B5-1)</f>
        <v/>
      </c>
      <c r="F5" s="10">
        <f>EOMONTH(EDATE('Parámetros'!$B$3,C5-1),0)</f>
        <v/>
      </c>
      <c r="G5" s="9" t="inlineStr">
        <is>
          <t>Se diseña, construye y certifica la Etapa 2 (canal moderno, portales y costo de servir), en paralelo con la marcha blanca de la Etapa 1 (solapamiento de los meses 13 a 15, Art. 17.2).</t>
        </is>
      </c>
    </row>
    <row r="6" ht="14.25" customHeight="1" s="36">
      <c r="A6" s="9" t="inlineStr">
        <is>
          <t>Etapa 2 · Marcha blanca</t>
        </is>
      </c>
      <c r="B6" s="9" t="n">
        <v>19</v>
      </c>
      <c r="C6" s="9" t="n">
        <v>20</v>
      </c>
      <c r="D6" s="9">
        <f>C6-B6+1</f>
        <v/>
      </c>
      <c r="E6" s="10">
        <f>EDATE('Parámetros'!$B$3,B6-1)</f>
        <v/>
      </c>
      <c r="F6" s="10">
        <f>EOMONTH(EDATE('Parámetros'!$B$3,C6-1),0)</f>
        <v/>
      </c>
      <c r="G6" s="9" t="inlineStr">
        <is>
          <t>La Etapa 2 opera con usuarios reales en convivencia con la Etapa 1 en producción.</t>
        </is>
      </c>
    </row>
    <row r="7" ht="14.25" customHeight="1" s="36">
      <c r="A7" s="9" t="inlineStr">
        <is>
          <t>Etapa 2 · Producción y aceptación final</t>
        </is>
      </c>
      <c r="B7" s="9" t="n">
        <v>21</v>
      </c>
      <c r="C7" s="9" t="n">
        <v>21</v>
      </c>
      <c r="D7" s="9">
        <f>C7-B7+1</f>
        <v/>
      </c>
      <c r="E7" s="10">
        <f>EDATE('Parámetros'!$B$3,B7-1)</f>
        <v/>
      </c>
      <c r="F7" s="10">
        <f>EOMONTH(EDATE('Parámetros'!$B$3,C7-1),0)</f>
        <v/>
      </c>
      <c r="G7" s="9" t="inlineStr">
        <is>
          <t>Paso a producción de la Etapa 2 y aceptación final de la implementación (H12).</t>
        </is>
      </c>
    </row>
    <row r="8" ht="14.25" customHeight="1" s="36">
      <c r="A8" s="9" t="inlineStr">
        <is>
          <t>Operación (36 meses)</t>
        </is>
      </c>
      <c r="B8" s="9" t="n">
        <v>21</v>
      </c>
      <c r="C8" s="9" t="n">
        <v>56</v>
      </c>
      <c r="D8" s="9">
        <f>C8-B8+1</f>
        <v/>
      </c>
      <c r="E8" s="10">
        <f>EDATE('Parámetros'!$B$3,B8-1)</f>
        <v/>
      </c>
      <c r="F8" s="10">
        <f>EOMONTH(EDATE('Parámetros'!$B$3,C8-1),0)</f>
        <v/>
      </c>
      <c r="G8" s="9" t="inlineStr">
        <is>
          <t>Servicio de operación, soporte y mantenimiento con niveles de servicio, pagado con el hito mensual.</t>
        </is>
      </c>
    </row>
    <row r="9" ht="14.25" customHeight="1" s="36"/>
    <row r="10" ht="14.25" customHeight="1" s="36">
      <c r="A10" s="8" t="inlineStr">
        <is>
          <t>Fuente: Bases Administrativas, Art. 17° (cronograma contractual obligatorio). Estos períodos no se mueven: el plan de trabajo se ajusta a ellos.</t>
        </is>
      </c>
    </row>
    <row r="11" ht="14.25" customHeight="1" s="36"/>
    <row r="12" ht="14.25" customHeight="1" s="36"/>
    <row r="13" ht="14.25" customHeight="1" s="36"/>
    <row r="14" ht="14.25" customHeight="1" s="36"/>
    <row r="15" ht="14.25" customHeight="1" s="36"/>
    <row r="16" ht="14.25" customHeight="1" s="36"/>
    <row r="17" ht="14.25" customHeight="1" s="36"/>
    <row r="18" ht="14.25" customHeight="1" s="36"/>
    <row r="19" ht="14.25" customHeight="1" s="36"/>
    <row r="20" ht="14.25" customHeight="1" s="36"/>
    <row r="21" ht="14.25" customHeight="1" s="36"/>
    <row r="22" ht="14.25" customHeight="1" s="36"/>
    <row r="23" ht="14.25" customHeight="1" s="36"/>
    <row r="24" ht="14.25" customHeight="1" s="36"/>
    <row r="25" ht="14.25" customHeight="1" s="36"/>
    <row r="26" ht="14.25" customHeight="1" s="36"/>
    <row r="27" ht="14.25" customHeight="1" s="36"/>
    <row r="28" ht="14.25" customHeight="1" s="36"/>
    <row r="29" ht="14.25" customHeight="1" s="36"/>
    <row r="30" ht="14.25" customHeight="1" s="36"/>
    <row r="31" ht="14.25" customHeight="1" s="36"/>
    <row r="32" ht="14.25" customHeight="1" s="36"/>
    <row r="33" ht="14.25" customHeight="1" s="36"/>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K66"/>
  <sheetViews>
    <sheetView workbookViewId="0">
      <selection activeCell="A1" sqref="A1"/>
    </sheetView>
  </sheetViews>
  <sheetFormatPr baseColWidth="8" defaultColWidth="14.43" defaultRowHeight="15" customHeight="1"/>
  <cols>
    <col width="24" customWidth="1" style="36" min="1" max="1"/>
    <col width="7" customWidth="1" style="36" min="2" max="2"/>
    <col width="46" customWidth="1" style="36" min="3" max="3"/>
    <col width="8" customWidth="1" style="36" min="4" max="5"/>
    <col width="9" customWidth="1" style="36" min="6" max="6"/>
    <col width="10" customWidth="1" style="36" min="7" max="7"/>
    <col width="3.29" customWidth="1" style="36" min="8" max="63"/>
  </cols>
  <sheetData>
    <row r="1" ht="14.25" customHeight="1" s="36">
      <c r="A1" s="1" t="inlineStr">
        <is>
          <t>Carta Gantt por cuenta de control (49 cuentas) y períodos del Art. 17°</t>
        </is>
      </c>
    </row>
    <row r="2" ht="14.25" customHeight="1" s="36">
      <c r="A2" s="3" t="inlineStr">
        <is>
          <t>Leyenda de colores (fase de la EDT):</t>
        </is>
      </c>
      <c r="H2" s="15" t="n"/>
      <c r="I2" s="16" t="inlineStr">
        <is>
          <t>1 Inicio</t>
        </is>
      </c>
      <c r="P2" s="17" t="n"/>
      <c r="Q2" s="16" t="inlineStr">
        <is>
          <t>2 Elaboración</t>
        </is>
      </c>
      <c r="X2" s="18" t="n"/>
      <c r="Y2" s="16" t="inlineStr">
        <is>
          <t>3 Construcción</t>
        </is>
      </c>
      <c r="AF2" s="19" t="n"/>
      <c r="AG2" s="16" t="inlineStr">
        <is>
          <t>4 Transición</t>
        </is>
      </c>
      <c r="AN2" s="20" t="n"/>
      <c r="AO2" s="16" t="inlineStr">
        <is>
          <t>5 Adquisiciones y contrataciones</t>
        </is>
      </c>
    </row>
    <row r="3" ht="14.25" customHeight="1" s="36">
      <c r="H3" s="21" t="n"/>
      <c r="I3" s="16" t="inlineStr">
        <is>
          <t>6 Infraestructura física y sitios</t>
        </is>
      </c>
      <c r="P3" s="22" t="n"/>
      <c r="Q3" s="16" t="inlineStr">
        <is>
          <t>7 Capacitación y gestión del cambio</t>
        </is>
      </c>
      <c r="X3" s="23" t="n"/>
      <c r="Y3" s="16" t="inlineStr">
        <is>
          <t>8 Operación y soporte</t>
        </is>
      </c>
      <c r="AF3" s="24" t="n"/>
      <c r="AG3" s="16" t="inlineStr">
        <is>
          <t>9 Cierre</t>
        </is>
      </c>
    </row>
    <row r="4" ht="14.25" customHeight="1" s="36">
      <c r="H4" s="25" t="inlineStr">
        <is>
          <t>«C» y fondo naranja = mes de congelamiento (septiembre y diciembre): sin pasos a producción. Fila «Hitos E-25» = mes del acta de cada hito.</t>
        </is>
      </c>
    </row>
    <row r="5" ht="14.25" customHeight="1" s="36">
      <c r="A5" s="4" t="inlineStr">
        <is>
          <t>Fase</t>
        </is>
      </c>
      <c r="B5" s="4" t="inlineStr">
        <is>
          <t>Cuenta</t>
        </is>
      </c>
      <c r="C5" s="4" t="inlineStr">
        <is>
          <t>Nombre</t>
        </is>
      </c>
      <c r="D5" s="4" t="inlineStr">
        <is>
          <t>Inicio (mes)</t>
        </is>
      </c>
      <c r="E5" s="4" t="inlineStr">
        <is>
          <t>Fin (mes)</t>
        </is>
      </c>
      <c r="F5" s="4" t="inlineStr">
        <is>
          <t>Duración (meses)</t>
        </is>
      </c>
      <c r="G5" s="4" t="inlineStr">
        <is>
          <t>HH (E)</t>
        </is>
      </c>
      <c r="H5" s="26" t="n">
        <v>1</v>
      </c>
      <c r="I5" s="26" t="n">
        <v>2</v>
      </c>
      <c r="J5" s="26" t="n">
        <v>3</v>
      </c>
      <c r="K5" s="26" t="n">
        <v>4</v>
      </c>
      <c r="L5" s="26" t="n">
        <v>5</v>
      </c>
      <c r="M5" s="26" t="n">
        <v>6</v>
      </c>
      <c r="N5" s="26" t="n">
        <v>7</v>
      </c>
      <c r="O5" s="26" t="n">
        <v>8</v>
      </c>
      <c r="P5" s="26" t="n">
        <v>9</v>
      </c>
      <c r="Q5" s="26" t="n">
        <v>10</v>
      </c>
      <c r="R5" s="26" t="n">
        <v>11</v>
      </c>
      <c r="S5" s="26" t="n">
        <v>12</v>
      </c>
      <c r="T5" s="26" t="n">
        <v>13</v>
      </c>
      <c r="U5" s="26" t="n">
        <v>14</v>
      </c>
      <c r="V5" s="26" t="n">
        <v>15</v>
      </c>
      <c r="W5" s="26" t="n">
        <v>16</v>
      </c>
      <c r="X5" s="26" t="n">
        <v>17</v>
      </c>
      <c r="Y5" s="26" t="n">
        <v>18</v>
      </c>
      <c r="Z5" s="26" t="n">
        <v>19</v>
      </c>
      <c r="AA5" s="26" t="n">
        <v>20</v>
      </c>
      <c r="AB5" s="26" t="n">
        <v>21</v>
      </c>
      <c r="AC5" s="26" t="n">
        <v>22</v>
      </c>
      <c r="AD5" s="26" t="n">
        <v>23</v>
      </c>
      <c r="AE5" s="26" t="n">
        <v>24</v>
      </c>
      <c r="AF5" s="26" t="n">
        <v>25</v>
      </c>
      <c r="AG5" s="26" t="n">
        <v>26</v>
      </c>
      <c r="AH5" s="26" t="n">
        <v>27</v>
      </c>
      <c r="AI5" s="26" t="n">
        <v>28</v>
      </c>
      <c r="AJ5" s="26" t="n">
        <v>29</v>
      </c>
      <c r="AK5" s="26" t="n">
        <v>30</v>
      </c>
      <c r="AL5" s="26" t="n">
        <v>31</v>
      </c>
      <c r="AM5" s="26" t="n">
        <v>32</v>
      </c>
      <c r="AN5" s="26" t="n">
        <v>33</v>
      </c>
      <c r="AO5" s="26" t="n">
        <v>34</v>
      </c>
      <c r="AP5" s="26" t="n">
        <v>35</v>
      </c>
      <c r="AQ5" s="26" t="n">
        <v>36</v>
      </c>
      <c r="AR5" s="26" t="n">
        <v>37</v>
      </c>
      <c r="AS5" s="26" t="n">
        <v>38</v>
      </c>
      <c r="AT5" s="26" t="n">
        <v>39</v>
      </c>
      <c r="AU5" s="26" t="n">
        <v>40</v>
      </c>
      <c r="AV5" s="26" t="n">
        <v>41</v>
      </c>
      <c r="AW5" s="26" t="n">
        <v>42</v>
      </c>
      <c r="AX5" s="26" t="n">
        <v>43</v>
      </c>
      <c r="AY5" s="26" t="n">
        <v>44</v>
      </c>
      <c r="AZ5" s="26" t="n">
        <v>45</v>
      </c>
      <c r="BA5" s="26" t="n">
        <v>46</v>
      </c>
      <c r="BB5" s="26" t="n">
        <v>47</v>
      </c>
      <c r="BC5" s="26" t="n">
        <v>48</v>
      </c>
      <c r="BD5" s="26" t="n">
        <v>49</v>
      </c>
      <c r="BE5" s="26" t="n">
        <v>50</v>
      </c>
      <c r="BF5" s="26" t="n">
        <v>51</v>
      </c>
      <c r="BG5" s="26" t="n">
        <v>52</v>
      </c>
      <c r="BH5" s="26" t="n">
        <v>53</v>
      </c>
      <c r="BI5" s="26" t="n">
        <v>54</v>
      </c>
      <c r="BJ5" s="26" t="n">
        <v>55</v>
      </c>
      <c r="BK5" s="26" t="n">
        <v>56</v>
      </c>
    </row>
    <row r="6" ht="42" customHeight="1" s="36">
      <c r="G6" s="3" t="inlineStr">
        <is>
          <t>Mes calendario</t>
        </is>
      </c>
      <c r="H6" s="27">
        <f>EDATE('Parámetros'!$B$3,H5-1)</f>
        <v/>
      </c>
      <c r="I6" s="27">
        <f>EDATE('Parámetros'!$B$3,I5-1)</f>
        <v/>
      </c>
      <c r="J6" s="27">
        <f>EDATE('Parámetros'!$B$3,J5-1)</f>
        <v/>
      </c>
      <c r="K6" s="27">
        <f>EDATE('Parámetros'!$B$3,K5-1)</f>
        <v/>
      </c>
      <c r="L6" s="27">
        <f>EDATE('Parámetros'!$B$3,L5-1)</f>
        <v/>
      </c>
      <c r="M6" s="27">
        <f>EDATE('Parámetros'!$B$3,M5-1)</f>
        <v/>
      </c>
      <c r="N6" s="27">
        <f>EDATE('Parámetros'!$B$3,N5-1)</f>
        <v/>
      </c>
      <c r="O6" s="27">
        <f>EDATE('Parámetros'!$B$3,O5-1)</f>
        <v/>
      </c>
      <c r="P6" s="27">
        <f>EDATE('Parámetros'!$B$3,P5-1)</f>
        <v/>
      </c>
      <c r="Q6" s="27">
        <f>EDATE('Parámetros'!$B$3,Q5-1)</f>
        <v/>
      </c>
      <c r="R6" s="27">
        <f>EDATE('Parámetros'!$B$3,R5-1)</f>
        <v/>
      </c>
      <c r="S6" s="27">
        <f>EDATE('Parámetros'!$B$3,S5-1)</f>
        <v/>
      </c>
      <c r="T6" s="27">
        <f>EDATE('Parámetros'!$B$3,T5-1)</f>
        <v/>
      </c>
      <c r="U6" s="27">
        <f>EDATE('Parámetros'!$B$3,U5-1)</f>
        <v/>
      </c>
      <c r="V6" s="27">
        <f>EDATE('Parámetros'!$B$3,V5-1)</f>
        <v/>
      </c>
      <c r="W6" s="27">
        <f>EDATE('Parámetros'!$B$3,W5-1)</f>
        <v/>
      </c>
      <c r="X6" s="27">
        <f>EDATE('Parámetros'!$B$3,X5-1)</f>
        <v/>
      </c>
      <c r="Y6" s="27">
        <f>EDATE('Parámetros'!$B$3,Y5-1)</f>
        <v/>
      </c>
      <c r="Z6" s="27">
        <f>EDATE('Parámetros'!$B$3,Z5-1)</f>
        <v/>
      </c>
      <c r="AA6" s="27">
        <f>EDATE('Parámetros'!$B$3,AA5-1)</f>
        <v/>
      </c>
      <c r="AB6" s="27">
        <f>EDATE('Parámetros'!$B$3,AB5-1)</f>
        <v/>
      </c>
      <c r="AC6" s="27">
        <f>EDATE('Parámetros'!$B$3,AC5-1)</f>
        <v/>
      </c>
      <c r="AD6" s="27">
        <f>EDATE('Parámetros'!$B$3,AD5-1)</f>
        <v/>
      </c>
      <c r="AE6" s="27">
        <f>EDATE('Parámetros'!$B$3,AE5-1)</f>
        <v/>
      </c>
      <c r="AF6" s="27">
        <f>EDATE('Parámetros'!$B$3,AF5-1)</f>
        <v/>
      </c>
      <c r="AG6" s="27">
        <f>EDATE('Parámetros'!$B$3,AG5-1)</f>
        <v/>
      </c>
      <c r="AH6" s="27">
        <f>EDATE('Parámetros'!$B$3,AH5-1)</f>
        <v/>
      </c>
      <c r="AI6" s="27">
        <f>EDATE('Parámetros'!$B$3,AI5-1)</f>
        <v/>
      </c>
      <c r="AJ6" s="27">
        <f>EDATE('Parámetros'!$B$3,AJ5-1)</f>
        <v/>
      </c>
      <c r="AK6" s="27">
        <f>EDATE('Parámetros'!$B$3,AK5-1)</f>
        <v/>
      </c>
      <c r="AL6" s="27">
        <f>EDATE('Parámetros'!$B$3,AL5-1)</f>
        <v/>
      </c>
      <c r="AM6" s="27">
        <f>EDATE('Parámetros'!$B$3,AM5-1)</f>
        <v/>
      </c>
      <c r="AN6" s="27">
        <f>EDATE('Parámetros'!$B$3,AN5-1)</f>
        <v/>
      </c>
      <c r="AO6" s="27">
        <f>EDATE('Parámetros'!$B$3,AO5-1)</f>
        <v/>
      </c>
      <c r="AP6" s="27">
        <f>EDATE('Parámetros'!$B$3,AP5-1)</f>
        <v/>
      </c>
      <c r="AQ6" s="27">
        <f>EDATE('Parámetros'!$B$3,AQ5-1)</f>
        <v/>
      </c>
      <c r="AR6" s="27">
        <f>EDATE('Parámetros'!$B$3,AR5-1)</f>
        <v/>
      </c>
      <c r="AS6" s="27">
        <f>EDATE('Parámetros'!$B$3,AS5-1)</f>
        <v/>
      </c>
      <c r="AT6" s="27">
        <f>EDATE('Parámetros'!$B$3,AT5-1)</f>
        <v/>
      </c>
      <c r="AU6" s="27">
        <f>EDATE('Parámetros'!$B$3,AU5-1)</f>
        <v/>
      </c>
      <c r="AV6" s="27">
        <f>EDATE('Parámetros'!$B$3,AV5-1)</f>
        <v/>
      </c>
      <c r="AW6" s="27">
        <f>EDATE('Parámetros'!$B$3,AW5-1)</f>
        <v/>
      </c>
      <c r="AX6" s="27">
        <f>EDATE('Parámetros'!$B$3,AX5-1)</f>
        <v/>
      </c>
      <c r="AY6" s="27">
        <f>EDATE('Parámetros'!$B$3,AY5-1)</f>
        <v/>
      </c>
      <c r="AZ6" s="27">
        <f>EDATE('Parámetros'!$B$3,AZ5-1)</f>
        <v/>
      </c>
      <c r="BA6" s="27">
        <f>EDATE('Parámetros'!$B$3,BA5-1)</f>
        <v/>
      </c>
      <c r="BB6" s="27">
        <f>EDATE('Parámetros'!$B$3,BB5-1)</f>
        <v/>
      </c>
      <c r="BC6" s="27">
        <f>EDATE('Parámetros'!$B$3,BC5-1)</f>
        <v/>
      </c>
      <c r="BD6" s="27">
        <f>EDATE('Parámetros'!$B$3,BD5-1)</f>
        <v/>
      </c>
      <c r="BE6" s="27">
        <f>EDATE('Parámetros'!$B$3,BE5-1)</f>
        <v/>
      </c>
      <c r="BF6" s="27">
        <f>EDATE('Parámetros'!$B$3,BF5-1)</f>
        <v/>
      </c>
      <c r="BG6" s="27">
        <f>EDATE('Parámetros'!$B$3,BG5-1)</f>
        <v/>
      </c>
      <c r="BH6" s="27">
        <f>EDATE('Parámetros'!$B$3,BH5-1)</f>
        <v/>
      </c>
      <c r="BI6" s="27">
        <f>EDATE('Parámetros'!$B$3,BI5-1)</f>
        <v/>
      </c>
      <c r="BJ6" s="27">
        <f>EDATE('Parámetros'!$B$3,BJ5-1)</f>
        <v/>
      </c>
      <c r="BK6" s="27">
        <f>EDATE('Parámetros'!$B$3,BK5-1)</f>
        <v/>
      </c>
    </row>
    <row r="7" ht="14.25" customHeight="1" s="36">
      <c r="G7" s="3" t="inlineStr">
        <is>
          <t>Congelamiento</t>
        </is>
      </c>
      <c r="H7" s="30">
        <f>IF(OR(MONTH(H6)=9,MONTH(H6)=12),"C","")</f>
        <v/>
      </c>
      <c r="I7" s="30">
        <f>IF(OR(MONTH(I6)=9,MONTH(I6)=12),"C","")</f>
        <v/>
      </c>
      <c r="J7" s="30">
        <f>IF(OR(MONTH(J6)=9,MONTH(J6)=12),"C","")</f>
        <v/>
      </c>
      <c r="K7" s="30">
        <f>IF(OR(MONTH(K6)=9,MONTH(K6)=12),"C","")</f>
        <v/>
      </c>
      <c r="L7" s="30">
        <f>IF(OR(MONTH(L6)=9,MONTH(L6)=12),"C","")</f>
        <v/>
      </c>
      <c r="M7" s="30">
        <f>IF(OR(MONTH(M6)=9,MONTH(M6)=12),"C","")</f>
        <v/>
      </c>
      <c r="N7" s="30">
        <f>IF(OR(MONTH(N6)=9,MONTH(N6)=12),"C","")</f>
        <v/>
      </c>
      <c r="O7" s="30">
        <f>IF(OR(MONTH(O6)=9,MONTH(O6)=12),"C","")</f>
        <v/>
      </c>
      <c r="P7" s="30">
        <f>IF(OR(MONTH(P6)=9,MONTH(P6)=12),"C","")</f>
        <v/>
      </c>
      <c r="Q7" s="30">
        <f>IF(OR(MONTH(Q6)=9,MONTH(Q6)=12),"C","")</f>
        <v/>
      </c>
      <c r="R7" s="30">
        <f>IF(OR(MONTH(R6)=9,MONTH(R6)=12),"C","")</f>
        <v/>
      </c>
      <c r="S7" s="30">
        <f>IF(OR(MONTH(S6)=9,MONTH(S6)=12),"C","")</f>
        <v/>
      </c>
      <c r="T7" s="30">
        <f>IF(OR(MONTH(T6)=9,MONTH(T6)=12),"C","")</f>
        <v/>
      </c>
      <c r="U7" s="30">
        <f>IF(OR(MONTH(U6)=9,MONTH(U6)=12),"C","")</f>
        <v/>
      </c>
      <c r="V7" s="30">
        <f>IF(OR(MONTH(V6)=9,MONTH(V6)=12),"C","")</f>
        <v/>
      </c>
      <c r="W7" s="30">
        <f>IF(OR(MONTH(W6)=9,MONTH(W6)=12),"C","")</f>
        <v/>
      </c>
      <c r="X7" s="30">
        <f>IF(OR(MONTH(X6)=9,MONTH(X6)=12),"C","")</f>
        <v/>
      </c>
      <c r="Y7" s="30">
        <f>IF(OR(MONTH(Y6)=9,MONTH(Y6)=12),"C","")</f>
        <v/>
      </c>
      <c r="Z7" s="30">
        <f>IF(OR(MONTH(Z6)=9,MONTH(Z6)=12),"C","")</f>
        <v/>
      </c>
      <c r="AA7" s="30">
        <f>IF(OR(MONTH(AA6)=9,MONTH(AA6)=12),"C","")</f>
        <v/>
      </c>
      <c r="AB7" s="30">
        <f>IF(OR(MONTH(AB6)=9,MONTH(AB6)=12),"C","")</f>
        <v/>
      </c>
      <c r="AC7" s="30">
        <f>IF(OR(MONTH(AC6)=9,MONTH(AC6)=12),"C","")</f>
        <v/>
      </c>
      <c r="AD7" s="30">
        <f>IF(OR(MONTH(AD6)=9,MONTH(AD6)=12),"C","")</f>
        <v/>
      </c>
      <c r="AE7" s="30">
        <f>IF(OR(MONTH(AE6)=9,MONTH(AE6)=12),"C","")</f>
        <v/>
      </c>
      <c r="AF7" s="30">
        <f>IF(OR(MONTH(AF6)=9,MONTH(AF6)=12),"C","")</f>
        <v/>
      </c>
      <c r="AG7" s="30">
        <f>IF(OR(MONTH(AG6)=9,MONTH(AG6)=12),"C","")</f>
        <v/>
      </c>
      <c r="AH7" s="30">
        <f>IF(OR(MONTH(AH6)=9,MONTH(AH6)=12),"C","")</f>
        <v/>
      </c>
      <c r="AI7" s="30">
        <f>IF(OR(MONTH(AI6)=9,MONTH(AI6)=12),"C","")</f>
        <v/>
      </c>
      <c r="AJ7" s="30">
        <f>IF(OR(MONTH(AJ6)=9,MONTH(AJ6)=12),"C","")</f>
        <v/>
      </c>
      <c r="AK7" s="30">
        <f>IF(OR(MONTH(AK6)=9,MONTH(AK6)=12),"C","")</f>
        <v/>
      </c>
      <c r="AL7" s="30">
        <f>IF(OR(MONTH(AL6)=9,MONTH(AL6)=12),"C","")</f>
        <v/>
      </c>
      <c r="AM7" s="30">
        <f>IF(OR(MONTH(AM6)=9,MONTH(AM6)=12),"C","")</f>
        <v/>
      </c>
      <c r="AN7" s="30">
        <f>IF(OR(MONTH(AN6)=9,MONTH(AN6)=12),"C","")</f>
        <v/>
      </c>
      <c r="AO7" s="30">
        <f>IF(OR(MONTH(AO6)=9,MONTH(AO6)=12),"C","")</f>
        <v/>
      </c>
      <c r="AP7" s="30">
        <f>IF(OR(MONTH(AP6)=9,MONTH(AP6)=12),"C","")</f>
        <v/>
      </c>
      <c r="AQ7" s="30">
        <f>IF(OR(MONTH(AQ6)=9,MONTH(AQ6)=12),"C","")</f>
        <v/>
      </c>
      <c r="AR7" s="30">
        <f>IF(OR(MONTH(AR6)=9,MONTH(AR6)=12),"C","")</f>
        <v/>
      </c>
      <c r="AS7" s="30">
        <f>IF(OR(MONTH(AS6)=9,MONTH(AS6)=12),"C","")</f>
        <v/>
      </c>
      <c r="AT7" s="30">
        <f>IF(OR(MONTH(AT6)=9,MONTH(AT6)=12),"C","")</f>
        <v/>
      </c>
      <c r="AU7" s="30">
        <f>IF(OR(MONTH(AU6)=9,MONTH(AU6)=12),"C","")</f>
        <v/>
      </c>
      <c r="AV7" s="30">
        <f>IF(OR(MONTH(AV6)=9,MONTH(AV6)=12),"C","")</f>
        <v/>
      </c>
      <c r="AW7" s="30">
        <f>IF(OR(MONTH(AW6)=9,MONTH(AW6)=12),"C","")</f>
        <v/>
      </c>
      <c r="AX7" s="30">
        <f>IF(OR(MONTH(AX6)=9,MONTH(AX6)=12),"C","")</f>
        <v/>
      </c>
      <c r="AY7" s="30">
        <f>IF(OR(MONTH(AY6)=9,MONTH(AY6)=12),"C","")</f>
        <v/>
      </c>
      <c r="AZ7" s="30">
        <f>IF(OR(MONTH(AZ6)=9,MONTH(AZ6)=12),"C","")</f>
        <v/>
      </c>
      <c r="BA7" s="30">
        <f>IF(OR(MONTH(BA6)=9,MONTH(BA6)=12),"C","")</f>
        <v/>
      </c>
      <c r="BB7" s="30">
        <f>IF(OR(MONTH(BB6)=9,MONTH(BB6)=12),"C","")</f>
        <v/>
      </c>
      <c r="BC7" s="30">
        <f>IF(OR(MONTH(BC6)=9,MONTH(BC6)=12),"C","")</f>
        <v/>
      </c>
      <c r="BD7" s="30">
        <f>IF(OR(MONTH(BD6)=9,MONTH(BD6)=12),"C","")</f>
        <v/>
      </c>
      <c r="BE7" s="30">
        <f>IF(OR(MONTH(BE6)=9,MONTH(BE6)=12),"C","")</f>
        <v/>
      </c>
      <c r="BF7" s="30">
        <f>IF(OR(MONTH(BF6)=9,MONTH(BF6)=12),"C","")</f>
        <v/>
      </c>
      <c r="BG7" s="30">
        <f>IF(OR(MONTH(BG6)=9,MONTH(BG6)=12),"C","")</f>
        <v/>
      </c>
      <c r="BH7" s="30">
        <f>IF(OR(MONTH(BH6)=9,MONTH(BH6)=12),"C","")</f>
        <v/>
      </c>
      <c r="BI7" s="30">
        <f>IF(OR(MONTH(BI6)=9,MONTH(BI6)=12),"C","")</f>
        <v/>
      </c>
      <c r="BJ7" s="30">
        <f>IF(OR(MONTH(BJ6)=9,MONTH(BJ6)=12),"C","")</f>
        <v/>
      </c>
      <c r="BK7" s="30">
        <f>IF(OR(MONTH(BK6)=9,MONTH(BK6)=12),"C","")</f>
        <v/>
      </c>
    </row>
    <row r="8" ht="14.25" customHeight="1" s="36">
      <c r="G8" s="3" t="inlineStr">
        <is>
          <t>Hitos E-25</t>
        </is>
      </c>
      <c r="H8" s="30">
        <f t="array" ref="H8">IFERROR(INDEX(Hitos!$A$2:$A$13,MATCH(H5,Hitos!$D$2:$D$13,0)),"")</f>
        <v/>
      </c>
      <c r="I8" s="30">
        <f t="array" ref="I8">IFERROR(INDEX(Hitos!$A$2:$A$13,MATCH(I5,Hitos!$D$2:$D$13,0)),"")</f>
        <v/>
      </c>
      <c r="J8" s="30">
        <f t="array" ref="J8">IFERROR(INDEX(Hitos!$A$2:$A$13,MATCH(J5,Hitos!$D$2:$D$13,0)),"")</f>
        <v/>
      </c>
      <c r="K8" s="30">
        <f t="array" ref="K8">IFERROR(INDEX(Hitos!$A$2:$A$13,MATCH(K5,Hitos!$D$2:$D$13,0)),"")</f>
        <v/>
      </c>
      <c r="L8" s="30">
        <f t="array" ref="L8">IFERROR(INDEX(Hitos!$A$2:$A$13,MATCH(L5,Hitos!$D$2:$D$13,0)),"")</f>
        <v/>
      </c>
      <c r="M8" s="30">
        <f t="array" ref="M8">IFERROR(INDEX(Hitos!$A$2:$A$13,MATCH(M5,Hitos!$D$2:$D$13,0)),"")</f>
        <v/>
      </c>
      <c r="N8" s="30">
        <f t="array" ref="N8">IFERROR(INDEX(Hitos!$A$2:$A$13,MATCH(N5,Hitos!$D$2:$D$13,0)),"")</f>
        <v/>
      </c>
      <c r="O8" s="30">
        <f t="array" ref="O8">IFERROR(INDEX(Hitos!$A$2:$A$13,MATCH(O5,Hitos!$D$2:$D$13,0)),"")</f>
        <v/>
      </c>
      <c r="P8" s="30">
        <f t="array" ref="P8">IFERROR(INDEX(Hitos!$A$2:$A$13,MATCH(P5,Hitos!$D$2:$D$13,0)),"")</f>
        <v/>
      </c>
      <c r="Q8" s="30">
        <f t="array" ref="Q8">IFERROR(INDEX(Hitos!$A$2:$A$13,MATCH(Q5,Hitos!$D$2:$D$13,0)),"")</f>
        <v/>
      </c>
      <c r="R8" s="30">
        <f t="array" ref="R8">IFERROR(INDEX(Hitos!$A$2:$A$13,MATCH(R5,Hitos!$D$2:$D$13,0)),"")</f>
        <v/>
      </c>
      <c r="S8" s="30">
        <f t="array" ref="S8">IFERROR(INDEX(Hitos!$A$2:$A$13,MATCH(S5,Hitos!$D$2:$D$13,0)),"")</f>
        <v/>
      </c>
      <c r="T8" s="30">
        <f t="array" ref="T8">IFERROR(INDEX(Hitos!$A$2:$A$13,MATCH(T5,Hitos!$D$2:$D$13,0)),"")</f>
        <v/>
      </c>
      <c r="U8" s="30">
        <f t="array" ref="U8">IFERROR(INDEX(Hitos!$A$2:$A$13,MATCH(U5,Hitos!$D$2:$D$13,0)),"")</f>
        <v/>
      </c>
      <c r="V8" s="30">
        <f t="array" ref="V8">IFERROR(INDEX(Hitos!$A$2:$A$13,MATCH(V5,Hitos!$D$2:$D$13,0)),"")</f>
        <v/>
      </c>
      <c r="W8" s="30">
        <f t="array" ref="W8">IFERROR(INDEX(Hitos!$A$2:$A$13,MATCH(W5,Hitos!$D$2:$D$13,0)),"")</f>
        <v/>
      </c>
      <c r="X8" s="30">
        <f t="array" ref="X8">IFERROR(INDEX(Hitos!$A$2:$A$13,MATCH(X5,Hitos!$D$2:$D$13,0)),"")</f>
        <v/>
      </c>
      <c r="Y8" s="30">
        <f t="array" ref="Y8">IFERROR(INDEX(Hitos!$A$2:$A$13,MATCH(Y5,Hitos!$D$2:$D$13,0)),"")</f>
        <v/>
      </c>
      <c r="Z8" s="30">
        <f t="array" ref="Z8">IFERROR(INDEX(Hitos!$A$2:$A$13,MATCH(Z5,Hitos!$D$2:$D$13,0)),"")</f>
        <v/>
      </c>
      <c r="AA8" s="30">
        <f t="array" ref="AA8">IFERROR(INDEX(Hitos!$A$2:$A$13,MATCH(AA5,Hitos!$D$2:$D$13,0)),"")</f>
        <v/>
      </c>
      <c r="AB8" s="30">
        <f t="array" ref="AB8">IFERROR(INDEX(Hitos!$A$2:$A$13,MATCH(AB5,Hitos!$D$2:$D$13,0)),"")</f>
        <v/>
      </c>
      <c r="AC8" s="30">
        <f t="array" ref="AC8">IFERROR(INDEX(Hitos!$A$2:$A$13,MATCH(AC5,Hitos!$D$2:$D$13,0)),"")</f>
        <v/>
      </c>
      <c r="AD8" s="30">
        <f t="array" ref="AD8">IFERROR(INDEX(Hitos!$A$2:$A$13,MATCH(AD5,Hitos!$D$2:$D$13,0)),"")</f>
        <v/>
      </c>
      <c r="AE8" s="30">
        <f t="array" ref="AE8">IFERROR(INDEX(Hitos!$A$2:$A$13,MATCH(AE5,Hitos!$D$2:$D$13,0)),"")</f>
        <v/>
      </c>
      <c r="AF8" s="30">
        <f t="array" ref="AF8">IFERROR(INDEX(Hitos!$A$2:$A$13,MATCH(AF5,Hitos!$D$2:$D$13,0)),"")</f>
        <v/>
      </c>
      <c r="AG8" s="30">
        <f t="array" ref="AG8">IFERROR(INDEX(Hitos!$A$2:$A$13,MATCH(AG5,Hitos!$D$2:$D$13,0)),"")</f>
        <v/>
      </c>
      <c r="AH8" s="30">
        <f t="array" ref="AH8">IFERROR(INDEX(Hitos!$A$2:$A$13,MATCH(AH5,Hitos!$D$2:$D$13,0)),"")</f>
        <v/>
      </c>
      <c r="AI8" s="30">
        <f t="array" ref="AI8">IFERROR(INDEX(Hitos!$A$2:$A$13,MATCH(AI5,Hitos!$D$2:$D$13,0)),"")</f>
        <v/>
      </c>
      <c r="AJ8" s="30">
        <f t="array" ref="AJ8">IFERROR(INDEX(Hitos!$A$2:$A$13,MATCH(AJ5,Hitos!$D$2:$D$13,0)),"")</f>
        <v/>
      </c>
      <c r="AK8" s="30">
        <f t="array" ref="AK8">IFERROR(INDEX(Hitos!$A$2:$A$13,MATCH(AK5,Hitos!$D$2:$D$13,0)),"")</f>
        <v/>
      </c>
      <c r="AL8" s="30">
        <f t="array" ref="AL8">IFERROR(INDEX(Hitos!$A$2:$A$13,MATCH(AL5,Hitos!$D$2:$D$13,0)),"")</f>
        <v/>
      </c>
      <c r="AM8" s="30">
        <f t="array" ref="AM8">IFERROR(INDEX(Hitos!$A$2:$A$13,MATCH(AM5,Hitos!$D$2:$D$13,0)),"")</f>
        <v/>
      </c>
      <c r="AN8" s="30">
        <f t="array" ref="AN8">IFERROR(INDEX(Hitos!$A$2:$A$13,MATCH(AN5,Hitos!$D$2:$D$13,0)),"")</f>
        <v/>
      </c>
      <c r="AO8" s="30">
        <f t="array" ref="AO8">IFERROR(INDEX(Hitos!$A$2:$A$13,MATCH(AO5,Hitos!$D$2:$D$13,0)),"")</f>
        <v/>
      </c>
      <c r="AP8" s="30">
        <f t="array" ref="AP8">IFERROR(INDEX(Hitos!$A$2:$A$13,MATCH(AP5,Hitos!$D$2:$D$13,0)),"")</f>
        <v/>
      </c>
      <c r="AQ8" s="30">
        <f t="array" ref="AQ8">IFERROR(INDEX(Hitos!$A$2:$A$13,MATCH(AQ5,Hitos!$D$2:$D$13,0)),"")</f>
        <v/>
      </c>
      <c r="AR8" s="30">
        <f t="array" ref="AR8">IFERROR(INDEX(Hitos!$A$2:$A$13,MATCH(AR5,Hitos!$D$2:$D$13,0)),"")</f>
        <v/>
      </c>
      <c r="AS8" s="30">
        <f t="array" ref="AS8">IFERROR(INDEX(Hitos!$A$2:$A$13,MATCH(AS5,Hitos!$D$2:$D$13,0)),"")</f>
        <v/>
      </c>
      <c r="AT8" s="30">
        <f t="array" ref="AT8">IFERROR(INDEX(Hitos!$A$2:$A$13,MATCH(AT5,Hitos!$D$2:$D$13,0)),"")</f>
        <v/>
      </c>
      <c r="AU8" s="30">
        <f t="array" ref="AU8">IFERROR(INDEX(Hitos!$A$2:$A$13,MATCH(AU5,Hitos!$D$2:$D$13,0)),"")</f>
        <v/>
      </c>
      <c r="AV8" s="30">
        <f t="array" ref="AV8">IFERROR(INDEX(Hitos!$A$2:$A$13,MATCH(AV5,Hitos!$D$2:$D$13,0)),"")</f>
        <v/>
      </c>
      <c r="AW8" s="30">
        <f t="array" ref="AW8">IFERROR(INDEX(Hitos!$A$2:$A$13,MATCH(AW5,Hitos!$D$2:$D$13,0)),"")</f>
        <v/>
      </c>
      <c r="AX8" s="30">
        <f t="array" ref="AX8">IFERROR(INDEX(Hitos!$A$2:$A$13,MATCH(AX5,Hitos!$D$2:$D$13,0)),"")</f>
        <v/>
      </c>
      <c r="AY8" s="30">
        <f t="array" ref="AY8">IFERROR(INDEX(Hitos!$A$2:$A$13,MATCH(AY5,Hitos!$D$2:$D$13,0)),"")</f>
        <v/>
      </c>
      <c r="AZ8" s="30">
        <f t="array" ref="AZ8">IFERROR(INDEX(Hitos!$A$2:$A$13,MATCH(AZ5,Hitos!$D$2:$D$13,0)),"")</f>
        <v/>
      </c>
      <c r="BA8" s="30">
        <f t="array" ref="BA8">IFERROR(INDEX(Hitos!$A$2:$A$13,MATCH(BA5,Hitos!$D$2:$D$13,0)),"")</f>
        <v/>
      </c>
      <c r="BB8" s="30">
        <f t="array" ref="BB8">IFERROR(INDEX(Hitos!$A$2:$A$13,MATCH(BB5,Hitos!$D$2:$D$13,0)),"")</f>
        <v/>
      </c>
      <c r="BC8" s="30">
        <f t="array" ref="BC8">IFERROR(INDEX(Hitos!$A$2:$A$13,MATCH(BC5,Hitos!$D$2:$D$13,0)),"")</f>
        <v/>
      </c>
      <c r="BD8" s="30">
        <f t="array" ref="BD8">IFERROR(INDEX(Hitos!$A$2:$A$13,MATCH(BD5,Hitos!$D$2:$D$13,0)),"")</f>
        <v/>
      </c>
      <c r="BE8" s="30">
        <f t="array" ref="BE8">IFERROR(INDEX(Hitos!$A$2:$A$13,MATCH(BE5,Hitos!$D$2:$D$13,0)),"")</f>
        <v/>
      </c>
      <c r="BF8" s="30">
        <f t="array" ref="BF8">IFERROR(INDEX(Hitos!$A$2:$A$13,MATCH(BF5,Hitos!$D$2:$D$13,0)),"")</f>
        <v/>
      </c>
      <c r="BG8" s="30">
        <f t="array" ref="BG8">IFERROR(INDEX(Hitos!$A$2:$A$13,MATCH(BG5,Hitos!$D$2:$D$13,0)),"")</f>
        <v/>
      </c>
      <c r="BH8" s="30">
        <f t="array" ref="BH8">IFERROR(INDEX(Hitos!$A$2:$A$13,MATCH(BH5,Hitos!$D$2:$D$13,0)),"")</f>
        <v/>
      </c>
      <c r="BI8" s="30">
        <f t="array" ref="BI8">IFERROR(INDEX(Hitos!$A$2:$A$13,MATCH(BI5,Hitos!$D$2:$D$13,0)),"")</f>
        <v/>
      </c>
      <c r="BJ8" s="30">
        <f t="array" ref="BJ8">IFERROR(INDEX(Hitos!$A$2:$A$13,MATCH(BJ5,Hitos!$D$2:$D$13,0)),"")</f>
        <v/>
      </c>
      <c r="BK8" s="30">
        <f t="array" ref="BK8">IFERROR(INDEX(Hitos!$A$2:$A$13,MATCH(BK5,Hitos!$D$2:$D$13,0)),"")</f>
        <v/>
      </c>
    </row>
    <row r="9" ht="14.25" customHeight="1" s="36">
      <c r="A9" s="33" t="inlineStr">
        <is>
          <t>Período</t>
        </is>
      </c>
      <c r="B9" s="33" t="inlineStr">
        <is>
          <t>Art. 17</t>
        </is>
      </c>
      <c r="C9" s="33" t="inlineStr">
        <is>
          <t>Etapa 1 · Desarrollo</t>
        </is>
      </c>
      <c r="D9" s="33" t="n">
        <v>1</v>
      </c>
      <c r="E9" s="33" t="n">
        <v>12</v>
      </c>
      <c r="F9" s="33">
        <f>E9-D9+1</f>
        <v/>
      </c>
      <c r="G9" s="33" t="n"/>
      <c r="H9" s="34">
        <f>IF(AND(H$5&gt;=$D9,H$5&lt;=$E9),0,"")</f>
        <v/>
      </c>
      <c r="I9" s="34">
        <f>IF(AND(I$5&gt;=$D9,I$5&lt;=$E9),0,"")</f>
        <v/>
      </c>
      <c r="J9" s="34">
        <f>IF(AND(J$5&gt;=$D9,J$5&lt;=$E9),0,"")</f>
        <v/>
      </c>
      <c r="K9" s="34">
        <f>IF(AND(K$5&gt;=$D9,K$5&lt;=$E9),0,"")</f>
        <v/>
      </c>
      <c r="L9" s="34">
        <f>IF(AND(L$5&gt;=$D9,L$5&lt;=$E9),0,"")</f>
        <v/>
      </c>
      <c r="M9" s="34">
        <f>IF(AND(M$5&gt;=$D9,M$5&lt;=$E9),0,"")</f>
        <v/>
      </c>
      <c r="N9" s="34">
        <f>IF(AND(N$5&gt;=$D9,N$5&lt;=$E9),0,"")</f>
        <v/>
      </c>
      <c r="O9" s="34">
        <f>IF(AND(O$5&gt;=$D9,O$5&lt;=$E9),0,"")</f>
        <v/>
      </c>
      <c r="P9" s="34">
        <f>IF(AND(P$5&gt;=$D9,P$5&lt;=$E9),0,"")</f>
        <v/>
      </c>
      <c r="Q9" s="34">
        <f>IF(AND(Q$5&gt;=$D9,Q$5&lt;=$E9),0,"")</f>
        <v/>
      </c>
      <c r="R9" s="34">
        <f>IF(AND(R$5&gt;=$D9,R$5&lt;=$E9),0,"")</f>
        <v/>
      </c>
      <c r="S9" s="34">
        <f>IF(AND(S$5&gt;=$D9,S$5&lt;=$E9),0,"")</f>
        <v/>
      </c>
      <c r="T9" s="34">
        <f>IF(AND(T$5&gt;=$D9,T$5&lt;=$E9),0,"")</f>
        <v/>
      </c>
      <c r="U9" s="34">
        <f>IF(AND(U$5&gt;=$D9,U$5&lt;=$E9),0,"")</f>
        <v/>
      </c>
      <c r="V9" s="34">
        <f>IF(AND(V$5&gt;=$D9,V$5&lt;=$E9),0,"")</f>
        <v/>
      </c>
      <c r="W9" s="34">
        <f>IF(AND(W$5&gt;=$D9,W$5&lt;=$E9),0,"")</f>
        <v/>
      </c>
      <c r="X9" s="34">
        <f>IF(AND(X$5&gt;=$D9,X$5&lt;=$E9),0,"")</f>
        <v/>
      </c>
      <c r="Y9" s="34">
        <f>IF(AND(Y$5&gt;=$D9,Y$5&lt;=$E9),0,"")</f>
        <v/>
      </c>
      <c r="Z9" s="34">
        <f>IF(AND(Z$5&gt;=$D9,Z$5&lt;=$E9),0,"")</f>
        <v/>
      </c>
      <c r="AA9" s="34">
        <f>IF(AND(AA$5&gt;=$D9,AA$5&lt;=$E9),0,"")</f>
        <v/>
      </c>
      <c r="AB9" s="34">
        <f>IF(AND(AB$5&gt;=$D9,AB$5&lt;=$E9),0,"")</f>
        <v/>
      </c>
      <c r="AC9" s="34">
        <f>IF(AND(AC$5&gt;=$D9,AC$5&lt;=$E9),0,"")</f>
        <v/>
      </c>
      <c r="AD9" s="34">
        <f>IF(AND(AD$5&gt;=$D9,AD$5&lt;=$E9),0,"")</f>
        <v/>
      </c>
      <c r="AE9" s="34">
        <f>IF(AND(AE$5&gt;=$D9,AE$5&lt;=$E9),0,"")</f>
        <v/>
      </c>
      <c r="AF9" s="34">
        <f>IF(AND(AF$5&gt;=$D9,AF$5&lt;=$E9),0,"")</f>
        <v/>
      </c>
      <c r="AG9" s="34">
        <f>IF(AND(AG$5&gt;=$D9,AG$5&lt;=$E9),0,"")</f>
        <v/>
      </c>
      <c r="AH9" s="34">
        <f>IF(AND(AH$5&gt;=$D9,AH$5&lt;=$E9),0,"")</f>
        <v/>
      </c>
      <c r="AI9" s="34">
        <f>IF(AND(AI$5&gt;=$D9,AI$5&lt;=$E9),0,"")</f>
        <v/>
      </c>
      <c r="AJ9" s="34">
        <f>IF(AND(AJ$5&gt;=$D9,AJ$5&lt;=$E9),0,"")</f>
        <v/>
      </c>
      <c r="AK9" s="34">
        <f>IF(AND(AK$5&gt;=$D9,AK$5&lt;=$E9),0,"")</f>
        <v/>
      </c>
      <c r="AL9" s="34">
        <f>IF(AND(AL$5&gt;=$D9,AL$5&lt;=$E9),0,"")</f>
        <v/>
      </c>
      <c r="AM9" s="34">
        <f>IF(AND(AM$5&gt;=$D9,AM$5&lt;=$E9),0,"")</f>
        <v/>
      </c>
      <c r="AN9" s="34">
        <f>IF(AND(AN$5&gt;=$D9,AN$5&lt;=$E9),0,"")</f>
        <v/>
      </c>
      <c r="AO9" s="34">
        <f>IF(AND(AO$5&gt;=$D9,AO$5&lt;=$E9),0,"")</f>
        <v/>
      </c>
      <c r="AP9" s="34">
        <f>IF(AND(AP$5&gt;=$D9,AP$5&lt;=$E9),0,"")</f>
        <v/>
      </c>
      <c r="AQ9" s="34">
        <f>IF(AND(AQ$5&gt;=$D9,AQ$5&lt;=$E9),0,"")</f>
        <v/>
      </c>
      <c r="AR9" s="34">
        <f>IF(AND(AR$5&gt;=$D9,AR$5&lt;=$E9),0,"")</f>
        <v/>
      </c>
      <c r="AS9" s="34">
        <f>IF(AND(AS$5&gt;=$D9,AS$5&lt;=$E9),0,"")</f>
        <v/>
      </c>
      <c r="AT9" s="34">
        <f>IF(AND(AT$5&gt;=$D9,AT$5&lt;=$E9),0,"")</f>
        <v/>
      </c>
      <c r="AU9" s="34">
        <f>IF(AND(AU$5&gt;=$D9,AU$5&lt;=$E9),0,"")</f>
        <v/>
      </c>
      <c r="AV9" s="34">
        <f>IF(AND(AV$5&gt;=$D9,AV$5&lt;=$E9),0,"")</f>
        <v/>
      </c>
      <c r="AW9" s="34">
        <f>IF(AND(AW$5&gt;=$D9,AW$5&lt;=$E9),0,"")</f>
        <v/>
      </c>
      <c r="AX9" s="34">
        <f>IF(AND(AX$5&gt;=$D9,AX$5&lt;=$E9),0,"")</f>
        <v/>
      </c>
      <c r="AY9" s="34">
        <f>IF(AND(AY$5&gt;=$D9,AY$5&lt;=$E9),0,"")</f>
        <v/>
      </c>
      <c r="AZ9" s="34">
        <f>IF(AND(AZ$5&gt;=$D9,AZ$5&lt;=$E9),0,"")</f>
        <v/>
      </c>
      <c r="BA9" s="34">
        <f>IF(AND(BA$5&gt;=$D9,BA$5&lt;=$E9),0,"")</f>
        <v/>
      </c>
      <c r="BB9" s="34">
        <f>IF(AND(BB$5&gt;=$D9,BB$5&lt;=$E9),0,"")</f>
        <v/>
      </c>
      <c r="BC9" s="34">
        <f>IF(AND(BC$5&gt;=$D9,BC$5&lt;=$E9),0,"")</f>
        <v/>
      </c>
      <c r="BD9" s="34">
        <f>IF(AND(BD$5&gt;=$D9,BD$5&lt;=$E9),0,"")</f>
        <v/>
      </c>
      <c r="BE9" s="34">
        <f>IF(AND(BE$5&gt;=$D9,BE$5&lt;=$E9),0,"")</f>
        <v/>
      </c>
      <c r="BF9" s="34">
        <f>IF(AND(BF$5&gt;=$D9,BF$5&lt;=$E9),0,"")</f>
        <v/>
      </c>
      <c r="BG9" s="34">
        <f>IF(AND(BG$5&gt;=$D9,BG$5&lt;=$E9),0,"")</f>
        <v/>
      </c>
      <c r="BH9" s="34">
        <f>IF(AND(BH$5&gt;=$D9,BH$5&lt;=$E9),0,"")</f>
        <v/>
      </c>
      <c r="BI9" s="34">
        <f>IF(AND(BI$5&gt;=$D9,BI$5&lt;=$E9),0,"")</f>
        <v/>
      </c>
      <c r="BJ9" s="34">
        <f>IF(AND(BJ$5&gt;=$D9,BJ$5&lt;=$E9),0,"")</f>
        <v/>
      </c>
      <c r="BK9" s="34">
        <f>IF(AND(BK$5&gt;=$D9,BK$5&lt;=$E9),0,"")</f>
        <v/>
      </c>
    </row>
    <row r="10" ht="14.25" customHeight="1" s="36">
      <c r="A10" s="33" t="inlineStr">
        <is>
          <t>Período</t>
        </is>
      </c>
      <c r="B10" s="33" t="inlineStr">
        <is>
          <t>Art. 17</t>
        </is>
      </c>
      <c r="C10" s="33" t="inlineStr">
        <is>
          <t>Etapa 1 · Marcha blanca</t>
        </is>
      </c>
      <c r="D10" s="33" t="n">
        <v>13</v>
      </c>
      <c r="E10" s="33" t="n">
        <v>15</v>
      </c>
      <c r="F10" s="33">
        <f>E10-D10+1</f>
        <v/>
      </c>
      <c r="G10" s="33" t="n"/>
      <c r="H10" s="34">
        <f>IF(AND(H$5&gt;=$D10,H$5&lt;=$E10),0,"")</f>
        <v/>
      </c>
      <c r="I10" s="34">
        <f>IF(AND(I$5&gt;=$D10,I$5&lt;=$E10),0,"")</f>
        <v/>
      </c>
      <c r="J10" s="34">
        <f>IF(AND(J$5&gt;=$D10,J$5&lt;=$E10),0,"")</f>
        <v/>
      </c>
      <c r="K10" s="34">
        <f>IF(AND(K$5&gt;=$D10,K$5&lt;=$E10),0,"")</f>
        <v/>
      </c>
      <c r="L10" s="34">
        <f>IF(AND(L$5&gt;=$D10,L$5&lt;=$E10),0,"")</f>
        <v/>
      </c>
      <c r="M10" s="34">
        <f>IF(AND(M$5&gt;=$D10,M$5&lt;=$E10),0,"")</f>
        <v/>
      </c>
      <c r="N10" s="34">
        <f>IF(AND(N$5&gt;=$D10,N$5&lt;=$E10),0,"")</f>
        <v/>
      </c>
      <c r="O10" s="34">
        <f>IF(AND(O$5&gt;=$D10,O$5&lt;=$E10),0,"")</f>
        <v/>
      </c>
      <c r="P10" s="34">
        <f>IF(AND(P$5&gt;=$D10,P$5&lt;=$E10),0,"")</f>
        <v/>
      </c>
      <c r="Q10" s="34">
        <f>IF(AND(Q$5&gt;=$D10,Q$5&lt;=$E10),0,"")</f>
        <v/>
      </c>
      <c r="R10" s="34">
        <f>IF(AND(R$5&gt;=$D10,R$5&lt;=$E10),0,"")</f>
        <v/>
      </c>
      <c r="S10" s="34">
        <f>IF(AND(S$5&gt;=$D10,S$5&lt;=$E10),0,"")</f>
        <v/>
      </c>
      <c r="T10" s="34">
        <f>IF(AND(T$5&gt;=$D10,T$5&lt;=$E10),0,"")</f>
        <v/>
      </c>
      <c r="U10" s="34">
        <f>IF(AND(U$5&gt;=$D10,U$5&lt;=$E10),0,"")</f>
        <v/>
      </c>
      <c r="V10" s="34">
        <f>IF(AND(V$5&gt;=$D10,V$5&lt;=$E10),0,"")</f>
        <v/>
      </c>
      <c r="W10" s="34">
        <f>IF(AND(W$5&gt;=$D10,W$5&lt;=$E10),0,"")</f>
        <v/>
      </c>
      <c r="X10" s="34">
        <f>IF(AND(X$5&gt;=$D10,X$5&lt;=$E10),0,"")</f>
        <v/>
      </c>
      <c r="Y10" s="34">
        <f>IF(AND(Y$5&gt;=$D10,Y$5&lt;=$E10),0,"")</f>
        <v/>
      </c>
      <c r="Z10" s="34">
        <f>IF(AND(Z$5&gt;=$D10,Z$5&lt;=$E10),0,"")</f>
        <v/>
      </c>
      <c r="AA10" s="34">
        <f>IF(AND(AA$5&gt;=$D10,AA$5&lt;=$E10),0,"")</f>
        <v/>
      </c>
      <c r="AB10" s="34">
        <f>IF(AND(AB$5&gt;=$D10,AB$5&lt;=$E10),0,"")</f>
        <v/>
      </c>
      <c r="AC10" s="34">
        <f>IF(AND(AC$5&gt;=$D10,AC$5&lt;=$E10),0,"")</f>
        <v/>
      </c>
      <c r="AD10" s="34">
        <f>IF(AND(AD$5&gt;=$D10,AD$5&lt;=$E10),0,"")</f>
        <v/>
      </c>
      <c r="AE10" s="34">
        <f>IF(AND(AE$5&gt;=$D10,AE$5&lt;=$E10),0,"")</f>
        <v/>
      </c>
      <c r="AF10" s="34">
        <f>IF(AND(AF$5&gt;=$D10,AF$5&lt;=$E10),0,"")</f>
        <v/>
      </c>
      <c r="AG10" s="34">
        <f>IF(AND(AG$5&gt;=$D10,AG$5&lt;=$E10),0,"")</f>
        <v/>
      </c>
      <c r="AH10" s="34">
        <f>IF(AND(AH$5&gt;=$D10,AH$5&lt;=$E10),0,"")</f>
        <v/>
      </c>
      <c r="AI10" s="34">
        <f>IF(AND(AI$5&gt;=$D10,AI$5&lt;=$E10),0,"")</f>
        <v/>
      </c>
      <c r="AJ10" s="34">
        <f>IF(AND(AJ$5&gt;=$D10,AJ$5&lt;=$E10),0,"")</f>
        <v/>
      </c>
      <c r="AK10" s="34">
        <f>IF(AND(AK$5&gt;=$D10,AK$5&lt;=$E10),0,"")</f>
        <v/>
      </c>
      <c r="AL10" s="34">
        <f>IF(AND(AL$5&gt;=$D10,AL$5&lt;=$E10),0,"")</f>
        <v/>
      </c>
      <c r="AM10" s="34">
        <f>IF(AND(AM$5&gt;=$D10,AM$5&lt;=$E10),0,"")</f>
        <v/>
      </c>
      <c r="AN10" s="34">
        <f>IF(AND(AN$5&gt;=$D10,AN$5&lt;=$E10),0,"")</f>
        <v/>
      </c>
      <c r="AO10" s="34">
        <f>IF(AND(AO$5&gt;=$D10,AO$5&lt;=$E10),0,"")</f>
        <v/>
      </c>
      <c r="AP10" s="34">
        <f>IF(AND(AP$5&gt;=$D10,AP$5&lt;=$E10),0,"")</f>
        <v/>
      </c>
      <c r="AQ10" s="34">
        <f>IF(AND(AQ$5&gt;=$D10,AQ$5&lt;=$E10),0,"")</f>
        <v/>
      </c>
      <c r="AR10" s="34">
        <f>IF(AND(AR$5&gt;=$D10,AR$5&lt;=$E10),0,"")</f>
        <v/>
      </c>
      <c r="AS10" s="34">
        <f>IF(AND(AS$5&gt;=$D10,AS$5&lt;=$E10),0,"")</f>
        <v/>
      </c>
      <c r="AT10" s="34">
        <f>IF(AND(AT$5&gt;=$D10,AT$5&lt;=$E10),0,"")</f>
        <v/>
      </c>
      <c r="AU10" s="34">
        <f>IF(AND(AU$5&gt;=$D10,AU$5&lt;=$E10),0,"")</f>
        <v/>
      </c>
      <c r="AV10" s="34">
        <f>IF(AND(AV$5&gt;=$D10,AV$5&lt;=$E10),0,"")</f>
        <v/>
      </c>
      <c r="AW10" s="34">
        <f>IF(AND(AW$5&gt;=$D10,AW$5&lt;=$E10),0,"")</f>
        <v/>
      </c>
      <c r="AX10" s="34">
        <f>IF(AND(AX$5&gt;=$D10,AX$5&lt;=$E10),0,"")</f>
        <v/>
      </c>
      <c r="AY10" s="34">
        <f>IF(AND(AY$5&gt;=$D10,AY$5&lt;=$E10),0,"")</f>
        <v/>
      </c>
      <c r="AZ10" s="34">
        <f>IF(AND(AZ$5&gt;=$D10,AZ$5&lt;=$E10),0,"")</f>
        <v/>
      </c>
      <c r="BA10" s="34">
        <f>IF(AND(BA$5&gt;=$D10,BA$5&lt;=$E10),0,"")</f>
        <v/>
      </c>
      <c r="BB10" s="34">
        <f>IF(AND(BB$5&gt;=$D10,BB$5&lt;=$E10),0,"")</f>
        <v/>
      </c>
      <c r="BC10" s="34">
        <f>IF(AND(BC$5&gt;=$D10,BC$5&lt;=$E10),0,"")</f>
        <v/>
      </c>
      <c r="BD10" s="34">
        <f>IF(AND(BD$5&gt;=$D10,BD$5&lt;=$E10),0,"")</f>
        <v/>
      </c>
      <c r="BE10" s="34">
        <f>IF(AND(BE$5&gt;=$D10,BE$5&lt;=$E10),0,"")</f>
        <v/>
      </c>
      <c r="BF10" s="34">
        <f>IF(AND(BF$5&gt;=$D10,BF$5&lt;=$E10),0,"")</f>
        <v/>
      </c>
      <c r="BG10" s="34">
        <f>IF(AND(BG$5&gt;=$D10,BG$5&lt;=$E10),0,"")</f>
        <v/>
      </c>
      <c r="BH10" s="34">
        <f>IF(AND(BH$5&gt;=$D10,BH$5&lt;=$E10),0,"")</f>
        <v/>
      </c>
      <c r="BI10" s="34">
        <f>IF(AND(BI$5&gt;=$D10,BI$5&lt;=$E10),0,"")</f>
        <v/>
      </c>
      <c r="BJ10" s="34">
        <f>IF(AND(BJ$5&gt;=$D10,BJ$5&lt;=$E10),0,"")</f>
        <v/>
      </c>
      <c r="BK10" s="34">
        <f>IF(AND(BK$5&gt;=$D10,BK$5&lt;=$E10),0,"")</f>
        <v/>
      </c>
    </row>
    <row r="11" ht="14.25" customHeight="1" s="36">
      <c r="A11" s="33" t="inlineStr">
        <is>
          <t>Período</t>
        </is>
      </c>
      <c r="B11" s="33" t="inlineStr">
        <is>
          <t>Art. 17</t>
        </is>
      </c>
      <c r="C11" s="33" t="inlineStr">
        <is>
          <t>Etapa 1 · Producción</t>
        </is>
      </c>
      <c r="D11" s="33" t="n">
        <v>16</v>
      </c>
      <c r="E11" s="33" t="n">
        <v>56</v>
      </c>
      <c r="F11" s="33">
        <f>E11-D11+1</f>
        <v/>
      </c>
      <c r="G11" s="33" t="n"/>
      <c r="H11" s="34">
        <f>IF(AND(H$5&gt;=$D11,H$5&lt;=$E11),0,"")</f>
        <v/>
      </c>
      <c r="I11" s="34">
        <f>IF(AND(I$5&gt;=$D11,I$5&lt;=$E11),0,"")</f>
        <v/>
      </c>
      <c r="J11" s="34">
        <f>IF(AND(J$5&gt;=$D11,J$5&lt;=$E11),0,"")</f>
        <v/>
      </c>
      <c r="K11" s="34">
        <f>IF(AND(K$5&gt;=$D11,K$5&lt;=$E11),0,"")</f>
        <v/>
      </c>
      <c r="L11" s="34">
        <f>IF(AND(L$5&gt;=$D11,L$5&lt;=$E11),0,"")</f>
        <v/>
      </c>
      <c r="M11" s="34">
        <f>IF(AND(M$5&gt;=$D11,M$5&lt;=$E11),0,"")</f>
        <v/>
      </c>
      <c r="N11" s="34">
        <f>IF(AND(N$5&gt;=$D11,N$5&lt;=$E11),0,"")</f>
        <v/>
      </c>
      <c r="O11" s="34">
        <f>IF(AND(O$5&gt;=$D11,O$5&lt;=$E11),0,"")</f>
        <v/>
      </c>
      <c r="P11" s="34">
        <f>IF(AND(P$5&gt;=$D11,P$5&lt;=$E11),0,"")</f>
        <v/>
      </c>
      <c r="Q11" s="34">
        <f>IF(AND(Q$5&gt;=$D11,Q$5&lt;=$E11),0,"")</f>
        <v/>
      </c>
      <c r="R11" s="34">
        <f>IF(AND(R$5&gt;=$D11,R$5&lt;=$E11),0,"")</f>
        <v/>
      </c>
      <c r="S11" s="34">
        <f>IF(AND(S$5&gt;=$D11,S$5&lt;=$E11),0,"")</f>
        <v/>
      </c>
      <c r="T11" s="34">
        <f>IF(AND(T$5&gt;=$D11,T$5&lt;=$E11),0,"")</f>
        <v/>
      </c>
      <c r="U11" s="34">
        <f>IF(AND(U$5&gt;=$D11,U$5&lt;=$E11),0,"")</f>
        <v/>
      </c>
      <c r="V11" s="34">
        <f>IF(AND(V$5&gt;=$D11,V$5&lt;=$E11),0,"")</f>
        <v/>
      </c>
      <c r="W11" s="34">
        <f>IF(AND(W$5&gt;=$D11,W$5&lt;=$E11),0,"")</f>
        <v/>
      </c>
      <c r="X11" s="34">
        <f>IF(AND(X$5&gt;=$D11,X$5&lt;=$E11),0,"")</f>
        <v/>
      </c>
      <c r="Y11" s="34">
        <f>IF(AND(Y$5&gt;=$D11,Y$5&lt;=$E11),0,"")</f>
        <v/>
      </c>
      <c r="Z11" s="34">
        <f>IF(AND(Z$5&gt;=$D11,Z$5&lt;=$E11),0,"")</f>
        <v/>
      </c>
      <c r="AA11" s="34">
        <f>IF(AND(AA$5&gt;=$D11,AA$5&lt;=$E11),0,"")</f>
        <v/>
      </c>
      <c r="AB11" s="34">
        <f>IF(AND(AB$5&gt;=$D11,AB$5&lt;=$E11),0,"")</f>
        <v/>
      </c>
      <c r="AC11" s="34">
        <f>IF(AND(AC$5&gt;=$D11,AC$5&lt;=$E11),0,"")</f>
        <v/>
      </c>
      <c r="AD11" s="34">
        <f>IF(AND(AD$5&gt;=$D11,AD$5&lt;=$E11),0,"")</f>
        <v/>
      </c>
      <c r="AE11" s="34">
        <f>IF(AND(AE$5&gt;=$D11,AE$5&lt;=$E11),0,"")</f>
        <v/>
      </c>
      <c r="AF11" s="34">
        <f>IF(AND(AF$5&gt;=$D11,AF$5&lt;=$E11),0,"")</f>
        <v/>
      </c>
      <c r="AG11" s="34">
        <f>IF(AND(AG$5&gt;=$D11,AG$5&lt;=$E11),0,"")</f>
        <v/>
      </c>
      <c r="AH11" s="34">
        <f>IF(AND(AH$5&gt;=$D11,AH$5&lt;=$E11),0,"")</f>
        <v/>
      </c>
      <c r="AI11" s="34">
        <f>IF(AND(AI$5&gt;=$D11,AI$5&lt;=$E11),0,"")</f>
        <v/>
      </c>
      <c r="AJ11" s="34">
        <f>IF(AND(AJ$5&gt;=$D11,AJ$5&lt;=$E11),0,"")</f>
        <v/>
      </c>
      <c r="AK11" s="34">
        <f>IF(AND(AK$5&gt;=$D11,AK$5&lt;=$E11),0,"")</f>
        <v/>
      </c>
      <c r="AL11" s="34">
        <f>IF(AND(AL$5&gt;=$D11,AL$5&lt;=$E11),0,"")</f>
        <v/>
      </c>
      <c r="AM11" s="34">
        <f>IF(AND(AM$5&gt;=$D11,AM$5&lt;=$E11),0,"")</f>
        <v/>
      </c>
      <c r="AN11" s="34">
        <f>IF(AND(AN$5&gt;=$D11,AN$5&lt;=$E11),0,"")</f>
        <v/>
      </c>
      <c r="AO11" s="34">
        <f>IF(AND(AO$5&gt;=$D11,AO$5&lt;=$E11),0,"")</f>
        <v/>
      </c>
      <c r="AP11" s="34">
        <f>IF(AND(AP$5&gt;=$D11,AP$5&lt;=$E11),0,"")</f>
        <v/>
      </c>
      <c r="AQ11" s="34">
        <f>IF(AND(AQ$5&gt;=$D11,AQ$5&lt;=$E11),0,"")</f>
        <v/>
      </c>
      <c r="AR11" s="34">
        <f>IF(AND(AR$5&gt;=$D11,AR$5&lt;=$E11),0,"")</f>
        <v/>
      </c>
      <c r="AS11" s="34">
        <f>IF(AND(AS$5&gt;=$D11,AS$5&lt;=$E11),0,"")</f>
        <v/>
      </c>
      <c r="AT11" s="34">
        <f>IF(AND(AT$5&gt;=$D11,AT$5&lt;=$E11),0,"")</f>
        <v/>
      </c>
      <c r="AU11" s="34">
        <f>IF(AND(AU$5&gt;=$D11,AU$5&lt;=$E11),0,"")</f>
        <v/>
      </c>
      <c r="AV11" s="34">
        <f>IF(AND(AV$5&gt;=$D11,AV$5&lt;=$E11),0,"")</f>
        <v/>
      </c>
      <c r="AW11" s="34">
        <f>IF(AND(AW$5&gt;=$D11,AW$5&lt;=$E11),0,"")</f>
        <v/>
      </c>
      <c r="AX11" s="34">
        <f>IF(AND(AX$5&gt;=$D11,AX$5&lt;=$E11),0,"")</f>
        <v/>
      </c>
      <c r="AY11" s="34">
        <f>IF(AND(AY$5&gt;=$D11,AY$5&lt;=$E11),0,"")</f>
        <v/>
      </c>
      <c r="AZ11" s="34">
        <f>IF(AND(AZ$5&gt;=$D11,AZ$5&lt;=$E11),0,"")</f>
        <v/>
      </c>
      <c r="BA11" s="34">
        <f>IF(AND(BA$5&gt;=$D11,BA$5&lt;=$E11),0,"")</f>
        <v/>
      </c>
      <c r="BB11" s="34">
        <f>IF(AND(BB$5&gt;=$D11,BB$5&lt;=$E11),0,"")</f>
        <v/>
      </c>
      <c r="BC11" s="34">
        <f>IF(AND(BC$5&gt;=$D11,BC$5&lt;=$E11),0,"")</f>
        <v/>
      </c>
      <c r="BD11" s="34">
        <f>IF(AND(BD$5&gt;=$D11,BD$5&lt;=$E11),0,"")</f>
        <v/>
      </c>
      <c r="BE11" s="34">
        <f>IF(AND(BE$5&gt;=$D11,BE$5&lt;=$E11),0,"")</f>
        <v/>
      </c>
      <c r="BF11" s="34">
        <f>IF(AND(BF$5&gt;=$D11,BF$5&lt;=$E11),0,"")</f>
        <v/>
      </c>
      <c r="BG11" s="34">
        <f>IF(AND(BG$5&gt;=$D11,BG$5&lt;=$E11),0,"")</f>
        <v/>
      </c>
      <c r="BH11" s="34">
        <f>IF(AND(BH$5&gt;=$D11,BH$5&lt;=$E11),0,"")</f>
        <v/>
      </c>
      <c r="BI11" s="34">
        <f>IF(AND(BI$5&gt;=$D11,BI$5&lt;=$E11),0,"")</f>
        <v/>
      </c>
      <c r="BJ11" s="34">
        <f>IF(AND(BJ$5&gt;=$D11,BJ$5&lt;=$E11),0,"")</f>
        <v/>
      </c>
      <c r="BK11" s="34">
        <f>IF(AND(BK$5&gt;=$D11,BK$5&lt;=$E11),0,"")</f>
        <v/>
      </c>
    </row>
    <row r="12" ht="14.25" customHeight="1" s="36">
      <c r="A12" s="33" t="inlineStr">
        <is>
          <t>Período</t>
        </is>
      </c>
      <c r="B12" s="33" t="inlineStr">
        <is>
          <t>Art. 17</t>
        </is>
      </c>
      <c r="C12" s="33" t="inlineStr">
        <is>
          <t>Etapa 2 · Desarrollo</t>
        </is>
      </c>
      <c r="D12" s="33" t="n">
        <v>13</v>
      </c>
      <c r="E12" s="33" t="n">
        <v>18</v>
      </c>
      <c r="F12" s="33">
        <f>E12-D12+1</f>
        <v/>
      </c>
      <c r="G12" s="33" t="n"/>
      <c r="H12" s="34">
        <f>IF(AND(H$5&gt;=$D12,H$5&lt;=$E12),0,"")</f>
        <v/>
      </c>
      <c r="I12" s="34">
        <f>IF(AND(I$5&gt;=$D12,I$5&lt;=$E12),0,"")</f>
        <v/>
      </c>
      <c r="J12" s="34">
        <f>IF(AND(J$5&gt;=$D12,J$5&lt;=$E12),0,"")</f>
        <v/>
      </c>
      <c r="K12" s="34">
        <f>IF(AND(K$5&gt;=$D12,K$5&lt;=$E12),0,"")</f>
        <v/>
      </c>
      <c r="L12" s="34">
        <f>IF(AND(L$5&gt;=$D12,L$5&lt;=$E12),0,"")</f>
        <v/>
      </c>
      <c r="M12" s="34">
        <f>IF(AND(M$5&gt;=$D12,M$5&lt;=$E12),0,"")</f>
        <v/>
      </c>
      <c r="N12" s="34">
        <f>IF(AND(N$5&gt;=$D12,N$5&lt;=$E12),0,"")</f>
        <v/>
      </c>
      <c r="O12" s="34">
        <f>IF(AND(O$5&gt;=$D12,O$5&lt;=$E12),0,"")</f>
        <v/>
      </c>
      <c r="P12" s="34">
        <f>IF(AND(P$5&gt;=$D12,P$5&lt;=$E12),0,"")</f>
        <v/>
      </c>
      <c r="Q12" s="34">
        <f>IF(AND(Q$5&gt;=$D12,Q$5&lt;=$E12),0,"")</f>
        <v/>
      </c>
      <c r="R12" s="34">
        <f>IF(AND(R$5&gt;=$D12,R$5&lt;=$E12),0,"")</f>
        <v/>
      </c>
      <c r="S12" s="34">
        <f>IF(AND(S$5&gt;=$D12,S$5&lt;=$E12),0,"")</f>
        <v/>
      </c>
      <c r="T12" s="34">
        <f>IF(AND(T$5&gt;=$D12,T$5&lt;=$E12),0,"")</f>
        <v/>
      </c>
      <c r="U12" s="34">
        <f>IF(AND(U$5&gt;=$D12,U$5&lt;=$E12),0,"")</f>
        <v/>
      </c>
      <c r="V12" s="34">
        <f>IF(AND(V$5&gt;=$D12,V$5&lt;=$E12),0,"")</f>
        <v/>
      </c>
      <c r="W12" s="34">
        <f>IF(AND(W$5&gt;=$D12,W$5&lt;=$E12),0,"")</f>
        <v/>
      </c>
      <c r="X12" s="34">
        <f>IF(AND(X$5&gt;=$D12,X$5&lt;=$E12),0,"")</f>
        <v/>
      </c>
      <c r="Y12" s="34">
        <f>IF(AND(Y$5&gt;=$D12,Y$5&lt;=$E12),0,"")</f>
        <v/>
      </c>
      <c r="Z12" s="34">
        <f>IF(AND(Z$5&gt;=$D12,Z$5&lt;=$E12),0,"")</f>
        <v/>
      </c>
      <c r="AA12" s="34">
        <f>IF(AND(AA$5&gt;=$D12,AA$5&lt;=$E12),0,"")</f>
        <v/>
      </c>
      <c r="AB12" s="34">
        <f>IF(AND(AB$5&gt;=$D12,AB$5&lt;=$E12),0,"")</f>
        <v/>
      </c>
      <c r="AC12" s="34">
        <f>IF(AND(AC$5&gt;=$D12,AC$5&lt;=$E12),0,"")</f>
        <v/>
      </c>
      <c r="AD12" s="34">
        <f>IF(AND(AD$5&gt;=$D12,AD$5&lt;=$E12),0,"")</f>
        <v/>
      </c>
      <c r="AE12" s="34">
        <f>IF(AND(AE$5&gt;=$D12,AE$5&lt;=$E12),0,"")</f>
        <v/>
      </c>
      <c r="AF12" s="34">
        <f>IF(AND(AF$5&gt;=$D12,AF$5&lt;=$E12),0,"")</f>
        <v/>
      </c>
      <c r="AG12" s="34">
        <f>IF(AND(AG$5&gt;=$D12,AG$5&lt;=$E12),0,"")</f>
        <v/>
      </c>
      <c r="AH12" s="34">
        <f>IF(AND(AH$5&gt;=$D12,AH$5&lt;=$E12),0,"")</f>
        <v/>
      </c>
      <c r="AI12" s="34">
        <f>IF(AND(AI$5&gt;=$D12,AI$5&lt;=$E12),0,"")</f>
        <v/>
      </c>
      <c r="AJ12" s="34">
        <f>IF(AND(AJ$5&gt;=$D12,AJ$5&lt;=$E12),0,"")</f>
        <v/>
      </c>
      <c r="AK12" s="34">
        <f>IF(AND(AK$5&gt;=$D12,AK$5&lt;=$E12),0,"")</f>
        <v/>
      </c>
      <c r="AL12" s="34">
        <f>IF(AND(AL$5&gt;=$D12,AL$5&lt;=$E12),0,"")</f>
        <v/>
      </c>
      <c r="AM12" s="34">
        <f>IF(AND(AM$5&gt;=$D12,AM$5&lt;=$E12),0,"")</f>
        <v/>
      </c>
      <c r="AN12" s="34">
        <f>IF(AND(AN$5&gt;=$D12,AN$5&lt;=$E12),0,"")</f>
        <v/>
      </c>
      <c r="AO12" s="34">
        <f>IF(AND(AO$5&gt;=$D12,AO$5&lt;=$E12),0,"")</f>
        <v/>
      </c>
      <c r="AP12" s="34">
        <f>IF(AND(AP$5&gt;=$D12,AP$5&lt;=$E12),0,"")</f>
        <v/>
      </c>
      <c r="AQ12" s="34">
        <f>IF(AND(AQ$5&gt;=$D12,AQ$5&lt;=$E12),0,"")</f>
        <v/>
      </c>
      <c r="AR12" s="34">
        <f>IF(AND(AR$5&gt;=$D12,AR$5&lt;=$E12),0,"")</f>
        <v/>
      </c>
      <c r="AS12" s="34">
        <f>IF(AND(AS$5&gt;=$D12,AS$5&lt;=$E12),0,"")</f>
        <v/>
      </c>
      <c r="AT12" s="34">
        <f>IF(AND(AT$5&gt;=$D12,AT$5&lt;=$E12),0,"")</f>
        <v/>
      </c>
      <c r="AU12" s="34">
        <f>IF(AND(AU$5&gt;=$D12,AU$5&lt;=$E12),0,"")</f>
        <v/>
      </c>
      <c r="AV12" s="34">
        <f>IF(AND(AV$5&gt;=$D12,AV$5&lt;=$E12),0,"")</f>
        <v/>
      </c>
      <c r="AW12" s="34">
        <f>IF(AND(AW$5&gt;=$D12,AW$5&lt;=$E12),0,"")</f>
        <v/>
      </c>
      <c r="AX12" s="34">
        <f>IF(AND(AX$5&gt;=$D12,AX$5&lt;=$E12),0,"")</f>
        <v/>
      </c>
      <c r="AY12" s="34">
        <f>IF(AND(AY$5&gt;=$D12,AY$5&lt;=$E12),0,"")</f>
        <v/>
      </c>
      <c r="AZ12" s="34">
        <f>IF(AND(AZ$5&gt;=$D12,AZ$5&lt;=$E12),0,"")</f>
        <v/>
      </c>
      <c r="BA12" s="34">
        <f>IF(AND(BA$5&gt;=$D12,BA$5&lt;=$E12),0,"")</f>
        <v/>
      </c>
      <c r="BB12" s="34">
        <f>IF(AND(BB$5&gt;=$D12,BB$5&lt;=$E12),0,"")</f>
        <v/>
      </c>
      <c r="BC12" s="34">
        <f>IF(AND(BC$5&gt;=$D12,BC$5&lt;=$E12),0,"")</f>
        <v/>
      </c>
      <c r="BD12" s="34">
        <f>IF(AND(BD$5&gt;=$D12,BD$5&lt;=$E12),0,"")</f>
        <v/>
      </c>
      <c r="BE12" s="34">
        <f>IF(AND(BE$5&gt;=$D12,BE$5&lt;=$E12),0,"")</f>
        <v/>
      </c>
      <c r="BF12" s="34">
        <f>IF(AND(BF$5&gt;=$D12,BF$5&lt;=$E12),0,"")</f>
        <v/>
      </c>
      <c r="BG12" s="34">
        <f>IF(AND(BG$5&gt;=$D12,BG$5&lt;=$E12),0,"")</f>
        <v/>
      </c>
      <c r="BH12" s="34">
        <f>IF(AND(BH$5&gt;=$D12,BH$5&lt;=$E12),0,"")</f>
        <v/>
      </c>
      <c r="BI12" s="34">
        <f>IF(AND(BI$5&gt;=$D12,BI$5&lt;=$E12),0,"")</f>
        <v/>
      </c>
      <c r="BJ12" s="34">
        <f>IF(AND(BJ$5&gt;=$D12,BJ$5&lt;=$E12),0,"")</f>
        <v/>
      </c>
      <c r="BK12" s="34">
        <f>IF(AND(BK$5&gt;=$D12,BK$5&lt;=$E12),0,"")</f>
        <v/>
      </c>
    </row>
    <row r="13" ht="14.25" customHeight="1" s="36">
      <c r="A13" s="33" t="inlineStr">
        <is>
          <t>Período</t>
        </is>
      </c>
      <c r="B13" s="33" t="inlineStr">
        <is>
          <t>Art. 17</t>
        </is>
      </c>
      <c r="C13" s="33" t="inlineStr">
        <is>
          <t>Etapa 2 · Marcha blanca</t>
        </is>
      </c>
      <c r="D13" s="33" t="n">
        <v>19</v>
      </c>
      <c r="E13" s="33" t="n">
        <v>20</v>
      </c>
      <c r="F13" s="33">
        <f>E13-D13+1</f>
        <v/>
      </c>
      <c r="G13" s="33" t="n"/>
      <c r="H13" s="34">
        <f>IF(AND(H$5&gt;=$D13,H$5&lt;=$E13),0,"")</f>
        <v/>
      </c>
      <c r="I13" s="34">
        <f>IF(AND(I$5&gt;=$D13,I$5&lt;=$E13),0,"")</f>
        <v/>
      </c>
      <c r="J13" s="34">
        <f>IF(AND(J$5&gt;=$D13,J$5&lt;=$E13),0,"")</f>
        <v/>
      </c>
      <c r="K13" s="34">
        <f>IF(AND(K$5&gt;=$D13,K$5&lt;=$E13),0,"")</f>
        <v/>
      </c>
      <c r="L13" s="34">
        <f>IF(AND(L$5&gt;=$D13,L$5&lt;=$E13),0,"")</f>
        <v/>
      </c>
      <c r="M13" s="34">
        <f>IF(AND(M$5&gt;=$D13,M$5&lt;=$E13),0,"")</f>
        <v/>
      </c>
      <c r="N13" s="34">
        <f>IF(AND(N$5&gt;=$D13,N$5&lt;=$E13),0,"")</f>
        <v/>
      </c>
      <c r="O13" s="34">
        <f>IF(AND(O$5&gt;=$D13,O$5&lt;=$E13),0,"")</f>
        <v/>
      </c>
      <c r="P13" s="34">
        <f>IF(AND(P$5&gt;=$D13,P$5&lt;=$E13),0,"")</f>
        <v/>
      </c>
      <c r="Q13" s="34">
        <f>IF(AND(Q$5&gt;=$D13,Q$5&lt;=$E13),0,"")</f>
        <v/>
      </c>
      <c r="R13" s="34">
        <f>IF(AND(R$5&gt;=$D13,R$5&lt;=$E13),0,"")</f>
        <v/>
      </c>
      <c r="S13" s="34">
        <f>IF(AND(S$5&gt;=$D13,S$5&lt;=$E13),0,"")</f>
        <v/>
      </c>
      <c r="T13" s="34">
        <f>IF(AND(T$5&gt;=$D13,T$5&lt;=$E13),0,"")</f>
        <v/>
      </c>
      <c r="U13" s="34">
        <f>IF(AND(U$5&gt;=$D13,U$5&lt;=$E13),0,"")</f>
        <v/>
      </c>
      <c r="V13" s="34">
        <f>IF(AND(V$5&gt;=$D13,V$5&lt;=$E13),0,"")</f>
        <v/>
      </c>
      <c r="W13" s="34">
        <f>IF(AND(W$5&gt;=$D13,W$5&lt;=$E13),0,"")</f>
        <v/>
      </c>
      <c r="X13" s="34">
        <f>IF(AND(X$5&gt;=$D13,X$5&lt;=$E13),0,"")</f>
        <v/>
      </c>
      <c r="Y13" s="34">
        <f>IF(AND(Y$5&gt;=$D13,Y$5&lt;=$E13),0,"")</f>
        <v/>
      </c>
      <c r="Z13" s="34">
        <f>IF(AND(Z$5&gt;=$D13,Z$5&lt;=$E13),0,"")</f>
        <v/>
      </c>
      <c r="AA13" s="34">
        <f>IF(AND(AA$5&gt;=$D13,AA$5&lt;=$E13),0,"")</f>
        <v/>
      </c>
      <c r="AB13" s="34">
        <f>IF(AND(AB$5&gt;=$D13,AB$5&lt;=$E13),0,"")</f>
        <v/>
      </c>
      <c r="AC13" s="34">
        <f>IF(AND(AC$5&gt;=$D13,AC$5&lt;=$E13),0,"")</f>
        <v/>
      </c>
      <c r="AD13" s="34">
        <f>IF(AND(AD$5&gt;=$D13,AD$5&lt;=$E13),0,"")</f>
        <v/>
      </c>
      <c r="AE13" s="34">
        <f>IF(AND(AE$5&gt;=$D13,AE$5&lt;=$E13),0,"")</f>
        <v/>
      </c>
      <c r="AF13" s="34">
        <f>IF(AND(AF$5&gt;=$D13,AF$5&lt;=$E13),0,"")</f>
        <v/>
      </c>
      <c r="AG13" s="34">
        <f>IF(AND(AG$5&gt;=$D13,AG$5&lt;=$E13),0,"")</f>
        <v/>
      </c>
      <c r="AH13" s="34">
        <f>IF(AND(AH$5&gt;=$D13,AH$5&lt;=$E13),0,"")</f>
        <v/>
      </c>
      <c r="AI13" s="34">
        <f>IF(AND(AI$5&gt;=$D13,AI$5&lt;=$E13),0,"")</f>
        <v/>
      </c>
      <c r="AJ13" s="34">
        <f>IF(AND(AJ$5&gt;=$D13,AJ$5&lt;=$E13),0,"")</f>
        <v/>
      </c>
      <c r="AK13" s="34">
        <f>IF(AND(AK$5&gt;=$D13,AK$5&lt;=$E13),0,"")</f>
        <v/>
      </c>
      <c r="AL13" s="34">
        <f>IF(AND(AL$5&gt;=$D13,AL$5&lt;=$E13),0,"")</f>
        <v/>
      </c>
      <c r="AM13" s="34">
        <f>IF(AND(AM$5&gt;=$D13,AM$5&lt;=$E13),0,"")</f>
        <v/>
      </c>
      <c r="AN13" s="34">
        <f>IF(AND(AN$5&gt;=$D13,AN$5&lt;=$E13),0,"")</f>
        <v/>
      </c>
      <c r="AO13" s="34">
        <f>IF(AND(AO$5&gt;=$D13,AO$5&lt;=$E13),0,"")</f>
        <v/>
      </c>
      <c r="AP13" s="34">
        <f>IF(AND(AP$5&gt;=$D13,AP$5&lt;=$E13),0,"")</f>
        <v/>
      </c>
      <c r="AQ13" s="34">
        <f>IF(AND(AQ$5&gt;=$D13,AQ$5&lt;=$E13),0,"")</f>
        <v/>
      </c>
      <c r="AR13" s="34">
        <f>IF(AND(AR$5&gt;=$D13,AR$5&lt;=$E13),0,"")</f>
        <v/>
      </c>
      <c r="AS13" s="34">
        <f>IF(AND(AS$5&gt;=$D13,AS$5&lt;=$E13),0,"")</f>
        <v/>
      </c>
      <c r="AT13" s="34">
        <f>IF(AND(AT$5&gt;=$D13,AT$5&lt;=$E13),0,"")</f>
        <v/>
      </c>
      <c r="AU13" s="34">
        <f>IF(AND(AU$5&gt;=$D13,AU$5&lt;=$E13),0,"")</f>
        <v/>
      </c>
      <c r="AV13" s="34">
        <f>IF(AND(AV$5&gt;=$D13,AV$5&lt;=$E13),0,"")</f>
        <v/>
      </c>
      <c r="AW13" s="34">
        <f>IF(AND(AW$5&gt;=$D13,AW$5&lt;=$E13),0,"")</f>
        <v/>
      </c>
      <c r="AX13" s="34">
        <f>IF(AND(AX$5&gt;=$D13,AX$5&lt;=$E13),0,"")</f>
        <v/>
      </c>
      <c r="AY13" s="34">
        <f>IF(AND(AY$5&gt;=$D13,AY$5&lt;=$E13),0,"")</f>
        <v/>
      </c>
      <c r="AZ13" s="34">
        <f>IF(AND(AZ$5&gt;=$D13,AZ$5&lt;=$E13),0,"")</f>
        <v/>
      </c>
      <c r="BA13" s="34">
        <f>IF(AND(BA$5&gt;=$D13,BA$5&lt;=$E13),0,"")</f>
        <v/>
      </c>
      <c r="BB13" s="34">
        <f>IF(AND(BB$5&gt;=$D13,BB$5&lt;=$E13),0,"")</f>
        <v/>
      </c>
      <c r="BC13" s="34">
        <f>IF(AND(BC$5&gt;=$D13,BC$5&lt;=$E13),0,"")</f>
        <v/>
      </c>
      <c r="BD13" s="34">
        <f>IF(AND(BD$5&gt;=$D13,BD$5&lt;=$E13),0,"")</f>
        <v/>
      </c>
      <c r="BE13" s="34">
        <f>IF(AND(BE$5&gt;=$D13,BE$5&lt;=$E13),0,"")</f>
        <v/>
      </c>
      <c r="BF13" s="34">
        <f>IF(AND(BF$5&gt;=$D13,BF$5&lt;=$E13),0,"")</f>
        <v/>
      </c>
      <c r="BG13" s="34">
        <f>IF(AND(BG$5&gt;=$D13,BG$5&lt;=$E13),0,"")</f>
        <v/>
      </c>
      <c r="BH13" s="34">
        <f>IF(AND(BH$5&gt;=$D13,BH$5&lt;=$E13),0,"")</f>
        <v/>
      </c>
      <c r="BI13" s="34">
        <f>IF(AND(BI$5&gt;=$D13,BI$5&lt;=$E13),0,"")</f>
        <v/>
      </c>
      <c r="BJ13" s="34">
        <f>IF(AND(BJ$5&gt;=$D13,BJ$5&lt;=$E13),0,"")</f>
        <v/>
      </c>
      <c r="BK13" s="34">
        <f>IF(AND(BK$5&gt;=$D13,BK$5&lt;=$E13),0,"")</f>
        <v/>
      </c>
    </row>
    <row r="14" ht="14.25" customHeight="1" s="36">
      <c r="A14" s="33" t="inlineStr">
        <is>
          <t>Período</t>
        </is>
      </c>
      <c r="B14" s="33" t="inlineStr">
        <is>
          <t>Art. 17</t>
        </is>
      </c>
      <c r="C14" s="33" t="inlineStr">
        <is>
          <t>Etapa 2 · Producción y aceptación final</t>
        </is>
      </c>
      <c r="D14" s="33" t="n">
        <v>21</v>
      </c>
      <c r="E14" s="33" t="n">
        <v>21</v>
      </c>
      <c r="F14" s="33">
        <f>E14-D14+1</f>
        <v/>
      </c>
      <c r="G14" s="33" t="n"/>
      <c r="H14" s="34">
        <f>IF(AND(H$5&gt;=$D14,H$5&lt;=$E14),0,"")</f>
        <v/>
      </c>
      <c r="I14" s="34">
        <f>IF(AND(I$5&gt;=$D14,I$5&lt;=$E14),0,"")</f>
        <v/>
      </c>
      <c r="J14" s="34">
        <f>IF(AND(J$5&gt;=$D14,J$5&lt;=$E14),0,"")</f>
        <v/>
      </c>
      <c r="K14" s="34">
        <f>IF(AND(K$5&gt;=$D14,K$5&lt;=$E14),0,"")</f>
        <v/>
      </c>
      <c r="L14" s="34">
        <f>IF(AND(L$5&gt;=$D14,L$5&lt;=$E14),0,"")</f>
        <v/>
      </c>
      <c r="M14" s="34">
        <f>IF(AND(M$5&gt;=$D14,M$5&lt;=$E14),0,"")</f>
        <v/>
      </c>
      <c r="N14" s="34">
        <f>IF(AND(N$5&gt;=$D14,N$5&lt;=$E14),0,"")</f>
        <v/>
      </c>
      <c r="O14" s="34">
        <f>IF(AND(O$5&gt;=$D14,O$5&lt;=$E14),0,"")</f>
        <v/>
      </c>
      <c r="P14" s="34">
        <f>IF(AND(P$5&gt;=$D14,P$5&lt;=$E14),0,"")</f>
        <v/>
      </c>
      <c r="Q14" s="34">
        <f>IF(AND(Q$5&gt;=$D14,Q$5&lt;=$E14),0,"")</f>
        <v/>
      </c>
      <c r="R14" s="34">
        <f>IF(AND(R$5&gt;=$D14,R$5&lt;=$E14),0,"")</f>
        <v/>
      </c>
      <c r="S14" s="34">
        <f>IF(AND(S$5&gt;=$D14,S$5&lt;=$E14),0,"")</f>
        <v/>
      </c>
      <c r="T14" s="34">
        <f>IF(AND(T$5&gt;=$D14,T$5&lt;=$E14),0,"")</f>
        <v/>
      </c>
      <c r="U14" s="34">
        <f>IF(AND(U$5&gt;=$D14,U$5&lt;=$E14),0,"")</f>
        <v/>
      </c>
      <c r="V14" s="34">
        <f>IF(AND(V$5&gt;=$D14,V$5&lt;=$E14),0,"")</f>
        <v/>
      </c>
      <c r="W14" s="34">
        <f>IF(AND(W$5&gt;=$D14,W$5&lt;=$E14),0,"")</f>
        <v/>
      </c>
      <c r="X14" s="34">
        <f>IF(AND(X$5&gt;=$D14,X$5&lt;=$E14),0,"")</f>
        <v/>
      </c>
      <c r="Y14" s="34">
        <f>IF(AND(Y$5&gt;=$D14,Y$5&lt;=$E14),0,"")</f>
        <v/>
      </c>
      <c r="Z14" s="34">
        <f>IF(AND(Z$5&gt;=$D14,Z$5&lt;=$E14),0,"")</f>
        <v/>
      </c>
      <c r="AA14" s="34">
        <f>IF(AND(AA$5&gt;=$D14,AA$5&lt;=$E14),0,"")</f>
        <v/>
      </c>
      <c r="AB14" s="34">
        <f>IF(AND(AB$5&gt;=$D14,AB$5&lt;=$E14),0,"")</f>
        <v/>
      </c>
      <c r="AC14" s="34">
        <f>IF(AND(AC$5&gt;=$D14,AC$5&lt;=$E14),0,"")</f>
        <v/>
      </c>
      <c r="AD14" s="34">
        <f>IF(AND(AD$5&gt;=$D14,AD$5&lt;=$E14),0,"")</f>
        <v/>
      </c>
      <c r="AE14" s="34">
        <f>IF(AND(AE$5&gt;=$D14,AE$5&lt;=$E14),0,"")</f>
        <v/>
      </c>
      <c r="AF14" s="34">
        <f>IF(AND(AF$5&gt;=$D14,AF$5&lt;=$E14),0,"")</f>
        <v/>
      </c>
      <c r="AG14" s="34">
        <f>IF(AND(AG$5&gt;=$D14,AG$5&lt;=$E14),0,"")</f>
        <v/>
      </c>
      <c r="AH14" s="34">
        <f>IF(AND(AH$5&gt;=$D14,AH$5&lt;=$E14),0,"")</f>
        <v/>
      </c>
      <c r="AI14" s="34">
        <f>IF(AND(AI$5&gt;=$D14,AI$5&lt;=$E14),0,"")</f>
        <v/>
      </c>
      <c r="AJ14" s="34">
        <f>IF(AND(AJ$5&gt;=$D14,AJ$5&lt;=$E14),0,"")</f>
        <v/>
      </c>
      <c r="AK14" s="34">
        <f>IF(AND(AK$5&gt;=$D14,AK$5&lt;=$E14),0,"")</f>
        <v/>
      </c>
      <c r="AL14" s="34">
        <f>IF(AND(AL$5&gt;=$D14,AL$5&lt;=$E14),0,"")</f>
        <v/>
      </c>
      <c r="AM14" s="34">
        <f>IF(AND(AM$5&gt;=$D14,AM$5&lt;=$E14),0,"")</f>
        <v/>
      </c>
      <c r="AN14" s="34">
        <f>IF(AND(AN$5&gt;=$D14,AN$5&lt;=$E14),0,"")</f>
        <v/>
      </c>
      <c r="AO14" s="34">
        <f>IF(AND(AO$5&gt;=$D14,AO$5&lt;=$E14),0,"")</f>
        <v/>
      </c>
      <c r="AP14" s="34">
        <f>IF(AND(AP$5&gt;=$D14,AP$5&lt;=$E14),0,"")</f>
        <v/>
      </c>
      <c r="AQ14" s="34">
        <f>IF(AND(AQ$5&gt;=$D14,AQ$5&lt;=$E14),0,"")</f>
        <v/>
      </c>
      <c r="AR14" s="34">
        <f>IF(AND(AR$5&gt;=$D14,AR$5&lt;=$E14),0,"")</f>
        <v/>
      </c>
      <c r="AS14" s="34">
        <f>IF(AND(AS$5&gt;=$D14,AS$5&lt;=$E14),0,"")</f>
        <v/>
      </c>
      <c r="AT14" s="34">
        <f>IF(AND(AT$5&gt;=$D14,AT$5&lt;=$E14),0,"")</f>
        <v/>
      </c>
      <c r="AU14" s="34">
        <f>IF(AND(AU$5&gt;=$D14,AU$5&lt;=$E14),0,"")</f>
        <v/>
      </c>
      <c r="AV14" s="34">
        <f>IF(AND(AV$5&gt;=$D14,AV$5&lt;=$E14),0,"")</f>
        <v/>
      </c>
      <c r="AW14" s="34">
        <f>IF(AND(AW$5&gt;=$D14,AW$5&lt;=$E14),0,"")</f>
        <v/>
      </c>
      <c r="AX14" s="34">
        <f>IF(AND(AX$5&gt;=$D14,AX$5&lt;=$E14),0,"")</f>
        <v/>
      </c>
      <c r="AY14" s="34">
        <f>IF(AND(AY$5&gt;=$D14,AY$5&lt;=$E14),0,"")</f>
        <v/>
      </c>
      <c r="AZ14" s="34">
        <f>IF(AND(AZ$5&gt;=$D14,AZ$5&lt;=$E14),0,"")</f>
        <v/>
      </c>
      <c r="BA14" s="34">
        <f>IF(AND(BA$5&gt;=$D14,BA$5&lt;=$E14),0,"")</f>
        <v/>
      </c>
      <c r="BB14" s="34">
        <f>IF(AND(BB$5&gt;=$D14,BB$5&lt;=$E14),0,"")</f>
        <v/>
      </c>
      <c r="BC14" s="34">
        <f>IF(AND(BC$5&gt;=$D14,BC$5&lt;=$E14),0,"")</f>
        <v/>
      </c>
      <c r="BD14" s="34">
        <f>IF(AND(BD$5&gt;=$D14,BD$5&lt;=$E14),0,"")</f>
        <v/>
      </c>
      <c r="BE14" s="34">
        <f>IF(AND(BE$5&gt;=$D14,BE$5&lt;=$E14),0,"")</f>
        <v/>
      </c>
      <c r="BF14" s="34">
        <f>IF(AND(BF$5&gt;=$D14,BF$5&lt;=$E14),0,"")</f>
        <v/>
      </c>
      <c r="BG14" s="34">
        <f>IF(AND(BG$5&gt;=$D14,BG$5&lt;=$E14),0,"")</f>
        <v/>
      </c>
      <c r="BH14" s="34">
        <f>IF(AND(BH$5&gt;=$D14,BH$5&lt;=$E14),0,"")</f>
        <v/>
      </c>
      <c r="BI14" s="34">
        <f>IF(AND(BI$5&gt;=$D14,BI$5&lt;=$E14),0,"")</f>
        <v/>
      </c>
      <c r="BJ14" s="34">
        <f>IF(AND(BJ$5&gt;=$D14,BJ$5&lt;=$E14),0,"")</f>
        <v/>
      </c>
      <c r="BK14" s="34">
        <f>IF(AND(BK$5&gt;=$D14,BK$5&lt;=$E14),0,"")</f>
        <v/>
      </c>
    </row>
    <row r="15" ht="14.25" customHeight="1" s="36">
      <c r="A15" s="33" t="inlineStr">
        <is>
          <t>Período</t>
        </is>
      </c>
      <c r="B15" s="33" t="inlineStr">
        <is>
          <t>Art. 17</t>
        </is>
      </c>
      <c r="C15" s="33" t="inlineStr">
        <is>
          <t>Operación (36 meses)</t>
        </is>
      </c>
      <c r="D15" s="33" t="n">
        <v>21</v>
      </c>
      <c r="E15" s="33" t="n">
        <v>56</v>
      </c>
      <c r="F15" s="33">
        <f>E15-D15+1</f>
        <v/>
      </c>
      <c r="G15" s="33" t="n"/>
      <c r="H15" s="34">
        <f>IF(AND(H$5&gt;=$D15,H$5&lt;=$E15),0,"")</f>
        <v/>
      </c>
      <c r="I15" s="34">
        <f>IF(AND(I$5&gt;=$D15,I$5&lt;=$E15),0,"")</f>
        <v/>
      </c>
      <c r="J15" s="34">
        <f>IF(AND(J$5&gt;=$D15,J$5&lt;=$E15),0,"")</f>
        <v/>
      </c>
      <c r="K15" s="34">
        <f>IF(AND(K$5&gt;=$D15,K$5&lt;=$E15),0,"")</f>
        <v/>
      </c>
      <c r="L15" s="34">
        <f>IF(AND(L$5&gt;=$D15,L$5&lt;=$E15),0,"")</f>
        <v/>
      </c>
      <c r="M15" s="34">
        <f>IF(AND(M$5&gt;=$D15,M$5&lt;=$E15),0,"")</f>
        <v/>
      </c>
      <c r="N15" s="34">
        <f>IF(AND(N$5&gt;=$D15,N$5&lt;=$E15),0,"")</f>
        <v/>
      </c>
      <c r="O15" s="34">
        <f>IF(AND(O$5&gt;=$D15,O$5&lt;=$E15),0,"")</f>
        <v/>
      </c>
      <c r="P15" s="34">
        <f>IF(AND(P$5&gt;=$D15,P$5&lt;=$E15),0,"")</f>
        <v/>
      </c>
      <c r="Q15" s="34">
        <f>IF(AND(Q$5&gt;=$D15,Q$5&lt;=$E15),0,"")</f>
        <v/>
      </c>
      <c r="R15" s="34">
        <f>IF(AND(R$5&gt;=$D15,R$5&lt;=$E15),0,"")</f>
        <v/>
      </c>
      <c r="S15" s="34">
        <f>IF(AND(S$5&gt;=$D15,S$5&lt;=$E15),0,"")</f>
        <v/>
      </c>
      <c r="T15" s="34">
        <f>IF(AND(T$5&gt;=$D15,T$5&lt;=$E15),0,"")</f>
        <v/>
      </c>
      <c r="U15" s="34">
        <f>IF(AND(U$5&gt;=$D15,U$5&lt;=$E15),0,"")</f>
        <v/>
      </c>
      <c r="V15" s="34">
        <f>IF(AND(V$5&gt;=$D15,V$5&lt;=$E15),0,"")</f>
        <v/>
      </c>
      <c r="W15" s="34">
        <f>IF(AND(W$5&gt;=$D15,W$5&lt;=$E15),0,"")</f>
        <v/>
      </c>
      <c r="X15" s="34">
        <f>IF(AND(X$5&gt;=$D15,X$5&lt;=$E15),0,"")</f>
        <v/>
      </c>
      <c r="Y15" s="34">
        <f>IF(AND(Y$5&gt;=$D15,Y$5&lt;=$E15),0,"")</f>
        <v/>
      </c>
      <c r="Z15" s="34">
        <f>IF(AND(Z$5&gt;=$D15,Z$5&lt;=$E15),0,"")</f>
        <v/>
      </c>
      <c r="AA15" s="34">
        <f>IF(AND(AA$5&gt;=$D15,AA$5&lt;=$E15),0,"")</f>
        <v/>
      </c>
      <c r="AB15" s="34">
        <f>IF(AND(AB$5&gt;=$D15,AB$5&lt;=$E15),0,"")</f>
        <v/>
      </c>
      <c r="AC15" s="34">
        <f>IF(AND(AC$5&gt;=$D15,AC$5&lt;=$E15),0,"")</f>
        <v/>
      </c>
      <c r="AD15" s="34">
        <f>IF(AND(AD$5&gt;=$D15,AD$5&lt;=$E15),0,"")</f>
        <v/>
      </c>
      <c r="AE15" s="34">
        <f>IF(AND(AE$5&gt;=$D15,AE$5&lt;=$E15),0,"")</f>
        <v/>
      </c>
      <c r="AF15" s="34">
        <f>IF(AND(AF$5&gt;=$D15,AF$5&lt;=$E15),0,"")</f>
        <v/>
      </c>
      <c r="AG15" s="34">
        <f>IF(AND(AG$5&gt;=$D15,AG$5&lt;=$E15),0,"")</f>
        <v/>
      </c>
      <c r="AH15" s="34">
        <f>IF(AND(AH$5&gt;=$D15,AH$5&lt;=$E15),0,"")</f>
        <v/>
      </c>
      <c r="AI15" s="34">
        <f>IF(AND(AI$5&gt;=$D15,AI$5&lt;=$E15),0,"")</f>
        <v/>
      </c>
      <c r="AJ15" s="34">
        <f>IF(AND(AJ$5&gt;=$D15,AJ$5&lt;=$E15),0,"")</f>
        <v/>
      </c>
      <c r="AK15" s="34">
        <f>IF(AND(AK$5&gt;=$D15,AK$5&lt;=$E15),0,"")</f>
        <v/>
      </c>
      <c r="AL15" s="34">
        <f>IF(AND(AL$5&gt;=$D15,AL$5&lt;=$E15),0,"")</f>
        <v/>
      </c>
      <c r="AM15" s="34">
        <f>IF(AND(AM$5&gt;=$D15,AM$5&lt;=$E15),0,"")</f>
        <v/>
      </c>
      <c r="AN15" s="34">
        <f>IF(AND(AN$5&gt;=$D15,AN$5&lt;=$E15),0,"")</f>
        <v/>
      </c>
      <c r="AO15" s="34">
        <f>IF(AND(AO$5&gt;=$D15,AO$5&lt;=$E15),0,"")</f>
        <v/>
      </c>
      <c r="AP15" s="34">
        <f>IF(AND(AP$5&gt;=$D15,AP$5&lt;=$E15),0,"")</f>
        <v/>
      </c>
      <c r="AQ15" s="34">
        <f>IF(AND(AQ$5&gt;=$D15,AQ$5&lt;=$E15),0,"")</f>
        <v/>
      </c>
      <c r="AR15" s="34">
        <f>IF(AND(AR$5&gt;=$D15,AR$5&lt;=$E15),0,"")</f>
        <v/>
      </c>
      <c r="AS15" s="34">
        <f>IF(AND(AS$5&gt;=$D15,AS$5&lt;=$E15),0,"")</f>
        <v/>
      </c>
      <c r="AT15" s="34">
        <f>IF(AND(AT$5&gt;=$D15,AT$5&lt;=$E15),0,"")</f>
        <v/>
      </c>
      <c r="AU15" s="34">
        <f>IF(AND(AU$5&gt;=$D15,AU$5&lt;=$E15),0,"")</f>
        <v/>
      </c>
      <c r="AV15" s="34">
        <f>IF(AND(AV$5&gt;=$D15,AV$5&lt;=$E15),0,"")</f>
        <v/>
      </c>
      <c r="AW15" s="34">
        <f>IF(AND(AW$5&gt;=$D15,AW$5&lt;=$E15),0,"")</f>
        <v/>
      </c>
      <c r="AX15" s="34">
        <f>IF(AND(AX$5&gt;=$D15,AX$5&lt;=$E15),0,"")</f>
        <v/>
      </c>
      <c r="AY15" s="34">
        <f>IF(AND(AY$5&gt;=$D15,AY$5&lt;=$E15),0,"")</f>
        <v/>
      </c>
      <c r="AZ15" s="34">
        <f>IF(AND(AZ$5&gt;=$D15,AZ$5&lt;=$E15),0,"")</f>
        <v/>
      </c>
      <c r="BA15" s="34">
        <f>IF(AND(BA$5&gt;=$D15,BA$5&lt;=$E15),0,"")</f>
        <v/>
      </c>
      <c r="BB15" s="34">
        <f>IF(AND(BB$5&gt;=$D15,BB$5&lt;=$E15),0,"")</f>
        <v/>
      </c>
      <c r="BC15" s="34">
        <f>IF(AND(BC$5&gt;=$D15,BC$5&lt;=$E15),0,"")</f>
        <v/>
      </c>
      <c r="BD15" s="34">
        <f>IF(AND(BD$5&gt;=$D15,BD$5&lt;=$E15),0,"")</f>
        <v/>
      </c>
      <c r="BE15" s="34">
        <f>IF(AND(BE$5&gt;=$D15,BE$5&lt;=$E15),0,"")</f>
        <v/>
      </c>
      <c r="BF15" s="34">
        <f>IF(AND(BF$5&gt;=$D15,BF$5&lt;=$E15),0,"")</f>
        <v/>
      </c>
      <c r="BG15" s="34">
        <f>IF(AND(BG$5&gt;=$D15,BG$5&lt;=$E15),0,"")</f>
        <v/>
      </c>
      <c r="BH15" s="34">
        <f>IF(AND(BH$5&gt;=$D15,BH$5&lt;=$E15),0,"")</f>
        <v/>
      </c>
      <c r="BI15" s="34">
        <f>IF(AND(BI$5&gt;=$D15,BI$5&lt;=$E15),0,"")</f>
        <v/>
      </c>
      <c r="BJ15" s="34">
        <f>IF(AND(BJ$5&gt;=$D15,BJ$5&lt;=$E15),0,"")</f>
        <v/>
      </c>
      <c r="BK15" s="34">
        <f>IF(AND(BK$5&gt;=$D15,BK$5&lt;=$E15),0,"")</f>
        <v/>
      </c>
    </row>
    <row r="16" ht="14.25" customHeight="1" s="36">
      <c r="A16" s="13" t="inlineStr">
        <is>
          <t>1 Inicio</t>
        </is>
      </c>
      <c r="B16" s="13" t="inlineStr">
        <is>
          <t>1.1</t>
        </is>
      </c>
      <c r="C16" s="13" t="inlineStr">
        <is>
          <t>Definición inicial del proyecto</t>
        </is>
      </c>
      <c r="D16" s="13" t="n">
        <v>1</v>
      </c>
      <c r="E16" s="13" t="n">
        <v>1</v>
      </c>
      <c r="F16" s="13">
        <f>E16-D16+1</f>
        <v/>
      </c>
      <c r="G16" s="31" t="n">
        <v>240</v>
      </c>
      <c r="H16" s="34">
        <f>IF(AND(H$5&gt;=$D16,H$5&lt;=$E16),1,"")</f>
        <v/>
      </c>
      <c r="I16" s="34">
        <f>IF(AND(I$5&gt;=$D16,I$5&lt;=$E16),1,"")</f>
        <v/>
      </c>
      <c r="J16" s="34">
        <f>IF(AND(J$5&gt;=$D16,J$5&lt;=$E16),1,"")</f>
        <v/>
      </c>
      <c r="K16" s="34">
        <f>IF(AND(K$5&gt;=$D16,K$5&lt;=$E16),1,"")</f>
        <v/>
      </c>
      <c r="L16" s="34">
        <f>IF(AND(L$5&gt;=$D16,L$5&lt;=$E16),1,"")</f>
        <v/>
      </c>
      <c r="M16" s="34">
        <f>IF(AND(M$5&gt;=$D16,M$5&lt;=$E16),1,"")</f>
        <v/>
      </c>
      <c r="N16" s="34">
        <f>IF(AND(N$5&gt;=$D16,N$5&lt;=$E16),1,"")</f>
        <v/>
      </c>
      <c r="O16" s="34">
        <f>IF(AND(O$5&gt;=$D16,O$5&lt;=$E16),1,"")</f>
        <v/>
      </c>
      <c r="P16" s="34">
        <f>IF(AND(P$5&gt;=$D16,P$5&lt;=$E16),1,"")</f>
        <v/>
      </c>
      <c r="Q16" s="34">
        <f>IF(AND(Q$5&gt;=$D16,Q$5&lt;=$E16),1,"")</f>
        <v/>
      </c>
      <c r="R16" s="34">
        <f>IF(AND(R$5&gt;=$D16,R$5&lt;=$E16),1,"")</f>
        <v/>
      </c>
      <c r="S16" s="34">
        <f>IF(AND(S$5&gt;=$D16,S$5&lt;=$E16),1,"")</f>
        <v/>
      </c>
      <c r="T16" s="34">
        <f>IF(AND(T$5&gt;=$D16,T$5&lt;=$E16),1,"")</f>
        <v/>
      </c>
      <c r="U16" s="34">
        <f>IF(AND(U$5&gt;=$D16,U$5&lt;=$E16),1,"")</f>
        <v/>
      </c>
      <c r="V16" s="34">
        <f>IF(AND(V$5&gt;=$D16,V$5&lt;=$E16),1,"")</f>
        <v/>
      </c>
      <c r="W16" s="34">
        <f>IF(AND(W$5&gt;=$D16,W$5&lt;=$E16),1,"")</f>
        <v/>
      </c>
      <c r="X16" s="34">
        <f>IF(AND(X$5&gt;=$D16,X$5&lt;=$E16),1,"")</f>
        <v/>
      </c>
      <c r="Y16" s="34">
        <f>IF(AND(Y$5&gt;=$D16,Y$5&lt;=$E16),1,"")</f>
        <v/>
      </c>
      <c r="Z16" s="34">
        <f>IF(AND(Z$5&gt;=$D16,Z$5&lt;=$E16),1,"")</f>
        <v/>
      </c>
      <c r="AA16" s="34">
        <f>IF(AND(AA$5&gt;=$D16,AA$5&lt;=$E16),1,"")</f>
        <v/>
      </c>
      <c r="AB16" s="34">
        <f>IF(AND(AB$5&gt;=$D16,AB$5&lt;=$E16),1,"")</f>
        <v/>
      </c>
      <c r="AC16" s="34">
        <f>IF(AND(AC$5&gt;=$D16,AC$5&lt;=$E16),1,"")</f>
        <v/>
      </c>
      <c r="AD16" s="34">
        <f>IF(AND(AD$5&gt;=$D16,AD$5&lt;=$E16),1,"")</f>
        <v/>
      </c>
      <c r="AE16" s="34">
        <f>IF(AND(AE$5&gt;=$D16,AE$5&lt;=$E16),1,"")</f>
        <v/>
      </c>
      <c r="AF16" s="34">
        <f>IF(AND(AF$5&gt;=$D16,AF$5&lt;=$E16),1,"")</f>
        <v/>
      </c>
      <c r="AG16" s="34">
        <f>IF(AND(AG$5&gt;=$D16,AG$5&lt;=$E16),1,"")</f>
        <v/>
      </c>
      <c r="AH16" s="34">
        <f>IF(AND(AH$5&gt;=$D16,AH$5&lt;=$E16),1,"")</f>
        <v/>
      </c>
      <c r="AI16" s="34">
        <f>IF(AND(AI$5&gt;=$D16,AI$5&lt;=$E16),1,"")</f>
        <v/>
      </c>
      <c r="AJ16" s="34">
        <f>IF(AND(AJ$5&gt;=$D16,AJ$5&lt;=$E16),1,"")</f>
        <v/>
      </c>
      <c r="AK16" s="34">
        <f>IF(AND(AK$5&gt;=$D16,AK$5&lt;=$E16),1,"")</f>
        <v/>
      </c>
      <c r="AL16" s="34">
        <f>IF(AND(AL$5&gt;=$D16,AL$5&lt;=$E16),1,"")</f>
        <v/>
      </c>
      <c r="AM16" s="34">
        <f>IF(AND(AM$5&gt;=$D16,AM$5&lt;=$E16),1,"")</f>
        <v/>
      </c>
      <c r="AN16" s="34">
        <f>IF(AND(AN$5&gt;=$D16,AN$5&lt;=$E16),1,"")</f>
        <v/>
      </c>
      <c r="AO16" s="34">
        <f>IF(AND(AO$5&gt;=$D16,AO$5&lt;=$E16),1,"")</f>
        <v/>
      </c>
      <c r="AP16" s="34">
        <f>IF(AND(AP$5&gt;=$D16,AP$5&lt;=$E16),1,"")</f>
        <v/>
      </c>
      <c r="AQ16" s="34">
        <f>IF(AND(AQ$5&gt;=$D16,AQ$5&lt;=$E16),1,"")</f>
        <v/>
      </c>
      <c r="AR16" s="34">
        <f>IF(AND(AR$5&gt;=$D16,AR$5&lt;=$E16),1,"")</f>
        <v/>
      </c>
      <c r="AS16" s="34">
        <f>IF(AND(AS$5&gt;=$D16,AS$5&lt;=$E16),1,"")</f>
        <v/>
      </c>
      <c r="AT16" s="34">
        <f>IF(AND(AT$5&gt;=$D16,AT$5&lt;=$E16),1,"")</f>
        <v/>
      </c>
      <c r="AU16" s="34">
        <f>IF(AND(AU$5&gt;=$D16,AU$5&lt;=$E16),1,"")</f>
        <v/>
      </c>
      <c r="AV16" s="34">
        <f>IF(AND(AV$5&gt;=$D16,AV$5&lt;=$E16),1,"")</f>
        <v/>
      </c>
      <c r="AW16" s="34">
        <f>IF(AND(AW$5&gt;=$D16,AW$5&lt;=$E16),1,"")</f>
        <v/>
      </c>
      <c r="AX16" s="34">
        <f>IF(AND(AX$5&gt;=$D16,AX$5&lt;=$E16),1,"")</f>
        <v/>
      </c>
      <c r="AY16" s="34">
        <f>IF(AND(AY$5&gt;=$D16,AY$5&lt;=$E16),1,"")</f>
        <v/>
      </c>
      <c r="AZ16" s="34">
        <f>IF(AND(AZ$5&gt;=$D16,AZ$5&lt;=$E16),1,"")</f>
        <v/>
      </c>
      <c r="BA16" s="34">
        <f>IF(AND(BA$5&gt;=$D16,BA$5&lt;=$E16),1,"")</f>
        <v/>
      </c>
      <c r="BB16" s="34">
        <f>IF(AND(BB$5&gt;=$D16,BB$5&lt;=$E16),1,"")</f>
        <v/>
      </c>
      <c r="BC16" s="34">
        <f>IF(AND(BC$5&gt;=$D16,BC$5&lt;=$E16),1,"")</f>
        <v/>
      </c>
      <c r="BD16" s="34">
        <f>IF(AND(BD$5&gt;=$D16,BD$5&lt;=$E16),1,"")</f>
        <v/>
      </c>
      <c r="BE16" s="34">
        <f>IF(AND(BE$5&gt;=$D16,BE$5&lt;=$E16),1,"")</f>
        <v/>
      </c>
      <c r="BF16" s="34">
        <f>IF(AND(BF$5&gt;=$D16,BF$5&lt;=$E16),1,"")</f>
        <v/>
      </c>
      <c r="BG16" s="34">
        <f>IF(AND(BG$5&gt;=$D16,BG$5&lt;=$E16),1,"")</f>
        <v/>
      </c>
      <c r="BH16" s="34">
        <f>IF(AND(BH$5&gt;=$D16,BH$5&lt;=$E16),1,"")</f>
        <v/>
      </c>
      <c r="BI16" s="34">
        <f>IF(AND(BI$5&gt;=$D16,BI$5&lt;=$E16),1,"")</f>
        <v/>
      </c>
      <c r="BJ16" s="34">
        <f>IF(AND(BJ$5&gt;=$D16,BJ$5&lt;=$E16),1,"")</f>
        <v/>
      </c>
      <c r="BK16" s="34">
        <f>IF(AND(BK$5&gt;=$D16,BK$5&lt;=$E16),1,"")</f>
        <v/>
      </c>
    </row>
    <row r="17" ht="14.25" customHeight="1" s="36">
      <c r="A17" s="13" t="inlineStr">
        <is>
          <t>1 Inicio</t>
        </is>
      </c>
      <c r="B17" s="13" t="inlineStr">
        <is>
          <t>1.2</t>
        </is>
      </c>
      <c r="C17" s="13" t="inlineStr">
        <is>
          <t>Alcance del proyecto</t>
        </is>
      </c>
      <c r="D17" s="13" t="n">
        <v>1</v>
      </c>
      <c r="E17" s="13" t="n">
        <v>13</v>
      </c>
      <c r="F17" s="13">
        <f>E17-D17+1</f>
        <v/>
      </c>
      <c r="G17" s="31" t="n">
        <v>400</v>
      </c>
      <c r="H17" s="34">
        <f>IF(AND(H$5&gt;=$D17,H$5&lt;=$E17),1,"")</f>
        <v/>
      </c>
      <c r="I17" s="34">
        <f>IF(AND(I$5&gt;=$D17,I$5&lt;=$E17),1,"")</f>
        <v/>
      </c>
      <c r="J17" s="34">
        <f>IF(AND(J$5&gt;=$D17,J$5&lt;=$E17),1,"")</f>
        <v/>
      </c>
      <c r="K17" s="34">
        <f>IF(AND(K$5&gt;=$D17,K$5&lt;=$E17),1,"")</f>
        <v/>
      </c>
      <c r="L17" s="34">
        <f>IF(AND(L$5&gt;=$D17,L$5&lt;=$E17),1,"")</f>
        <v/>
      </c>
      <c r="M17" s="34">
        <f>IF(AND(M$5&gt;=$D17,M$5&lt;=$E17),1,"")</f>
        <v/>
      </c>
      <c r="N17" s="34">
        <f>IF(AND(N$5&gt;=$D17,N$5&lt;=$E17),1,"")</f>
        <v/>
      </c>
      <c r="O17" s="34">
        <f>IF(AND(O$5&gt;=$D17,O$5&lt;=$E17),1,"")</f>
        <v/>
      </c>
      <c r="P17" s="34">
        <f>IF(AND(P$5&gt;=$D17,P$5&lt;=$E17),1,"")</f>
        <v/>
      </c>
      <c r="Q17" s="34">
        <f>IF(AND(Q$5&gt;=$D17,Q$5&lt;=$E17),1,"")</f>
        <v/>
      </c>
      <c r="R17" s="34">
        <f>IF(AND(R$5&gt;=$D17,R$5&lt;=$E17),1,"")</f>
        <v/>
      </c>
      <c r="S17" s="34">
        <f>IF(AND(S$5&gt;=$D17,S$5&lt;=$E17),1,"")</f>
        <v/>
      </c>
      <c r="T17" s="34">
        <f>IF(AND(T$5&gt;=$D17,T$5&lt;=$E17),1,"")</f>
        <v/>
      </c>
      <c r="U17" s="34">
        <f>IF(AND(U$5&gt;=$D17,U$5&lt;=$E17),1,"")</f>
        <v/>
      </c>
      <c r="V17" s="34">
        <f>IF(AND(V$5&gt;=$D17,V$5&lt;=$E17),1,"")</f>
        <v/>
      </c>
      <c r="W17" s="34">
        <f>IF(AND(W$5&gt;=$D17,W$5&lt;=$E17),1,"")</f>
        <v/>
      </c>
      <c r="X17" s="34">
        <f>IF(AND(X$5&gt;=$D17,X$5&lt;=$E17),1,"")</f>
        <v/>
      </c>
      <c r="Y17" s="34">
        <f>IF(AND(Y$5&gt;=$D17,Y$5&lt;=$E17),1,"")</f>
        <v/>
      </c>
      <c r="Z17" s="34">
        <f>IF(AND(Z$5&gt;=$D17,Z$5&lt;=$E17),1,"")</f>
        <v/>
      </c>
      <c r="AA17" s="34">
        <f>IF(AND(AA$5&gt;=$D17,AA$5&lt;=$E17),1,"")</f>
        <v/>
      </c>
      <c r="AB17" s="34">
        <f>IF(AND(AB$5&gt;=$D17,AB$5&lt;=$E17),1,"")</f>
        <v/>
      </c>
      <c r="AC17" s="34">
        <f>IF(AND(AC$5&gt;=$D17,AC$5&lt;=$E17),1,"")</f>
        <v/>
      </c>
      <c r="AD17" s="34">
        <f>IF(AND(AD$5&gt;=$D17,AD$5&lt;=$E17),1,"")</f>
        <v/>
      </c>
      <c r="AE17" s="34">
        <f>IF(AND(AE$5&gt;=$D17,AE$5&lt;=$E17),1,"")</f>
        <v/>
      </c>
      <c r="AF17" s="34">
        <f>IF(AND(AF$5&gt;=$D17,AF$5&lt;=$E17),1,"")</f>
        <v/>
      </c>
      <c r="AG17" s="34">
        <f>IF(AND(AG$5&gt;=$D17,AG$5&lt;=$E17),1,"")</f>
        <v/>
      </c>
      <c r="AH17" s="34">
        <f>IF(AND(AH$5&gt;=$D17,AH$5&lt;=$E17),1,"")</f>
        <v/>
      </c>
      <c r="AI17" s="34">
        <f>IF(AND(AI$5&gt;=$D17,AI$5&lt;=$E17),1,"")</f>
        <v/>
      </c>
      <c r="AJ17" s="34">
        <f>IF(AND(AJ$5&gt;=$D17,AJ$5&lt;=$E17),1,"")</f>
        <v/>
      </c>
      <c r="AK17" s="34">
        <f>IF(AND(AK$5&gt;=$D17,AK$5&lt;=$E17),1,"")</f>
        <v/>
      </c>
      <c r="AL17" s="34">
        <f>IF(AND(AL$5&gt;=$D17,AL$5&lt;=$E17),1,"")</f>
        <v/>
      </c>
      <c r="AM17" s="34">
        <f>IF(AND(AM$5&gt;=$D17,AM$5&lt;=$E17),1,"")</f>
        <v/>
      </c>
      <c r="AN17" s="34">
        <f>IF(AND(AN$5&gt;=$D17,AN$5&lt;=$E17),1,"")</f>
        <v/>
      </c>
      <c r="AO17" s="34">
        <f>IF(AND(AO$5&gt;=$D17,AO$5&lt;=$E17),1,"")</f>
        <v/>
      </c>
      <c r="AP17" s="34">
        <f>IF(AND(AP$5&gt;=$D17,AP$5&lt;=$E17),1,"")</f>
        <v/>
      </c>
      <c r="AQ17" s="34">
        <f>IF(AND(AQ$5&gt;=$D17,AQ$5&lt;=$E17),1,"")</f>
        <v/>
      </c>
      <c r="AR17" s="34">
        <f>IF(AND(AR$5&gt;=$D17,AR$5&lt;=$E17),1,"")</f>
        <v/>
      </c>
      <c r="AS17" s="34">
        <f>IF(AND(AS$5&gt;=$D17,AS$5&lt;=$E17),1,"")</f>
        <v/>
      </c>
      <c r="AT17" s="34">
        <f>IF(AND(AT$5&gt;=$D17,AT$5&lt;=$E17),1,"")</f>
        <v/>
      </c>
      <c r="AU17" s="34">
        <f>IF(AND(AU$5&gt;=$D17,AU$5&lt;=$E17),1,"")</f>
        <v/>
      </c>
      <c r="AV17" s="34">
        <f>IF(AND(AV$5&gt;=$D17,AV$5&lt;=$E17),1,"")</f>
        <v/>
      </c>
      <c r="AW17" s="34">
        <f>IF(AND(AW$5&gt;=$D17,AW$5&lt;=$E17),1,"")</f>
        <v/>
      </c>
      <c r="AX17" s="34">
        <f>IF(AND(AX$5&gt;=$D17,AX$5&lt;=$E17),1,"")</f>
        <v/>
      </c>
      <c r="AY17" s="34">
        <f>IF(AND(AY$5&gt;=$D17,AY$5&lt;=$E17),1,"")</f>
        <v/>
      </c>
      <c r="AZ17" s="34">
        <f>IF(AND(AZ$5&gt;=$D17,AZ$5&lt;=$E17),1,"")</f>
        <v/>
      </c>
      <c r="BA17" s="34">
        <f>IF(AND(BA$5&gt;=$D17,BA$5&lt;=$E17),1,"")</f>
        <v/>
      </c>
      <c r="BB17" s="34">
        <f>IF(AND(BB$5&gt;=$D17,BB$5&lt;=$E17),1,"")</f>
        <v/>
      </c>
      <c r="BC17" s="34">
        <f>IF(AND(BC$5&gt;=$D17,BC$5&lt;=$E17),1,"")</f>
        <v/>
      </c>
      <c r="BD17" s="34">
        <f>IF(AND(BD$5&gt;=$D17,BD$5&lt;=$E17),1,"")</f>
        <v/>
      </c>
      <c r="BE17" s="34">
        <f>IF(AND(BE$5&gt;=$D17,BE$5&lt;=$E17),1,"")</f>
        <v/>
      </c>
      <c r="BF17" s="34">
        <f>IF(AND(BF$5&gt;=$D17,BF$5&lt;=$E17),1,"")</f>
        <v/>
      </c>
      <c r="BG17" s="34">
        <f>IF(AND(BG$5&gt;=$D17,BG$5&lt;=$E17),1,"")</f>
        <v/>
      </c>
      <c r="BH17" s="34">
        <f>IF(AND(BH$5&gt;=$D17,BH$5&lt;=$E17),1,"")</f>
        <v/>
      </c>
      <c r="BI17" s="34">
        <f>IF(AND(BI$5&gt;=$D17,BI$5&lt;=$E17),1,"")</f>
        <v/>
      </c>
      <c r="BJ17" s="34">
        <f>IF(AND(BJ$5&gt;=$D17,BJ$5&lt;=$E17),1,"")</f>
        <v/>
      </c>
      <c r="BK17" s="34">
        <f>IF(AND(BK$5&gt;=$D17,BK$5&lt;=$E17),1,"")</f>
        <v/>
      </c>
    </row>
    <row r="18" ht="14.25" customHeight="1" s="36">
      <c r="A18" s="13" t="inlineStr">
        <is>
          <t>1 Inicio</t>
        </is>
      </c>
      <c r="B18" s="13" t="inlineStr">
        <is>
          <t>1.3</t>
        </is>
      </c>
      <c r="C18" s="13" t="inlineStr">
        <is>
          <t>Planificación del proyecto</t>
        </is>
      </c>
      <c r="D18" s="13" t="n">
        <v>1</v>
      </c>
      <c r="E18" s="13" t="n">
        <v>20</v>
      </c>
      <c r="F18" s="13">
        <f>E18-D18+1</f>
        <v/>
      </c>
      <c r="G18" s="31" t="n">
        <v>800</v>
      </c>
      <c r="H18" s="34">
        <f>IF(AND(H$5&gt;=$D18,H$5&lt;=$E18),1,"")</f>
        <v/>
      </c>
      <c r="I18" s="34">
        <f>IF(AND(I$5&gt;=$D18,I$5&lt;=$E18),1,"")</f>
        <v/>
      </c>
      <c r="J18" s="34">
        <f>IF(AND(J$5&gt;=$D18,J$5&lt;=$E18),1,"")</f>
        <v/>
      </c>
      <c r="K18" s="34">
        <f>IF(AND(K$5&gt;=$D18,K$5&lt;=$E18),1,"")</f>
        <v/>
      </c>
      <c r="L18" s="34">
        <f>IF(AND(L$5&gt;=$D18,L$5&lt;=$E18),1,"")</f>
        <v/>
      </c>
      <c r="M18" s="34">
        <f>IF(AND(M$5&gt;=$D18,M$5&lt;=$E18),1,"")</f>
        <v/>
      </c>
      <c r="N18" s="34">
        <f>IF(AND(N$5&gt;=$D18,N$5&lt;=$E18),1,"")</f>
        <v/>
      </c>
      <c r="O18" s="34">
        <f>IF(AND(O$5&gt;=$D18,O$5&lt;=$E18),1,"")</f>
        <v/>
      </c>
      <c r="P18" s="34">
        <f>IF(AND(P$5&gt;=$D18,P$5&lt;=$E18),1,"")</f>
        <v/>
      </c>
      <c r="Q18" s="34">
        <f>IF(AND(Q$5&gt;=$D18,Q$5&lt;=$E18),1,"")</f>
        <v/>
      </c>
      <c r="R18" s="34">
        <f>IF(AND(R$5&gt;=$D18,R$5&lt;=$E18),1,"")</f>
        <v/>
      </c>
      <c r="S18" s="34">
        <f>IF(AND(S$5&gt;=$D18,S$5&lt;=$E18),1,"")</f>
        <v/>
      </c>
      <c r="T18" s="34">
        <f>IF(AND(T$5&gt;=$D18,T$5&lt;=$E18),1,"")</f>
        <v/>
      </c>
      <c r="U18" s="34">
        <f>IF(AND(U$5&gt;=$D18,U$5&lt;=$E18),1,"")</f>
        <v/>
      </c>
      <c r="V18" s="34">
        <f>IF(AND(V$5&gt;=$D18,V$5&lt;=$E18),1,"")</f>
        <v/>
      </c>
      <c r="W18" s="34">
        <f>IF(AND(W$5&gt;=$D18,W$5&lt;=$E18),1,"")</f>
        <v/>
      </c>
      <c r="X18" s="34">
        <f>IF(AND(X$5&gt;=$D18,X$5&lt;=$E18),1,"")</f>
        <v/>
      </c>
      <c r="Y18" s="34">
        <f>IF(AND(Y$5&gt;=$D18,Y$5&lt;=$E18),1,"")</f>
        <v/>
      </c>
      <c r="Z18" s="34">
        <f>IF(AND(Z$5&gt;=$D18,Z$5&lt;=$E18),1,"")</f>
        <v/>
      </c>
      <c r="AA18" s="34">
        <f>IF(AND(AA$5&gt;=$D18,AA$5&lt;=$E18),1,"")</f>
        <v/>
      </c>
      <c r="AB18" s="34">
        <f>IF(AND(AB$5&gt;=$D18,AB$5&lt;=$E18),1,"")</f>
        <v/>
      </c>
      <c r="AC18" s="34">
        <f>IF(AND(AC$5&gt;=$D18,AC$5&lt;=$E18),1,"")</f>
        <v/>
      </c>
      <c r="AD18" s="34">
        <f>IF(AND(AD$5&gt;=$D18,AD$5&lt;=$E18),1,"")</f>
        <v/>
      </c>
      <c r="AE18" s="34">
        <f>IF(AND(AE$5&gt;=$D18,AE$5&lt;=$E18),1,"")</f>
        <v/>
      </c>
      <c r="AF18" s="34">
        <f>IF(AND(AF$5&gt;=$D18,AF$5&lt;=$E18),1,"")</f>
        <v/>
      </c>
      <c r="AG18" s="34">
        <f>IF(AND(AG$5&gt;=$D18,AG$5&lt;=$E18),1,"")</f>
        <v/>
      </c>
      <c r="AH18" s="34">
        <f>IF(AND(AH$5&gt;=$D18,AH$5&lt;=$E18),1,"")</f>
        <v/>
      </c>
      <c r="AI18" s="34">
        <f>IF(AND(AI$5&gt;=$D18,AI$5&lt;=$E18),1,"")</f>
        <v/>
      </c>
      <c r="AJ18" s="34">
        <f>IF(AND(AJ$5&gt;=$D18,AJ$5&lt;=$E18),1,"")</f>
        <v/>
      </c>
      <c r="AK18" s="34">
        <f>IF(AND(AK$5&gt;=$D18,AK$5&lt;=$E18),1,"")</f>
        <v/>
      </c>
      <c r="AL18" s="34">
        <f>IF(AND(AL$5&gt;=$D18,AL$5&lt;=$E18),1,"")</f>
        <v/>
      </c>
      <c r="AM18" s="34">
        <f>IF(AND(AM$5&gt;=$D18,AM$5&lt;=$E18),1,"")</f>
        <v/>
      </c>
      <c r="AN18" s="34">
        <f>IF(AND(AN$5&gt;=$D18,AN$5&lt;=$E18),1,"")</f>
        <v/>
      </c>
      <c r="AO18" s="34">
        <f>IF(AND(AO$5&gt;=$D18,AO$5&lt;=$E18),1,"")</f>
        <v/>
      </c>
      <c r="AP18" s="34">
        <f>IF(AND(AP$5&gt;=$D18,AP$5&lt;=$E18),1,"")</f>
        <v/>
      </c>
      <c r="AQ18" s="34">
        <f>IF(AND(AQ$5&gt;=$D18,AQ$5&lt;=$E18),1,"")</f>
        <v/>
      </c>
      <c r="AR18" s="34">
        <f>IF(AND(AR$5&gt;=$D18,AR$5&lt;=$E18),1,"")</f>
        <v/>
      </c>
      <c r="AS18" s="34">
        <f>IF(AND(AS$5&gt;=$D18,AS$5&lt;=$E18),1,"")</f>
        <v/>
      </c>
      <c r="AT18" s="34">
        <f>IF(AND(AT$5&gt;=$D18,AT$5&lt;=$E18),1,"")</f>
        <v/>
      </c>
      <c r="AU18" s="34">
        <f>IF(AND(AU$5&gt;=$D18,AU$5&lt;=$E18),1,"")</f>
        <v/>
      </c>
      <c r="AV18" s="34">
        <f>IF(AND(AV$5&gt;=$D18,AV$5&lt;=$E18),1,"")</f>
        <v/>
      </c>
      <c r="AW18" s="34">
        <f>IF(AND(AW$5&gt;=$D18,AW$5&lt;=$E18),1,"")</f>
        <v/>
      </c>
      <c r="AX18" s="34">
        <f>IF(AND(AX$5&gt;=$D18,AX$5&lt;=$E18),1,"")</f>
        <v/>
      </c>
      <c r="AY18" s="34">
        <f>IF(AND(AY$5&gt;=$D18,AY$5&lt;=$E18),1,"")</f>
        <v/>
      </c>
      <c r="AZ18" s="34">
        <f>IF(AND(AZ$5&gt;=$D18,AZ$5&lt;=$E18),1,"")</f>
        <v/>
      </c>
      <c r="BA18" s="34">
        <f>IF(AND(BA$5&gt;=$D18,BA$5&lt;=$E18),1,"")</f>
        <v/>
      </c>
      <c r="BB18" s="34">
        <f>IF(AND(BB$5&gt;=$D18,BB$5&lt;=$E18),1,"")</f>
        <v/>
      </c>
      <c r="BC18" s="34">
        <f>IF(AND(BC$5&gt;=$D18,BC$5&lt;=$E18),1,"")</f>
        <v/>
      </c>
      <c r="BD18" s="34">
        <f>IF(AND(BD$5&gt;=$D18,BD$5&lt;=$E18),1,"")</f>
        <v/>
      </c>
      <c r="BE18" s="34">
        <f>IF(AND(BE$5&gt;=$D18,BE$5&lt;=$E18),1,"")</f>
        <v/>
      </c>
      <c r="BF18" s="34">
        <f>IF(AND(BF$5&gt;=$D18,BF$5&lt;=$E18),1,"")</f>
        <v/>
      </c>
      <c r="BG18" s="34">
        <f>IF(AND(BG$5&gt;=$D18,BG$5&lt;=$E18),1,"")</f>
        <v/>
      </c>
      <c r="BH18" s="34">
        <f>IF(AND(BH$5&gt;=$D18,BH$5&lt;=$E18),1,"")</f>
        <v/>
      </c>
      <c r="BI18" s="34">
        <f>IF(AND(BI$5&gt;=$D18,BI$5&lt;=$E18),1,"")</f>
        <v/>
      </c>
      <c r="BJ18" s="34">
        <f>IF(AND(BJ$5&gt;=$D18,BJ$5&lt;=$E18),1,"")</f>
        <v/>
      </c>
      <c r="BK18" s="34">
        <f>IF(AND(BK$5&gt;=$D18,BK$5&lt;=$E18),1,"")</f>
        <v/>
      </c>
    </row>
    <row r="19" ht="14.25" customHeight="1" s="36">
      <c r="A19" s="13" t="inlineStr">
        <is>
          <t>1 Inicio</t>
        </is>
      </c>
      <c r="B19" s="13" t="inlineStr">
        <is>
          <t>1.4</t>
        </is>
      </c>
      <c r="C19" s="13" t="inlineStr">
        <is>
          <t>Gestión de interesados y comunicaciones</t>
        </is>
      </c>
      <c r="D19" s="13" t="n">
        <v>1</v>
      </c>
      <c r="E19" s="13" t="n">
        <v>56</v>
      </c>
      <c r="F19" s="13">
        <f>E19-D19+1</f>
        <v/>
      </c>
      <c r="G19" s="31" t="n">
        <v>1056</v>
      </c>
      <c r="H19" s="34">
        <f>IF(AND(H$5&gt;=$D19,H$5&lt;=$E19),1,"")</f>
        <v/>
      </c>
      <c r="I19" s="34">
        <f>IF(AND(I$5&gt;=$D19,I$5&lt;=$E19),1,"")</f>
        <v/>
      </c>
      <c r="J19" s="34">
        <f>IF(AND(J$5&gt;=$D19,J$5&lt;=$E19),1,"")</f>
        <v/>
      </c>
      <c r="K19" s="34">
        <f>IF(AND(K$5&gt;=$D19,K$5&lt;=$E19),1,"")</f>
        <v/>
      </c>
      <c r="L19" s="34">
        <f>IF(AND(L$5&gt;=$D19,L$5&lt;=$E19),1,"")</f>
        <v/>
      </c>
      <c r="M19" s="34">
        <f>IF(AND(M$5&gt;=$D19,M$5&lt;=$E19),1,"")</f>
        <v/>
      </c>
      <c r="N19" s="34">
        <f>IF(AND(N$5&gt;=$D19,N$5&lt;=$E19),1,"")</f>
        <v/>
      </c>
      <c r="O19" s="34">
        <f>IF(AND(O$5&gt;=$D19,O$5&lt;=$E19),1,"")</f>
        <v/>
      </c>
      <c r="P19" s="34">
        <f>IF(AND(P$5&gt;=$D19,P$5&lt;=$E19),1,"")</f>
        <v/>
      </c>
      <c r="Q19" s="34">
        <f>IF(AND(Q$5&gt;=$D19,Q$5&lt;=$E19),1,"")</f>
        <v/>
      </c>
      <c r="R19" s="34">
        <f>IF(AND(R$5&gt;=$D19,R$5&lt;=$E19),1,"")</f>
        <v/>
      </c>
      <c r="S19" s="34">
        <f>IF(AND(S$5&gt;=$D19,S$5&lt;=$E19),1,"")</f>
        <v/>
      </c>
      <c r="T19" s="34">
        <f>IF(AND(T$5&gt;=$D19,T$5&lt;=$E19),1,"")</f>
        <v/>
      </c>
      <c r="U19" s="34">
        <f>IF(AND(U$5&gt;=$D19,U$5&lt;=$E19),1,"")</f>
        <v/>
      </c>
      <c r="V19" s="34">
        <f>IF(AND(V$5&gt;=$D19,V$5&lt;=$E19),1,"")</f>
        <v/>
      </c>
      <c r="W19" s="34">
        <f>IF(AND(W$5&gt;=$D19,W$5&lt;=$E19),1,"")</f>
        <v/>
      </c>
      <c r="X19" s="34">
        <f>IF(AND(X$5&gt;=$D19,X$5&lt;=$E19),1,"")</f>
        <v/>
      </c>
      <c r="Y19" s="34">
        <f>IF(AND(Y$5&gt;=$D19,Y$5&lt;=$E19),1,"")</f>
        <v/>
      </c>
      <c r="Z19" s="34">
        <f>IF(AND(Z$5&gt;=$D19,Z$5&lt;=$E19),1,"")</f>
        <v/>
      </c>
      <c r="AA19" s="34">
        <f>IF(AND(AA$5&gt;=$D19,AA$5&lt;=$E19),1,"")</f>
        <v/>
      </c>
      <c r="AB19" s="34">
        <f>IF(AND(AB$5&gt;=$D19,AB$5&lt;=$E19),1,"")</f>
        <v/>
      </c>
      <c r="AC19" s="34">
        <f>IF(AND(AC$5&gt;=$D19,AC$5&lt;=$E19),1,"")</f>
        <v/>
      </c>
      <c r="AD19" s="34">
        <f>IF(AND(AD$5&gt;=$D19,AD$5&lt;=$E19),1,"")</f>
        <v/>
      </c>
      <c r="AE19" s="34">
        <f>IF(AND(AE$5&gt;=$D19,AE$5&lt;=$E19),1,"")</f>
        <v/>
      </c>
      <c r="AF19" s="34">
        <f>IF(AND(AF$5&gt;=$D19,AF$5&lt;=$E19),1,"")</f>
        <v/>
      </c>
      <c r="AG19" s="34">
        <f>IF(AND(AG$5&gt;=$D19,AG$5&lt;=$E19),1,"")</f>
        <v/>
      </c>
      <c r="AH19" s="34">
        <f>IF(AND(AH$5&gt;=$D19,AH$5&lt;=$E19),1,"")</f>
        <v/>
      </c>
      <c r="AI19" s="34">
        <f>IF(AND(AI$5&gt;=$D19,AI$5&lt;=$E19),1,"")</f>
        <v/>
      </c>
      <c r="AJ19" s="34">
        <f>IF(AND(AJ$5&gt;=$D19,AJ$5&lt;=$E19),1,"")</f>
        <v/>
      </c>
      <c r="AK19" s="34">
        <f>IF(AND(AK$5&gt;=$D19,AK$5&lt;=$E19),1,"")</f>
        <v/>
      </c>
      <c r="AL19" s="34">
        <f>IF(AND(AL$5&gt;=$D19,AL$5&lt;=$E19),1,"")</f>
        <v/>
      </c>
      <c r="AM19" s="34">
        <f>IF(AND(AM$5&gt;=$D19,AM$5&lt;=$E19),1,"")</f>
        <v/>
      </c>
      <c r="AN19" s="34">
        <f>IF(AND(AN$5&gt;=$D19,AN$5&lt;=$E19),1,"")</f>
        <v/>
      </c>
      <c r="AO19" s="34">
        <f>IF(AND(AO$5&gt;=$D19,AO$5&lt;=$E19),1,"")</f>
        <v/>
      </c>
      <c r="AP19" s="34">
        <f>IF(AND(AP$5&gt;=$D19,AP$5&lt;=$E19),1,"")</f>
        <v/>
      </c>
      <c r="AQ19" s="34">
        <f>IF(AND(AQ$5&gt;=$D19,AQ$5&lt;=$E19),1,"")</f>
        <v/>
      </c>
      <c r="AR19" s="34">
        <f>IF(AND(AR$5&gt;=$D19,AR$5&lt;=$E19),1,"")</f>
        <v/>
      </c>
      <c r="AS19" s="34">
        <f>IF(AND(AS$5&gt;=$D19,AS$5&lt;=$E19),1,"")</f>
        <v/>
      </c>
      <c r="AT19" s="34">
        <f>IF(AND(AT$5&gt;=$D19,AT$5&lt;=$E19),1,"")</f>
        <v/>
      </c>
      <c r="AU19" s="34">
        <f>IF(AND(AU$5&gt;=$D19,AU$5&lt;=$E19),1,"")</f>
        <v/>
      </c>
      <c r="AV19" s="34">
        <f>IF(AND(AV$5&gt;=$D19,AV$5&lt;=$E19),1,"")</f>
        <v/>
      </c>
      <c r="AW19" s="34">
        <f>IF(AND(AW$5&gt;=$D19,AW$5&lt;=$E19),1,"")</f>
        <v/>
      </c>
      <c r="AX19" s="34">
        <f>IF(AND(AX$5&gt;=$D19,AX$5&lt;=$E19),1,"")</f>
        <v/>
      </c>
      <c r="AY19" s="34">
        <f>IF(AND(AY$5&gt;=$D19,AY$5&lt;=$E19),1,"")</f>
        <v/>
      </c>
      <c r="AZ19" s="34">
        <f>IF(AND(AZ$5&gt;=$D19,AZ$5&lt;=$E19),1,"")</f>
        <v/>
      </c>
      <c r="BA19" s="34">
        <f>IF(AND(BA$5&gt;=$D19,BA$5&lt;=$E19),1,"")</f>
        <v/>
      </c>
      <c r="BB19" s="34">
        <f>IF(AND(BB$5&gt;=$D19,BB$5&lt;=$E19),1,"")</f>
        <v/>
      </c>
      <c r="BC19" s="34">
        <f>IF(AND(BC$5&gt;=$D19,BC$5&lt;=$E19),1,"")</f>
        <v/>
      </c>
      <c r="BD19" s="34">
        <f>IF(AND(BD$5&gt;=$D19,BD$5&lt;=$E19),1,"")</f>
        <v/>
      </c>
      <c r="BE19" s="34">
        <f>IF(AND(BE$5&gt;=$D19,BE$5&lt;=$E19),1,"")</f>
        <v/>
      </c>
      <c r="BF19" s="34">
        <f>IF(AND(BF$5&gt;=$D19,BF$5&lt;=$E19),1,"")</f>
        <v/>
      </c>
      <c r="BG19" s="34">
        <f>IF(AND(BG$5&gt;=$D19,BG$5&lt;=$E19),1,"")</f>
        <v/>
      </c>
      <c r="BH19" s="34">
        <f>IF(AND(BH$5&gt;=$D19,BH$5&lt;=$E19),1,"")</f>
        <v/>
      </c>
      <c r="BI19" s="34">
        <f>IF(AND(BI$5&gt;=$D19,BI$5&lt;=$E19),1,"")</f>
        <v/>
      </c>
      <c r="BJ19" s="34">
        <f>IF(AND(BJ$5&gt;=$D19,BJ$5&lt;=$E19),1,"")</f>
        <v/>
      </c>
      <c r="BK19" s="34">
        <f>IF(AND(BK$5&gt;=$D19,BK$5&lt;=$E19),1,"")</f>
        <v/>
      </c>
    </row>
    <row r="20" ht="14.25" customHeight="1" s="36">
      <c r="A20" s="13" t="inlineStr">
        <is>
          <t>1 Inicio</t>
        </is>
      </c>
      <c r="B20" s="13" t="inlineStr">
        <is>
          <t>1.5</t>
        </is>
      </c>
      <c r="C20" s="13" t="inlineStr">
        <is>
          <t>Gestión de calidad</t>
        </is>
      </c>
      <c r="D20" s="13" t="n">
        <v>2</v>
      </c>
      <c r="E20" s="13" t="n">
        <v>20</v>
      </c>
      <c r="F20" s="13">
        <f>E20-D20+1</f>
        <v/>
      </c>
      <c r="G20" s="31" t="n">
        <v>160</v>
      </c>
      <c r="H20" s="34">
        <f>IF(AND(H$5&gt;=$D20,H$5&lt;=$E20),1,"")</f>
        <v/>
      </c>
      <c r="I20" s="34">
        <f>IF(AND(I$5&gt;=$D20,I$5&lt;=$E20),1,"")</f>
        <v/>
      </c>
      <c r="J20" s="34">
        <f>IF(AND(J$5&gt;=$D20,J$5&lt;=$E20),1,"")</f>
        <v/>
      </c>
      <c r="K20" s="34">
        <f>IF(AND(K$5&gt;=$D20,K$5&lt;=$E20),1,"")</f>
        <v/>
      </c>
      <c r="L20" s="34">
        <f>IF(AND(L$5&gt;=$D20,L$5&lt;=$E20),1,"")</f>
        <v/>
      </c>
      <c r="M20" s="34">
        <f>IF(AND(M$5&gt;=$D20,M$5&lt;=$E20),1,"")</f>
        <v/>
      </c>
      <c r="N20" s="34">
        <f>IF(AND(N$5&gt;=$D20,N$5&lt;=$E20),1,"")</f>
        <v/>
      </c>
      <c r="O20" s="34">
        <f>IF(AND(O$5&gt;=$D20,O$5&lt;=$E20),1,"")</f>
        <v/>
      </c>
      <c r="P20" s="34">
        <f>IF(AND(P$5&gt;=$D20,P$5&lt;=$E20),1,"")</f>
        <v/>
      </c>
      <c r="Q20" s="34">
        <f>IF(AND(Q$5&gt;=$D20,Q$5&lt;=$E20),1,"")</f>
        <v/>
      </c>
      <c r="R20" s="34">
        <f>IF(AND(R$5&gt;=$D20,R$5&lt;=$E20),1,"")</f>
        <v/>
      </c>
      <c r="S20" s="34">
        <f>IF(AND(S$5&gt;=$D20,S$5&lt;=$E20),1,"")</f>
        <v/>
      </c>
      <c r="T20" s="34">
        <f>IF(AND(T$5&gt;=$D20,T$5&lt;=$E20),1,"")</f>
        <v/>
      </c>
      <c r="U20" s="34">
        <f>IF(AND(U$5&gt;=$D20,U$5&lt;=$E20),1,"")</f>
        <v/>
      </c>
      <c r="V20" s="34">
        <f>IF(AND(V$5&gt;=$D20,V$5&lt;=$E20),1,"")</f>
        <v/>
      </c>
      <c r="W20" s="34">
        <f>IF(AND(W$5&gt;=$D20,W$5&lt;=$E20),1,"")</f>
        <v/>
      </c>
      <c r="X20" s="34">
        <f>IF(AND(X$5&gt;=$D20,X$5&lt;=$E20),1,"")</f>
        <v/>
      </c>
      <c r="Y20" s="34">
        <f>IF(AND(Y$5&gt;=$D20,Y$5&lt;=$E20),1,"")</f>
        <v/>
      </c>
      <c r="Z20" s="34">
        <f>IF(AND(Z$5&gt;=$D20,Z$5&lt;=$E20),1,"")</f>
        <v/>
      </c>
      <c r="AA20" s="34">
        <f>IF(AND(AA$5&gt;=$D20,AA$5&lt;=$E20),1,"")</f>
        <v/>
      </c>
      <c r="AB20" s="34">
        <f>IF(AND(AB$5&gt;=$D20,AB$5&lt;=$E20),1,"")</f>
        <v/>
      </c>
      <c r="AC20" s="34">
        <f>IF(AND(AC$5&gt;=$D20,AC$5&lt;=$E20),1,"")</f>
        <v/>
      </c>
      <c r="AD20" s="34">
        <f>IF(AND(AD$5&gt;=$D20,AD$5&lt;=$E20),1,"")</f>
        <v/>
      </c>
      <c r="AE20" s="34">
        <f>IF(AND(AE$5&gt;=$D20,AE$5&lt;=$E20),1,"")</f>
        <v/>
      </c>
      <c r="AF20" s="34">
        <f>IF(AND(AF$5&gt;=$D20,AF$5&lt;=$E20),1,"")</f>
        <v/>
      </c>
      <c r="AG20" s="34">
        <f>IF(AND(AG$5&gt;=$D20,AG$5&lt;=$E20),1,"")</f>
        <v/>
      </c>
      <c r="AH20" s="34">
        <f>IF(AND(AH$5&gt;=$D20,AH$5&lt;=$E20),1,"")</f>
        <v/>
      </c>
      <c r="AI20" s="34">
        <f>IF(AND(AI$5&gt;=$D20,AI$5&lt;=$E20),1,"")</f>
        <v/>
      </c>
      <c r="AJ20" s="34">
        <f>IF(AND(AJ$5&gt;=$D20,AJ$5&lt;=$E20),1,"")</f>
        <v/>
      </c>
      <c r="AK20" s="34">
        <f>IF(AND(AK$5&gt;=$D20,AK$5&lt;=$E20),1,"")</f>
        <v/>
      </c>
      <c r="AL20" s="34">
        <f>IF(AND(AL$5&gt;=$D20,AL$5&lt;=$E20),1,"")</f>
        <v/>
      </c>
      <c r="AM20" s="34">
        <f>IF(AND(AM$5&gt;=$D20,AM$5&lt;=$E20),1,"")</f>
        <v/>
      </c>
      <c r="AN20" s="34">
        <f>IF(AND(AN$5&gt;=$D20,AN$5&lt;=$E20),1,"")</f>
        <v/>
      </c>
      <c r="AO20" s="34">
        <f>IF(AND(AO$5&gt;=$D20,AO$5&lt;=$E20),1,"")</f>
        <v/>
      </c>
      <c r="AP20" s="34">
        <f>IF(AND(AP$5&gt;=$D20,AP$5&lt;=$E20),1,"")</f>
        <v/>
      </c>
      <c r="AQ20" s="34">
        <f>IF(AND(AQ$5&gt;=$D20,AQ$5&lt;=$E20),1,"")</f>
        <v/>
      </c>
      <c r="AR20" s="34">
        <f>IF(AND(AR$5&gt;=$D20,AR$5&lt;=$E20),1,"")</f>
        <v/>
      </c>
      <c r="AS20" s="34">
        <f>IF(AND(AS$5&gt;=$D20,AS$5&lt;=$E20),1,"")</f>
        <v/>
      </c>
      <c r="AT20" s="34">
        <f>IF(AND(AT$5&gt;=$D20,AT$5&lt;=$E20),1,"")</f>
        <v/>
      </c>
      <c r="AU20" s="34">
        <f>IF(AND(AU$5&gt;=$D20,AU$5&lt;=$E20),1,"")</f>
        <v/>
      </c>
      <c r="AV20" s="34">
        <f>IF(AND(AV$5&gt;=$D20,AV$5&lt;=$E20),1,"")</f>
        <v/>
      </c>
      <c r="AW20" s="34">
        <f>IF(AND(AW$5&gt;=$D20,AW$5&lt;=$E20),1,"")</f>
        <v/>
      </c>
      <c r="AX20" s="34">
        <f>IF(AND(AX$5&gt;=$D20,AX$5&lt;=$E20),1,"")</f>
        <v/>
      </c>
      <c r="AY20" s="34">
        <f>IF(AND(AY$5&gt;=$D20,AY$5&lt;=$E20),1,"")</f>
        <v/>
      </c>
      <c r="AZ20" s="34">
        <f>IF(AND(AZ$5&gt;=$D20,AZ$5&lt;=$E20),1,"")</f>
        <v/>
      </c>
      <c r="BA20" s="34">
        <f>IF(AND(BA$5&gt;=$D20,BA$5&lt;=$E20),1,"")</f>
        <v/>
      </c>
      <c r="BB20" s="34">
        <f>IF(AND(BB$5&gt;=$D20,BB$5&lt;=$E20),1,"")</f>
        <v/>
      </c>
      <c r="BC20" s="34">
        <f>IF(AND(BC$5&gt;=$D20,BC$5&lt;=$E20),1,"")</f>
        <v/>
      </c>
      <c r="BD20" s="34">
        <f>IF(AND(BD$5&gt;=$D20,BD$5&lt;=$E20),1,"")</f>
        <v/>
      </c>
      <c r="BE20" s="34">
        <f>IF(AND(BE$5&gt;=$D20,BE$5&lt;=$E20),1,"")</f>
        <v/>
      </c>
      <c r="BF20" s="34">
        <f>IF(AND(BF$5&gt;=$D20,BF$5&lt;=$E20),1,"")</f>
        <v/>
      </c>
      <c r="BG20" s="34">
        <f>IF(AND(BG$5&gt;=$D20,BG$5&lt;=$E20),1,"")</f>
        <v/>
      </c>
      <c r="BH20" s="34">
        <f>IF(AND(BH$5&gt;=$D20,BH$5&lt;=$E20),1,"")</f>
        <v/>
      </c>
      <c r="BI20" s="34">
        <f>IF(AND(BI$5&gt;=$D20,BI$5&lt;=$E20),1,"")</f>
        <v/>
      </c>
      <c r="BJ20" s="34">
        <f>IF(AND(BJ$5&gt;=$D20,BJ$5&lt;=$E20),1,"")</f>
        <v/>
      </c>
      <c r="BK20" s="34">
        <f>IF(AND(BK$5&gt;=$D20,BK$5&lt;=$E20),1,"")</f>
        <v/>
      </c>
    </row>
    <row r="21" ht="14.25" customHeight="1" s="36">
      <c r="A21" s="13" t="inlineStr">
        <is>
          <t>1 Inicio</t>
        </is>
      </c>
      <c r="B21" s="13" t="inlineStr">
        <is>
          <t>1.6</t>
        </is>
      </c>
      <c r="C21" s="13" t="inlineStr">
        <is>
          <t>Gestión de riesgos</t>
        </is>
      </c>
      <c r="D21" s="13" t="n">
        <v>1</v>
      </c>
      <c r="E21" s="13" t="n">
        <v>20</v>
      </c>
      <c r="F21" s="13">
        <f>E21-D21+1</f>
        <v/>
      </c>
      <c r="G21" s="31" t="n">
        <v>240</v>
      </c>
      <c r="H21" s="34">
        <f>IF(AND(H$5&gt;=$D21,H$5&lt;=$E21),1,"")</f>
        <v/>
      </c>
      <c r="I21" s="34">
        <f>IF(AND(I$5&gt;=$D21,I$5&lt;=$E21),1,"")</f>
        <v/>
      </c>
      <c r="J21" s="34">
        <f>IF(AND(J$5&gt;=$D21,J$5&lt;=$E21),1,"")</f>
        <v/>
      </c>
      <c r="K21" s="34">
        <f>IF(AND(K$5&gt;=$D21,K$5&lt;=$E21),1,"")</f>
        <v/>
      </c>
      <c r="L21" s="34">
        <f>IF(AND(L$5&gt;=$D21,L$5&lt;=$E21),1,"")</f>
        <v/>
      </c>
      <c r="M21" s="34">
        <f>IF(AND(M$5&gt;=$D21,M$5&lt;=$E21),1,"")</f>
        <v/>
      </c>
      <c r="N21" s="34">
        <f>IF(AND(N$5&gt;=$D21,N$5&lt;=$E21),1,"")</f>
        <v/>
      </c>
      <c r="O21" s="34">
        <f>IF(AND(O$5&gt;=$D21,O$5&lt;=$E21),1,"")</f>
        <v/>
      </c>
      <c r="P21" s="34">
        <f>IF(AND(P$5&gt;=$D21,P$5&lt;=$E21),1,"")</f>
        <v/>
      </c>
      <c r="Q21" s="34">
        <f>IF(AND(Q$5&gt;=$D21,Q$5&lt;=$E21),1,"")</f>
        <v/>
      </c>
      <c r="R21" s="34">
        <f>IF(AND(R$5&gt;=$D21,R$5&lt;=$E21),1,"")</f>
        <v/>
      </c>
      <c r="S21" s="34">
        <f>IF(AND(S$5&gt;=$D21,S$5&lt;=$E21),1,"")</f>
        <v/>
      </c>
      <c r="T21" s="34">
        <f>IF(AND(T$5&gt;=$D21,T$5&lt;=$E21),1,"")</f>
        <v/>
      </c>
      <c r="U21" s="34">
        <f>IF(AND(U$5&gt;=$D21,U$5&lt;=$E21),1,"")</f>
        <v/>
      </c>
      <c r="V21" s="34">
        <f>IF(AND(V$5&gt;=$D21,V$5&lt;=$E21),1,"")</f>
        <v/>
      </c>
      <c r="W21" s="34">
        <f>IF(AND(W$5&gt;=$D21,W$5&lt;=$E21),1,"")</f>
        <v/>
      </c>
      <c r="X21" s="34">
        <f>IF(AND(X$5&gt;=$D21,X$5&lt;=$E21),1,"")</f>
        <v/>
      </c>
      <c r="Y21" s="34">
        <f>IF(AND(Y$5&gt;=$D21,Y$5&lt;=$E21),1,"")</f>
        <v/>
      </c>
      <c r="Z21" s="34">
        <f>IF(AND(Z$5&gt;=$D21,Z$5&lt;=$E21),1,"")</f>
        <v/>
      </c>
      <c r="AA21" s="34">
        <f>IF(AND(AA$5&gt;=$D21,AA$5&lt;=$E21),1,"")</f>
        <v/>
      </c>
      <c r="AB21" s="34">
        <f>IF(AND(AB$5&gt;=$D21,AB$5&lt;=$E21),1,"")</f>
        <v/>
      </c>
      <c r="AC21" s="34">
        <f>IF(AND(AC$5&gt;=$D21,AC$5&lt;=$E21),1,"")</f>
        <v/>
      </c>
      <c r="AD21" s="34">
        <f>IF(AND(AD$5&gt;=$D21,AD$5&lt;=$E21),1,"")</f>
        <v/>
      </c>
      <c r="AE21" s="34">
        <f>IF(AND(AE$5&gt;=$D21,AE$5&lt;=$E21),1,"")</f>
        <v/>
      </c>
      <c r="AF21" s="34">
        <f>IF(AND(AF$5&gt;=$D21,AF$5&lt;=$E21),1,"")</f>
        <v/>
      </c>
      <c r="AG21" s="34">
        <f>IF(AND(AG$5&gt;=$D21,AG$5&lt;=$E21),1,"")</f>
        <v/>
      </c>
      <c r="AH21" s="34">
        <f>IF(AND(AH$5&gt;=$D21,AH$5&lt;=$E21),1,"")</f>
        <v/>
      </c>
      <c r="AI21" s="34">
        <f>IF(AND(AI$5&gt;=$D21,AI$5&lt;=$E21),1,"")</f>
        <v/>
      </c>
      <c r="AJ21" s="34">
        <f>IF(AND(AJ$5&gt;=$D21,AJ$5&lt;=$E21),1,"")</f>
        <v/>
      </c>
      <c r="AK21" s="34">
        <f>IF(AND(AK$5&gt;=$D21,AK$5&lt;=$E21),1,"")</f>
        <v/>
      </c>
      <c r="AL21" s="34">
        <f>IF(AND(AL$5&gt;=$D21,AL$5&lt;=$E21),1,"")</f>
        <v/>
      </c>
      <c r="AM21" s="34">
        <f>IF(AND(AM$5&gt;=$D21,AM$5&lt;=$E21),1,"")</f>
        <v/>
      </c>
      <c r="AN21" s="34">
        <f>IF(AND(AN$5&gt;=$D21,AN$5&lt;=$E21),1,"")</f>
        <v/>
      </c>
      <c r="AO21" s="34">
        <f>IF(AND(AO$5&gt;=$D21,AO$5&lt;=$E21),1,"")</f>
        <v/>
      </c>
      <c r="AP21" s="34">
        <f>IF(AND(AP$5&gt;=$D21,AP$5&lt;=$E21),1,"")</f>
        <v/>
      </c>
      <c r="AQ21" s="34">
        <f>IF(AND(AQ$5&gt;=$D21,AQ$5&lt;=$E21),1,"")</f>
        <v/>
      </c>
      <c r="AR21" s="34">
        <f>IF(AND(AR$5&gt;=$D21,AR$5&lt;=$E21),1,"")</f>
        <v/>
      </c>
      <c r="AS21" s="34">
        <f>IF(AND(AS$5&gt;=$D21,AS$5&lt;=$E21),1,"")</f>
        <v/>
      </c>
      <c r="AT21" s="34">
        <f>IF(AND(AT$5&gt;=$D21,AT$5&lt;=$E21),1,"")</f>
        <v/>
      </c>
      <c r="AU21" s="34">
        <f>IF(AND(AU$5&gt;=$D21,AU$5&lt;=$E21),1,"")</f>
        <v/>
      </c>
      <c r="AV21" s="34">
        <f>IF(AND(AV$5&gt;=$D21,AV$5&lt;=$E21),1,"")</f>
        <v/>
      </c>
      <c r="AW21" s="34">
        <f>IF(AND(AW$5&gt;=$D21,AW$5&lt;=$E21),1,"")</f>
        <v/>
      </c>
      <c r="AX21" s="34">
        <f>IF(AND(AX$5&gt;=$D21,AX$5&lt;=$E21),1,"")</f>
        <v/>
      </c>
      <c r="AY21" s="34">
        <f>IF(AND(AY$5&gt;=$D21,AY$5&lt;=$E21),1,"")</f>
        <v/>
      </c>
      <c r="AZ21" s="34">
        <f>IF(AND(AZ$5&gt;=$D21,AZ$5&lt;=$E21),1,"")</f>
        <v/>
      </c>
      <c r="BA21" s="34">
        <f>IF(AND(BA$5&gt;=$D21,BA$5&lt;=$E21),1,"")</f>
        <v/>
      </c>
      <c r="BB21" s="34">
        <f>IF(AND(BB$5&gt;=$D21,BB$5&lt;=$E21),1,"")</f>
        <v/>
      </c>
      <c r="BC21" s="34">
        <f>IF(AND(BC$5&gt;=$D21,BC$5&lt;=$E21),1,"")</f>
        <v/>
      </c>
      <c r="BD21" s="34">
        <f>IF(AND(BD$5&gt;=$D21,BD$5&lt;=$E21),1,"")</f>
        <v/>
      </c>
      <c r="BE21" s="34">
        <f>IF(AND(BE$5&gt;=$D21,BE$5&lt;=$E21),1,"")</f>
        <v/>
      </c>
      <c r="BF21" s="34">
        <f>IF(AND(BF$5&gt;=$D21,BF$5&lt;=$E21),1,"")</f>
        <v/>
      </c>
      <c r="BG21" s="34">
        <f>IF(AND(BG$5&gt;=$D21,BG$5&lt;=$E21),1,"")</f>
        <v/>
      </c>
      <c r="BH21" s="34">
        <f>IF(AND(BH$5&gt;=$D21,BH$5&lt;=$E21),1,"")</f>
        <v/>
      </c>
      <c r="BI21" s="34">
        <f>IF(AND(BI$5&gt;=$D21,BI$5&lt;=$E21),1,"")</f>
        <v/>
      </c>
      <c r="BJ21" s="34">
        <f>IF(AND(BJ$5&gt;=$D21,BJ$5&lt;=$E21),1,"")</f>
        <v/>
      </c>
      <c r="BK21" s="34">
        <f>IF(AND(BK$5&gt;=$D21,BK$5&lt;=$E21),1,"")</f>
        <v/>
      </c>
    </row>
    <row r="22" ht="14.25" customHeight="1" s="36">
      <c r="A22" s="13" t="inlineStr">
        <is>
          <t>1 Inicio</t>
        </is>
      </c>
      <c r="B22" s="13" t="inlineStr">
        <is>
          <t>1.7</t>
        </is>
      </c>
      <c r="C22" s="13" t="inlineStr">
        <is>
          <t>Plan de Reversibilidad</t>
        </is>
      </c>
      <c r="D22" s="13" t="n">
        <v>3</v>
      </c>
      <c r="E22" s="13" t="n">
        <v>15</v>
      </c>
      <c r="F22" s="13">
        <f>E22-D22+1</f>
        <v/>
      </c>
      <c r="G22" s="31" t="n">
        <v>160</v>
      </c>
      <c r="H22" s="34">
        <f>IF(AND(H$5&gt;=$D22,H$5&lt;=$E22),1,"")</f>
        <v/>
      </c>
      <c r="I22" s="34">
        <f>IF(AND(I$5&gt;=$D22,I$5&lt;=$E22),1,"")</f>
        <v/>
      </c>
      <c r="J22" s="34">
        <f>IF(AND(J$5&gt;=$D22,J$5&lt;=$E22),1,"")</f>
        <v/>
      </c>
      <c r="K22" s="34">
        <f>IF(AND(K$5&gt;=$D22,K$5&lt;=$E22),1,"")</f>
        <v/>
      </c>
      <c r="L22" s="34">
        <f>IF(AND(L$5&gt;=$D22,L$5&lt;=$E22),1,"")</f>
        <v/>
      </c>
      <c r="M22" s="34">
        <f>IF(AND(M$5&gt;=$D22,M$5&lt;=$E22),1,"")</f>
        <v/>
      </c>
      <c r="N22" s="34">
        <f>IF(AND(N$5&gt;=$D22,N$5&lt;=$E22),1,"")</f>
        <v/>
      </c>
      <c r="O22" s="34">
        <f>IF(AND(O$5&gt;=$D22,O$5&lt;=$E22),1,"")</f>
        <v/>
      </c>
      <c r="P22" s="34">
        <f>IF(AND(P$5&gt;=$D22,P$5&lt;=$E22),1,"")</f>
        <v/>
      </c>
      <c r="Q22" s="34">
        <f>IF(AND(Q$5&gt;=$D22,Q$5&lt;=$E22),1,"")</f>
        <v/>
      </c>
      <c r="R22" s="34">
        <f>IF(AND(R$5&gt;=$D22,R$5&lt;=$E22),1,"")</f>
        <v/>
      </c>
      <c r="S22" s="34">
        <f>IF(AND(S$5&gt;=$D22,S$5&lt;=$E22),1,"")</f>
        <v/>
      </c>
      <c r="T22" s="34">
        <f>IF(AND(T$5&gt;=$D22,T$5&lt;=$E22),1,"")</f>
        <v/>
      </c>
      <c r="U22" s="34">
        <f>IF(AND(U$5&gt;=$D22,U$5&lt;=$E22),1,"")</f>
        <v/>
      </c>
      <c r="V22" s="34">
        <f>IF(AND(V$5&gt;=$D22,V$5&lt;=$E22),1,"")</f>
        <v/>
      </c>
      <c r="W22" s="34">
        <f>IF(AND(W$5&gt;=$D22,W$5&lt;=$E22),1,"")</f>
        <v/>
      </c>
      <c r="X22" s="34">
        <f>IF(AND(X$5&gt;=$D22,X$5&lt;=$E22),1,"")</f>
        <v/>
      </c>
      <c r="Y22" s="34">
        <f>IF(AND(Y$5&gt;=$D22,Y$5&lt;=$E22),1,"")</f>
        <v/>
      </c>
      <c r="Z22" s="34">
        <f>IF(AND(Z$5&gt;=$D22,Z$5&lt;=$E22),1,"")</f>
        <v/>
      </c>
      <c r="AA22" s="34">
        <f>IF(AND(AA$5&gt;=$D22,AA$5&lt;=$E22),1,"")</f>
        <v/>
      </c>
      <c r="AB22" s="34">
        <f>IF(AND(AB$5&gt;=$D22,AB$5&lt;=$E22),1,"")</f>
        <v/>
      </c>
      <c r="AC22" s="34">
        <f>IF(AND(AC$5&gt;=$D22,AC$5&lt;=$E22),1,"")</f>
        <v/>
      </c>
      <c r="AD22" s="34">
        <f>IF(AND(AD$5&gt;=$D22,AD$5&lt;=$E22),1,"")</f>
        <v/>
      </c>
      <c r="AE22" s="34">
        <f>IF(AND(AE$5&gt;=$D22,AE$5&lt;=$E22),1,"")</f>
        <v/>
      </c>
      <c r="AF22" s="34">
        <f>IF(AND(AF$5&gt;=$D22,AF$5&lt;=$E22),1,"")</f>
        <v/>
      </c>
      <c r="AG22" s="34">
        <f>IF(AND(AG$5&gt;=$D22,AG$5&lt;=$E22),1,"")</f>
        <v/>
      </c>
      <c r="AH22" s="34">
        <f>IF(AND(AH$5&gt;=$D22,AH$5&lt;=$E22),1,"")</f>
        <v/>
      </c>
      <c r="AI22" s="34">
        <f>IF(AND(AI$5&gt;=$D22,AI$5&lt;=$E22),1,"")</f>
        <v/>
      </c>
      <c r="AJ22" s="34">
        <f>IF(AND(AJ$5&gt;=$D22,AJ$5&lt;=$E22),1,"")</f>
        <v/>
      </c>
      <c r="AK22" s="34">
        <f>IF(AND(AK$5&gt;=$D22,AK$5&lt;=$E22),1,"")</f>
        <v/>
      </c>
      <c r="AL22" s="34">
        <f>IF(AND(AL$5&gt;=$D22,AL$5&lt;=$E22),1,"")</f>
        <v/>
      </c>
      <c r="AM22" s="34">
        <f>IF(AND(AM$5&gt;=$D22,AM$5&lt;=$E22),1,"")</f>
        <v/>
      </c>
      <c r="AN22" s="34">
        <f>IF(AND(AN$5&gt;=$D22,AN$5&lt;=$E22),1,"")</f>
        <v/>
      </c>
      <c r="AO22" s="34">
        <f>IF(AND(AO$5&gt;=$D22,AO$5&lt;=$E22),1,"")</f>
        <v/>
      </c>
      <c r="AP22" s="34">
        <f>IF(AND(AP$5&gt;=$D22,AP$5&lt;=$E22),1,"")</f>
        <v/>
      </c>
      <c r="AQ22" s="34">
        <f>IF(AND(AQ$5&gt;=$D22,AQ$5&lt;=$E22),1,"")</f>
        <v/>
      </c>
      <c r="AR22" s="34">
        <f>IF(AND(AR$5&gt;=$D22,AR$5&lt;=$E22),1,"")</f>
        <v/>
      </c>
      <c r="AS22" s="34">
        <f>IF(AND(AS$5&gt;=$D22,AS$5&lt;=$E22),1,"")</f>
        <v/>
      </c>
      <c r="AT22" s="34">
        <f>IF(AND(AT$5&gt;=$D22,AT$5&lt;=$E22),1,"")</f>
        <v/>
      </c>
      <c r="AU22" s="34">
        <f>IF(AND(AU$5&gt;=$D22,AU$5&lt;=$E22),1,"")</f>
        <v/>
      </c>
      <c r="AV22" s="34">
        <f>IF(AND(AV$5&gt;=$D22,AV$5&lt;=$E22),1,"")</f>
        <v/>
      </c>
      <c r="AW22" s="34">
        <f>IF(AND(AW$5&gt;=$D22,AW$5&lt;=$E22),1,"")</f>
        <v/>
      </c>
      <c r="AX22" s="34">
        <f>IF(AND(AX$5&gt;=$D22,AX$5&lt;=$E22),1,"")</f>
        <v/>
      </c>
      <c r="AY22" s="34">
        <f>IF(AND(AY$5&gt;=$D22,AY$5&lt;=$E22),1,"")</f>
        <v/>
      </c>
      <c r="AZ22" s="34">
        <f>IF(AND(AZ$5&gt;=$D22,AZ$5&lt;=$E22),1,"")</f>
        <v/>
      </c>
      <c r="BA22" s="34">
        <f>IF(AND(BA$5&gt;=$D22,BA$5&lt;=$E22),1,"")</f>
        <v/>
      </c>
      <c r="BB22" s="34">
        <f>IF(AND(BB$5&gt;=$D22,BB$5&lt;=$E22),1,"")</f>
        <v/>
      </c>
      <c r="BC22" s="34">
        <f>IF(AND(BC$5&gt;=$D22,BC$5&lt;=$E22),1,"")</f>
        <v/>
      </c>
      <c r="BD22" s="34">
        <f>IF(AND(BD$5&gt;=$D22,BD$5&lt;=$E22),1,"")</f>
        <v/>
      </c>
      <c r="BE22" s="34">
        <f>IF(AND(BE$5&gt;=$D22,BE$5&lt;=$E22),1,"")</f>
        <v/>
      </c>
      <c r="BF22" s="34">
        <f>IF(AND(BF$5&gt;=$D22,BF$5&lt;=$E22),1,"")</f>
        <v/>
      </c>
      <c r="BG22" s="34">
        <f>IF(AND(BG$5&gt;=$D22,BG$5&lt;=$E22),1,"")</f>
        <v/>
      </c>
      <c r="BH22" s="34">
        <f>IF(AND(BH$5&gt;=$D22,BH$5&lt;=$E22),1,"")</f>
        <v/>
      </c>
      <c r="BI22" s="34">
        <f>IF(AND(BI$5&gt;=$D22,BI$5&lt;=$E22),1,"")</f>
        <v/>
      </c>
      <c r="BJ22" s="34">
        <f>IF(AND(BJ$5&gt;=$D22,BJ$5&lt;=$E22),1,"")</f>
        <v/>
      </c>
      <c r="BK22" s="34">
        <f>IF(AND(BK$5&gt;=$D22,BK$5&lt;=$E22),1,"")</f>
        <v/>
      </c>
    </row>
    <row r="23" ht="14.25" customHeight="1" s="36">
      <c r="A23" s="13" t="inlineStr">
        <is>
          <t>1 Inicio</t>
        </is>
      </c>
      <c r="B23" s="13" t="inlineStr">
        <is>
          <t>1.8</t>
        </is>
      </c>
      <c r="C23" s="13" t="inlineStr">
        <is>
          <t>Gobierno y control del proyecto</t>
        </is>
      </c>
      <c r="D23" s="13" t="n">
        <v>1</v>
      </c>
      <c r="E23" s="13" t="n">
        <v>56</v>
      </c>
      <c r="F23" s="13">
        <f>E23-D23+1</f>
        <v/>
      </c>
      <c r="G23" s="31" t="n">
        <v>3176</v>
      </c>
      <c r="H23" s="34">
        <f>IF(AND(H$5&gt;=$D23,H$5&lt;=$E23),1,"")</f>
        <v/>
      </c>
      <c r="I23" s="34">
        <f>IF(AND(I$5&gt;=$D23,I$5&lt;=$E23),1,"")</f>
        <v/>
      </c>
      <c r="J23" s="34">
        <f>IF(AND(J$5&gt;=$D23,J$5&lt;=$E23),1,"")</f>
        <v/>
      </c>
      <c r="K23" s="34">
        <f>IF(AND(K$5&gt;=$D23,K$5&lt;=$E23),1,"")</f>
        <v/>
      </c>
      <c r="L23" s="34">
        <f>IF(AND(L$5&gt;=$D23,L$5&lt;=$E23),1,"")</f>
        <v/>
      </c>
      <c r="M23" s="34">
        <f>IF(AND(M$5&gt;=$D23,M$5&lt;=$E23),1,"")</f>
        <v/>
      </c>
      <c r="N23" s="34">
        <f>IF(AND(N$5&gt;=$D23,N$5&lt;=$E23),1,"")</f>
        <v/>
      </c>
      <c r="O23" s="34">
        <f>IF(AND(O$5&gt;=$D23,O$5&lt;=$E23),1,"")</f>
        <v/>
      </c>
      <c r="P23" s="34">
        <f>IF(AND(P$5&gt;=$D23,P$5&lt;=$E23),1,"")</f>
        <v/>
      </c>
      <c r="Q23" s="34">
        <f>IF(AND(Q$5&gt;=$D23,Q$5&lt;=$E23),1,"")</f>
        <v/>
      </c>
      <c r="R23" s="34">
        <f>IF(AND(R$5&gt;=$D23,R$5&lt;=$E23),1,"")</f>
        <v/>
      </c>
      <c r="S23" s="34">
        <f>IF(AND(S$5&gt;=$D23,S$5&lt;=$E23),1,"")</f>
        <v/>
      </c>
      <c r="T23" s="34">
        <f>IF(AND(T$5&gt;=$D23,T$5&lt;=$E23),1,"")</f>
        <v/>
      </c>
      <c r="U23" s="34">
        <f>IF(AND(U$5&gt;=$D23,U$5&lt;=$E23),1,"")</f>
        <v/>
      </c>
      <c r="V23" s="34">
        <f>IF(AND(V$5&gt;=$D23,V$5&lt;=$E23),1,"")</f>
        <v/>
      </c>
      <c r="W23" s="34">
        <f>IF(AND(W$5&gt;=$D23,W$5&lt;=$E23),1,"")</f>
        <v/>
      </c>
      <c r="X23" s="34">
        <f>IF(AND(X$5&gt;=$D23,X$5&lt;=$E23),1,"")</f>
        <v/>
      </c>
      <c r="Y23" s="34">
        <f>IF(AND(Y$5&gt;=$D23,Y$5&lt;=$E23),1,"")</f>
        <v/>
      </c>
      <c r="Z23" s="34">
        <f>IF(AND(Z$5&gt;=$D23,Z$5&lt;=$E23),1,"")</f>
        <v/>
      </c>
      <c r="AA23" s="34">
        <f>IF(AND(AA$5&gt;=$D23,AA$5&lt;=$E23),1,"")</f>
        <v/>
      </c>
      <c r="AB23" s="34">
        <f>IF(AND(AB$5&gt;=$D23,AB$5&lt;=$E23),1,"")</f>
        <v/>
      </c>
      <c r="AC23" s="34">
        <f>IF(AND(AC$5&gt;=$D23,AC$5&lt;=$E23),1,"")</f>
        <v/>
      </c>
      <c r="AD23" s="34">
        <f>IF(AND(AD$5&gt;=$D23,AD$5&lt;=$E23),1,"")</f>
        <v/>
      </c>
      <c r="AE23" s="34">
        <f>IF(AND(AE$5&gt;=$D23,AE$5&lt;=$E23),1,"")</f>
        <v/>
      </c>
      <c r="AF23" s="34">
        <f>IF(AND(AF$5&gt;=$D23,AF$5&lt;=$E23),1,"")</f>
        <v/>
      </c>
      <c r="AG23" s="34">
        <f>IF(AND(AG$5&gt;=$D23,AG$5&lt;=$E23),1,"")</f>
        <v/>
      </c>
      <c r="AH23" s="34">
        <f>IF(AND(AH$5&gt;=$D23,AH$5&lt;=$E23),1,"")</f>
        <v/>
      </c>
      <c r="AI23" s="34">
        <f>IF(AND(AI$5&gt;=$D23,AI$5&lt;=$E23),1,"")</f>
        <v/>
      </c>
      <c r="AJ23" s="34">
        <f>IF(AND(AJ$5&gt;=$D23,AJ$5&lt;=$E23),1,"")</f>
        <v/>
      </c>
      <c r="AK23" s="34">
        <f>IF(AND(AK$5&gt;=$D23,AK$5&lt;=$E23),1,"")</f>
        <v/>
      </c>
      <c r="AL23" s="34">
        <f>IF(AND(AL$5&gt;=$D23,AL$5&lt;=$E23),1,"")</f>
        <v/>
      </c>
      <c r="AM23" s="34">
        <f>IF(AND(AM$5&gt;=$D23,AM$5&lt;=$E23),1,"")</f>
        <v/>
      </c>
      <c r="AN23" s="34">
        <f>IF(AND(AN$5&gt;=$D23,AN$5&lt;=$E23),1,"")</f>
        <v/>
      </c>
      <c r="AO23" s="34">
        <f>IF(AND(AO$5&gt;=$D23,AO$5&lt;=$E23),1,"")</f>
        <v/>
      </c>
      <c r="AP23" s="34">
        <f>IF(AND(AP$5&gt;=$D23,AP$5&lt;=$E23),1,"")</f>
        <v/>
      </c>
      <c r="AQ23" s="34">
        <f>IF(AND(AQ$5&gt;=$D23,AQ$5&lt;=$E23),1,"")</f>
        <v/>
      </c>
      <c r="AR23" s="34">
        <f>IF(AND(AR$5&gt;=$D23,AR$5&lt;=$E23),1,"")</f>
        <v/>
      </c>
      <c r="AS23" s="34">
        <f>IF(AND(AS$5&gt;=$D23,AS$5&lt;=$E23),1,"")</f>
        <v/>
      </c>
      <c r="AT23" s="34">
        <f>IF(AND(AT$5&gt;=$D23,AT$5&lt;=$E23),1,"")</f>
        <v/>
      </c>
      <c r="AU23" s="34">
        <f>IF(AND(AU$5&gt;=$D23,AU$5&lt;=$E23),1,"")</f>
        <v/>
      </c>
      <c r="AV23" s="34">
        <f>IF(AND(AV$5&gt;=$D23,AV$5&lt;=$E23),1,"")</f>
        <v/>
      </c>
      <c r="AW23" s="34">
        <f>IF(AND(AW$5&gt;=$D23,AW$5&lt;=$E23),1,"")</f>
        <v/>
      </c>
      <c r="AX23" s="34">
        <f>IF(AND(AX$5&gt;=$D23,AX$5&lt;=$E23),1,"")</f>
        <v/>
      </c>
      <c r="AY23" s="34">
        <f>IF(AND(AY$5&gt;=$D23,AY$5&lt;=$E23),1,"")</f>
        <v/>
      </c>
      <c r="AZ23" s="34">
        <f>IF(AND(AZ$5&gt;=$D23,AZ$5&lt;=$E23),1,"")</f>
        <v/>
      </c>
      <c r="BA23" s="34">
        <f>IF(AND(BA$5&gt;=$D23,BA$5&lt;=$E23),1,"")</f>
        <v/>
      </c>
      <c r="BB23" s="34">
        <f>IF(AND(BB$5&gt;=$D23,BB$5&lt;=$E23),1,"")</f>
        <v/>
      </c>
      <c r="BC23" s="34">
        <f>IF(AND(BC$5&gt;=$D23,BC$5&lt;=$E23),1,"")</f>
        <v/>
      </c>
      <c r="BD23" s="34">
        <f>IF(AND(BD$5&gt;=$D23,BD$5&lt;=$E23),1,"")</f>
        <v/>
      </c>
      <c r="BE23" s="34">
        <f>IF(AND(BE$5&gt;=$D23,BE$5&lt;=$E23),1,"")</f>
        <v/>
      </c>
      <c r="BF23" s="34">
        <f>IF(AND(BF$5&gt;=$D23,BF$5&lt;=$E23),1,"")</f>
        <v/>
      </c>
      <c r="BG23" s="34">
        <f>IF(AND(BG$5&gt;=$D23,BG$5&lt;=$E23),1,"")</f>
        <v/>
      </c>
      <c r="BH23" s="34">
        <f>IF(AND(BH$5&gt;=$D23,BH$5&lt;=$E23),1,"")</f>
        <v/>
      </c>
      <c r="BI23" s="34">
        <f>IF(AND(BI$5&gt;=$D23,BI$5&lt;=$E23),1,"")</f>
        <v/>
      </c>
      <c r="BJ23" s="34">
        <f>IF(AND(BJ$5&gt;=$D23,BJ$5&lt;=$E23),1,"")</f>
        <v/>
      </c>
      <c r="BK23" s="34">
        <f>IF(AND(BK$5&gt;=$D23,BK$5&lt;=$E23),1,"")</f>
        <v/>
      </c>
    </row>
    <row r="24" ht="14.25" customHeight="1" s="36">
      <c r="A24" s="13" t="inlineStr">
        <is>
          <t>1 Inicio</t>
        </is>
      </c>
      <c r="B24" s="13" t="inlineStr">
        <is>
          <t>1.9</t>
        </is>
      </c>
      <c r="C24" s="13" t="inlineStr">
        <is>
          <t>Cumplimiento normativo y contractual</t>
        </is>
      </c>
      <c r="D24" s="13" t="n">
        <v>1</v>
      </c>
      <c r="E24" s="13" t="n">
        <v>56</v>
      </c>
      <c r="F24" s="13">
        <f>E24-D24+1</f>
        <v/>
      </c>
      <c r="G24" s="31" t="n">
        <v>688</v>
      </c>
      <c r="H24" s="34">
        <f>IF(AND(H$5&gt;=$D24,H$5&lt;=$E24),1,"")</f>
        <v/>
      </c>
      <c r="I24" s="34">
        <f>IF(AND(I$5&gt;=$D24,I$5&lt;=$E24),1,"")</f>
        <v/>
      </c>
      <c r="J24" s="34">
        <f>IF(AND(J$5&gt;=$D24,J$5&lt;=$E24),1,"")</f>
        <v/>
      </c>
      <c r="K24" s="34">
        <f>IF(AND(K$5&gt;=$D24,K$5&lt;=$E24),1,"")</f>
        <v/>
      </c>
      <c r="L24" s="34">
        <f>IF(AND(L$5&gt;=$D24,L$5&lt;=$E24),1,"")</f>
        <v/>
      </c>
      <c r="M24" s="34">
        <f>IF(AND(M$5&gt;=$D24,M$5&lt;=$E24),1,"")</f>
        <v/>
      </c>
      <c r="N24" s="34">
        <f>IF(AND(N$5&gt;=$D24,N$5&lt;=$E24),1,"")</f>
        <v/>
      </c>
      <c r="O24" s="34">
        <f>IF(AND(O$5&gt;=$D24,O$5&lt;=$E24),1,"")</f>
        <v/>
      </c>
      <c r="P24" s="34">
        <f>IF(AND(P$5&gt;=$D24,P$5&lt;=$E24),1,"")</f>
        <v/>
      </c>
      <c r="Q24" s="34">
        <f>IF(AND(Q$5&gt;=$D24,Q$5&lt;=$E24),1,"")</f>
        <v/>
      </c>
      <c r="R24" s="34">
        <f>IF(AND(R$5&gt;=$D24,R$5&lt;=$E24),1,"")</f>
        <v/>
      </c>
      <c r="S24" s="34">
        <f>IF(AND(S$5&gt;=$D24,S$5&lt;=$E24),1,"")</f>
        <v/>
      </c>
      <c r="T24" s="34">
        <f>IF(AND(T$5&gt;=$D24,T$5&lt;=$E24),1,"")</f>
        <v/>
      </c>
      <c r="U24" s="34">
        <f>IF(AND(U$5&gt;=$D24,U$5&lt;=$E24),1,"")</f>
        <v/>
      </c>
      <c r="V24" s="34">
        <f>IF(AND(V$5&gt;=$D24,V$5&lt;=$E24),1,"")</f>
        <v/>
      </c>
      <c r="W24" s="34">
        <f>IF(AND(W$5&gt;=$D24,W$5&lt;=$E24),1,"")</f>
        <v/>
      </c>
      <c r="X24" s="34">
        <f>IF(AND(X$5&gt;=$D24,X$5&lt;=$E24),1,"")</f>
        <v/>
      </c>
      <c r="Y24" s="34">
        <f>IF(AND(Y$5&gt;=$D24,Y$5&lt;=$E24),1,"")</f>
        <v/>
      </c>
      <c r="Z24" s="34">
        <f>IF(AND(Z$5&gt;=$D24,Z$5&lt;=$E24),1,"")</f>
        <v/>
      </c>
      <c r="AA24" s="34">
        <f>IF(AND(AA$5&gt;=$D24,AA$5&lt;=$E24),1,"")</f>
        <v/>
      </c>
      <c r="AB24" s="34">
        <f>IF(AND(AB$5&gt;=$D24,AB$5&lt;=$E24),1,"")</f>
        <v/>
      </c>
      <c r="AC24" s="34">
        <f>IF(AND(AC$5&gt;=$D24,AC$5&lt;=$E24),1,"")</f>
        <v/>
      </c>
      <c r="AD24" s="34">
        <f>IF(AND(AD$5&gt;=$D24,AD$5&lt;=$E24),1,"")</f>
        <v/>
      </c>
      <c r="AE24" s="34">
        <f>IF(AND(AE$5&gt;=$D24,AE$5&lt;=$E24),1,"")</f>
        <v/>
      </c>
      <c r="AF24" s="34">
        <f>IF(AND(AF$5&gt;=$D24,AF$5&lt;=$E24),1,"")</f>
        <v/>
      </c>
      <c r="AG24" s="34">
        <f>IF(AND(AG$5&gt;=$D24,AG$5&lt;=$E24),1,"")</f>
        <v/>
      </c>
      <c r="AH24" s="34">
        <f>IF(AND(AH$5&gt;=$D24,AH$5&lt;=$E24),1,"")</f>
        <v/>
      </c>
      <c r="AI24" s="34">
        <f>IF(AND(AI$5&gt;=$D24,AI$5&lt;=$E24),1,"")</f>
        <v/>
      </c>
      <c r="AJ24" s="34">
        <f>IF(AND(AJ$5&gt;=$D24,AJ$5&lt;=$E24),1,"")</f>
        <v/>
      </c>
      <c r="AK24" s="34">
        <f>IF(AND(AK$5&gt;=$D24,AK$5&lt;=$E24),1,"")</f>
        <v/>
      </c>
      <c r="AL24" s="34">
        <f>IF(AND(AL$5&gt;=$D24,AL$5&lt;=$E24),1,"")</f>
        <v/>
      </c>
      <c r="AM24" s="34">
        <f>IF(AND(AM$5&gt;=$D24,AM$5&lt;=$E24),1,"")</f>
        <v/>
      </c>
      <c r="AN24" s="34">
        <f>IF(AND(AN$5&gt;=$D24,AN$5&lt;=$E24),1,"")</f>
        <v/>
      </c>
      <c r="AO24" s="34">
        <f>IF(AND(AO$5&gt;=$D24,AO$5&lt;=$E24),1,"")</f>
        <v/>
      </c>
      <c r="AP24" s="34">
        <f>IF(AND(AP$5&gt;=$D24,AP$5&lt;=$E24),1,"")</f>
        <v/>
      </c>
      <c r="AQ24" s="34">
        <f>IF(AND(AQ$5&gt;=$D24,AQ$5&lt;=$E24),1,"")</f>
        <v/>
      </c>
      <c r="AR24" s="34">
        <f>IF(AND(AR$5&gt;=$D24,AR$5&lt;=$E24),1,"")</f>
        <v/>
      </c>
      <c r="AS24" s="34">
        <f>IF(AND(AS$5&gt;=$D24,AS$5&lt;=$E24),1,"")</f>
        <v/>
      </c>
      <c r="AT24" s="34">
        <f>IF(AND(AT$5&gt;=$D24,AT$5&lt;=$E24),1,"")</f>
        <v/>
      </c>
      <c r="AU24" s="34">
        <f>IF(AND(AU$5&gt;=$D24,AU$5&lt;=$E24),1,"")</f>
        <v/>
      </c>
      <c r="AV24" s="34">
        <f>IF(AND(AV$5&gt;=$D24,AV$5&lt;=$E24),1,"")</f>
        <v/>
      </c>
      <c r="AW24" s="34">
        <f>IF(AND(AW$5&gt;=$D24,AW$5&lt;=$E24),1,"")</f>
        <v/>
      </c>
      <c r="AX24" s="34">
        <f>IF(AND(AX$5&gt;=$D24,AX$5&lt;=$E24),1,"")</f>
        <v/>
      </c>
      <c r="AY24" s="34">
        <f>IF(AND(AY$5&gt;=$D24,AY$5&lt;=$E24),1,"")</f>
        <v/>
      </c>
      <c r="AZ24" s="34">
        <f>IF(AND(AZ$5&gt;=$D24,AZ$5&lt;=$E24),1,"")</f>
        <v/>
      </c>
      <c r="BA24" s="34">
        <f>IF(AND(BA$5&gt;=$D24,BA$5&lt;=$E24),1,"")</f>
        <v/>
      </c>
      <c r="BB24" s="34">
        <f>IF(AND(BB$5&gt;=$D24,BB$5&lt;=$E24),1,"")</f>
        <v/>
      </c>
      <c r="BC24" s="34">
        <f>IF(AND(BC$5&gt;=$D24,BC$5&lt;=$E24),1,"")</f>
        <v/>
      </c>
      <c r="BD24" s="34">
        <f>IF(AND(BD$5&gt;=$D24,BD$5&lt;=$E24),1,"")</f>
        <v/>
      </c>
      <c r="BE24" s="34">
        <f>IF(AND(BE$5&gt;=$D24,BE$5&lt;=$E24),1,"")</f>
        <v/>
      </c>
      <c r="BF24" s="34">
        <f>IF(AND(BF$5&gt;=$D24,BF$5&lt;=$E24),1,"")</f>
        <v/>
      </c>
      <c r="BG24" s="34">
        <f>IF(AND(BG$5&gt;=$D24,BG$5&lt;=$E24),1,"")</f>
        <v/>
      </c>
      <c r="BH24" s="34">
        <f>IF(AND(BH$5&gt;=$D24,BH$5&lt;=$E24),1,"")</f>
        <v/>
      </c>
      <c r="BI24" s="34">
        <f>IF(AND(BI$5&gt;=$D24,BI$5&lt;=$E24),1,"")</f>
        <v/>
      </c>
      <c r="BJ24" s="34">
        <f>IF(AND(BJ$5&gt;=$D24,BJ$5&lt;=$E24),1,"")</f>
        <v/>
      </c>
      <c r="BK24" s="34">
        <f>IF(AND(BK$5&gt;=$D24,BK$5&lt;=$E24),1,"")</f>
        <v/>
      </c>
    </row>
    <row r="25" ht="14.25" customHeight="1" s="36">
      <c r="A25" s="13" t="inlineStr">
        <is>
          <t>2 Elaboración</t>
        </is>
      </c>
      <c r="B25" s="13" t="inlineStr">
        <is>
          <t>2.1</t>
        </is>
      </c>
      <c r="C25" s="13" t="inlineStr">
        <is>
          <t>Arquitectura de la solución</t>
        </is>
      </c>
      <c r="D25" s="13" t="n">
        <v>2</v>
      </c>
      <c r="E25" s="13" t="n">
        <v>13</v>
      </c>
      <c r="F25" s="13">
        <f>E25-D25+1</f>
        <v/>
      </c>
      <c r="G25" s="31" t="n">
        <v>960</v>
      </c>
      <c r="H25" s="34">
        <f>IF(AND(H$5&gt;=$D25,H$5&lt;=$E25),2,"")</f>
        <v/>
      </c>
      <c r="I25" s="34">
        <f>IF(AND(I$5&gt;=$D25,I$5&lt;=$E25),2,"")</f>
        <v/>
      </c>
      <c r="J25" s="34">
        <f>IF(AND(J$5&gt;=$D25,J$5&lt;=$E25),2,"")</f>
        <v/>
      </c>
      <c r="K25" s="34">
        <f>IF(AND(K$5&gt;=$D25,K$5&lt;=$E25),2,"")</f>
        <v/>
      </c>
      <c r="L25" s="34">
        <f>IF(AND(L$5&gt;=$D25,L$5&lt;=$E25),2,"")</f>
        <v/>
      </c>
      <c r="M25" s="34">
        <f>IF(AND(M$5&gt;=$D25,M$5&lt;=$E25),2,"")</f>
        <v/>
      </c>
      <c r="N25" s="34">
        <f>IF(AND(N$5&gt;=$D25,N$5&lt;=$E25),2,"")</f>
        <v/>
      </c>
      <c r="O25" s="34">
        <f>IF(AND(O$5&gt;=$D25,O$5&lt;=$E25),2,"")</f>
        <v/>
      </c>
      <c r="P25" s="34">
        <f>IF(AND(P$5&gt;=$D25,P$5&lt;=$E25),2,"")</f>
        <v/>
      </c>
      <c r="Q25" s="34">
        <f>IF(AND(Q$5&gt;=$D25,Q$5&lt;=$E25),2,"")</f>
        <v/>
      </c>
      <c r="R25" s="34">
        <f>IF(AND(R$5&gt;=$D25,R$5&lt;=$E25),2,"")</f>
        <v/>
      </c>
      <c r="S25" s="34">
        <f>IF(AND(S$5&gt;=$D25,S$5&lt;=$E25),2,"")</f>
        <v/>
      </c>
      <c r="T25" s="34">
        <f>IF(AND(T$5&gt;=$D25,T$5&lt;=$E25),2,"")</f>
        <v/>
      </c>
      <c r="U25" s="34">
        <f>IF(AND(U$5&gt;=$D25,U$5&lt;=$E25),2,"")</f>
        <v/>
      </c>
      <c r="V25" s="34">
        <f>IF(AND(V$5&gt;=$D25,V$5&lt;=$E25),2,"")</f>
        <v/>
      </c>
      <c r="W25" s="34">
        <f>IF(AND(W$5&gt;=$D25,W$5&lt;=$E25),2,"")</f>
        <v/>
      </c>
      <c r="X25" s="34">
        <f>IF(AND(X$5&gt;=$D25,X$5&lt;=$E25),2,"")</f>
        <v/>
      </c>
      <c r="Y25" s="34">
        <f>IF(AND(Y$5&gt;=$D25,Y$5&lt;=$E25),2,"")</f>
        <v/>
      </c>
      <c r="Z25" s="34">
        <f>IF(AND(Z$5&gt;=$D25,Z$5&lt;=$E25),2,"")</f>
        <v/>
      </c>
      <c r="AA25" s="34">
        <f>IF(AND(AA$5&gt;=$D25,AA$5&lt;=$E25),2,"")</f>
        <v/>
      </c>
      <c r="AB25" s="34">
        <f>IF(AND(AB$5&gt;=$D25,AB$5&lt;=$E25),2,"")</f>
        <v/>
      </c>
      <c r="AC25" s="34">
        <f>IF(AND(AC$5&gt;=$D25,AC$5&lt;=$E25),2,"")</f>
        <v/>
      </c>
      <c r="AD25" s="34">
        <f>IF(AND(AD$5&gt;=$D25,AD$5&lt;=$E25),2,"")</f>
        <v/>
      </c>
      <c r="AE25" s="34">
        <f>IF(AND(AE$5&gt;=$D25,AE$5&lt;=$E25),2,"")</f>
        <v/>
      </c>
      <c r="AF25" s="34">
        <f>IF(AND(AF$5&gt;=$D25,AF$5&lt;=$E25),2,"")</f>
        <v/>
      </c>
      <c r="AG25" s="34">
        <f>IF(AND(AG$5&gt;=$D25,AG$5&lt;=$E25),2,"")</f>
        <v/>
      </c>
      <c r="AH25" s="34">
        <f>IF(AND(AH$5&gt;=$D25,AH$5&lt;=$E25),2,"")</f>
        <v/>
      </c>
      <c r="AI25" s="34">
        <f>IF(AND(AI$5&gt;=$D25,AI$5&lt;=$E25),2,"")</f>
        <v/>
      </c>
      <c r="AJ25" s="34">
        <f>IF(AND(AJ$5&gt;=$D25,AJ$5&lt;=$E25),2,"")</f>
        <v/>
      </c>
      <c r="AK25" s="34">
        <f>IF(AND(AK$5&gt;=$D25,AK$5&lt;=$E25),2,"")</f>
        <v/>
      </c>
      <c r="AL25" s="34">
        <f>IF(AND(AL$5&gt;=$D25,AL$5&lt;=$E25),2,"")</f>
        <v/>
      </c>
      <c r="AM25" s="34">
        <f>IF(AND(AM$5&gt;=$D25,AM$5&lt;=$E25),2,"")</f>
        <v/>
      </c>
      <c r="AN25" s="34">
        <f>IF(AND(AN$5&gt;=$D25,AN$5&lt;=$E25),2,"")</f>
        <v/>
      </c>
      <c r="AO25" s="34">
        <f>IF(AND(AO$5&gt;=$D25,AO$5&lt;=$E25),2,"")</f>
        <v/>
      </c>
      <c r="AP25" s="34">
        <f>IF(AND(AP$5&gt;=$D25,AP$5&lt;=$E25),2,"")</f>
        <v/>
      </c>
      <c r="AQ25" s="34">
        <f>IF(AND(AQ$5&gt;=$D25,AQ$5&lt;=$E25),2,"")</f>
        <v/>
      </c>
      <c r="AR25" s="34">
        <f>IF(AND(AR$5&gt;=$D25,AR$5&lt;=$E25),2,"")</f>
        <v/>
      </c>
      <c r="AS25" s="34">
        <f>IF(AND(AS$5&gt;=$D25,AS$5&lt;=$E25),2,"")</f>
        <v/>
      </c>
      <c r="AT25" s="34">
        <f>IF(AND(AT$5&gt;=$D25,AT$5&lt;=$E25),2,"")</f>
        <v/>
      </c>
      <c r="AU25" s="34">
        <f>IF(AND(AU$5&gt;=$D25,AU$5&lt;=$E25),2,"")</f>
        <v/>
      </c>
      <c r="AV25" s="34">
        <f>IF(AND(AV$5&gt;=$D25,AV$5&lt;=$E25),2,"")</f>
        <v/>
      </c>
      <c r="AW25" s="34">
        <f>IF(AND(AW$5&gt;=$D25,AW$5&lt;=$E25),2,"")</f>
        <v/>
      </c>
      <c r="AX25" s="34">
        <f>IF(AND(AX$5&gt;=$D25,AX$5&lt;=$E25),2,"")</f>
        <v/>
      </c>
      <c r="AY25" s="34">
        <f>IF(AND(AY$5&gt;=$D25,AY$5&lt;=$E25),2,"")</f>
        <v/>
      </c>
      <c r="AZ25" s="34">
        <f>IF(AND(AZ$5&gt;=$D25,AZ$5&lt;=$E25),2,"")</f>
        <v/>
      </c>
      <c r="BA25" s="34">
        <f>IF(AND(BA$5&gt;=$D25,BA$5&lt;=$E25),2,"")</f>
        <v/>
      </c>
      <c r="BB25" s="34">
        <f>IF(AND(BB$5&gt;=$D25,BB$5&lt;=$E25),2,"")</f>
        <v/>
      </c>
      <c r="BC25" s="34">
        <f>IF(AND(BC$5&gt;=$D25,BC$5&lt;=$E25),2,"")</f>
        <v/>
      </c>
      <c r="BD25" s="34">
        <f>IF(AND(BD$5&gt;=$D25,BD$5&lt;=$E25),2,"")</f>
        <v/>
      </c>
      <c r="BE25" s="34">
        <f>IF(AND(BE$5&gt;=$D25,BE$5&lt;=$E25),2,"")</f>
        <v/>
      </c>
      <c r="BF25" s="34">
        <f>IF(AND(BF$5&gt;=$D25,BF$5&lt;=$E25),2,"")</f>
        <v/>
      </c>
      <c r="BG25" s="34">
        <f>IF(AND(BG$5&gt;=$D25,BG$5&lt;=$E25),2,"")</f>
        <v/>
      </c>
      <c r="BH25" s="34">
        <f>IF(AND(BH$5&gt;=$D25,BH$5&lt;=$E25),2,"")</f>
        <v/>
      </c>
      <c r="BI25" s="34">
        <f>IF(AND(BI$5&gt;=$D25,BI$5&lt;=$E25),2,"")</f>
        <v/>
      </c>
      <c r="BJ25" s="34">
        <f>IF(AND(BJ$5&gt;=$D25,BJ$5&lt;=$E25),2,"")</f>
        <v/>
      </c>
      <c r="BK25" s="34">
        <f>IF(AND(BK$5&gt;=$D25,BK$5&lt;=$E25),2,"")</f>
        <v/>
      </c>
    </row>
    <row r="26" ht="14.25" customHeight="1" s="36">
      <c r="A26" s="13" t="inlineStr">
        <is>
          <t>2 Elaboración</t>
        </is>
      </c>
      <c r="B26" s="13" t="inlineStr">
        <is>
          <t>2.2</t>
        </is>
      </c>
      <c r="C26" s="13" t="inlineStr">
        <is>
          <t>Diseño de la seguridad</t>
        </is>
      </c>
      <c r="D26" s="13" t="n">
        <v>2</v>
      </c>
      <c r="E26" s="13" t="n">
        <v>10</v>
      </c>
      <c r="F26" s="13">
        <f>E26-D26+1</f>
        <v/>
      </c>
      <c r="G26" s="31" t="n">
        <v>960</v>
      </c>
      <c r="H26" s="34">
        <f>IF(AND(H$5&gt;=$D26,H$5&lt;=$E26),2,"")</f>
        <v/>
      </c>
      <c r="I26" s="34">
        <f>IF(AND(I$5&gt;=$D26,I$5&lt;=$E26),2,"")</f>
        <v/>
      </c>
      <c r="J26" s="34">
        <f>IF(AND(J$5&gt;=$D26,J$5&lt;=$E26),2,"")</f>
        <v/>
      </c>
      <c r="K26" s="34">
        <f>IF(AND(K$5&gt;=$D26,K$5&lt;=$E26),2,"")</f>
        <v/>
      </c>
      <c r="L26" s="34">
        <f>IF(AND(L$5&gt;=$D26,L$5&lt;=$E26),2,"")</f>
        <v/>
      </c>
      <c r="M26" s="34">
        <f>IF(AND(M$5&gt;=$D26,M$5&lt;=$E26),2,"")</f>
        <v/>
      </c>
      <c r="N26" s="34">
        <f>IF(AND(N$5&gt;=$D26,N$5&lt;=$E26),2,"")</f>
        <v/>
      </c>
      <c r="O26" s="34">
        <f>IF(AND(O$5&gt;=$D26,O$5&lt;=$E26),2,"")</f>
        <v/>
      </c>
      <c r="P26" s="34">
        <f>IF(AND(P$5&gt;=$D26,P$5&lt;=$E26),2,"")</f>
        <v/>
      </c>
      <c r="Q26" s="34">
        <f>IF(AND(Q$5&gt;=$D26,Q$5&lt;=$E26),2,"")</f>
        <v/>
      </c>
      <c r="R26" s="34">
        <f>IF(AND(R$5&gt;=$D26,R$5&lt;=$E26),2,"")</f>
        <v/>
      </c>
      <c r="S26" s="34">
        <f>IF(AND(S$5&gt;=$D26,S$5&lt;=$E26),2,"")</f>
        <v/>
      </c>
      <c r="T26" s="34">
        <f>IF(AND(T$5&gt;=$D26,T$5&lt;=$E26),2,"")</f>
        <v/>
      </c>
      <c r="U26" s="34">
        <f>IF(AND(U$5&gt;=$D26,U$5&lt;=$E26),2,"")</f>
        <v/>
      </c>
      <c r="V26" s="34">
        <f>IF(AND(V$5&gt;=$D26,V$5&lt;=$E26),2,"")</f>
        <v/>
      </c>
      <c r="W26" s="34">
        <f>IF(AND(W$5&gt;=$D26,W$5&lt;=$E26),2,"")</f>
        <v/>
      </c>
      <c r="X26" s="34">
        <f>IF(AND(X$5&gt;=$D26,X$5&lt;=$E26),2,"")</f>
        <v/>
      </c>
      <c r="Y26" s="34">
        <f>IF(AND(Y$5&gt;=$D26,Y$5&lt;=$E26),2,"")</f>
        <v/>
      </c>
      <c r="Z26" s="34">
        <f>IF(AND(Z$5&gt;=$D26,Z$5&lt;=$E26),2,"")</f>
        <v/>
      </c>
      <c r="AA26" s="34">
        <f>IF(AND(AA$5&gt;=$D26,AA$5&lt;=$E26),2,"")</f>
        <v/>
      </c>
      <c r="AB26" s="34">
        <f>IF(AND(AB$5&gt;=$D26,AB$5&lt;=$E26),2,"")</f>
        <v/>
      </c>
      <c r="AC26" s="34">
        <f>IF(AND(AC$5&gt;=$D26,AC$5&lt;=$E26),2,"")</f>
        <v/>
      </c>
      <c r="AD26" s="34">
        <f>IF(AND(AD$5&gt;=$D26,AD$5&lt;=$E26),2,"")</f>
        <v/>
      </c>
      <c r="AE26" s="34">
        <f>IF(AND(AE$5&gt;=$D26,AE$5&lt;=$E26),2,"")</f>
        <v/>
      </c>
      <c r="AF26" s="34">
        <f>IF(AND(AF$5&gt;=$D26,AF$5&lt;=$E26),2,"")</f>
        <v/>
      </c>
      <c r="AG26" s="34">
        <f>IF(AND(AG$5&gt;=$D26,AG$5&lt;=$E26),2,"")</f>
        <v/>
      </c>
      <c r="AH26" s="34">
        <f>IF(AND(AH$5&gt;=$D26,AH$5&lt;=$E26),2,"")</f>
        <v/>
      </c>
      <c r="AI26" s="34">
        <f>IF(AND(AI$5&gt;=$D26,AI$5&lt;=$E26),2,"")</f>
        <v/>
      </c>
      <c r="AJ26" s="34">
        <f>IF(AND(AJ$5&gt;=$D26,AJ$5&lt;=$E26),2,"")</f>
        <v/>
      </c>
      <c r="AK26" s="34">
        <f>IF(AND(AK$5&gt;=$D26,AK$5&lt;=$E26),2,"")</f>
        <v/>
      </c>
      <c r="AL26" s="34">
        <f>IF(AND(AL$5&gt;=$D26,AL$5&lt;=$E26),2,"")</f>
        <v/>
      </c>
      <c r="AM26" s="34">
        <f>IF(AND(AM$5&gt;=$D26,AM$5&lt;=$E26),2,"")</f>
        <v/>
      </c>
      <c r="AN26" s="34">
        <f>IF(AND(AN$5&gt;=$D26,AN$5&lt;=$E26),2,"")</f>
        <v/>
      </c>
      <c r="AO26" s="34">
        <f>IF(AND(AO$5&gt;=$D26,AO$5&lt;=$E26),2,"")</f>
        <v/>
      </c>
      <c r="AP26" s="34">
        <f>IF(AND(AP$5&gt;=$D26,AP$5&lt;=$E26),2,"")</f>
        <v/>
      </c>
      <c r="AQ26" s="34">
        <f>IF(AND(AQ$5&gt;=$D26,AQ$5&lt;=$E26),2,"")</f>
        <v/>
      </c>
      <c r="AR26" s="34">
        <f>IF(AND(AR$5&gt;=$D26,AR$5&lt;=$E26),2,"")</f>
        <v/>
      </c>
      <c r="AS26" s="34">
        <f>IF(AND(AS$5&gt;=$D26,AS$5&lt;=$E26),2,"")</f>
        <v/>
      </c>
      <c r="AT26" s="34">
        <f>IF(AND(AT$5&gt;=$D26,AT$5&lt;=$E26),2,"")</f>
        <v/>
      </c>
      <c r="AU26" s="34">
        <f>IF(AND(AU$5&gt;=$D26,AU$5&lt;=$E26),2,"")</f>
        <v/>
      </c>
      <c r="AV26" s="34">
        <f>IF(AND(AV$5&gt;=$D26,AV$5&lt;=$E26),2,"")</f>
        <v/>
      </c>
      <c r="AW26" s="34">
        <f>IF(AND(AW$5&gt;=$D26,AW$5&lt;=$E26),2,"")</f>
        <v/>
      </c>
      <c r="AX26" s="34">
        <f>IF(AND(AX$5&gt;=$D26,AX$5&lt;=$E26),2,"")</f>
        <v/>
      </c>
      <c r="AY26" s="34">
        <f>IF(AND(AY$5&gt;=$D26,AY$5&lt;=$E26),2,"")</f>
        <v/>
      </c>
      <c r="AZ26" s="34">
        <f>IF(AND(AZ$5&gt;=$D26,AZ$5&lt;=$E26),2,"")</f>
        <v/>
      </c>
      <c r="BA26" s="34">
        <f>IF(AND(BA$5&gt;=$D26,BA$5&lt;=$E26),2,"")</f>
        <v/>
      </c>
      <c r="BB26" s="34">
        <f>IF(AND(BB$5&gt;=$D26,BB$5&lt;=$E26),2,"")</f>
        <v/>
      </c>
      <c r="BC26" s="34">
        <f>IF(AND(BC$5&gt;=$D26,BC$5&lt;=$E26),2,"")</f>
        <v/>
      </c>
      <c r="BD26" s="34">
        <f>IF(AND(BD$5&gt;=$D26,BD$5&lt;=$E26),2,"")</f>
        <v/>
      </c>
      <c r="BE26" s="34">
        <f>IF(AND(BE$5&gt;=$D26,BE$5&lt;=$E26),2,"")</f>
        <v/>
      </c>
      <c r="BF26" s="34">
        <f>IF(AND(BF$5&gt;=$D26,BF$5&lt;=$E26),2,"")</f>
        <v/>
      </c>
      <c r="BG26" s="34">
        <f>IF(AND(BG$5&gt;=$D26,BG$5&lt;=$E26),2,"")</f>
        <v/>
      </c>
      <c r="BH26" s="34">
        <f>IF(AND(BH$5&gt;=$D26,BH$5&lt;=$E26),2,"")</f>
        <v/>
      </c>
      <c r="BI26" s="34">
        <f>IF(AND(BI$5&gt;=$D26,BI$5&lt;=$E26),2,"")</f>
        <v/>
      </c>
      <c r="BJ26" s="34">
        <f>IF(AND(BJ$5&gt;=$D26,BJ$5&lt;=$E26),2,"")</f>
        <v/>
      </c>
      <c r="BK26" s="34">
        <f>IF(AND(BK$5&gt;=$D26,BK$5&lt;=$E26),2,"")</f>
        <v/>
      </c>
    </row>
    <row r="27" ht="14.25" customHeight="1" s="36">
      <c r="A27" s="13" t="inlineStr">
        <is>
          <t>2 Elaboración</t>
        </is>
      </c>
      <c r="B27" s="13" t="inlineStr">
        <is>
          <t>2.3</t>
        </is>
      </c>
      <c r="C27" s="13" t="inlineStr">
        <is>
          <t>Diseño de la sala técnica y de los racks</t>
        </is>
      </c>
      <c r="D27" s="13" t="n">
        <v>1</v>
      </c>
      <c r="E27" s="13" t="n">
        <v>2</v>
      </c>
      <c r="F27" s="13">
        <f>E27-D27+1</f>
        <v/>
      </c>
      <c r="G27" s="31" t="n">
        <v>720</v>
      </c>
      <c r="H27" s="34">
        <f>IF(AND(H$5&gt;=$D27,H$5&lt;=$E27),2,"")</f>
        <v/>
      </c>
      <c r="I27" s="34">
        <f>IF(AND(I$5&gt;=$D27,I$5&lt;=$E27),2,"")</f>
        <v/>
      </c>
      <c r="J27" s="34">
        <f>IF(AND(J$5&gt;=$D27,J$5&lt;=$E27),2,"")</f>
        <v/>
      </c>
      <c r="K27" s="34">
        <f>IF(AND(K$5&gt;=$D27,K$5&lt;=$E27),2,"")</f>
        <v/>
      </c>
      <c r="L27" s="34">
        <f>IF(AND(L$5&gt;=$D27,L$5&lt;=$E27),2,"")</f>
        <v/>
      </c>
      <c r="M27" s="34">
        <f>IF(AND(M$5&gt;=$D27,M$5&lt;=$E27),2,"")</f>
        <v/>
      </c>
      <c r="N27" s="34">
        <f>IF(AND(N$5&gt;=$D27,N$5&lt;=$E27),2,"")</f>
        <v/>
      </c>
      <c r="O27" s="34">
        <f>IF(AND(O$5&gt;=$D27,O$5&lt;=$E27),2,"")</f>
        <v/>
      </c>
      <c r="P27" s="34">
        <f>IF(AND(P$5&gt;=$D27,P$5&lt;=$E27),2,"")</f>
        <v/>
      </c>
      <c r="Q27" s="34">
        <f>IF(AND(Q$5&gt;=$D27,Q$5&lt;=$E27),2,"")</f>
        <v/>
      </c>
      <c r="R27" s="34">
        <f>IF(AND(R$5&gt;=$D27,R$5&lt;=$E27),2,"")</f>
        <v/>
      </c>
      <c r="S27" s="34">
        <f>IF(AND(S$5&gt;=$D27,S$5&lt;=$E27),2,"")</f>
        <v/>
      </c>
      <c r="T27" s="34">
        <f>IF(AND(T$5&gt;=$D27,T$5&lt;=$E27),2,"")</f>
        <v/>
      </c>
      <c r="U27" s="34">
        <f>IF(AND(U$5&gt;=$D27,U$5&lt;=$E27),2,"")</f>
        <v/>
      </c>
      <c r="V27" s="34">
        <f>IF(AND(V$5&gt;=$D27,V$5&lt;=$E27),2,"")</f>
        <v/>
      </c>
      <c r="W27" s="34">
        <f>IF(AND(W$5&gt;=$D27,W$5&lt;=$E27),2,"")</f>
        <v/>
      </c>
      <c r="X27" s="34">
        <f>IF(AND(X$5&gt;=$D27,X$5&lt;=$E27),2,"")</f>
        <v/>
      </c>
      <c r="Y27" s="34">
        <f>IF(AND(Y$5&gt;=$D27,Y$5&lt;=$E27),2,"")</f>
        <v/>
      </c>
      <c r="Z27" s="34">
        <f>IF(AND(Z$5&gt;=$D27,Z$5&lt;=$E27),2,"")</f>
        <v/>
      </c>
      <c r="AA27" s="34">
        <f>IF(AND(AA$5&gt;=$D27,AA$5&lt;=$E27),2,"")</f>
        <v/>
      </c>
      <c r="AB27" s="34">
        <f>IF(AND(AB$5&gt;=$D27,AB$5&lt;=$E27),2,"")</f>
        <v/>
      </c>
      <c r="AC27" s="34">
        <f>IF(AND(AC$5&gt;=$D27,AC$5&lt;=$E27),2,"")</f>
        <v/>
      </c>
      <c r="AD27" s="34">
        <f>IF(AND(AD$5&gt;=$D27,AD$5&lt;=$E27),2,"")</f>
        <v/>
      </c>
      <c r="AE27" s="34">
        <f>IF(AND(AE$5&gt;=$D27,AE$5&lt;=$E27),2,"")</f>
        <v/>
      </c>
      <c r="AF27" s="34">
        <f>IF(AND(AF$5&gt;=$D27,AF$5&lt;=$E27),2,"")</f>
        <v/>
      </c>
      <c r="AG27" s="34">
        <f>IF(AND(AG$5&gt;=$D27,AG$5&lt;=$E27),2,"")</f>
        <v/>
      </c>
      <c r="AH27" s="34">
        <f>IF(AND(AH$5&gt;=$D27,AH$5&lt;=$E27),2,"")</f>
        <v/>
      </c>
      <c r="AI27" s="34">
        <f>IF(AND(AI$5&gt;=$D27,AI$5&lt;=$E27),2,"")</f>
        <v/>
      </c>
      <c r="AJ27" s="34">
        <f>IF(AND(AJ$5&gt;=$D27,AJ$5&lt;=$E27),2,"")</f>
        <v/>
      </c>
      <c r="AK27" s="34">
        <f>IF(AND(AK$5&gt;=$D27,AK$5&lt;=$E27),2,"")</f>
        <v/>
      </c>
      <c r="AL27" s="34">
        <f>IF(AND(AL$5&gt;=$D27,AL$5&lt;=$E27),2,"")</f>
        <v/>
      </c>
      <c r="AM27" s="34">
        <f>IF(AND(AM$5&gt;=$D27,AM$5&lt;=$E27),2,"")</f>
        <v/>
      </c>
      <c r="AN27" s="34">
        <f>IF(AND(AN$5&gt;=$D27,AN$5&lt;=$E27),2,"")</f>
        <v/>
      </c>
      <c r="AO27" s="34">
        <f>IF(AND(AO$5&gt;=$D27,AO$5&lt;=$E27),2,"")</f>
        <v/>
      </c>
      <c r="AP27" s="34">
        <f>IF(AND(AP$5&gt;=$D27,AP$5&lt;=$E27),2,"")</f>
        <v/>
      </c>
      <c r="AQ27" s="34">
        <f>IF(AND(AQ$5&gt;=$D27,AQ$5&lt;=$E27),2,"")</f>
        <v/>
      </c>
      <c r="AR27" s="34">
        <f>IF(AND(AR$5&gt;=$D27,AR$5&lt;=$E27),2,"")</f>
        <v/>
      </c>
      <c r="AS27" s="34">
        <f>IF(AND(AS$5&gt;=$D27,AS$5&lt;=$E27),2,"")</f>
        <v/>
      </c>
      <c r="AT27" s="34">
        <f>IF(AND(AT$5&gt;=$D27,AT$5&lt;=$E27),2,"")</f>
        <v/>
      </c>
      <c r="AU27" s="34">
        <f>IF(AND(AU$5&gt;=$D27,AU$5&lt;=$E27),2,"")</f>
        <v/>
      </c>
      <c r="AV27" s="34">
        <f>IF(AND(AV$5&gt;=$D27,AV$5&lt;=$E27),2,"")</f>
        <v/>
      </c>
      <c r="AW27" s="34">
        <f>IF(AND(AW$5&gt;=$D27,AW$5&lt;=$E27),2,"")</f>
        <v/>
      </c>
      <c r="AX27" s="34">
        <f>IF(AND(AX$5&gt;=$D27,AX$5&lt;=$E27),2,"")</f>
        <v/>
      </c>
      <c r="AY27" s="34">
        <f>IF(AND(AY$5&gt;=$D27,AY$5&lt;=$E27),2,"")</f>
        <v/>
      </c>
      <c r="AZ27" s="34">
        <f>IF(AND(AZ$5&gt;=$D27,AZ$5&lt;=$E27),2,"")</f>
        <v/>
      </c>
      <c r="BA27" s="34">
        <f>IF(AND(BA$5&gt;=$D27,BA$5&lt;=$E27),2,"")</f>
        <v/>
      </c>
      <c r="BB27" s="34">
        <f>IF(AND(BB$5&gt;=$D27,BB$5&lt;=$E27),2,"")</f>
        <v/>
      </c>
      <c r="BC27" s="34">
        <f>IF(AND(BC$5&gt;=$D27,BC$5&lt;=$E27),2,"")</f>
        <v/>
      </c>
      <c r="BD27" s="34">
        <f>IF(AND(BD$5&gt;=$D27,BD$5&lt;=$E27),2,"")</f>
        <v/>
      </c>
      <c r="BE27" s="34">
        <f>IF(AND(BE$5&gt;=$D27,BE$5&lt;=$E27),2,"")</f>
        <v/>
      </c>
      <c r="BF27" s="34">
        <f>IF(AND(BF$5&gt;=$D27,BF$5&lt;=$E27),2,"")</f>
        <v/>
      </c>
      <c r="BG27" s="34">
        <f>IF(AND(BG$5&gt;=$D27,BG$5&lt;=$E27),2,"")</f>
        <v/>
      </c>
      <c r="BH27" s="34">
        <f>IF(AND(BH$5&gt;=$D27,BH$5&lt;=$E27),2,"")</f>
        <v/>
      </c>
      <c r="BI27" s="34">
        <f>IF(AND(BI$5&gt;=$D27,BI$5&lt;=$E27),2,"")</f>
        <v/>
      </c>
      <c r="BJ27" s="34">
        <f>IF(AND(BJ$5&gt;=$D27,BJ$5&lt;=$E27),2,"")</f>
        <v/>
      </c>
      <c r="BK27" s="34">
        <f>IF(AND(BK$5&gt;=$D27,BK$5&lt;=$E27),2,"")</f>
        <v/>
      </c>
    </row>
    <row r="28" ht="14.25" customHeight="1" s="36">
      <c r="A28" s="13" t="inlineStr">
        <is>
          <t>2 Elaboración</t>
        </is>
      </c>
      <c r="B28" s="13" t="inlineStr">
        <is>
          <t>2.4</t>
        </is>
      </c>
      <c r="C28" s="13" t="inlineStr">
        <is>
          <t>Validación de diseños</t>
        </is>
      </c>
      <c r="D28" s="13" t="n">
        <v>3</v>
      </c>
      <c r="E28" s="13" t="n">
        <v>14</v>
      </c>
      <c r="F28" s="13">
        <f>E28-D28+1</f>
        <v/>
      </c>
      <c r="G28" s="31" t="n">
        <v>480</v>
      </c>
      <c r="H28" s="34">
        <f>IF(AND(H$5&gt;=$D28,H$5&lt;=$E28),2,"")</f>
        <v/>
      </c>
      <c r="I28" s="34">
        <f>IF(AND(I$5&gt;=$D28,I$5&lt;=$E28),2,"")</f>
        <v/>
      </c>
      <c r="J28" s="34">
        <f>IF(AND(J$5&gt;=$D28,J$5&lt;=$E28),2,"")</f>
        <v/>
      </c>
      <c r="K28" s="34">
        <f>IF(AND(K$5&gt;=$D28,K$5&lt;=$E28),2,"")</f>
        <v/>
      </c>
      <c r="L28" s="34">
        <f>IF(AND(L$5&gt;=$D28,L$5&lt;=$E28),2,"")</f>
        <v/>
      </c>
      <c r="M28" s="34">
        <f>IF(AND(M$5&gt;=$D28,M$5&lt;=$E28),2,"")</f>
        <v/>
      </c>
      <c r="N28" s="34">
        <f>IF(AND(N$5&gt;=$D28,N$5&lt;=$E28),2,"")</f>
        <v/>
      </c>
      <c r="O28" s="34">
        <f>IF(AND(O$5&gt;=$D28,O$5&lt;=$E28),2,"")</f>
        <v/>
      </c>
      <c r="P28" s="34">
        <f>IF(AND(P$5&gt;=$D28,P$5&lt;=$E28),2,"")</f>
        <v/>
      </c>
      <c r="Q28" s="34">
        <f>IF(AND(Q$5&gt;=$D28,Q$5&lt;=$E28),2,"")</f>
        <v/>
      </c>
      <c r="R28" s="34">
        <f>IF(AND(R$5&gt;=$D28,R$5&lt;=$E28),2,"")</f>
        <v/>
      </c>
      <c r="S28" s="34">
        <f>IF(AND(S$5&gt;=$D28,S$5&lt;=$E28),2,"")</f>
        <v/>
      </c>
      <c r="T28" s="34">
        <f>IF(AND(T$5&gt;=$D28,T$5&lt;=$E28),2,"")</f>
        <v/>
      </c>
      <c r="U28" s="34">
        <f>IF(AND(U$5&gt;=$D28,U$5&lt;=$E28),2,"")</f>
        <v/>
      </c>
      <c r="V28" s="34">
        <f>IF(AND(V$5&gt;=$D28,V$5&lt;=$E28),2,"")</f>
        <v/>
      </c>
      <c r="W28" s="34">
        <f>IF(AND(W$5&gt;=$D28,W$5&lt;=$E28),2,"")</f>
        <v/>
      </c>
      <c r="X28" s="34">
        <f>IF(AND(X$5&gt;=$D28,X$5&lt;=$E28),2,"")</f>
        <v/>
      </c>
      <c r="Y28" s="34">
        <f>IF(AND(Y$5&gt;=$D28,Y$5&lt;=$E28),2,"")</f>
        <v/>
      </c>
      <c r="Z28" s="34">
        <f>IF(AND(Z$5&gt;=$D28,Z$5&lt;=$E28),2,"")</f>
        <v/>
      </c>
      <c r="AA28" s="34">
        <f>IF(AND(AA$5&gt;=$D28,AA$5&lt;=$E28),2,"")</f>
        <v/>
      </c>
      <c r="AB28" s="34">
        <f>IF(AND(AB$5&gt;=$D28,AB$5&lt;=$E28),2,"")</f>
        <v/>
      </c>
      <c r="AC28" s="34">
        <f>IF(AND(AC$5&gt;=$D28,AC$5&lt;=$E28),2,"")</f>
        <v/>
      </c>
      <c r="AD28" s="34">
        <f>IF(AND(AD$5&gt;=$D28,AD$5&lt;=$E28),2,"")</f>
        <v/>
      </c>
      <c r="AE28" s="34">
        <f>IF(AND(AE$5&gt;=$D28,AE$5&lt;=$E28),2,"")</f>
        <v/>
      </c>
      <c r="AF28" s="34">
        <f>IF(AND(AF$5&gt;=$D28,AF$5&lt;=$E28),2,"")</f>
        <v/>
      </c>
      <c r="AG28" s="34">
        <f>IF(AND(AG$5&gt;=$D28,AG$5&lt;=$E28),2,"")</f>
        <v/>
      </c>
      <c r="AH28" s="34">
        <f>IF(AND(AH$5&gt;=$D28,AH$5&lt;=$E28),2,"")</f>
        <v/>
      </c>
      <c r="AI28" s="34">
        <f>IF(AND(AI$5&gt;=$D28,AI$5&lt;=$E28),2,"")</f>
        <v/>
      </c>
      <c r="AJ28" s="34">
        <f>IF(AND(AJ$5&gt;=$D28,AJ$5&lt;=$E28),2,"")</f>
        <v/>
      </c>
      <c r="AK28" s="34">
        <f>IF(AND(AK$5&gt;=$D28,AK$5&lt;=$E28),2,"")</f>
        <v/>
      </c>
      <c r="AL28" s="34">
        <f>IF(AND(AL$5&gt;=$D28,AL$5&lt;=$E28),2,"")</f>
        <v/>
      </c>
      <c r="AM28" s="34">
        <f>IF(AND(AM$5&gt;=$D28,AM$5&lt;=$E28),2,"")</f>
        <v/>
      </c>
      <c r="AN28" s="34">
        <f>IF(AND(AN$5&gt;=$D28,AN$5&lt;=$E28),2,"")</f>
        <v/>
      </c>
      <c r="AO28" s="34">
        <f>IF(AND(AO$5&gt;=$D28,AO$5&lt;=$E28),2,"")</f>
        <v/>
      </c>
      <c r="AP28" s="34">
        <f>IF(AND(AP$5&gt;=$D28,AP$5&lt;=$E28),2,"")</f>
        <v/>
      </c>
      <c r="AQ28" s="34">
        <f>IF(AND(AQ$5&gt;=$D28,AQ$5&lt;=$E28),2,"")</f>
        <v/>
      </c>
      <c r="AR28" s="34">
        <f>IF(AND(AR$5&gt;=$D28,AR$5&lt;=$E28),2,"")</f>
        <v/>
      </c>
      <c r="AS28" s="34">
        <f>IF(AND(AS$5&gt;=$D28,AS$5&lt;=$E28),2,"")</f>
        <v/>
      </c>
      <c r="AT28" s="34">
        <f>IF(AND(AT$5&gt;=$D28,AT$5&lt;=$E28),2,"")</f>
        <v/>
      </c>
      <c r="AU28" s="34">
        <f>IF(AND(AU$5&gt;=$D28,AU$5&lt;=$E28),2,"")</f>
        <v/>
      </c>
      <c r="AV28" s="34">
        <f>IF(AND(AV$5&gt;=$D28,AV$5&lt;=$E28),2,"")</f>
        <v/>
      </c>
      <c r="AW28" s="34">
        <f>IF(AND(AW$5&gt;=$D28,AW$5&lt;=$E28),2,"")</f>
        <v/>
      </c>
      <c r="AX28" s="34">
        <f>IF(AND(AX$5&gt;=$D28,AX$5&lt;=$E28),2,"")</f>
        <v/>
      </c>
      <c r="AY28" s="34">
        <f>IF(AND(AY$5&gt;=$D28,AY$5&lt;=$E28),2,"")</f>
        <v/>
      </c>
      <c r="AZ28" s="34">
        <f>IF(AND(AZ$5&gt;=$D28,AZ$5&lt;=$E28),2,"")</f>
        <v/>
      </c>
      <c r="BA28" s="34">
        <f>IF(AND(BA$5&gt;=$D28,BA$5&lt;=$E28),2,"")</f>
        <v/>
      </c>
      <c r="BB28" s="34">
        <f>IF(AND(BB$5&gt;=$D28,BB$5&lt;=$E28),2,"")</f>
        <v/>
      </c>
      <c r="BC28" s="34">
        <f>IF(AND(BC$5&gt;=$D28,BC$5&lt;=$E28),2,"")</f>
        <v/>
      </c>
      <c r="BD28" s="34">
        <f>IF(AND(BD$5&gt;=$D28,BD$5&lt;=$E28),2,"")</f>
        <v/>
      </c>
      <c r="BE28" s="34">
        <f>IF(AND(BE$5&gt;=$D28,BE$5&lt;=$E28),2,"")</f>
        <v/>
      </c>
      <c r="BF28" s="34">
        <f>IF(AND(BF$5&gt;=$D28,BF$5&lt;=$E28),2,"")</f>
        <v/>
      </c>
      <c r="BG28" s="34">
        <f>IF(AND(BG$5&gt;=$D28,BG$5&lt;=$E28),2,"")</f>
        <v/>
      </c>
      <c r="BH28" s="34">
        <f>IF(AND(BH$5&gt;=$D28,BH$5&lt;=$E28),2,"")</f>
        <v/>
      </c>
      <c r="BI28" s="34">
        <f>IF(AND(BI$5&gt;=$D28,BI$5&lt;=$E28),2,"")</f>
        <v/>
      </c>
      <c r="BJ28" s="34">
        <f>IF(AND(BJ$5&gt;=$D28,BJ$5&lt;=$E28),2,"")</f>
        <v/>
      </c>
      <c r="BK28" s="34">
        <f>IF(AND(BK$5&gt;=$D28,BK$5&lt;=$E28),2,"")</f>
        <v/>
      </c>
    </row>
    <row r="29" ht="14.25" customHeight="1" s="36">
      <c r="A29" s="13" t="inlineStr">
        <is>
          <t>2 Elaboración</t>
        </is>
      </c>
      <c r="B29" s="13" t="inlineStr">
        <is>
          <t>2.5</t>
        </is>
      </c>
      <c r="C29" s="13" t="inlineStr">
        <is>
          <t>Continuidad del negocio</t>
        </is>
      </c>
      <c r="D29" s="13" t="n">
        <v>3</v>
      </c>
      <c r="E29" s="13" t="n">
        <v>3</v>
      </c>
      <c r="F29" s="13">
        <f>E29-D29+1</f>
        <v/>
      </c>
      <c r="G29" s="31" t="n">
        <v>480</v>
      </c>
      <c r="H29" s="34">
        <f>IF(AND(H$5&gt;=$D29,H$5&lt;=$E29),2,"")</f>
        <v/>
      </c>
      <c r="I29" s="34">
        <f>IF(AND(I$5&gt;=$D29,I$5&lt;=$E29),2,"")</f>
        <v/>
      </c>
      <c r="J29" s="34">
        <f>IF(AND(J$5&gt;=$D29,J$5&lt;=$E29),2,"")</f>
        <v/>
      </c>
      <c r="K29" s="34">
        <f>IF(AND(K$5&gt;=$D29,K$5&lt;=$E29),2,"")</f>
        <v/>
      </c>
      <c r="L29" s="34">
        <f>IF(AND(L$5&gt;=$D29,L$5&lt;=$E29),2,"")</f>
        <v/>
      </c>
      <c r="M29" s="34">
        <f>IF(AND(M$5&gt;=$D29,M$5&lt;=$E29),2,"")</f>
        <v/>
      </c>
      <c r="N29" s="34">
        <f>IF(AND(N$5&gt;=$D29,N$5&lt;=$E29),2,"")</f>
        <v/>
      </c>
      <c r="O29" s="34">
        <f>IF(AND(O$5&gt;=$D29,O$5&lt;=$E29),2,"")</f>
        <v/>
      </c>
      <c r="P29" s="34">
        <f>IF(AND(P$5&gt;=$D29,P$5&lt;=$E29),2,"")</f>
        <v/>
      </c>
      <c r="Q29" s="34">
        <f>IF(AND(Q$5&gt;=$D29,Q$5&lt;=$E29),2,"")</f>
        <v/>
      </c>
      <c r="R29" s="34">
        <f>IF(AND(R$5&gt;=$D29,R$5&lt;=$E29),2,"")</f>
        <v/>
      </c>
      <c r="S29" s="34">
        <f>IF(AND(S$5&gt;=$D29,S$5&lt;=$E29),2,"")</f>
        <v/>
      </c>
      <c r="T29" s="34">
        <f>IF(AND(T$5&gt;=$D29,T$5&lt;=$E29),2,"")</f>
        <v/>
      </c>
      <c r="U29" s="34">
        <f>IF(AND(U$5&gt;=$D29,U$5&lt;=$E29),2,"")</f>
        <v/>
      </c>
      <c r="V29" s="34">
        <f>IF(AND(V$5&gt;=$D29,V$5&lt;=$E29),2,"")</f>
        <v/>
      </c>
      <c r="W29" s="34">
        <f>IF(AND(W$5&gt;=$D29,W$5&lt;=$E29),2,"")</f>
        <v/>
      </c>
      <c r="X29" s="34">
        <f>IF(AND(X$5&gt;=$D29,X$5&lt;=$E29),2,"")</f>
        <v/>
      </c>
      <c r="Y29" s="34">
        <f>IF(AND(Y$5&gt;=$D29,Y$5&lt;=$E29),2,"")</f>
        <v/>
      </c>
      <c r="Z29" s="34">
        <f>IF(AND(Z$5&gt;=$D29,Z$5&lt;=$E29),2,"")</f>
        <v/>
      </c>
      <c r="AA29" s="34">
        <f>IF(AND(AA$5&gt;=$D29,AA$5&lt;=$E29),2,"")</f>
        <v/>
      </c>
      <c r="AB29" s="34">
        <f>IF(AND(AB$5&gt;=$D29,AB$5&lt;=$E29),2,"")</f>
        <v/>
      </c>
      <c r="AC29" s="34">
        <f>IF(AND(AC$5&gt;=$D29,AC$5&lt;=$E29),2,"")</f>
        <v/>
      </c>
      <c r="AD29" s="34">
        <f>IF(AND(AD$5&gt;=$D29,AD$5&lt;=$E29),2,"")</f>
        <v/>
      </c>
      <c r="AE29" s="34">
        <f>IF(AND(AE$5&gt;=$D29,AE$5&lt;=$E29),2,"")</f>
        <v/>
      </c>
      <c r="AF29" s="34">
        <f>IF(AND(AF$5&gt;=$D29,AF$5&lt;=$E29),2,"")</f>
        <v/>
      </c>
      <c r="AG29" s="34">
        <f>IF(AND(AG$5&gt;=$D29,AG$5&lt;=$E29),2,"")</f>
        <v/>
      </c>
      <c r="AH29" s="34">
        <f>IF(AND(AH$5&gt;=$D29,AH$5&lt;=$E29),2,"")</f>
        <v/>
      </c>
      <c r="AI29" s="34">
        <f>IF(AND(AI$5&gt;=$D29,AI$5&lt;=$E29),2,"")</f>
        <v/>
      </c>
      <c r="AJ29" s="34">
        <f>IF(AND(AJ$5&gt;=$D29,AJ$5&lt;=$E29),2,"")</f>
        <v/>
      </c>
      <c r="AK29" s="34">
        <f>IF(AND(AK$5&gt;=$D29,AK$5&lt;=$E29),2,"")</f>
        <v/>
      </c>
      <c r="AL29" s="34">
        <f>IF(AND(AL$5&gt;=$D29,AL$5&lt;=$E29),2,"")</f>
        <v/>
      </c>
      <c r="AM29" s="34">
        <f>IF(AND(AM$5&gt;=$D29,AM$5&lt;=$E29),2,"")</f>
        <v/>
      </c>
      <c r="AN29" s="34">
        <f>IF(AND(AN$5&gt;=$D29,AN$5&lt;=$E29),2,"")</f>
        <v/>
      </c>
      <c r="AO29" s="34">
        <f>IF(AND(AO$5&gt;=$D29,AO$5&lt;=$E29),2,"")</f>
        <v/>
      </c>
      <c r="AP29" s="34">
        <f>IF(AND(AP$5&gt;=$D29,AP$5&lt;=$E29),2,"")</f>
        <v/>
      </c>
      <c r="AQ29" s="34">
        <f>IF(AND(AQ$5&gt;=$D29,AQ$5&lt;=$E29),2,"")</f>
        <v/>
      </c>
      <c r="AR29" s="34">
        <f>IF(AND(AR$5&gt;=$D29,AR$5&lt;=$E29),2,"")</f>
        <v/>
      </c>
      <c r="AS29" s="34">
        <f>IF(AND(AS$5&gt;=$D29,AS$5&lt;=$E29),2,"")</f>
        <v/>
      </c>
      <c r="AT29" s="34">
        <f>IF(AND(AT$5&gt;=$D29,AT$5&lt;=$E29),2,"")</f>
        <v/>
      </c>
      <c r="AU29" s="34">
        <f>IF(AND(AU$5&gt;=$D29,AU$5&lt;=$E29),2,"")</f>
        <v/>
      </c>
      <c r="AV29" s="34">
        <f>IF(AND(AV$5&gt;=$D29,AV$5&lt;=$E29),2,"")</f>
        <v/>
      </c>
      <c r="AW29" s="34">
        <f>IF(AND(AW$5&gt;=$D29,AW$5&lt;=$E29),2,"")</f>
        <v/>
      </c>
      <c r="AX29" s="34">
        <f>IF(AND(AX$5&gt;=$D29,AX$5&lt;=$E29),2,"")</f>
        <v/>
      </c>
      <c r="AY29" s="34">
        <f>IF(AND(AY$5&gt;=$D29,AY$5&lt;=$E29),2,"")</f>
        <v/>
      </c>
      <c r="AZ29" s="34">
        <f>IF(AND(AZ$5&gt;=$D29,AZ$5&lt;=$E29),2,"")</f>
        <v/>
      </c>
      <c r="BA29" s="34">
        <f>IF(AND(BA$5&gt;=$D29,BA$5&lt;=$E29),2,"")</f>
        <v/>
      </c>
      <c r="BB29" s="34">
        <f>IF(AND(BB$5&gt;=$D29,BB$5&lt;=$E29),2,"")</f>
        <v/>
      </c>
      <c r="BC29" s="34">
        <f>IF(AND(BC$5&gt;=$D29,BC$5&lt;=$E29),2,"")</f>
        <v/>
      </c>
      <c r="BD29" s="34">
        <f>IF(AND(BD$5&gt;=$D29,BD$5&lt;=$E29),2,"")</f>
        <v/>
      </c>
      <c r="BE29" s="34">
        <f>IF(AND(BE$5&gt;=$D29,BE$5&lt;=$E29),2,"")</f>
        <v/>
      </c>
      <c r="BF29" s="34">
        <f>IF(AND(BF$5&gt;=$D29,BF$5&lt;=$E29),2,"")</f>
        <v/>
      </c>
      <c r="BG29" s="34">
        <f>IF(AND(BG$5&gt;=$D29,BG$5&lt;=$E29),2,"")</f>
        <v/>
      </c>
      <c r="BH29" s="34">
        <f>IF(AND(BH$5&gt;=$D29,BH$5&lt;=$E29),2,"")</f>
        <v/>
      </c>
      <c r="BI29" s="34">
        <f>IF(AND(BI$5&gt;=$D29,BI$5&lt;=$E29),2,"")</f>
        <v/>
      </c>
      <c r="BJ29" s="34">
        <f>IF(AND(BJ$5&gt;=$D29,BJ$5&lt;=$E29),2,"")</f>
        <v/>
      </c>
      <c r="BK29" s="34">
        <f>IF(AND(BK$5&gt;=$D29,BK$5&lt;=$E29),2,"")</f>
        <v/>
      </c>
    </row>
    <row r="30" ht="14.25" customHeight="1" s="36">
      <c r="A30" s="13" t="inlineStr">
        <is>
          <t>2 Elaboración</t>
        </is>
      </c>
      <c r="B30" s="13" t="inlineStr">
        <is>
          <t>2.6</t>
        </is>
      </c>
      <c r="C30" s="13" t="inlineStr">
        <is>
          <t>Experiencia de usuario</t>
        </is>
      </c>
      <c r="D30" s="13" t="n">
        <v>2</v>
      </c>
      <c r="E30" s="13" t="n">
        <v>4</v>
      </c>
      <c r="F30" s="13">
        <f>E30-D30+1</f>
        <v/>
      </c>
      <c r="G30" s="31" t="n">
        <v>720</v>
      </c>
      <c r="H30" s="34">
        <f>IF(AND(H$5&gt;=$D30,H$5&lt;=$E30),2,"")</f>
        <v/>
      </c>
      <c r="I30" s="34">
        <f>IF(AND(I$5&gt;=$D30,I$5&lt;=$E30),2,"")</f>
        <v/>
      </c>
      <c r="J30" s="34">
        <f>IF(AND(J$5&gt;=$D30,J$5&lt;=$E30),2,"")</f>
        <v/>
      </c>
      <c r="K30" s="34">
        <f>IF(AND(K$5&gt;=$D30,K$5&lt;=$E30),2,"")</f>
        <v/>
      </c>
      <c r="L30" s="34">
        <f>IF(AND(L$5&gt;=$D30,L$5&lt;=$E30),2,"")</f>
        <v/>
      </c>
      <c r="M30" s="34">
        <f>IF(AND(M$5&gt;=$D30,M$5&lt;=$E30),2,"")</f>
        <v/>
      </c>
      <c r="N30" s="34">
        <f>IF(AND(N$5&gt;=$D30,N$5&lt;=$E30),2,"")</f>
        <v/>
      </c>
      <c r="O30" s="34">
        <f>IF(AND(O$5&gt;=$D30,O$5&lt;=$E30),2,"")</f>
        <v/>
      </c>
      <c r="P30" s="34">
        <f>IF(AND(P$5&gt;=$D30,P$5&lt;=$E30),2,"")</f>
        <v/>
      </c>
      <c r="Q30" s="34">
        <f>IF(AND(Q$5&gt;=$D30,Q$5&lt;=$E30),2,"")</f>
        <v/>
      </c>
      <c r="R30" s="34">
        <f>IF(AND(R$5&gt;=$D30,R$5&lt;=$E30),2,"")</f>
        <v/>
      </c>
      <c r="S30" s="34">
        <f>IF(AND(S$5&gt;=$D30,S$5&lt;=$E30),2,"")</f>
        <v/>
      </c>
      <c r="T30" s="34">
        <f>IF(AND(T$5&gt;=$D30,T$5&lt;=$E30),2,"")</f>
        <v/>
      </c>
      <c r="U30" s="34">
        <f>IF(AND(U$5&gt;=$D30,U$5&lt;=$E30),2,"")</f>
        <v/>
      </c>
      <c r="V30" s="34">
        <f>IF(AND(V$5&gt;=$D30,V$5&lt;=$E30),2,"")</f>
        <v/>
      </c>
      <c r="W30" s="34">
        <f>IF(AND(W$5&gt;=$D30,W$5&lt;=$E30),2,"")</f>
        <v/>
      </c>
      <c r="X30" s="34">
        <f>IF(AND(X$5&gt;=$D30,X$5&lt;=$E30),2,"")</f>
        <v/>
      </c>
      <c r="Y30" s="34">
        <f>IF(AND(Y$5&gt;=$D30,Y$5&lt;=$E30),2,"")</f>
        <v/>
      </c>
      <c r="Z30" s="34">
        <f>IF(AND(Z$5&gt;=$D30,Z$5&lt;=$E30),2,"")</f>
        <v/>
      </c>
      <c r="AA30" s="34">
        <f>IF(AND(AA$5&gt;=$D30,AA$5&lt;=$E30),2,"")</f>
        <v/>
      </c>
      <c r="AB30" s="34">
        <f>IF(AND(AB$5&gt;=$D30,AB$5&lt;=$E30),2,"")</f>
        <v/>
      </c>
      <c r="AC30" s="34">
        <f>IF(AND(AC$5&gt;=$D30,AC$5&lt;=$E30),2,"")</f>
        <v/>
      </c>
      <c r="AD30" s="34">
        <f>IF(AND(AD$5&gt;=$D30,AD$5&lt;=$E30),2,"")</f>
        <v/>
      </c>
      <c r="AE30" s="34">
        <f>IF(AND(AE$5&gt;=$D30,AE$5&lt;=$E30),2,"")</f>
        <v/>
      </c>
      <c r="AF30" s="34">
        <f>IF(AND(AF$5&gt;=$D30,AF$5&lt;=$E30),2,"")</f>
        <v/>
      </c>
      <c r="AG30" s="34">
        <f>IF(AND(AG$5&gt;=$D30,AG$5&lt;=$E30),2,"")</f>
        <v/>
      </c>
      <c r="AH30" s="34">
        <f>IF(AND(AH$5&gt;=$D30,AH$5&lt;=$E30),2,"")</f>
        <v/>
      </c>
      <c r="AI30" s="34">
        <f>IF(AND(AI$5&gt;=$D30,AI$5&lt;=$E30),2,"")</f>
        <v/>
      </c>
      <c r="AJ30" s="34">
        <f>IF(AND(AJ$5&gt;=$D30,AJ$5&lt;=$E30),2,"")</f>
        <v/>
      </c>
      <c r="AK30" s="34">
        <f>IF(AND(AK$5&gt;=$D30,AK$5&lt;=$E30),2,"")</f>
        <v/>
      </c>
      <c r="AL30" s="34">
        <f>IF(AND(AL$5&gt;=$D30,AL$5&lt;=$E30),2,"")</f>
        <v/>
      </c>
      <c r="AM30" s="34">
        <f>IF(AND(AM$5&gt;=$D30,AM$5&lt;=$E30),2,"")</f>
        <v/>
      </c>
      <c r="AN30" s="34">
        <f>IF(AND(AN$5&gt;=$D30,AN$5&lt;=$E30),2,"")</f>
        <v/>
      </c>
      <c r="AO30" s="34">
        <f>IF(AND(AO$5&gt;=$D30,AO$5&lt;=$E30),2,"")</f>
        <v/>
      </c>
      <c r="AP30" s="34">
        <f>IF(AND(AP$5&gt;=$D30,AP$5&lt;=$E30),2,"")</f>
        <v/>
      </c>
      <c r="AQ30" s="34">
        <f>IF(AND(AQ$5&gt;=$D30,AQ$5&lt;=$E30),2,"")</f>
        <v/>
      </c>
      <c r="AR30" s="34">
        <f>IF(AND(AR$5&gt;=$D30,AR$5&lt;=$E30),2,"")</f>
        <v/>
      </c>
      <c r="AS30" s="34">
        <f>IF(AND(AS$5&gt;=$D30,AS$5&lt;=$E30),2,"")</f>
        <v/>
      </c>
      <c r="AT30" s="34">
        <f>IF(AND(AT$5&gt;=$D30,AT$5&lt;=$E30),2,"")</f>
        <v/>
      </c>
      <c r="AU30" s="34">
        <f>IF(AND(AU$5&gt;=$D30,AU$5&lt;=$E30),2,"")</f>
        <v/>
      </c>
      <c r="AV30" s="34">
        <f>IF(AND(AV$5&gt;=$D30,AV$5&lt;=$E30),2,"")</f>
        <v/>
      </c>
      <c r="AW30" s="34">
        <f>IF(AND(AW$5&gt;=$D30,AW$5&lt;=$E30),2,"")</f>
        <v/>
      </c>
      <c r="AX30" s="34">
        <f>IF(AND(AX$5&gt;=$D30,AX$5&lt;=$E30),2,"")</f>
        <v/>
      </c>
      <c r="AY30" s="34">
        <f>IF(AND(AY$5&gt;=$D30,AY$5&lt;=$E30),2,"")</f>
        <v/>
      </c>
      <c r="AZ30" s="34">
        <f>IF(AND(AZ$5&gt;=$D30,AZ$5&lt;=$E30),2,"")</f>
        <v/>
      </c>
      <c r="BA30" s="34">
        <f>IF(AND(BA$5&gt;=$D30,BA$5&lt;=$E30),2,"")</f>
        <v/>
      </c>
      <c r="BB30" s="34">
        <f>IF(AND(BB$5&gt;=$D30,BB$5&lt;=$E30),2,"")</f>
        <v/>
      </c>
      <c r="BC30" s="34">
        <f>IF(AND(BC$5&gt;=$D30,BC$5&lt;=$E30),2,"")</f>
        <v/>
      </c>
      <c r="BD30" s="34">
        <f>IF(AND(BD$5&gt;=$D30,BD$5&lt;=$E30),2,"")</f>
        <v/>
      </c>
      <c r="BE30" s="34">
        <f>IF(AND(BE$5&gt;=$D30,BE$5&lt;=$E30),2,"")</f>
        <v/>
      </c>
      <c r="BF30" s="34">
        <f>IF(AND(BF$5&gt;=$D30,BF$5&lt;=$E30),2,"")</f>
        <v/>
      </c>
      <c r="BG30" s="34">
        <f>IF(AND(BG$5&gt;=$D30,BG$5&lt;=$E30),2,"")</f>
        <v/>
      </c>
      <c r="BH30" s="34">
        <f>IF(AND(BH$5&gt;=$D30,BH$5&lt;=$E30),2,"")</f>
        <v/>
      </c>
      <c r="BI30" s="34">
        <f>IF(AND(BI$5&gt;=$D30,BI$5&lt;=$E30),2,"")</f>
        <v/>
      </c>
      <c r="BJ30" s="34">
        <f>IF(AND(BJ$5&gt;=$D30,BJ$5&lt;=$E30),2,"")</f>
        <v/>
      </c>
      <c r="BK30" s="34">
        <f>IF(AND(BK$5&gt;=$D30,BK$5&lt;=$E30),2,"")</f>
        <v/>
      </c>
    </row>
    <row r="31" ht="14.25" customHeight="1" s="36">
      <c r="A31" s="13" t="inlineStr">
        <is>
          <t>3 Construcción</t>
        </is>
      </c>
      <c r="B31" s="13" t="inlineStr">
        <is>
          <t>3.1</t>
        </is>
      </c>
      <c r="C31" s="13" t="inlineStr">
        <is>
          <t>Ambientes y cadena de desarrollo</t>
        </is>
      </c>
      <c r="D31" s="13" t="n">
        <v>4</v>
      </c>
      <c r="E31" s="13" t="n">
        <v>5</v>
      </c>
      <c r="F31" s="13">
        <f>E31-D31+1</f>
        <v/>
      </c>
      <c r="G31" s="31" t="n">
        <v>1200</v>
      </c>
      <c r="H31" s="34">
        <f>IF(AND(H$5&gt;=$D31,H$5&lt;=$E31),3,"")</f>
        <v/>
      </c>
      <c r="I31" s="34">
        <f>IF(AND(I$5&gt;=$D31,I$5&lt;=$E31),3,"")</f>
        <v/>
      </c>
      <c r="J31" s="34">
        <f>IF(AND(J$5&gt;=$D31,J$5&lt;=$E31),3,"")</f>
        <v/>
      </c>
      <c r="K31" s="34">
        <f>IF(AND(K$5&gt;=$D31,K$5&lt;=$E31),3,"")</f>
        <v/>
      </c>
      <c r="L31" s="34">
        <f>IF(AND(L$5&gt;=$D31,L$5&lt;=$E31),3,"")</f>
        <v/>
      </c>
      <c r="M31" s="34">
        <f>IF(AND(M$5&gt;=$D31,M$5&lt;=$E31),3,"")</f>
        <v/>
      </c>
      <c r="N31" s="34">
        <f>IF(AND(N$5&gt;=$D31,N$5&lt;=$E31),3,"")</f>
        <v/>
      </c>
      <c r="O31" s="34">
        <f>IF(AND(O$5&gt;=$D31,O$5&lt;=$E31),3,"")</f>
        <v/>
      </c>
      <c r="P31" s="34">
        <f>IF(AND(P$5&gt;=$D31,P$5&lt;=$E31),3,"")</f>
        <v/>
      </c>
      <c r="Q31" s="34">
        <f>IF(AND(Q$5&gt;=$D31,Q$5&lt;=$E31),3,"")</f>
        <v/>
      </c>
      <c r="R31" s="34">
        <f>IF(AND(R$5&gt;=$D31,R$5&lt;=$E31),3,"")</f>
        <v/>
      </c>
      <c r="S31" s="34">
        <f>IF(AND(S$5&gt;=$D31,S$5&lt;=$E31),3,"")</f>
        <v/>
      </c>
      <c r="T31" s="34">
        <f>IF(AND(T$5&gt;=$D31,T$5&lt;=$E31),3,"")</f>
        <v/>
      </c>
      <c r="U31" s="34">
        <f>IF(AND(U$5&gt;=$D31,U$5&lt;=$E31),3,"")</f>
        <v/>
      </c>
      <c r="V31" s="34">
        <f>IF(AND(V$5&gt;=$D31,V$5&lt;=$E31),3,"")</f>
        <v/>
      </c>
      <c r="W31" s="34">
        <f>IF(AND(W$5&gt;=$D31,W$5&lt;=$E31),3,"")</f>
        <v/>
      </c>
      <c r="X31" s="34">
        <f>IF(AND(X$5&gt;=$D31,X$5&lt;=$E31),3,"")</f>
        <v/>
      </c>
      <c r="Y31" s="34">
        <f>IF(AND(Y$5&gt;=$D31,Y$5&lt;=$E31),3,"")</f>
        <v/>
      </c>
      <c r="Z31" s="34">
        <f>IF(AND(Z$5&gt;=$D31,Z$5&lt;=$E31),3,"")</f>
        <v/>
      </c>
      <c r="AA31" s="34">
        <f>IF(AND(AA$5&gt;=$D31,AA$5&lt;=$E31),3,"")</f>
        <v/>
      </c>
      <c r="AB31" s="34">
        <f>IF(AND(AB$5&gt;=$D31,AB$5&lt;=$E31),3,"")</f>
        <v/>
      </c>
      <c r="AC31" s="34">
        <f>IF(AND(AC$5&gt;=$D31,AC$5&lt;=$E31),3,"")</f>
        <v/>
      </c>
      <c r="AD31" s="34">
        <f>IF(AND(AD$5&gt;=$D31,AD$5&lt;=$E31),3,"")</f>
        <v/>
      </c>
      <c r="AE31" s="34">
        <f>IF(AND(AE$5&gt;=$D31,AE$5&lt;=$E31),3,"")</f>
        <v/>
      </c>
      <c r="AF31" s="34">
        <f>IF(AND(AF$5&gt;=$D31,AF$5&lt;=$E31),3,"")</f>
        <v/>
      </c>
      <c r="AG31" s="34">
        <f>IF(AND(AG$5&gt;=$D31,AG$5&lt;=$E31),3,"")</f>
        <v/>
      </c>
      <c r="AH31" s="34">
        <f>IF(AND(AH$5&gt;=$D31,AH$5&lt;=$E31),3,"")</f>
        <v/>
      </c>
      <c r="AI31" s="34">
        <f>IF(AND(AI$5&gt;=$D31,AI$5&lt;=$E31),3,"")</f>
        <v/>
      </c>
      <c r="AJ31" s="34">
        <f>IF(AND(AJ$5&gt;=$D31,AJ$5&lt;=$E31),3,"")</f>
        <v/>
      </c>
      <c r="AK31" s="34">
        <f>IF(AND(AK$5&gt;=$D31,AK$5&lt;=$E31),3,"")</f>
        <v/>
      </c>
      <c r="AL31" s="34">
        <f>IF(AND(AL$5&gt;=$D31,AL$5&lt;=$E31),3,"")</f>
        <v/>
      </c>
      <c r="AM31" s="34">
        <f>IF(AND(AM$5&gt;=$D31,AM$5&lt;=$E31),3,"")</f>
        <v/>
      </c>
      <c r="AN31" s="34">
        <f>IF(AND(AN$5&gt;=$D31,AN$5&lt;=$E31),3,"")</f>
        <v/>
      </c>
      <c r="AO31" s="34">
        <f>IF(AND(AO$5&gt;=$D31,AO$5&lt;=$E31),3,"")</f>
        <v/>
      </c>
      <c r="AP31" s="34">
        <f>IF(AND(AP$5&gt;=$D31,AP$5&lt;=$E31),3,"")</f>
        <v/>
      </c>
      <c r="AQ31" s="34">
        <f>IF(AND(AQ$5&gt;=$D31,AQ$5&lt;=$E31),3,"")</f>
        <v/>
      </c>
      <c r="AR31" s="34">
        <f>IF(AND(AR$5&gt;=$D31,AR$5&lt;=$E31),3,"")</f>
        <v/>
      </c>
      <c r="AS31" s="34">
        <f>IF(AND(AS$5&gt;=$D31,AS$5&lt;=$E31),3,"")</f>
        <v/>
      </c>
      <c r="AT31" s="34">
        <f>IF(AND(AT$5&gt;=$D31,AT$5&lt;=$E31),3,"")</f>
        <v/>
      </c>
      <c r="AU31" s="34">
        <f>IF(AND(AU$5&gt;=$D31,AU$5&lt;=$E31),3,"")</f>
        <v/>
      </c>
      <c r="AV31" s="34">
        <f>IF(AND(AV$5&gt;=$D31,AV$5&lt;=$E31),3,"")</f>
        <v/>
      </c>
      <c r="AW31" s="34">
        <f>IF(AND(AW$5&gt;=$D31,AW$5&lt;=$E31),3,"")</f>
        <v/>
      </c>
      <c r="AX31" s="34">
        <f>IF(AND(AX$5&gt;=$D31,AX$5&lt;=$E31),3,"")</f>
        <v/>
      </c>
      <c r="AY31" s="34">
        <f>IF(AND(AY$5&gt;=$D31,AY$5&lt;=$E31),3,"")</f>
        <v/>
      </c>
      <c r="AZ31" s="34">
        <f>IF(AND(AZ$5&gt;=$D31,AZ$5&lt;=$E31),3,"")</f>
        <v/>
      </c>
      <c r="BA31" s="34">
        <f>IF(AND(BA$5&gt;=$D31,BA$5&lt;=$E31),3,"")</f>
        <v/>
      </c>
      <c r="BB31" s="34">
        <f>IF(AND(BB$5&gt;=$D31,BB$5&lt;=$E31),3,"")</f>
        <v/>
      </c>
      <c r="BC31" s="34">
        <f>IF(AND(BC$5&gt;=$D31,BC$5&lt;=$E31),3,"")</f>
        <v/>
      </c>
      <c r="BD31" s="34">
        <f>IF(AND(BD$5&gt;=$D31,BD$5&lt;=$E31),3,"")</f>
        <v/>
      </c>
      <c r="BE31" s="34">
        <f>IF(AND(BE$5&gt;=$D31,BE$5&lt;=$E31),3,"")</f>
        <v/>
      </c>
      <c r="BF31" s="34">
        <f>IF(AND(BF$5&gt;=$D31,BF$5&lt;=$E31),3,"")</f>
        <v/>
      </c>
      <c r="BG31" s="34">
        <f>IF(AND(BG$5&gt;=$D31,BG$5&lt;=$E31),3,"")</f>
        <v/>
      </c>
      <c r="BH31" s="34">
        <f>IF(AND(BH$5&gt;=$D31,BH$5&lt;=$E31),3,"")</f>
        <v/>
      </c>
      <c r="BI31" s="34">
        <f>IF(AND(BI$5&gt;=$D31,BI$5&lt;=$E31),3,"")</f>
        <v/>
      </c>
      <c r="BJ31" s="34">
        <f>IF(AND(BJ$5&gt;=$D31,BJ$5&lt;=$E31),3,"")</f>
        <v/>
      </c>
      <c r="BK31" s="34">
        <f>IF(AND(BK$5&gt;=$D31,BK$5&lt;=$E31),3,"")</f>
        <v/>
      </c>
    </row>
    <row r="32" ht="14.25" customHeight="1" s="36">
      <c r="A32" s="13" t="inlineStr">
        <is>
          <t>3 Construcción</t>
        </is>
      </c>
      <c r="B32" s="13" t="inlineStr">
        <is>
          <t>3.2</t>
        </is>
      </c>
      <c r="C32" s="13" t="inlineStr">
        <is>
          <t>Servicios de nube de la plataforma</t>
        </is>
      </c>
      <c r="D32" s="13" t="n">
        <v>4</v>
      </c>
      <c r="E32" s="13" t="n">
        <v>5</v>
      </c>
      <c r="F32" s="13">
        <f>E32-D32+1</f>
        <v/>
      </c>
      <c r="G32" s="31" t="n">
        <v>1440</v>
      </c>
      <c r="H32" s="34">
        <f>IF(AND(H$5&gt;=$D32,H$5&lt;=$E32),3,"")</f>
        <v/>
      </c>
      <c r="I32" s="34">
        <f>IF(AND(I$5&gt;=$D32,I$5&lt;=$E32),3,"")</f>
        <v/>
      </c>
      <c r="J32" s="34">
        <f>IF(AND(J$5&gt;=$D32,J$5&lt;=$E32),3,"")</f>
        <v/>
      </c>
      <c r="K32" s="34">
        <f>IF(AND(K$5&gt;=$D32,K$5&lt;=$E32),3,"")</f>
        <v/>
      </c>
      <c r="L32" s="34">
        <f>IF(AND(L$5&gt;=$D32,L$5&lt;=$E32),3,"")</f>
        <v/>
      </c>
      <c r="M32" s="34">
        <f>IF(AND(M$5&gt;=$D32,M$5&lt;=$E32),3,"")</f>
        <v/>
      </c>
      <c r="N32" s="34">
        <f>IF(AND(N$5&gt;=$D32,N$5&lt;=$E32),3,"")</f>
        <v/>
      </c>
      <c r="O32" s="34">
        <f>IF(AND(O$5&gt;=$D32,O$5&lt;=$E32),3,"")</f>
        <v/>
      </c>
      <c r="P32" s="34">
        <f>IF(AND(P$5&gt;=$D32,P$5&lt;=$E32),3,"")</f>
        <v/>
      </c>
      <c r="Q32" s="34">
        <f>IF(AND(Q$5&gt;=$D32,Q$5&lt;=$E32),3,"")</f>
        <v/>
      </c>
      <c r="R32" s="34">
        <f>IF(AND(R$5&gt;=$D32,R$5&lt;=$E32),3,"")</f>
        <v/>
      </c>
      <c r="S32" s="34">
        <f>IF(AND(S$5&gt;=$D32,S$5&lt;=$E32),3,"")</f>
        <v/>
      </c>
      <c r="T32" s="34">
        <f>IF(AND(T$5&gt;=$D32,T$5&lt;=$E32),3,"")</f>
        <v/>
      </c>
      <c r="U32" s="34">
        <f>IF(AND(U$5&gt;=$D32,U$5&lt;=$E32),3,"")</f>
        <v/>
      </c>
      <c r="V32" s="34">
        <f>IF(AND(V$5&gt;=$D32,V$5&lt;=$E32),3,"")</f>
        <v/>
      </c>
      <c r="W32" s="34">
        <f>IF(AND(W$5&gt;=$D32,W$5&lt;=$E32),3,"")</f>
        <v/>
      </c>
      <c r="X32" s="34">
        <f>IF(AND(X$5&gt;=$D32,X$5&lt;=$E32),3,"")</f>
        <v/>
      </c>
      <c r="Y32" s="34">
        <f>IF(AND(Y$5&gt;=$D32,Y$5&lt;=$E32),3,"")</f>
        <v/>
      </c>
      <c r="Z32" s="34">
        <f>IF(AND(Z$5&gt;=$D32,Z$5&lt;=$E32),3,"")</f>
        <v/>
      </c>
      <c r="AA32" s="34">
        <f>IF(AND(AA$5&gt;=$D32,AA$5&lt;=$E32),3,"")</f>
        <v/>
      </c>
      <c r="AB32" s="34">
        <f>IF(AND(AB$5&gt;=$D32,AB$5&lt;=$E32),3,"")</f>
        <v/>
      </c>
      <c r="AC32" s="34">
        <f>IF(AND(AC$5&gt;=$D32,AC$5&lt;=$E32),3,"")</f>
        <v/>
      </c>
      <c r="AD32" s="34">
        <f>IF(AND(AD$5&gt;=$D32,AD$5&lt;=$E32),3,"")</f>
        <v/>
      </c>
      <c r="AE32" s="34">
        <f>IF(AND(AE$5&gt;=$D32,AE$5&lt;=$E32),3,"")</f>
        <v/>
      </c>
      <c r="AF32" s="34">
        <f>IF(AND(AF$5&gt;=$D32,AF$5&lt;=$E32),3,"")</f>
        <v/>
      </c>
      <c r="AG32" s="34">
        <f>IF(AND(AG$5&gt;=$D32,AG$5&lt;=$E32),3,"")</f>
        <v/>
      </c>
      <c r="AH32" s="34">
        <f>IF(AND(AH$5&gt;=$D32,AH$5&lt;=$E32),3,"")</f>
        <v/>
      </c>
      <c r="AI32" s="34">
        <f>IF(AND(AI$5&gt;=$D32,AI$5&lt;=$E32),3,"")</f>
        <v/>
      </c>
      <c r="AJ32" s="34">
        <f>IF(AND(AJ$5&gt;=$D32,AJ$5&lt;=$E32),3,"")</f>
        <v/>
      </c>
      <c r="AK32" s="34">
        <f>IF(AND(AK$5&gt;=$D32,AK$5&lt;=$E32),3,"")</f>
        <v/>
      </c>
      <c r="AL32" s="34">
        <f>IF(AND(AL$5&gt;=$D32,AL$5&lt;=$E32),3,"")</f>
        <v/>
      </c>
      <c r="AM32" s="34">
        <f>IF(AND(AM$5&gt;=$D32,AM$5&lt;=$E32),3,"")</f>
        <v/>
      </c>
      <c r="AN32" s="34">
        <f>IF(AND(AN$5&gt;=$D32,AN$5&lt;=$E32),3,"")</f>
        <v/>
      </c>
      <c r="AO32" s="34">
        <f>IF(AND(AO$5&gt;=$D32,AO$5&lt;=$E32),3,"")</f>
        <v/>
      </c>
      <c r="AP32" s="34">
        <f>IF(AND(AP$5&gt;=$D32,AP$5&lt;=$E32),3,"")</f>
        <v/>
      </c>
      <c r="AQ32" s="34">
        <f>IF(AND(AQ$5&gt;=$D32,AQ$5&lt;=$E32),3,"")</f>
        <v/>
      </c>
      <c r="AR32" s="34">
        <f>IF(AND(AR$5&gt;=$D32,AR$5&lt;=$E32),3,"")</f>
        <v/>
      </c>
      <c r="AS32" s="34">
        <f>IF(AND(AS$5&gt;=$D32,AS$5&lt;=$E32),3,"")</f>
        <v/>
      </c>
      <c r="AT32" s="34">
        <f>IF(AND(AT$5&gt;=$D32,AT$5&lt;=$E32),3,"")</f>
        <v/>
      </c>
      <c r="AU32" s="34">
        <f>IF(AND(AU$5&gt;=$D32,AU$5&lt;=$E32),3,"")</f>
        <v/>
      </c>
      <c r="AV32" s="34">
        <f>IF(AND(AV$5&gt;=$D32,AV$5&lt;=$E32),3,"")</f>
        <v/>
      </c>
      <c r="AW32" s="34">
        <f>IF(AND(AW$5&gt;=$D32,AW$5&lt;=$E32),3,"")</f>
        <v/>
      </c>
      <c r="AX32" s="34">
        <f>IF(AND(AX$5&gt;=$D32,AX$5&lt;=$E32),3,"")</f>
        <v/>
      </c>
      <c r="AY32" s="34">
        <f>IF(AND(AY$5&gt;=$D32,AY$5&lt;=$E32),3,"")</f>
        <v/>
      </c>
      <c r="AZ32" s="34">
        <f>IF(AND(AZ$5&gt;=$D32,AZ$5&lt;=$E32),3,"")</f>
        <v/>
      </c>
      <c r="BA32" s="34">
        <f>IF(AND(BA$5&gt;=$D32,BA$5&lt;=$E32),3,"")</f>
        <v/>
      </c>
      <c r="BB32" s="34">
        <f>IF(AND(BB$5&gt;=$D32,BB$5&lt;=$E32),3,"")</f>
        <v/>
      </c>
      <c r="BC32" s="34">
        <f>IF(AND(BC$5&gt;=$D32,BC$5&lt;=$E32),3,"")</f>
        <v/>
      </c>
      <c r="BD32" s="34">
        <f>IF(AND(BD$5&gt;=$D32,BD$5&lt;=$E32),3,"")</f>
        <v/>
      </c>
      <c r="BE32" s="34">
        <f>IF(AND(BE$5&gt;=$D32,BE$5&lt;=$E32),3,"")</f>
        <v/>
      </c>
      <c r="BF32" s="34">
        <f>IF(AND(BF$5&gt;=$D32,BF$5&lt;=$E32),3,"")</f>
        <v/>
      </c>
      <c r="BG32" s="34">
        <f>IF(AND(BG$5&gt;=$D32,BG$5&lt;=$E32),3,"")</f>
        <v/>
      </c>
      <c r="BH32" s="34">
        <f>IF(AND(BH$5&gt;=$D32,BH$5&lt;=$E32),3,"")</f>
        <v/>
      </c>
      <c r="BI32" s="34">
        <f>IF(AND(BI$5&gt;=$D32,BI$5&lt;=$E32),3,"")</f>
        <v/>
      </c>
      <c r="BJ32" s="34">
        <f>IF(AND(BJ$5&gt;=$D32,BJ$5&lt;=$E32),3,"")</f>
        <v/>
      </c>
      <c r="BK32" s="34">
        <f>IF(AND(BK$5&gt;=$D32,BK$5&lt;=$E32),3,"")</f>
        <v/>
      </c>
    </row>
    <row r="33" ht="14.25" customHeight="1" s="36">
      <c r="A33" s="13" t="inlineStr">
        <is>
          <t>3 Construcción</t>
        </is>
      </c>
      <c r="B33" s="13" t="inlineStr">
        <is>
          <t>3.3</t>
        </is>
      </c>
      <c r="C33" s="13" t="inlineStr">
        <is>
          <t>Base compartida</t>
        </is>
      </c>
      <c r="D33" s="13" t="n">
        <v>5</v>
      </c>
      <c r="E33" s="13" t="n">
        <v>7</v>
      </c>
      <c r="F33" s="13">
        <f>E33-D33+1</f>
        <v/>
      </c>
      <c r="G33" s="31" t="n">
        <v>2880</v>
      </c>
      <c r="H33" s="34">
        <f>IF(AND(H$5&gt;=$D33,H$5&lt;=$E33),3,"")</f>
        <v/>
      </c>
      <c r="I33" s="34">
        <f>IF(AND(I$5&gt;=$D33,I$5&lt;=$E33),3,"")</f>
        <v/>
      </c>
      <c r="J33" s="34">
        <f>IF(AND(J$5&gt;=$D33,J$5&lt;=$E33),3,"")</f>
        <v/>
      </c>
      <c r="K33" s="34">
        <f>IF(AND(K$5&gt;=$D33,K$5&lt;=$E33),3,"")</f>
        <v/>
      </c>
      <c r="L33" s="34">
        <f>IF(AND(L$5&gt;=$D33,L$5&lt;=$E33),3,"")</f>
        <v/>
      </c>
      <c r="M33" s="34">
        <f>IF(AND(M$5&gt;=$D33,M$5&lt;=$E33),3,"")</f>
        <v/>
      </c>
      <c r="N33" s="34">
        <f>IF(AND(N$5&gt;=$D33,N$5&lt;=$E33),3,"")</f>
        <v/>
      </c>
      <c r="O33" s="34">
        <f>IF(AND(O$5&gt;=$D33,O$5&lt;=$E33),3,"")</f>
        <v/>
      </c>
      <c r="P33" s="34">
        <f>IF(AND(P$5&gt;=$D33,P$5&lt;=$E33),3,"")</f>
        <v/>
      </c>
      <c r="Q33" s="34">
        <f>IF(AND(Q$5&gt;=$D33,Q$5&lt;=$E33),3,"")</f>
        <v/>
      </c>
      <c r="R33" s="34">
        <f>IF(AND(R$5&gt;=$D33,R$5&lt;=$E33),3,"")</f>
        <v/>
      </c>
      <c r="S33" s="34">
        <f>IF(AND(S$5&gt;=$D33,S$5&lt;=$E33),3,"")</f>
        <v/>
      </c>
      <c r="T33" s="34">
        <f>IF(AND(T$5&gt;=$D33,T$5&lt;=$E33),3,"")</f>
        <v/>
      </c>
      <c r="U33" s="34">
        <f>IF(AND(U$5&gt;=$D33,U$5&lt;=$E33),3,"")</f>
        <v/>
      </c>
      <c r="V33" s="34">
        <f>IF(AND(V$5&gt;=$D33,V$5&lt;=$E33),3,"")</f>
        <v/>
      </c>
      <c r="W33" s="34">
        <f>IF(AND(W$5&gt;=$D33,W$5&lt;=$E33),3,"")</f>
        <v/>
      </c>
      <c r="X33" s="34">
        <f>IF(AND(X$5&gt;=$D33,X$5&lt;=$E33),3,"")</f>
        <v/>
      </c>
      <c r="Y33" s="34">
        <f>IF(AND(Y$5&gt;=$D33,Y$5&lt;=$E33),3,"")</f>
        <v/>
      </c>
      <c r="Z33" s="34">
        <f>IF(AND(Z$5&gt;=$D33,Z$5&lt;=$E33),3,"")</f>
        <v/>
      </c>
      <c r="AA33" s="34">
        <f>IF(AND(AA$5&gt;=$D33,AA$5&lt;=$E33),3,"")</f>
        <v/>
      </c>
      <c r="AB33" s="34">
        <f>IF(AND(AB$5&gt;=$D33,AB$5&lt;=$E33),3,"")</f>
        <v/>
      </c>
      <c r="AC33" s="34">
        <f>IF(AND(AC$5&gt;=$D33,AC$5&lt;=$E33),3,"")</f>
        <v/>
      </c>
      <c r="AD33" s="34">
        <f>IF(AND(AD$5&gt;=$D33,AD$5&lt;=$E33),3,"")</f>
        <v/>
      </c>
      <c r="AE33" s="34">
        <f>IF(AND(AE$5&gt;=$D33,AE$5&lt;=$E33),3,"")</f>
        <v/>
      </c>
      <c r="AF33" s="34">
        <f>IF(AND(AF$5&gt;=$D33,AF$5&lt;=$E33),3,"")</f>
        <v/>
      </c>
      <c r="AG33" s="34">
        <f>IF(AND(AG$5&gt;=$D33,AG$5&lt;=$E33),3,"")</f>
        <v/>
      </c>
      <c r="AH33" s="34">
        <f>IF(AND(AH$5&gt;=$D33,AH$5&lt;=$E33),3,"")</f>
        <v/>
      </c>
      <c r="AI33" s="34">
        <f>IF(AND(AI$5&gt;=$D33,AI$5&lt;=$E33),3,"")</f>
        <v/>
      </c>
      <c r="AJ33" s="34">
        <f>IF(AND(AJ$5&gt;=$D33,AJ$5&lt;=$E33),3,"")</f>
        <v/>
      </c>
      <c r="AK33" s="34">
        <f>IF(AND(AK$5&gt;=$D33,AK$5&lt;=$E33),3,"")</f>
        <v/>
      </c>
      <c r="AL33" s="34">
        <f>IF(AND(AL$5&gt;=$D33,AL$5&lt;=$E33),3,"")</f>
        <v/>
      </c>
      <c r="AM33" s="34">
        <f>IF(AND(AM$5&gt;=$D33,AM$5&lt;=$E33),3,"")</f>
        <v/>
      </c>
      <c r="AN33" s="34">
        <f>IF(AND(AN$5&gt;=$D33,AN$5&lt;=$E33),3,"")</f>
        <v/>
      </c>
      <c r="AO33" s="34">
        <f>IF(AND(AO$5&gt;=$D33,AO$5&lt;=$E33),3,"")</f>
        <v/>
      </c>
      <c r="AP33" s="34">
        <f>IF(AND(AP$5&gt;=$D33,AP$5&lt;=$E33),3,"")</f>
        <v/>
      </c>
      <c r="AQ33" s="34">
        <f>IF(AND(AQ$5&gt;=$D33,AQ$5&lt;=$E33),3,"")</f>
        <v/>
      </c>
      <c r="AR33" s="34">
        <f>IF(AND(AR$5&gt;=$D33,AR$5&lt;=$E33),3,"")</f>
        <v/>
      </c>
      <c r="AS33" s="34">
        <f>IF(AND(AS$5&gt;=$D33,AS$5&lt;=$E33),3,"")</f>
        <v/>
      </c>
      <c r="AT33" s="34">
        <f>IF(AND(AT$5&gt;=$D33,AT$5&lt;=$E33),3,"")</f>
        <v/>
      </c>
      <c r="AU33" s="34">
        <f>IF(AND(AU$5&gt;=$D33,AU$5&lt;=$E33),3,"")</f>
        <v/>
      </c>
      <c r="AV33" s="34">
        <f>IF(AND(AV$5&gt;=$D33,AV$5&lt;=$E33),3,"")</f>
        <v/>
      </c>
      <c r="AW33" s="34">
        <f>IF(AND(AW$5&gt;=$D33,AW$5&lt;=$E33),3,"")</f>
        <v/>
      </c>
      <c r="AX33" s="34">
        <f>IF(AND(AX$5&gt;=$D33,AX$5&lt;=$E33),3,"")</f>
        <v/>
      </c>
      <c r="AY33" s="34">
        <f>IF(AND(AY$5&gt;=$D33,AY$5&lt;=$E33),3,"")</f>
        <v/>
      </c>
      <c r="AZ33" s="34">
        <f>IF(AND(AZ$5&gt;=$D33,AZ$5&lt;=$E33),3,"")</f>
        <v/>
      </c>
      <c r="BA33" s="34">
        <f>IF(AND(BA$5&gt;=$D33,BA$5&lt;=$E33),3,"")</f>
        <v/>
      </c>
      <c r="BB33" s="34">
        <f>IF(AND(BB$5&gt;=$D33,BB$5&lt;=$E33),3,"")</f>
        <v/>
      </c>
      <c r="BC33" s="34">
        <f>IF(AND(BC$5&gt;=$D33,BC$5&lt;=$E33),3,"")</f>
        <v/>
      </c>
      <c r="BD33" s="34">
        <f>IF(AND(BD$5&gt;=$D33,BD$5&lt;=$E33),3,"")</f>
        <v/>
      </c>
      <c r="BE33" s="34">
        <f>IF(AND(BE$5&gt;=$D33,BE$5&lt;=$E33),3,"")</f>
        <v/>
      </c>
      <c r="BF33" s="34">
        <f>IF(AND(BF$5&gt;=$D33,BF$5&lt;=$E33),3,"")</f>
        <v/>
      </c>
      <c r="BG33" s="34">
        <f>IF(AND(BG$5&gt;=$D33,BG$5&lt;=$E33),3,"")</f>
        <v/>
      </c>
      <c r="BH33" s="34">
        <f>IF(AND(BH$5&gt;=$D33,BH$5&lt;=$E33),3,"")</f>
        <v/>
      </c>
      <c r="BI33" s="34">
        <f>IF(AND(BI$5&gt;=$D33,BI$5&lt;=$E33),3,"")</f>
        <v/>
      </c>
      <c r="BJ33" s="34">
        <f>IF(AND(BJ$5&gt;=$D33,BJ$5&lt;=$E33),3,"")</f>
        <v/>
      </c>
      <c r="BK33" s="34">
        <f>IF(AND(BK$5&gt;=$D33,BK$5&lt;=$E33),3,"")</f>
        <v/>
      </c>
    </row>
    <row r="34" ht="14.25" customHeight="1" s="36">
      <c r="A34" s="13" t="inlineStr">
        <is>
          <t>3 Construcción</t>
        </is>
      </c>
      <c r="B34" s="13" t="inlineStr">
        <is>
          <t>3.4</t>
        </is>
      </c>
      <c r="C34" s="13" t="inlineStr">
        <is>
          <t>Módulos de la Etapa 1</t>
        </is>
      </c>
      <c r="D34" s="13" t="n">
        <v>5</v>
      </c>
      <c r="E34" s="13" t="n">
        <v>8</v>
      </c>
      <c r="F34" s="13">
        <f>E34-D34+1</f>
        <v/>
      </c>
      <c r="G34" s="31" t="n">
        <v>10560</v>
      </c>
      <c r="H34" s="34">
        <f>IF(AND(H$5&gt;=$D34,H$5&lt;=$E34),3,"")</f>
        <v/>
      </c>
      <c r="I34" s="34">
        <f>IF(AND(I$5&gt;=$D34,I$5&lt;=$E34),3,"")</f>
        <v/>
      </c>
      <c r="J34" s="34">
        <f>IF(AND(J$5&gt;=$D34,J$5&lt;=$E34),3,"")</f>
        <v/>
      </c>
      <c r="K34" s="34">
        <f>IF(AND(K$5&gt;=$D34,K$5&lt;=$E34),3,"")</f>
        <v/>
      </c>
      <c r="L34" s="34">
        <f>IF(AND(L$5&gt;=$D34,L$5&lt;=$E34),3,"")</f>
        <v/>
      </c>
      <c r="M34" s="34">
        <f>IF(AND(M$5&gt;=$D34,M$5&lt;=$E34),3,"")</f>
        <v/>
      </c>
      <c r="N34" s="34">
        <f>IF(AND(N$5&gt;=$D34,N$5&lt;=$E34),3,"")</f>
        <v/>
      </c>
      <c r="O34" s="34">
        <f>IF(AND(O$5&gt;=$D34,O$5&lt;=$E34),3,"")</f>
        <v/>
      </c>
      <c r="P34" s="34">
        <f>IF(AND(P$5&gt;=$D34,P$5&lt;=$E34),3,"")</f>
        <v/>
      </c>
      <c r="Q34" s="34">
        <f>IF(AND(Q$5&gt;=$D34,Q$5&lt;=$E34),3,"")</f>
        <v/>
      </c>
      <c r="R34" s="34">
        <f>IF(AND(R$5&gt;=$D34,R$5&lt;=$E34),3,"")</f>
        <v/>
      </c>
      <c r="S34" s="34">
        <f>IF(AND(S$5&gt;=$D34,S$5&lt;=$E34),3,"")</f>
        <v/>
      </c>
      <c r="T34" s="34">
        <f>IF(AND(T$5&gt;=$D34,T$5&lt;=$E34),3,"")</f>
        <v/>
      </c>
      <c r="U34" s="34">
        <f>IF(AND(U$5&gt;=$D34,U$5&lt;=$E34),3,"")</f>
        <v/>
      </c>
      <c r="V34" s="34">
        <f>IF(AND(V$5&gt;=$D34,V$5&lt;=$E34),3,"")</f>
        <v/>
      </c>
      <c r="W34" s="34">
        <f>IF(AND(W$5&gt;=$D34,W$5&lt;=$E34),3,"")</f>
        <v/>
      </c>
      <c r="X34" s="34">
        <f>IF(AND(X$5&gt;=$D34,X$5&lt;=$E34),3,"")</f>
        <v/>
      </c>
      <c r="Y34" s="34">
        <f>IF(AND(Y$5&gt;=$D34,Y$5&lt;=$E34),3,"")</f>
        <v/>
      </c>
      <c r="Z34" s="34">
        <f>IF(AND(Z$5&gt;=$D34,Z$5&lt;=$E34),3,"")</f>
        <v/>
      </c>
      <c r="AA34" s="34">
        <f>IF(AND(AA$5&gt;=$D34,AA$5&lt;=$E34),3,"")</f>
        <v/>
      </c>
      <c r="AB34" s="34">
        <f>IF(AND(AB$5&gt;=$D34,AB$5&lt;=$E34),3,"")</f>
        <v/>
      </c>
      <c r="AC34" s="34">
        <f>IF(AND(AC$5&gt;=$D34,AC$5&lt;=$E34),3,"")</f>
        <v/>
      </c>
      <c r="AD34" s="34">
        <f>IF(AND(AD$5&gt;=$D34,AD$5&lt;=$E34),3,"")</f>
        <v/>
      </c>
      <c r="AE34" s="34">
        <f>IF(AND(AE$5&gt;=$D34,AE$5&lt;=$E34),3,"")</f>
        <v/>
      </c>
      <c r="AF34" s="34">
        <f>IF(AND(AF$5&gt;=$D34,AF$5&lt;=$E34),3,"")</f>
        <v/>
      </c>
      <c r="AG34" s="34">
        <f>IF(AND(AG$5&gt;=$D34,AG$5&lt;=$E34),3,"")</f>
        <v/>
      </c>
      <c r="AH34" s="34">
        <f>IF(AND(AH$5&gt;=$D34,AH$5&lt;=$E34),3,"")</f>
        <v/>
      </c>
      <c r="AI34" s="34">
        <f>IF(AND(AI$5&gt;=$D34,AI$5&lt;=$E34),3,"")</f>
        <v/>
      </c>
      <c r="AJ34" s="34">
        <f>IF(AND(AJ$5&gt;=$D34,AJ$5&lt;=$E34),3,"")</f>
        <v/>
      </c>
      <c r="AK34" s="34">
        <f>IF(AND(AK$5&gt;=$D34,AK$5&lt;=$E34),3,"")</f>
        <v/>
      </c>
      <c r="AL34" s="34">
        <f>IF(AND(AL$5&gt;=$D34,AL$5&lt;=$E34),3,"")</f>
        <v/>
      </c>
      <c r="AM34" s="34">
        <f>IF(AND(AM$5&gt;=$D34,AM$5&lt;=$E34),3,"")</f>
        <v/>
      </c>
      <c r="AN34" s="34">
        <f>IF(AND(AN$5&gt;=$D34,AN$5&lt;=$E34),3,"")</f>
        <v/>
      </c>
      <c r="AO34" s="34">
        <f>IF(AND(AO$5&gt;=$D34,AO$5&lt;=$E34),3,"")</f>
        <v/>
      </c>
      <c r="AP34" s="34">
        <f>IF(AND(AP$5&gt;=$D34,AP$5&lt;=$E34),3,"")</f>
        <v/>
      </c>
      <c r="AQ34" s="34">
        <f>IF(AND(AQ$5&gt;=$D34,AQ$5&lt;=$E34),3,"")</f>
        <v/>
      </c>
      <c r="AR34" s="34">
        <f>IF(AND(AR$5&gt;=$D34,AR$5&lt;=$E34),3,"")</f>
        <v/>
      </c>
      <c r="AS34" s="34">
        <f>IF(AND(AS$5&gt;=$D34,AS$5&lt;=$E34),3,"")</f>
        <v/>
      </c>
      <c r="AT34" s="34">
        <f>IF(AND(AT$5&gt;=$D34,AT$5&lt;=$E34),3,"")</f>
        <v/>
      </c>
      <c r="AU34" s="34">
        <f>IF(AND(AU$5&gt;=$D34,AU$5&lt;=$E34),3,"")</f>
        <v/>
      </c>
      <c r="AV34" s="34">
        <f>IF(AND(AV$5&gt;=$D34,AV$5&lt;=$E34),3,"")</f>
        <v/>
      </c>
      <c r="AW34" s="34">
        <f>IF(AND(AW$5&gt;=$D34,AW$5&lt;=$E34),3,"")</f>
        <v/>
      </c>
      <c r="AX34" s="34">
        <f>IF(AND(AX$5&gt;=$D34,AX$5&lt;=$E34),3,"")</f>
        <v/>
      </c>
      <c r="AY34" s="34">
        <f>IF(AND(AY$5&gt;=$D34,AY$5&lt;=$E34),3,"")</f>
        <v/>
      </c>
      <c r="AZ34" s="34">
        <f>IF(AND(AZ$5&gt;=$D34,AZ$5&lt;=$E34),3,"")</f>
        <v/>
      </c>
      <c r="BA34" s="34">
        <f>IF(AND(BA$5&gt;=$D34,BA$5&lt;=$E34),3,"")</f>
        <v/>
      </c>
      <c r="BB34" s="34">
        <f>IF(AND(BB$5&gt;=$D34,BB$5&lt;=$E34),3,"")</f>
        <v/>
      </c>
      <c r="BC34" s="34">
        <f>IF(AND(BC$5&gt;=$D34,BC$5&lt;=$E34),3,"")</f>
        <v/>
      </c>
      <c r="BD34" s="34">
        <f>IF(AND(BD$5&gt;=$D34,BD$5&lt;=$E34),3,"")</f>
        <v/>
      </c>
      <c r="BE34" s="34">
        <f>IF(AND(BE$5&gt;=$D34,BE$5&lt;=$E34),3,"")</f>
        <v/>
      </c>
      <c r="BF34" s="34">
        <f>IF(AND(BF$5&gt;=$D34,BF$5&lt;=$E34),3,"")</f>
        <v/>
      </c>
      <c r="BG34" s="34">
        <f>IF(AND(BG$5&gt;=$D34,BG$5&lt;=$E34),3,"")</f>
        <v/>
      </c>
      <c r="BH34" s="34">
        <f>IF(AND(BH$5&gt;=$D34,BH$5&lt;=$E34),3,"")</f>
        <v/>
      </c>
      <c r="BI34" s="34">
        <f>IF(AND(BI$5&gt;=$D34,BI$5&lt;=$E34),3,"")</f>
        <v/>
      </c>
      <c r="BJ34" s="34">
        <f>IF(AND(BJ$5&gt;=$D34,BJ$5&lt;=$E34),3,"")</f>
        <v/>
      </c>
      <c r="BK34" s="34">
        <f>IF(AND(BK$5&gt;=$D34,BK$5&lt;=$E34),3,"")</f>
        <v/>
      </c>
    </row>
    <row r="35" ht="14.25" customHeight="1" s="36">
      <c r="A35" s="13" t="inlineStr">
        <is>
          <t>3 Construcción</t>
        </is>
      </c>
      <c r="B35" s="13" t="inlineStr">
        <is>
          <t>3.5</t>
        </is>
      </c>
      <c r="C35" s="13" t="inlineStr">
        <is>
          <t>Módulos de la Etapa 2</t>
        </is>
      </c>
      <c r="D35" s="13" t="n">
        <v>15</v>
      </c>
      <c r="E35" s="13" t="n">
        <v>15</v>
      </c>
      <c r="F35" s="13">
        <f>E35-D35+1</f>
        <v/>
      </c>
      <c r="G35" s="31" t="n">
        <v>3840</v>
      </c>
      <c r="H35" s="34">
        <f>IF(AND(H$5&gt;=$D35,H$5&lt;=$E35),3,"")</f>
        <v/>
      </c>
      <c r="I35" s="34">
        <f>IF(AND(I$5&gt;=$D35,I$5&lt;=$E35),3,"")</f>
        <v/>
      </c>
      <c r="J35" s="34">
        <f>IF(AND(J$5&gt;=$D35,J$5&lt;=$E35),3,"")</f>
        <v/>
      </c>
      <c r="K35" s="34">
        <f>IF(AND(K$5&gt;=$D35,K$5&lt;=$E35),3,"")</f>
        <v/>
      </c>
      <c r="L35" s="34">
        <f>IF(AND(L$5&gt;=$D35,L$5&lt;=$E35),3,"")</f>
        <v/>
      </c>
      <c r="M35" s="34">
        <f>IF(AND(M$5&gt;=$D35,M$5&lt;=$E35),3,"")</f>
        <v/>
      </c>
      <c r="N35" s="34">
        <f>IF(AND(N$5&gt;=$D35,N$5&lt;=$E35),3,"")</f>
        <v/>
      </c>
      <c r="O35" s="34">
        <f>IF(AND(O$5&gt;=$D35,O$5&lt;=$E35),3,"")</f>
        <v/>
      </c>
      <c r="P35" s="34">
        <f>IF(AND(P$5&gt;=$D35,P$5&lt;=$E35),3,"")</f>
        <v/>
      </c>
      <c r="Q35" s="34">
        <f>IF(AND(Q$5&gt;=$D35,Q$5&lt;=$E35),3,"")</f>
        <v/>
      </c>
      <c r="R35" s="34">
        <f>IF(AND(R$5&gt;=$D35,R$5&lt;=$E35),3,"")</f>
        <v/>
      </c>
      <c r="S35" s="34">
        <f>IF(AND(S$5&gt;=$D35,S$5&lt;=$E35),3,"")</f>
        <v/>
      </c>
      <c r="T35" s="34">
        <f>IF(AND(T$5&gt;=$D35,T$5&lt;=$E35),3,"")</f>
        <v/>
      </c>
      <c r="U35" s="34">
        <f>IF(AND(U$5&gt;=$D35,U$5&lt;=$E35),3,"")</f>
        <v/>
      </c>
      <c r="V35" s="34">
        <f>IF(AND(V$5&gt;=$D35,V$5&lt;=$E35),3,"")</f>
        <v/>
      </c>
      <c r="W35" s="34">
        <f>IF(AND(W$5&gt;=$D35,W$5&lt;=$E35),3,"")</f>
        <v/>
      </c>
      <c r="X35" s="34">
        <f>IF(AND(X$5&gt;=$D35,X$5&lt;=$E35),3,"")</f>
        <v/>
      </c>
      <c r="Y35" s="34">
        <f>IF(AND(Y$5&gt;=$D35,Y$5&lt;=$E35),3,"")</f>
        <v/>
      </c>
      <c r="Z35" s="34">
        <f>IF(AND(Z$5&gt;=$D35,Z$5&lt;=$E35),3,"")</f>
        <v/>
      </c>
      <c r="AA35" s="34">
        <f>IF(AND(AA$5&gt;=$D35,AA$5&lt;=$E35),3,"")</f>
        <v/>
      </c>
      <c r="AB35" s="34">
        <f>IF(AND(AB$5&gt;=$D35,AB$5&lt;=$E35),3,"")</f>
        <v/>
      </c>
      <c r="AC35" s="34">
        <f>IF(AND(AC$5&gt;=$D35,AC$5&lt;=$E35),3,"")</f>
        <v/>
      </c>
      <c r="AD35" s="34">
        <f>IF(AND(AD$5&gt;=$D35,AD$5&lt;=$E35),3,"")</f>
        <v/>
      </c>
      <c r="AE35" s="34">
        <f>IF(AND(AE$5&gt;=$D35,AE$5&lt;=$E35),3,"")</f>
        <v/>
      </c>
      <c r="AF35" s="34">
        <f>IF(AND(AF$5&gt;=$D35,AF$5&lt;=$E35),3,"")</f>
        <v/>
      </c>
      <c r="AG35" s="34">
        <f>IF(AND(AG$5&gt;=$D35,AG$5&lt;=$E35),3,"")</f>
        <v/>
      </c>
      <c r="AH35" s="34">
        <f>IF(AND(AH$5&gt;=$D35,AH$5&lt;=$E35),3,"")</f>
        <v/>
      </c>
      <c r="AI35" s="34">
        <f>IF(AND(AI$5&gt;=$D35,AI$5&lt;=$E35),3,"")</f>
        <v/>
      </c>
      <c r="AJ35" s="34">
        <f>IF(AND(AJ$5&gt;=$D35,AJ$5&lt;=$E35),3,"")</f>
        <v/>
      </c>
      <c r="AK35" s="34">
        <f>IF(AND(AK$5&gt;=$D35,AK$5&lt;=$E35),3,"")</f>
        <v/>
      </c>
      <c r="AL35" s="34">
        <f>IF(AND(AL$5&gt;=$D35,AL$5&lt;=$E35),3,"")</f>
        <v/>
      </c>
      <c r="AM35" s="34">
        <f>IF(AND(AM$5&gt;=$D35,AM$5&lt;=$E35),3,"")</f>
        <v/>
      </c>
      <c r="AN35" s="34">
        <f>IF(AND(AN$5&gt;=$D35,AN$5&lt;=$E35),3,"")</f>
        <v/>
      </c>
      <c r="AO35" s="34">
        <f>IF(AND(AO$5&gt;=$D35,AO$5&lt;=$E35),3,"")</f>
        <v/>
      </c>
      <c r="AP35" s="34">
        <f>IF(AND(AP$5&gt;=$D35,AP$5&lt;=$E35),3,"")</f>
        <v/>
      </c>
      <c r="AQ35" s="34">
        <f>IF(AND(AQ$5&gt;=$D35,AQ$5&lt;=$E35),3,"")</f>
        <v/>
      </c>
      <c r="AR35" s="34">
        <f>IF(AND(AR$5&gt;=$D35,AR$5&lt;=$E35),3,"")</f>
        <v/>
      </c>
      <c r="AS35" s="34">
        <f>IF(AND(AS$5&gt;=$D35,AS$5&lt;=$E35),3,"")</f>
        <v/>
      </c>
      <c r="AT35" s="34">
        <f>IF(AND(AT$5&gt;=$D35,AT$5&lt;=$E35),3,"")</f>
        <v/>
      </c>
      <c r="AU35" s="34">
        <f>IF(AND(AU$5&gt;=$D35,AU$5&lt;=$E35),3,"")</f>
        <v/>
      </c>
      <c r="AV35" s="34">
        <f>IF(AND(AV$5&gt;=$D35,AV$5&lt;=$E35),3,"")</f>
        <v/>
      </c>
      <c r="AW35" s="34">
        <f>IF(AND(AW$5&gt;=$D35,AW$5&lt;=$E35),3,"")</f>
        <v/>
      </c>
      <c r="AX35" s="34">
        <f>IF(AND(AX$5&gt;=$D35,AX$5&lt;=$E35),3,"")</f>
        <v/>
      </c>
      <c r="AY35" s="34">
        <f>IF(AND(AY$5&gt;=$D35,AY$5&lt;=$E35),3,"")</f>
        <v/>
      </c>
      <c r="AZ35" s="34">
        <f>IF(AND(AZ$5&gt;=$D35,AZ$5&lt;=$E35),3,"")</f>
        <v/>
      </c>
      <c r="BA35" s="34">
        <f>IF(AND(BA$5&gt;=$D35,BA$5&lt;=$E35),3,"")</f>
        <v/>
      </c>
      <c r="BB35" s="34">
        <f>IF(AND(BB$5&gt;=$D35,BB$5&lt;=$E35),3,"")</f>
        <v/>
      </c>
      <c r="BC35" s="34">
        <f>IF(AND(BC$5&gt;=$D35,BC$5&lt;=$E35),3,"")</f>
        <v/>
      </c>
      <c r="BD35" s="34">
        <f>IF(AND(BD$5&gt;=$D35,BD$5&lt;=$E35),3,"")</f>
        <v/>
      </c>
      <c r="BE35" s="34">
        <f>IF(AND(BE$5&gt;=$D35,BE$5&lt;=$E35),3,"")</f>
        <v/>
      </c>
      <c r="BF35" s="34">
        <f>IF(AND(BF$5&gt;=$D35,BF$5&lt;=$E35),3,"")</f>
        <v/>
      </c>
      <c r="BG35" s="34">
        <f>IF(AND(BG$5&gt;=$D35,BG$5&lt;=$E35),3,"")</f>
        <v/>
      </c>
      <c r="BH35" s="34">
        <f>IF(AND(BH$5&gt;=$D35,BH$5&lt;=$E35),3,"")</f>
        <v/>
      </c>
      <c r="BI35" s="34">
        <f>IF(AND(BI$5&gt;=$D35,BI$5&lt;=$E35),3,"")</f>
        <v/>
      </c>
      <c r="BJ35" s="34">
        <f>IF(AND(BJ$5&gt;=$D35,BJ$5&lt;=$E35),3,"")</f>
        <v/>
      </c>
      <c r="BK35" s="34">
        <f>IF(AND(BK$5&gt;=$D35,BK$5&lt;=$E35),3,"")</f>
        <v/>
      </c>
    </row>
    <row r="36" ht="14.25" customHeight="1" s="36">
      <c r="A36" s="13" t="inlineStr">
        <is>
          <t>3 Construcción</t>
        </is>
      </c>
      <c r="B36" s="13" t="inlineStr">
        <is>
          <t>3.6</t>
        </is>
      </c>
      <c r="C36" s="13" t="inlineStr">
        <is>
          <t>Integraciones externas</t>
        </is>
      </c>
      <c r="D36" s="13" t="n">
        <v>6</v>
      </c>
      <c r="E36" s="13" t="n">
        <v>19</v>
      </c>
      <c r="F36" s="13">
        <f>E36-D36+1</f>
        <v/>
      </c>
      <c r="G36" s="31" t="n">
        <v>2880</v>
      </c>
      <c r="H36" s="34">
        <f>IF(AND(H$5&gt;=$D36,H$5&lt;=$E36),3,"")</f>
        <v/>
      </c>
      <c r="I36" s="34">
        <f>IF(AND(I$5&gt;=$D36,I$5&lt;=$E36),3,"")</f>
        <v/>
      </c>
      <c r="J36" s="34">
        <f>IF(AND(J$5&gt;=$D36,J$5&lt;=$E36),3,"")</f>
        <v/>
      </c>
      <c r="K36" s="34">
        <f>IF(AND(K$5&gt;=$D36,K$5&lt;=$E36),3,"")</f>
        <v/>
      </c>
      <c r="L36" s="34">
        <f>IF(AND(L$5&gt;=$D36,L$5&lt;=$E36),3,"")</f>
        <v/>
      </c>
      <c r="M36" s="34">
        <f>IF(AND(M$5&gt;=$D36,M$5&lt;=$E36),3,"")</f>
        <v/>
      </c>
      <c r="N36" s="34">
        <f>IF(AND(N$5&gt;=$D36,N$5&lt;=$E36),3,"")</f>
        <v/>
      </c>
      <c r="O36" s="34">
        <f>IF(AND(O$5&gt;=$D36,O$5&lt;=$E36),3,"")</f>
        <v/>
      </c>
      <c r="P36" s="34">
        <f>IF(AND(P$5&gt;=$D36,P$5&lt;=$E36),3,"")</f>
        <v/>
      </c>
      <c r="Q36" s="34">
        <f>IF(AND(Q$5&gt;=$D36,Q$5&lt;=$E36),3,"")</f>
        <v/>
      </c>
      <c r="R36" s="34">
        <f>IF(AND(R$5&gt;=$D36,R$5&lt;=$E36),3,"")</f>
        <v/>
      </c>
      <c r="S36" s="34">
        <f>IF(AND(S$5&gt;=$D36,S$5&lt;=$E36),3,"")</f>
        <v/>
      </c>
      <c r="T36" s="34">
        <f>IF(AND(T$5&gt;=$D36,T$5&lt;=$E36),3,"")</f>
        <v/>
      </c>
      <c r="U36" s="34">
        <f>IF(AND(U$5&gt;=$D36,U$5&lt;=$E36),3,"")</f>
        <v/>
      </c>
      <c r="V36" s="34">
        <f>IF(AND(V$5&gt;=$D36,V$5&lt;=$E36),3,"")</f>
        <v/>
      </c>
      <c r="W36" s="34">
        <f>IF(AND(W$5&gt;=$D36,W$5&lt;=$E36),3,"")</f>
        <v/>
      </c>
      <c r="X36" s="34">
        <f>IF(AND(X$5&gt;=$D36,X$5&lt;=$E36),3,"")</f>
        <v/>
      </c>
      <c r="Y36" s="34">
        <f>IF(AND(Y$5&gt;=$D36,Y$5&lt;=$E36),3,"")</f>
        <v/>
      </c>
      <c r="Z36" s="34">
        <f>IF(AND(Z$5&gt;=$D36,Z$5&lt;=$E36),3,"")</f>
        <v/>
      </c>
      <c r="AA36" s="34">
        <f>IF(AND(AA$5&gt;=$D36,AA$5&lt;=$E36),3,"")</f>
        <v/>
      </c>
      <c r="AB36" s="34">
        <f>IF(AND(AB$5&gt;=$D36,AB$5&lt;=$E36),3,"")</f>
        <v/>
      </c>
      <c r="AC36" s="34">
        <f>IF(AND(AC$5&gt;=$D36,AC$5&lt;=$E36),3,"")</f>
        <v/>
      </c>
      <c r="AD36" s="34">
        <f>IF(AND(AD$5&gt;=$D36,AD$5&lt;=$E36),3,"")</f>
        <v/>
      </c>
      <c r="AE36" s="34">
        <f>IF(AND(AE$5&gt;=$D36,AE$5&lt;=$E36),3,"")</f>
        <v/>
      </c>
      <c r="AF36" s="34">
        <f>IF(AND(AF$5&gt;=$D36,AF$5&lt;=$E36),3,"")</f>
        <v/>
      </c>
      <c r="AG36" s="34">
        <f>IF(AND(AG$5&gt;=$D36,AG$5&lt;=$E36),3,"")</f>
        <v/>
      </c>
      <c r="AH36" s="34">
        <f>IF(AND(AH$5&gt;=$D36,AH$5&lt;=$E36),3,"")</f>
        <v/>
      </c>
      <c r="AI36" s="34">
        <f>IF(AND(AI$5&gt;=$D36,AI$5&lt;=$E36),3,"")</f>
        <v/>
      </c>
      <c r="AJ36" s="34">
        <f>IF(AND(AJ$5&gt;=$D36,AJ$5&lt;=$E36),3,"")</f>
        <v/>
      </c>
      <c r="AK36" s="34">
        <f>IF(AND(AK$5&gt;=$D36,AK$5&lt;=$E36),3,"")</f>
        <v/>
      </c>
      <c r="AL36" s="34">
        <f>IF(AND(AL$5&gt;=$D36,AL$5&lt;=$E36),3,"")</f>
        <v/>
      </c>
      <c r="AM36" s="34">
        <f>IF(AND(AM$5&gt;=$D36,AM$5&lt;=$E36),3,"")</f>
        <v/>
      </c>
      <c r="AN36" s="34">
        <f>IF(AND(AN$5&gt;=$D36,AN$5&lt;=$E36),3,"")</f>
        <v/>
      </c>
      <c r="AO36" s="34">
        <f>IF(AND(AO$5&gt;=$D36,AO$5&lt;=$E36),3,"")</f>
        <v/>
      </c>
      <c r="AP36" s="34">
        <f>IF(AND(AP$5&gt;=$D36,AP$5&lt;=$E36),3,"")</f>
        <v/>
      </c>
      <c r="AQ36" s="34">
        <f>IF(AND(AQ$5&gt;=$D36,AQ$5&lt;=$E36),3,"")</f>
        <v/>
      </c>
      <c r="AR36" s="34">
        <f>IF(AND(AR$5&gt;=$D36,AR$5&lt;=$E36),3,"")</f>
        <v/>
      </c>
      <c r="AS36" s="34">
        <f>IF(AND(AS$5&gt;=$D36,AS$5&lt;=$E36),3,"")</f>
        <v/>
      </c>
      <c r="AT36" s="34">
        <f>IF(AND(AT$5&gt;=$D36,AT$5&lt;=$E36),3,"")</f>
        <v/>
      </c>
      <c r="AU36" s="34">
        <f>IF(AND(AU$5&gt;=$D36,AU$5&lt;=$E36),3,"")</f>
        <v/>
      </c>
      <c r="AV36" s="34">
        <f>IF(AND(AV$5&gt;=$D36,AV$5&lt;=$E36),3,"")</f>
        <v/>
      </c>
      <c r="AW36" s="34">
        <f>IF(AND(AW$5&gt;=$D36,AW$5&lt;=$E36),3,"")</f>
        <v/>
      </c>
      <c r="AX36" s="34">
        <f>IF(AND(AX$5&gt;=$D36,AX$5&lt;=$E36),3,"")</f>
        <v/>
      </c>
      <c r="AY36" s="34">
        <f>IF(AND(AY$5&gt;=$D36,AY$5&lt;=$E36),3,"")</f>
        <v/>
      </c>
      <c r="AZ36" s="34">
        <f>IF(AND(AZ$5&gt;=$D36,AZ$5&lt;=$E36),3,"")</f>
        <v/>
      </c>
      <c r="BA36" s="34">
        <f>IF(AND(BA$5&gt;=$D36,BA$5&lt;=$E36),3,"")</f>
        <v/>
      </c>
      <c r="BB36" s="34">
        <f>IF(AND(BB$5&gt;=$D36,BB$5&lt;=$E36),3,"")</f>
        <v/>
      </c>
      <c r="BC36" s="34">
        <f>IF(AND(BC$5&gt;=$D36,BC$5&lt;=$E36),3,"")</f>
        <v/>
      </c>
      <c r="BD36" s="34">
        <f>IF(AND(BD$5&gt;=$D36,BD$5&lt;=$E36),3,"")</f>
        <v/>
      </c>
      <c r="BE36" s="34">
        <f>IF(AND(BE$5&gt;=$D36,BE$5&lt;=$E36),3,"")</f>
        <v/>
      </c>
      <c r="BF36" s="34">
        <f>IF(AND(BF$5&gt;=$D36,BF$5&lt;=$E36),3,"")</f>
        <v/>
      </c>
      <c r="BG36" s="34">
        <f>IF(AND(BG$5&gt;=$D36,BG$5&lt;=$E36),3,"")</f>
        <v/>
      </c>
      <c r="BH36" s="34">
        <f>IF(AND(BH$5&gt;=$D36,BH$5&lt;=$E36),3,"")</f>
        <v/>
      </c>
      <c r="BI36" s="34">
        <f>IF(AND(BI$5&gt;=$D36,BI$5&lt;=$E36),3,"")</f>
        <v/>
      </c>
      <c r="BJ36" s="34">
        <f>IF(AND(BJ$5&gt;=$D36,BJ$5&lt;=$E36),3,"")</f>
        <v/>
      </c>
      <c r="BK36" s="34">
        <f>IF(AND(BK$5&gt;=$D36,BK$5&lt;=$E36),3,"")</f>
        <v/>
      </c>
    </row>
    <row r="37" ht="14.25" customHeight="1" s="36">
      <c r="A37" s="13" t="inlineStr">
        <is>
          <t>3 Construcción</t>
        </is>
      </c>
      <c r="B37" s="13" t="inlineStr">
        <is>
          <t>3.7</t>
        </is>
      </c>
      <c r="C37" s="13" t="inlineStr">
        <is>
          <t>Migración de datos</t>
        </is>
      </c>
      <c r="D37" s="13" t="n">
        <v>7</v>
      </c>
      <c r="E37" s="13" t="n">
        <v>12</v>
      </c>
      <c r="F37" s="13">
        <f>E37-D37+1</f>
        <v/>
      </c>
      <c r="G37" s="31" t="n">
        <v>2400</v>
      </c>
      <c r="H37" s="34">
        <f>IF(AND(H$5&gt;=$D37,H$5&lt;=$E37),3,"")</f>
        <v/>
      </c>
      <c r="I37" s="34">
        <f>IF(AND(I$5&gt;=$D37,I$5&lt;=$E37),3,"")</f>
        <v/>
      </c>
      <c r="J37" s="34">
        <f>IF(AND(J$5&gt;=$D37,J$5&lt;=$E37),3,"")</f>
        <v/>
      </c>
      <c r="K37" s="34">
        <f>IF(AND(K$5&gt;=$D37,K$5&lt;=$E37),3,"")</f>
        <v/>
      </c>
      <c r="L37" s="34">
        <f>IF(AND(L$5&gt;=$D37,L$5&lt;=$E37),3,"")</f>
        <v/>
      </c>
      <c r="M37" s="34">
        <f>IF(AND(M$5&gt;=$D37,M$5&lt;=$E37),3,"")</f>
        <v/>
      </c>
      <c r="N37" s="34">
        <f>IF(AND(N$5&gt;=$D37,N$5&lt;=$E37),3,"")</f>
        <v/>
      </c>
      <c r="O37" s="34">
        <f>IF(AND(O$5&gt;=$D37,O$5&lt;=$E37),3,"")</f>
        <v/>
      </c>
      <c r="P37" s="34">
        <f>IF(AND(P$5&gt;=$D37,P$5&lt;=$E37),3,"")</f>
        <v/>
      </c>
      <c r="Q37" s="34">
        <f>IF(AND(Q$5&gt;=$D37,Q$5&lt;=$E37),3,"")</f>
        <v/>
      </c>
      <c r="R37" s="34">
        <f>IF(AND(R$5&gt;=$D37,R$5&lt;=$E37),3,"")</f>
        <v/>
      </c>
      <c r="S37" s="34">
        <f>IF(AND(S$5&gt;=$D37,S$5&lt;=$E37),3,"")</f>
        <v/>
      </c>
      <c r="T37" s="34">
        <f>IF(AND(T$5&gt;=$D37,T$5&lt;=$E37),3,"")</f>
        <v/>
      </c>
      <c r="U37" s="34">
        <f>IF(AND(U$5&gt;=$D37,U$5&lt;=$E37),3,"")</f>
        <v/>
      </c>
      <c r="V37" s="34">
        <f>IF(AND(V$5&gt;=$D37,V$5&lt;=$E37),3,"")</f>
        <v/>
      </c>
      <c r="W37" s="34">
        <f>IF(AND(W$5&gt;=$D37,W$5&lt;=$E37),3,"")</f>
        <v/>
      </c>
      <c r="X37" s="34">
        <f>IF(AND(X$5&gt;=$D37,X$5&lt;=$E37),3,"")</f>
        <v/>
      </c>
      <c r="Y37" s="34">
        <f>IF(AND(Y$5&gt;=$D37,Y$5&lt;=$E37),3,"")</f>
        <v/>
      </c>
      <c r="Z37" s="34">
        <f>IF(AND(Z$5&gt;=$D37,Z$5&lt;=$E37),3,"")</f>
        <v/>
      </c>
      <c r="AA37" s="34">
        <f>IF(AND(AA$5&gt;=$D37,AA$5&lt;=$E37),3,"")</f>
        <v/>
      </c>
      <c r="AB37" s="34">
        <f>IF(AND(AB$5&gt;=$D37,AB$5&lt;=$E37),3,"")</f>
        <v/>
      </c>
      <c r="AC37" s="34">
        <f>IF(AND(AC$5&gt;=$D37,AC$5&lt;=$E37),3,"")</f>
        <v/>
      </c>
      <c r="AD37" s="34">
        <f>IF(AND(AD$5&gt;=$D37,AD$5&lt;=$E37),3,"")</f>
        <v/>
      </c>
      <c r="AE37" s="34">
        <f>IF(AND(AE$5&gt;=$D37,AE$5&lt;=$E37),3,"")</f>
        <v/>
      </c>
      <c r="AF37" s="34">
        <f>IF(AND(AF$5&gt;=$D37,AF$5&lt;=$E37),3,"")</f>
        <v/>
      </c>
      <c r="AG37" s="34">
        <f>IF(AND(AG$5&gt;=$D37,AG$5&lt;=$E37),3,"")</f>
        <v/>
      </c>
      <c r="AH37" s="34">
        <f>IF(AND(AH$5&gt;=$D37,AH$5&lt;=$E37),3,"")</f>
        <v/>
      </c>
      <c r="AI37" s="34">
        <f>IF(AND(AI$5&gt;=$D37,AI$5&lt;=$E37),3,"")</f>
        <v/>
      </c>
      <c r="AJ37" s="34">
        <f>IF(AND(AJ$5&gt;=$D37,AJ$5&lt;=$E37),3,"")</f>
        <v/>
      </c>
      <c r="AK37" s="34">
        <f>IF(AND(AK$5&gt;=$D37,AK$5&lt;=$E37),3,"")</f>
        <v/>
      </c>
      <c r="AL37" s="34">
        <f>IF(AND(AL$5&gt;=$D37,AL$5&lt;=$E37),3,"")</f>
        <v/>
      </c>
      <c r="AM37" s="34">
        <f>IF(AND(AM$5&gt;=$D37,AM$5&lt;=$E37),3,"")</f>
        <v/>
      </c>
      <c r="AN37" s="34">
        <f>IF(AND(AN$5&gt;=$D37,AN$5&lt;=$E37),3,"")</f>
        <v/>
      </c>
      <c r="AO37" s="34">
        <f>IF(AND(AO$5&gt;=$D37,AO$5&lt;=$E37),3,"")</f>
        <v/>
      </c>
      <c r="AP37" s="34">
        <f>IF(AND(AP$5&gt;=$D37,AP$5&lt;=$E37),3,"")</f>
        <v/>
      </c>
      <c r="AQ37" s="34">
        <f>IF(AND(AQ$5&gt;=$D37,AQ$5&lt;=$E37),3,"")</f>
        <v/>
      </c>
      <c r="AR37" s="34">
        <f>IF(AND(AR$5&gt;=$D37,AR$5&lt;=$E37),3,"")</f>
        <v/>
      </c>
      <c r="AS37" s="34">
        <f>IF(AND(AS$5&gt;=$D37,AS$5&lt;=$E37),3,"")</f>
        <v/>
      </c>
      <c r="AT37" s="34">
        <f>IF(AND(AT$5&gt;=$D37,AT$5&lt;=$E37),3,"")</f>
        <v/>
      </c>
      <c r="AU37" s="34">
        <f>IF(AND(AU$5&gt;=$D37,AU$5&lt;=$E37),3,"")</f>
        <v/>
      </c>
      <c r="AV37" s="34">
        <f>IF(AND(AV$5&gt;=$D37,AV$5&lt;=$E37),3,"")</f>
        <v/>
      </c>
      <c r="AW37" s="34">
        <f>IF(AND(AW$5&gt;=$D37,AW$5&lt;=$E37),3,"")</f>
        <v/>
      </c>
      <c r="AX37" s="34">
        <f>IF(AND(AX$5&gt;=$D37,AX$5&lt;=$E37),3,"")</f>
        <v/>
      </c>
      <c r="AY37" s="34">
        <f>IF(AND(AY$5&gt;=$D37,AY$5&lt;=$E37),3,"")</f>
        <v/>
      </c>
      <c r="AZ37" s="34">
        <f>IF(AND(AZ$5&gt;=$D37,AZ$5&lt;=$E37),3,"")</f>
        <v/>
      </c>
      <c r="BA37" s="34">
        <f>IF(AND(BA$5&gt;=$D37,BA$5&lt;=$E37),3,"")</f>
        <v/>
      </c>
      <c r="BB37" s="34">
        <f>IF(AND(BB$5&gt;=$D37,BB$5&lt;=$E37),3,"")</f>
        <v/>
      </c>
      <c r="BC37" s="34">
        <f>IF(AND(BC$5&gt;=$D37,BC$5&lt;=$E37),3,"")</f>
        <v/>
      </c>
      <c r="BD37" s="34">
        <f>IF(AND(BD$5&gt;=$D37,BD$5&lt;=$E37),3,"")</f>
        <v/>
      </c>
      <c r="BE37" s="34">
        <f>IF(AND(BE$5&gt;=$D37,BE$5&lt;=$E37),3,"")</f>
        <v/>
      </c>
      <c r="BF37" s="34">
        <f>IF(AND(BF$5&gt;=$D37,BF$5&lt;=$E37),3,"")</f>
        <v/>
      </c>
      <c r="BG37" s="34">
        <f>IF(AND(BG$5&gt;=$D37,BG$5&lt;=$E37),3,"")</f>
        <v/>
      </c>
      <c r="BH37" s="34">
        <f>IF(AND(BH$5&gt;=$D37,BH$5&lt;=$E37),3,"")</f>
        <v/>
      </c>
      <c r="BI37" s="34">
        <f>IF(AND(BI$5&gt;=$D37,BI$5&lt;=$E37),3,"")</f>
        <v/>
      </c>
      <c r="BJ37" s="34">
        <f>IF(AND(BJ$5&gt;=$D37,BJ$5&lt;=$E37),3,"")</f>
        <v/>
      </c>
      <c r="BK37" s="34">
        <f>IF(AND(BK$5&gt;=$D37,BK$5&lt;=$E37),3,"")</f>
        <v/>
      </c>
    </row>
    <row r="38" ht="14.25" customHeight="1" s="36">
      <c r="A38" s="13" t="inlineStr">
        <is>
          <t>3 Construcción</t>
        </is>
      </c>
      <c r="B38" s="13" t="inlineStr">
        <is>
          <t>3.8</t>
        </is>
      </c>
      <c r="C38" s="13" t="inlineStr">
        <is>
          <t>Pruebas de la Etapa 1</t>
        </is>
      </c>
      <c r="D38" s="13" t="n">
        <v>9</v>
      </c>
      <c r="E38" s="13" t="n">
        <v>10</v>
      </c>
      <c r="F38" s="13">
        <f>E38-D38+1</f>
        <v/>
      </c>
      <c r="G38" s="31" t="n">
        <v>2080</v>
      </c>
      <c r="H38" s="34">
        <f>IF(AND(H$5&gt;=$D38,H$5&lt;=$E38),3,"")</f>
        <v/>
      </c>
      <c r="I38" s="34">
        <f>IF(AND(I$5&gt;=$D38,I$5&lt;=$E38),3,"")</f>
        <v/>
      </c>
      <c r="J38" s="34">
        <f>IF(AND(J$5&gt;=$D38,J$5&lt;=$E38),3,"")</f>
        <v/>
      </c>
      <c r="K38" s="34">
        <f>IF(AND(K$5&gt;=$D38,K$5&lt;=$E38),3,"")</f>
        <v/>
      </c>
      <c r="L38" s="34">
        <f>IF(AND(L$5&gt;=$D38,L$5&lt;=$E38),3,"")</f>
        <v/>
      </c>
      <c r="M38" s="34">
        <f>IF(AND(M$5&gt;=$D38,M$5&lt;=$E38),3,"")</f>
        <v/>
      </c>
      <c r="N38" s="34">
        <f>IF(AND(N$5&gt;=$D38,N$5&lt;=$E38),3,"")</f>
        <v/>
      </c>
      <c r="O38" s="34">
        <f>IF(AND(O$5&gt;=$D38,O$5&lt;=$E38),3,"")</f>
        <v/>
      </c>
      <c r="P38" s="34">
        <f>IF(AND(P$5&gt;=$D38,P$5&lt;=$E38),3,"")</f>
        <v/>
      </c>
      <c r="Q38" s="34">
        <f>IF(AND(Q$5&gt;=$D38,Q$5&lt;=$E38),3,"")</f>
        <v/>
      </c>
      <c r="R38" s="34">
        <f>IF(AND(R$5&gt;=$D38,R$5&lt;=$E38),3,"")</f>
        <v/>
      </c>
      <c r="S38" s="34">
        <f>IF(AND(S$5&gt;=$D38,S$5&lt;=$E38),3,"")</f>
        <v/>
      </c>
      <c r="T38" s="34">
        <f>IF(AND(T$5&gt;=$D38,T$5&lt;=$E38),3,"")</f>
        <v/>
      </c>
      <c r="U38" s="34">
        <f>IF(AND(U$5&gt;=$D38,U$5&lt;=$E38),3,"")</f>
        <v/>
      </c>
      <c r="V38" s="34">
        <f>IF(AND(V$5&gt;=$D38,V$5&lt;=$E38),3,"")</f>
        <v/>
      </c>
      <c r="W38" s="34">
        <f>IF(AND(W$5&gt;=$D38,W$5&lt;=$E38),3,"")</f>
        <v/>
      </c>
      <c r="X38" s="34">
        <f>IF(AND(X$5&gt;=$D38,X$5&lt;=$E38),3,"")</f>
        <v/>
      </c>
      <c r="Y38" s="34">
        <f>IF(AND(Y$5&gt;=$D38,Y$5&lt;=$E38),3,"")</f>
        <v/>
      </c>
      <c r="Z38" s="34">
        <f>IF(AND(Z$5&gt;=$D38,Z$5&lt;=$E38),3,"")</f>
        <v/>
      </c>
      <c r="AA38" s="34">
        <f>IF(AND(AA$5&gt;=$D38,AA$5&lt;=$E38),3,"")</f>
        <v/>
      </c>
      <c r="AB38" s="34">
        <f>IF(AND(AB$5&gt;=$D38,AB$5&lt;=$E38),3,"")</f>
        <v/>
      </c>
      <c r="AC38" s="34">
        <f>IF(AND(AC$5&gt;=$D38,AC$5&lt;=$E38),3,"")</f>
        <v/>
      </c>
      <c r="AD38" s="34">
        <f>IF(AND(AD$5&gt;=$D38,AD$5&lt;=$E38),3,"")</f>
        <v/>
      </c>
      <c r="AE38" s="34">
        <f>IF(AND(AE$5&gt;=$D38,AE$5&lt;=$E38),3,"")</f>
        <v/>
      </c>
      <c r="AF38" s="34">
        <f>IF(AND(AF$5&gt;=$D38,AF$5&lt;=$E38),3,"")</f>
        <v/>
      </c>
      <c r="AG38" s="34">
        <f>IF(AND(AG$5&gt;=$D38,AG$5&lt;=$E38),3,"")</f>
        <v/>
      </c>
      <c r="AH38" s="34">
        <f>IF(AND(AH$5&gt;=$D38,AH$5&lt;=$E38),3,"")</f>
        <v/>
      </c>
      <c r="AI38" s="34">
        <f>IF(AND(AI$5&gt;=$D38,AI$5&lt;=$E38),3,"")</f>
        <v/>
      </c>
      <c r="AJ38" s="34">
        <f>IF(AND(AJ$5&gt;=$D38,AJ$5&lt;=$E38),3,"")</f>
        <v/>
      </c>
      <c r="AK38" s="34">
        <f>IF(AND(AK$5&gt;=$D38,AK$5&lt;=$E38),3,"")</f>
        <v/>
      </c>
      <c r="AL38" s="34">
        <f>IF(AND(AL$5&gt;=$D38,AL$5&lt;=$E38),3,"")</f>
        <v/>
      </c>
      <c r="AM38" s="34">
        <f>IF(AND(AM$5&gt;=$D38,AM$5&lt;=$E38),3,"")</f>
        <v/>
      </c>
      <c r="AN38" s="34">
        <f>IF(AND(AN$5&gt;=$D38,AN$5&lt;=$E38),3,"")</f>
        <v/>
      </c>
      <c r="AO38" s="34">
        <f>IF(AND(AO$5&gt;=$D38,AO$5&lt;=$E38),3,"")</f>
        <v/>
      </c>
      <c r="AP38" s="34">
        <f>IF(AND(AP$5&gt;=$D38,AP$5&lt;=$E38),3,"")</f>
        <v/>
      </c>
      <c r="AQ38" s="34">
        <f>IF(AND(AQ$5&gt;=$D38,AQ$5&lt;=$E38),3,"")</f>
        <v/>
      </c>
      <c r="AR38" s="34">
        <f>IF(AND(AR$5&gt;=$D38,AR$5&lt;=$E38),3,"")</f>
        <v/>
      </c>
      <c r="AS38" s="34">
        <f>IF(AND(AS$5&gt;=$D38,AS$5&lt;=$E38),3,"")</f>
        <v/>
      </c>
      <c r="AT38" s="34">
        <f>IF(AND(AT$5&gt;=$D38,AT$5&lt;=$E38),3,"")</f>
        <v/>
      </c>
      <c r="AU38" s="34">
        <f>IF(AND(AU$5&gt;=$D38,AU$5&lt;=$E38),3,"")</f>
        <v/>
      </c>
      <c r="AV38" s="34">
        <f>IF(AND(AV$5&gt;=$D38,AV$5&lt;=$E38),3,"")</f>
        <v/>
      </c>
      <c r="AW38" s="34">
        <f>IF(AND(AW$5&gt;=$D38,AW$5&lt;=$E38),3,"")</f>
        <v/>
      </c>
      <c r="AX38" s="34">
        <f>IF(AND(AX$5&gt;=$D38,AX$5&lt;=$E38),3,"")</f>
        <v/>
      </c>
      <c r="AY38" s="34">
        <f>IF(AND(AY$5&gt;=$D38,AY$5&lt;=$E38),3,"")</f>
        <v/>
      </c>
      <c r="AZ38" s="34">
        <f>IF(AND(AZ$5&gt;=$D38,AZ$5&lt;=$E38),3,"")</f>
        <v/>
      </c>
      <c r="BA38" s="34">
        <f>IF(AND(BA$5&gt;=$D38,BA$5&lt;=$E38),3,"")</f>
        <v/>
      </c>
      <c r="BB38" s="34">
        <f>IF(AND(BB$5&gt;=$D38,BB$5&lt;=$E38),3,"")</f>
        <v/>
      </c>
      <c r="BC38" s="34">
        <f>IF(AND(BC$5&gt;=$D38,BC$5&lt;=$E38),3,"")</f>
        <v/>
      </c>
      <c r="BD38" s="34">
        <f>IF(AND(BD$5&gt;=$D38,BD$5&lt;=$E38),3,"")</f>
        <v/>
      </c>
      <c r="BE38" s="34">
        <f>IF(AND(BE$5&gt;=$D38,BE$5&lt;=$E38),3,"")</f>
        <v/>
      </c>
      <c r="BF38" s="34">
        <f>IF(AND(BF$5&gt;=$D38,BF$5&lt;=$E38),3,"")</f>
        <v/>
      </c>
      <c r="BG38" s="34">
        <f>IF(AND(BG$5&gt;=$D38,BG$5&lt;=$E38),3,"")</f>
        <v/>
      </c>
      <c r="BH38" s="34">
        <f>IF(AND(BH$5&gt;=$D38,BH$5&lt;=$E38),3,"")</f>
        <v/>
      </c>
      <c r="BI38" s="34">
        <f>IF(AND(BI$5&gt;=$D38,BI$5&lt;=$E38),3,"")</f>
        <v/>
      </c>
      <c r="BJ38" s="34">
        <f>IF(AND(BJ$5&gt;=$D38,BJ$5&lt;=$E38),3,"")</f>
        <v/>
      </c>
      <c r="BK38" s="34">
        <f>IF(AND(BK$5&gt;=$D38,BK$5&lt;=$E38),3,"")</f>
        <v/>
      </c>
    </row>
    <row r="39" ht="14.25" customHeight="1" s="36">
      <c r="A39" s="13" t="inlineStr">
        <is>
          <t>3 Construcción</t>
        </is>
      </c>
      <c r="B39" s="13" t="inlineStr">
        <is>
          <t>3.9</t>
        </is>
      </c>
      <c r="C39" s="13" t="inlineStr">
        <is>
          <t>Pruebas de la Etapa 2</t>
        </is>
      </c>
      <c r="D39" s="13" t="n">
        <v>16</v>
      </c>
      <c r="E39" s="13" t="n">
        <v>17</v>
      </c>
      <c r="F39" s="13">
        <f>E39-D39+1</f>
        <v/>
      </c>
      <c r="G39" s="31" t="n">
        <v>1760</v>
      </c>
      <c r="H39" s="34">
        <f>IF(AND(H$5&gt;=$D39,H$5&lt;=$E39),3,"")</f>
        <v/>
      </c>
      <c r="I39" s="34">
        <f>IF(AND(I$5&gt;=$D39,I$5&lt;=$E39),3,"")</f>
        <v/>
      </c>
      <c r="J39" s="34">
        <f>IF(AND(J$5&gt;=$D39,J$5&lt;=$E39),3,"")</f>
        <v/>
      </c>
      <c r="K39" s="34">
        <f>IF(AND(K$5&gt;=$D39,K$5&lt;=$E39),3,"")</f>
        <v/>
      </c>
      <c r="L39" s="34">
        <f>IF(AND(L$5&gt;=$D39,L$5&lt;=$E39),3,"")</f>
        <v/>
      </c>
      <c r="M39" s="34">
        <f>IF(AND(M$5&gt;=$D39,M$5&lt;=$E39),3,"")</f>
        <v/>
      </c>
      <c r="N39" s="34">
        <f>IF(AND(N$5&gt;=$D39,N$5&lt;=$E39),3,"")</f>
        <v/>
      </c>
      <c r="O39" s="34">
        <f>IF(AND(O$5&gt;=$D39,O$5&lt;=$E39),3,"")</f>
        <v/>
      </c>
      <c r="P39" s="34">
        <f>IF(AND(P$5&gt;=$D39,P$5&lt;=$E39),3,"")</f>
        <v/>
      </c>
      <c r="Q39" s="34">
        <f>IF(AND(Q$5&gt;=$D39,Q$5&lt;=$E39),3,"")</f>
        <v/>
      </c>
      <c r="R39" s="34">
        <f>IF(AND(R$5&gt;=$D39,R$5&lt;=$E39),3,"")</f>
        <v/>
      </c>
      <c r="S39" s="34">
        <f>IF(AND(S$5&gt;=$D39,S$5&lt;=$E39),3,"")</f>
        <v/>
      </c>
      <c r="T39" s="34">
        <f>IF(AND(T$5&gt;=$D39,T$5&lt;=$E39),3,"")</f>
        <v/>
      </c>
      <c r="U39" s="34">
        <f>IF(AND(U$5&gt;=$D39,U$5&lt;=$E39),3,"")</f>
        <v/>
      </c>
      <c r="V39" s="34">
        <f>IF(AND(V$5&gt;=$D39,V$5&lt;=$E39),3,"")</f>
        <v/>
      </c>
      <c r="W39" s="34">
        <f>IF(AND(W$5&gt;=$D39,W$5&lt;=$E39),3,"")</f>
        <v/>
      </c>
      <c r="X39" s="34">
        <f>IF(AND(X$5&gt;=$D39,X$5&lt;=$E39),3,"")</f>
        <v/>
      </c>
      <c r="Y39" s="34">
        <f>IF(AND(Y$5&gt;=$D39,Y$5&lt;=$E39),3,"")</f>
        <v/>
      </c>
      <c r="Z39" s="34">
        <f>IF(AND(Z$5&gt;=$D39,Z$5&lt;=$E39),3,"")</f>
        <v/>
      </c>
      <c r="AA39" s="34">
        <f>IF(AND(AA$5&gt;=$D39,AA$5&lt;=$E39),3,"")</f>
        <v/>
      </c>
      <c r="AB39" s="34">
        <f>IF(AND(AB$5&gt;=$D39,AB$5&lt;=$E39),3,"")</f>
        <v/>
      </c>
      <c r="AC39" s="34">
        <f>IF(AND(AC$5&gt;=$D39,AC$5&lt;=$E39),3,"")</f>
        <v/>
      </c>
      <c r="AD39" s="34">
        <f>IF(AND(AD$5&gt;=$D39,AD$5&lt;=$E39),3,"")</f>
        <v/>
      </c>
      <c r="AE39" s="34">
        <f>IF(AND(AE$5&gt;=$D39,AE$5&lt;=$E39),3,"")</f>
        <v/>
      </c>
      <c r="AF39" s="34">
        <f>IF(AND(AF$5&gt;=$D39,AF$5&lt;=$E39),3,"")</f>
        <v/>
      </c>
      <c r="AG39" s="34">
        <f>IF(AND(AG$5&gt;=$D39,AG$5&lt;=$E39),3,"")</f>
        <v/>
      </c>
      <c r="AH39" s="34">
        <f>IF(AND(AH$5&gt;=$D39,AH$5&lt;=$E39),3,"")</f>
        <v/>
      </c>
      <c r="AI39" s="34">
        <f>IF(AND(AI$5&gt;=$D39,AI$5&lt;=$E39),3,"")</f>
        <v/>
      </c>
      <c r="AJ39" s="34">
        <f>IF(AND(AJ$5&gt;=$D39,AJ$5&lt;=$E39),3,"")</f>
        <v/>
      </c>
      <c r="AK39" s="34">
        <f>IF(AND(AK$5&gt;=$D39,AK$5&lt;=$E39),3,"")</f>
        <v/>
      </c>
      <c r="AL39" s="34">
        <f>IF(AND(AL$5&gt;=$D39,AL$5&lt;=$E39),3,"")</f>
        <v/>
      </c>
      <c r="AM39" s="34">
        <f>IF(AND(AM$5&gt;=$D39,AM$5&lt;=$E39),3,"")</f>
        <v/>
      </c>
      <c r="AN39" s="34">
        <f>IF(AND(AN$5&gt;=$D39,AN$5&lt;=$E39),3,"")</f>
        <v/>
      </c>
      <c r="AO39" s="34">
        <f>IF(AND(AO$5&gt;=$D39,AO$5&lt;=$E39),3,"")</f>
        <v/>
      </c>
      <c r="AP39" s="34">
        <f>IF(AND(AP$5&gt;=$D39,AP$5&lt;=$E39),3,"")</f>
        <v/>
      </c>
      <c r="AQ39" s="34">
        <f>IF(AND(AQ$5&gt;=$D39,AQ$5&lt;=$E39),3,"")</f>
        <v/>
      </c>
      <c r="AR39" s="34">
        <f>IF(AND(AR$5&gt;=$D39,AR$5&lt;=$E39),3,"")</f>
        <v/>
      </c>
      <c r="AS39" s="34">
        <f>IF(AND(AS$5&gt;=$D39,AS$5&lt;=$E39),3,"")</f>
        <v/>
      </c>
      <c r="AT39" s="34">
        <f>IF(AND(AT$5&gt;=$D39,AT$5&lt;=$E39),3,"")</f>
        <v/>
      </c>
      <c r="AU39" s="34">
        <f>IF(AND(AU$5&gt;=$D39,AU$5&lt;=$E39),3,"")</f>
        <v/>
      </c>
      <c r="AV39" s="34">
        <f>IF(AND(AV$5&gt;=$D39,AV$5&lt;=$E39),3,"")</f>
        <v/>
      </c>
      <c r="AW39" s="34">
        <f>IF(AND(AW$5&gt;=$D39,AW$5&lt;=$E39),3,"")</f>
        <v/>
      </c>
      <c r="AX39" s="34">
        <f>IF(AND(AX$5&gt;=$D39,AX$5&lt;=$E39),3,"")</f>
        <v/>
      </c>
      <c r="AY39" s="34">
        <f>IF(AND(AY$5&gt;=$D39,AY$5&lt;=$E39),3,"")</f>
        <v/>
      </c>
      <c r="AZ39" s="34">
        <f>IF(AND(AZ$5&gt;=$D39,AZ$5&lt;=$E39),3,"")</f>
        <v/>
      </c>
      <c r="BA39" s="34">
        <f>IF(AND(BA$5&gt;=$D39,BA$5&lt;=$E39),3,"")</f>
        <v/>
      </c>
      <c r="BB39" s="34">
        <f>IF(AND(BB$5&gt;=$D39,BB$5&lt;=$E39),3,"")</f>
        <v/>
      </c>
      <c r="BC39" s="34">
        <f>IF(AND(BC$5&gt;=$D39,BC$5&lt;=$E39),3,"")</f>
        <v/>
      </c>
      <c r="BD39" s="34">
        <f>IF(AND(BD$5&gt;=$D39,BD$5&lt;=$E39),3,"")</f>
        <v/>
      </c>
      <c r="BE39" s="34">
        <f>IF(AND(BE$5&gt;=$D39,BE$5&lt;=$E39),3,"")</f>
        <v/>
      </c>
      <c r="BF39" s="34">
        <f>IF(AND(BF$5&gt;=$D39,BF$5&lt;=$E39),3,"")</f>
        <v/>
      </c>
      <c r="BG39" s="34">
        <f>IF(AND(BG$5&gt;=$D39,BG$5&lt;=$E39),3,"")</f>
        <v/>
      </c>
      <c r="BH39" s="34">
        <f>IF(AND(BH$5&gt;=$D39,BH$5&lt;=$E39),3,"")</f>
        <v/>
      </c>
      <c r="BI39" s="34">
        <f>IF(AND(BI$5&gt;=$D39,BI$5&lt;=$E39),3,"")</f>
        <v/>
      </c>
      <c r="BJ39" s="34">
        <f>IF(AND(BJ$5&gt;=$D39,BJ$5&lt;=$E39),3,"")</f>
        <v/>
      </c>
      <c r="BK39" s="34">
        <f>IF(AND(BK$5&gt;=$D39,BK$5&lt;=$E39),3,"")</f>
        <v/>
      </c>
    </row>
    <row r="40" ht="14.25" customHeight="1" s="36">
      <c r="A40" s="13" t="inlineStr">
        <is>
          <t>3 Construcción</t>
        </is>
      </c>
      <c r="B40" s="13" t="inlineStr">
        <is>
          <t>3.10</t>
        </is>
      </c>
      <c r="C40" s="13" t="inlineStr">
        <is>
          <t>Innovaciones</t>
        </is>
      </c>
      <c r="D40" s="13" t="n">
        <v>2</v>
      </c>
      <c r="E40" s="13" t="n">
        <v>21</v>
      </c>
      <c r="F40" s="13">
        <f>E40-D40+1</f>
        <v/>
      </c>
      <c r="G40" s="31" t="n">
        <v>3840</v>
      </c>
      <c r="H40" s="34">
        <f>IF(AND(H$5&gt;=$D40,H$5&lt;=$E40),3,"")</f>
        <v/>
      </c>
      <c r="I40" s="34">
        <f>IF(AND(I$5&gt;=$D40,I$5&lt;=$E40),3,"")</f>
        <v/>
      </c>
      <c r="J40" s="34">
        <f>IF(AND(J$5&gt;=$D40,J$5&lt;=$E40),3,"")</f>
        <v/>
      </c>
      <c r="K40" s="34">
        <f>IF(AND(K$5&gt;=$D40,K$5&lt;=$E40),3,"")</f>
        <v/>
      </c>
      <c r="L40" s="34">
        <f>IF(AND(L$5&gt;=$D40,L$5&lt;=$E40),3,"")</f>
        <v/>
      </c>
      <c r="M40" s="34">
        <f>IF(AND(M$5&gt;=$D40,M$5&lt;=$E40),3,"")</f>
        <v/>
      </c>
      <c r="N40" s="34">
        <f>IF(AND(N$5&gt;=$D40,N$5&lt;=$E40),3,"")</f>
        <v/>
      </c>
      <c r="O40" s="34">
        <f>IF(AND(O$5&gt;=$D40,O$5&lt;=$E40),3,"")</f>
        <v/>
      </c>
      <c r="P40" s="34">
        <f>IF(AND(P$5&gt;=$D40,P$5&lt;=$E40),3,"")</f>
        <v/>
      </c>
      <c r="Q40" s="34">
        <f>IF(AND(Q$5&gt;=$D40,Q$5&lt;=$E40),3,"")</f>
        <v/>
      </c>
      <c r="R40" s="34">
        <f>IF(AND(R$5&gt;=$D40,R$5&lt;=$E40),3,"")</f>
        <v/>
      </c>
      <c r="S40" s="34">
        <f>IF(AND(S$5&gt;=$D40,S$5&lt;=$E40),3,"")</f>
        <v/>
      </c>
      <c r="T40" s="34">
        <f>IF(AND(T$5&gt;=$D40,T$5&lt;=$E40),3,"")</f>
        <v/>
      </c>
      <c r="U40" s="34">
        <f>IF(AND(U$5&gt;=$D40,U$5&lt;=$E40),3,"")</f>
        <v/>
      </c>
      <c r="V40" s="34">
        <f>IF(AND(V$5&gt;=$D40,V$5&lt;=$E40),3,"")</f>
        <v/>
      </c>
      <c r="W40" s="34">
        <f>IF(AND(W$5&gt;=$D40,W$5&lt;=$E40),3,"")</f>
        <v/>
      </c>
      <c r="X40" s="34">
        <f>IF(AND(X$5&gt;=$D40,X$5&lt;=$E40),3,"")</f>
        <v/>
      </c>
      <c r="Y40" s="34">
        <f>IF(AND(Y$5&gt;=$D40,Y$5&lt;=$E40),3,"")</f>
        <v/>
      </c>
      <c r="Z40" s="34">
        <f>IF(AND(Z$5&gt;=$D40,Z$5&lt;=$E40),3,"")</f>
        <v/>
      </c>
      <c r="AA40" s="34">
        <f>IF(AND(AA$5&gt;=$D40,AA$5&lt;=$E40),3,"")</f>
        <v/>
      </c>
      <c r="AB40" s="34">
        <f>IF(AND(AB$5&gt;=$D40,AB$5&lt;=$E40),3,"")</f>
        <v/>
      </c>
      <c r="AC40" s="34">
        <f>IF(AND(AC$5&gt;=$D40,AC$5&lt;=$E40),3,"")</f>
        <v/>
      </c>
      <c r="AD40" s="34">
        <f>IF(AND(AD$5&gt;=$D40,AD$5&lt;=$E40),3,"")</f>
        <v/>
      </c>
      <c r="AE40" s="34">
        <f>IF(AND(AE$5&gt;=$D40,AE$5&lt;=$E40),3,"")</f>
        <v/>
      </c>
      <c r="AF40" s="34">
        <f>IF(AND(AF$5&gt;=$D40,AF$5&lt;=$E40),3,"")</f>
        <v/>
      </c>
      <c r="AG40" s="34">
        <f>IF(AND(AG$5&gt;=$D40,AG$5&lt;=$E40),3,"")</f>
        <v/>
      </c>
      <c r="AH40" s="34">
        <f>IF(AND(AH$5&gt;=$D40,AH$5&lt;=$E40),3,"")</f>
        <v/>
      </c>
      <c r="AI40" s="34">
        <f>IF(AND(AI$5&gt;=$D40,AI$5&lt;=$E40),3,"")</f>
        <v/>
      </c>
      <c r="AJ40" s="34">
        <f>IF(AND(AJ$5&gt;=$D40,AJ$5&lt;=$E40),3,"")</f>
        <v/>
      </c>
      <c r="AK40" s="34">
        <f>IF(AND(AK$5&gt;=$D40,AK$5&lt;=$E40),3,"")</f>
        <v/>
      </c>
      <c r="AL40" s="34">
        <f>IF(AND(AL$5&gt;=$D40,AL$5&lt;=$E40),3,"")</f>
        <v/>
      </c>
      <c r="AM40" s="34">
        <f>IF(AND(AM$5&gt;=$D40,AM$5&lt;=$E40),3,"")</f>
        <v/>
      </c>
      <c r="AN40" s="34">
        <f>IF(AND(AN$5&gt;=$D40,AN$5&lt;=$E40),3,"")</f>
        <v/>
      </c>
      <c r="AO40" s="34">
        <f>IF(AND(AO$5&gt;=$D40,AO$5&lt;=$E40),3,"")</f>
        <v/>
      </c>
      <c r="AP40" s="34">
        <f>IF(AND(AP$5&gt;=$D40,AP$5&lt;=$E40),3,"")</f>
        <v/>
      </c>
      <c r="AQ40" s="34">
        <f>IF(AND(AQ$5&gt;=$D40,AQ$5&lt;=$E40),3,"")</f>
        <v/>
      </c>
      <c r="AR40" s="34">
        <f>IF(AND(AR$5&gt;=$D40,AR$5&lt;=$E40),3,"")</f>
        <v/>
      </c>
      <c r="AS40" s="34">
        <f>IF(AND(AS$5&gt;=$D40,AS$5&lt;=$E40),3,"")</f>
        <v/>
      </c>
      <c r="AT40" s="34">
        <f>IF(AND(AT$5&gt;=$D40,AT$5&lt;=$E40),3,"")</f>
        <v/>
      </c>
      <c r="AU40" s="34">
        <f>IF(AND(AU$5&gt;=$D40,AU$5&lt;=$E40),3,"")</f>
        <v/>
      </c>
      <c r="AV40" s="34">
        <f>IF(AND(AV$5&gt;=$D40,AV$5&lt;=$E40),3,"")</f>
        <v/>
      </c>
      <c r="AW40" s="34">
        <f>IF(AND(AW$5&gt;=$D40,AW$5&lt;=$E40),3,"")</f>
        <v/>
      </c>
      <c r="AX40" s="34">
        <f>IF(AND(AX$5&gt;=$D40,AX$5&lt;=$E40),3,"")</f>
        <v/>
      </c>
      <c r="AY40" s="34">
        <f>IF(AND(AY$5&gt;=$D40,AY$5&lt;=$E40),3,"")</f>
        <v/>
      </c>
      <c r="AZ40" s="34">
        <f>IF(AND(AZ$5&gt;=$D40,AZ$5&lt;=$E40),3,"")</f>
        <v/>
      </c>
      <c r="BA40" s="34">
        <f>IF(AND(BA$5&gt;=$D40,BA$5&lt;=$E40),3,"")</f>
        <v/>
      </c>
      <c r="BB40" s="34">
        <f>IF(AND(BB$5&gt;=$D40,BB$5&lt;=$E40),3,"")</f>
        <v/>
      </c>
      <c r="BC40" s="34">
        <f>IF(AND(BC$5&gt;=$D40,BC$5&lt;=$E40),3,"")</f>
        <v/>
      </c>
      <c r="BD40" s="34">
        <f>IF(AND(BD$5&gt;=$D40,BD$5&lt;=$E40),3,"")</f>
        <v/>
      </c>
      <c r="BE40" s="34">
        <f>IF(AND(BE$5&gt;=$D40,BE$5&lt;=$E40),3,"")</f>
        <v/>
      </c>
      <c r="BF40" s="34">
        <f>IF(AND(BF$5&gt;=$D40,BF$5&lt;=$E40),3,"")</f>
        <v/>
      </c>
      <c r="BG40" s="34">
        <f>IF(AND(BG$5&gt;=$D40,BG$5&lt;=$E40),3,"")</f>
        <v/>
      </c>
      <c r="BH40" s="34">
        <f>IF(AND(BH$5&gt;=$D40,BH$5&lt;=$E40),3,"")</f>
        <v/>
      </c>
      <c r="BI40" s="34">
        <f>IF(AND(BI$5&gt;=$D40,BI$5&lt;=$E40),3,"")</f>
        <v/>
      </c>
      <c r="BJ40" s="34">
        <f>IF(AND(BJ$5&gt;=$D40,BJ$5&lt;=$E40),3,"")</f>
        <v/>
      </c>
      <c r="BK40" s="34">
        <f>IF(AND(BK$5&gt;=$D40,BK$5&lt;=$E40),3,"")</f>
        <v/>
      </c>
    </row>
    <row r="41" ht="14.25" customHeight="1" s="36">
      <c r="A41" s="13" t="inlineStr">
        <is>
          <t>3 Construcción</t>
        </is>
      </c>
      <c r="B41" s="13" t="inlineStr">
        <is>
          <t>3.11</t>
        </is>
      </c>
      <c r="C41" s="13" t="inlineStr">
        <is>
          <t>Documentación técnica</t>
        </is>
      </c>
      <c r="D41" s="13" t="n">
        <v>4</v>
      </c>
      <c r="E41" s="13" t="n">
        <v>21</v>
      </c>
      <c r="F41" s="13">
        <f>E41-D41+1</f>
        <v/>
      </c>
      <c r="G41" s="31" t="n">
        <v>400</v>
      </c>
      <c r="H41" s="34">
        <f>IF(AND(H$5&gt;=$D41,H$5&lt;=$E41),3,"")</f>
        <v/>
      </c>
      <c r="I41" s="34">
        <f>IF(AND(I$5&gt;=$D41,I$5&lt;=$E41),3,"")</f>
        <v/>
      </c>
      <c r="J41" s="34">
        <f>IF(AND(J$5&gt;=$D41,J$5&lt;=$E41),3,"")</f>
        <v/>
      </c>
      <c r="K41" s="34">
        <f>IF(AND(K$5&gt;=$D41,K$5&lt;=$E41),3,"")</f>
        <v/>
      </c>
      <c r="L41" s="34">
        <f>IF(AND(L$5&gt;=$D41,L$5&lt;=$E41),3,"")</f>
        <v/>
      </c>
      <c r="M41" s="34">
        <f>IF(AND(M$5&gt;=$D41,M$5&lt;=$E41),3,"")</f>
        <v/>
      </c>
      <c r="N41" s="34">
        <f>IF(AND(N$5&gt;=$D41,N$5&lt;=$E41),3,"")</f>
        <v/>
      </c>
      <c r="O41" s="34">
        <f>IF(AND(O$5&gt;=$D41,O$5&lt;=$E41),3,"")</f>
        <v/>
      </c>
      <c r="P41" s="34">
        <f>IF(AND(P$5&gt;=$D41,P$5&lt;=$E41),3,"")</f>
        <v/>
      </c>
      <c r="Q41" s="34">
        <f>IF(AND(Q$5&gt;=$D41,Q$5&lt;=$E41),3,"")</f>
        <v/>
      </c>
      <c r="R41" s="34">
        <f>IF(AND(R$5&gt;=$D41,R$5&lt;=$E41),3,"")</f>
        <v/>
      </c>
      <c r="S41" s="34">
        <f>IF(AND(S$5&gt;=$D41,S$5&lt;=$E41),3,"")</f>
        <v/>
      </c>
      <c r="T41" s="34">
        <f>IF(AND(T$5&gt;=$D41,T$5&lt;=$E41),3,"")</f>
        <v/>
      </c>
      <c r="U41" s="34">
        <f>IF(AND(U$5&gt;=$D41,U$5&lt;=$E41),3,"")</f>
        <v/>
      </c>
      <c r="V41" s="34">
        <f>IF(AND(V$5&gt;=$D41,V$5&lt;=$E41),3,"")</f>
        <v/>
      </c>
      <c r="W41" s="34">
        <f>IF(AND(W$5&gt;=$D41,W$5&lt;=$E41),3,"")</f>
        <v/>
      </c>
      <c r="X41" s="34">
        <f>IF(AND(X$5&gt;=$D41,X$5&lt;=$E41),3,"")</f>
        <v/>
      </c>
      <c r="Y41" s="34">
        <f>IF(AND(Y$5&gt;=$D41,Y$5&lt;=$E41),3,"")</f>
        <v/>
      </c>
      <c r="Z41" s="34">
        <f>IF(AND(Z$5&gt;=$D41,Z$5&lt;=$E41),3,"")</f>
        <v/>
      </c>
      <c r="AA41" s="34">
        <f>IF(AND(AA$5&gt;=$D41,AA$5&lt;=$E41),3,"")</f>
        <v/>
      </c>
      <c r="AB41" s="34">
        <f>IF(AND(AB$5&gt;=$D41,AB$5&lt;=$E41),3,"")</f>
        <v/>
      </c>
      <c r="AC41" s="34">
        <f>IF(AND(AC$5&gt;=$D41,AC$5&lt;=$E41),3,"")</f>
        <v/>
      </c>
      <c r="AD41" s="34">
        <f>IF(AND(AD$5&gt;=$D41,AD$5&lt;=$E41),3,"")</f>
        <v/>
      </c>
      <c r="AE41" s="34">
        <f>IF(AND(AE$5&gt;=$D41,AE$5&lt;=$E41),3,"")</f>
        <v/>
      </c>
      <c r="AF41" s="34">
        <f>IF(AND(AF$5&gt;=$D41,AF$5&lt;=$E41),3,"")</f>
        <v/>
      </c>
      <c r="AG41" s="34">
        <f>IF(AND(AG$5&gt;=$D41,AG$5&lt;=$E41),3,"")</f>
        <v/>
      </c>
      <c r="AH41" s="34">
        <f>IF(AND(AH$5&gt;=$D41,AH$5&lt;=$E41),3,"")</f>
        <v/>
      </c>
      <c r="AI41" s="34">
        <f>IF(AND(AI$5&gt;=$D41,AI$5&lt;=$E41),3,"")</f>
        <v/>
      </c>
      <c r="AJ41" s="34">
        <f>IF(AND(AJ$5&gt;=$D41,AJ$5&lt;=$E41),3,"")</f>
        <v/>
      </c>
      <c r="AK41" s="34">
        <f>IF(AND(AK$5&gt;=$D41,AK$5&lt;=$E41),3,"")</f>
        <v/>
      </c>
      <c r="AL41" s="34">
        <f>IF(AND(AL$5&gt;=$D41,AL$5&lt;=$E41),3,"")</f>
        <v/>
      </c>
      <c r="AM41" s="34">
        <f>IF(AND(AM$5&gt;=$D41,AM$5&lt;=$E41),3,"")</f>
        <v/>
      </c>
      <c r="AN41" s="34">
        <f>IF(AND(AN$5&gt;=$D41,AN$5&lt;=$E41),3,"")</f>
        <v/>
      </c>
      <c r="AO41" s="34">
        <f>IF(AND(AO$5&gt;=$D41,AO$5&lt;=$E41),3,"")</f>
        <v/>
      </c>
      <c r="AP41" s="34">
        <f>IF(AND(AP$5&gt;=$D41,AP$5&lt;=$E41),3,"")</f>
        <v/>
      </c>
      <c r="AQ41" s="34">
        <f>IF(AND(AQ$5&gt;=$D41,AQ$5&lt;=$E41),3,"")</f>
        <v/>
      </c>
      <c r="AR41" s="34">
        <f>IF(AND(AR$5&gt;=$D41,AR$5&lt;=$E41),3,"")</f>
        <v/>
      </c>
      <c r="AS41" s="34">
        <f>IF(AND(AS$5&gt;=$D41,AS$5&lt;=$E41),3,"")</f>
        <v/>
      </c>
      <c r="AT41" s="34">
        <f>IF(AND(AT$5&gt;=$D41,AT$5&lt;=$E41),3,"")</f>
        <v/>
      </c>
      <c r="AU41" s="34">
        <f>IF(AND(AU$5&gt;=$D41,AU$5&lt;=$E41),3,"")</f>
        <v/>
      </c>
      <c r="AV41" s="34">
        <f>IF(AND(AV$5&gt;=$D41,AV$5&lt;=$E41),3,"")</f>
        <v/>
      </c>
      <c r="AW41" s="34">
        <f>IF(AND(AW$5&gt;=$D41,AW$5&lt;=$E41),3,"")</f>
        <v/>
      </c>
      <c r="AX41" s="34">
        <f>IF(AND(AX$5&gt;=$D41,AX$5&lt;=$E41),3,"")</f>
        <v/>
      </c>
      <c r="AY41" s="34">
        <f>IF(AND(AY$5&gt;=$D41,AY$5&lt;=$E41),3,"")</f>
        <v/>
      </c>
      <c r="AZ41" s="34">
        <f>IF(AND(AZ$5&gt;=$D41,AZ$5&lt;=$E41),3,"")</f>
        <v/>
      </c>
      <c r="BA41" s="34">
        <f>IF(AND(BA$5&gt;=$D41,BA$5&lt;=$E41),3,"")</f>
        <v/>
      </c>
      <c r="BB41" s="34">
        <f>IF(AND(BB$5&gt;=$D41,BB$5&lt;=$E41),3,"")</f>
        <v/>
      </c>
      <c r="BC41" s="34">
        <f>IF(AND(BC$5&gt;=$D41,BC$5&lt;=$E41),3,"")</f>
        <v/>
      </c>
      <c r="BD41" s="34">
        <f>IF(AND(BD$5&gt;=$D41,BD$5&lt;=$E41),3,"")</f>
        <v/>
      </c>
      <c r="BE41" s="34">
        <f>IF(AND(BE$5&gt;=$D41,BE$5&lt;=$E41),3,"")</f>
        <v/>
      </c>
      <c r="BF41" s="34">
        <f>IF(AND(BF$5&gt;=$D41,BF$5&lt;=$E41),3,"")</f>
        <v/>
      </c>
      <c r="BG41" s="34">
        <f>IF(AND(BG$5&gt;=$D41,BG$5&lt;=$E41),3,"")</f>
        <v/>
      </c>
      <c r="BH41" s="34">
        <f>IF(AND(BH$5&gt;=$D41,BH$5&lt;=$E41),3,"")</f>
        <v/>
      </c>
      <c r="BI41" s="34">
        <f>IF(AND(BI$5&gt;=$D41,BI$5&lt;=$E41),3,"")</f>
        <v/>
      </c>
      <c r="BJ41" s="34">
        <f>IF(AND(BJ$5&gt;=$D41,BJ$5&lt;=$E41),3,"")</f>
        <v/>
      </c>
      <c r="BK41" s="34">
        <f>IF(AND(BK$5&gt;=$D41,BK$5&lt;=$E41),3,"")</f>
        <v/>
      </c>
    </row>
    <row r="42" ht="14.25" customHeight="1" s="36">
      <c r="A42" s="13" t="inlineStr">
        <is>
          <t>4 Transición</t>
        </is>
      </c>
      <c r="B42" s="13" t="inlineStr">
        <is>
          <t>4.1</t>
        </is>
      </c>
      <c r="C42" s="13" t="inlineStr">
        <is>
          <t>Plan de implantación</t>
        </is>
      </c>
      <c r="D42" s="13" t="n">
        <v>10</v>
      </c>
      <c r="E42" s="13" t="n">
        <v>17</v>
      </c>
      <c r="F42" s="13">
        <f>E42-D42+1</f>
        <v/>
      </c>
      <c r="G42" s="31" t="n">
        <v>240</v>
      </c>
      <c r="H42" s="34">
        <f>IF(AND(H$5&gt;=$D42,H$5&lt;=$E42),4,"")</f>
        <v/>
      </c>
      <c r="I42" s="34">
        <f>IF(AND(I$5&gt;=$D42,I$5&lt;=$E42),4,"")</f>
        <v/>
      </c>
      <c r="J42" s="34">
        <f>IF(AND(J$5&gt;=$D42,J$5&lt;=$E42),4,"")</f>
        <v/>
      </c>
      <c r="K42" s="34">
        <f>IF(AND(K$5&gt;=$D42,K$5&lt;=$E42),4,"")</f>
        <v/>
      </c>
      <c r="L42" s="34">
        <f>IF(AND(L$5&gt;=$D42,L$5&lt;=$E42),4,"")</f>
        <v/>
      </c>
      <c r="M42" s="34">
        <f>IF(AND(M$5&gt;=$D42,M$5&lt;=$E42),4,"")</f>
        <v/>
      </c>
      <c r="N42" s="34">
        <f>IF(AND(N$5&gt;=$D42,N$5&lt;=$E42),4,"")</f>
        <v/>
      </c>
      <c r="O42" s="34">
        <f>IF(AND(O$5&gt;=$D42,O$5&lt;=$E42),4,"")</f>
        <v/>
      </c>
      <c r="P42" s="34">
        <f>IF(AND(P$5&gt;=$D42,P$5&lt;=$E42),4,"")</f>
        <v/>
      </c>
      <c r="Q42" s="34">
        <f>IF(AND(Q$5&gt;=$D42,Q$5&lt;=$E42),4,"")</f>
        <v/>
      </c>
      <c r="R42" s="34">
        <f>IF(AND(R$5&gt;=$D42,R$5&lt;=$E42),4,"")</f>
        <v/>
      </c>
      <c r="S42" s="34">
        <f>IF(AND(S$5&gt;=$D42,S$5&lt;=$E42),4,"")</f>
        <v/>
      </c>
      <c r="T42" s="34">
        <f>IF(AND(T$5&gt;=$D42,T$5&lt;=$E42),4,"")</f>
        <v/>
      </c>
      <c r="U42" s="34">
        <f>IF(AND(U$5&gt;=$D42,U$5&lt;=$E42),4,"")</f>
        <v/>
      </c>
      <c r="V42" s="34">
        <f>IF(AND(V$5&gt;=$D42,V$5&lt;=$E42),4,"")</f>
        <v/>
      </c>
      <c r="W42" s="34">
        <f>IF(AND(W$5&gt;=$D42,W$5&lt;=$E42),4,"")</f>
        <v/>
      </c>
      <c r="X42" s="34">
        <f>IF(AND(X$5&gt;=$D42,X$5&lt;=$E42),4,"")</f>
        <v/>
      </c>
      <c r="Y42" s="34">
        <f>IF(AND(Y$5&gt;=$D42,Y$5&lt;=$E42),4,"")</f>
        <v/>
      </c>
      <c r="Z42" s="34">
        <f>IF(AND(Z$5&gt;=$D42,Z$5&lt;=$E42),4,"")</f>
        <v/>
      </c>
      <c r="AA42" s="34">
        <f>IF(AND(AA$5&gt;=$D42,AA$5&lt;=$E42),4,"")</f>
        <v/>
      </c>
      <c r="AB42" s="34">
        <f>IF(AND(AB$5&gt;=$D42,AB$5&lt;=$E42),4,"")</f>
        <v/>
      </c>
      <c r="AC42" s="34">
        <f>IF(AND(AC$5&gt;=$D42,AC$5&lt;=$E42),4,"")</f>
        <v/>
      </c>
      <c r="AD42" s="34">
        <f>IF(AND(AD$5&gt;=$D42,AD$5&lt;=$E42),4,"")</f>
        <v/>
      </c>
      <c r="AE42" s="34">
        <f>IF(AND(AE$5&gt;=$D42,AE$5&lt;=$E42),4,"")</f>
        <v/>
      </c>
      <c r="AF42" s="34">
        <f>IF(AND(AF$5&gt;=$D42,AF$5&lt;=$E42),4,"")</f>
        <v/>
      </c>
      <c r="AG42" s="34">
        <f>IF(AND(AG$5&gt;=$D42,AG$5&lt;=$E42),4,"")</f>
        <v/>
      </c>
      <c r="AH42" s="34">
        <f>IF(AND(AH$5&gt;=$D42,AH$5&lt;=$E42),4,"")</f>
        <v/>
      </c>
      <c r="AI42" s="34">
        <f>IF(AND(AI$5&gt;=$D42,AI$5&lt;=$E42),4,"")</f>
        <v/>
      </c>
      <c r="AJ42" s="34">
        <f>IF(AND(AJ$5&gt;=$D42,AJ$5&lt;=$E42),4,"")</f>
        <v/>
      </c>
      <c r="AK42" s="34">
        <f>IF(AND(AK$5&gt;=$D42,AK$5&lt;=$E42),4,"")</f>
        <v/>
      </c>
      <c r="AL42" s="34">
        <f>IF(AND(AL$5&gt;=$D42,AL$5&lt;=$E42),4,"")</f>
        <v/>
      </c>
      <c r="AM42" s="34">
        <f>IF(AND(AM$5&gt;=$D42,AM$5&lt;=$E42),4,"")</f>
        <v/>
      </c>
      <c r="AN42" s="34">
        <f>IF(AND(AN$5&gt;=$D42,AN$5&lt;=$E42),4,"")</f>
        <v/>
      </c>
      <c r="AO42" s="34">
        <f>IF(AND(AO$5&gt;=$D42,AO$5&lt;=$E42),4,"")</f>
        <v/>
      </c>
      <c r="AP42" s="34">
        <f>IF(AND(AP$5&gt;=$D42,AP$5&lt;=$E42),4,"")</f>
        <v/>
      </c>
      <c r="AQ42" s="34">
        <f>IF(AND(AQ$5&gt;=$D42,AQ$5&lt;=$E42),4,"")</f>
        <v/>
      </c>
      <c r="AR42" s="34">
        <f>IF(AND(AR$5&gt;=$D42,AR$5&lt;=$E42),4,"")</f>
        <v/>
      </c>
      <c r="AS42" s="34">
        <f>IF(AND(AS$5&gt;=$D42,AS$5&lt;=$E42),4,"")</f>
        <v/>
      </c>
      <c r="AT42" s="34">
        <f>IF(AND(AT$5&gt;=$D42,AT$5&lt;=$E42),4,"")</f>
        <v/>
      </c>
      <c r="AU42" s="34">
        <f>IF(AND(AU$5&gt;=$D42,AU$5&lt;=$E42),4,"")</f>
        <v/>
      </c>
      <c r="AV42" s="34">
        <f>IF(AND(AV$5&gt;=$D42,AV$5&lt;=$E42),4,"")</f>
        <v/>
      </c>
      <c r="AW42" s="34">
        <f>IF(AND(AW$5&gt;=$D42,AW$5&lt;=$E42),4,"")</f>
        <v/>
      </c>
      <c r="AX42" s="34">
        <f>IF(AND(AX$5&gt;=$D42,AX$5&lt;=$E42),4,"")</f>
        <v/>
      </c>
      <c r="AY42" s="34">
        <f>IF(AND(AY$5&gt;=$D42,AY$5&lt;=$E42),4,"")</f>
        <v/>
      </c>
      <c r="AZ42" s="34">
        <f>IF(AND(AZ$5&gt;=$D42,AZ$5&lt;=$E42),4,"")</f>
        <v/>
      </c>
      <c r="BA42" s="34">
        <f>IF(AND(BA$5&gt;=$D42,BA$5&lt;=$E42),4,"")</f>
        <v/>
      </c>
      <c r="BB42" s="34">
        <f>IF(AND(BB$5&gt;=$D42,BB$5&lt;=$E42),4,"")</f>
        <v/>
      </c>
      <c r="BC42" s="34">
        <f>IF(AND(BC$5&gt;=$D42,BC$5&lt;=$E42),4,"")</f>
        <v/>
      </c>
      <c r="BD42" s="34">
        <f>IF(AND(BD$5&gt;=$D42,BD$5&lt;=$E42),4,"")</f>
        <v/>
      </c>
      <c r="BE42" s="34">
        <f>IF(AND(BE$5&gt;=$D42,BE$5&lt;=$E42),4,"")</f>
        <v/>
      </c>
      <c r="BF42" s="34">
        <f>IF(AND(BF$5&gt;=$D42,BF$5&lt;=$E42),4,"")</f>
        <v/>
      </c>
      <c r="BG42" s="34">
        <f>IF(AND(BG$5&gt;=$D42,BG$5&lt;=$E42),4,"")</f>
        <v/>
      </c>
      <c r="BH42" s="34">
        <f>IF(AND(BH$5&gt;=$D42,BH$5&lt;=$E42),4,"")</f>
        <v/>
      </c>
      <c r="BI42" s="34">
        <f>IF(AND(BI$5&gt;=$D42,BI$5&lt;=$E42),4,"")</f>
        <v/>
      </c>
      <c r="BJ42" s="34">
        <f>IF(AND(BJ$5&gt;=$D42,BJ$5&lt;=$E42),4,"")</f>
        <v/>
      </c>
      <c r="BK42" s="34">
        <f>IF(AND(BK$5&gt;=$D42,BK$5&lt;=$E42),4,"")</f>
        <v/>
      </c>
    </row>
    <row r="43" ht="14.25" customHeight="1" s="36">
      <c r="A43" s="13" t="inlineStr">
        <is>
          <t>4 Transición</t>
        </is>
      </c>
      <c r="B43" s="13" t="inlineStr">
        <is>
          <t>4.2</t>
        </is>
      </c>
      <c r="C43" s="13" t="inlineStr">
        <is>
          <t>Marcha blanca y producción de la Etapa 1</t>
        </is>
      </c>
      <c r="D43" s="13" t="n">
        <v>13</v>
      </c>
      <c r="E43" s="13" t="n">
        <v>20</v>
      </c>
      <c r="F43" s="13">
        <f>E43-D43+1</f>
        <v/>
      </c>
      <c r="G43" s="31" t="n">
        <v>12880</v>
      </c>
      <c r="H43" s="34">
        <f>IF(AND(H$5&gt;=$D43,H$5&lt;=$E43),4,"")</f>
        <v/>
      </c>
      <c r="I43" s="34">
        <f>IF(AND(I$5&gt;=$D43,I$5&lt;=$E43),4,"")</f>
        <v/>
      </c>
      <c r="J43" s="34">
        <f>IF(AND(J$5&gt;=$D43,J$5&lt;=$E43),4,"")</f>
        <v/>
      </c>
      <c r="K43" s="34">
        <f>IF(AND(K$5&gt;=$D43,K$5&lt;=$E43),4,"")</f>
        <v/>
      </c>
      <c r="L43" s="34">
        <f>IF(AND(L$5&gt;=$D43,L$5&lt;=$E43),4,"")</f>
        <v/>
      </c>
      <c r="M43" s="34">
        <f>IF(AND(M$5&gt;=$D43,M$5&lt;=$E43),4,"")</f>
        <v/>
      </c>
      <c r="N43" s="34">
        <f>IF(AND(N$5&gt;=$D43,N$5&lt;=$E43),4,"")</f>
        <v/>
      </c>
      <c r="O43" s="34">
        <f>IF(AND(O$5&gt;=$D43,O$5&lt;=$E43),4,"")</f>
        <v/>
      </c>
      <c r="P43" s="34">
        <f>IF(AND(P$5&gt;=$D43,P$5&lt;=$E43),4,"")</f>
        <v/>
      </c>
      <c r="Q43" s="34">
        <f>IF(AND(Q$5&gt;=$D43,Q$5&lt;=$E43),4,"")</f>
        <v/>
      </c>
      <c r="R43" s="34">
        <f>IF(AND(R$5&gt;=$D43,R$5&lt;=$E43),4,"")</f>
        <v/>
      </c>
      <c r="S43" s="34">
        <f>IF(AND(S$5&gt;=$D43,S$5&lt;=$E43),4,"")</f>
        <v/>
      </c>
      <c r="T43" s="34">
        <f>IF(AND(T$5&gt;=$D43,T$5&lt;=$E43),4,"")</f>
        <v/>
      </c>
      <c r="U43" s="34">
        <f>IF(AND(U$5&gt;=$D43,U$5&lt;=$E43),4,"")</f>
        <v/>
      </c>
      <c r="V43" s="34">
        <f>IF(AND(V$5&gt;=$D43,V$5&lt;=$E43),4,"")</f>
        <v/>
      </c>
      <c r="W43" s="34">
        <f>IF(AND(W$5&gt;=$D43,W$5&lt;=$E43),4,"")</f>
        <v/>
      </c>
      <c r="X43" s="34">
        <f>IF(AND(X$5&gt;=$D43,X$5&lt;=$E43),4,"")</f>
        <v/>
      </c>
      <c r="Y43" s="34">
        <f>IF(AND(Y$5&gt;=$D43,Y$5&lt;=$E43),4,"")</f>
        <v/>
      </c>
      <c r="Z43" s="34">
        <f>IF(AND(Z$5&gt;=$D43,Z$5&lt;=$E43),4,"")</f>
        <v/>
      </c>
      <c r="AA43" s="34">
        <f>IF(AND(AA$5&gt;=$D43,AA$5&lt;=$E43),4,"")</f>
        <v/>
      </c>
      <c r="AB43" s="34">
        <f>IF(AND(AB$5&gt;=$D43,AB$5&lt;=$E43),4,"")</f>
        <v/>
      </c>
      <c r="AC43" s="34">
        <f>IF(AND(AC$5&gt;=$D43,AC$5&lt;=$E43),4,"")</f>
        <v/>
      </c>
      <c r="AD43" s="34">
        <f>IF(AND(AD$5&gt;=$D43,AD$5&lt;=$E43),4,"")</f>
        <v/>
      </c>
      <c r="AE43" s="34">
        <f>IF(AND(AE$5&gt;=$D43,AE$5&lt;=$E43),4,"")</f>
        <v/>
      </c>
      <c r="AF43" s="34">
        <f>IF(AND(AF$5&gt;=$D43,AF$5&lt;=$E43),4,"")</f>
        <v/>
      </c>
      <c r="AG43" s="34">
        <f>IF(AND(AG$5&gt;=$D43,AG$5&lt;=$E43),4,"")</f>
        <v/>
      </c>
      <c r="AH43" s="34">
        <f>IF(AND(AH$5&gt;=$D43,AH$5&lt;=$E43),4,"")</f>
        <v/>
      </c>
      <c r="AI43" s="34">
        <f>IF(AND(AI$5&gt;=$D43,AI$5&lt;=$E43),4,"")</f>
        <v/>
      </c>
      <c r="AJ43" s="34">
        <f>IF(AND(AJ$5&gt;=$D43,AJ$5&lt;=$E43),4,"")</f>
        <v/>
      </c>
      <c r="AK43" s="34">
        <f>IF(AND(AK$5&gt;=$D43,AK$5&lt;=$E43),4,"")</f>
        <v/>
      </c>
      <c r="AL43" s="34">
        <f>IF(AND(AL$5&gt;=$D43,AL$5&lt;=$E43),4,"")</f>
        <v/>
      </c>
      <c r="AM43" s="34">
        <f>IF(AND(AM$5&gt;=$D43,AM$5&lt;=$E43),4,"")</f>
        <v/>
      </c>
      <c r="AN43" s="34">
        <f>IF(AND(AN$5&gt;=$D43,AN$5&lt;=$E43),4,"")</f>
        <v/>
      </c>
      <c r="AO43" s="34">
        <f>IF(AND(AO$5&gt;=$D43,AO$5&lt;=$E43),4,"")</f>
        <v/>
      </c>
      <c r="AP43" s="34">
        <f>IF(AND(AP$5&gt;=$D43,AP$5&lt;=$E43),4,"")</f>
        <v/>
      </c>
      <c r="AQ43" s="34">
        <f>IF(AND(AQ$5&gt;=$D43,AQ$5&lt;=$E43),4,"")</f>
        <v/>
      </c>
      <c r="AR43" s="34">
        <f>IF(AND(AR$5&gt;=$D43,AR$5&lt;=$E43),4,"")</f>
        <v/>
      </c>
      <c r="AS43" s="34">
        <f>IF(AND(AS$5&gt;=$D43,AS$5&lt;=$E43),4,"")</f>
        <v/>
      </c>
      <c r="AT43" s="34">
        <f>IF(AND(AT$5&gt;=$D43,AT$5&lt;=$E43),4,"")</f>
        <v/>
      </c>
      <c r="AU43" s="34">
        <f>IF(AND(AU$5&gt;=$D43,AU$5&lt;=$E43),4,"")</f>
        <v/>
      </c>
      <c r="AV43" s="34">
        <f>IF(AND(AV$5&gt;=$D43,AV$5&lt;=$E43),4,"")</f>
        <v/>
      </c>
      <c r="AW43" s="34">
        <f>IF(AND(AW$5&gt;=$D43,AW$5&lt;=$E43),4,"")</f>
        <v/>
      </c>
      <c r="AX43" s="34">
        <f>IF(AND(AX$5&gt;=$D43,AX$5&lt;=$E43),4,"")</f>
        <v/>
      </c>
      <c r="AY43" s="34">
        <f>IF(AND(AY$5&gt;=$D43,AY$5&lt;=$E43),4,"")</f>
        <v/>
      </c>
      <c r="AZ43" s="34">
        <f>IF(AND(AZ$5&gt;=$D43,AZ$5&lt;=$E43),4,"")</f>
        <v/>
      </c>
      <c r="BA43" s="34">
        <f>IF(AND(BA$5&gt;=$D43,BA$5&lt;=$E43),4,"")</f>
        <v/>
      </c>
      <c r="BB43" s="34">
        <f>IF(AND(BB$5&gt;=$D43,BB$5&lt;=$E43),4,"")</f>
        <v/>
      </c>
      <c r="BC43" s="34">
        <f>IF(AND(BC$5&gt;=$D43,BC$5&lt;=$E43),4,"")</f>
        <v/>
      </c>
      <c r="BD43" s="34">
        <f>IF(AND(BD$5&gt;=$D43,BD$5&lt;=$E43),4,"")</f>
        <v/>
      </c>
      <c r="BE43" s="34">
        <f>IF(AND(BE$5&gt;=$D43,BE$5&lt;=$E43),4,"")</f>
        <v/>
      </c>
      <c r="BF43" s="34">
        <f>IF(AND(BF$5&gt;=$D43,BF$5&lt;=$E43),4,"")</f>
        <v/>
      </c>
      <c r="BG43" s="34">
        <f>IF(AND(BG$5&gt;=$D43,BG$5&lt;=$E43),4,"")</f>
        <v/>
      </c>
      <c r="BH43" s="34">
        <f>IF(AND(BH$5&gt;=$D43,BH$5&lt;=$E43),4,"")</f>
        <v/>
      </c>
      <c r="BI43" s="34">
        <f>IF(AND(BI$5&gt;=$D43,BI$5&lt;=$E43),4,"")</f>
        <v/>
      </c>
      <c r="BJ43" s="34">
        <f>IF(AND(BJ$5&gt;=$D43,BJ$5&lt;=$E43),4,"")</f>
        <v/>
      </c>
      <c r="BK43" s="34">
        <f>IF(AND(BK$5&gt;=$D43,BK$5&lt;=$E43),4,"")</f>
        <v/>
      </c>
    </row>
    <row r="44" ht="14.25" customHeight="1" s="36">
      <c r="A44" s="13" t="inlineStr">
        <is>
          <t>4 Transición</t>
        </is>
      </c>
      <c r="B44" s="13" t="inlineStr">
        <is>
          <t>4.3</t>
        </is>
      </c>
      <c r="C44" s="13" t="inlineStr">
        <is>
          <t>Marcha blanca y producción de la Etapa 2</t>
        </is>
      </c>
      <c r="D44" s="13" t="n">
        <v>19</v>
      </c>
      <c r="E44" s="13" t="n">
        <v>22</v>
      </c>
      <c r="F44" s="13">
        <f>E44-D44+1</f>
        <v/>
      </c>
      <c r="G44" s="31" t="n">
        <v>7552</v>
      </c>
      <c r="H44" s="34">
        <f>IF(AND(H$5&gt;=$D44,H$5&lt;=$E44),4,"")</f>
        <v/>
      </c>
      <c r="I44" s="34">
        <f>IF(AND(I$5&gt;=$D44,I$5&lt;=$E44),4,"")</f>
        <v/>
      </c>
      <c r="J44" s="34">
        <f>IF(AND(J$5&gt;=$D44,J$5&lt;=$E44),4,"")</f>
        <v/>
      </c>
      <c r="K44" s="34">
        <f>IF(AND(K$5&gt;=$D44,K$5&lt;=$E44),4,"")</f>
        <v/>
      </c>
      <c r="L44" s="34">
        <f>IF(AND(L$5&gt;=$D44,L$5&lt;=$E44),4,"")</f>
        <v/>
      </c>
      <c r="M44" s="34">
        <f>IF(AND(M$5&gt;=$D44,M$5&lt;=$E44),4,"")</f>
        <v/>
      </c>
      <c r="N44" s="34">
        <f>IF(AND(N$5&gt;=$D44,N$5&lt;=$E44),4,"")</f>
        <v/>
      </c>
      <c r="O44" s="34">
        <f>IF(AND(O$5&gt;=$D44,O$5&lt;=$E44),4,"")</f>
        <v/>
      </c>
      <c r="P44" s="34">
        <f>IF(AND(P$5&gt;=$D44,P$5&lt;=$E44),4,"")</f>
        <v/>
      </c>
      <c r="Q44" s="34">
        <f>IF(AND(Q$5&gt;=$D44,Q$5&lt;=$E44),4,"")</f>
        <v/>
      </c>
      <c r="R44" s="34">
        <f>IF(AND(R$5&gt;=$D44,R$5&lt;=$E44),4,"")</f>
        <v/>
      </c>
      <c r="S44" s="34">
        <f>IF(AND(S$5&gt;=$D44,S$5&lt;=$E44),4,"")</f>
        <v/>
      </c>
      <c r="T44" s="34">
        <f>IF(AND(T$5&gt;=$D44,T$5&lt;=$E44),4,"")</f>
        <v/>
      </c>
      <c r="U44" s="34">
        <f>IF(AND(U$5&gt;=$D44,U$5&lt;=$E44),4,"")</f>
        <v/>
      </c>
      <c r="V44" s="34">
        <f>IF(AND(V$5&gt;=$D44,V$5&lt;=$E44),4,"")</f>
        <v/>
      </c>
      <c r="W44" s="34">
        <f>IF(AND(W$5&gt;=$D44,W$5&lt;=$E44),4,"")</f>
        <v/>
      </c>
      <c r="X44" s="34">
        <f>IF(AND(X$5&gt;=$D44,X$5&lt;=$E44),4,"")</f>
        <v/>
      </c>
      <c r="Y44" s="34">
        <f>IF(AND(Y$5&gt;=$D44,Y$5&lt;=$E44),4,"")</f>
        <v/>
      </c>
      <c r="Z44" s="34">
        <f>IF(AND(Z$5&gt;=$D44,Z$5&lt;=$E44),4,"")</f>
        <v/>
      </c>
      <c r="AA44" s="34">
        <f>IF(AND(AA$5&gt;=$D44,AA$5&lt;=$E44),4,"")</f>
        <v/>
      </c>
      <c r="AB44" s="34">
        <f>IF(AND(AB$5&gt;=$D44,AB$5&lt;=$E44),4,"")</f>
        <v/>
      </c>
      <c r="AC44" s="34">
        <f>IF(AND(AC$5&gt;=$D44,AC$5&lt;=$E44),4,"")</f>
        <v/>
      </c>
      <c r="AD44" s="34">
        <f>IF(AND(AD$5&gt;=$D44,AD$5&lt;=$E44),4,"")</f>
        <v/>
      </c>
      <c r="AE44" s="34">
        <f>IF(AND(AE$5&gt;=$D44,AE$5&lt;=$E44),4,"")</f>
        <v/>
      </c>
      <c r="AF44" s="34">
        <f>IF(AND(AF$5&gt;=$D44,AF$5&lt;=$E44),4,"")</f>
        <v/>
      </c>
      <c r="AG44" s="34">
        <f>IF(AND(AG$5&gt;=$D44,AG$5&lt;=$E44),4,"")</f>
        <v/>
      </c>
      <c r="AH44" s="34">
        <f>IF(AND(AH$5&gt;=$D44,AH$5&lt;=$E44),4,"")</f>
        <v/>
      </c>
      <c r="AI44" s="34">
        <f>IF(AND(AI$5&gt;=$D44,AI$5&lt;=$E44),4,"")</f>
        <v/>
      </c>
      <c r="AJ44" s="34">
        <f>IF(AND(AJ$5&gt;=$D44,AJ$5&lt;=$E44),4,"")</f>
        <v/>
      </c>
      <c r="AK44" s="34">
        <f>IF(AND(AK$5&gt;=$D44,AK$5&lt;=$E44),4,"")</f>
        <v/>
      </c>
      <c r="AL44" s="34">
        <f>IF(AND(AL$5&gt;=$D44,AL$5&lt;=$E44),4,"")</f>
        <v/>
      </c>
      <c r="AM44" s="34">
        <f>IF(AND(AM$5&gt;=$D44,AM$5&lt;=$E44),4,"")</f>
        <v/>
      </c>
      <c r="AN44" s="34">
        <f>IF(AND(AN$5&gt;=$D44,AN$5&lt;=$E44),4,"")</f>
        <v/>
      </c>
      <c r="AO44" s="34">
        <f>IF(AND(AO$5&gt;=$D44,AO$5&lt;=$E44),4,"")</f>
        <v/>
      </c>
      <c r="AP44" s="34">
        <f>IF(AND(AP$5&gt;=$D44,AP$5&lt;=$E44),4,"")</f>
        <v/>
      </c>
      <c r="AQ44" s="34">
        <f>IF(AND(AQ$5&gt;=$D44,AQ$5&lt;=$E44),4,"")</f>
        <v/>
      </c>
      <c r="AR44" s="34">
        <f>IF(AND(AR$5&gt;=$D44,AR$5&lt;=$E44),4,"")</f>
        <v/>
      </c>
      <c r="AS44" s="34">
        <f>IF(AND(AS$5&gt;=$D44,AS$5&lt;=$E44),4,"")</f>
        <v/>
      </c>
      <c r="AT44" s="34">
        <f>IF(AND(AT$5&gt;=$D44,AT$5&lt;=$E44),4,"")</f>
        <v/>
      </c>
      <c r="AU44" s="34">
        <f>IF(AND(AU$5&gt;=$D44,AU$5&lt;=$E44),4,"")</f>
        <v/>
      </c>
      <c r="AV44" s="34">
        <f>IF(AND(AV$5&gt;=$D44,AV$5&lt;=$E44),4,"")</f>
        <v/>
      </c>
      <c r="AW44" s="34">
        <f>IF(AND(AW$5&gt;=$D44,AW$5&lt;=$E44),4,"")</f>
        <v/>
      </c>
      <c r="AX44" s="34">
        <f>IF(AND(AX$5&gt;=$D44,AX$5&lt;=$E44),4,"")</f>
        <v/>
      </c>
      <c r="AY44" s="34">
        <f>IF(AND(AY$5&gt;=$D44,AY$5&lt;=$E44),4,"")</f>
        <v/>
      </c>
      <c r="AZ44" s="34">
        <f>IF(AND(AZ$5&gt;=$D44,AZ$5&lt;=$E44),4,"")</f>
        <v/>
      </c>
      <c r="BA44" s="34">
        <f>IF(AND(BA$5&gt;=$D44,BA$5&lt;=$E44),4,"")</f>
        <v/>
      </c>
      <c r="BB44" s="34">
        <f>IF(AND(BB$5&gt;=$D44,BB$5&lt;=$E44),4,"")</f>
        <v/>
      </c>
      <c r="BC44" s="34">
        <f>IF(AND(BC$5&gt;=$D44,BC$5&lt;=$E44),4,"")</f>
        <v/>
      </c>
      <c r="BD44" s="34">
        <f>IF(AND(BD$5&gt;=$D44,BD$5&lt;=$E44),4,"")</f>
        <v/>
      </c>
      <c r="BE44" s="34">
        <f>IF(AND(BE$5&gt;=$D44,BE$5&lt;=$E44),4,"")</f>
        <v/>
      </c>
      <c r="BF44" s="34">
        <f>IF(AND(BF$5&gt;=$D44,BF$5&lt;=$E44),4,"")</f>
        <v/>
      </c>
      <c r="BG44" s="34">
        <f>IF(AND(BG$5&gt;=$D44,BG$5&lt;=$E44),4,"")</f>
        <v/>
      </c>
      <c r="BH44" s="34">
        <f>IF(AND(BH$5&gt;=$D44,BH$5&lt;=$E44),4,"")</f>
        <v/>
      </c>
      <c r="BI44" s="34">
        <f>IF(AND(BI$5&gt;=$D44,BI$5&lt;=$E44),4,"")</f>
        <v/>
      </c>
      <c r="BJ44" s="34">
        <f>IF(AND(BJ$5&gt;=$D44,BJ$5&lt;=$E44),4,"")</f>
        <v/>
      </c>
      <c r="BK44" s="34">
        <f>IF(AND(BK$5&gt;=$D44,BK$5&lt;=$E44),4,"")</f>
        <v/>
      </c>
    </row>
    <row r="45" ht="14.25" customHeight="1" s="36">
      <c r="A45" s="13" t="inlineStr">
        <is>
          <t>5 Adquisiciones y contrataciones</t>
        </is>
      </c>
      <c r="B45" s="13" t="inlineStr">
        <is>
          <t>5.1</t>
        </is>
      </c>
      <c r="C45" s="13" t="inlineStr">
        <is>
          <t>Hardware e infraestructura</t>
        </is>
      </c>
      <c r="D45" s="13" t="n">
        <v>2</v>
      </c>
      <c r="E45" s="13" t="n">
        <v>5</v>
      </c>
      <c r="F45" s="13">
        <f>E45-D45+1</f>
        <v/>
      </c>
      <c r="G45" s="31" t="n">
        <v>240</v>
      </c>
      <c r="H45" s="34">
        <f>IF(AND(H$5&gt;=$D45,H$5&lt;=$E45),5,"")</f>
        <v/>
      </c>
      <c r="I45" s="34">
        <f>IF(AND(I$5&gt;=$D45,I$5&lt;=$E45),5,"")</f>
        <v/>
      </c>
      <c r="J45" s="34">
        <f>IF(AND(J$5&gt;=$D45,J$5&lt;=$E45),5,"")</f>
        <v/>
      </c>
      <c r="K45" s="34">
        <f>IF(AND(K$5&gt;=$D45,K$5&lt;=$E45),5,"")</f>
        <v/>
      </c>
      <c r="L45" s="34">
        <f>IF(AND(L$5&gt;=$D45,L$5&lt;=$E45),5,"")</f>
        <v/>
      </c>
      <c r="M45" s="34">
        <f>IF(AND(M$5&gt;=$D45,M$5&lt;=$E45),5,"")</f>
        <v/>
      </c>
      <c r="N45" s="34">
        <f>IF(AND(N$5&gt;=$D45,N$5&lt;=$E45),5,"")</f>
        <v/>
      </c>
      <c r="O45" s="34">
        <f>IF(AND(O$5&gt;=$D45,O$5&lt;=$E45),5,"")</f>
        <v/>
      </c>
      <c r="P45" s="34">
        <f>IF(AND(P$5&gt;=$D45,P$5&lt;=$E45),5,"")</f>
        <v/>
      </c>
      <c r="Q45" s="34">
        <f>IF(AND(Q$5&gt;=$D45,Q$5&lt;=$E45),5,"")</f>
        <v/>
      </c>
      <c r="R45" s="34">
        <f>IF(AND(R$5&gt;=$D45,R$5&lt;=$E45),5,"")</f>
        <v/>
      </c>
      <c r="S45" s="34">
        <f>IF(AND(S$5&gt;=$D45,S$5&lt;=$E45),5,"")</f>
        <v/>
      </c>
      <c r="T45" s="34">
        <f>IF(AND(T$5&gt;=$D45,T$5&lt;=$E45),5,"")</f>
        <v/>
      </c>
      <c r="U45" s="34">
        <f>IF(AND(U$5&gt;=$D45,U$5&lt;=$E45),5,"")</f>
        <v/>
      </c>
      <c r="V45" s="34">
        <f>IF(AND(V$5&gt;=$D45,V$5&lt;=$E45),5,"")</f>
        <v/>
      </c>
      <c r="W45" s="34">
        <f>IF(AND(W$5&gt;=$D45,W$5&lt;=$E45),5,"")</f>
        <v/>
      </c>
      <c r="X45" s="34">
        <f>IF(AND(X$5&gt;=$D45,X$5&lt;=$E45),5,"")</f>
        <v/>
      </c>
      <c r="Y45" s="34">
        <f>IF(AND(Y$5&gt;=$D45,Y$5&lt;=$E45),5,"")</f>
        <v/>
      </c>
      <c r="Z45" s="34">
        <f>IF(AND(Z$5&gt;=$D45,Z$5&lt;=$E45),5,"")</f>
        <v/>
      </c>
      <c r="AA45" s="34">
        <f>IF(AND(AA$5&gt;=$D45,AA$5&lt;=$E45),5,"")</f>
        <v/>
      </c>
      <c r="AB45" s="34">
        <f>IF(AND(AB$5&gt;=$D45,AB$5&lt;=$E45),5,"")</f>
        <v/>
      </c>
      <c r="AC45" s="34">
        <f>IF(AND(AC$5&gt;=$D45,AC$5&lt;=$E45),5,"")</f>
        <v/>
      </c>
      <c r="AD45" s="34">
        <f>IF(AND(AD$5&gt;=$D45,AD$5&lt;=$E45),5,"")</f>
        <v/>
      </c>
      <c r="AE45" s="34">
        <f>IF(AND(AE$5&gt;=$D45,AE$5&lt;=$E45),5,"")</f>
        <v/>
      </c>
      <c r="AF45" s="34">
        <f>IF(AND(AF$5&gt;=$D45,AF$5&lt;=$E45),5,"")</f>
        <v/>
      </c>
      <c r="AG45" s="34">
        <f>IF(AND(AG$5&gt;=$D45,AG$5&lt;=$E45),5,"")</f>
        <v/>
      </c>
      <c r="AH45" s="34">
        <f>IF(AND(AH$5&gt;=$D45,AH$5&lt;=$E45),5,"")</f>
        <v/>
      </c>
      <c r="AI45" s="34">
        <f>IF(AND(AI$5&gt;=$D45,AI$5&lt;=$E45),5,"")</f>
        <v/>
      </c>
      <c r="AJ45" s="34">
        <f>IF(AND(AJ$5&gt;=$D45,AJ$5&lt;=$E45),5,"")</f>
        <v/>
      </c>
      <c r="AK45" s="34">
        <f>IF(AND(AK$5&gt;=$D45,AK$5&lt;=$E45),5,"")</f>
        <v/>
      </c>
      <c r="AL45" s="34">
        <f>IF(AND(AL$5&gt;=$D45,AL$5&lt;=$E45),5,"")</f>
        <v/>
      </c>
      <c r="AM45" s="34">
        <f>IF(AND(AM$5&gt;=$D45,AM$5&lt;=$E45),5,"")</f>
        <v/>
      </c>
      <c r="AN45" s="34">
        <f>IF(AND(AN$5&gt;=$D45,AN$5&lt;=$E45),5,"")</f>
        <v/>
      </c>
      <c r="AO45" s="34">
        <f>IF(AND(AO$5&gt;=$D45,AO$5&lt;=$E45),5,"")</f>
        <v/>
      </c>
      <c r="AP45" s="34">
        <f>IF(AND(AP$5&gt;=$D45,AP$5&lt;=$E45),5,"")</f>
        <v/>
      </c>
      <c r="AQ45" s="34">
        <f>IF(AND(AQ$5&gt;=$D45,AQ$5&lt;=$E45),5,"")</f>
        <v/>
      </c>
      <c r="AR45" s="34">
        <f>IF(AND(AR$5&gt;=$D45,AR$5&lt;=$E45),5,"")</f>
        <v/>
      </c>
      <c r="AS45" s="34">
        <f>IF(AND(AS$5&gt;=$D45,AS$5&lt;=$E45),5,"")</f>
        <v/>
      </c>
      <c r="AT45" s="34">
        <f>IF(AND(AT$5&gt;=$D45,AT$5&lt;=$E45),5,"")</f>
        <v/>
      </c>
      <c r="AU45" s="34">
        <f>IF(AND(AU$5&gt;=$D45,AU$5&lt;=$E45),5,"")</f>
        <v/>
      </c>
      <c r="AV45" s="34">
        <f>IF(AND(AV$5&gt;=$D45,AV$5&lt;=$E45),5,"")</f>
        <v/>
      </c>
      <c r="AW45" s="34">
        <f>IF(AND(AW$5&gt;=$D45,AW$5&lt;=$E45),5,"")</f>
        <v/>
      </c>
      <c r="AX45" s="34">
        <f>IF(AND(AX$5&gt;=$D45,AX$5&lt;=$E45),5,"")</f>
        <v/>
      </c>
      <c r="AY45" s="34">
        <f>IF(AND(AY$5&gt;=$D45,AY$5&lt;=$E45),5,"")</f>
        <v/>
      </c>
      <c r="AZ45" s="34">
        <f>IF(AND(AZ$5&gt;=$D45,AZ$5&lt;=$E45),5,"")</f>
        <v/>
      </c>
      <c r="BA45" s="34">
        <f>IF(AND(BA$5&gt;=$D45,BA$5&lt;=$E45),5,"")</f>
        <v/>
      </c>
      <c r="BB45" s="34">
        <f>IF(AND(BB$5&gt;=$D45,BB$5&lt;=$E45),5,"")</f>
        <v/>
      </c>
      <c r="BC45" s="34">
        <f>IF(AND(BC$5&gt;=$D45,BC$5&lt;=$E45),5,"")</f>
        <v/>
      </c>
      <c r="BD45" s="34">
        <f>IF(AND(BD$5&gt;=$D45,BD$5&lt;=$E45),5,"")</f>
        <v/>
      </c>
      <c r="BE45" s="34">
        <f>IF(AND(BE$5&gt;=$D45,BE$5&lt;=$E45),5,"")</f>
        <v/>
      </c>
      <c r="BF45" s="34">
        <f>IF(AND(BF$5&gt;=$D45,BF$5&lt;=$E45),5,"")</f>
        <v/>
      </c>
      <c r="BG45" s="34">
        <f>IF(AND(BG$5&gt;=$D45,BG$5&lt;=$E45),5,"")</f>
        <v/>
      </c>
      <c r="BH45" s="34">
        <f>IF(AND(BH$5&gt;=$D45,BH$5&lt;=$E45),5,"")</f>
        <v/>
      </c>
      <c r="BI45" s="34">
        <f>IF(AND(BI$5&gt;=$D45,BI$5&lt;=$E45),5,"")</f>
        <v/>
      </c>
      <c r="BJ45" s="34">
        <f>IF(AND(BJ$5&gt;=$D45,BJ$5&lt;=$E45),5,"")</f>
        <v/>
      </c>
      <c r="BK45" s="34">
        <f>IF(AND(BK$5&gt;=$D45,BK$5&lt;=$E45),5,"")</f>
        <v/>
      </c>
    </row>
    <row r="46" ht="14.25" customHeight="1" s="36">
      <c r="A46" s="13" t="inlineStr">
        <is>
          <t>5 Adquisiciones y contrataciones</t>
        </is>
      </c>
      <c r="B46" s="13" t="inlineStr">
        <is>
          <t>5.2</t>
        </is>
      </c>
      <c r="C46" s="13" t="inlineStr">
        <is>
          <t>Servicios de nube y licencias</t>
        </is>
      </c>
      <c r="D46" s="13" t="n">
        <v>2</v>
      </c>
      <c r="E46" s="13" t="n">
        <v>4</v>
      </c>
      <c r="F46" s="13">
        <f>E46-D46+1</f>
        <v/>
      </c>
      <c r="G46" s="31" t="n">
        <v>240</v>
      </c>
      <c r="H46" s="34">
        <f>IF(AND(H$5&gt;=$D46,H$5&lt;=$E46),5,"")</f>
        <v/>
      </c>
      <c r="I46" s="34">
        <f>IF(AND(I$5&gt;=$D46,I$5&lt;=$E46),5,"")</f>
        <v/>
      </c>
      <c r="J46" s="34">
        <f>IF(AND(J$5&gt;=$D46,J$5&lt;=$E46),5,"")</f>
        <v/>
      </c>
      <c r="K46" s="34">
        <f>IF(AND(K$5&gt;=$D46,K$5&lt;=$E46),5,"")</f>
        <v/>
      </c>
      <c r="L46" s="34">
        <f>IF(AND(L$5&gt;=$D46,L$5&lt;=$E46),5,"")</f>
        <v/>
      </c>
      <c r="M46" s="34">
        <f>IF(AND(M$5&gt;=$D46,M$5&lt;=$E46),5,"")</f>
        <v/>
      </c>
      <c r="N46" s="34">
        <f>IF(AND(N$5&gt;=$D46,N$5&lt;=$E46),5,"")</f>
        <v/>
      </c>
      <c r="O46" s="34">
        <f>IF(AND(O$5&gt;=$D46,O$5&lt;=$E46),5,"")</f>
        <v/>
      </c>
      <c r="P46" s="34">
        <f>IF(AND(P$5&gt;=$D46,P$5&lt;=$E46),5,"")</f>
        <v/>
      </c>
      <c r="Q46" s="34">
        <f>IF(AND(Q$5&gt;=$D46,Q$5&lt;=$E46),5,"")</f>
        <v/>
      </c>
      <c r="R46" s="34">
        <f>IF(AND(R$5&gt;=$D46,R$5&lt;=$E46),5,"")</f>
        <v/>
      </c>
      <c r="S46" s="34">
        <f>IF(AND(S$5&gt;=$D46,S$5&lt;=$E46),5,"")</f>
        <v/>
      </c>
      <c r="T46" s="34">
        <f>IF(AND(T$5&gt;=$D46,T$5&lt;=$E46),5,"")</f>
        <v/>
      </c>
      <c r="U46" s="34">
        <f>IF(AND(U$5&gt;=$D46,U$5&lt;=$E46),5,"")</f>
        <v/>
      </c>
      <c r="V46" s="34">
        <f>IF(AND(V$5&gt;=$D46,V$5&lt;=$E46),5,"")</f>
        <v/>
      </c>
      <c r="W46" s="34">
        <f>IF(AND(W$5&gt;=$D46,W$5&lt;=$E46),5,"")</f>
        <v/>
      </c>
      <c r="X46" s="34">
        <f>IF(AND(X$5&gt;=$D46,X$5&lt;=$E46),5,"")</f>
        <v/>
      </c>
      <c r="Y46" s="34">
        <f>IF(AND(Y$5&gt;=$D46,Y$5&lt;=$E46),5,"")</f>
        <v/>
      </c>
      <c r="Z46" s="34">
        <f>IF(AND(Z$5&gt;=$D46,Z$5&lt;=$E46),5,"")</f>
        <v/>
      </c>
      <c r="AA46" s="34">
        <f>IF(AND(AA$5&gt;=$D46,AA$5&lt;=$E46),5,"")</f>
        <v/>
      </c>
      <c r="AB46" s="34">
        <f>IF(AND(AB$5&gt;=$D46,AB$5&lt;=$E46),5,"")</f>
        <v/>
      </c>
      <c r="AC46" s="34">
        <f>IF(AND(AC$5&gt;=$D46,AC$5&lt;=$E46),5,"")</f>
        <v/>
      </c>
      <c r="AD46" s="34">
        <f>IF(AND(AD$5&gt;=$D46,AD$5&lt;=$E46),5,"")</f>
        <v/>
      </c>
      <c r="AE46" s="34">
        <f>IF(AND(AE$5&gt;=$D46,AE$5&lt;=$E46),5,"")</f>
        <v/>
      </c>
      <c r="AF46" s="34">
        <f>IF(AND(AF$5&gt;=$D46,AF$5&lt;=$E46),5,"")</f>
        <v/>
      </c>
      <c r="AG46" s="34">
        <f>IF(AND(AG$5&gt;=$D46,AG$5&lt;=$E46),5,"")</f>
        <v/>
      </c>
      <c r="AH46" s="34">
        <f>IF(AND(AH$5&gt;=$D46,AH$5&lt;=$E46),5,"")</f>
        <v/>
      </c>
      <c r="AI46" s="34">
        <f>IF(AND(AI$5&gt;=$D46,AI$5&lt;=$E46),5,"")</f>
        <v/>
      </c>
      <c r="AJ46" s="34">
        <f>IF(AND(AJ$5&gt;=$D46,AJ$5&lt;=$E46),5,"")</f>
        <v/>
      </c>
      <c r="AK46" s="34">
        <f>IF(AND(AK$5&gt;=$D46,AK$5&lt;=$E46),5,"")</f>
        <v/>
      </c>
      <c r="AL46" s="34">
        <f>IF(AND(AL$5&gt;=$D46,AL$5&lt;=$E46),5,"")</f>
        <v/>
      </c>
      <c r="AM46" s="34">
        <f>IF(AND(AM$5&gt;=$D46,AM$5&lt;=$E46),5,"")</f>
        <v/>
      </c>
      <c r="AN46" s="34">
        <f>IF(AND(AN$5&gt;=$D46,AN$5&lt;=$E46),5,"")</f>
        <v/>
      </c>
      <c r="AO46" s="34">
        <f>IF(AND(AO$5&gt;=$D46,AO$5&lt;=$E46),5,"")</f>
        <v/>
      </c>
      <c r="AP46" s="34">
        <f>IF(AND(AP$5&gt;=$D46,AP$5&lt;=$E46),5,"")</f>
        <v/>
      </c>
      <c r="AQ46" s="34">
        <f>IF(AND(AQ$5&gt;=$D46,AQ$5&lt;=$E46),5,"")</f>
        <v/>
      </c>
      <c r="AR46" s="34">
        <f>IF(AND(AR$5&gt;=$D46,AR$5&lt;=$E46),5,"")</f>
        <v/>
      </c>
      <c r="AS46" s="34">
        <f>IF(AND(AS$5&gt;=$D46,AS$5&lt;=$E46),5,"")</f>
        <v/>
      </c>
      <c r="AT46" s="34">
        <f>IF(AND(AT$5&gt;=$D46,AT$5&lt;=$E46),5,"")</f>
        <v/>
      </c>
      <c r="AU46" s="34">
        <f>IF(AND(AU$5&gt;=$D46,AU$5&lt;=$E46),5,"")</f>
        <v/>
      </c>
      <c r="AV46" s="34">
        <f>IF(AND(AV$5&gt;=$D46,AV$5&lt;=$E46),5,"")</f>
        <v/>
      </c>
      <c r="AW46" s="34">
        <f>IF(AND(AW$5&gt;=$D46,AW$5&lt;=$E46),5,"")</f>
        <v/>
      </c>
      <c r="AX46" s="34">
        <f>IF(AND(AX$5&gt;=$D46,AX$5&lt;=$E46),5,"")</f>
        <v/>
      </c>
      <c r="AY46" s="34">
        <f>IF(AND(AY$5&gt;=$D46,AY$5&lt;=$E46),5,"")</f>
        <v/>
      </c>
      <c r="AZ46" s="34">
        <f>IF(AND(AZ$5&gt;=$D46,AZ$5&lt;=$E46),5,"")</f>
        <v/>
      </c>
      <c r="BA46" s="34">
        <f>IF(AND(BA$5&gt;=$D46,BA$5&lt;=$E46),5,"")</f>
        <v/>
      </c>
      <c r="BB46" s="34">
        <f>IF(AND(BB$5&gt;=$D46,BB$5&lt;=$E46),5,"")</f>
        <v/>
      </c>
      <c r="BC46" s="34">
        <f>IF(AND(BC$5&gt;=$D46,BC$5&lt;=$E46),5,"")</f>
        <v/>
      </c>
      <c r="BD46" s="34">
        <f>IF(AND(BD$5&gt;=$D46,BD$5&lt;=$E46),5,"")</f>
        <v/>
      </c>
      <c r="BE46" s="34">
        <f>IF(AND(BE$5&gt;=$D46,BE$5&lt;=$E46),5,"")</f>
        <v/>
      </c>
      <c r="BF46" s="34">
        <f>IF(AND(BF$5&gt;=$D46,BF$5&lt;=$E46),5,"")</f>
        <v/>
      </c>
      <c r="BG46" s="34">
        <f>IF(AND(BG$5&gt;=$D46,BG$5&lt;=$E46),5,"")</f>
        <v/>
      </c>
      <c r="BH46" s="34">
        <f>IF(AND(BH$5&gt;=$D46,BH$5&lt;=$E46),5,"")</f>
        <v/>
      </c>
      <c r="BI46" s="34">
        <f>IF(AND(BI$5&gt;=$D46,BI$5&lt;=$E46),5,"")</f>
        <v/>
      </c>
      <c r="BJ46" s="34">
        <f>IF(AND(BJ$5&gt;=$D46,BJ$5&lt;=$E46),5,"")</f>
        <v/>
      </c>
      <c r="BK46" s="34">
        <f>IF(AND(BK$5&gt;=$D46,BK$5&lt;=$E46),5,"")</f>
        <v/>
      </c>
    </row>
    <row r="47" ht="14.25" customHeight="1" s="36">
      <c r="A47" s="13" t="inlineStr">
        <is>
          <t>5 Adquisiciones y contrataciones</t>
        </is>
      </c>
      <c r="B47" s="13" t="inlineStr">
        <is>
          <t>5.3</t>
        </is>
      </c>
      <c r="C47" s="13" t="inlineStr">
        <is>
          <t>Enlaces de comunicaciones</t>
        </is>
      </c>
      <c r="D47" s="13" t="n">
        <v>4</v>
      </c>
      <c r="E47" s="13" t="n">
        <v>4</v>
      </c>
      <c r="F47" s="13">
        <f>E47-D47+1</f>
        <v/>
      </c>
      <c r="G47" s="31" t="n">
        <v>240</v>
      </c>
      <c r="H47" s="34">
        <f>IF(AND(H$5&gt;=$D47,H$5&lt;=$E47),5,"")</f>
        <v/>
      </c>
      <c r="I47" s="34">
        <f>IF(AND(I$5&gt;=$D47,I$5&lt;=$E47),5,"")</f>
        <v/>
      </c>
      <c r="J47" s="34">
        <f>IF(AND(J$5&gt;=$D47,J$5&lt;=$E47),5,"")</f>
        <v/>
      </c>
      <c r="K47" s="34">
        <f>IF(AND(K$5&gt;=$D47,K$5&lt;=$E47),5,"")</f>
        <v/>
      </c>
      <c r="L47" s="34">
        <f>IF(AND(L$5&gt;=$D47,L$5&lt;=$E47),5,"")</f>
        <v/>
      </c>
      <c r="M47" s="34">
        <f>IF(AND(M$5&gt;=$D47,M$5&lt;=$E47),5,"")</f>
        <v/>
      </c>
      <c r="N47" s="34">
        <f>IF(AND(N$5&gt;=$D47,N$5&lt;=$E47),5,"")</f>
        <v/>
      </c>
      <c r="O47" s="34">
        <f>IF(AND(O$5&gt;=$D47,O$5&lt;=$E47),5,"")</f>
        <v/>
      </c>
      <c r="P47" s="34">
        <f>IF(AND(P$5&gt;=$D47,P$5&lt;=$E47),5,"")</f>
        <v/>
      </c>
      <c r="Q47" s="34">
        <f>IF(AND(Q$5&gt;=$D47,Q$5&lt;=$E47),5,"")</f>
        <v/>
      </c>
      <c r="R47" s="34">
        <f>IF(AND(R$5&gt;=$D47,R$5&lt;=$E47),5,"")</f>
        <v/>
      </c>
      <c r="S47" s="34">
        <f>IF(AND(S$5&gt;=$D47,S$5&lt;=$E47),5,"")</f>
        <v/>
      </c>
      <c r="T47" s="34">
        <f>IF(AND(T$5&gt;=$D47,T$5&lt;=$E47),5,"")</f>
        <v/>
      </c>
      <c r="U47" s="34">
        <f>IF(AND(U$5&gt;=$D47,U$5&lt;=$E47),5,"")</f>
        <v/>
      </c>
      <c r="V47" s="34">
        <f>IF(AND(V$5&gt;=$D47,V$5&lt;=$E47),5,"")</f>
        <v/>
      </c>
      <c r="W47" s="34">
        <f>IF(AND(W$5&gt;=$D47,W$5&lt;=$E47),5,"")</f>
        <v/>
      </c>
      <c r="X47" s="34">
        <f>IF(AND(X$5&gt;=$D47,X$5&lt;=$E47),5,"")</f>
        <v/>
      </c>
      <c r="Y47" s="34">
        <f>IF(AND(Y$5&gt;=$D47,Y$5&lt;=$E47),5,"")</f>
        <v/>
      </c>
      <c r="Z47" s="34">
        <f>IF(AND(Z$5&gt;=$D47,Z$5&lt;=$E47),5,"")</f>
        <v/>
      </c>
      <c r="AA47" s="34">
        <f>IF(AND(AA$5&gt;=$D47,AA$5&lt;=$E47),5,"")</f>
        <v/>
      </c>
      <c r="AB47" s="34">
        <f>IF(AND(AB$5&gt;=$D47,AB$5&lt;=$E47),5,"")</f>
        <v/>
      </c>
      <c r="AC47" s="34">
        <f>IF(AND(AC$5&gt;=$D47,AC$5&lt;=$E47),5,"")</f>
        <v/>
      </c>
      <c r="AD47" s="34">
        <f>IF(AND(AD$5&gt;=$D47,AD$5&lt;=$E47),5,"")</f>
        <v/>
      </c>
      <c r="AE47" s="34">
        <f>IF(AND(AE$5&gt;=$D47,AE$5&lt;=$E47),5,"")</f>
        <v/>
      </c>
      <c r="AF47" s="34">
        <f>IF(AND(AF$5&gt;=$D47,AF$5&lt;=$E47),5,"")</f>
        <v/>
      </c>
      <c r="AG47" s="34">
        <f>IF(AND(AG$5&gt;=$D47,AG$5&lt;=$E47),5,"")</f>
        <v/>
      </c>
      <c r="AH47" s="34">
        <f>IF(AND(AH$5&gt;=$D47,AH$5&lt;=$E47),5,"")</f>
        <v/>
      </c>
      <c r="AI47" s="34">
        <f>IF(AND(AI$5&gt;=$D47,AI$5&lt;=$E47),5,"")</f>
        <v/>
      </c>
      <c r="AJ47" s="34">
        <f>IF(AND(AJ$5&gt;=$D47,AJ$5&lt;=$E47),5,"")</f>
        <v/>
      </c>
      <c r="AK47" s="34">
        <f>IF(AND(AK$5&gt;=$D47,AK$5&lt;=$E47),5,"")</f>
        <v/>
      </c>
      <c r="AL47" s="34">
        <f>IF(AND(AL$5&gt;=$D47,AL$5&lt;=$E47),5,"")</f>
        <v/>
      </c>
      <c r="AM47" s="34">
        <f>IF(AND(AM$5&gt;=$D47,AM$5&lt;=$E47),5,"")</f>
        <v/>
      </c>
      <c r="AN47" s="34">
        <f>IF(AND(AN$5&gt;=$D47,AN$5&lt;=$E47),5,"")</f>
        <v/>
      </c>
      <c r="AO47" s="34">
        <f>IF(AND(AO$5&gt;=$D47,AO$5&lt;=$E47),5,"")</f>
        <v/>
      </c>
      <c r="AP47" s="34">
        <f>IF(AND(AP$5&gt;=$D47,AP$5&lt;=$E47),5,"")</f>
        <v/>
      </c>
      <c r="AQ47" s="34">
        <f>IF(AND(AQ$5&gt;=$D47,AQ$5&lt;=$E47),5,"")</f>
        <v/>
      </c>
      <c r="AR47" s="34">
        <f>IF(AND(AR$5&gt;=$D47,AR$5&lt;=$E47),5,"")</f>
        <v/>
      </c>
      <c r="AS47" s="34">
        <f>IF(AND(AS$5&gt;=$D47,AS$5&lt;=$E47),5,"")</f>
        <v/>
      </c>
      <c r="AT47" s="34">
        <f>IF(AND(AT$5&gt;=$D47,AT$5&lt;=$E47),5,"")</f>
        <v/>
      </c>
      <c r="AU47" s="34">
        <f>IF(AND(AU$5&gt;=$D47,AU$5&lt;=$E47),5,"")</f>
        <v/>
      </c>
      <c r="AV47" s="34">
        <f>IF(AND(AV$5&gt;=$D47,AV$5&lt;=$E47),5,"")</f>
        <v/>
      </c>
      <c r="AW47" s="34">
        <f>IF(AND(AW$5&gt;=$D47,AW$5&lt;=$E47),5,"")</f>
        <v/>
      </c>
      <c r="AX47" s="34">
        <f>IF(AND(AX$5&gt;=$D47,AX$5&lt;=$E47),5,"")</f>
        <v/>
      </c>
      <c r="AY47" s="34">
        <f>IF(AND(AY$5&gt;=$D47,AY$5&lt;=$E47),5,"")</f>
        <v/>
      </c>
      <c r="AZ47" s="34">
        <f>IF(AND(AZ$5&gt;=$D47,AZ$5&lt;=$E47),5,"")</f>
        <v/>
      </c>
      <c r="BA47" s="34">
        <f>IF(AND(BA$5&gt;=$D47,BA$5&lt;=$E47),5,"")</f>
        <v/>
      </c>
      <c r="BB47" s="34">
        <f>IF(AND(BB$5&gt;=$D47,BB$5&lt;=$E47),5,"")</f>
        <v/>
      </c>
      <c r="BC47" s="34">
        <f>IF(AND(BC$5&gt;=$D47,BC$5&lt;=$E47),5,"")</f>
        <v/>
      </c>
      <c r="BD47" s="34">
        <f>IF(AND(BD$5&gt;=$D47,BD$5&lt;=$E47),5,"")</f>
        <v/>
      </c>
      <c r="BE47" s="34">
        <f>IF(AND(BE$5&gt;=$D47,BE$5&lt;=$E47),5,"")</f>
        <v/>
      </c>
      <c r="BF47" s="34">
        <f>IF(AND(BF$5&gt;=$D47,BF$5&lt;=$E47),5,"")</f>
        <v/>
      </c>
      <c r="BG47" s="34">
        <f>IF(AND(BG$5&gt;=$D47,BG$5&lt;=$E47),5,"")</f>
        <v/>
      </c>
      <c r="BH47" s="34">
        <f>IF(AND(BH$5&gt;=$D47,BH$5&lt;=$E47),5,"")</f>
        <v/>
      </c>
      <c r="BI47" s="34">
        <f>IF(AND(BI$5&gt;=$D47,BI$5&lt;=$E47),5,"")</f>
        <v/>
      </c>
      <c r="BJ47" s="34">
        <f>IF(AND(BJ$5&gt;=$D47,BJ$5&lt;=$E47),5,"")</f>
        <v/>
      </c>
      <c r="BK47" s="34">
        <f>IF(AND(BK$5&gt;=$D47,BK$5&lt;=$E47),5,"")</f>
        <v/>
      </c>
    </row>
    <row r="48" ht="14.25" customHeight="1" s="36">
      <c r="A48" s="13" t="inlineStr">
        <is>
          <t>5 Adquisiciones y contrataciones</t>
        </is>
      </c>
      <c r="B48" s="13" t="inlineStr">
        <is>
          <t>5.4</t>
        </is>
      </c>
      <c r="C48" s="13" t="inlineStr">
        <is>
          <t>Acuerdos con terceros</t>
        </is>
      </c>
      <c r="D48" s="13" t="n">
        <v>7</v>
      </c>
      <c r="E48" s="13" t="n">
        <v>20</v>
      </c>
      <c r="F48" s="13">
        <f>E48-D48+1</f>
        <v/>
      </c>
      <c r="G48" s="31" t="n">
        <v>320</v>
      </c>
      <c r="H48" s="34">
        <f>IF(AND(H$5&gt;=$D48,H$5&lt;=$E48),5,"")</f>
        <v/>
      </c>
      <c r="I48" s="34">
        <f>IF(AND(I$5&gt;=$D48,I$5&lt;=$E48),5,"")</f>
        <v/>
      </c>
      <c r="J48" s="34">
        <f>IF(AND(J$5&gt;=$D48,J$5&lt;=$E48),5,"")</f>
        <v/>
      </c>
      <c r="K48" s="34">
        <f>IF(AND(K$5&gt;=$D48,K$5&lt;=$E48),5,"")</f>
        <v/>
      </c>
      <c r="L48" s="34">
        <f>IF(AND(L$5&gt;=$D48,L$5&lt;=$E48),5,"")</f>
        <v/>
      </c>
      <c r="M48" s="34">
        <f>IF(AND(M$5&gt;=$D48,M$5&lt;=$E48),5,"")</f>
        <v/>
      </c>
      <c r="N48" s="34">
        <f>IF(AND(N$5&gt;=$D48,N$5&lt;=$E48),5,"")</f>
        <v/>
      </c>
      <c r="O48" s="34">
        <f>IF(AND(O$5&gt;=$D48,O$5&lt;=$E48),5,"")</f>
        <v/>
      </c>
      <c r="P48" s="34">
        <f>IF(AND(P$5&gt;=$D48,P$5&lt;=$E48),5,"")</f>
        <v/>
      </c>
      <c r="Q48" s="34">
        <f>IF(AND(Q$5&gt;=$D48,Q$5&lt;=$E48),5,"")</f>
        <v/>
      </c>
      <c r="R48" s="34">
        <f>IF(AND(R$5&gt;=$D48,R$5&lt;=$E48),5,"")</f>
        <v/>
      </c>
      <c r="S48" s="34">
        <f>IF(AND(S$5&gt;=$D48,S$5&lt;=$E48),5,"")</f>
        <v/>
      </c>
      <c r="T48" s="34">
        <f>IF(AND(T$5&gt;=$D48,T$5&lt;=$E48),5,"")</f>
        <v/>
      </c>
      <c r="U48" s="34">
        <f>IF(AND(U$5&gt;=$D48,U$5&lt;=$E48),5,"")</f>
        <v/>
      </c>
      <c r="V48" s="34">
        <f>IF(AND(V$5&gt;=$D48,V$5&lt;=$E48),5,"")</f>
        <v/>
      </c>
      <c r="W48" s="34">
        <f>IF(AND(W$5&gt;=$D48,W$5&lt;=$E48),5,"")</f>
        <v/>
      </c>
      <c r="X48" s="34">
        <f>IF(AND(X$5&gt;=$D48,X$5&lt;=$E48),5,"")</f>
        <v/>
      </c>
      <c r="Y48" s="34">
        <f>IF(AND(Y$5&gt;=$D48,Y$5&lt;=$E48),5,"")</f>
        <v/>
      </c>
      <c r="Z48" s="34">
        <f>IF(AND(Z$5&gt;=$D48,Z$5&lt;=$E48),5,"")</f>
        <v/>
      </c>
      <c r="AA48" s="34">
        <f>IF(AND(AA$5&gt;=$D48,AA$5&lt;=$E48),5,"")</f>
        <v/>
      </c>
      <c r="AB48" s="34">
        <f>IF(AND(AB$5&gt;=$D48,AB$5&lt;=$E48),5,"")</f>
        <v/>
      </c>
      <c r="AC48" s="34">
        <f>IF(AND(AC$5&gt;=$D48,AC$5&lt;=$E48),5,"")</f>
        <v/>
      </c>
      <c r="AD48" s="34">
        <f>IF(AND(AD$5&gt;=$D48,AD$5&lt;=$E48),5,"")</f>
        <v/>
      </c>
      <c r="AE48" s="34">
        <f>IF(AND(AE$5&gt;=$D48,AE$5&lt;=$E48),5,"")</f>
        <v/>
      </c>
      <c r="AF48" s="34">
        <f>IF(AND(AF$5&gt;=$D48,AF$5&lt;=$E48),5,"")</f>
        <v/>
      </c>
      <c r="AG48" s="34">
        <f>IF(AND(AG$5&gt;=$D48,AG$5&lt;=$E48),5,"")</f>
        <v/>
      </c>
      <c r="AH48" s="34">
        <f>IF(AND(AH$5&gt;=$D48,AH$5&lt;=$E48),5,"")</f>
        <v/>
      </c>
      <c r="AI48" s="34">
        <f>IF(AND(AI$5&gt;=$D48,AI$5&lt;=$E48),5,"")</f>
        <v/>
      </c>
      <c r="AJ48" s="34">
        <f>IF(AND(AJ$5&gt;=$D48,AJ$5&lt;=$E48),5,"")</f>
        <v/>
      </c>
      <c r="AK48" s="34">
        <f>IF(AND(AK$5&gt;=$D48,AK$5&lt;=$E48),5,"")</f>
        <v/>
      </c>
      <c r="AL48" s="34">
        <f>IF(AND(AL$5&gt;=$D48,AL$5&lt;=$E48),5,"")</f>
        <v/>
      </c>
      <c r="AM48" s="34">
        <f>IF(AND(AM$5&gt;=$D48,AM$5&lt;=$E48),5,"")</f>
        <v/>
      </c>
      <c r="AN48" s="34">
        <f>IF(AND(AN$5&gt;=$D48,AN$5&lt;=$E48),5,"")</f>
        <v/>
      </c>
      <c r="AO48" s="34">
        <f>IF(AND(AO$5&gt;=$D48,AO$5&lt;=$E48),5,"")</f>
        <v/>
      </c>
      <c r="AP48" s="34">
        <f>IF(AND(AP$5&gt;=$D48,AP$5&lt;=$E48),5,"")</f>
        <v/>
      </c>
      <c r="AQ48" s="34">
        <f>IF(AND(AQ$5&gt;=$D48,AQ$5&lt;=$E48),5,"")</f>
        <v/>
      </c>
      <c r="AR48" s="34">
        <f>IF(AND(AR$5&gt;=$D48,AR$5&lt;=$E48),5,"")</f>
        <v/>
      </c>
      <c r="AS48" s="34">
        <f>IF(AND(AS$5&gt;=$D48,AS$5&lt;=$E48),5,"")</f>
        <v/>
      </c>
      <c r="AT48" s="34">
        <f>IF(AND(AT$5&gt;=$D48,AT$5&lt;=$E48),5,"")</f>
        <v/>
      </c>
      <c r="AU48" s="34">
        <f>IF(AND(AU$5&gt;=$D48,AU$5&lt;=$E48),5,"")</f>
        <v/>
      </c>
      <c r="AV48" s="34">
        <f>IF(AND(AV$5&gt;=$D48,AV$5&lt;=$E48),5,"")</f>
        <v/>
      </c>
      <c r="AW48" s="34">
        <f>IF(AND(AW$5&gt;=$D48,AW$5&lt;=$E48),5,"")</f>
        <v/>
      </c>
      <c r="AX48" s="34">
        <f>IF(AND(AX$5&gt;=$D48,AX$5&lt;=$E48),5,"")</f>
        <v/>
      </c>
      <c r="AY48" s="34">
        <f>IF(AND(AY$5&gt;=$D48,AY$5&lt;=$E48),5,"")</f>
        <v/>
      </c>
      <c r="AZ48" s="34">
        <f>IF(AND(AZ$5&gt;=$D48,AZ$5&lt;=$E48),5,"")</f>
        <v/>
      </c>
      <c r="BA48" s="34">
        <f>IF(AND(BA$5&gt;=$D48,BA$5&lt;=$E48),5,"")</f>
        <v/>
      </c>
      <c r="BB48" s="34">
        <f>IF(AND(BB$5&gt;=$D48,BB$5&lt;=$E48),5,"")</f>
        <v/>
      </c>
      <c r="BC48" s="34">
        <f>IF(AND(BC$5&gt;=$D48,BC$5&lt;=$E48),5,"")</f>
        <v/>
      </c>
      <c r="BD48" s="34">
        <f>IF(AND(BD$5&gt;=$D48,BD$5&lt;=$E48),5,"")</f>
        <v/>
      </c>
      <c r="BE48" s="34">
        <f>IF(AND(BE$5&gt;=$D48,BE$5&lt;=$E48),5,"")</f>
        <v/>
      </c>
      <c r="BF48" s="34">
        <f>IF(AND(BF$5&gt;=$D48,BF$5&lt;=$E48),5,"")</f>
        <v/>
      </c>
      <c r="BG48" s="34">
        <f>IF(AND(BG$5&gt;=$D48,BG$5&lt;=$E48),5,"")</f>
        <v/>
      </c>
      <c r="BH48" s="34">
        <f>IF(AND(BH$5&gt;=$D48,BH$5&lt;=$E48),5,"")</f>
        <v/>
      </c>
      <c r="BI48" s="34">
        <f>IF(AND(BI$5&gt;=$D48,BI$5&lt;=$E48),5,"")</f>
        <v/>
      </c>
      <c r="BJ48" s="34">
        <f>IF(AND(BJ$5&gt;=$D48,BJ$5&lt;=$E48),5,"")</f>
        <v/>
      </c>
      <c r="BK48" s="34">
        <f>IF(AND(BK$5&gt;=$D48,BK$5&lt;=$E48),5,"")</f>
        <v/>
      </c>
    </row>
    <row r="49" ht="14.25" customHeight="1" s="36">
      <c r="A49" s="13" t="inlineStr">
        <is>
          <t>6 Infraestructura física y sitios</t>
        </is>
      </c>
      <c r="B49" s="13" t="inlineStr">
        <is>
          <t>6.1</t>
        </is>
      </c>
      <c r="C49" s="13" t="inlineStr">
        <is>
          <t>Adecuación de la sala técnica de Talca</t>
        </is>
      </c>
      <c r="D49" s="13" t="n">
        <v>3</v>
      </c>
      <c r="E49" s="13" t="n">
        <v>4</v>
      </c>
      <c r="F49" s="13">
        <f>E49-D49+1</f>
        <v/>
      </c>
      <c r="G49" s="31" t="n">
        <v>800</v>
      </c>
      <c r="H49" s="34">
        <f>IF(AND(H$5&gt;=$D49,H$5&lt;=$E49),6,"")</f>
        <v/>
      </c>
      <c r="I49" s="34">
        <f>IF(AND(I$5&gt;=$D49,I$5&lt;=$E49),6,"")</f>
        <v/>
      </c>
      <c r="J49" s="34">
        <f>IF(AND(J$5&gt;=$D49,J$5&lt;=$E49),6,"")</f>
        <v/>
      </c>
      <c r="K49" s="34">
        <f>IF(AND(K$5&gt;=$D49,K$5&lt;=$E49),6,"")</f>
        <v/>
      </c>
      <c r="L49" s="34">
        <f>IF(AND(L$5&gt;=$D49,L$5&lt;=$E49),6,"")</f>
        <v/>
      </c>
      <c r="M49" s="34">
        <f>IF(AND(M$5&gt;=$D49,M$5&lt;=$E49),6,"")</f>
        <v/>
      </c>
      <c r="N49" s="34">
        <f>IF(AND(N$5&gt;=$D49,N$5&lt;=$E49),6,"")</f>
        <v/>
      </c>
      <c r="O49" s="34">
        <f>IF(AND(O$5&gt;=$D49,O$5&lt;=$E49),6,"")</f>
        <v/>
      </c>
      <c r="P49" s="34">
        <f>IF(AND(P$5&gt;=$D49,P$5&lt;=$E49),6,"")</f>
        <v/>
      </c>
      <c r="Q49" s="34">
        <f>IF(AND(Q$5&gt;=$D49,Q$5&lt;=$E49),6,"")</f>
        <v/>
      </c>
      <c r="R49" s="34">
        <f>IF(AND(R$5&gt;=$D49,R$5&lt;=$E49),6,"")</f>
        <v/>
      </c>
      <c r="S49" s="34">
        <f>IF(AND(S$5&gt;=$D49,S$5&lt;=$E49),6,"")</f>
        <v/>
      </c>
      <c r="T49" s="34">
        <f>IF(AND(T$5&gt;=$D49,T$5&lt;=$E49),6,"")</f>
        <v/>
      </c>
      <c r="U49" s="34">
        <f>IF(AND(U$5&gt;=$D49,U$5&lt;=$E49),6,"")</f>
        <v/>
      </c>
      <c r="V49" s="34">
        <f>IF(AND(V$5&gt;=$D49,V$5&lt;=$E49),6,"")</f>
        <v/>
      </c>
      <c r="W49" s="34">
        <f>IF(AND(W$5&gt;=$D49,W$5&lt;=$E49),6,"")</f>
        <v/>
      </c>
      <c r="X49" s="34">
        <f>IF(AND(X$5&gt;=$D49,X$5&lt;=$E49),6,"")</f>
        <v/>
      </c>
      <c r="Y49" s="34">
        <f>IF(AND(Y$5&gt;=$D49,Y$5&lt;=$E49),6,"")</f>
        <v/>
      </c>
      <c r="Z49" s="34">
        <f>IF(AND(Z$5&gt;=$D49,Z$5&lt;=$E49),6,"")</f>
        <v/>
      </c>
      <c r="AA49" s="34">
        <f>IF(AND(AA$5&gt;=$D49,AA$5&lt;=$E49),6,"")</f>
        <v/>
      </c>
      <c r="AB49" s="34">
        <f>IF(AND(AB$5&gt;=$D49,AB$5&lt;=$E49),6,"")</f>
        <v/>
      </c>
      <c r="AC49" s="34">
        <f>IF(AND(AC$5&gt;=$D49,AC$5&lt;=$E49),6,"")</f>
        <v/>
      </c>
      <c r="AD49" s="34">
        <f>IF(AND(AD$5&gt;=$D49,AD$5&lt;=$E49),6,"")</f>
        <v/>
      </c>
      <c r="AE49" s="34">
        <f>IF(AND(AE$5&gt;=$D49,AE$5&lt;=$E49),6,"")</f>
        <v/>
      </c>
      <c r="AF49" s="34">
        <f>IF(AND(AF$5&gt;=$D49,AF$5&lt;=$E49),6,"")</f>
        <v/>
      </c>
      <c r="AG49" s="34">
        <f>IF(AND(AG$5&gt;=$D49,AG$5&lt;=$E49),6,"")</f>
        <v/>
      </c>
      <c r="AH49" s="34">
        <f>IF(AND(AH$5&gt;=$D49,AH$5&lt;=$E49),6,"")</f>
        <v/>
      </c>
      <c r="AI49" s="34">
        <f>IF(AND(AI$5&gt;=$D49,AI$5&lt;=$E49),6,"")</f>
        <v/>
      </c>
      <c r="AJ49" s="34">
        <f>IF(AND(AJ$5&gt;=$D49,AJ$5&lt;=$E49),6,"")</f>
        <v/>
      </c>
      <c r="AK49" s="34">
        <f>IF(AND(AK$5&gt;=$D49,AK$5&lt;=$E49),6,"")</f>
        <v/>
      </c>
      <c r="AL49" s="34">
        <f>IF(AND(AL$5&gt;=$D49,AL$5&lt;=$E49),6,"")</f>
        <v/>
      </c>
      <c r="AM49" s="34">
        <f>IF(AND(AM$5&gt;=$D49,AM$5&lt;=$E49),6,"")</f>
        <v/>
      </c>
      <c r="AN49" s="34">
        <f>IF(AND(AN$5&gt;=$D49,AN$5&lt;=$E49),6,"")</f>
        <v/>
      </c>
      <c r="AO49" s="34">
        <f>IF(AND(AO$5&gt;=$D49,AO$5&lt;=$E49),6,"")</f>
        <v/>
      </c>
      <c r="AP49" s="34">
        <f>IF(AND(AP$5&gt;=$D49,AP$5&lt;=$E49),6,"")</f>
        <v/>
      </c>
      <c r="AQ49" s="34">
        <f>IF(AND(AQ$5&gt;=$D49,AQ$5&lt;=$E49),6,"")</f>
        <v/>
      </c>
      <c r="AR49" s="34">
        <f>IF(AND(AR$5&gt;=$D49,AR$5&lt;=$E49),6,"")</f>
        <v/>
      </c>
      <c r="AS49" s="34">
        <f>IF(AND(AS$5&gt;=$D49,AS$5&lt;=$E49),6,"")</f>
        <v/>
      </c>
      <c r="AT49" s="34">
        <f>IF(AND(AT$5&gt;=$D49,AT$5&lt;=$E49),6,"")</f>
        <v/>
      </c>
      <c r="AU49" s="34">
        <f>IF(AND(AU$5&gt;=$D49,AU$5&lt;=$E49),6,"")</f>
        <v/>
      </c>
      <c r="AV49" s="34">
        <f>IF(AND(AV$5&gt;=$D49,AV$5&lt;=$E49),6,"")</f>
        <v/>
      </c>
      <c r="AW49" s="34">
        <f>IF(AND(AW$5&gt;=$D49,AW$5&lt;=$E49),6,"")</f>
        <v/>
      </c>
      <c r="AX49" s="34">
        <f>IF(AND(AX$5&gt;=$D49,AX$5&lt;=$E49),6,"")</f>
        <v/>
      </c>
      <c r="AY49" s="34">
        <f>IF(AND(AY$5&gt;=$D49,AY$5&lt;=$E49),6,"")</f>
        <v/>
      </c>
      <c r="AZ49" s="34">
        <f>IF(AND(AZ$5&gt;=$D49,AZ$5&lt;=$E49),6,"")</f>
        <v/>
      </c>
      <c r="BA49" s="34">
        <f>IF(AND(BA$5&gt;=$D49,BA$5&lt;=$E49),6,"")</f>
        <v/>
      </c>
      <c r="BB49" s="34">
        <f>IF(AND(BB$5&gt;=$D49,BB$5&lt;=$E49),6,"")</f>
        <v/>
      </c>
      <c r="BC49" s="34">
        <f>IF(AND(BC$5&gt;=$D49,BC$5&lt;=$E49),6,"")</f>
        <v/>
      </c>
      <c r="BD49" s="34">
        <f>IF(AND(BD$5&gt;=$D49,BD$5&lt;=$E49),6,"")</f>
        <v/>
      </c>
      <c r="BE49" s="34">
        <f>IF(AND(BE$5&gt;=$D49,BE$5&lt;=$E49),6,"")</f>
        <v/>
      </c>
      <c r="BF49" s="34">
        <f>IF(AND(BF$5&gt;=$D49,BF$5&lt;=$E49),6,"")</f>
        <v/>
      </c>
      <c r="BG49" s="34">
        <f>IF(AND(BG$5&gt;=$D49,BG$5&lt;=$E49),6,"")</f>
        <v/>
      </c>
      <c r="BH49" s="34">
        <f>IF(AND(BH$5&gt;=$D49,BH$5&lt;=$E49),6,"")</f>
        <v/>
      </c>
      <c r="BI49" s="34">
        <f>IF(AND(BI$5&gt;=$D49,BI$5&lt;=$E49),6,"")</f>
        <v/>
      </c>
      <c r="BJ49" s="34">
        <f>IF(AND(BJ$5&gt;=$D49,BJ$5&lt;=$E49),6,"")</f>
        <v/>
      </c>
      <c r="BK49" s="34">
        <f>IF(AND(BK$5&gt;=$D49,BK$5&lt;=$E49),6,"")</f>
        <v/>
      </c>
    </row>
    <row r="50" ht="14.25" customHeight="1" s="36">
      <c r="A50" s="13" t="inlineStr">
        <is>
          <t>6 Infraestructura física y sitios</t>
        </is>
      </c>
      <c r="B50" s="13" t="inlineStr">
        <is>
          <t>6.2</t>
        </is>
      </c>
      <c r="C50" s="13" t="inlineStr">
        <is>
          <t>Cableado estructurado</t>
        </is>
      </c>
      <c r="D50" s="13" t="n">
        <v>4</v>
      </c>
      <c r="E50" s="13" t="n">
        <v>7</v>
      </c>
      <c r="F50" s="13">
        <f>E50-D50+1</f>
        <v/>
      </c>
      <c r="G50" s="31" t="n">
        <v>480</v>
      </c>
      <c r="H50" s="34">
        <f>IF(AND(H$5&gt;=$D50,H$5&lt;=$E50),6,"")</f>
        <v/>
      </c>
      <c r="I50" s="34">
        <f>IF(AND(I$5&gt;=$D50,I$5&lt;=$E50),6,"")</f>
        <v/>
      </c>
      <c r="J50" s="34">
        <f>IF(AND(J$5&gt;=$D50,J$5&lt;=$E50),6,"")</f>
        <v/>
      </c>
      <c r="K50" s="34">
        <f>IF(AND(K$5&gt;=$D50,K$5&lt;=$E50),6,"")</f>
        <v/>
      </c>
      <c r="L50" s="34">
        <f>IF(AND(L$5&gt;=$D50,L$5&lt;=$E50),6,"")</f>
        <v/>
      </c>
      <c r="M50" s="34">
        <f>IF(AND(M$5&gt;=$D50,M$5&lt;=$E50),6,"")</f>
        <v/>
      </c>
      <c r="N50" s="34">
        <f>IF(AND(N$5&gt;=$D50,N$5&lt;=$E50),6,"")</f>
        <v/>
      </c>
      <c r="O50" s="34">
        <f>IF(AND(O$5&gt;=$D50,O$5&lt;=$E50),6,"")</f>
        <v/>
      </c>
      <c r="P50" s="34">
        <f>IF(AND(P$5&gt;=$D50,P$5&lt;=$E50),6,"")</f>
        <v/>
      </c>
      <c r="Q50" s="34">
        <f>IF(AND(Q$5&gt;=$D50,Q$5&lt;=$E50),6,"")</f>
        <v/>
      </c>
      <c r="R50" s="34">
        <f>IF(AND(R$5&gt;=$D50,R$5&lt;=$E50),6,"")</f>
        <v/>
      </c>
      <c r="S50" s="34">
        <f>IF(AND(S$5&gt;=$D50,S$5&lt;=$E50),6,"")</f>
        <v/>
      </c>
      <c r="T50" s="34">
        <f>IF(AND(T$5&gt;=$D50,T$5&lt;=$E50),6,"")</f>
        <v/>
      </c>
      <c r="U50" s="34">
        <f>IF(AND(U$5&gt;=$D50,U$5&lt;=$E50),6,"")</f>
        <v/>
      </c>
      <c r="V50" s="34">
        <f>IF(AND(V$5&gt;=$D50,V$5&lt;=$E50),6,"")</f>
        <v/>
      </c>
      <c r="W50" s="34">
        <f>IF(AND(W$5&gt;=$D50,W$5&lt;=$E50),6,"")</f>
        <v/>
      </c>
      <c r="X50" s="34">
        <f>IF(AND(X$5&gt;=$D50,X$5&lt;=$E50),6,"")</f>
        <v/>
      </c>
      <c r="Y50" s="34">
        <f>IF(AND(Y$5&gt;=$D50,Y$5&lt;=$E50),6,"")</f>
        <v/>
      </c>
      <c r="Z50" s="34">
        <f>IF(AND(Z$5&gt;=$D50,Z$5&lt;=$E50),6,"")</f>
        <v/>
      </c>
      <c r="AA50" s="34">
        <f>IF(AND(AA$5&gt;=$D50,AA$5&lt;=$E50),6,"")</f>
        <v/>
      </c>
      <c r="AB50" s="34">
        <f>IF(AND(AB$5&gt;=$D50,AB$5&lt;=$E50),6,"")</f>
        <v/>
      </c>
      <c r="AC50" s="34">
        <f>IF(AND(AC$5&gt;=$D50,AC$5&lt;=$E50),6,"")</f>
        <v/>
      </c>
      <c r="AD50" s="34">
        <f>IF(AND(AD$5&gt;=$D50,AD$5&lt;=$E50),6,"")</f>
        <v/>
      </c>
      <c r="AE50" s="34">
        <f>IF(AND(AE$5&gt;=$D50,AE$5&lt;=$E50),6,"")</f>
        <v/>
      </c>
      <c r="AF50" s="34">
        <f>IF(AND(AF$5&gt;=$D50,AF$5&lt;=$E50),6,"")</f>
        <v/>
      </c>
      <c r="AG50" s="34">
        <f>IF(AND(AG$5&gt;=$D50,AG$5&lt;=$E50),6,"")</f>
        <v/>
      </c>
      <c r="AH50" s="34">
        <f>IF(AND(AH$5&gt;=$D50,AH$5&lt;=$E50),6,"")</f>
        <v/>
      </c>
      <c r="AI50" s="34">
        <f>IF(AND(AI$5&gt;=$D50,AI$5&lt;=$E50),6,"")</f>
        <v/>
      </c>
      <c r="AJ50" s="34">
        <f>IF(AND(AJ$5&gt;=$D50,AJ$5&lt;=$E50),6,"")</f>
        <v/>
      </c>
      <c r="AK50" s="34">
        <f>IF(AND(AK$5&gt;=$D50,AK$5&lt;=$E50),6,"")</f>
        <v/>
      </c>
      <c r="AL50" s="34">
        <f>IF(AND(AL$5&gt;=$D50,AL$5&lt;=$E50),6,"")</f>
        <v/>
      </c>
      <c r="AM50" s="34">
        <f>IF(AND(AM$5&gt;=$D50,AM$5&lt;=$E50),6,"")</f>
        <v/>
      </c>
      <c r="AN50" s="34">
        <f>IF(AND(AN$5&gt;=$D50,AN$5&lt;=$E50),6,"")</f>
        <v/>
      </c>
      <c r="AO50" s="34">
        <f>IF(AND(AO$5&gt;=$D50,AO$5&lt;=$E50),6,"")</f>
        <v/>
      </c>
      <c r="AP50" s="34">
        <f>IF(AND(AP$5&gt;=$D50,AP$5&lt;=$E50),6,"")</f>
        <v/>
      </c>
      <c r="AQ50" s="34">
        <f>IF(AND(AQ$5&gt;=$D50,AQ$5&lt;=$E50),6,"")</f>
        <v/>
      </c>
      <c r="AR50" s="34">
        <f>IF(AND(AR$5&gt;=$D50,AR$5&lt;=$E50),6,"")</f>
        <v/>
      </c>
      <c r="AS50" s="34">
        <f>IF(AND(AS$5&gt;=$D50,AS$5&lt;=$E50),6,"")</f>
        <v/>
      </c>
      <c r="AT50" s="34">
        <f>IF(AND(AT$5&gt;=$D50,AT$5&lt;=$E50),6,"")</f>
        <v/>
      </c>
      <c r="AU50" s="34">
        <f>IF(AND(AU$5&gt;=$D50,AU$5&lt;=$E50),6,"")</f>
        <v/>
      </c>
      <c r="AV50" s="34">
        <f>IF(AND(AV$5&gt;=$D50,AV$5&lt;=$E50),6,"")</f>
        <v/>
      </c>
      <c r="AW50" s="34">
        <f>IF(AND(AW$5&gt;=$D50,AW$5&lt;=$E50),6,"")</f>
        <v/>
      </c>
      <c r="AX50" s="34">
        <f>IF(AND(AX$5&gt;=$D50,AX$5&lt;=$E50),6,"")</f>
        <v/>
      </c>
      <c r="AY50" s="34">
        <f>IF(AND(AY$5&gt;=$D50,AY$5&lt;=$E50),6,"")</f>
        <v/>
      </c>
      <c r="AZ50" s="34">
        <f>IF(AND(AZ$5&gt;=$D50,AZ$5&lt;=$E50),6,"")</f>
        <v/>
      </c>
      <c r="BA50" s="34">
        <f>IF(AND(BA$5&gt;=$D50,BA$5&lt;=$E50),6,"")</f>
        <v/>
      </c>
      <c r="BB50" s="34">
        <f>IF(AND(BB$5&gt;=$D50,BB$5&lt;=$E50),6,"")</f>
        <v/>
      </c>
      <c r="BC50" s="34">
        <f>IF(AND(BC$5&gt;=$D50,BC$5&lt;=$E50),6,"")</f>
        <v/>
      </c>
      <c r="BD50" s="34">
        <f>IF(AND(BD$5&gt;=$D50,BD$5&lt;=$E50),6,"")</f>
        <v/>
      </c>
      <c r="BE50" s="34">
        <f>IF(AND(BE$5&gt;=$D50,BE$5&lt;=$E50),6,"")</f>
        <v/>
      </c>
      <c r="BF50" s="34">
        <f>IF(AND(BF$5&gt;=$D50,BF$5&lt;=$E50),6,"")</f>
        <v/>
      </c>
      <c r="BG50" s="34">
        <f>IF(AND(BG$5&gt;=$D50,BG$5&lt;=$E50),6,"")</f>
        <v/>
      </c>
      <c r="BH50" s="34">
        <f>IF(AND(BH$5&gt;=$D50,BH$5&lt;=$E50),6,"")</f>
        <v/>
      </c>
      <c r="BI50" s="34">
        <f>IF(AND(BI$5&gt;=$D50,BI$5&lt;=$E50),6,"")</f>
        <v/>
      </c>
      <c r="BJ50" s="34">
        <f>IF(AND(BJ$5&gt;=$D50,BJ$5&lt;=$E50),6,"")</f>
        <v/>
      </c>
      <c r="BK50" s="34">
        <f>IF(AND(BK$5&gt;=$D50,BK$5&lt;=$E50),6,"")</f>
        <v/>
      </c>
    </row>
    <row r="51" ht="14.25" customHeight="1" s="36">
      <c r="A51" s="13" t="inlineStr">
        <is>
          <t>6 Infraestructura física y sitios</t>
        </is>
      </c>
      <c r="B51" s="13" t="inlineStr">
        <is>
          <t>6.3</t>
        </is>
      </c>
      <c r="C51" s="13" t="inlineStr">
        <is>
          <t>Montaje de racks y gabinetes</t>
        </is>
      </c>
      <c r="D51" s="13" t="n">
        <v>4</v>
      </c>
      <c r="E51" s="13" t="n">
        <v>9</v>
      </c>
      <c r="F51" s="13">
        <f>E51-D51+1</f>
        <v/>
      </c>
      <c r="G51" s="31" t="n">
        <v>640</v>
      </c>
      <c r="H51" s="34">
        <f>IF(AND(H$5&gt;=$D51,H$5&lt;=$E51),6,"")</f>
        <v/>
      </c>
      <c r="I51" s="34">
        <f>IF(AND(I$5&gt;=$D51,I$5&lt;=$E51),6,"")</f>
        <v/>
      </c>
      <c r="J51" s="34">
        <f>IF(AND(J$5&gt;=$D51,J$5&lt;=$E51),6,"")</f>
        <v/>
      </c>
      <c r="K51" s="34">
        <f>IF(AND(K$5&gt;=$D51,K$5&lt;=$E51),6,"")</f>
        <v/>
      </c>
      <c r="L51" s="34">
        <f>IF(AND(L$5&gt;=$D51,L$5&lt;=$E51),6,"")</f>
        <v/>
      </c>
      <c r="M51" s="34">
        <f>IF(AND(M$5&gt;=$D51,M$5&lt;=$E51),6,"")</f>
        <v/>
      </c>
      <c r="N51" s="34">
        <f>IF(AND(N$5&gt;=$D51,N$5&lt;=$E51),6,"")</f>
        <v/>
      </c>
      <c r="O51" s="34">
        <f>IF(AND(O$5&gt;=$D51,O$5&lt;=$E51),6,"")</f>
        <v/>
      </c>
      <c r="P51" s="34">
        <f>IF(AND(P$5&gt;=$D51,P$5&lt;=$E51),6,"")</f>
        <v/>
      </c>
      <c r="Q51" s="34">
        <f>IF(AND(Q$5&gt;=$D51,Q$5&lt;=$E51),6,"")</f>
        <v/>
      </c>
      <c r="R51" s="34">
        <f>IF(AND(R$5&gt;=$D51,R$5&lt;=$E51),6,"")</f>
        <v/>
      </c>
      <c r="S51" s="34">
        <f>IF(AND(S$5&gt;=$D51,S$5&lt;=$E51),6,"")</f>
        <v/>
      </c>
      <c r="T51" s="34">
        <f>IF(AND(T$5&gt;=$D51,T$5&lt;=$E51),6,"")</f>
        <v/>
      </c>
      <c r="U51" s="34">
        <f>IF(AND(U$5&gt;=$D51,U$5&lt;=$E51),6,"")</f>
        <v/>
      </c>
      <c r="V51" s="34">
        <f>IF(AND(V$5&gt;=$D51,V$5&lt;=$E51),6,"")</f>
        <v/>
      </c>
      <c r="W51" s="34">
        <f>IF(AND(W$5&gt;=$D51,W$5&lt;=$E51),6,"")</f>
        <v/>
      </c>
      <c r="X51" s="34">
        <f>IF(AND(X$5&gt;=$D51,X$5&lt;=$E51),6,"")</f>
        <v/>
      </c>
      <c r="Y51" s="34">
        <f>IF(AND(Y$5&gt;=$D51,Y$5&lt;=$E51),6,"")</f>
        <v/>
      </c>
      <c r="Z51" s="34">
        <f>IF(AND(Z$5&gt;=$D51,Z$5&lt;=$E51),6,"")</f>
        <v/>
      </c>
      <c r="AA51" s="34">
        <f>IF(AND(AA$5&gt;=$D51,AA$5&lt;=$E51),6,"")</f>
        <v/>
      </c>
      <c r="AB51" s="34">
        <f>IF(AND(AB$5&gt;=$D51,AB$5&lt;=$E51),6,"")</f>
        <v/>
      </c>
      <c r="AC51" s="34">
        <f>IF(AND(AC$5&gt;=$D51,AC$5&lt;=$E51),6,"")</f>
        <v/>
      </c>
      <c r="AD51" s="34">
        <f>IF(AND(AD$5&gt;=$D51,AD$5&lt;=$E51),6,"")</f>
        <v/>
      </c>
      <c r="AE51" s="34">
        <f>IF(AND(AE$5&gt;=$D51,AE$5&lt;=$E51),6,"")</f>
        <v/>
      </c>
      <c r="AF51" s="34">
        <f>IF(AND(AF$5&gt;=$D51,AF$5&lt;=$E51),6,"")</f>
        <v/>
      </c>
      <c r="AG51" s="34">
        <f>IF(AND(AG$5&gt;=$D51,AG$5&lt;=$E51),6,"")</f>
        <v/>
      </c>
      <c r="AH51" s="34">
        <f>IF(AND(AH$5&gt;=$D51,AH$5&lt;=$E51),6,"")</f>
        <v/>
      </c>
      <c r="AI51" s="34">
        <f>IF(AND(AI$5&gt;=$D51,AI$5&lt;=$E51),6,"")</f>
        <v/>
      </c>
      <c r="AJ51" s="34">
        <f>IF(AND(AJ$5&gt;=$D51,AJ$5&lt;=$E51),6,"")</f>
        <v/>
      </c>
      <c r="AK51" s="34">
        <f>IF(AND(AK$5&gt;=$D51,AK$5&lt;=$E51),6,"")</f>
        <v/>
      </c>
      <c r="AL51" s="34">
        <f>IF(AND(AL$5&gt;=$D51,AL$5&lt;=$E51),6,"")</f>
        <v/>
      </c>
      <c r="AM51" s="34">
        <f>IF(AND(AM$5&gt;=$D51,AM$5&lt;=$E51),6,"")</f>
        <v/>
      </c>
      <c r="AN51" s="34">
        <f>IF(AND(AN$5&gt;=$D51,AN$5&lt;=$E51),6,"")</f>
        <v/>
      </c>
      <c r="AO51" s="34">
        <f>IF(AND(AO$5&gt;=$D51,AO$5&lt;=$E51),6,"")</f>
        <v/>
      </c>
      <c r="AP51" s="34">
        <f>IF(AND(AP$5&gt;=$D51,AP$5&lt;=$E51),6,"")</f>
        <v/>
      </c>
      <c r="AQ51" s="34">
        <f>IF(AND(AQ$5&gt;=$D51,AQ$5&lt;=$E51),6,"")</f>
        <v/>
      </c>
      <c r="AR51" s="34">
        <f>IF(AND(AR$5&gt;=$D51,AR$5&lt;=$E51),6,"")</f>
        <v/>
      </c>
      <c r="AS51" s="34">
        <f>IF(AND(AS$5&gt;=$D51,AS$5&lt;=$E51),6,"")</f>
        <v/>
      </c>
      <c r="AT51" s="34">
        <f>IF(AND(AT$5&gt;=$D51,AT$5&lt;=$E51),6,"")</f>
        <v/>
      </c>
      <c r="AU51" s="34">
        <f>IF(AND(AU$5&gt;=$D51,AU$5&lt;=$E51),6,"")</f>
        <v/>
      </c>
      <c r="AV51" s="34">
        <f>IF(AND(AV$5&gt;=$D51,AV$5&lt;=$E51),6,"")</f>
        <v/>
      </c>
      <c r="AW51" s="34">
        <f>IF(AND(AW$5&gt;=$D51,AW$5&lt;=$E51),6,"")</f>
        <v/>
      </c>
      <c r="AX51" s="34">
        <f>IF(AND(AX$5&gt;=$D51,AX$5&lt;=$E51),6,"")</f>
        <v/>
      </c>
      <c r="AY51" s="34">
        <f>IF(AND(AY$5&gt;=$D51,AY$5&lt;=$E51),6,"")</f>
        <v/>
      </c>
      <c r="AZ51" s="34">
        <f>IF(AND(AZ$5&gt;=$D51,AZ$5&lt;=$E51),6,"")</f>
        <v/>
      </c>
      <c r="BA51" s="34">
        <f>IF(AND(BA$5&gt;=$D51,BA$5&lt;=$E51),6,"")</f>
        <v/>
      </c>
      <c r="BB51" s="34">
        <f>IF(AND(BB$5&gt;=$D51,BB$5&lt;=$E51),6,"")</f>
        <v/>
      </c>
      <c r="BC51" s="34">
        <f>IF(AND(BC$5&gt;=$D51,BC$5&lt;=$E51),6,"")</f>
        <v/>
      </c>
      <c r="BD51" s="34">
        <f>IF(AND(BD$5&gt;=$D51,BD$5&lt;=$E51),6,"")</f>
        <v/>
      </c>
      <c r="BE51" s="34">
        <f>IF(AND(BE$5&gt;=$D51,BE$5&lt;=$E51),6,"")</f>
        <v/>
      </c>
      <c r="BF51" s="34">
        <f>IF(AND(BF$5&gt;=$D51,BF$5&lt;=$E51),6,"")</f>
        <v/>
      </c>
      <c r="BG51" s="34">
        <f>IF(AND(BG$5&gt;=$D51,BG$5&lt;=$E51),6,"")</f>
        <v/>
      </c>
      <c r="BH51" s="34">
        <f>IF(AND(BH$5&gt;=$D51,BH$5&lt;=$E51),6,"")</f>
        <v/>
      </c>
      <c r="BI51" s="34">
        <f>IF(AND(BI$5&gt;=$D51,BI$5&lt;=$E51),6,"")</f>
        <v/>
      </c>
      <c r="BJ51" s="34">
        <f>IF(AND(BJ$5&gt;=$D51,BJ$5&lt;=$E51),6,"")</f>
        <v/>
      </c>
      <c r="BK51" s="34">
        <f>IF(AND(BK$5&gt;=$D51,BK$5&lt;=$E51),6,"")</f>
        <v/>
      </c>
    </row>
    <row r="52" ht="14.25" customHeight="1" s="36">
      <c r="A52" s="13" t="inlineStr">
        <is>
          <t>6 Infraestructura física y sitios</t>
        </is>
      </c>
      <c r="B52" s="13" t="inlineStr">
        <is>
          <t>6.4</t>
        </is>
      </c>
      <c r="C52" s="13" t="inlineStr">
        <is>
          <t>Sistemas de seguridad física</t>
        </is>
      </c>
      <c r="D52" s="13" t="n">
        <v>5</v>
      </c>
      <c r="E52" s="13" t="n">
        <v>6</v>
      </c>
      <c r="F52" s="13">
        <f>E52-D52+1</f>
        <v/>
      </c>
      <c r="G52" s="31" t="n">
        <v>480</v>
      </c>
      <c r="H52" s="34">
        <f>IF(AND(H$5&gt;=$D52,H$5&lt;=$E52),6,"")</f>
        <v/>
      </c>
      <c r="I52" s="34">
        <f>IF(AND(I$5&gt;=$D52,I$5&lt;=$E52),6,"")</f>
        <v/>
      </c>
      <c r="J52" s="34">
        <f>IF(AND(J$5&gt;=$D52,J$5&lt;=$E52),6,"")</f>
        <v/>
      </c>
      <c r="K52" s="34">
        <f>IF(AND(K$5&gt;=$D52,K$5&lt;=$E52),6,"")</f>
        <v/>
      </c>
      <c r="L52" s="34">
        <f>IF(AND(L$5&gt;=$D52,L$5&lt;=$E52),6,"")</f>
        <v/>
      </c>
      <c r="M52" s="34">
        <f>IF(AND(M$5&gt;=$D52,M$5&lt;=$E52),6,"")</f>
        <v/>
      </c>
      <c r="N52" s="34">
        <f>IF(AND(N$5&gt;=$D52,N$5&lt;=$E52),6,"")</f>
        <v/>
      </c>
      <c r="O52" s="34">
        <f>IF(AND(O$5&gt;=$D52,O$5&lt;=$E52),6,"")</f>
        <v/>
      </c>
      <c r="P52" s="34">
        <f>IF(AND(P$5&gt;=$D52,P$5&lt;=$E52),6,"")</f>
        <v/>
      </c>
      <c r="Q52" s="34">
        <f>IF(AND(Q$5&gt;=$D52,Q$5&lt;=$E52),6,"")</f>
        <v/>
      </c>
      <c r="R52" s="34">
        <f>IF(AND(R$5&gt;=$D52,R$5&lt;=$E52),6,"")</f>
        <v/>
      </c>
      <c r="S52" s="34">
        <f>IF(AND(S$5&gt;=$D52,S$5&lt;=$E52),6,"")</f>
        <v/>
      </c>
      <c r="T52" s="34">
        <f>IF(AND(T$5&gt;=$D52,T$5&lt;=$E52),6,"")</f>
        <v/>
      </c>
      <c r="U52" s="34">
        <f>IF(AND(U$5&gt;=$D52,U$5&lt;=$E52),6,"")</f>
        <v/>
      </c>
      <c r="V52" s="34">
        <f>IF(AND(V$5&gt;=$D52,V$5&lt;=$E52),6,"")</f>
        <v/>
      </c>
      <c r="W52" s="34">
        <f>IF(AND(W$5&gt;=$D52,W$5&lt;=$E52),6,"")</f>
        <v/>
      </c>
      <c r="X52" s="34">
        <f>IF(AND(X$5&gt;=$D52,X$5&lt;=$E52),6,"")</f>
        <v/>
      </c>
      <c r="Y52" s="34">
        <f>IF(AND(Y$5&gt;=$D52,Y$5&lt;=$E52),6,"")</f>
        <v/>
      </c>
      <c r="Z52" s="34">
        <f>IF(AND(Z$5&gt;=$D52,Z$5&lt;=$E52),6,"")</f>
        <v/>
      </c>
      <c r="AA52" s="34">
        <f>IF(AND(AA$5&gt;=$D52,AA$5&lt;=$E52),6,"")</f>
        <v/>
      </c>
      <c r="AB52" s="34">
        <f>IF(AND(AB$5&gt;=$D52,AB$5&lt;=$E52),6,"")</f>
        <v/>
      </c>
      <c r="AC52" s="34">
        <f>IF(AND(AC$5&gt;=$D52,AC$5&lt;=$E52),6,"")</f>
        <v/>
      </c>
      <c r="AD52" s="34">
        <f>IF(AND(AD$5&gt;=$D52,AD$5&lt;=$E52),6,"")</f>
        <v/>
      </c>
      <c r="AE52" s="34">
        <f>IF(AND(AE$5&gt;=$D52,AE$5&lt;=$E52),6,"")</f>
        <v/>
      </c>
      <c r="AF52" s="34">
        <f>IF(AND(AF$5&gt;=$D52,AF$5&lt;=$E52),6,"")</f>
        <v/>
      </c>
      <c r="AG52" s="34">
        <f>IF(AND(AG$5&gt;=$D52,AG$5&lt;=$E52),6,"")</f>
        <v/>
      </c>
      <c r="AH52" s="34">
        <f>IF(AND(AH$5&gt;=$D52,AH$5&lt;=$E52),6,"")</f>
        <v/>
      </c>
      <c r="AI52" s="34">
        <f>IF(AND(AI$5&gt;=$D52,AI$5&lt;=$E52),6,"")</f>
        <v/>
      </c>
      <c r="AJ52" s="34">
        <f>IF(AND(AJ$5&gt;=$D52,AJ$5&lt;=$E52),6,"")</f>
        <v/>
      </c>
      <c r="AK52" s="34">
        <f>IF(AND(AK$5&gt;=$D52,AK$5&lt;=$E52),6,"")</f>
        <v/>
      </c>
      <c r="AL52" s="34">
        <f>IF(AND(AL$5&gt;=$D52,AL$5&lt;=$E52),6,"")</f>
        <v/>
      </c>
      <c r="AM52" s="34">
        <f>IF(AND(AM$5&gt;=$D52,AM$5&lt;=$E52),6,"")</f>
        <v/>
      </c>
      <c r="AN52" s="34">
        <f>IF(AND(AN$5&gt;=$D52,AN$5&lt;=$E52),6,"")</f>
        <v/>
      </c>
      <c r="AO52" s="34">
        <f>IF(AND(AO$5&gt;=$D52,AO$5&lt;=$E52),6,"")</f>
        <v/>
      </c>
      <c r="AP52" s="34">
        <f>IF(AND(AP$5&gt;=$D52,AP$5&lt;=$E52),6,"")</f>
        <v/>
      </c>
      <c r="AQ52" s="34">
        <f>IF(AND(AQ$5&gt;=$D52,AQ$5&lt;=$E52),6,"")</f>
        <v/>
      </c>
      <c r="AR52" s="34">
        <f>IF(AND(AR$5&gt;=$D52,AR$5&lt;=$E52),6,"")</f>
        <v/>
      </c>
      <c r="AS52" s="34">
        <f>IF(AND(AS$5&gt;=$D52,AS$5&lt;=$E52),6,"")</f>
        <v/>
      </c>
      <c r="AT52" s="34">
        <f>IF(AND(AT$5&gt;=$D52,AT$5&lt;=$E52),6,"")</f>
        <v/>
      </c>
      <c r="AU52" s="34">
        <f>IF(AND(AU$5&gt;=$D52,AU$5&lt;=$E52),6,"")</f>
        <v/>
      </c>
      <c r="AV52" s="34">
        <f>IF(AND(AV$5&gt;=$D52,AV$5&lt;=$E52),6,"")</f>
        <v/>
      </c>
      <c r="AW52" s="34">
        <f>IF(AND(AW$5&gt;=$D52,AW$5&lt;=$E52),6,"")</f>
        <v/>
      </c>
      <c r="AX52" s="34">
        <f>IF(AND(AX$5&gt;=$D52,AX$5&lt;=$E52),6,"")</f>
        <v/>
      </c>
      <c r="AY52" s="34">
        <f>IF(AND(AY$5&gt;=$D52,AY$5&lt;=$E52),6,"")</f>
        <v/>
      </c>
      <c r="AZ52" s="34">
        <f>IF(AND(AZ$5&gt;=$D52,AZ$5&lt;=$E52),6,"")</f>
        <v/>
      </c>
      <c r="BA52" s="34">
        <f>IF(AND(BA$5&gt;=$D52,BA$5&lt;=$E52),6,"")</f>
        <v/>
      </c>
      <c r="BB52" s="34">
        <f>IF(AND(BB$5&gt;=$D52,BB$5&lt;=$E52),6,"")</f>
        <v/>
      </c>
      <c r="BC52" s="34">
        <f>IF(AND(BC$5&gt;=$D52,BC$5&lt;=$E52),6,"")</f>
        <v/>
      </c>
      <c r="BD52" s="34">
        <f>IF(AND(BD$5&gt;=$D52,BD$5&lt;=$E52),6,"")</f>
        <v/>
      </c>
      <c r="BE52" s="34">
        <f>IF(AND(BE$5&gt;=$D52,BE$5&lt;=$E52),6,"")</f>
        <v/>
      </c>
      <c r="BF52" s="34">
        <f>IF(AND(BF$5&gt;=$D52,BF$5&lt;=$E52),6,"")</f>
        <v/>
      </c>
      <c r="BG52" s="34">
        <f>IF(AND(BG$5&gt;=$D52,BG$5&lt;=$E52),6,"")</f>
        <v/>
      </c>
      <c r="BH52" s="34">
        <f>IF(AND(BH$5&gt;=$D52,BH$5&lt;=$E52),6,"")</f>
        <v/>
      </c>
      <c r="BI52" s="34">
        <f>IF(AND(BI$5&gt;=$D52,BI$5&lt;=$E52),6,"")</f>
        <v/>
      </c>
      <c r="BJ52" s="34">
        <f>IF(AND(BJ$5&gt;=$D52,BJ$5&lt;=$E52),6,"")</f>
        <v/>
      </c>
      <c r="BK52" s="34">
        <f>IF(AND(BK$5&gt;=$D52,BK$5&lt;=$E52),6,"")</f>
        <v/>
      </c>
    </row>
    <row r="53" ht="14.25" customHeight="1" s="36">
      <c r="A53" s="13" t="inlineStr">
        <is>
          <t>6 Infraestructura física y sitios</t>
        </is>
      </c>
      <c r="B53" s="13" t="inlineStr">
        <is>
          <t>6.5</t>
        </is>
      </c>
      <c r="C53" s="13" t="inlineStr">
        <is>
          <t>Equipamiento de campo</t>
        </is>
      </c>
      <c r="D53" s="13" t="n">
        <v>9</v>
      </c>
      <c r="E53" s="13" t="n">
        <v>12</v>
      </c>
      <c r="F53" s="13">
        <f>E53-D53+1</f>
        <v/>
      </c>
      <c r="G53" s="31" t="n">
        <v>960</v>
      </c>
      <c r="H53" s="34">
        <f>IF(AND(H$5&gt;=$D53,H$5&lt;=$E53),6,"")</f>
        <v/>
      </c>
      <c r="I53" s="34">
        <f>IF(AND(I$5&gt;=$D53,I$5&lt;=$E53),6,"")</f>
        <v/>
      </c>
      <c r="J53" s="34">
        <f>IF(AND(J$5&gt;=$D53,J$5&lt;=$E53),6,"")</f>
        <v/>
      </c>
      <c r="K53" s="34">
        <f>IF(AND(K$5&gt;=$D53,K$5&lt;=$E53),6,"")</f>
        <v/>
      </c>
      <c r="L53" s="34">
        <f>IF(AND(L$5&gt;=$D53,L$5&lt;=$E53),6,"")</f>
        <v/>
      </c>
      <c r="M53" s="34">
        <f>IF(AND(M$5&gt;=$D53,M$5&lt;=$E53),6,"")</f>
        <v/>
      </c>
      <c r="N53" s="34">
        <f>IF(AND(N$5&gt;=$D53,N$5&lt;=$E53),6,"")</f>
        <v/>
      </c>
      <c r="O53" s="34">
        <f>IF(AND(O$5&gt;=$D53,O$5&lt;=$E53),6,"")</f>
        <v/>
      </c>
      <c r="P53" s="34">
        <f>IF(AND(P$5&gt;=$D53,P$5&lt;=$E53),6,"")</f>
        <v/>
      </c>
      <c r="Q53" s="34">
        <f>IF(AND(Q$5&gt;=$D53,Q$5&lt;=$E53),6,"")</f>
        <v/>
      </c>
      <c r="R53" s="34">
        <f>IF(AND(R$5&gt;=$D53,R$5&lt;=$E53),6,"")</f>
        <v/>
      </c>
      <c r="S53" s="34">
        <f>IF(AND(S$5&gt;=$D53,S$5&lt;=$E53),6,"")</f>
        <v/>
      </c>
      <c r="T53" s="34">
        <f>IF(AND(T$5&gt;=$D53,T$5&lt;=$E53),6,"")</f>
        <v/>
      </c>
      <c r="U53" s="34">
        <f>IF(AND(U$5&gt;=$D53,U$5&lt;=$E53),6,"")</f>
        <v/>
      </c>
      <c r="V53" s="34">
        <f>IF(AND(V$5&gt;=$D53,V$5&lt;=$E53),6,"")</f>
        <v/>
      </c>
      <c r="W53" s="34">
        <f>IF(AND(W$5&gt;=$D53,W$5&lt;=$E53),6,"")</f>
        <v/>
      </c>
      <c r="X53" s="34">
        <f>IF(AND(X$5&gt;=$D53,X$5&lt;=$E53),6,"")</f>
        <v/>
      </c>
      <c r="Y53" s="34">
        <f>IF(AND(Y$5&gt;=$D53,Y$5&lt;=$E53),6,"")</f>
        <v/>
      </c>
      <c r="Z53" s="34">
        <f>IF(AND(Z$5&gt;=$D53,Z$5&lt;=$E53),6,"")</f>
        <v/>
      </c>
      <c r="AA53" s="34">
        <f>IF(AND(AA$5&gt;=$D53,AA$5&lt;=$E53),6,"")</f>
        <v/>
      </c>
      <c r="AB53" s="34">
        <f>IF(AND(AB$5&gt;=$D53,AB$5&lt;=$E53),6,"")</f>
        <v/>
      </c>
      <c r="AC53" s="34">
        <f>IF(AND(AC$5&gt;=$D53,AC$5&lt;=$E53),6,"")</f>
        <v/>
      </c>
      <c r="AD53" s="34">
        <f>IF(AND(AD$5&gt;=$D53,AD$5&lt;=$E53),6,"")</f>
        <v/>
      </c>
      <c r="AE53" s="34">
        <f>IF(AND(AE$5&gt;=$D53,AE$5&lt;=$E53),6,"")</f>
        <v/>
      </c>
      <c r="AF53" s="34">
        <f>IF(AND(AF$5&gt;=$D53,AF$5&lt;=$E53),6,"")</f>
        <v/>
      </c>
      <c r="AG53" s="34">
        <f>IF(AND(AG$5&gt;=$D53,AG$5&lt;=$E53),6,"")</f>
        <v/>
      </c>
      <c r="AH53" s="34">
        <f>IF(AND(AH$5&gt;=$D53,AH$5&lt;=$E53),6,"")</f>
        <v/>
      </c>
      <c r="AI53" s="34">
        <f>IF(AND(AI$5&gt;=$D53,AI$5&lt;=$E53),6,"")</f>
        <v/>
      </c>
      <c r="AJ53" s="34">
        <f>IF(AND(AJ$5&gt;=$D53,AJ$5&lt;=$E53),6,"")</f>
        <v/>
      </c>
      <c r="AK53" s="34">
        <f>IF(AND(AK$5&gt;=$D53,AK$5&lt;=$E53),6,"")</f>
        <v/>
      </c>
      <c r="AL53" s="34">
        <f>IF(AND(AL$5&gt;=$D53,AL$5&lt;=$E53),6,"")</f>
        <v/>
      </c>
      <c r="AM53" s="34">
        <f>IF(AND(AM$5&gt;=$D53,AM$5&lt;=$E53),6,"")</f>
        <v/>
      </c>
      <c r="AN53" s="34">
        <f>IF(AND(AN$5&gt;=$D53,AN$5&lt;=$E53),6,"")</f>
        <v/>
      </c>
      <c r="AO53" s="34">
        <f>IF(AND(AO$5&gt;=$D53,AO$5&lt;=$E53),6,"")</f>
        <v/>
      </c>
      <c r="AP53" s="34">
        <f>IF(AND(AP$5&gt;=$D53,AP$5&lt;=$E53),6,"")</f>
        <v/>
      </c>
      <c r="AQ53" s="34">
        <f>IF(AND(AQ$5&gt;=$D53,AQ$5&lt;=$E53),6,"")</f>
        <v/>
      </c>
      <c r="AR53" s="34">
        <f>IF(AND(AR$5&gt;=$D53,AR$5&lt;=$E53),6,"")</f>
        <v/>
      </c>
      <c r="AS53" s="34">
        <f>IF(AND(AS$5&gt;=$D53,AS$5&lt;=$E53),6,"")</f>
        <v/>
      </c>
      <c r="AT53" s="34">
        <f>IF(AND(AT$5&gt;=$D53,AT$5&lt;=$E53),6,"")</f>
        <v/>
      </c>
      <c r="AU53" s="34">
        <f>IF(AND(AU$5&gt;=$D53,AU$5&lt;=$E53),6,"")</f>
        <v/>
      </c>
      <c r="AV53" s="34">
        <f>IF(AND(AV$5&gt;=$D53,AV$5&lt;=$E53),6,"")</f>
        <v/>
      </c>
      <c r="AW53" s="34">
        <f>IF(AND(AW$5&gt;=$D53,AW$5&lt;=$E53),6,"")</f>
        <v/>
      </c>
      <c r="AX53" s="34">
        <f>IF(AND(AX$5&gt;=$D53,AX$5&lt;=$E53),6,"")</f>
        <v/>
      </c>
      <c r="AY53" s="34">
        <f>IF(AND(AY$5&gt;=$D53,AY$5&lt;=$E53),6,"")</f>
        <v/>
      </c>
      <c r="AZ53" s="34">
        <f>IF(AND(AZ$5&gt;=$D53,AZ$5&lt;=$E53),6,"")</f>
        <v/>
      </c>
      <c r="BA53" s="34">
        <f>IF(AND(BA$5&gt;=$D53,BA$5&lt;=$E53),6,"")</f>
        <v/>
      </c>
      <c r="BB53" s="34">
        <f>IF(AND(BB$5&gt;=$D53,BB$5&lt;=$E53),6,"")</f>
        <v/>
      </c>
      <c r="BC53" s="34">
        <f>IF(AND(BC$5&gt;=$D53,BC$5&lt;=$E53),6,"")</f>
        <v/>
      </c>
      <c r="BD53" s="34">
        <f>IF(AND(BD$5&gt;=$D53,BD$5&lt;=$E53),6,"")</f>
        <v/>
      </c>
      <c r="BE53" s="34">
        <f>IF(AND(BE$5&gt;=$D53,BE$5&lt;=$E53),6,"")</f>
        <v/>
      </c>
      <c r="BF53" s="34">
        <f>IF(AND(BF$5&gt;=$D53,BF$5&lt;=$E53),6,"")</f>
        <v/>
      </c>
      <c r="BG53" s="34">
        <f>IF(AND(BG$5&gt;=$D53,BG$5&lt;=$E53),6,"")</f>
        <v/>
      </c>
      <c r="BH53" s="34">
        <f>IF(AND(BH$5&gt;=$D53,BH$5&lt;=$E53),6,"")</f>
        <v/>
      </c>
      <c r="BI53" s="34">
        <f>IF(AND(BI$5&gt;=$D53,BI$5&lt;=$E53),6,"")</f>
        <v/>
      </c>
      <c r="BJ53" s="34">
        <f>IF(AND(BJ$5&gt;=$D53,BJ$5&lt;=$E53),6,"")</f>
        <v/>
      </c>
      <c r="BK53" s="34">
        <f>IF(AND(BK$5&gt;=$D53,BK$5&lt;=$E53),6,"")</f>
        <v/>
      </c>
    </row>
    <row r="54" ht="14.25" customHeight="1" s="36">
      <c r="A54" s="13" t="inlineStr">
        <is>
          <t>6 Infraestructura física y sitios</t>
        </is>
      </c>
      <c r="B54" s="13" t="inlineStr">
        <is>
          <t>6.6</t>
        </is>
      </c>
      <c r="C54" s="13" t="inlineStr">
        <is>
          <t>Configuración de la infraestructura de los sitios</t>
        </is>
      </c>
      <c r="D54" s="13" t="n">
        <v>5</v>
      </c>
      <c r="E54" s="13" t="n">
        <v>5</v>
      </c>
      <c r="F54" s="13">
        <f>E54-D54+1</f>
        <v/>
      </c>
      <c r="G54" s="31" t="n">
        <v>480</v>
      </c>
      <c r="H54" s="34">
        <f>IF(AND(H$5&gt;=$D54,H$5&lt;=$E54),6,"")</f>
        <v/>
      </c>
      <c r="I54" s="34">
        <f>IF(AND(I$5&gt;=$D54,I$5&lt;=$E54),6,"")</f>
        <v/>
      </c>
      <c r="J54" s="34">
        <f>IF(AND(J$5&gt;=$D54,J$5&lt;=$E54),6,"")</f>
        <v/>
      </c>
      <c r="K54" s="34">
        <f>IF(AND(K$5&gt;=$D54,K$5&lt;=$E54),6,"")</f>
        <v/>
      </c>
      <c r="L54" s="34">
        <f>IF(AND(L$5&gt;=$D54,L$5&lt;=$E54),6,"")</f>
        <v/>
      </c>
      <c r="M54" s="34">
        <f>IF(AND(M$5&gt;=$D54,M$5&lt;=$E54),6,"")</f>
        <v/>
      </c>
      <c r="N54" s="34">
        <f>IF(AND(N$5&gt;=$D54,N$5&lt;=$E54),6,"")</f>
        <v/>
      </c>
      <c r="O54" s="34">
        <f>IF(AND(O$5&gt;=$D54,O$5&lt;=$E54),6,"")</f>
        <v/>
      </c>
      <c r="P54" s="34">
        <f>IF(AND(P$5&gt;=$D54,P$5&lt;=$E54),6,"")</f>
        <v/>
      </c>
      <c r="Q54" s="34">
        <f>IF(AND(Q$5&gt;=$D54,Q$5&lt;=$E54),6,"")</f>
        <v/>
      </c>
      <c r="R54" s="34">
        <f>IF(AND(R$5&gt;=$D54,R$5&lt;=$E54),6,"")</f>
        <v/>
      </c>
      <c r="S54" s="34">
        <f>IF(AND(S$5&gt;=$D54,S$5&lt;=$E54),6,"")</f>
        <v/>
      </c>
      <c r="T54" s="34">
        <f>IF(AND(T$5&gt;=$D54,T$5&lt;=$E54),6,"")</f>
        <v/>
      </c>
      <c r="U54" s="34">
        <f>IF(AND(U$5&gt;=$D54,U$5&lt;=$E54),6,"")</f>
        <v/>
      </c>
      <c r="V54" s="34">
        <f>IF(AND(V$5&gt;=$D54,V$5&lt;=$E54),6,"")</f>
        <v/>
      </c>
      <c r="W54" s="34">
        <f>IF(AND(W$5&gt;=$D54,W$5&lt;=$E54),6,"")</f>
        <v/>
      </c>
      <c r="X54" s="34">
        <f>IF(AND(X$5&gt;=$D54,X$5&lt;=$E54),6,"")</f>
        <v/>
      </c>
      <c r="Y54" s="34">
        <f>IF(AND(Y$5&gt;=$D54,Y$5&lt;=$E54),6,"")</f>
        <v/>
      </c>
      <c r="Z54" s="34">
        <f>IF(AND(Z$5&gt;=$D54,Z$5&lt;=$E54),6,"")</f>
        <v/>
      </c>
      <c r="AA54" s="34">
        <f>IF(AND(AA$5&gt;=$D54,AA$5&lt;=$E54),6,"")</f>
        <v/>
      </c>
      <c r="AB54" s="34">
        <f>IF(AND(AB$5&gt;=$D54,AB$5&lt;=$E54),6,"")</f>
        <v/>
      </c>
      <c r="AC54" s="34">
        <f>IF(AND(AC$5&gt;=$D54,AC$5&lt;=$E54),6,"")</f>
        <v/>
      </c>
      <c r="AD54" s="34">
        <f>IF(AND(AD$5&gt;=$D54,AD$5&lt;=$E54),6,"")</f>
        <v/>
      </c>
      <c r="AE54" s="34">
        <f>IF(AND(AE$5&gt;=$D54,AE$5&lt;=$E54),6,"")</f>
        <v/>
      </c>
      <c r="AF54" s="34">
        <f>IF(AND(AF$5&gt;=$D54,AF$5&lt;=$E54),6,"")</f>
        <v/>
      </c>
      <c r="AG54" s="34">
        <f>IF(AND(AG$5&gt;=$D54,AG$5&lt;=$E54),6,"")</f>
        <v/>
      </c>
      <c r="AH54" s="34">
        <f>IF(AND(AH$5&gt;=$D54,AH$5&lt;=$E54),6,"")</f>
        <v/>
      </c>
      <c r="AI54" s="34">
        <f>IF(AND(AI$5&gt;=$D54,AI$5&lt;=$E54),6,"")</f>
        <v/>
      </c>
      <c r="AJ54" s="34">
        <f>IF(AND(AJ$5&gt;=$D54,AJ$5&lt;=$E54),6,"")</f>
        <v/>
      </c>
      <c r="AK54" s="34">
        <f>IF(AND(AK$5&gt;=$D54,AK$5&lt;=$E54),6,"")</f>
        <v/>
      </c>
      <c r="AL54" s="34">
        <f>IF(AND(AL$5&gt;=$D54,AL$5&lt;=$E54),6,"")</f>
        <v/>
      </c>
      <c r="AM54" s="34">
        <f>IF(AND(AM$5&gt;=$D54,AM$5&lt;=$E54),6,"")</f>
        <v/>
      </c>
      <c r="AN54" s="34">
        <f>IF(AND(AN$5&gt;=$D54,AN$5&lt;=$E54),6,"")</f>
        <v/>
      </c>
      <c r="AO54" s="34">
        <f>IF(AND(AO$5&gt;=$D54,AO$5&lt;=$E54),6,"")</f>
        <v/>
      </c>
      <c r="AP54" s="34">
        <f>IF(AND(AP$5&gt;=$D54,AP$5&lt;=$E54),6,"")</f>
        <v/>
      </c>
      <c r="AQ54" s="34">
        <f>IF(AND(AQ$5&gt;=$D54,AQ$5&lt;=$E54),6,"")</f>
        <v/>
      </c>
      <c r="AR54" s="34">
        <f>IF(AND(AR$5&gt;=$D54,AR$5&lt;=$E54),6,"")</f>
        <v/>
      </c>
      <c r="AS54" s="34">
        <f>IF(AND(AS$5&gt;=$D54,AS$5&lt;=$E54),6,"")</f>
        <v/>
      </c>
      <c r="AT54" s="34">
        <f>IF(AND(AT$5&gt;=$D54,AT$5&lt;=$E54),6,"")</f>
        <v/>
      </c>
      <c r="AU54" s="34">
        <f>IF(AND(AU$5&gt;=$D54,AU$5&lt;=$E54),6,"")</f>
        <v/>
      </c>
      <c r="AV54" s="34">
        <f>IF(AND(AV$5&gt;=$D54,AV$5&lt;=$E54),6,"")</f>
        <v/>
      </c>
      <c r="AW54" s="34">
        <f>IF(AND(AW$5&gt;=$D54,AW$5&lt;=$E54),6,"")</f>
        <v/>
      </c>
      <c r="AX54" s="34">
        <f>IF(AND(AX$5&gt;=$D54,AX$5&lt;=$E54),6,"")</f>
        <v/>
      </c>
      <c r="AY54" s="34">
        <f>IF(AND(AY$5&gt;=$D54,AY$5&lt;=$E54),6,"")</f>
        <v/>
      </c>
      <c r="AZ54" s="34">
        <f>IF(AND(AZ$5&gt;=$D54,AZ$5&lt;=$E54),6,"")</f>
        <v/>
      </c>
      <c r="BA54" s="34">
        <f>IF(AND(BA$5&gt;=$D54,BA$5&lt;=$E54),6,"")</f>
        <v/>
      </c>
      <c r="BB54" s="34">
        <f>IF(AND(BB$5&gt;=$D54,BB$5&lt;=$E54),6,"")</f>
        <v/>
      </c>
      <c r="BC54" s="34">
        <f>IF(AND(BC$5&gt;=$D54,BC$5&lt;=$E54),6,"")</f>
        <v/>
      </c>
      <c r="BD54" s="34">
        <f>IF(AND(BD$5&gt;=$D54,BD$5&lt;=$E54),6,"")</f>
        <v/>
      </c>
      <c r="BE54" s="34">
        <f>IF(AND(BE$5&gt;=$D54,BE$5&lt;=$E54),6,"")</f>
        <v/>
      </c>
      <c r="BF54" s="34">
        <f>IF(AND(BF$5&gt;=$D54,BF$5&lt;=$E54),6,"")</f>
        <v/>
      </c>
      <c r="BG54" s="34">
        <f>IF(AND(BG$5&gt;=$D54,BG$5&lt;=$E54),6,"")</f>
        <v/>
      </c>
      <c r="BH54" s="34">
        <f>IF(AND(BH$5&gt;=$D54,BH$5&lt;=$E54),6,"")</f>
        <v/>
      </c>
      <c r="BI54" s="34">
        <f>IF(AND(BI$5&gt;=$D54,BI$5&lt;=$E54),6,"")</f>
        <v/>
      </c>
      <c r="BJ54" s="34">
        <f>IF(AND(BJ$5&gt;=$D54,BJ$5&lt;=$E54),6,"")</f>
        <v/>
      </c>
      <c r="BK54" s="34">
        <f>IF(AND(BK$5&gt;=$D54,BK$5&lt;=$E54),6,"")</f>
        <v/>
      </c>
    </row>
    <row r="55" ht="14.25" customHeight="1" s="36">
      <c r="A55" s="13" t="inlineStr">
        <is>
          <t>7 Capacitación y gestión del cambio</t>
        </is>
      </c>
      <c r="B55" s="13" t="inlineStr">
        <is>
          <t>7.1</t>
        </is>
      </c>
      <c r="C55" s="13" t="inlineStr">
        <is>
          <t>Capacitación por roles</t>
        </is>
      </c>
      <c r="D55" s="13" t="n">
        <v>10</v>
      </c>
      <c r="E55" s="13" t="n">
        <v>56</v>
      </c>
      <c r="F55" s="13">
        <f>E55-D55+1</f>
        <v/>
      </c>
      <c r="G55" s="31" t="n">
        <v>3616</v>
      </c>
      <c r="H55" s="34">
        <f>IF(AND(H$5&gt;=$D55,H$5&lt;=$E55),7,"")</f>
        <v/>
      </c>
      <c r="I55" s="34">
        <f>IF(AND(I$5&gt;=$D55,I$5&lt;=$E55),7,"")</f>
        <v/>
      </c>
      <c r="J55" s="34">
        <f>IF(AND(J$5&gt;=$D55,J$5&lt;=$E55),7,"")</f>
        <v/>
      </c>
      <c r="K55" s="34">
        <f>IF(AND(K$5&gt;=$D55,K$5&lt;=$E55),7,"")</f>
        <v/>
      </c>
      <c r="L55" s="34">
        <f>IF(AND(L$5&gt;=$D55,L$5&lt;=$E55),7,"")</f>
        <v/>
      </c>
      <c r="M55" s="34">
        <f>IF(AND(M$5&gt;=$D55,M$5&lt;=$E55),7,"")</f>
        <v/>
      </c>
      <c r="N55" s="34">
        <f>IF(AND(N$5&gt;=$D55,N$5&lt;=$E55),7,"")</f>
        <v/>
      </c>
      <c r="O55" s="34">
        <f>IF(AND(O$5&gt;=$D55,O$5&lt;=$E55),7,"")</f>
        <v/>
      </c>
      <c r="P55" s="34">
        <f>IF(AND(P$5&gt;=$D55,P$5&lt;=$E55),7,"")</f>
        <v/>
      </c>
      <c r="Q55" s="34">
        <f>IF(AND(Q$5&gt;=$D55,Q$5&lt;=$E55),7,"")</f>
        <v/>
      </c>
      <c r="R55" s="34">
        <f>IF(AND(R$5&gt;=$D55,R$5&lt;=$E55),7,"")</f>
        <v/>
      </c>
      <c r="S55" s="34">
        <f>IF(AND(S$5&gt;=$D55,S$5&lt;=$E55),7,"")</f>
        <v/>
      </c>
      <c r="T55" s="34">
        <f>IF(AND(T$5&gt;=$D55,T$5&lt;=$E55),7,"")</f>
        <v/>
      </c>
      <c r="U55" s="34">
        <f>IF(AND(U$5&gt;=$D55,U$5&lt;=$E55),7,"")</f>
        <v/>
      </c>
      <c r="V55" s="34">
        <f>IF(AND(V$5&gt;=$D55,V$5&lt;=$E55),7,"")</f>
        <v/>
      </c>
      <c r="W55" s="34">
        <f>IF(AND(W$5&gt;=$D55,W$5&lt;=$E55),7,"")</f>
        <v/>
      </c>
      <c r="X55" s="34">
        <f>IF(AND(X$5&gt;=$D55,X$5&lt;=$E55),7,"")</f>
        <v/>
      </c>
      <c r="Y55" s="34">
        <f>IF(AND(Y$5&gt;=$D55,Y$5&lt;=$E55),7,"")</f>
        <v/>
      </c>
      <c r="Z55" s="34">
        <f>IF(AND(Z$5&gt;=$D55,Z$5&lt;=$E55),7,"")</f>
        <v/>
      </c>
      <c r="AA55" s="34">
        <f>IF(AND(AA$5&gt;=$D55,AA$5&lt;=$E55),7,"")</f>
        <v/>
      </c>
      <c r="AB55" s="34">
        <f>IF(AND(AB$5&gt;=$D55,AB$5&lt;=$E55),7,"")</f>
        <v/>
      </c>
      <c r="AC55" s="34">
        <f>IF(AND(AC$5&gt;=$D55,AC$5&lt;=$E55),7,"")</f>
        <v/>
      </c>
      <c r="AD55" s="34">
        <f>IF(AND(AD$5&gt;=$D55,AD$5&lt;=$E55),7,"")</f>
        <v/>
      </c>
      <c r="AE55" s="34">
        <f>IF(AND(AE$5&gt;=$D55,AE$5&lt;=$E55),7,"")</f>
        <v/>
      </c>
      <c r="AF55" s="34">
        <f>IF(AND(AF$5&gt;=$D55,AF$5&lt;=$E55),7,"")</f>
        <v/>
      </c>
      <c r="AG55" s="34">
        <f>IF(AND(AG$5&gt;=$D55,AG$5&lt;=$E55),7,"")</f>
        <v/>
      </c>
      <c r="AH55" s="34">
        <f>IF(AND(AH$5&gt;=$D55,AH$5&lt;=$E55),7,"")</f>
        <v/>
      </c>
      <c r="AI55" s="34">
        <f>IF(AND(AI$5&gt;=$D55,AI$5&lt;=$E55),7,"")</f>
        <v/>
      </c>
      <c r="AJ55" s="34">
        <f>IF(AND(AJ$5&gt;=$D55,AJ$5&lt;=$E55),7,"")</f>
        <v/>
      </c>
      <c r="AK55" s="34">
        <f>IF(AND(AK$5&gt;=$D55,AK$5&lt;=$E55),7,"")</f>
        <v/>
      </c>
      <c r="AL55" s="34">
        <f>IF(AND(AL$5&gt;=$D55,AL$5&lt;=$E55),7,"")</f>
        <v/>
      </c>
      <c r="AM55" s="34">
        <f>IF(AND(AM$5&gt;=$D55,AM$5&lt;=$E55),7,"")</f>
        <v/>
      </c>
      <c r="AN55" s="34">
        <f>IF(AND(AN$5&gt;=$D55,AN$5&lt;=$E55),7,"")</f>
        <v/>
      </c>
      <c r="AO55" s="34">
        <f>IF(AND(AO$5&gt;=$D55,AO$5&lt;=$E55),7,"")</f>
        <v/>
      </c>
      <c r="AP55" s="34">
        <f>IF(AND(AP$5&gt;=$D55,AP$5&lt;=$E55),7,"")</f>
        <v/>
      </c>
      <c r="AQ55" s="34">
        <f>IF(AND(AQ$5&gt;=$D55,AQ$5&lt;=$E55),7,"")</f>
        <v/>
      </c>
      <c r="AR55" s="34">
        <f>IF(AND(AR$5&gt;=$D55,AR$5&lt;=$E55),7,"")</f>
        <v/>
      </c>
      <c r="AS55" s="34">
        <f>IF(AND(AS$5&gt;=$D55,AS$5&lt;=$E55),7,"")</f>
        <v/>
      </c>
      <c r="AT55" s="34">
        <f>IF(AND(AT$5&gt;=$D55,AT$5&lt;=$E55),7,"")</f>
        <v/>
      </c>
      <c r="AU55" s="34">
        <f>IF(AND(AU$5&gt;=$D55,AU$5&lt;=$E55),7,"")</f>
        <v/>
      </c>
      <c r="AV55" s="34">
        <f>IF(AND(AV$5&gt;=$D55,AV$5&lt;=$E55),7,"")</f>
        <v/>
      </c>
      <c r="AW55" s="34">
        <f>IF(AND(AW$5&gt;=$D55,AW$5&lt;=$E55),7,"")</f>
        <v/>
      </c>
      <c r="AX55" s="34">
        <f>IF(AND(AX$5&gt;=$D55,AX$5&lt;=$E55),7,"")</f>
        <v/>
      </c>
      <c r="AY55" s="34">
        <f>IF(AND(AY$5&gt;=$D55,AY$5&lt;=$E55),7,"")</f>
        <v/>
      </c>
      <c r="AZ55" s="34">
        <f>IF(AND(AZ$5&gt;=$D55,AZ$5&lt;=$E55),7,"")</f>
        <v/>
      </c>
      <c r="BA55" s="34">
        <f>IF(AND(BA$5&gt;=$D55,BA$5&lt;=$E55),7,"")</f>
        <v/>
      </c>
      <c r="BB55" s="34">
        <f>IF(AND(BB$5&gt;=$D55,BB$5&lt;=$E55),7,"")</f>
        <v/>
      </c>
      <c r="BC55" s="34">
        <f>IF(AND(BC$5&gt;=$D55,BC$5&lt;=$E55),7,"")</f>
        <v/>
      </c>
      <c r="BD55" s="34">
        <f>IF(AND(BD$5&gt;=$D55,BD$5&lt;=$E55),7,"")</f>
        <v/>
      </c>
      <c r="BE55" s="34">
        <f>IF(AND(BE$5&gt;=$D55,BE$5&lt;=$E55),7,"")</f>
        <v/>
      </c>
      <c r="BF55" s="34">
        <f>IF(AND(BF$5&gt;=$D55,BF$5&lt;=$E55),7,"")</f>
        <v/>
      </c>
      <c r="BG55" s="34">
        <f>IF(AND(BG$5&gt;=$D55,BG$5&lt;=$E55),7,"")</f>
        <v/>
      </c>
      <c r="BH55" s="34">
        <f>IF(AND(BH$5&gt;=$D55,BH$5&lt;=$E55),7,"")</f>
        <v/>
      </c>
      <c r="BI55" s="34">
        <f>IF(AND(BI$5&gt;=$D55,BI$5&lt;=$E55),7,"")</f>
        <v/>
      </c>
      <c r="BJ55" s="34">
        <f>IF(AND(BJ$5&gt;=$D55,BJ$5&lt;=$E55),7,"")</f>
        <v/>
      </c>
      <c r="BK55" s="34">
        <f>IF(AND(BK$5&gt;=$D55,BK$5&lt;=$E55),7,"")</f>
        <v/>
      </c>
    </row>
    <row r="56" ht="14.25" customHeight="1" s="36">
      <c r="A56" s="13" t="inlineStr">
        <is>
          <t>7 Capacitación y gestión del cambio</t>
        </is>
      </c>
      <c r="B56" s="13" t="inlineStr">
        <is>
          <t>7.2</t>
        </is>
      </c>
      <c r="C56" s="13" t="inlineStr">
        <is>
          <t>Gestión del cambio</t>
        </is>
      </c>
      <c r="D56" s="13" t="n">
        <v>2</v>
      </c>
      <c r="E56" s="13" t="n">
        <v>21</v>
      </c>
      <c r="F56" s="13">
        <f>E56-D56+1</f>
        <v/>
      </c>
      <c r="G56" s="31" t="n">
        <v>800</v>
      </c>
      <c r="H56" s="34">
        <f>IF(AND(H$5&gt;=$D56,H$5&lt;=$E56),7,"")</f>
        <v/>
      </c>
      <c r="I56" s="34">
        <f>IF(AND(I$5&gt;=$D56,I$5&lt;=$E56),7,"")</f>
        <v/>
      </c>
      <c r="J56" s="34">
        <f>IF(AND(J$5&gt;=$D56,J$5&lt;=$E56),7,"")</f>
        <v/>
      </c>
      <c r="K56" s="34">
        <f>IF(AND(K$5&gt;=$D56,K$5&lt;=$E56),7,"")</f>
        <v/>
      </c>
      <c r="L56" s="34">
        <f>IF(AND(L$5&gt;=$D56,L$5&lt;=$E56),7,"")</f>
        <v/>
      </c>
      <c r="M56" s="34">
        <f>IF(AND(M$5&gt;=$D56,M$5&lt;=$E56),7,"")</f>
        <v/>
      </c>
      <c r="N56" s="34">
        <f>IF(AND(N$5&gt;=$D56,N$5&lt;=$E56),7,"")</f>
        <v/>
      </c>
      <c r="O56" s="34">
        <f>IF(AND(O$5&gt;=$D56,O$5&lt;=$E56),7,"")</f>
        <v/>
      </c>
      <c r="P56" s="34">
        <f>IF(AND(P$5&gt;=$D56,P$5&lt;=$E56),7,"")</f>
        <v/>
      </c>
      <c r="Q56" s="34">
        <f>IF(AND(Q$5&gt;=$D56,Q$5&lt;=$E56),7,"")</f>
        <v/>
      </c>
      <c r="R56" s="34">
        <f>IF(AND(R$5&gt;=$D56,R$5&lt;=$E56),7,"")</f>
        <v/>
      </c>
      <c r="S56" s="34">
        <f>IF(AND(S$5&gt;=$D56,S$5&lt;=$E56),7,"")</f>
        <v/>
      </c>
      <c r="T56" s="34">
        <f>IF(AND(T$5&gt;=$D56,T$5&lt;=$E56),7,"")</f>
        <v/>
      </c>
      <c r="U56" s="34">
        <f>IF(AND(U$5&gt;=$D56,U$5&lt;=$E56),7,"")</f>
        <v/>
      </c>
      <c r="V56" s="34">
        <f>IF(AND(V$5&gt;=$D56,V$5&lt;=$E56),7,"")</f>
        <v/>
      </c>
      <c r="W56" s="34">
        <f>IF(AND(W$5&gt;=$D56,W$5&lt;=$E56),7,"")</f>
        <v/>
      </c>
      <c r="X56" s="34">
        <f>IF(AND(X$5&gt;=$D56,X$5&lt;=$E56),7,"")</f>
        <v/>
      </c>
      <c r="Y56" s="34">
        <f>IF(AND(Y$5&gt;=$D56,Y$5&lt;=$E56),7,"")</f>
        <v/>
      </c>
      <c r="Z56" s="34">
        <f>IF(AND(Z$5&gt;=$D56,Z$5&lt;=$E56),7,"")</f>
        <v/>
      </c>
      <c r="AA56" s="34">
        <f>IF(AND(AA$5&gt;=$D56,AA$5&lt;=$E56),7,"")</f>
        <v/>
      </c>
      <c r="AB56" s="34">
        <f>IF(AND(AB$5&gt;=$D56,AB$5&lt;=$E56),7,"")</f>
        <v/>
      </c>
      <c r="AC56" s="34">
        <f>IF(AND(AC$5&gt;=$D56,AC$5&lt;=$E56),7,"")</f>
        <v/>
      </c>
      <c r="AD56" s="34">
        <f>IF(AND(AD$5&gt;=$D56,AD$5&lt;=$E56),7,"")</f>
        <v/>
      </c>
      <c r="AE56" s="34">
        <f>IF(AND(AE$5&gt;=$D56,AE$5&lt;=$E56),7,"")</f>
        <v/>
      </c>
      <c r="AF56" s="34">
        <f>IF(AND(AF$5&gt;=$D56,AF$5&lt;=$E56),7,"")</f>
        <v/>
      </c>
      <c r="AG56" s="34">
        <f>IF(AND(AG$5&gt;=$D56,AG$5&lt;=$E56),7,"")</f>
        <v/>
      </c>
      <c r="AH56" s="34">
        <f>IF(AND(AH$5&gt;=$D56,AH$5&lt;=$E56),7,"")</f>
        <v/>
      </c>
      <c r="AI56" s="34">
        <f>IF(AND(AI$5&gt;=$D56,AI$5&lt;=$E56),7,"")</f>
        <v/>
      </c>
      <c r="AJ56" s="34">
        <f>IF(AND(AJ$5&gt;=$D56,AJ$5&lt;=$E56),7,"")</f>
        <v/>
      </c>
      <c r="AK56" s="34">
        <f>IF(AND(AK$5&gt;=$D56,AK$5&lt;=$E56),7,"")</f>
        <v/>
      </c>
      <c r="AL56" s="34">
        <f>IF(AND(AL$5&gt;=$D56,AL$5&lt;=$E56),7,"")</f>
        <v/>
      </c>
      <c r="AM56" s="34">
        <f>IF(AND(AM$5&gt;=$D56,AM$5&lt;=$E56),7,"")</f>
        <v/>
      </c>
      <c r="AN56" s="34">
        <f>IF(AND(AN$5&gt;=$D56,AN$5&lt;=$E56),7,"")</f>
        <v/>
      </c>
      <c r="AO56" s="34">
        <f>IF(AND(AO$5&gt;=$D56,AO$5&lt;=$E56),7,"")</f>
        <v/>
      </c>
      <c r="AP56" s="34">
        <f>IF(AND(AP$5&gt;=$D56,AP$5&lt;=$E56),7,"")</f>
        <v/>
      </c>
      <c r="AQ56" s="34">
        <f>IF(AND(AQ$5&gt;=$D56,AQ$5&lt;=$E56),7,"")</f>
        <v/>
      </c>
      <c r="AR56" s="34">
        <f>IF(AND(AR$5&gt;=$D56,AR$5&lt;=$E56),7,"")</f>
        <v/>
      </c>
      <c r="AS56" s="34">
        <f>IF(AND(AS$5&gt;=$D56,AS$5&lt;=$E56),7,"")</f>
        <v/>
      </c>
      <c r="AT56" s="34">
        <f>IF(AND(AT$5&gt;=$D56,AT$5&lt;=$E56),7,"")</f>
        <v/>
      </c>
      <c r="AU56" s="34">
        <f>IF(AND(AU$5&gt;=$D56,AU$5&lt;=$E56),7,"")</f>
        <v/>
      </c>
      <c r="AV56" s="34">
        <f>IF(AND(AV$5&gt;=$D56,AV$5&lt;=$E56),7,"")</f>
        <v/>
      </c>
      <c r="AW56" s="34">
        <f>IF(AND(AW$5&gt;=$D56,AW$5&lt;=$E56),7,"")</f>
        <v/>
      </c>
      <c r="AX56" s="34">
        <f>IF(AND(AX$5&gt;=$D56,AX$5&lt;=$E56),7,"")</f>
        <v/>
      </c>
      <c r="AY56" s="34">
        <f>IF(AND(AY$5&gt;=$D56,AY$5&lt;=$E56),7,"")</f>
        <v/>
      </c>
      <c r="AZ56" s="34">
        <f>IF(AND(AZ$5&gt;=$D56,AZ$5&lt;=$E56),7,"")</f>
        <v/>
      </c>
      <c r="BA56" s="34">
        <f>IF(AND(BA$5&gt;=$D56,BA$5&lt;=$E56),7,"")</f>
        <v/>
      </c>
      <c r="BB56" s="34">
        <f>IF(AND(BB$5&gt;=$D56,BB$5&lt;=$E56),7,"")</f>
        <v/>
      </c>
      <c r="BC56" s="34">
        <f>IF(AND(BC$5&gt;=$D56,BC$5&lt;=$E56),7,"")</f>
        <v/>
      </c>
      <c r="BD56" s="34">
        <f>IF(AND(BD$5&gt;=$D56,BD$5&lt;=$E56),7,"")</f>
        <v/>
      </c>
      <c r="BE56" s="34">
        <f>IF(AND(BE$5&gt;=$D56,BE$5&lt;=$E56),7,"")</f>
        <v/>
      </c>
      <c r="BF56" s="34">
        <f>IF(AND(BF$5&gt;=$D56,BF$5&lt;=$E56),7,"")</f>
        <v/>
      </c>
      <c r="BG56" s="34">
        <f>IF(AND(BG$5&gt;=$D56,BG$5&lt;=$E56),7,"")</f>
        <v/>
      </c>
      <c r="BH56" s="34">
        <f>IF(AND(BH$5&gt;=$D56,BH$5&lt;=$E56),7,"")</f>
        <v/>
      </c>
      <c r="BI56" s="34">
        <f>IF(AND(BI$5&gt;=$D56,BI$5&lt;=$E56),7,"")</f>
        <v/>
      </c>
      <c r="BJ56" s="34">
        <f>IF(AND(BJ$5&gt;=$D56,BJ$5&lt;=$E56),7,"")</f>
        <v/>
      </c>
      <c r="BK56" s="34">
        <f>IF(AND(BK$5&gt;=$D56,BK$5&lt;=$E56),7,"")</f>
        <v/>
      </c>
    </row>
    <row r="57" ht="14.25" customHeight="1" s="36">
      <c r="A57" s="13" t="inlineStr">
        <is>
          <t>7 Capacitación y gestión del cambio</t>
        </is>
      </c>
      <c r="B57" s="13" t="inlineStr">
        <is>
          <t>7.3</t>
        </is>
      </c>
      <c r="C57" s="13" t="inlineStr">
        <is>
          <t>Evaluaciones y certificaciones</t>
        </is>
      </c>
      <c r="D57" s="13" t="n">
        <v>13</v>
      </c>
      <c r="E57" s="13" t="n">
        <v>18</v>
      </c>
      <c r="F57" s="13">
        <f>E57-D57+1</f>
        <v/>
      </c>
      <c r="G57" s="31" t="n">
        <v>320</v>
      </c>
      <c r="H57" s="34">
        <f>IF(AND(H$5&gt;=$D57,H$5&lt;=$E57),7,"")</f>
        <v/>
      </c>
      <c r="I57" s="34">
        <f>IF(AND(I$5&gt;=$D57,I$5&lt;=$E57),7,"")</f>
        <v/>
      </c>
      <c r="J57" s="34">
        <f>IF(AND(J$5&gt;=$D57,J$5&lt;=$E57),7,"")</f>
        <v/>
      </c>
      <c r="K57" s="34">
        <f>IF(AND(K$5&gt;=$D57,K$5&lt;=$E57),7,"")</f>
        <v/>
      </c>
      <c r="L57" s="34">
        <f>IF(AND(L$5&gt;=$D57,L$5&lt;=$E57),7,"")</f>
        <v/>
      </c>
      <c r="M57" s="34">
        <f>IF(AND(M$5&gt;=$D57,M$5&lt;=$E57),7,"")</f>
        <v/>
      </c>
      <c r="N57" s="34">
        <f>IF(AND(N$5&gt;=$D57,N$5&lt;=$E57),7,"")</f>
        <v/>
      </c>
      <c r="O57" s="34">
        <f>IF(AND(O$5&gt;=$D57,O$5&lt;=$E57),7,"")</f>
        <v/>
      </c>
      <c r="P57" s="34">
        <f>IF(AND(P$5&gt;=$D57,P$5&lt;=$E57),7,"")</f>
        <v/>
      </c>
      <c r="Q57" s="34">
        <f>IF(AND(Q$5&gt;=$D57,Q$5&lt;=$E57),7,"")</f>
        <v/>
      </c>
      <c r="R57" s="34">
        <f>IF(AND(R$5&gt;=$D57,R$5&lt;=$E57),7,"")</f>
        <v/>
      </c>
      <c r="S57" s="34">
        <f>IF(AND(S$5&gt;=$D57,S$5&lt;=$E57),7,"")</f>
        <v/>
      </c>
      <c r="T57" s="34">
        <f>IF(AND(T$5&gt;=$D57,T$5&lt;=$E57),7,"")</f>
        <v/>
      </c>
      <c r="U57" s="34">
        <f>IF(AND(U$5&gt;=$D57,U$5&lt;=$E57),7,"")</f>
        <v/>
      </c>
      <c r="V57" s="34">
        <f>IF(AND(V$5&gt;=$D57,V$5&lt;=$E57),7,"")</f>
        <v/>
      </c>
      <c r="W57" s="34">
        <f>IF(AND(W$5&gt;=$D57,W$5&lt;=$E57),7,"")</f>
        <v/>
      </c>
      <c r="X57" s="34">
        <f>IF(AND(X$5&gt;=$D57,X$5&lt;=$E57),7,"")</f>
        <v/>
      </c>
      <c r="Y57" s="34">
        <f>IF(AND(Y$5&gt;=$D57,Y$5&lt;=$E57),7,"")</f>
        <v/>
      </c>
      <c r="Z57" s="34">
        <f>IF(AND(Z$5&gt;=$D57,Z$5&lt;=$E57),7,"")</f>
        <v/>
      </c>
      <c r="AA57" s="34">
        <f>IF(AND(AA$5&gt;=$D57,AA$5&lt;=$E57),7,"")</f>
        <v/>
      </c>
      <c r="AB57" s="34">
        <f>IF(AND(AB$5&gt;=$D57,AB$5&lt;=$E57),7,"")</f>
        <v/>
      </c>
      <c r="AC57" s="34">
        <f>IF(AND(AC$5&gt;=$D57,AC$5&lt;=$E57),7,"")</f>
        <v/>
      </c>
      <c r="AD57" s="34">
        <f>IF(AND(AD$5&gt;=$D57,AD$5&lt;=$E57),7,"")</f>
        <v/>
      </c>
      <c r="AE57" s="34">
        <f>IF(AND(AE$5&gt;=$D57,AE$5&lt;=$E57),7,"")</f>
        <v/>
      </c>
      <c r="AF57" s="34">
        <f>IF(AND(AF$5&gt;=$D57,AF$5&lt;=$E57),7,"")</f>
        <v/>
      </c>
      <c r="AG57" s="34">
        <f>IF(AND(AG$5&gt;=$D57,AG$5&lt;=$E57),7,"")</f>
        <v/>
      </c>
      <c r="AH57" s="34">
        <f>IF(AND(AH$5&gt;=$D57,AH$5&lt;=$E57),7,"")</f>
        <v/>
      </c>
      <c r="AI57" s="34">
        <f>IF(AND(AI$5&gt;=$D57,AI$5&lt;=$E57),7,"")</f>
        <v/>
      </c>
      <c r="AJ57" s="34">
        <f>IF(AND(AJ$5&gt;=$D57,AJ$5&lt;=$E57),7,"")</f>
        <v/>
      </c>
      <c r="AK57" s="34">
        <f>IF(AND(AK$5&gt;=$D57,AK$5&lt;=$E57),7,"")</f>
        <v/>
      </c>
      <c r="AL57" s="34">
        <f>IF(AND(AL$5&gt;=$D57,AL$5&lt;=$E57),7,"")</f>
        <v/>
      </c>
      <c r="AM57" s="34">
        <f>IF(AND(AM$5&gt;=$D57,AM$5&lt;=$E57),7,"")</f>
        <v/>
      </c>
      <c r="AN57" s="34">
        <f>IF(AND(AN$5&gt;=$D57,AN$5&lt;=$E57),7,"")</f>
        <v/>
      </c>
      <c r="AO57" s="34">
        <f>IF(AND(AO$5&gt;=$D57,AO$5&lt;=$E57),7,"")</f>
        <v/>
      </c>
      <c r="AP57" s="34">
        <f>IF(AND(AP$5&gt;=$D57,AP$5&lt;=$E57),7,"")</f>
        <v/>
      </c>
      <c r="AQ57" s="34">
        <f>IF(AND(AQ$5&gt;=$D57,AQ$5&lt;=$E57),7,"")</f>
        <v/>
      </c>
      <c r="AR57" s="34">
        <f>IF(AND(AR$5&gt;=$D57,AR$5&lt;=$E57),7,"")</f>
        <v/>
      </c>
      <c r="AS57" s="34">
        <f>IF(AND(AS$5&gt;=$D57,AS$5&lt;=$E57),7,"")</f>
        <v/>
      </c>
      <c r="AT57" s="34">
        <f>IF(AND(AT$5&gt;=$D57,AT$5&lt;=$E57),7,"")</f>
        <v/>
      </c>
      <c r="AU57" s="34">
        <f>IF(AND(AU$5&gt;=$D57,AU$5&lt;=$E57),7,"")</f>
        <v/>
      </c>
      <c r="AV57" s="34">
        <f>IF(AND(AV$5&gt;=$D57,AV$5&lt;=$E57),7,"")</f>
        <v/>
      </c>
      <c r="AW57" s="34">
        <f>IF(AND(AW$5&gt;=$D57,AW$5&lt;=$E57),7,"")</f>
        <v/>
      </c>
      <c r="AX57" s="34">
        <f>IF(AND(AX$5&gt;=$D57,AX$5&lt;=$E57),7,"")</f>
        <v/>
      </c>
      <c r="AY57" s="34">
        <f>IF(AND(AY$5&gt;=$D57,AY$5&lt;=$E57),7,"")</f>
        <v/>
      </c>
      <c r="AZ57" s="34">
        <f>IF(AND(AZ$5&gt;=$D57,AZ$5&lt;=$E57),7,"")</f>
        <v/>
      </c>
      <c r="BA57" s="34">
        <f>IF(AND(BA$5&gt;=$D57,BA$5&lt;=$E57),7,"")</f>
        <v/>
      </c>
      <c r="BB57" s="34">
        <f>IF(AND(BB$5&gt;=$D57,BB$5&lt;=$E57),7,"")</f>
        <v/>
      </c>
      <c r="BC57" s="34">
        <f>IF(AND(BC$5&gt;=$D57,BC$5&lt;=$E57),7,"")</f>
        <v/>
      </c>
      <c r="BD57" s="34">
        <f>IF(AND(BD$5&gt;=$D57,BD$5&lt;=$E57),7,"")</f>
        <v/>
      </c>
      <c r="BE57" s="34">
        <f>IF(AND(BE$5&gt;=$D57,BE$5&lt;=$E57),7,"")</f>
        <v/>
      </c>
      <c r="BF57" s="34">
        <f>IF(AND(BF$5&gt;=$D57,BF$5&lt;=$E57),7,"")</f>
        <v/>
      </c>
      <c r="BG57" s="34">
        <f>IF(AND(BG$5&gt;=$D57,BG$5&lt;=$E57),7,"")</f>
        <v/>
      </c>
      <c r="BH57" s="34">
        <f>IF(AND(BH$5&gt;=$D57,BH$5&lt;=$E57),7,"")</f>
        <v/>
      </c>
      <c r="BI57" s="34">
        <f>IF(AND(BI$5&gt;=$D57,BI$5&lt;=$E57),7,"")</f>
        <v/>
      </c>
      <c r="BJ57" s="34">
        <f>IF(AND(BJ$5&gt;=$D57,BJ$5&lt;=$E57),7,"")</f>
        <v/>
      </c>
      <c r="BK57" s="34">
        <f>IF(AND(BK$5&gt;=$D57,BK$5&lt;=$E57),7,"")</f>
        <v/>
      </c>
    </row>
    <row r="58" ht="14.25" customHeight="1" s="36">
      <c r="A58" s="13" t="inlineStr">
        <is>
          <t>8 Operación y soporte</t>
        </is>
      </c>
      <c r="B58" s="13" t="inlineStr">
        <is>
          <t>8.1</t>
        </is>
      </c>
      <c r="C58" s="13" t="inlineStr">
        <is>
          <t>Servicios de operación</t>
        </is>
      </c>
      <c r="D58" s="13" t="n">
        <v>13</v>
      </c>
      <c r="E58" s="13" t="n">
        <v>56</v>
      </c>
      <c r="F58" s="13">
        <f>E58-D58+1</f>
        <v/>
      </c>
      <c r="G58" s="31" t="n">
        <v>113575</v>
      </c>
      <c r="H58" s="34">
        <f>IF(AND(H$5&gt;=$D58,H$5&lt;=$E58),8,"")</f>
        <v/>
      </c>
      <c r="I58" s="34">
        <f>IF(AND(I$5&gt;=$D58,I$5&lt;=$E58),8,"")</f>
        <v/>
      </c>
      <c r="J58" s="34">
        <f>IF(AND(J$5&gt;=$D58,J$5&lt;=$E58),8,"")</f>
        <v/>
      </c>
      <c r="K58" s="34">
        <f>IF(AND(K$5&gt;=$D58,K$5&lt;=$E58),8,"")</f>
        <v/>
      </c>
      <c r="L58" s="34">
        <f>IF(AND(L$5&gt;=$D58,L$5&lt;=$E58),8,"")</f>
        <v/>
      </c>
      <c r="M58" s="34">
        <f>IF(AND(M$5&gt;=$D58,M$5&lt;=$E58),8,"")</f>
        <v/>
      </c>
      <c r="N58" s="34">
        <f>IF(AND(N$5&gt;=$D58,N$5&lt;=$E58),8,"")</f>
        <v/>
      </c>
      <c r="O58" s="34">
        <f>IF(AND(O$5&gt;=$D58,O$5&lt;=$E58),8,"")</f>
        <v/>
      </c>
      <c r="P58" s="34">
        <f>IF(AND(P$5&gt;=$D58,P$5&lt;=$E58),8,"")</f>
        <v/>
      </c>
      <c r="Q58" s="34">
        <f>IF(AND(Q$5&gt;=$D58,Q$5&lt;=$E58),8,"")</f>
        <v/>
      </c>
      <c r="R58" s="34">
        <f>IF(AND(R$5&gt;=$D58,R$5&lt;=$E58),8,"")</f>
        <v/>
      </c>
      <c r="S58" s="34">
        <f>IF(AND(S$5&gt;=$D58,S$5&lt;=$E58),8,"")</f>
        <v/>
      </c>
      <c r="T58" s="34">
        <f>IF(AND(T$5&gt;=$D58,T$5&lt;=$E58),8,"")</f>
        <v/>
      </c>
      <c r="U58" s="34">
        <f>IF(AND(U$5&gt;=$D58,U$5&lt;=$E58),8,"")</f>
        <v/>
      </c>
      <c r="V58" s="34">
        <f>IF(AND(V$5&gt;=$D58,V$5&lt;=$E58),8,"")</f>
        <v/>
      </c>
      <c r="W58" s="34">
        <f>IF(AND(W$5&gt;=$D58,W$5&lt;=$E58),8,"")</f>
        <v/>
      </c>
      <c r="X58" s="34">
        <f>IF(AND(X$5&gt;=$D58,X$5&lt;=$E58),8,"")</f>
        <v/>
      </c>
      <c r="Y58" s="34">
        <f>IF(AND(Y$5&gt;=$D58,Y$5&lt;=$E58),8,"")</f>
        <v/>
      </c>
      <c r="Z58" s="34">
        <f>IF(AND(Z$5&gt;=$D58,Z$5&lt;=$E58),8,"")</f>
        <v/>
      </c>
      <c r="AA58" s="34">
        <f>IF(AND(AA$5&gt;=$D58,AA$5&lt;=$E58),8,"")</f>
        <v/>
      </c>
      <c r="AB58" s="34">
        <f>IF(AND(AB$5&gt;=$D58,AB$5&lt;=$E58),8,"")</f>
        <v/>
      </c>
      <c r="AC58" s="34">
        <f>IF(AND(AC$5&gt;=$D58,AC$5&lt;=$E58),8,"")</f>
        <v/>
      </c>
      <c r="AD58" s="34">
        <f>IF(AND(AD$5&gt;=$D58,AD$5&lt;=$E58),8,"")</f>
        <v/>
      </c>
      <c r="AE58" s="34">
        <f>IF(AND(AE$5&gt;=$D58,AE$5&lt;=$E58),8,"")</f>
        <v/>
      </c>
      <c r="AF58" s="34">
        <f>IF(AND(AF$5&gt;=$D58,AF$5&lt;=$E58),8,"")</f>
        <v/>
      </c>
      <c r="AG58" s="34">
        <f>IF(AND(AG$5&gt;=$D58,AG$5&lt;=$E58),8,"")</f>
        <v/>
      </c>
      <c r="AH58" s="34">
        <f>IF(AND(AH$5&gt;=$D58,AH$5&lt;=$E58),8,"")</f>
        <v/>
      </c>
      <c r="AI58" s="34">
        <f>IF(AND(AI$5&gt;=$D58,AI$5&lt;=$E58),8,"")</f>
        <v/>
      </c>
      <c r="AJ58" s="34">
        <f>IF(AND(AJ$5&gt;=$D58,AJ$5&lt;=$E58),8,"")</f>
        <v/>
      </c>
      <c r="AK58" s="34">
        <f>IF(AND(AK$5&gt;=$D58,AK$5&lt;=$E58),8,"")</f>
        <v/>
      </c>
      <c r="AL58" s="34">
        <f>IF(AND(AL$5&gt;=$D58,AL$5&lt;=$E58),8,"")</f>
        <v/>
      </c>
      <c r="AM58" s="34">
        <f>IF(AND(AM$5&gt;=$D58,AM$5&lt;=$E58),8,"")</f>
        <v/>
      </c>
      <c r="AN58" s="34">
        <f>IF(AND(AN$5&gt;=$D58,AN$5&lt;=$E58),8,"")</f>
        <v/>
      </c>
      <c r="AO58" s="34">
        <f>IF(AND(AO$5&gt;=$D58,AO$5&lt;=$E58),8,"")</f>
        <v/>
      </c>
      <c r="AP58" s="34">
        <f>IF(AND(AP$5&gt;=$D58,AP$5&lt;=$E58),8,"")</f>
        <v/>
      </c>
      <c r="AQ58" s="34">
        <f>IF(AND(AQ$5&gt;=$D58,AQ$5&lt;=$E58),8,"")</f>
        <v/>
      </c>
      <c r="AR58" s="34">
        <f>IF(AND(AR$5&gt;=$D58,AR$5&lt;=$E58),8,"")</f>
        <v/>
      </c>
      <c r="AS58" s="34">
        <f>IF(AND(AS$5&gt;=$D58,AS$5&lt;=$E58),8,"")</f>
        <v/>
      </c>
      <c r="AT58" s="34">
        <f>IF(AND(AT$5&gt;=$D58,AT$5&lt;=$E58),8,"")</f>
        <v/>
      </c>
      <c r="AU58" s="34">
        <f>IF(AND(AU$5&gt;=$D58,AU$5&lt;=$E58),8,"")</f>
        <v/>
      </c>
      <c r="AV58" s="34">
        <f>IF(AND(AV$5&gt;=$D58,AV$5&lt;=$E58),8,"")</f>
        <v/>
      </c>
      <c r="AW58" s="34">
        <f>IF(AND(AW$5&gt;=$D58,AW$5&lt;=$E58),8,"")</f>
        <v/>
      </c>
      <c r="AX58" s="34">
        <f>IF(AND(AX$5&gt;=$D58,AX$5&lt;=$E58),8,"")</f>
        <v/>
      </c>
      <c r="AY58" s="34">
        <f>IF(AND(AY$5&gt;=$D58,AY$5&lt;=$E58),8,"")</f>
        <v/>
      </c>
      <c r="AZ58" s="34">
        <f>IF(AND(AZ$5&gt;=$D58,AZ$5&lt;=$E58),8,"")</f>
        <v/>
      </c>
      <c r="BA58" s="34">
        <f>IF(AND(BA$5&gt;=$D58,BA$5&lt;=$E58),8,"")</f>
        <v/>
      </c>
      <c r="BB58" s="34">
        <f>IF(AND(BB$5&gt;=$D58,BB$5&lt;=$E58),8,"")</f>
        <v/>
      </c>
      <c r="BC58" s="34">
        <f>IF(AND(BC$5&gt;=$D58,BC$5&lt;=$E58),8,"")</f>
        <v/>
      </c>
      <c r="BD58" s="34">
        <f>IF(AND(BD$5&gt;=$D58,BD$5&lt;=$E58),8,"")</f>
        <v/>
      </c>
      <c r="BE58" s="34">
        <f>IF(AND(BE$5&gt;=$D58,BE$5&lt;=$E58),8,"")</f>
        <v/>
      </c>
      <c r="BF58" s="34">
        <f>IF(AND(BF$5&gt;=$D58,BF$5&lt;=$E58),8,"")</f>
        <v/>
      </c>
      <c r="BG58" s="34">
        <f>IF(AND(BG$5&gt;=$D58,BG$5&lt;=$E58),8,"")</f>
        <v/>
      </c>
      <c r="BH58" s="34">
        <f>IF(AND(BH$5&gt;=$D58,BH$5&lt;=$E58),8,"")</f>
        <v/>
      </c>
      <c r="BI58" s="34">
        <f>IF(AND(BI$5&gt;=$D58,BI$5&lt;=$E58),8,"")</f>
        <v/>
      </c>
      <c r="BJ58" s="34">
        <f>IF(AND(BJ$5&gt;=$D58,BJ$5&lt;=$E58),8,"")</f>
        <v/>
      </c>
      <c r="BK58" s="34">
        <f>IF(AND(BK$5&gt;=$D58,BK$5&lt;=$E58),8,"")</f>
        <v/>
      </c>
    </row>
    <row r="59" ht="14.25" customHeight="1" s="36">
      <c r="A59" s="13" t="inlineStr">
        <is>
          <t>8 Operación y soporte</t>
        </is>
      </c>
      <c r="B59" s="13" t="inlineStr">
        <is>
          <t>8.2</t>
        </is>
      </c>
      <c r="C59" s="13" t="inlineStr">
        <is>
          <t>Mantenimiento</t>
        </is>
      </c>
      <c r="D59" s="13" t="n">
        <v>21</v>
      </c>
      <c r="E59" s="13" t="n">
        <v>56</v>
      </c>
      <c r="F59" s="13">
        <f>E59-D59+1</f>
        <v/>
      </c>
      <c r="G59" s="31" t="n">
        <v>10656</v>
      </c>
      <c r="H59" s="34">
        <f>IF(AND(H$5&gt;=$D59,H$5&lt;=$E59),8,"")</f>
        <v/>
      </c>
      <c r="I59" s="34">
        <f>IF(AND(I$5&gt;=$D59,I$5&lt;=$E59),8,"")</f>
        <v/>
      </c>
      <c r="J59" s="34">
        <f>IF(AND(J$5&gt;=$D59,J$5&lt;=$E59),8,"")</f>
        <v/>
      </c>
      <c r="K59" s="34">
        <f>IF(AND(K$5&gt;=$D59,K$5&lt;=$E59),8,"")</f>
        <v/>
      </c>
      <c r="L59" s="34">
        <f>IF(AND(L$5&gt;=$D59,L$5&lt;=$E59),8,"")</f>
        <v/>
      </c>
      <c r="M59" s="34">
        <f>IF(AND(M$5&gt;=$D59,M$5&lt;=$E59),8,"")</f>
        <v/>
      </c>
      <c r="N59" s="34">
        <f>IF(AND(N$5&gt;=$D59,N$5&lt;=$E59),8,"")</f>
        <v/>
      </c>
      <c r="O59" s="34">
        <f>IF(AND(O$5&gt;=$D59,O$5&lt;=$E59),8,"")</f>
        <v/>
      </c>
      <c r="P59" s="34">
        <f>IF(AND(P$5&gt;=$D59,P$5&lt;=$E59),8,"")</f>
        <v/>
      </c>
      <c r="Q59" s="34">
        <f>IF(AND(Q$5&gt;=$D59,Q$5&lt;=$E59),8,"")</f>
        <v/>
      </c>
      <c r="R59" s="34">
        <f>IF(AND(R$5&gt;=$D59,R$5&lt;=$E59),8,"")</f>
        <v/>
      </c>
      <c r="S59" s="34">
        <f>IF(AND(S$5&gt;=$D59,S$5&lt;=$E59),8,"")</f>
        <v/>
      </c>
      <c r="T59" s="34">
        <f>IF(AND(T$5&gt;=$D59,T$5&lt;=$E59),8,"")</f>
        <v/>
      </c>
      <c r="U59" s="34">
        <f>IF(AND(U$5&gt;=$D59,U$5&lt;=$E59),8,"")</f>
        <v/>
      </c>
      <c r="V59" s="34">
        <f>IF(AND(V$5&gt;=$D59,V$5&lt;=$E59),8,"")</f>
        <v/>
      </c>
      <c r="W59" s="34">
        <f>IF(AND(W$5&gt;=$D59,W$5&lt;=$E59),8,"")</f>
        <v/>
      </c>
      <c r="X59" s="34">
        <f>IF(AND(X$5&gt;=$D59,X$5&lt;=$E59),8,"")</f>
        <v/>
      </c>
      <c r="Y59" s="34">
        <f>IF(AND(Y$5&gt;=$D59,Y$5&lt;=$E59),8,"")</f>
        <v/>
      </c>
      <c r="Z59" s="34">
        <f>IF(AND(Z$5&gt;=$D59,Z$5&lt;=$E59),8,"")</f>
        <v/>
      </c>
      <c r="AA59" s="34">
        <f>IF(AND(AA$5&gt;=$D59,AA$5&lt;=$E59),8,"")</f>
        <v/>
      </c>
      <c r="AB59" s="34">
        <f>IF(AND(AB$5&gt;=$D59,AB$5&lt;=$E59),8,"")</f>
        <v/>
      </c>
      <c r="AC59" s="34">
        <f>IF(AND(AC$5&gt;=$D59,AC$5&lt;=$E59),8,"")</f>
        <v/>
      </c>
      <c r="AD59" s="34">
        <f>IF(AND(AD$5&gt;=$D59,AD$5&lt;=$E59),8,"")</f>
        <v/>
      </c>
      <c r="AE59" s="34">
        <f>IF(AND(AE$5&gt;=$D59,AE$5&lt;=$E59),8,"")</f>
        <v/>
      </c>
      <c r="AF59" s="34">
        <f>IF(AND(AF$5&gt;=$D59,AF$5&lt;=$E59),8,"")</f>
        <v/>
      </c>
      <c r="AG59" s="34">
        <f>IF(AND(AG$5&gt;=$D59,AG$5&lt;=$E59),8,"")</f>
        <v/>
      </c>
      <c r="AH59" s="34">
        <f>IF(AND(AH$5&gt;=$D59,AH$5&lt;=$E59),8,"")</f>
        <v/>
      </c>
      <c r="AI59" s="34">
        <f>IF(AND(AI$5&gt;=$D59,AI$5&lt;=$E59),8,"")</f>
        <v/>
      </c>
      <c r="AJ59" s="34">
        <f>IF(AND(AJ$5&gt;=$D59,AJ$5&lt;=$E59),8,"")</f>
        <v/>
      </c>
      <c r="AK59" s="34">
        <f>IF(AND(AK$5&gt;=$D59,AK$5&lt;=$E59),8,"")</f>
        <v/>
      </c>
      <c r="AL59" s="34">
        <f>IF(AND(AL$5&gt;=$D59,AL$5&lt;=$E59),8,"")</f>
        <v/>
      </c>
      <c r="AM59" s="34">
        <f>IF(AND(AM$5&gt;=$D59,AM$5&lt;=$E59),8,"")</f>
        <v/>
      </c>
      <c r="AN59" s="34">
        <f>IF(AND(AN$5&gt;=$D59,AN$5&lt;=$E59),8,"")</f>
        <v/>
      </c>
      <c r="AO59" s="34">
        <f>IF(AND(AO$5&gt;=$D59,AO$5&lt;=$E59),8,"")</f>
        <v/>
      </c>
      <c r="AP59" s="34">
        <f>IF(AND(AP$5&gt;=$D59,AP$5&lt;=$E59),8,"")</f>
        <v/>
      </c>
      <c r="AQ59" s="34">
        <f>IF(AND(AQ$5&gt;=$D59,AQ$5&lt;=$E59),8,"")</f>
        <v/>
      </c>
      <c r="AR59" s="34">
        <f>IF(AND(AR$5&gt;=$D59,AR$5&lt;=$E59),8,"")</f>
        <v/>
      </c>
      <c r="AS59" s="34">
        <f>IF(AND(AS$5&gt;=$D59,AS$5&lt;=$E59),8,"")</f>
        <v/>
      </c>
      <c r="AT59" s="34">
        <f>IF(AND(AT$5&gt;=$D59,AT$5&lt;=$E59),8,"")</f>
        <v/>
      </c>
      <c r="AU59" s="34">
        <f>IF(AND(AU$5&gt;=$D59,AU$5&lt;=$E59),8,"")</f>
        <v/>
      </c>
      <c r="AV59" s="34">
        <f>IF(AND(AV$5&gt;=$D59,AV$5&lt;=$E59),8,"")</f>
        <v/>
      </c>
      <c r="AW59" s="34">
        <f>IF(AND(AW$5&gt;=$D59,AW$5&lt;=$E59),8,"")</f>
        <v/>
      </c>
      <c r="AX59" s="34">
        <f>IF(AND(AX$5&gt;=$D59,AX$5&lt;=$E59),8,"")</f>
        <v/>
      </c>
      <c r="AY59" s="34">
        <f>IF(AND(AY$5&gt;=$D59,AY$5&lt;=$E59),8,"")</f>
        <v/>
      </c>
      <c r="AZ59" s="34">
        <f>IF(AND(AZ$5&gt;=$D59,AZ$5&lt;=$E59),8,"")</f>
        <v/>
      </c>
      <c r="BA59" s="34">
        <f>IF(AND(BA$5&gt;=$D59,BA$5&lt;=$E59),8,"")</f>
        <v/>
      </c>
      <c r="BB59" s="34">
        <f>IF(AND(BB$5&gt;=$D59,BB$5&lt;=$E59),8,"")</f>
        <v/>
      </c>
      <c r="BC59" s="34">
        <f>IF(AND(BC$5&gt;=$D59,BC$5&lt;=$E59),8,"")</f>
        <v/>
      </c>
      <c r="BD59" s="34">
        <f>IF(AND(BD$5&gt;=$D59,BD$5&lt;=$E59),8,"")</f>
        <v/>
      </c>
      <c r="BE59" s="34">
        <f>IF(AND(BE$5&gt;=$D59,BE$5&lt;=$E59),8,"")</f>
        <v/>
      </c>
      <c r="BF59" s="34">
        <f>IF(AND(BF$5&gt;=$D59,BF$5&lt;=$E59),8,"")</f>
        <v/>
      </c>
      <c r="BG59" s="34">
        <f>IF(AND(BG$5&gt;=$D59,BG$5&lt;=$E59),8,"")</f>
        <v/>
      </c>
      <c r="BH59" s="34">
        <f>IF(AND(BH$5&gt;=$D59,BH$5&lt;=$E59),8,"")</f>
        <v/>
      </c>
      <c r="BI59" s="34">
        <f>IF(AND(BI$5&gt;=$D59,BI$5&lt;=$E59),8,"")</f>
        <v/>
      </c>
      <c r="BJ59" s="34">
        <f>IF(AND(BJ$5&gt;=$D59,BJ$5&lt;=$E59),8,"")</f>
        <v/>
      </c>
      <c r="BK59" s="34">
        <f>IF(AND(BK$5&gt;=$D59,BK$5&lt;=$E59),8,"")</f>
        <v/>
      </c>
    </row>
    <row r="60" ht="14.25" customHeight="1" s="36">
      <c r="A60" s="13" t="inlineStr">
        <is>
          <t>8 Operación y soporte</t>
        </is>
      </c>
      <c r="B60" s="13" t="inlineStr">
        <is>
          <t>8.3</t>
        </is>
      </c>
      <c r="C60" s="13" t="inlineStr">
        <is>
          <t>Innovaciones en operación</t>
        </is>
      </c>
      <c r="D60" s="13" t="n">
        <v>21</v>
      </c>
      <c r="E60" s="13" t="n">
        <v>56</v>
      </c>
      <c r="F60" s="13">
        <f>E60-D60+1</f>
        <v/>
      </c>
      <c r="G60" s="31" t="n">
        <v>1632</v>
      </c>
      <c r="H60" s="34">
        <f>IF(AND(H$5&gt;=$D60,H$5&lt;=$E60),8,"")</f>
        <v/>
      </c>
      <c r="I60" s="34">
        <f>IF(AND(I$5&gt;=$D60,I$5&lt;=$E60),8,"")</f>
        <v/>
      </c>
      <c r="J60" s="34">
        <f>IF(AND(J$5&gt;=$D60,J$5&lt;=$E60),8,"")</f>
        <v/>
      </c>
      <c r="K60" s="34">
        <f>IF(AND(K$5&gt;=$D60,K$5&lt;=$E60),8,"")</f>
        <v/>
      </c>
      <c r="L60" s="34">
        <f>IF(AND(L$5&gt;=$D60,L$5&lt;=$E60),8,"")</f>
        <v/>
      </c>
      <c r="M60" s="34">
        <f>IF(AND(M$5&gt;=$D60,M$5&lt;=$E60),8,"")</f>
        <v/>
      </c>
      <c r="N60" s="34">
        <f>IF(AND(N$5&gt;=$D60,N$5&lt;=$E60),8,"")</f>
        <v/>
      </c>
      <c r="O60" s="34">
        <f>IF(AND(O$5&gt;=$D60,O$5&lt;=$E60),8,"")</f>
        <v/>
      </c>
      <c r="P60" s="34">
        <f>IF(AND(P$5&gt;=$D60,P$5&lt;=$E60),8,"")</f>
        <v/>
      </c>
      <c r="Q60" s="34">
        <f>IF(AND(Q$5&gt;=$D60,Q$5&lt;=$E60),8,"")</f>
        <v/>
      </c>
      <c r="R60" s="34">
        <f>IF(AND(R$5&gt;=$D60,R$5&lt;=$E60),8,"")</f>
        <v/>
      </c>
      <c r="S60" s="34">
        <f>IF(AND(S$5&gt;=$D60,S$5&lt;=$E60),8,"")</f>
        <v/>
      </c>
      <c r="T60" s="34">
        <f>IF(AND(T$5&gt;=$D60,T$5&lt;=$E60),8,"")</f>
        <v/>
      </c>
      <c r="U60" s="34">
        <f>IF(AND(U$5&gt;=$D60,U$5&lt;=$E60),8,"")</f>
        <v/>
      </c>
      <c r="V60" s="34">
        <f>IF(AND(V$5&gt;=$D60,V$5&lt;=$E60),8,"")</f>
        <v/>
      </c>
      <c r="W60" s="34">
        <f>IF(AND(W$5&gt;=$D60,W$5&lt;=$E60),8,"")</f>
        <v/>
      </c>
      <c r="X60" s="34">
        <f>IF(AND(X$5&gt;=$D60,X$5&lt;=$E60),8,"")</f>
        <v/>
      </c>
      <c r="Y60" s="34">
        <f>IF(AND(Y$5&gt;=$D60,Y$5&lt;=$E60),8,"")</f>
        <v/>
      </c>
      <c r="Z60" s="34">
        <f>IF(AND(Z$5&gt;=$D60,Z$5&lt;=$E60),8,"")</f>
        <v/>
      </c>
      <c r="AA60" s="34">
        <f>IF(AND(AA$5&gt;=$D60,AA$5&lt;=$E60),8,"")</f>
        <v/>
      </c>
      <c r="AB60" s="34">
        <f>IF(AND(AB$5&gt;=$D60,AB$5&lt;=$E60),8,"")</f>
        <v/>
      </c>
      <c r="AC60" s="34">
        <f>IF(AND(AC$5&gt;=$D60,AC$5&lt;=$E60),8,"")</f>
        <v/>
      </c>
      <c r="AD60" s="34">
        <f>IF(AND(AD$5&gt;=$D60,AD$5&lt;=$E60),8,"")</f>
        <v/>
      </c>
      <c r="AE60" s="34">
        <f>IF(AND(AE$5&gt;=$D60,AE$5&lt;=$E60),8,"")</f>
        <v/>
      </c>
      <c r="AF60" s="34">
        <f>IF(AND(AF$5&gt;=$D60,AF$5&lt;=$E60),8,"")</f>
        <v/>
      </c>
      <c r="AG60" s="34">
        <f>IF(AND(AG$5&gt;=$D60,AG$5&lt;=$E60),8,"")</f>
        <v/>
      </c>
      <c r="AH60" s="34">
        <f>IF(AND(AH$5&gt;=$D60,AH$5&lt;=$E60),8,"")</f>
        <v/>
      </c>
      <c r="AI60" s="34">
        <f>IF(AND(AI$5&gt;=$D60,AI$5&lt;=$E60),8,"")</f>
        <v/>
      </c>
      <c r="AJ60" s="34">
        <f>IF(AND(AJ$5&gt;=$D60,AJ$5&lt;=$E60),8,"")</f>
        <v/>
      </c>
      <c r="AK60" s="34">
        <f>IF(AND(AK$5&gt;=$D60,AK$5&lt;=$E60),8,"")</f>
        <v/>
      </c>
      <c r="AL60" s="34">
        <f>IF(AND(AL$5&gt;=$D60,AL$5&lt;=$E60),8,"")</f>
        <v/>
      </c>
      <c r="AM60" s="34">
        <f>IF(AND(AM$5&gt;=$D60,AM$5&lt;=$E60),8,"")</f>
        <v/>
      </c>
      <c r="AN60" s="34">
        <f>IF(AND(AN$5&gt;=$D60,AN$5&lt;=$E60),8,"")</f>
        <v/>
      </c>
      <c r="AO60" s="34">
        <f>IF(AND(AO$5&gt;=$D60,AO$5&lt;=$E60),8,"")</f>
        <v/>
      </c>
      <c r="AP60" s="34">
        <f>IF(AND(AP$5&gt;=$D60,AP$5&lt;=$E60),8,"")</f>
        <v/>
      </c>
      <c r="AQ60" s="34">
        <f>IF(AND(AQ$5&gt;=$D60,AQ$5&lt;=$E60),8,"")</f>
        <v/>
      </c>
      <c r="AR60" s="34">
        <f>IF(AND(AR$5&gt;=$D60,AR$5&lt;=$E60),8,"")</f>
        <v/>
      </c>
      <c r="AS60" s="34">
        <f>IF(AND(AS$5&gt;=$D60,AS$5&lt;=$E60),8,"")</f>
        <v/>
      </c>
      <c r="AT60" s="34">
        <f>IF(AND(AT$5&gt;=$D60,AT$5&lt;=$E60),8,"")</f>
        <v/>
      </c>
      <c r="AU60" s="34">
        <f>IF(AND(AU$5&gt;=$D60,AU$5&lt;=$E60),8,"")</f>
        <v/>
      </c>
      <c r="AV60" s="34">
        <f>IF(AND(AV$5&gt;=$D60,AV$5&lt;=$E60),8,"")</f>
        <v/>
      </c>
      <c r="AW60" s="34">
        <f>IF(AND(AW$5&gt;=$D60,AW$5&lt;=$E60),8,"")</f>
        <v/>
      </c>
      <c r="AX60" s="34">
        <f>IF(AND(AX$5&gt;=$D60,AX$5&lt;=$E60),8,"")</f>
        <v/>
      </c>
      <c r="AY60" s="34">
        <f>IF(AND(AY$5&gt;=$D60,AY$5&lt;=$E60),8,"")</f>
        <v/>
      </c>
      <c r="AZ60" s="34">
        <f>IF(AND(AZ$5&gt;=$D60,AZ$5&lt;=$E60),8,"")</f>
        <v/>
      </c>
      <c r="BA60" s="34">
        <f>IF(AND(BA$5&gt;=$D60,BA$5&lt;=$E60),8,"")</f>
        <v/>
      </c>
      <c r="BB60" s="34">
        <f>IF(AND(BB$5&gt;=$D60,BB$5&lt;=$E60),8,"")</f>
        <v/>
      </c>
      <c r="BC60" s="34">
        <f>IF(AND(BC$5&gt;=$D60,BC$5&lt;=$E60),8,"")</f>
        <v/>
      </c>
      <c r="BD60" s="34">
        <f>IF(AND(BD$5&gt;=$D60,BD$5&lt;=$E60),8,"")</f>
        <v/>
      </c>
      <c r="BE60" s="34">
        <f>IF(AND(BE$5&gt;=$D60,BE$5&lt;=$E60),8,"")</f>
        <v/>
      </c>
      <c r="BF60" s="34">
        <f>IF(AND(BF$5&gt;=$D60,BF$5&lt;=$E60),8,"")</f>
        <v/>
      </c>
      <c r="BG60" s="34">
        <f>IF(AND(BG$5&gt;=$D60,BG$5&lt;=$E60),8,"")</f>
        <v/>
      </c>
      <c r="BH60" s="34">
        <f>IF(AND(BH$5&gt;=$D60,BH$5&lt;=$E60),8,"")</f>
        <v/>
      </c>
      <c r="BI60" s="34">
        <f>IF(AND(BI$5&gt;=$D60,BI$5&lt;=$E60),8,"")</f>
        <v/>
      </c>
      <c r="BJ60" s="34">
        <f>IF(AND(BJ$5&gt;=$D60,BJ$5&lt;=$E60),8,"")</f>
        <v/>
      </c>
      <c r="BK60" s="34">
        <f>IF(AND(BK$5&gt;=$D60,BK$5&lt;=$E60),8,"")</f>
        <v/>
      </c>
    </row>
    <row r="61" ht="14.25" customHeight="1" s="36">
      <c r="A61" s="13" t="inlineStr">
        <is>
          <t>8 Operación y soporte</t>
        </is>
      </c>
      <c r="B61" s="13" t="inlineStr">
        <is>
          <t>8.4</t>
        </is>
      </c>
      <c r="C61" s="13" t="inlineStr">
        <is>
          <t>Informes y obligaciones periódicas</t>
        </is>
      </c>
      <c r="D61" s="13" t="n">
        <v>21</v>
      </c>
      <c r="E61" s="13" t="n">
        <v>56</v>
      </c>
      <c r="F61" s="13">
        <f>E61-D61+1</f>
        <v/>
      </c>
      <c r="G61" s="31" t="n">
        <v>1728</v>
      </c>
      <c r="H61" s="34">
        <f>IF(AND(H$5&gt;=$D61,H$5&lt;=$E61),8,"")</f>
        <v/>
      </c>
      <c r="I61" s="34">
        <f>IF(AND(I$5&gt;=$D61,I$5&lt;=$E61),8,"")</f>
        <v/>
      </c>
      <c r="J61" s="34">
        <f>IF(AND(J$5&gt;=$D61,J$5&lt;=$E61),8,"")</f>
        <v/>
      </c>
      <c r="K61" s="34">
        <f>IF(AND(K$5&gt;=$D61,K$5&lt;=$E61),8,"")</f>
        <v/>
      </c>
      <c r="L61" s="34">
        <f>IF(AND(L$5&gt;=$D61,L$5&lt;=$E61),8,"")</f>
        <v/>
      </c>
      <c r="M61" s="34">
        <f>IF(AND(M$5&gt;=$D61,M$5&lt;=$E61),8,"")</f>
        <v/>
      </c>
      <c r="N61" s="34">
        <f>IF(AND(N$5&gt;=$D61,N$5&lt;=$E61),8,"")</f>
        <v/>
      </c>
      <c r="O61" s="34">
        <f>IF(AND(O$5&gt;=$D61,O$5&lt;=$E61),8,"")</f>
        <v/>
      </c>
      <c r="P61" s="34">
        <f>IF(AND(P$5&gt;=$D61,P$5&lt;=$E61),8,"")</f>
        <v/>
      </c>
      <c r="Q61" s="34">
        <f>IF(AND(Q$5&gt;=$D61,Q$5&lt;=$E61),8,"")</f>
        <v/>
      </c>
      <c r="R61" s="34">
        <f>IF(AND(R$5&gt;=$D61,R$5&lt;=$E61),8,"")</f>
        <v/>
      </c>
      <c r="S61" s="34">
        <f>IF(AND(S$5&gt;=$D61,S$5&lt;=$E61),8,"")</f>
        <v/>
      </c>
      <c r="T61" s="34">
        <f>IF(AND(T$5&gt;=$D61,T$5&lt;=$E61),8,"")</f>
        <v/>
      </c>
      <c r="U61" s="34">
        <f>IF(AND(U$5&gt;=$D61,U$5&lt;=$E61),8,"")</f>
        <v/>
      </c>
      <c r="V61" s="34">
        <f>IF(AND(V$5&gt;=$D61,V$5&lt;=$E61),8,"")</f>
        <v/>
      </c>
      <c r="W61" s="34">
        <f>IF(AND(W$5&gt;=$D61,W$5&lt;=$E61),8,"")</f>
        <v/>
      </c>
      <c r="X61" s="34">
        <f>IF(AND(X$5&gt;=$D61,X$5&lt;=$E61),8,"")</f>
        <v/>
      </c>
      <c r="Y61" s="34">
        <f>IF(AND(Y$5&gt;=$D61,Y$5&lt;=$E61),8,"")</f>
        <v/>
      </c>
      <c r="Z61" s="34">
        <f>IF(AND(Z$5&gt;=$D61,Z$5&lt;=$E61),8,"")</f>
        <v/>
      </c>
      <c r="AA61" s="34">
        <f>IF(AND(AA$5&gt;=$D61,AA$5&lt;=$E61),8,"")</f>
        <v/>
      </c>
      <c r="AB61" s="34">
        <f>IF(AND(AB$5&gt;=$D61,AB$5&lt;=$E61),8,"")</f>
        <v/>
      </c>
      <c r="AC61" s="34">
        <f>IF(AND(AC$5&gt;=$D61,AC$5&lt;=$E61),8,"")</f>
        <v/>
      </c>
      <c r="AD61" s="34">
        <f>IF(AND(AD$5&gt;=$D61,AD$5&lt;=$E61),8,"")</f>
        <v/>
      </c>
      <c r="AE61" s="34">
        <f>IF(AND(AE$5&gt;=$D61,AE$5&lt;=$E61),8,"")</f>
        <v/>
      </c>
      <c r="AF61" s="34">
        <f>IF(AND(AF$5&gt;=$D61,AF$5&lt;=$E61),8,"")</f>
        <v/>
      </c>
      <c r="AG61" s="34">
        <f>IF(AND(AG$5&gt;=$D61,AG$5&lt;=$E61),8,"")</f>
        <v/>
      </c>
      <c r="AH61" s="34">
        <f>IF(AND(AH$5&gt;=$D61,AH$5&lt;=$E61),8,"")</f>
        <v/>
      </c>
      <c r="AI61" s="34">
        <f>IF(AND(AI$5&gt;=$D61,AI$5&lt;=$E61),8,"")</f>
        <v/>
      </c>
      <c r="AJ61" s="34">
        <f>IF(AND(AJ$5&gt;=$D61,AJ$5&lt;=$E61),8,"")</f>
        <v/>
      </c>
      <c r="AK61" s="34">
        <f>IF(AND(AK$5&gt;=$D61,AK$5&lt;=$E61),8,"")</f>
        <v/>
      </c>
      <c r="AL61" s="34">
        <f>IF(AND(AL$5&gt;=$D61,AL$5&lt;=$E61),8,"")</f>
        <v/>
      </c>
      <c r="AM61" s="34">
        <f>IF(AND(AM$5&gt;=$D61,AM$5&lt;=$E61),8,"")</f>
        <v/>
      </c>
      <c r="AN61" s="34">
        <f>IF(AND(AN$5&gt;=$D61,AN$5&lt;=$E61),8,"")</f>
        <v/>
      </c>
      <c r="AO61" s="34">
        <f>IF(AND(AO$5&gt;=$D61,AO$5&lt;=$E61),8,"")</f>
        <v/>
      </c>
      <c r="AP61" s="34">
        <f>IF(AND(AP$5&gt;=$D61,AP$5&lt;=$E61),8,"")</f>
        <v/>
      </c>
      <c r="AQ61" s="34">
        <f>IF(AND(AQ$5&gt;=$D61,AQ$5&lt;=$E61),8,"")</f>
        <v/>
      </c>
      <c r="AR61" s="34">
        <f>IF(AND(AR$5&gt;=$D61,AR$5&lt;=$E61),8,"")</f>
        <v/>
      </c>
      <c r="AS61" s="34">
        <f>IF(AND(AS$5&gt;=$D61,AS$5&lt;=$E61),8,"")</f>
        <v/>
      </c>
      <c r="AT61" s="34">
        <f>IF(AND(AT$5&gt;=$D61,AT$5&lt;=$E61),8,"")</f>
        <v/>
      </c>
      <c r="AU61" s="34">
        <f>IF(AND(AU$5&gt;=$D61,AU$5&lt;=$E61),8,"")</f>
        <v/>
      </c>
      <c r="AV61" s="34">
        <f>IF(AND(AV$5&gt;=$D61,AV$5&lt;=$E61),8,"")</f>
        <v/>
      </c>
      <c r="AW61" s="34">
        <f>IF(AND(AW$5&gt;=$D61,AW$5&lt;=$E61),8,"")</f>
        <v/>
      </c>
      <c r="AX61" s="34">
        <f>IF(AND(AX$5&gt;=$D61,AX$5&lt;=$E61),8,"")</f>
        <v/>
      </c>
      <c r="AY61" s="34">
        <f>IF(AND(AY$5&gt;=$D61,AY$5&lt;=$E61),8,"")</f>
        <v/>
      </c>
      <c r="AZ61" s="34">
        <f>IF(AND(AZ$5&gt;=$D61,AZ$5&lt;=$E61),8,"")</f>
        <v/>
      </c>
      <c r="BA61" s="34">
        <f>IF(AND(BA$5&gt;=$D61,BA$5&lt;=$E61),8,"")</f>
        <v/>
      </c>
      <c r="BB61" s="34">
        <f>IF(AND(BB$5&gt;=$D61,BB$5&lt;=$E61),8,"")</f>
        <v/>
      </c>
      <c r="BC61" s="34">
        <f>IF(AND(BC$5&gt;=$D61,BC$5&lt;=$E61),8,"")</f>
        <v/>
      </c>
      <c r="BD61" s="34">
        <f>IF(AND(BD$5&gt;=$D61,BD$5&lt;=$E61),8,"")</f>
        <v/>
      </c>
      <c r="BE61" s="34">
        <f>IF(AND(BE$5&gt;=$D61,BE$5&lt;=$E61),8,"")</f>
        <v/>
      </c>
      <c r="BF61" s="34">
        <f>IF(AND(BF$5&gt;=$D61,BF$5&lt;=$E61),8,"")</f>
        <v/>
      </c>
      <c r="BG61" s="34">
        <f>IF(AND(BG$5&gt;=$D61,BG$5&lt;=$E61),8,"")</f>
        <v/>
      </c>
      <c r="BH61" s="34">
        <f>IF(AND(BH$5&gt;=$D61,BH$5&lt;=$E61),8,"")</f>
        <v/>
      </c>
      <c r="BI61" s="34">
        <f>IF(AND(BI$5&gt;=$D61,BI$5&lt;=$E61),8,"")</f>
        <v/>
      </c>
      <c r="BJ61" s="34">
        <f>IF(AND(BJ$5&gt;=$D61,BJ$5&lt;=$E61),8,"")</f>
        <v/>
      </c>
      <c r="BK61" s="34">
        <f>IF(AND(BK$5&gt;=$D61,BK$5&lt;=$E61),8,"")</f>
        <v/>
      </c>
    </row>
    <row r="62" ht="14.25" customHeight="1" s="36">
      <c r="A62" s="13" t="inlineStr">
        <is>
          <t>8 Operación y soporte</t>
        </is>
      </c>
      <c r="B62" s="13" t="inlineStr">
        <is>
          <t>8.5</t>
        </is>
      </c>
      <c r="C62" s="13" t="inlineStr">
        <is>
          <t>Capacitación y transferencia en operación</t>
        </is>
      </c>
      <c r="D62" s="13" t="n">
        <v>21</v>
      </c>
      <c r="E62" s="13" t="n">
        <v>56</v>
      </c>
      <c r="F62" s="13">
        <f>E62-D62+1</f>
        <v/>
      </c>
      <c r="G62" s="31" t="n">
        <v>1808</v>
      </c>
      <c r="H62" s="34">
        <f>IF(AND(H$5&gt;=$D62,H$5&lt;=$E62),8,"")</f>
        <v/>
      </c>
      <c r="I62" s="34">
        <f>IF(AND(I$5&gt;=$D62,I$5&lt;=$E62),8,"")</f>
        <v/>
      </c>
      <c r="J62" s="34">
        <f>IF(AND(J$5&gt;=$D62,J$5&lt;=$E62),8,"")</f>
        <v/>
      </c>
      <c r="K62" s="34">
        <f>IF(AND(K$5&gt;=$D62,K$5&lt;=$E62),8,"")</f>
        <v/>
      </c>
      <c r="L62" s="34">
        <f>IF(AND(L$5&gt;=$D62,L$5&lt;=$E62),8,"")</f>
        <v/>
      </c>
      <c r="M62" s="34">
        <f>IF(AND(M$5&gt;=$D62,M$5&lt;=$E62),8,"")</f>
        <v/>
      </c>
      <c r="N62" s="34">
        <f>IF(AND(N$5&gt;=$D62,N$5&lt;=$E62),8,"")</f>
        <v/>
      </c>
      <c r="O62" s="34">
        <f>IF(AND(O$5&gt;=$D62,O$5&lt;=$E62),8,"")</f>
        <v/>
      </c>
      <c r="P62" s="34">
        <f>IF(AND(P$5&gt;=$D62,P$5&lt;=$E62),8,"")</f>
        <v/>
      </c>
      <c r="Q62" s="34">
        <f>IF(AND(Q$5&gt;=$D62,Q$5&lt;=$E62),8,"")</f>
        <v/>
      </c>
      <c r="R62" s="34">
        <f>IF(AND(R$5&gt;=$D62,R$5&lt;=$E62),8,"")</f>
        <v/>
      </c>
      <c r="S62" s="34">
        <f>IF(AND(S$5&gt;=$D62,S$5&lt;=$E62),8,"")</f>
        <v/>
      </c>
      <c r="T62" s="34">
        <f>IF(AND(T$5&gt;=$D62,T$5&lt;=$E62),8,"")</f>
        <v/>
      </c>
      <c r="U62" s="34">
        <f>IF(AND(U$5&gt;=$D62,U$5&lt;=$E62),8,"")</f>
        <v/>
      </c>
      <c r="V62" s="34">
        <f>IF(AND(V$5&gt;=$D62,V$5&lt;=$E62),8,"")</f>
        <v/>
      </c>
      <c r="W62" s="34">
        <f>IF(AND(W$5&gt;=$D62,W$5&lt;=$E62),8,"")</f>
        <v/>
      </c>
      <c r="X62" s="34">
        <f>IF(AND(X$5&gt;=$D62,X$5&lt;=$E62),8,"")</f>
        <v/>
      </c>
      <c r="Y62" s="34">
        <f>IF(AND(Y$5&gt;=$D62,Y$5&lt;=$E62),8,"")</f>
        <v/>
      </c>
      <c r="Z62" s="34">
        <f>IF(AND(Z$5&gt;=$D62,Z$5&lt;=$E62),8,"")</f>
        <v/>
      </c>
      <c r="AA62" s="34">
        <f>IF(AND(AA$5&gt;=$D62,AA$5&lt;=$E62),8,"")</f>
        <v/>
      </c>
      <c r="AB62" s="34">
        <f>IF(AND(AB$5&gt;=$D62,AB$5&lt;=$E62),8,"")</f>
        <v/>
      </c>
      <c r="AC62" s="34">
        <f>IF(AND(AC$5&gt;=$D62,AC$5&lt;=$E62),8,"")</f>
        <v/>
      </c>
      <c r="AD62" s="34">
        <f>IF(AND(AD$5&gt;=$D62,AD$5&lt;=$E62),8,"")</f>
        <v/>
      </c>
      <c r="AE62" s="34">
        <f>IF(AND(AE$5&gt;=$D62,AE$5&lt;=$E62),8,"")</f>
        <v/>
      </c>
      <c r="AF62" s="34">
        <f>IF(AND(AF$5&gt;=$D62,AF$5&lt;=$E62),8,"")</f>
        <v/>
      </c>
      <c r="AG62" s="34">
        <f>IF(AND(AG$5&gt;=$D62,AG$5&lt;=$E62),8,"")</f>
        <v/>
      </c>
      <c r="AH62" s="34">
        <f>IF(AND(AH$5&gt;=$D62,AH$5&lt;=$E62),8,"")</f>
        <v/>
      </c>
      <c r="AI62" s="34">
        <f>IF(AND(AI$5&gt;=$D62,AI$5&lt;=$E62),8,"")</f>
        <v/>
      </c>
      <c r="AJ62" s="34">
        <f>IF(AND(AJ$5&gt;=$D62,AJ$5&lt;=$E62),8,"")</f>
        <v/>
      </c>
      <c r="AK62" s="34">
        <f>IF(AND(AK$5&gt;=$D62,AK$5&lt;=$E62),8,"")</f>
        <v/>
      </c>
      <c r="AL62" s="34">
        <f>IF(AND(AL$5&gt;=$D62,AL$5&lt;=$E62),8,"")</f>
        <v/>
      </c>
      <c r="AM62" s="34">
        <f>IF(AND(AM$5&gt;=$D62,AM$5&lt;=$E62),8,"")</f>
        <v/>
      </c>
      <c r="AN62" s="34">
        <f>IF(AND(AN$5&gt;=$D62,AN$5&lt;=$E62),8,"")</f>
        <v/>
      </c>
      <c r="AO62" s="34">
        <f>IF(AND(AO$5&gt;=$D62,AO$5&lt;=$E62),8,"")</f>
        <v/>
      </c>
      <c r="AP62" s="34">
        <f>IF(AND(AP$5&gt;=$D62,AP$5&lt;=$E62),8,"")</f>
        <v/>
      </c>
      <c r="AQ62" s="34">
        <f>IF(AND(AQ$5&gt;=$D62,AQ$5&lt;=$E62),8,"")</f>
        <v/>
      </c>
      <c r="AR62" s="34">
        <f>IF(AND(AR$5&gt;=$D62,AR$5&lt;=$E62),8,"")</f>
        <v/>
      </c>
      <c r="AS62" s="34">
        <f>IF(AND(AS$5&gt;=$D62,AS$5&lt;=$E62),8,"")</f>
        <v/>
      </c>
      <c r="AT62" s="34">
        <f>IF(AND(AT$5&gt;=$D62,AT$5&lt;=$E62),8,"")</f>
        <v/>
      </c>
      <c r="AU62" s="34">
        <f>IF(AND(AU$5&gt;=$D62,AU$5&lt;=$E62),8,"")</f>
        <v/>
      </c>
      <c r="AV62" s="34">
        <f>IF(AND(AV$5&gt;=$D62,AV$5&lt;=$E62),8,"")</f>
        <v/>
      </c>
      <c r="AW62" s="34">
        <f>IF(AND(AW$5&gt;=$D62,AW$5&lt;=$E62),8,"")</f>
        <v/>
      </c>
      <c r="AX62" s="34">
        <f>IF(AND(AX$5&gt;=$D62,AX$5&lt;=$E62),8,"")</f>
        <v/>
      </c>
      <c r="AY62" s="34">
        <f>IF(AND(AY$5&gt;=$D62,AY$5&lt;=$E62),8,"")</f>
        <v/>
      </c>
      <c r="AZ62" s="34">
        <f>IF(AND(AZ$5&gt;=$D62,AZ$5&lt;=$E62),8,"")</f>
        <v/>
      </c>
      <c r="BA62" s="34">
        <f>IF(AND(BA$5&gt;=$D62,BA$5&lt;=$E62),8,"")</f>
        <v/>
      </c>
      <c r="BB62" s="34">
        <f>IF(AND(BB$5&gt;=$D62,BB$5&lt;=$E62),8,"")</f>
        <v/>
      </c>
      <c r="BC62" s="34">
        <f>IF(AND(BC$5&gt;=$D62,BC$5&lt;=$E62),8,"")</f>
        <v/>
      </c>
      <c r="BD62" s="34">
        <f>IF(AND(BD$5&gt;=$D62,BD$5&lt;=$E62),8,"")</f>
        <v/>
      </c>
      <c r="BE62" s="34">
        <f>IF(AND(BE$5&gt;=$D62,BE$5&lt;=$E62),8,"")</f>
        <v/>
      </c>
      <c r="BF62" s="34">
        <f>IF(AND(BF$5&gt;=$D62,BF$5&lt;=$E62),8,"")</f>
        <v/>
      </c>
      <c r="BG62" s="34">
        <f>IF(AND(BG$5&gt;=$D62,BG$5&lt;=$E62),8,"")</f>
        <v/>
      </c>
      <c r="BH62" s="34">
        <f>IF(AND(BH$5&gt;=$D62,BH$5&lt;=$E62),8,"")</f>
        <v/>
      </c>
      <c r="BI62" s="34">
        <f>IF(AND(BI$5&gt;=$D62,BI$5&lt;=$E62),8,"")</f>
        <v/>
      </c>
      <c r="BJ62" s="34">
        <f>IF(AND(BJ$5&gt;=$D62,BJ$5&lt;=$E62),8,"")</f>
        <v/>
      </c>
      <c r="BK62" s="34">
        <f>IF(AND(BK$5&gt;=$D62,BK$5&lt;=$E62),8,"")</f>
        <v/>
      </c>
    </row>
    <row r="63" ht="14.25" customHeight="1" s="36">
      <c r="A63" s="13" t="inlineStr">
        <is>
          <t>9 Cierre</t>
        </is>
      </c>
      <c r="B63" s="13" t="inlineStr">
        <is>
          <t>9.1</t>
        </is>
      </c>
      <c r="C63" s="13" t="inlineStr">
        <is>
          <t>Cierre de la implementación</t>
        </is>
      </c>
      <c r="D63" s="13" t="n">
        <v>21</v>
      </c>
      <c r="E63" s="13" t="n">
        <v>21</v>
      </c>
      <c r="F63" s="13">
        <f>E63-D63+1</f>
        <v/>
      </c>
      <c r="G63" s="31" t="n">
        <v>160</v>
      </c>
      <c r="H63" s="34">
        <f>IF(AND(H$5&gt;=$D63,H$5&lt;=$E63),9,"")</f>
        <v/>
      </c>
      <c r="I63" s="34">
        <f>IF(AND(I$5&gt;=$D63,I$5&lt;=$E63),9,"")</f>
        <v/>
      </c>
      <c r="J63" s="34">
        <f>IF(AND(J$5&gt;=$D63,J$5&lt;=$E63),9,"")</f>
        <v/>
      </c>
      <c r="K63" s="34">
        <f>IF(AND(K$5&gt;=$D63,K$5&lt;=$E63),9,"")</f>
        <v/>
      </c>
      <c r="L63" s="34">
        <f>IF(AND(L$5&gt;=$D63,L$5&lt;=$E63),9,"")</f>
        <v/>
      </c>
      <c r="M63" s="34">
        <f>IF(AND(M$5&gt;=$D63,M$5&lt;=$E63),9,"")</f>
        <v/>
      </c>
      <c r="N63" s="34">
        <f>IF(AND(N$5&gt;=$D63,N$5&lt;=$E63),9,"")</f>
        <v/>
      </c>
      <c r="O63" s="34">
        <f>IF(AND(O$5&gt;=$D63,O$5&lt;=$E63),9,"")</f>
        <v/>
      </c>
      <c r="P63" s="34">
        <f>IF(AND(P$5&gt;=$D63,P$5&lt;=$E63),9,"")</f>
        <v/>
      </c>
      <c r="Q63" s="34">
        <f>IF(AND(Q$5&gt;=$D63,Q$5&lt;=$E63),9,"")</f>
        <v/>
      </c>
      <c r="R63" s="34">
        <f>IF(AND(R$5&gt;=$D63,R$5&lt;=$E63),9,"")</f>
        <v/>
      </c>
      <c r="S63" s="34">
        <f>IF(AND(S$5&gt;=$D63,S$5&lt;=$E63),9,"")</f>
        <v/>
      </c>
      <c r="T63" s="34">
        <f>IF(AND(T$5&gt;=$D63,T$5&lt;=$E63),9,"")</f>
        <v/>
      </c>
      <c r="U63" s="34">
        <f>IF(AND(U$5&gt;=$D63,U$5&lt;=$E63),9,"")</f>
        <v/>
      </c>
      <c r="V63" s="34">
        <f>IF(AND(V$5&gt;=$D63,V$5&lt;=$E63),9,"")</f>
        <v/>
      </c>
      <c r="W63" s="34">
        <f>IF(AND(W$5&gt;=$D63,W$5&lt;=$E63),9,"")</f>
        <v/>
      </c>
      <c r="X63" s="34">
        <f>IF(AND(X$5&gt;=$D63,X$5&lt;=$E63),9,"")</f>
        <v/>
      </c>
      <c r="Y63" s="34">
        <f>IF(AND(Y$5&gt;=$D63,Y$5&lt;=$E63),9,"")</f>
        <v/>
      </c>
      <c r="Z63" s="34">
        <f>IF(AND(Z$5&gt;=$D63,Z$5&lt;=$E63),9,"")</f>
        <v/>
      </c>
      <c r="AA63" s="34">
        <f>IF(AND(AA$5&gt;=$D63,AA$5&lt;=$E63),9,"")</f>
        <v/>
      </c>
      <c r="AB63" s="34">
        <f>IF(AND(AB$5&gt;=$D63,AB$5&lt;=$E63),9,"")</f>
        <v/>
      </c>
      <c r="AC63" s="34">
        <f>IF(AND(AC$5&gt;=$D63,AC$5&lt;=$E63),9,"")</f>
        <v/>
      </c>
      <c r="AD63" s="34">
        <f>IF(AND(AD$5&gt;=$D63,AD$5&lt;=$E63),9,"")</f>
        <v/>
      </c>
      <c r="AE63" s="34">
        <f>IF(AND(AE$5&gt;=$D63,AE$5&lt;=$E63),9,"")</f>
        <v/>
      </c>
      <c r="AF63" s="34">
        <f>IF(AND(AF$5&gt;=$D63,AF$5&lt;=$E63),9,"")</f>
        <v/>
      </c>
      <c r="AG63" s="34">
        <f>IF(AND(AG$5&gt;=$D63,AG$5&lt;=$E63),9,"")</f>
        <v/>
      </c>
      <c r="AH63" s="34">
        <f>IF(AND(AH$5&gt;=$D63,AH$5&lt;=$E63),9,"")</f>
        <v/>
      </c>
      <c r="AI63" s="34">
        <f>IF(AND(AI$5&gt;=$D63,AI$5&lt;=$E63),9,"")</f>
        <v/>
      </c>
      <c r="AJ63" s="34">
        <f>IF(AND(AJ$5&gt;=$D63,AJ$5&lt;=$E63),9,"")</f>
        <v/>
      </c>
      <c r="AK63" s="34">
        <f>IF(AND(AK$5&gt;=$D63,AK$5&lt;=$E63),9,"")</f>
        <v/>
      </c>
      <c r="AL63" s="34">
        <f>IF(AND(AL$5&gt;=$D63,AL$5&lt;=$E63),9,"")</f>
        <v/>
      </c>
      <c r="AM63" s="34">
        <f>IF(AND(AM$5&gt;=$D63,AM$5&lt;=$E63),9,"")</f>
        <v/>
      </c>
      <c r="AN63" s="34">
        <f>IF(AND(AN$5&gt;=$D63,AN$5&lt;=$E63),9,"")</f>
        <v/>
      </c>
      <c r="AO63" s="34">
        <f>IF(AND(AO$5&gt;=$D63,AO$5&lt;=$E63),9,"")</f>
        <v/>
      </c>
      <c r="AP63" s="34">
        <f>IF(AND(AP$5&gt;=$D63,AP$5&lt;=$E63),9,"")</f>
        <v/>
      </c>
      <c r="AQ63" s="34">
        <f>IF(AND(AQ$5&gt;=$D63,AQ$5&lt;=$E63),9,"")</f>
        <v/>
      </c>
      <c r="AR63" s="34">
        <f>IF(AND(AR$5&gt;=$D63,AR$5&lt;=$E63),9,"")</f>
        <v/>
      </c>
      <c r="AS63" s="34">
        <f>IF(AND(AS$5&gt;=$D63,AS$5&lt;=$E63),9,"")</f>
        <v/>
      </c>
      <c r="AT63" s="34">
        <f>IF(AND(AT$5&gt;=$D63,AT$5&lt;=$E63),9,"")</f>
        <v/>
      </c>
      <c r="AU63" s="34">
        <f>IF(AND(AU$5&gt;=$D63,AU$5&lt;=$E63),9,"")</f>
        <v/>
      </c>
      <c r="AV63" s="34">
        <f>IF(AND(AV$5&gt;=$D63,AV$5&lt;=$E63),9,"")</f>
        <v/>
      </c>
      <c r="AW63" s="34">
        <f>IF(AND(AW$5&gt;=$D63,AW$5&lt;=$E63),9,"")</f>
        <v/>
      </c>
      <c r="AX63" s="34">
        <f>IF(AND(AX$5&gt;=$D63,AX$5&lt;=$E63),9,"")</f>
        <v/>
      </c>
      <c r="AY63" s="34">
        <f>IF(AND(AY$5&gt;=$D63,AY$5&lt;=$E63),9,"")</f>
        <v/>
      </c>
      <c r="AZ63" s="34">
        <f>IF(AND(AZ$5&gt;=$D63,AZ$5&lt;=$E63),9,"")</f>
        <v/>
      </c>
      <c r="BA63" s="34">
        <f>IF(AND(BA$5&gt;=$D63,BA$5&lt;=$E63),9,"")</f>
        <v/>
      </c>
      <c r="BB63" s="34">
        <f>IF(AND(BB$5&gt;=$D63,BB$5&lt;=$E63),9,"")</f>
        <v/>
      </c>
      <c r="BC63" s="34">
        <f>IF(AND(BC$5&gt;=$D63,BC$5&lt;=$E63),9,"")</f>
        <v/>
      </c>
      <c r="BD63" s="34">
        <f>IF(AND(BD$5&gt;=$D63,BD$5&lt;=$E63),9,"")</f>
        <v/>
      </c>
      <c r="BE63" s="34">
        <f>IF(AND(BE$5&gt;=$D63,BE$5&lt;=$E63),9,"")</f>
        <v/>
      </c>
      <c r="BF63" s="34">
        <f>IF(AND(BF$5&gt;=$D63,BF$5&lt;=$E63),9,"")</f>
        <v/>
      </c>
      <c r="BG63" s="34">
        <f>IF(AND(BG$5&gt;=$D63,BG$5&lt;=$E63),9,"")</f>
        <v/>
      </c>
      <c r="BH63" s="34">
        <f>IF(AND(BH$5&gt;=$D63,BH$5&lt;=$E63),9,"")</f>
        <v/>
      </c>
      <c r="BI63" s="34">
        <f>IF(AND(BI$5&gt;=$D63,BI$5&lt;=$E63),9,"")</f>
        <v/>
      </c>
      <c r="BJ63" s="34">
        <f>IF(AND(BJ$5&gt;=$D63,BJ$5&lt;=$E63),9,"")</f>
        <v/>
      </c>
      <c r="BK63" s="34">
        <f>IF(AND(BK$5&gt;=$D63,BK$5&lt;=$E63),9,"")</f>
        <v/>
      </c>
    </row>
    <row r="64" ht="14.25" customHeight="1" s="36">
      <c r="A64" s="13" t="inlineStr">
        <is>
          <t>9 Cierre</t>
        </is>
      </c>
      <c r="B64" s="13" t="inlineStr">
        <is>
          <t>9.2</t>
        </is>
      </c>
      <c r="C64" s="13" t="inlineStr">
        <is>
          <t>Salida al término del contrato</t>
        </is>
      </c>
      <c r="D64" s="13" t="n">
        <v>54</v>
      </c>
      <c r="E64" s="13" t="n">
        <v>56</v>
      </c>
      <c r="F64" s="13">
        <f>E64-D64+1</f>
        <v/>
      </c>
      <c r="G64" s="31" t="n">
        <v>160</v>
      </c>
      <c r="H64" s="34">
        <f>IF(AND(H$5&gt;=$D64,H$5&lt;=$E64),9,"")</f>
        <v/>
      </c>
      <c r="I64" s="34">
        <f>IF(AND(I$5&gt;=$D64,I$5&lt;=$E64),9,"")</f>
        <v/>
      </c>
      <c r="J64" s="34">
        <f>IF(AND(J$5&gt;=$D64,J$5&lt;=$E64),9,"")</f>
        <v/>
      </c>
      <c r="K64" s="34">
        <f>IF(AND(K$5&gt;=$D64,K$5&lt;=$E64),9,"")</f>
        <v/>
      </c>
      <c r="L64" s="34">
        <f>IF(AND(L$5&gt;=$D64,L$5&lt;=$E64),9,"")</f>
        <v/>
      </c>
      <c r="M64" s="34">
        <f>IF(AND(M$5&gt;=$D64,M$5&lt;=$E64),9,"")</f>
        <v/>
      </c>
      <c r="N64" s="34">
        <f>IF(AND(N$5&gt;=$D64,N$5&lt;=$E64),9,"")</f>
        <v/>
      </c>
      <c r="O64" s="34">
        <f>IF(AND(O$5&gt;=$D64,O$5&lt;=$E64),9,"")</f>
        <v/>
      </c>
      <c r="P64" s="34">
        <f>IF(AND(P$5&gt;=$D64,P$5&lt;=$E64),9,"")</f>
        <v/>
      </c>
      <c r="Q64" s="34">
        <f>IF(AND(Q$5&gt;=$D64,Q$5&lt;=$E64),9,"")</f>
        <v/>
      </c>
      <c r="R64" s="34">
        <f>IF(AND(R$5&gt;=$D64,R$5&lt;=$E64),9,"")</f>
        <v/>
      </c>
      <c r="S64" s="34">
        <f>IF(AND(S$5&gt;=$D64,S$5&lt;=$E64),9,"")</f>
        <v/>
      </c>
      <c r="T64" s="34">
        <f>IF(AND(T$5&gt;=$D64,T$5&lt;=$E64),9,"")</f>
        <v/>
      </c>
      <c r="U64" s="34">
        <f>IF(AND(U$5&gt;=$D64,U$5&lt;=$E64),9,"")</f>
        <v/>
      </c>
      <c r="V64" s="34">
        <f>IF(AND(V$5&gt;=$D64,V$5&lt;=$E64),9,"")</f>
        <v/>
      </c>
      <c r="W64" s="34">
        <f>IF(AND(W$5&gt;=$D64,W$5&lt;=$E64),9,"")</f>
        <v/>
      </c>
      <c r="X64" s="34">
        <f>IF(AND(X$5&gt;=$D64,X$5&lt;=$E64),9,"")</f>
        <v/>
      </c>
      <c r="Y64" s="34">
        <f>IF(AND(Y$5&gt;=$D64,Y$5&lt;=$E64),9,"")</f>
        <v/>
      </c>
      <c r="Z64" s="34">
        <f>IF(AND(Z$5&gt;=$D64,Z$5&lt;=$E64),9,"")</f>
        <v/>
      </c>
      <c r="AA64" s="34">
        <f>IF(AND(AA$5&gt;=$D64,AA$5&lt;=$E64),9,"")</f>
        <v/>
      </c>
      <c r="AB64" s="34">
        <f>IF(AND(AB$5&gt;=$D64,AB$5&lt;=$E64),9,"")</f>
        <v/>
      </c>
      <c r="AC64" s="34">
        <f>IF(AND(AC$5&gt;=$D64,AC$5&lt;=$E64),9,"")</f>
        <v/>
      </c>
      <c r="AD64" s="34">
        <f>IF(AND(AD$5&gt;=$D64,AD$5&lt;=$E64),9,"")</f>
        <v/>
      </c>
      <c r="AE64" s="34">
        <f>IF(AND(AE$5&gt;=$D64,AE$5&lt;=$E64),9,"")</f>
        <v/>
      </c>
      <c r="AF64" s="34">
        <f>IF(AND(AF$5&gt;=$D64,AF$5&lt;=$E64),9,"")</f>
        <v/>
      </c>
      <c r="AG64" s="34">
        <f>IF(AND(AG$5&gt;=$D64,AG$5&lt;=$E64),9,"")</f>
        <v/>
      </c>
      <c r="AH64" s="34">
        <f>IF(AND(AH$5&gt;=$D64,AH$5&lt;=$E64),9,"")</f>
        <v/>
      </c>
      <c r="AI64" s="34">
        <f>IF(AND(AI$5&gt;=$D64,AI$5&lt;=$E64),9,"")</f>
        <v/>
      </c>
      <c r="AJ64" s="34">
        <f>IF(AND(AJ$5&gt;=$D64,AJ$5&lt;=$E64),9,"")</f>
        <v/>
      </c>
      <c r="AK64" s="34">
        <f>IF(AND(AK$5&gt;=$D64,AK$5&lt;=$E64),9,"")</f>
        <v/>
      </c>
      <c r="AL64" s="34">
        <f>IF(AND(AL$5&gt;=$D64,AL$5&lt;=$E64),9,"")</f>
        <v/>
      </c>
      <c r="AM64" s="34">
        <f>IF(AND(AM$5&gt;=$D64,AM$5&lt;=$E64),9,"")</f>
        <v/>
      </c>
      <c r="AN64" s="34">
        <f>IF(AND(AN$5&gt;=$D64,AN$5&lt;=$E64),9,"")</f>
        <v/>
      </c>
      <c r="AO64" s="34">
        <f>IF(AND(AO$5&gt;=$D64,AO$5&lt;=$E64),9,"")</f>
        <v/>
      </c>
      <c r="AP64" s="34">
        <f>IF(AND(AP$5&gt;=$D64,AP$5&lt;=$E64),9,"")</f>
        <v/>
      </c>
      <c r="AQ64" s="34">
        <f>IF(AND(AQ$5&gt;=$D64,AQ$5&lt;=$E64),9,"")</f>
        <v/>
      </c>
      <c r="AR64" s="34">
        <f>IF(AND(AR$5&gt;=$D64,AR$5&lt;=$E64),9,"")</f>
        <v/>
      </c>
      <c r="AS64" s="34">
        <f>IF(AND(AS$5&gt;=$D64,AS$5&lt;=$E64),9,"")</f>
        <v/>
      </c>
      <c r="AT64" s="34">
        <f>IF(AND(AT$5&gt;=$D64,AT$5&lt;=$E64),9,"")</f>
        <v/>
      </c>
      <c r="AU64" s="34">
        <f>IF(AND(AU$5&gt;=$D64,AU$5&lt;=$E64),9,"")</f>
        <v/>
      </c>
      <c r="AV64" s="34">
        <f>IF(AND(AV$5&gt;=$D64,AV$5&lt;=$E64),9,"")</f>
        <v/>
      </c>
      <c r="AW64" s="34">
        <f>IF(AND(AW$5&gt;=$D64,AW$5&lt;=$E64),9,"")</f>
        <v/>
      </c>
      <c r="AX64" s="34">
        <f>IF(AND(AX$5&gt;=$D64,AX$5&lt;=$E64),9,"")</f>
        <v/>
      </c>
      <c r="AY64" s="34">
        <f>IF(AND(AY$5&gt;=$D64,AY$5&lt;=$E64),9,"")</f>
        <v/>
      </c>
      <c r="AZ64" s="34">
        <f>IF(AND(AZ$5&gt;=$D64,AZ$5&lt;=$E64),9,"")</f>
        <v/>
      </c>
      <c r="BA64" s="34">
        <f>IF(AND(BA$5&gt;=$D64,BA$5&lt;=$E64),9,"")</f>
        <v/>
      </c>
      <c r="BB64" s="34">
        <f>IF(AND(BB$5&gt;=$D64,BB$5&lt;=$E64),9,"")</f>
        <v/>
      </c>
      <c r="BC64" s="34">
        <f>IF(AND(BC$5&gt;=$D64,BC$5&lt;=$E64),9,"")</f>
        <v/>
      </c>
      <c r="BD64" s="34">
        <f>IF(AND(BD$5&gt;=$D64,BD$5&lt;=$E64),9,"")</f>
        <v/>
      </c>
      <c r="BE64" s="34">
        <f>IF(AND(BE$5&gt;=$D64,BE$5&lt;=$E64),9,"")</f>
        <v/>
      </c>
      <c r="BF64" s="34">
        <f>IF(AND(BF$5&gt;=$D64,BF$5&lt;=$E64),9,"")</f>
        <v/>
      </c>
      <c r="BG64" s="34">
        <f>IF(AND(BG$5&gt;=$D64,BG$5&lt;=$E64),9,"")</f>
        <v/>
      </c>
      <c r="BH64" s="34">
        <f>IF(AND(BH$5&gt;=$D64,BH$5&lt;=$E64),9,"")</f>
        <v/>
      </c>
      <c r="BI64" s="34">
        <f>IF(AND(BI$5&gt;=$D64,BI$5&lt;=$E64),9,"")</f>
        <v/>
      </c>
      <c r="BJ64" s="34">
        <f>IF(AND(BJ$5&gt;=$D64,BJ$5&lt;=$E64),9,"")</f>
        <v/>
      </c>
      <c r="BK64" s="34">
        <f>IF(AND(BK$5&gt;=$D64,BK$5&lt;=$E64),9,"")</f>
        <v/>
      </c>
    </row>
    <row r="65" ht="14.25" customHeight="1" s="36">
      <c r="C65" s="3" t="inlineStr">
        <is>
          <t>Total HH de los paquetes (sin soporte puente ni reserva protegida)</t>
        </is>
      </c>
      <c r="G65" s="35">
        <f>SUM(G16:G64)</f>
        <v/>
      </c>
    </row>
    <row r="66" ht="14.25" customHeight="1" s="36">
      <c r="C66" s="25" t="inlineStr">
        <is>
          <t>Fuente: Formulario T-15, sección 4.2 (meses y E de cada paquete) y Formulario T-14 (nombres de cuentas). La barra de una cuenta va del primer mes de su primer paquete al último mes de su último paquete; dentro de ese rango puede haber meses sin trabajo.</t>
        </is>
      </c>
    </row>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conditionalFormatting sqref="H5:BK64">
    <cfRule type="expression" priority="1" dxfId="0">
      <formula>H$7="C"</formula>
    </cfRule>
  </conditionalFormatting>
  <conditionalFormatting sqref="H9:BK15">
    <cfRule type="expression" priority="2" dxfId="1">
      <formula>H9=0</formula>
    </cfRule>
  </conditionalFormatting>
  <conditionalFormatting sqref="H9:BK64">
    <cfRule type="expression" priority="3" dxfId="2">
      <formula>H9=1</formula>
    </cfRule>
    <cfRule type="expression" priority="4" dxfId="3">
      <formula>H9=2</formula>
    </cfRule>
    <cfRule type="expression" priority="5" dxfId="4">
      <formula>H9=3</formula>
    </cfRule>
    <cfRule type="expression" priority="6" dxfId="5">
      <formula>H9=4</formula>
    </cfRule>
    <cfRule type="expression" priority="7" dxfId="6">
      <formula>H9=5</formula>
    </cfRule>
    <cfRule type="expression" priority="8" dxfId="7">
      <formula>H9=6</formula>
    </cfRule>
    <cfRule type="expression" priority="9" dxfId="8">
      <formula>H9=7</formula>
    </cfRule>
    <cfRule type="expression" priority="10" dxfId="9">
      <formula>H9=8</formula>
    </cfRule>
    <cfRule type="expression" priority="11" dxfId="10">
      <formula>H9=9</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N235"/>
  <sheetViews>
    <sheetView workbookViewId="0">
      <pane xSplit="10" ySplit="8" topLeftCell="K9" activePane="bottomRight" state="frozen"/>
      <selection pane="topRight" activeCell="K1" sqref="K1"/>
      <selection pane="bottomLeft" activeCell="A9" sqref="A9"/>
      <selection pane="bottomRight" activeCell="K9" sqref="K9"/>
    </sheetView>
  </sheetViews>
  <sheetFormatPr baseColWidth="8" defaultColWidth="14.43" defaultRowHeight="15" customHeight="1"/>
  <cols>
    <col width="22" customWidth="1" style="36" min="1" max="1"/>
    <col width="9" customWidth="1" style="36" min="2" max="2"/>
    <col width="52" customWidth="1" style="36" min="3" max="3"/>
    <col width="6" customWidth="1" style="36" min="4" max="4"/>
    <col width="20" customWidth="1" style="36" min="5" max="5"/>
    <col width="8" customWidth="1" style="36" min="6" max="7"/>
    <col width="9" customWidth="1" style="36" min="8" max="8"/>
    <col width="10" customWidth="1" style="36" min="9" max="9"/>
    <col width="30" customWidth="1" style="36" min="10" max="10"/>
    <col width="3.29" customWidth="1" style="36" min="11" max="66"/>
  </cols>
  <sheetData>
    <row r="1" ht="14.25" customHeight="1" s="36">
      <c r="A1" s="1" t="inlineStr">
        <is>
          <t>Carta Gantt por paquete de trabajo (222 paquetes de la EDT)</t>
        </is>
      </c>
    </row>
    <row r="2" ht="14.25" customHeight="1" s="36">
      <c r="A2" s="3" t="inlineStr">
        <is>
          <t>Leyenda de colores (fase de la EDT):</t>
        </is>
      </c>
      <c r="K2" s="15" t="n"/>
      <c r="L2" s="16" t="inlineStr">
        <is>
          <t>1 Inicio</t>
        </is>
      </c>
      <c r="S2" s="17" t="n"/>
      <c r="T2" s="16" t="inlineStr">
        <is>
          <t>2 Elaboración</t>
        </is>
      </c>
      <c r="AA2" s="18" t="n"/>
      <c r="AB2" s="16" t="inlineStr">
        <is>
          <t>3 Construcción</t>
        </is>
      </c>
      <c r="AI2" s="19" t="n"/>
      <c r="AJ2" s="16" t="inlineStr">
        <is>
          <t>4 Transición</t>
        </is>
      </c>
      <c r="AQ2" s="20" t="n"/>
      <c r="AR2" s="16" t="inlineStr">
        <is>
          <t>5 Adquisiciones y contrataciones</t>
        </is>
      </c>
    </row>
    <row r="3" ht="14.25" customHeight="1" s="36">
      <c r="K3" s="21" t="n"/>
      <c r="L3" s="16" t="inlineStr">
        <is>
          <t>6 Infraestructura física y sitios</t>
        </is>
      </c>
      <c r="S3" s="22" t="n"/>
      <c r="T3" s="16" t="inlineStr">
        <is>
          <t>7 Capacitación y gestión del cambio</t>
        </is>
      </c>
      <c r="AA3" s="23" t="n"/>
      <c r="AB3" s="16" t="inlineStr">
        <is>
          <t>8 Operación y soporte</t>
        </is>
      </c>
      <c r="AI3" s="24" t="n"/>
      <c r="AJ3" s="16" t="inlineStr">
        <is>
          <t>9 Cierre</t>
        </is>
      </c>
    </row>
    <row r="4" ht="14.25" customHeight="1" s="36">
      <c r="K4" s="25" t="inlineStr">
        <is>
          <t>«C» y fondo naranja = mes de congelamiento (septiembre y diciembre): sin pasos a producción. Fila «Hitos E-25» = mes del acta de cada hito.</t>
        </is>
      </c>
    </row>
    <row r="5" ht="14.25" customHeight="1" s="36">
      <c r="A5" s="4" t="inlineStr">
        <is>
          <t>Fase</t>
        </is>
      </c>
      <c r="B5" s="4" t="inlineStr">
        <is>
          <t>Paquete</t>
        </is>
      </c>
      <c r="C5" s="4" t="inlineStr">
        <is>
          <t>Nombre del paquete</t>
        </is>
      </c>
      <c r="D5" s="4" t="inlineStr">
        <is>
          <t>Clase</t>
        </is>
      </c>
      <c r="E5" s="4" t="inlineStr">
        <is>
          <t>Responsable (familia de rol)</t>
        </is>
      </c>
      <c r="F5" s="4" t="inlineStr">
        <is>
          <t>Inicio (mes)</t>
        </is>
      </c>
      <c r="G5" s="4" t="inlineStr">
        <is>
          <t>Fin (mes)</t>
        </is>
      </c>
      <c r="H5" s="4" t="inlineStr">
        <is>
          <t>Duración (meses)</t>
        </is>
      </c>
      <c r="I5" s="4" t="inlineStr">
        <is>
          <t>HH esperadas (E)</t>
        </is>
      </c>
      <c r="J5" s="4" t="inlineStr">
        <is>
          <t>Tipo de programación</t>
        </is>
      </c>
      <c r="K5" s="26" t="n">
        <v>1</v>
      </c>
      <c r="L5" s="26" t="n">
        <v>2</v>
      </c>
      <c r="M5" s="26" t="n">
        <v>3</v>
      </c>
      <c r="N5" s="26" t="n">
        <v>4</v>
      </c>
      <c r="O5" s="26" t="n">
        <v>5</v>
      </c>
      <c r="P5" s="26" t="n">
        <v>6</v>
      </c>
      <c r="Q5" s="26" t="n">
        <v>7</v>
      </c>
      <c r="R5" s="26" t="n">
        <v>8</v>
      </c>
      <c r="S5" s="26" t="n">
        <v>9</v>
      </c>
      <c r="T5" s="26" t="n">
        <v>10</v>
      </c>
      <c r="U5" s="26" t="n">
        <v>11</v>
      </c>
      <c r="V5" s="26" t="n">
        <v>12</v>
      </c>
      <c r="W5" s="26" t="n">
        <v>13</v>
      </c>
      <c r="X5" s="26" t="n">
        <v>14</v>
      </c>
      <c r="Y5" s="26" t="n">
        <v>15</v>
      </c>
      <c r="Z5" s="26" t="n">
        <v>16</v>
      </c>
      <c r="AA5" s="26" t="n">
        <v>17</v>
      </c>
      <c r="AB5" s="26" t="n">
        <v>18</v>
      </c>
      <c r="AC5" s="26" t="n">
        <v>19</v>
      </c>
      <c r="AD5" s="26" t="n">
        <v>20</v>
      </c>
      <c r="AE5" s="26" t="n">
        <v>21</v>
      </c>
      <c r="AF5" s="26" t="n">
        <v>22</v>
      </c>
      <c r="AG5" s="26" t="n">
        <v>23</v>
      </c>
      <c r="AH5" s="26" t="n">
        <v>24</v>
      </c>
      <c r="AI5" s="26" t="n">
        <v>25</v>
      </c>
      <c r="AJ5" s="26" t="n">
        <v>26</v>
      </c>
      <c r="AK5" s="26" t="n">
        <v>27</v>
      </c>
      <c r="AL5" s="26" t="n">
        <v>28</v>
      </c>
      <c r="AM5" s="26" t="n">
        <v>29</v>
      </c>
      <c r="AN5" s="26" t="n">
        <v>30</v>
      </c>
      <c r="AO5" s="26" t="n">
        <v>31</v>
      </c>
      <c r="AP5" s="26" t="n">
        <v>32</v>
      </c>
      <c r="AQ5" s="26" t="n">
        <v>33</v>
      </c>
      <c r="AR5" s="26" t="n">
        <v>34</v>
      </c>
      <c r="AS5" s="26" t="n">
        <v>35</v>
      </c>
      <c r="AT5" s="26" t="n">
        <v>36</v>
      </c>
      <c r="AU5" s="26" t="n">
        <v>37</v>
      </c>
      <c r="AV5" s="26" t="n">
        <v>38</v>
      </c>
      <c r="AW5" s="26" t="n">
        <v>39</v>
      </c>
      <c r="AX5" s="26" t="n">
        <v>40</v>
      </c>
      <c r="AY5" s="26" t="n">
        <v>41</v>
      </c>
      <c r="AZ5" s="26" t="n">
        <v>42</v>
      </c>
      <c r="BA5" s="26" t="n">
        <v>43</v>
      </c>
      <c r="BB5" s="26" t="n">
        <v>44</v>
      </c>
      <c r="BC5" s="26" t="n">
        <v>45</v>
      </c>
      <c r="BD5" s="26" t="n">
        <v>46</v>
      </c>
      <c r="BE5" s="26" t="n">
        <v>47</v>
      </c>
      <c r="BF5" s="26" t="n">
        <v>48</v>
      </c>
      <c r="BG5" s="26" t="n">
        <v>49</v>
      </c>
      <c r="BH5" s="26" t="n">
        <v>50</v>
      </c>
      <c r="BI5" s="26" t="n">
        <v>51</v>
      </c>
      <c r="BJ5" s="26" t="n">
        <v>52</v>
      </c>
      <c r="BK5" s="26" t="n">
        <v>53</v>
      </c>
      <c r="BL5" s="26" t="n">
        <v>54</v>
      </c>
      <c r="BM5" s="26" t="n">
        <v>55</v>
      </c>
      <c r="BN5" s="26" t="n">
        <v>56</v>
      </c>
    </row>
    <row r="6" ht="42" customHeight="1" s="36">
      <c r="J6" s="3" t="inlineStr">
        <is>
          <t>Mes calendario</t>
        </is>
      </c>
      <c r="K6" s="27">
        <f>EDATE('Parámetros'!$B$3,K5-1)</f>
        <v/>
      </c>
      <c r="L6" s="27">
        <f>EDATE('Parámetros'!$B$3,L5-1)</f>
        <v/>
      </c>
      <c r="M6" s="27">
        <f>EDATE('Parámetros'!$B$3,M5-1)</f>
        <v/>
      </c>
      <c r="N6" s="27">
        <f>EDATE('Parámetros'!$B$3,N5-1)</f>
        <v/>
      </c>
      <c r="O6" s="27">
        <f>EDATE('Parámetros'!$B$3,O5-1)</f>
        <v/>
      </c>
      <c r="P6" s="27">
        <f>EDATE('Parámetros'!$B$3,P5-1)</f>
        <v/>
      </c>
      <c r="Q6" s="27">
        <f>EDATE('Parámetros'!$B$3,Q5-1)</f>
        <v/>
      </c>
      <c r="R6" s="27">
        <f>EDATE('Parámetros'!$B$3,R5-1)</f>
        <v/>
      </c>
      <c r="S6" s="27">
        <f>EDATE('Parámetros'!$B$3,S5-1)</f>
        <v/>
      </c>
      <c r="T6" s="27">
        <f>EDATE('Parámetros'!$B$3,T5-1)</f>
        <v/>
      </c>
      <c r="U6" s="27">
        <f>EDATE('Parámetros'!$B$3,U5-1)</f>
        <v/>
      </c>
      <c r="V6" s="27">
        <f>EDATE('Parámetros'!$B$3,V5-1)</f>
        <v/>
      </c>
      <c r="W6" s="27">
        <f>EDATE('Parámetros'!$B$3,W5-1)</f>
        <v/>
      </c>
      <c r="X6" s="27">
        <f>EDATE('Parámetros'!$B$3,X5-1)</f>
        <v/>
      </c>
      <c r="Y6" s="27">
        <f>EDATE('Parámetros'!$B$3,Y5-1)</f>
        <v/>
      </c>
      <c r="Z6" s="27">
        <f>EDATE('Parámetros'!$B$3,Z5-1)</f>
        <v/>
      </c>
      <c r="AA6" s="27">
        <f>EDATE('Parámetros'!$B$3,AA5-1)</f>
        <v/>
      </c>
      <c r="AB6" s="27">
        <f>EDATE('Parámetros'!$B$3,AB5-1)</f>
        <v/>
      </c>
      <c r="AC6" s="27">
        <f>EDATE('Parámetros'!$B$3,AC5-1)</f>
        <v/>
      </c>
      <c r="AD6" s="27">
        <f>EDATE('Parámetros'!$B$3,AD5-1)</f>
        <v/>
      </c>
      <c r="AE6" s="27">
        <f>EDATE('Parámetros'!$B$3,AE5-1)</f>
        <v/>
      </c>
      <c r="AF6" s="27">
        <f>EDATE('Parámetros'!$B$3,AF5-1)</f>
        <v/>
      </c>
      <c r="AG6" s="27">
        <f>EDATE('Parámetros'!$B$3,AG5-1)</f>
        <v/>
      </c>
      <c r="AH6" s="27">
        <f>EDATE('Parámetros'!$B$3,AH5-1)</f>
        <v/>
      </c>
      <c r="AI6" s="27">
        <f>EDATE('Parámetros'!$B$3,AI5-1)</f>
        <v/>
      </c>
      <c r="AJ6" s="27">
        <f>EDATE('Parámetros'!$B$3,AJ5-1)</f>
        <v/>
      </c>
      <c r="AK6" s="27">
        <f>EDATE('Parámetros'!$B$3,AK5-1)</f>
        <v/>
      </c>
      <c r="AL6" s="27">
        <f>EDATE('Parámetros'!$B$3,AL5-1)</f>
        <v/>
      </c>
      <c r="AM6" s="27">
        <f>EDATE('Parámetros'!$B$3,AM5-1)</f>
        <v/>
      </c>
      <c r="AN6" s="27">
        <f>EDATE('Parámetros'!$B$3,AN5-1)</f>
        <v/>
      </c>
      <c r="AO6" s="27">
        <f>EDATE('Parámetros'!$B$3,AO5-1)</f>
        <v/>
      </c>
      <c r="AP6" s="27">
        <f>EDATE('Parámetros'!$B$3,AP5-1)</f>
        <v/>
      </c>
      <c r="AQ6" s="27">
        <f>EDATE('Parámetros'!$B$3,AQ5-1)</f>
        <v/>
      </c>
      <c r="AR6" s="27">
        <f>EDATE('Parámetros'!$B$3,AR5-1)</f>
        <v/>
      </c>
      <c r="AS6" s="27">
        <f>EDATE('Parámetros'!$B$3,AS5-1)</f>
        <v/>
      </c>
      <c r="AT6" s="27">
        <f>EDATE('Parámetros'!$B$3,AT5-1)</f>
        <v/>
      </c>
      <c r="AU6" s="27">
        <f>EDATE('Parámetros'!$B$3,AU5-1)</f>
        <v/>
      </c>
      <c r="AV6" s="27">
        <f>EDATE('Parámetros'!$B$3,AV5-1)</f>
        <v/>
      </c>
      <c r="AW6" s="27">
        <f>EDATE('Parámetros'!$B$3,AW5-1)</f>
        <v/>
      </c>
      <c r="AX6" s="27">
        <f>EDATE('Parámetros'!$B$3,AX5-1)</f>
        <v/>
      </c>
      <c r="AY6" s="27">
        <f>EDATE('Parámetros'!$B$3,AY5-1)</f>
        <v/>
      </c>
      <c r="AZ6" s="27">
        <f>EDATE('Parámetros'!$B$3,AZ5-1)</f>
        <v/>
      </c>
      <c r="BA6" s="27">
        <f>EDATE('Parámetros'!$B$3,BA5-1)</f>
        <v/>
      </c>
      <c r="BB6" s="27">
        <f>EDATE('Parámetros'!$B$3,BB5-1)</f>
        <v/>
      </c>
      <c r="BC6" s="27">
        <f>EDATE('Parámetros'!$B$3,BC5-1)</f>
        <v/>
      </c>
      <c r="BD6" s="27">
        <f>EDATE('Parámetros'!$B$3,BD5-1)</f>
        <v/>
      </c>
      <c r="BE6" s="27">
        <f>EDATE('Parámetros'!$B$3,BE5-1)</f>
        <v/>
      </c>
      <c r="BF6" s="27">
        <f>EDATE('Parámetros'!$B$3,BF5-1)</f>
        <v/>
      </c>
      <c r="BG6" s="27">
        <f>EDATE('Parámetros'!$B$3,BG5-1)</f>
        <v/>
      </c>
      <c r="BH6" s="27">
        <f>EDATE('Parámetros'!$B$3,BH5-1)</f>
        <v/>
      </c>
      <c r="BI6" s="27">
        <f>EDATE('Parámetros'!$B$3,BI5-1)</f>
        <v/>
      </c>
      <c r="BJ6" s="27">
        <f>EDATE('Parámetros'!$B$3,BJ5-1)</f>
        <v/>
      </c>
      <c r="BK6" s="27">
        <f>EDATE('Parámetros'!$B$3,BK5-1)</f>
        <v/>
      </c>
      <c r="BL6" s="27">
        <f>EDATE('Parámetros'!$B$3,BL5-1)</f>
        <v/>
      </c>
      <c r="BM6" s="27">
        <f>EDATE('Parámetros'!$B$3,BM5-1)</f>
        <v/>
      </c>
      <c r="BN6" s="27">
        <f>EDATE('Parámetros'!$B$3,BN5-1)</f>
        <v/>
      </c>
    </row>
    <row r="7" ht="14.25" customHeight="1" s="36">
      <c r="J7" s="3" t="inlineStr">
        <is>
          <t>Congelamiento</t>
        </is>
      </c>
      <c r="K7" s="30">
        <f>IF(OR(MONTH(K6)=9,MONTH(K6)=12),"C","")</f>
        <v/>
      </c>
      <c r="L7" s="30">
        <f>IF(OR(MONTH(L6)=9,MONTH(L6)=12),"C","")</f>
        <v/>
      </c>
      <c r="M7" s="30">
        <f>IF(OR(MONTH(M6)=9,MONTH(M6)=12),"C","")</f>
        <v/>
      </c>
      <c r="N7" s="30">
        <f>IF(OR(MONTH(N6)=9,MONTH(N6)=12),"C","")</f>
        <v/>
      </c>
      <c r="O7" s="30">
        <f>IF(OR(MONTH(O6)=9,MONTH(O6)=12),"C","")</f>
        <v/>
      </c>
      <c r="P7" s="30">
        <f>IF(OR(MONTH(P6)=9,MONTH(P6)=12),"C","")</f>
        <v/>
      </c>
      <c r="Q7" s="30">
        <f>IF(OR(MONTH(Q6)=9,MONTH(Q6)=12),"C","")</f>
        <v/>
      </c>
      <c r="R7" s="30">
        <f>IF(OR(MONTH(R6)=9,MONTH(R6)=12),"C","")</f>
        <v/>
      </c>
      <c r="S7" s="30">
        <f>IF(OR(MONTH(S6)=9,MONTH(S6)=12),"C","")</f>
        <v/>
      </c>
      <c r="T7" s="30">
        <f>IF(OR(MONTH(T6)=9,MONTH(T6)=12),"C","")</f>
        <v/>
      </c>
      <c r="U7" s="30">
        <f>IF(OR(MONTH(U6)=9,MONTH(U6)=12),"C","")</f>
        <v/>
      </c>
      <c r="V7" s="30">
        <f>IF(OR(MONTH(V6)=9,MONTH(V6)=12),"C","")</f>
        <v/>
      </c>
      <c r="W7" s="30">
        <f>IF(OR(MONTH(W6)=9,MONTH(W6)=12),"C","")</f>
        <v/>
      </c>
      <c r="X7" s="30">
        <f>IF(OR(MONTH(X6)=9,MONTH(X6)=12),"C","")</f>
        <v/>
      </c>
      <c r="Y7" s="30">
        <f>IF(OR(MONTH(Y6)=9,MONTH(Y6)=12),"C","")</f>
        <v/>
      </c>
      <c r="Z7" s="30">
        <f>IF(OR(MONTH(Z6)=9,MONTH(Z6)=12),"C","")</f>
        <v/>
      </c>
      <c r="AA7" s="30">
        <f>IF(OR(MONTH(AA6)=9,MONTH(AA6)=12),"C","")</f>
        <v/>
      </c>
      <c r="AB7" s="30">
        <f>IF(OR(MONTH(AB6)=9,MONTH(AB6)=12),"C","")</f>
        <v/>
      </c>
      <c r="AC7" s="30">
        <f>IF(OR(MONTH(AC6)=9,MONTH(AC6)=12),"C","")</f>
        <v/>
      </c>
      <c r="AD7" s="30">
        <f>IF(OR(MONTH(AD6)=9,MONTH(AD6)=12),"C","")</f>
        <v/>
      </c>
      <c r="AE7" s="30">
        <f>IF(OR(MONTH(AE6)=9,MONTH(AE6)=12),"C","")</f>
        <v/>
      </c>
      <c r="AF7" s="30">
        <f>IF(OR(MONTH(AF6)=9,MONTH(AF6)=12),"C","")</f>
        <v/>
      </c>
      <c r="AG7" s="30">
        <f>IF(OR(MONTH(AG6)=9,MONTH(AG6)=12),"C","")</f>
        <v/>
      </c>
      <c r="AH7" s="30">
        <f>IF(OR(MONTH(AH6)=9,MONTH(AH6)=12),"C","")</f>
        <v/>
      </c>
      <c r="AI7" s="30">
        <f>IF(OR(MONTH(AI6)=9,MONTH(AI6)=12),"C","")</f>
        <v/>
      </c>
      <c r="AJ7" s="30">
        <f>IF(OR(MONTH(AJ6)=9,MONTH(AJ6)=12),"C","")</f>
        <v/>
      </c>
      <c r="AK7" s="30">
        <f>IF(OR(MONTH(AK6)=9,MONTH(AK6)=12),"C","")</f>
        <v/>
      </c>
      <c r="AL7" s="30">
        <f>IF(OR(MONTH(AL6)=9,MONTH(AL6)=12),"C","")</f>
        <v/>
      </c>
      <c r="AM7" s="30">
        <f>IF(OR(MONTH(AM6)=9,MONTH(AM6)=12),"C","")</f>
        <v/>
      </c>
      <c r="AN7" s="30">
        <f>IF(OR(MONTH(AN6)=9,MONTH(AN6)=12),"C","")</f>
        <v/>
      </c>
      <c r="AO7" s="30">
        <f>IF(OR(MONTH(AO6)=9,MONTH(AO6)=12),"C","")</f>
        <v/>
      </c>
      <c r="AP7" s="30">
        <f>IF(OR(MONTH(AP6)=9,MONTH(AP6)=12),"C","")</f>
        <v/>
      </c>
      <c r="AQ7" s="30">
        <f>IF(OR(MONTH(AQ6)=9,MONTH(AQ6)=12),"C","")</f>
        <v/>
      </c>
      <c r="AR7" s="30">
        <f>IF(OR(MONTH(AR6)=9,MONTH(AR6)=12),"C","")</f>
        <v/>
      </c>
      <c r="AS7" s="30">
        <f>IF(OR(MONTH(AS6)=9,MONTH(AS6)=12),"C","")</f>
        <v/>
      </c>
      <c r="AT7" s="30">
        <f>IF(OR(MONTH(AT6)=9,MONTH(AT6)=12),"C","")</f>
        <v/>
      </c>
      <c r="AU7" s="30">
        <f>IF(OR(MONTH(AU6)=9,MONTH(AU6)=12),"C","")</f>
        <v/>
      </c>
      <c r="AV7" s="30">
        <f>IF(OR(MONTH(AV6)=9,MONTH(AV6)=12),"C","")</f>
        <v/>
      </c>
      <c r="AW7" s="30">
        <f>IF(OR(MONTH(AW6)=9,MONTH(AW6)=12),"C","")</f>
        <v/>
      </c>
      <c r="AX7" s="30">
        <f>IF(OR(MONTH(AX6)=9,MONTH(AX6)=12),"C","")</f>
        <v/>
      </c>
      <c r="AY7" s="30">
        <f>IF(OR(MONTH(AY6)=9,MONTH(AY6)=12),"C","")</f>
        <v/>
      </c>
      <c r="AZ7" s="30">
        <f>IF(OR(MONTH(AZ6)=9,MONTH(AZ6)=12),"C","")</f>
        <v/>
      </c>
      <c r="BA7" s="30">
        <f>IF(OR(MONTH(BA6)=9,MONTH(BA6)=12),"C","")</f>
        <v/>
      </c>
      <c r="BB7" s="30">
        <f>IF(OR(MONTH(BB6)=9,MONTH(BB6)=12),"C","")</f>
        <v/>
      </c>
      <c r="BC7" s="30">
        <f>IF(OR(MONTH(BC6)=9,MONTH(BC6)=12),"C","")</f>
        <v/>
      </c>
      <c r="BD7" s="30">
        <f>IF(OR(MONTH(BD6)=9,MONTH(BD6)=12),"C","")</f>
        <v/>
      </c>
      <c r="BE7" s="30">
        <f>IF(OR(MONTH(BE6)=9,MONTH(BE6)=12),"C","")</f>
        <v/>
      </c>
      <c r="BF7" s="30">
        <f>IF(OR(MONTH(BF6)=9,MONTH(BF6)=12),"C","")</f>
        <v/>
      </c>
      <c r="BG7" s="30">
        <f>IF(OR(MONTH(BG6)=9,MONTH(BG6)=12),"C","")</f>
        <v/>
      </c>
      <c r="BH7" s="30">
        <f>IF(OR(MONTH(BH6)=9,MONTH(BH6)=12),"C","")</f>
        <v/>
      </c>
      <c r="BI7" s="30">
        <f>IF(OR(MONTH(BI6)=9,MONTH(BI6)=12),"C","")</f>
        <v/>
      </c>
      <c r="BJ7" s="30">
        <f>IF(OR(MONTH(BJ6)=9,MONTH(BJ6)=12),"C","")</f>
        <v/>
      </c>
      <c r="BK7" s="30">
        <f>IF(OR(MONTH(BK6)=9,MONTH(BK6)=12),"C","")</f>
        <v/>
      </c>
      <c r="BL7" s="30">
        <f>IF(OR(MONTH(BL6)=9,MONTH(BL6)=12),"C","")</f>
        <v/>
      </c>
      <c r="BM7" s="30">
        <f>IF(OR(MONTH(BM6)=9,MONTH(BM6)=12),"C","")</f>
        <v/>
      </c>
      <c r="BN7" s="30">
        <f>IF(OR(MONTH(BN6)=9,MONTH(BN6)=12),"C","")</f>
        <v/>
      </c>
    </row>
    <row r="8" ht="14.25" customHeight="1" s="36">
      <c r="J8" s="3" t="inlineStr">
        <is>
          <t>Hitos E-25</t>
        </is>
      </c>
      <c r="K8" s="30">
        <f t="array" ref="K8">IFERROR(INDEX(Hitos!$A$2:$A$13,MATCH(K5,Hitos!$D$2:$D$13,0)),"")</f>
        <v/>
      </c>
      <c r="L8" s="30">
        <f t="array" ref="L8">IFERROR(INDEX(Hitos!$A$2:$A$13,MATCH(L5,Hitos!$D$2:$D$13,0)),"")</f>
        <v/>
      </c>
      <c r="M8" s="30">
        <f t="array" ref="M8">IFERROR(INDEX(Hitos!$A$2:$A$13,MATCH(M5,Hitos!$D$2:$D$13,0)),"")</f>
        <v/>
      </c>
      <c r="N8" s="30">
        <f t="array" ref="N8">IFERROR(INDEX(Hitos!$A$2:$A$13,MATCH(N5,Hitos!$D$2:$D$13,0)),"")</f>
        <v/>
      </c>
      <c r="O8" s="30">
        <f t="array" ref="O8">IFERROR(INDEX(Hitos!$A$2:$A$13,MATCH(O5,Hitos!$D$2:$D$13,0)),"")</f>
        <v/>
      </c>
      <c r="P8" s="30">
        <f t="array" ref="P8">IFERROR(INDEX(Hitos!$A$2:$A$13,MATCH(P5,Hitos!$D$2:$D$13,0)),"")</f>
        <v/>
      </c>
      <c r="Q8" s="30">
        <f t="array" ref="Q8">IFERROR(INDEX(Hitos!$A$2:$A$13,MATCH(Q5,Hitos!$D$2:$D$13,0)),"")</f>
        <v/>
      </c>
      <c r="R8" s="30">
        <f t="array" ref="R8">IFERROR(INDEX(Hitos!$A$2:$A$13,MATCH(R5,Hitos!$D$2:$D$13,0)),"")</f>
        <v/>
      </c>
      <c r="S8" s="30">
        <f t="array" ref="S8">IFERROR(INDEX(Hitos!$A$2:$A$13,MATCH(S5,Hitos!$D$2:$D$13,0)),"")</f>
        <v/>
      </c>
      <c r="T8" s="30">
        <f t="array" ref="T8">IFERROR(INDEX(Hitos!$A$2:$A$13,MATCH(T5,Hitos!$D$2:$D$13,0)),"")</f>
        <v/>
      </c>
      <c r="U8" s="30">
        <f t="array" ref="U8">IFERROR(INDEX(Hitos!$A$2:$A$13,MATCH(U5,Hitos!$D$2:$D$13,0)),"")</f>
        <v/>
      </c>
      <c r="V8" s="30">
        <f t="array" ref="V8">IFERROR(INDEX(Hitos!$A$2:$A$13,MATCH(V5,Hitos!$D$2:$D$13,0)),"")</f>
        <v/>
      </c>
      <c r="W8" s="30">
        <f t="array" ref="W8">IFERROR(INDEX(Hitos!$A$2:$A$13,MATCH(W5,Hitos!$D$2:$D$13,0)),"")</f>
        <v/>
      </c>
      <c r="X8" s="30">
        <f t="array" ref="X8">IFERROR(INDEX(Hitos!$A$2:$A$13,MATCH(X5,Hitos!$D$2:$D$13,0)),"")</f>
        <v/>
      </c>
      <c r="Y8" s="30">
        <f t="array" ref="Y8">IFERROR(INDEX(Hitos!$A$2:$A$13,MATCH(Y5,Hitos!$D$2:$D$13,0)),"")</f>
        <v/>
      </c>
      <c r="Z8" s="30">
        <f t="array" ref="Z8">IFERROR(INDEX(Hitos!$A$2:$A$13,MATCH(Z5,Hitos!$D$2:$D$13,0)),"")</f>
        <v/>
      </c>
      <c r="AA8" s="30">
        <f t="array" ref="AA8">IFERROR(INDEX(Hitos!$A$2:$A$13,MATCH(AA5,Hitos!$D$2:$D$13,0)),"")</f>
        <v/>
      </c>
      <c r="AB8" s="30">
        <f t="array" ref="AB8">IFERROR(INDEX(Hitos!$A$2:$A$13,MATCH(AB5,Hitos!$D$2:$D$13,0)),"")</f>
        <v/>
      </c>
      <c r="AC8" s="30">
        <f t="array" ref="AC8">IFERROR(INDEX(Hitos!$A$2:$A$13,MATCH(AC5,Hitos!$D$2:$D$13,0)),"")</f>
        <v/>
      </c>
      <c r="AD8" s="30">
        <f t="array" ref="AD8">IFERROR(INDEX(Hitos!$A$2:$A$13,MATCH(AD5,Hitos!$D$2:$D$13,0)),"")</f>
        <v/>
      </c>
      <c r="AE8" s="30">
        <f t="array" ref="AE8">IFERROR(INDEX(Hitos!$A$2:$A$13,MATCH(AE5,Hitos!$D$2:$D$13,0)),"")</f>
        <v/>
      </c>
      <c r="AF8" s="30">
        <f t="array" ref="AF8">IFERROR(INDEX(Hitos!$A$2:$A$13,MATCH(AF5,Hitos!$D$2:$D$13,0)),"")</f>
        <v/>
      </c>
      <c r="AG8" s="30">
        <f t="array" ref="AG8">IFERROR(INDEX(Hitos!$A$2:$A$13,MATCH(AG5,Hitos!$D$2:$D$13,0)),"")</f>
        <v/>
      </c>
      <c r="AH8" s="30">
        <f t="array" ref="AH8">IFERROR(INDEX(Hitos!$A$2:$A$13,MATCH(AH5,Hitos!$D$2:$D$13,0)),"")</f>
        <v/>
      </c>
      <c r="AI8" s="30">
        <f t="array" ref="AI8">IFERROR(INDEX(Hitos!$A$2:$A$13,MATCH(AI5,Hitos!$D$2:$D$13,0)),"")</f>
        <v/>
      </c>
      <c r="AJ8" s="30">
        <f t="array" ref="AJ8">IFERROR(INDEX(Hitos!$A$2:$A$13,MATCH(AJ5,Hitos!$D$2:$D$13,0)),"")</f>
        <v/>
      </c>
      <c r="AK8" s="30">
        <f t="array" ref="AK8">IFERROR(INDEX(Hitos!$A$2:$A$13,MATCH(AK5,Hitos!$D$2:$D$13,0)),"")</f>
        <v/>
      </c>
      <c r="AL8" s="30">
        <f t="array" ref="AL8">IFERROR(INDEX(Hitos!$A$2:$A$13,MATCH(AL5,Hitos!$D$2:$D$13,0)),"")</f>
        <v/>
      </c>
      <c r="AM8" s="30">
        <f t="array" ref="AM8">IFERROR(INDEX(Hitos!$A$2:$A$13,MATCH(AM5,Hitos!$D$2:$D$13,0)),"")</f>
        <v/>
      </c>
      <c r="AN8" s="30">
        <f t="array" ref="AN8">IFERROR(INDEX(Hitos!$A$2:$A$13,MATCH(AN5,Hitos!$D$2:$D$13,0)),"")</f>
        <v/>
      </c>
      <c r="AO8" s="30">
        <f t="array" ref="AO8">IFERROR(INDEX(Hitos!$A$2:$A$13,MATCH(AO5,Hitos!$D$2:$D$13,0)),"")</f>
        <v/>
      </c>
      <c r="AP8" s="30">
        <f t="array" ref="AP8">IFERROR(INDEX(Hitos!$A$2:$A$13,MATCH(AP5,Hitos!$D$2:$D$13,0)),"")</f>
        <v/>
      </c>
      <c r="AQ8" s="30">
        <f t="array" ref="AQ8">IFERROR(INDEX(Hitos!$A$2:$A$13,MATCH(AQ5,Hitos!$D$2:$D$13,0)),"")</f>
        <v/>
      </c>
      <c r="AR8" s="30">
        <f t="array" ref="AR8">IFERROR(INDEX(Hitos!$A$2:$A$13,MATCH(AR5,Hitos!$D$2:$D$13,0)),"")</f>
        <v/>
      </c>
      <c r="AS8" s="30">
        <f t="array" ref="AS8">IFERROR(INDEX(Hitos!$A$2:$A$13,MATCH(AS5,Hitos!$D$2:$D$13,0)),"")</f>
        <v/>
      </c>
      <c r="AT8" s="30">
        <f t="array" ref="AT8">IFERROR(INDEX(Hitos!$A$2:$A$13,MATCH(AT5,Hitos!$D$2:$D$13,0)),"")</f>
        <v/>
      </c>
      <c r="AU8" s="30">
        <f t="array" ref="AU8">IFERROR(INDEX(Hitos!$A$2:$A$13,MATCH(AU5,Hitos!$D$2:$D$13,0)),"")</f>
        <v/>
      </c>
      <c r="AV8" s="30">
        <f t="array" ref="AV8">IFERROR(INDEX(Hitos!$A$2:$A$13,MATCH(AV5,Hitos!$D$2:$D$13,0)),"")</f>
        <v/>
      </c>
      <c r="AW8" s="30">
        <f t="array" ref="AW8">IFERROR(INDEX(Hitos!$A$2:$A$13,MATCH(AW5,Hitos!$D$2:$D$13,0)),"")</f>
        <v/>
      </c>
      <c r="AX8" s="30">
        <f t="array" ref="AX8">IFERROR(INDEX(Hitos!$A$2:$A$13,MATCH(AX5,Hitos!$D$2:$D$13,0)),"")</f>
        <v/>
      </c>
      <c r="AY8" s="30">
        <f t="array" ref="AY8">IFERROR(INDEX(Hitos!$A$2:$A$13,MATCH(AY5,Hitos!$D$2:$D$13,0)),"")</f>
        <v/>
      </c>
      <c r="AZ8" s="30">
        <f t="array" ref="AZ8">IFERROR(INDEX(Hitos!$A$2:$A$13,MATCH(AZ5,Hitos!$D$2:$D$13,0)),"")</f>
        <v/>
      </c>
      <c r="BA8" s="30">
        <f t="array" ref="BA8">IFERROR(INDEX(Hitos!$A$2:$A$13,MATCH(BA5,Hitos!$D$2:$D$13,0)),"")</f>
        <v/>
      </c>
      <c r="BB8" s="30">
        <f t="array" ref="BB8">IFERROR(INDEX(Hitos!$A$2:$A$13,MATCH(BB5,Hitos!$D$2:$D$13,0)),"")</f>
        <v/>
      </c>
      <c r="BC8" s="30">
        <f t="array" ref="BC8">IFERROR(INDEX(Hitos!$A$2:$A$13,MATCH(BC5,Hitos!$D$2:$D$13,0)),"")</f>
        <v/>
      </c>
      <c r="BD8" s="30">
        <f t="array" ref="BD8">IFERROR(INDEX(Hitos!$A$2:$A$13,MATCH(BD5,Hitos!$D$2:$D$13,0)),"")</f>
        <v/>
      </c>
      <c r="BE8" s="30">
        <f t="array" ref="BE8">IFERROR(INDEX(Hitos!$A$2:$A$13,MATCH(BE5,Hitos!$D$2:$D$13,0)),"")</f>
        <v/>
      </c>
      <c r="BF8" s="30">
        <f t="array" ref="BF8">IFERROR(INDEX(Hitos!$A$2:$A$13,MATCH(BF5,Hitos!$D$2:$D$13,0)),"")</f>
        <v/>
      </c>
      <c r="BG8" s="30">
        <f t="array" ref="BG8">IFERROR(INDEX(Hitos!$A$2:$A$13,MATCH(BG5,Hitos!$D$2:$D$13,0)),"")</f>
        <v/>
      </c>
      <c r="BH8" s="30">
        <f t="array" ref="BH8">IFERROR(INDEX(Hitos!$A$2:$A$13,MATCH(BH5,Hitos!$D$2:$D$13,0)),"")</f>
        <v/>
      </c>
      <c r="BI8" s="30">
        <f t="array" ref="BI8">IFERROR(INDEX(Hitos!$A$2:$A$13,MATCH(BI5,Hitos!$D$2:$D$13,0)),"")</f>
        <v/>
      </c>
      <c r="BJ8" s="30">
        <f t="array" ref="BJ8">IFERROR(INDEX(Hitos!$A$2:$A$13,MATCH(BJ5,Hitos!$D$2:$D$13,0)),"")</f>
        <v/>
      </c>
      <c r="BK8" s="30">
        <f t="array" ref="BK8">IFERROR(INDEX(Hitos!$A$2:$A$13,MATCH(BK5,Hitos!$D$2:$D$13,0)),"")</f>
        <v/>
      </c>
      <c r="BL8" s="30">
        <f t="array" ref="BL8">IFERROR(INDEX(Hitos!$A$2:$A$13,MATCH(BL5,Hitos!$D$2:$D$13,0)),"")</f>
        <v/>
      </c>
      <c r="BM8" s="30">
        <f t="array" ref="BM8">IFERROR(INDEX(Hitos!$A$2:$A$13,MATCH(BM5,Hitos!$D$2:$D$13,0)),"")</f>
        <v/>
      </c>
      <c r="BN8" s="30">
        <f t="array" ref="BN8">IFERROR(INDEX(Hitos!$A$2:$A$13,MATCH(BN5,Hitos!$D$2:$D$13,0)),"")</f>
        <v/>
      </c>
    </row>
    <row r="9" ht="14.25" customHeight="1" s="36">
      <c r="A9" s="13" t="inlineStr">
        <is>
          <t>1 Inicio</t>
        </is>
      </c>
      <c r="B9" s="13" t="inlineStr">
        <is>
          <t>1.1.1</t>
        </is>
      </c>
      <c r="C9" s="13" t="inlineStr">
        <is>
          <t>Acta de constitución del proyecto, firmada con la Contraparte Técnica</t>
        </is>
      </c>
      <c r="D9" s="13" t="inlineStr">
        <is>
          <t>G</t>
        </is>
      </c>
      <c r="E9" s="13" t="inlineStr">
        <is>
          <t>Jefe de Proyecto</t>
        </is>
      </c>
      <c r="F9" s="13" t="n">
        <v>1</v>
      </c>
      <c r="G9" s="13" t="n">
        <v>1</v>
      </c>
      <c r="H9" s="13">
        <f>G9-F9+1</f>
        <v/>
      </c>
      <c r="I9" s="31" t="n">
        <v>80</v>
      </c>
      <c r="J9" s="13" t="inlineStr">
        <is>
          <t>Con entregable (actividades en hoja «Actividades hasta H2»)</t>
        </is>
      </c>
      <c r="K9" s="34">
        <f>IF(AND(K$5&gt;=$F9,K$5&lt;=$G9),1,"")</f>
        <v/>
      </c>
      <c r="L9" s="34">
        <f>IF(AND(L$5&gt;=$F9,L$5&lt;=$G9),1,"")</f>
        <v/>
      </c>
      <c r="M9" s="34">
        <f>IF(AND(M$5&gt;=$F9,M$5&lt;=$G9),1,"")</f>
        <v/>
      </c>
      <c r="N9" s="34">
        <f>IF(AND(N$5&gt;=$F9,N$5&lt;=$G9),1,"")</f>
        <v/>
      </c>
      <c r="O9" s="34">
        <f>IF(AND(O$5&gt;=$F9,O$5&lt;=$G9),1,"")</f>
        <v/>
      </c>
      <c r="P9" s="34">
        <f>IF(AND(P$5&gt;=$F9,P$5&lt;=$G9),1,"")</f>
        <v/>
      </c>
      <c r="Q9" s="34">
        <f>IF(AND(Q$5&gt;=$F9,Q$5&lt;=$G9),1,"")</f>
        <v/>
      </c>
      <c r="R9" s="34">
        <f>IF(AND(R$5&gt;=$F9,R$5&lt;=$G9),1,"")</f>
        <v/>
      </c>
      <c r="S9" s="34">
        <f>IF(AND(S$5&gt;=$F9,S$5&lt;=$G9),1,"")</f>
        <v/>
      </c>
      <c r="T9" s="34">
        <f>IF(AND(T$5&gt;=$F9,T$5&lt;=$G9),1,"")</f>
        <v/>
      </c>
      <c r="U9" s="34">
        <f>IF(AND(U$5&gt;=$F9,U$5&lt;=$G9),1,"")</f>
        <v/>
      </c>
      <c r="V9" s="34">
        <f>IF(AND(V$5&gt;=$F9,V$5&lt;=$G9),1,"")</f>
        <v/>
      </c>
      <c r="W9" s="34">
        <f>IF(AND(W$5&gt;=$F9,W$5&lt;=$G9),1,"")</f>
        <v/>
      </c>
      <c r="X9" s="34">
        <f>IF(AND(X$5&gt;=$F9,X$5&lt;=$G9),1,"")</f>
        <v/>
      </c>
      <c r="Y9" s="34">
        <f>IF(AND(Y$5&gt;=$F9,Y$5&lt;=$G9),1,"")</f>
        <v/>
      </c>
      <c r="Z9" s="34">
        <f>IF(AND(Z$5&gt;=$F9,Z$5&lt;=$G9),1,"")</f>
        <v/>
      </c>
      <c r="AA9" s="34">
        <f>IF(AND(AA$5&gt;=$F9,AA$5&lt;=$G9),1,"")</f>
        <v/>
      </c>
      <c r="AB9" s="34">
        <f>IF(AND(AB$5&gt;=$F9,AB$5&lt;=$G9),1,"")</f>
        <v/>
      </c>
      <c r="AC9" s="34">
        <f>IF(AND(AC$5&gt;=$F9,AC$5&lt;=$G9),1,"")</f>
        <v/>
      </c>
      <c r="AD9" s="34">
        <f>IF(AND(AD$5&gt;=$F9,AD$5&lt;=$G9),1,"")</f>
        <v/>
      </c>
      <c r="AE9" s="34">
        <f>IF(AND(AE$5&gt;=$F9,AE$5&lt;=$G9),1,"")</f>
        <v/>
      </c>
      <c r="AF9" s="34">
        <f>IF(AND(AF$5&gt;=$F9,AF$5&lt;=$G9),1,"")</f>
        <v/>
      </c>
      <c r="AG9" s="34">
        <f>IF(AND(AG$5&gt;=$F9,AG$5&lt;=$G9),1,"")</f>
        <v/>
      </c>
      <c r="AH9" s="34">
        <f>IF(AND(AH$5&gt;=$F9,AH$5&lt;=$G9),1,"")</f>
        <v/>
      </c>
      <c r="AI9" s="34">
        <f>IF(AND(AI$5&gt;=$F9,AI$5&lt;=$G9),1,"")</f>
        <v/>
      </c>
      <c r="AJ9" s="34">
        <f>IF(AND(AJ$5&gt;=$F9,AJ$5&lt;=$G9),1,"")</f>
        <v/>
      </c>
      <c r="AK9" s="34">
        <f>IF(AND(AK$5&gt;=$F9,AK$5&lt;=$G9),1,"")</f>
        <v/>
      </c>
      <c r="AL9" s="34">
        <f>IF(AND(AL$5&gt;=$F9,AL$5&lt;=$G9),1,"")</f>
        <v/>
      </c>
      <c r="AM9" s="34">
        <f>IF(AND(AM$5&gt;=$F9,AM$5&lt;=$G9),1,"")</f>
        <v/>
      </c>
      <c r="AN9" s="34">
        <f>IF(AND(AN$5&gt;=$F9,AN$5&lt;=$G9),1,"")</f>
        <v/>
      </c>
      <c r="AO9" s="34">
        <f>IF(AND(AO$5&gt;=$F9,AO$5&lt;=$G9),1,"")</f>
        <v/>
      </c>
      <c r="AP9" s="34">
        <f>IF(AND(AP$5&gt;=$F9,AP$5&lt;=$G9),1,"")</f>
        <v/>
      </c>
      <c r="AQ9" s="34">
        <f>IF(AND(AQ$5&gt;=$F9,AQ$5&lt;=$G9),1,"")</f>
        <v/>
      </c>
      <c r="AR9" s="34">
        <f>IF(AND(AR$5&gt;=$F9,AR$5&lt;=$G9),1,"")</f>
        <v/>
      </c>
      <c r="AS9" s="34">
        <f>IF(AND(AS$5&gt;=$F9,AS$5&lt;=$G9),1,"")</f>
        <v/>
      </c>
      <c r="AT9" s="34">
        <f>IF(AND(AT$5&gt;=$F9,AT$5&lt;=$G9),1,"")</f>
        <v/>
      </c>
      <c r="AU9" s="34">
        <f>IF(AND(AU$5&gt;=$F9,AU$5&lt;=$G9),1,"")</f>
        <v/>
      </c>
      <c r="AV9" s="34">
        <f>IF(AND(AV$5&gt;=$F9,AV$5&lt;=$G9),1,"")</f>
        <v/>
      </c>
      <c r="AW9" s="34">
        <f>IF(AND(AW$5&gt;=$F9,AW$5&lt;=$G9),1,"")</f>
        <v/>
      </c>
      <c r="AX9" s="34">
        <f>IF(AND(AX$5&gt;=$F9,AX$5&lt;=$G9),1,"")</f>
        <v/>
      </c>
      <c r="AY9" s="34">
        <f>IF(AND(AY$5&gt;=$F9,AY$5&lt;=$G9),1,"")</f>
        <v/>
      </c>
      <c r="AZ9" s="34">
        <f>IF(AND(AZ$5&gt;=$F9,AZ$5&lt;=$G9),1,"")</f>
        <v/>
      </c>
      <c r="BA9" s="34">
        <f>IF(AND(BA$5&gt;=$F9,BA$5&lt;=$G9),1,"")</f>
        <v/>
      </c>
      <c r="BB9" s="34">
        <f>IF(AND(BB$5&gt;=$F9,BB$5&lt;=$G9),1,"")</f>
        <v/>
      </c>
      <c r="BC9" s="34">
        <f>IF(AND(BC$5&gt;=$F9,BC$5&lt;=$G9),1,"")</f>
        <v/>
      </c>
      <c r="BD9" s="34">
        <f>IF(AND(BD$5&gt;=$F9,BD$5&lt;=$G9),1,"")</f>
        <v/>
      </c>
      <c r="BE9" s="34">
        <f>IF(AND(BE$5&gt;=$F9,BE$5&lt;=$G9),1,"")</f>
        <v/>
      </c>
      <c r="BF9" s="34">
        <f>IF(AND(BF$5&gt;=$F9,BF$5&lt;=$G9),1,"")</f>
        <v/>
      </c>
      <c r="BG9" s="34">
        <f>IF(AND(BG$5&gt;=$F9,BG$5&lt;=$G9),1,"")</f>
        <v/>
      </c>
      <c r="BH9" s="34">
        <f>IF(AND(BH$5&gt;=$F9,BH$5&lt;=$G9),1,"")</f>
        <v/>
      </c>
      <c r="BI9" s="34">
        <f>IF(AND(BI$5&gt;=$F9,BI$5&lt;=$G9),1,"")</f>
        <v/>
      </c>
      <c r="BJ9" s="34">
        <f>IF(AND(BJ$5&gt;=$F9,BJ$5&lt;=$G9),1,"")</f>
        <v/>
      </c>
      <c r="BK9" s="34">
        <f>IF(AND(BK$5&gt;=$F9,BK$5&lt;=$G9),1,"")</f>
        <v/>
      </c>
      <c r="BL9" s="34">
        <f>IF(AND(BL$5&gt;=$F9,BL$5&lt;=$G9),1,"")</f>
        <v/>
      </c>
      <c r="BM9" s="34">
        <f>IF(AND(BM$5&gt;=$F9,BM$5&lt;=$G9),1,"")</f>
        <v/>
      </c>
      <c r="BN9" s="34">
        <f>IF(AND(BN$5&gt;=$F9,BN$5&lt;=$G9),1,"")</f>
        <v/>
      </c>
    </row>
    <row r="10" ht="14.25" customHeight="1" s="36">
      <c r="A10" s="13" t="inlineStr">
        <is>
          <t>1 Inicio</t>
        </is>
      </c>
      <c r="B10" s="13" t="inlineStr">
        <is>
          <t>1.1.2</t>
        </is>
      </c>
      <c r="C10" s="13" t="inlineStr">
        <is>
          <t>Documento de validación con el CLIENTE de los problemas y metas del proyecto</t>
        </is>
      </c>
      <c r="D10" s="13" t="inlineStr">
        <is>
          <t>G</t>
        </is>
      </c>
      <c r="E10" s="13" t="inlineStr">
        <is>
          <t>Jefe de Proyecto</t>
        </is>
      </c>
      <c r="F10" s="13" t="n">
        <v>1</v>
      </c>
      <c r="G10" s="13" t="n">
        <v>1</v>
      </c>
      <c r="H10" s="13">
        <f>G10-F10+1</f>
        <v/>
      </c>
      <c r="I10" s="31" t="n">
        <v>80</v>
      </c>
      <c r="J10" s="13" t="inlineStr">
        <is>
          <t>Con entregable (actividades en hoja «Actividades hasta H2»)</t>
        </is>
      </c>
      <c r="K10" s="34">
        <f>IF(AND(K$5&gt;=$F10,K$5&lt;=$G10),1,"")</f>
        <v/>
      </c>
      <c r="L10" s="34">
        <f>IF(AND(L$5&gt;=$F10,L$5&lt;=$G10),1,"")</f>
        <v/>
      </c>
      <c r="M10" s="34">
        <f>IF(AND(M$5&gt;=$F10,M$5&lt;=$G10),1,"")</f>
        <v/>
      </c>
      <c r="N10" s="34">
        <f>IF(AND(N$5&gt;=$F10,N$5&lt;=$G10),1,"")</f>
        <v/>
      </c>
      <c r="O10" s="34">
        <f>IF(AND(O$5&gt;=$F10,O$5&lt;=$G10),1,"")</f>
        <v/>
      </c>
      <c r="P10" s="34">
        <f>IF(AND(P$5&gt;=$F10,P$5&lt;=$G10),1,"")</f>
        <v/>
      </c>
      <c r="Q10" s="34">
        <f>IF(AND(Q$5&gt;=$F10,Q$5&lt;=$G10),1,"")</f>
        <v/>
      </c>
      <c r="R10" s="34">
        <f>IF(AND(R$5&gt;=$F10,R$5&lt;=$G10),1,"")</f>
        <v/>
      </c>
      <c r="S10" s="34">
        <f>IF(AND(S$5&gt;=$F10,S$5&lt;=$G10),1,"")</f>
        <v/>
      </c>
      <c r="T10" s="34">
        <f>IF(AND(T$5&gt;=$F10,T$5&lt;=$G10),1,"")</f>
        <v/>
      </c>
      <c r="U10" s="34">
        <f>IF(AND(U$5&gt;=$F10,U$5&lt;=$G10),1,"")</f>
        <v/>
      </c>
      <c r="V10" s="34">
        <f>IF(AND(V$5&gt;=$F10,V$5&lt;=$G10),1,"")</f>
        <v/>
      </c>
      <c r="W10" s="34">
        <f>IF(AND(W$5&gt;=$F10,W$5&lt;=$G10),1,"")</f>
        <v/>
      </c>
      <c r="X10" s="34">
        <f>IF(AND(X$5&gt;=$F10,X$5&lt;=$G10),1,"")</f>
        <v/>
      </c>
      <c r="Y10" s="34">
        <f>IF(AND(Y$5&gt;=$F10,Y$5&lt;=$G10),1,"")</f>
        <v/>
      </c>
      <c r="Z10" s="34">
        <f>IF(AND(Z$5&gt;=$F10,Z$5&lt;=$G10),1,"")</f>
        <v/>
      </c>
      <c r="AA10" s="34">
        <f>IF(AND(AA$5&gt;=$F10,AA$5&lt;=$G10),1,"")</f>
        <v/>
      </c>
      <c r="AB10" s="34">
        <f>IF(AND(AB$5&gt;=$F10,AB$5&lt;=$G10),1,"")</f>
        <v/>
      </c>
      <c r="AC10" s="34">
        <f>IF(AND(AC$5&gt;=$F10,AC$5&lt;=$G10),1,"")</f>
        <v/>
      </c>
      <c r="AD10" s="34">
        <f>IF(AND(AD$5&gt;=$F10,AD$5&lt;=$G10),1,"")</f>
        <v/>
      </c>
      <c r="AE10" s="34">
        <f>IF(AND(AE$5&gt;=$F10,AE$5&lt;=$G10),1,"")</f>
        <v/>
      </c>
      <c r="AF10" s="34">
        <f>IF(AND(AF$5&gt;=$F10,AF$5&lt;=$G10),1,"")</f>
        <v/>
      </c>
      <c r="AG10" s="34">
        <f>IF(AND(AG$5&gt;=$F10,AG$5&lt;=$G10),1,"")</f>
        <v/>
      </c>
      <c r="AH10" s="34">
        <f>IF(AND(AH$5&gt;=$F10,AH$5&lt;=$G10),1,"")</f>
        <v/>
      </c>
      <c r="AI10" s="34">
        <f>IF(AND(AI$5&gt;=$F10,AI$5&lt;=$G10),1,"")</f>
        <v/>
      </c>
      <c r="AJ10" s="34">
        <f>IF(AND(AJ$5&gt;=$F10,AJ$5&lt;=$G10),1,"")</f>
        <v/>
      </c>
      <c r="AK10" s="34">
        <f>IF(AND(AK$5&gt;=$F10,AK$5&lt;=$G10),1,"")</f>
        <v/>
      </c>
      <c r="AL10" s="34">
        <f>IF(AND(AL$5&gt;=$F10,AL$5&lt;=$G10),1,"")</f>
        <v/>
      </c>
      <c r="AM10" s="34">
        <f>IF(AND(AM$5&gt;=$F10,AM$5&lt;=$G10),1,"")</f>
        <v/>
      </c>
      <c r="AN10" s="34">
        <f>IF(AND(AN$5&gt;=$F10,AN$5&lt;=$G10),1,"")</f>
        <v/>
      </c>
      <c r="AO10" s="34">
        <f>IF(AND(AO$5&gt;=$F10,AO$5&lt;=$G10),1,"")</f>
        <v/>
      </c>
      <c r="AP10" s="34">
        <f>IF(AND(AP$5&gt;=$F10,AP$5&lt;=$G10),1,"")</f>
        <v/>
      </c>
      <c r="AQ10" s="34">
        <f>IF(AND(AQ$5&gt;=$F10,AQ$5&lt;=$G10),1,"")</f>
        <v/>
      </c>
      <c r="AR10" s="34">
        <f>IF(AND(AR$5&gt;=$F10,AR$5&lt;=$G10),1,"")</f>
        <v/>
      </c>
      <c r="AS10" s="34">
        <f>IF(AND(AS$5&gt;=$F10,AS$5&lt;=$G10),1,"")</f>
        <v/>
      </c>
      <c r="AT10" s="34">
        <f>IF(AND(AT$5&gt;=$F10,AT$5&lt;=$G10),1,"")</f>
        <v/>
      </c>
      <c r="AU10" s="34">
        <f>IF(AND(AU$5&gt;=$F10,AU$5&lt;=$G10),1,"")</f>
        <v/>
      </c>
      <c r="AV10" s="34">
        <f>IF(AND(AV$5&gt;=$F10,AV$5&lt;=$G10),1,"")</f>
        <v/>
      </c>
      <c r="AW10" s="34">
        <f>IF(AND(AW$5&gt;=$F10,AW$5&lt;=$G10),1,"")</f>
        <v/>
      </c>
      <c r="AX10" s="34">
        <f>IF(AND(AX$5&gt;=$F10,AX$5&lt;=$G10),1,"")</f>
        <v/>
      </c>
      <c r="AY10" s="34">
        <f>IF(AND(AY$5&gt;=$F10,AY$5&lt;=$G10),1,"")</f>
        <v/>
      </c>
      <c r="AZ10" s="34">
        <f>IF(AND(AZ$5&gt;=$F10,AZ$5&lt;=$G10),1,"")</f>
        <v/>
      </c>
      <c r="BA10" s="34">
        <f>IF(AND(BA$5&gt;=$F10,BA$5&lt;=$G10),1,"")</f>
        <v/>
      </c>
      <c r="BB10" s="34">
        <f>IF(AND(BB$5&gt;=$F10,BB$5&lt;=$G10),1,"")</f>
        <v/>
      </c>
      <c r="BC10" s="34">
        <f>IF(AND(BC$5&gt;=$F10,BC$5&lt;=$G10),1,"")</f>
        <v/>
      </c>
      <c r="BD10" s="34">
        <f>IF(AND(BD$5&gt;=$F10,BD$5&lt;=$G10),1,"")</f>
        <v/>
      </c>
      <c r="BE10" s="34">
        <f>IF(AND(BE$5&gt;=$F10,BE$5&lt;=$G10),1,"")</f>
        <v/>
      </c>
      <c r="BF10" s="34">
        <f>IF(AND(BF$5&gt;=$F10,BF$5&lt;=$G10),1,"")</f>
        <v/>
      </c>
      <c r="BG10" s="34">
        <f>IF(AND(BG$5&gt;=$F10,BG$5&lt;=$G10),1,"")</f>
        <v/>
      </c>
      <c r="BH10" s="34">
        <f>IF(AND(BH$5&gt;=$F10,BH$5&lt;=$G10),1,"")</f>
        <v/>
      </c>
      <c r="BI10" s="34">
        <f>IF(AND(BI$5&gt;=$F10,BI$5&lt;=$G10),1,"")</f>
        <v/>
      </c>
      <c r="BJ10" s="34">
        <f>IF(AND(BJ$5&gt;=$F10,BJ$5&lt;=$G10),1,"")</f>
        <v/>
      </c>
      <c r="BK10" s="34">
        <f>IF(AND(BK$5&gt;=$F10,BK$5&lt;=$G10),1,"")</f>
        <v/>
      </c>
      <c r="BL10" s="34">
        <f>IF(AND(BL$5&gt;=$F10,BL$5&lt;=$G10),1,"")</f>
        <v/>
      </c>
      <c r="BM10" s="34">
        <f>IF(AND(BM$5&gt;=$F10,BM$5&lt;=$G10),1,"")</f>
        <v/>
      </c>
      <c r="BN10" s="34">
        <f>IF(AND(BN$5&gt;=$F10,BN$5&lt;=$G10),1,"")</f>
        <v/>
      </c>
    </row>
    <row r="11" ht="14.25" customHeight="1" s="36">
      <c r="A11" s="13" t="inlineStr">
        <is>
          <t>1 Inicio</t>
        </is>
      </c>
      <c r="B11" s="13" t="inlineStr">
        <is>
          <t>1.1.3</t>
        </is>
      </c>
      <c r="C11" s="13" t="inlineStr">
        <is>
          <t>Acta de confirmación con el CLIENTE de la fecha de inicio, la evidencia para el proveedor de lácteos, las ventanas de paso a producción y el acuse tributario</t>
        </is>
      </c>
      <c r="D11" s="13" t="inlineStr">
        <is>
          <t>G</t>
        </is>
      </c>
      <c r="E11" s="13" t="inlineStr">
        <is>
          <t>Jefe de Proyecto</t>
        </is>
      </c>
      <c r="F11" s="13" t="n">
        <v>1</v>
      </c>
      <c r="G11" s="13" t="n">
        <v>1</v>
      </c>
      <c r="H11" s="13">
        <f>G11-F11+1</f>
        <v/>
      </c>
      <c r="I11" s="31" t="n">
        <v>80</v>
      </c>
      <c r="J11" s="13" t="inlineStr">
        <is>
          <t>Con entregable (actividades en hoja «Actividades hasta H2»)</t>
        </is>
      </c>
      <c r="K11" s="34">
        <f>IF(AND(K$5&gt;=$F11,K$5&lt;=$G11),1,"")</f>
        <v/>
      </c>
      <c r="L11" s="34">
        <f>IF(AND(L$5&gt;=$F11,L$5&lt;=$G11),1,"")</f>
        <v/>
      </c>
      <c r="M11" s="34">
        <f>IF(AND(M$5&gt;=$F11,M$5&lt;=$G11),1,"")</f>
        <v/>
      </c>
      <c r="N11" s="34">
        <f>IF(AND(N$5&gt;=$F11,N$5&lt;=$G11),1,"")</f>
        <v/>
      </c>
      <c r="O11" s="34">
        <f>IF(AND(O$5&gt;=$F11,O$5&lt;=$G11),1,"")</f>
        <v/>
      </c>
      <c r="P11" s="34">
        <f>IF(AND(P$5&gt;=$F11,P$5&lt;=$G11),1,"")</f>
        <v/>
      </c>
      <c r="Q11" s="34">
        <f>IF(AND(Q$5&gt;=$F11,Q$5&lt;=$G11),1,"")</f>
        <v/>
      </c>
      <c r="R11" s="34">
        <f>IF(AND(R$5&gt;=$F11,R$5&lt;=$G11),1,"")</f>
        <v/>
      </c>
      <c r="S11" s="34">
        <f>IF(AND(S$5&gt;=$F11,S$5&lt;=$G11),1,"")</f>
        <v/>
      </c>
      <c r="T11" s="34">
        <f>IF(AND(T$5&gt;=$F11,T$5&lt;=$G11),1,"")</f>
        <v/>
      </c>
      <c r="U11" s="34">
        <f>IF(AND(U$5&gt;=$F11,U$5&lt;=$G11),1,"")</f>
        <v/>
      </c>
      <c r="V11" s="34">
        <f>IF(AND(V$5&gt;=$F11,V$5&lt;=$G11),1,"")</f>
        <v/>
      </c>
      <c r="W11" s="34">
        <f>IF(AND(W$5&gt;=$F11,W$5&lt;=$G11),1,"")</f>
        <v/>
      </c>
      <c r="X11" s="34">
        <f>IF(AND(X$5&gt;=$F11,X$5&lt;=$G11),1,"")</f>
        <v/>
      </c>
      <c r="Y11" s="34">
        <f>IF(AND(Y$5&gt;=$F11,Y$5&lt;=$G11),1,"")</f>
        <v/>
      </c>
      <c r="Z11" s="34">
        <f>IF(AND(Z$5&gt;=$F11,Z$5&lt;=$G11),1,"")</f>
        <v/>
      </c>
      <c r="AA11" s="34">
        <f>IF(AND(AA$5&gt;=$F11,AA$5&lt;=$G11),1,"")</f>
        <v/>
      </c>
      <c r="AB11" s="34">
        <f>IF(AND(AB$5&gt;=$F11,AB$5&lt;=$G11),1,"")</f>
        <v/>
      </c>
      <c r="AC11" s="34">
        <f>IF(AND(AC$5&gt;=$F11,AC$5&lt;=$G11),1,"")</f>
        <v/>
      </c>
      <c r="AD11" s="34">
        <f>IF(AND(AD$5&gt;=$F11,AD$5&lt;=$G11),1,"")</f>
        <v/>
      </c>
      <c r="AE11" s="34">
        <f>IF(AND(AE$5&gt;=$F11,AE$5&lt;=$G11),1,"")</f>
        <v/>
      </c>
      <c r="AF11" s="34">
        <f>IF(AND(AF$5&gt;=$F11,AF$5&lt;=$G11),1,"")</f>
        <v/>
      </c>
      <c r="AG11" s="34">
        <f>IF(AND(AG$5&gt;=$F11,AG$5&lt;=$G11),1,"")</f>
        <v/>
      </c>
      <c r="AH11" s="34">
        <f>IF(AND(AH$5&gt;=$F11,AH$5&lt;=$G11),1,"")</f>
        <v/>
      </c>
      <c r="AI11" s="34">
        <f>IF(AND(AI$5&gt;=$F11,AI$5&lt;=$G11),1,"")</f>
        <v/>
      </c>
      <c r="AJ11" s="34">
        <f>IF(AND(AJ$5&gt;=$F11,AJ$5&lt;=$G11),1,"")</f>
        <v/>
      </c>
      <c r="AK11" s="34">
        <f>IF(AND(AK$5&gt;=$F11,AK$5&lt;=$G11),1,"")</f>
        <v/>
      </c>
      <c r="AL11" s="34">
        <f>IF(AND(AL$5&gt;=$F11,AL$5&lt;=$G11),1,"")</f>
        <v/>
      </c>
      <c r="AM11" s="34">
        <f>IF(AND(AM$5&gt;=$F11,AM$5&lt;=$G11),1,"")</f>
        <v/>
      </c>
      <c r="AN11" s="34">
        <f>IF(AND(AN$5&gt;=$F11,AN$5&lt;=$G11),1,"")</f>
        <v/>
      </c>
      <c r="AO11" s="34">
        <f>IF(AND(AO$5&gt;=$F11,AO$5&lt;=$G11),1,"")</f>
        <v/>
      </c>
      <c r="AP11" s="34">
        <f>IF(AND(AP$5&gt;=$F11,AP$5&lt;=$G11),1,"")</f>
        <v/>
      </c>
      <c r="AQ11" s="34">
        <f>IF(AND(AQ$5&gt;=$F11,AQ$5&lt;=$G11),1,"")</f>
        <v/>
      </c>
      <c r="AR11" s="34">
        <f>IF(AND(AR$5&gt;=$F11,AR$5&lt;=$G11),1,"")</f>
        <v/>
      </c>
      <c r="AS11" s="34">
        <f>IF(AND(AS$5&gt;=$F11,AS$5&lt;=$G11),1,"")</f>
        <v/>
      </c>
      <c r="AT11" s="34">
        <f>IF(AND(AT$5&gt;=$F11,AT$5&lt;=$G11),1,"")</f>
        <v/>
      </c>
      <c r="AU11" s="34">
        <f>IF(AND(AU$5&gt;=$F11,AU$5&lt;=$G11),1,"")</f>
        <v/>
      </c>
      <c r="AV11" s="34">
        <f>IF(AND(AV$5&gt;=$F11,AV$5&lt;=$G11),1,"")</f>
        <v/>
      </c>
      <c r="AW11" s="34">
        <f>IF(AND(AW$5&gt;=$F11,AW$5&lt;=$G11),1,"")</f>
        <v/>
      </c>
      <c r="AX11" s="34">
        <f>IF(AND(AX$5&gt;=$F11,AX$5&lt;=$G11),1,"")</f>
        <v/>
      </c>
      <c r="AY11" s="34">
        <f>IF(AND(AY$5&gt;=$F11,AY$5&lt;=$G11),1,"")</f>
        <v/>
      </c>
      <c r="AZ11" s="34">
        <f>IF(AND(AZ$5&gt;=$F11,AZ$5&lt;=$G11),1,"")</f>
        <v/>
      </c>
      <c r="BA11" s="34">
        <f>IF(AND(BA$5&gt;=$F11,BA$5&lt;=$G11),1,"")</f>
        <v/>
      </c>
      <c r="BB11" s="34">
        <f>IF(AND(BB$5&gt;=$F11,BB$5&lt;=$G11),1,"")</f>
        <v/>
      </c>
      <c r="BC11" s="34">
        <f>IF(AND(BC$5&gt;=$F11,BC$5&lt;=$G11),1,"")</f>
        <v/>
      </c>
      <c r="BD11" s="34">
        <f>IF(AND(BD$5&gt;=$F11,BD$5&lt;=$G11),1,"")</f>
        <v/>
      </c>
      <c r="BE11" s="34">
        <f>IF(AND(BE$5&gt;=$F11,BE$5&lt;=$G11),1,"")</f>
        <v/>
      </c>
      <c r="BF11" s="34">
        <f>IF(AND(BF$5&gt;=$F11,BF$5&lt;=$G11),1,"")</f>
        <v/>
      </c>
      <c r="BG11" s="34">
        <f>IF(AND(BG$5&gt;=$F11,BG$5&lt;=$G11),1,"")</f>
        <v/>
      </c>
      <c r="BH11" s="34">
        <f>IF(AND(BH$5&gt;=$F11,BH$5&lt;=$G11),1,"")</f>
        <v/>
      </c>
      <c r="BI11" s="34">
        <f>IF(AND(BI$5&gt;=$F11,BI$5&lt;=$G11),1,"")</f>
        <v/>
      </c>
      <c r="BJ11" s="34">
        <f>IF(AND(BJ$5&gt;=$F11,BJ$5&lt;=$G11),1,"")</f>
        <v/>
      </c>
      <c r="BK11" s="34">
        <f>IF(AND(BK$5&gt;=$F11,BK$5&lt;=$G11),1,"")</f>
        <v/>
      </c>
      <c r="BL11" s="34">
        <f>IF(AND(BL$5&gt;=$F11,BL$5&lt;=$G11),1,"")</f>
        <v/>
      </c>
      <c r="BM11" s="34">
        <f>IF(AND(BM$5&gt;=$F11,BM$5&lt;=$G11),1,"")</f>
        <v/>
      </c>
      <c r="BN11" s="34">
        <f>IF(AND(BN$5&gt;=$F11,BN$5&lt;=$G11),1,"")</f>
        <v/>
      </c>
    </row>
    <row r="12" ht="14.25" customHeight="1" s="36">
      <c r="A12" s="13" t="inlineStr">
        <is>
          <t>1 Inicio</t>
        </is>
      </c>
      <c r="B12" s="13" t="inlineStr">
        <is>
          <t>1.2.1</t>
        </is>
      </c>
      <c r="C12" s="13" t="inlineStr">
        <is>
          <t>Documento de especificación de requerimientos y línea base de alcance de la Etapa 1 (H1)</t>
        </is>
      </c>
      <c r="D12" s="13" t="inlineStr">
        <is>
          <t>G</t>
        </is>
      </c>
      <c r="E12" s="13" t="inlineStr">
        <is>
          <t>Arquitectura</t>
        </is>
      </c>
      <c r="F12" s="13" t="n">
        <v>1</v>
      </c>
      <c r="G12" s="13" t="n">
        <v>1</v>
      </c>
      <c r="H12" s="13">
        <f>G12-F12+1</f>
        <v/>
      </c>
      <c r="I12" s="31" t="n">
        <v>80</v>
      </c>
      <c r="J12" s="13" t="inlineStr">
        <is>
          <t>Con entregable (actividades en hoja «Actividades hasta H2»)</t>
        </is>
      </c>
      <c r="K12" s="34">
        <f>IF(AND(K$5&gt;=$F12,K$5&lt;=$G12),1,"")</f>
        <v/>
      </c>
      <c r="L12" s="34">
        <f>IF(AND(L$5&gt;=$F12,L$5&lt;=$G12),1,"")</f>
        <v/>
      </c>
      <c r="M12" s="34">
        <f>IF(AND(M$5&gt;=$F12,M$5&lt;=$G12),1,"")</f>
        <v/>
      </c>
      <c r="N12" s="34">
        <f>IF(AND(N$5&gt;=$F12,N$5&lt;=$G12),1,"")</f>
        <v/>
      </c>
      <c r="O12" s="34">
        <f>IF(AND(O$5&gt;=$F12,O$5&lt;=$G12),1,"")</f>
        <v/>
      </c>
      <c r="P12" s="34">
        <f>IF(AND(P$5&gt;=$F12,P$5&lt;=$G12),1,"")</f>
        <v/>
      </c>
      <c r="Q12" s="34">
        <f>IF(AND(Q$5&gt;=$F12,Q$5&lt;=$G12),1,"")</f>
        <v/>
      </c>
      <c r="R12" s="34">
        <f>IF(AND(R$5&gt;=$F12,R$5&lt;=$G12),1,"")</f>
        <v/>
      </c>
      <c r="S12" s="34">
        <f>IF(AND(S$5&gt;=$F12,S$5&lt;=$G12),1,"")</f>
        <v/>
      </c>
      <c r="T12" s="34">
        <f>IF(AND(T$5&gt;=$F12,T$5&lt;=$G12),1,"")</f>
        <v/>
      </c>
      <c r="U12" s="34">
        <f>IF(AND(U$5&gt;=$F12,U$5&lt;=$G12),1,"")</f>
        <v/>
      </c>
      <c r="V12" s="34">
        <f>IF(AND(V$5&gt;=$F12,V$5&lt;=$G12),1,"")</f>
        <v/>
      </c>
      <c r="W12" s="34">
        <f>IF(AND(W$5&gt;=$F12,W$5&lt;=$G12),1,"")</f>
        <v/>
      </c>
      <c r="X12" s="34">
        <f>IF(AND(X$5&gt;=$F12,X$5&lt;=$G12),1,"")</f>
        <v/>
      </c>
      <c r="Y12" s="34">
        <f>IF(AND(Y$5&gt;=$F12,Y$5&lt;=$G12),1,"")</f>
        <v/>
      </c>
      <c r="Z12" s="34">
        <f>IF(AND(Z$5&gt;=$F12,Z$5&lt;=$G12),1,"")</f>
        <v/>
      </c>
      <c r="AA12" s="34">
        <f>IF(AND(AA$5&gt;=$F12,AA$5&lt;=$G12),1,"")</f>
        <v/>
      </c>
      <c r="AB12" s="34">
        <f>IF(AND(AB$5&gt;=$F12,AB$5&lt;=$G12),1,"")</f>
        <v/>
      </c>
      <c r="AC12" s="34">
        <f>IF(AND(AC$5&gt;=$F12,AC$5&lt;=$G12),1,"")</f>
        <v/>
      </c>
      <c r="AD12" s="34">
        <f>IF(AND(AD$5&gt;=$F12,AD$5&lt;=$G12),1,"")</f>
        <v/>
      </c>
      <c r="AE12" s="34">
        <f>IF(AND(AE$5&gt;=$F12,AE$5&lt;=$G12),1,"")</f>
        <v/>
      </c>
      <c r="AF12" s="34">
        <f>IF(AND(AF$5&gt;=$F12,AF$5&lt;=$G12),1,"")</f>
        <v/>
      </c>
      <c r="AG12" s="34">
        <f>IF(AND(AG$5&gt;=$F12,AG$5&lt;=$G12),1,"")</f>
        <v/>
      </c>
      <c r="AH12" s="34">
        <f>IF(AND(AH$5&gt;=$F12,AH$5&lt;=$G12),1,"")</f>
        <v/>
      </c>
      <c r="AI12" s="34">
        <f>IF(AND(AI$5&gt;=$F12,AI$5&lt;=$G12),1,"")</f>
        <v/>
      </c>
      <c r="AJ12" s="34">
        <f>IF(AND(AJ$5&gt;=$F12,AJ$5&lt;=$G12),1,"")</f>
        <v/>
      </c>
      <c r="AK12" s="34">
        <f>IF(AND(AK$5&gt;=$F12,AK$5&lt;=$G12),1,"")</f>
        <v/>
      </c>
      <c r="AL12" s="34">
        <f>IF(AND(AL$5&gt;=$F12,AL$5&lt;=$G12),1,"")</f>
        <v/>
      </c>
      <c r="AM12" s="34">
        <f>IF(AND(AM$5&gt;=$F12,AM$5&lt;=$G12),1,"")</f>
        <v/>
      </c>
      <c r="AN12" s="34">
        <f>IF(AND(AN$5&gt;=$F12,AN$5&lt;=$G12),1,"")</f>
        <v/>
      </c>
      <c r="AO12" s="34">
        <f>IF(AND(AO$5&gt;=$F12,AO$5&lt;=$G12),1,"")</f>
        <v/>
      </c>
      <c r="AP12" s="34">
        <f>IF(AND(AP$5&gt;=$F12,AP$5&lt;=$G12),1,"")</f>
        <v/>
      </c>
      <c r="AQ12" s="34">
        <f>IF(AND(AQ$5&gt;=$F12,AQ$5&lt;=$G12),1,"")</f>
        <v/>
      </c>
      <c r="AR12" s="34">
        <f>IF(AND(AR$5&gt;=$F12,AR$5&lt;=$G12),1,"")</f>
        <v/>
      </c>
      <c r="AS12" s="34">
        <f>IF(AND(AS$5&gt;=$F12,AS$5&lt;=$G12),1,"")</f>
        <v/>
      </c>
      <c r="AT12" s="34">
        <f>IF(AND(AT$5&gt;=$F12,AT$5&lt;=$G12),1,"")</f>
        <v/>
      </c>
      <c r="AU12" s="34">
        <f>IF(AND(AU$5&gt;=$F12,AU$5&lt;=$G12),1,"")</f>
        <v/>
      </c>
      <c r="AV12" s="34">
        <f>IF(AND(AV$5&gt;=$F12,AV$5&lt;=$G12),1,"")</f>
        <v/>
      </c>
      <c r="AW12" s="34">
        <f>IF(AND(AW$5&gt;=$F12,AW$5&lt;=$G12),1,"")</f>
        <v/>
      </c>
      <c r="AX12" s="34">
        <f>IF(AND(AX$5&gt;=$F12,AX$5&lt;=$G12),1,"")</f>
        <v/>
      </c>
      <c r="AY12" s="34">
        <f>IF(AND(AY$5&gt;=$F12,AY$5&lt;=$G12),1,"")</f>
        <v/>
      </c>
      <c r="AZ12" s="34">
        <f>IF(AND(AZ$5&gt;=$F12,AZ$5&lt;=$G12),1,"")</f>
        <v/>
      </c>
      <c r="BA12" s="34">
        <f>IF(AND(BA$5&gt;=$F12,BA$5&lt;=$G12),1,"")</f>
        <v/>
      </c>
      <c r="BB12" s="34">
        <f>IF(AND(BB$5&gt;=$F12,BB$5&lt;=$G12),1,"")</f>
        <v/>
      </c>
      <c r="BC12" s="34">
        <f>IF(AND(BC$5&gt;=$F12,BC$5&lt;=$G12),1,"")</f>
        <v/>
      </c>
      <c r="BD12" s="34">
        <f>IF(AND(BD$5&gt;=$F12,BD$5&lt;=$G12),1,"")</f>
        <v/>
      </c>
      <c r="BE12" s="34">
        <f>IF(AND(BE$5&gt;=$F12,BE$5&lt;=$G12),1,"")</f>
        <v/>
      </c>
      <c r="BF12" s="34">
        <f>IF(AND(BF$5&gt;=$F12,BF$5&lt;=$G12),1,"")</f>
        <v/>
      </c>
      <c r="BG12" s="34">
        <f>IF(AND(BG$5&gt;=$F12,BG$5&lt;=$G12),1,"")</f>
        <v/>
      </c>
      <c r="BH12" s="34">
        <f>IF(AND(BH$5&gt;=$F12,BH$5&lt;=$G12),1,"")</f>
        <v/>
      </c>
      <c r="BI12" s="34">
        <f>IF(AND(BI$5&gt;=$F12,BI$5&lt;=$G12),1,"")</f>
        <v/>
      </c>
      <c r="BJ12" s="34">
        <f>IF(AND(BJ$5&gt;=$F12,BJ$5&lt;=$G12),1,"")</f>
        <v/>
      </c>
      <c r="BK12" s="34">
        <f>IF(AND(BK$5&gt;=$F12,BK$5&lt;=$G12),1,"")</f>
        <v/>
      </c>
      <c r="BL12" s="34">
        <f>IF(AND(BL$5&gt;=$F12,BL$5&lt;=$G12),1,"")</f>
        <v/>
      </c>
      <c r="BM12" s="34">
        <f>IF(AND(BM$5&gt;=$F12,BM$5&lt;=$G12),1,"")</f>
        <v/>
      </c>
      <c r="BN12" s="34">
        <f>IF(AND(BN$5&gt;=$F12,BN$5&lt;=$G12),1,"")</f>
        <v/>
      </c>
    </row>
    <row r="13" ht="14.25" customHeight="1" s="36">
      <c r="A13" s="13" t="inlineStr">
        <is>
          <t>1 Inicio</t>
        </is>
      </c>
      <c r="B13" s="13" t="inlineStr">
        <is>
          <t>1.2.2</t>
        </is>
      </c>
      <c r="C13" s="13" t="inlineStr">
        <is>
          <t>Documento de reglas de ruteo capturadas al planificador de rutas</t>
        </is>
      </c>
      <c r="D13" s="13" t="inlineStr">
        <is>
          <t>G</t>
        </is>
      </c>
      <c r="E13" s="13" t="inlineStr">
        <is>
          <t>Implantación y gestión del cambio</t>
        </is>
      </c>
      <c r="F13" s="13" t="n">
        <v>1</v>
      </c>
      <c r="G13" s="13" t="n">
        <v>3</v>
      </c>
      <c r="H13" s="13">
        <f>G13-F13+1</f>
        <v/>
      </c>
      <c r="I13" s="31" t="n">
        <v>80</v>
      </c>
      <c r="J13" s="13" t="inlineStr">
        <is>
          <t>Esfuerzo continuo (por quincena u ocurrencia)</t>
        </is>
      </c>
      <c r="K13" s="34">
        <f>IF(AND(K$5&gt;=$F13,K$5&lt;=$G13),1,"")</f>
        <v/>
      </c>
      <c r="L13" s="34">
        <f>IF(AND(L$5&gt;=$F13,L$5&lt;=$G13),1,"")</f>
        <v/>
      </c>
      <c r="M13" s="34">
        <f>IF(AND(M$5&gt;=$F13,M$5&lt;=$G13),1,"")</f>
        <v/>
      </c>
      <c r="N13" s="34">
        <f>IF(AND(N$5&gt;=$F13,N$5&lt;=$G13),1,"")</f>
        <v/>
      </c>
      <c r="O13" s="34">
        <f>IF(AND(O$5&gt;=$F13,O$5&lt;=$G13),1,"")</f>
        <v/>
      </c>
      <c r="P13" s="34">
        <f>IF(AND(P$5&gt;=$F13,P$5&lt;=$G13),1,"")</f>
        <v/>
      </c>
      <c r="Q13" s="34">
        <f>IF(AND(Q$5&gt;=$F13,Q$5&lt;=$G13),1,"")</f>
        <v/>
      </c>
      <c r="R13" s="34">
        <f>IF(AND(R$5&gt;=$F13,R$5&lt;=$G13),1,"")</f>
        <v/>
      </c>
      <c r="S13" s="34">
        <f>IF(AND(S$5&gt;=$F13,S$5&lt;=$G13),1,"")</f>
        <v/>
      </c>
      <c r="T13" s="34">
        <f>IF(AND(T$5&gt;=$F13,T$5&lt;=$G13),1,"")</f>
        <v/>
      </c>
      <c r="U13" s="34">
        <f>IF(AND(U$5&gt;=$F13,U$5&lt;=$G13),1,"")</f>
        <v/>
      </c>
      <c r="V13" s="34">
        <f>IF(AND(V$5&gt;=$F13,V$5&lt;=$G13),1,"")</f>
        <v/>
      </c>
      <c r="W13" s="34">
        <f>IF(AND(W$5&gt;=$F13,W$5&lt;=$G13),1,"")</f>
        <v/>
      </c>
      <c r="X13" s="34">
        <f>IF(AND(X$5&gt;=$F13,X$5&lt;=$G13),1,"")</f>
        <v/>
      </c>
      <c r="Y13" s="34">
        <f>IF(AND(Y$5&gt;=$F13,Y$5&lt;=$G13),1,"")</f>
        <v/>
      </c>
      <c r="Z13" s="34">
        <f>IF(AND(Z$5&gt;=$F13,Z$5&lt;=$G13),1,"")</f>
        <v/>
      </c>
      <c r="AA13" s="34">
        <f>IF(AND(AA$5&gt;=$F13,AA$5&lt;=$G13),1,"")</f>
        <v/>
      </c>
      <c r="AB13" s="34">
        <f>IF(AND(AB$5&gt;=$F13,AB$5&lt;=$G13),1,"")</f>
        <v/>
      </c>
      <c r="AC13" s="34">
        <f>IF(AND(AC$5&gt;=$F13,AC$5&lt;=$G13),1,"")</f>
        <v/>
      </c>
      <c r="AD13" s="34">
        <f>IF(AND(AD$5&gt;=$F13,AD$5&lt;=$G13),1,"")</f>
        <v/>
      </c>
      <c r="AE13" s="34">
        <f>IF(AND(AE$5&gt;=$F13,AE$5&lt;=$G13),1,"")</f>
        <v/>
      </c>
      <c r="AF13" s="34">
        <f>IF(AND(AF$5&gt;=$F13,AF$5&lt;=$G13),1,"")</f>
        <v/>
      </c>
      <c r="AG13" s="34">
        <f>IF(AND(AG$5&gt;=$F13,AG$5&lt;=$G13),1,"")</f>
        <v/>
      </c>
      <c r="AH13" s="34">
        <f>IF(AND(AH$5&gt;=$F13,AH$5&lt;=$G13),1,"")</f>
        <v/>
      </c>
      <c r="AI13" s="34">
        <f>IF(AND(AI$5&gt;=$F13,AI$5&lt;=$G13),1,"")</f>
        <v/>
      </c>
      <c r="AJ13" s="34">
        <f>IF(AND(AJ$5&gt;=$F13,AJ$5&lt;=$G13),1,"")</f>
        <v/>
      </c>
      <c r="AK13" s="34">
        <f>IF(AND(AK$5&gt;=$F13,AK$5&lt;=$G13),1,"")</f>
        <v/>
      </c>
      <c r="AL13" s="34">
        <f>IF(AND(AL$5&gt;=$F13,AL$5&lt;=$G13),1,"")</f>
        <v/>
      </c>
      <c r="AM13" s="34">
        <f>IF(AND(AM$5&gt;=$F13,AM$5&lt;=$G13),1,"")</f>
        <v/>
      </c>
      <c r="AN13" s="34">
        <f>IF(AND(AN$5&gt;=$F13,AN$5&lt;=$G13),1,"")</f>
        <v/>
      </c>
      <c r="AO13" s="34">
        <f>IF(AND(AO$5&gt;=$F13,AO$5&lt;=$G13),1,"")</f>
        <v/>
      </c>
      <c r="AP13" s="34">
        <f>IF(AND(AP$5&gt;=$F13,AP$5&lt;=$G13),1,"")</f>
        <v/>
      </c>
      <c r="AQ13" s="34">
        <f>IF(AND(AQ$5&gt;=$F13,AQ$5&lt;=$G13),1,"")</f>
        <v/>
      </c>
      <c r="AR13" s="34">
        <f>IF(AND(AR$5&gt;=$F13,AR$5&lt;=$G13),1,"")</f>
        <v/>
      </c>
      <c r="AS13" s="34">
        <f>IF(AND(AS$5&gt;=$F13,AS$5&lt;=$G13),1,"")</f>
        <v/>
      </c>
      <c r="AT13" s="34">
        <f>IF(AND(AT$5&gt;=$F13,AT$5&lt;=$G13),1,"")</f>
        <v/>
      </c>
      <c r="AU13" s="34">
        <f>IF(AND(AU$5&gt;=$F13,AU$5&lt;=$G13),1,"")</f>
        <v/>
      </c>
      <c r="AV13" s="34">
        <f>IF(AND(AV$5&gt;=$F13,AV$5&lt;=$G13),1,"")</f>
        <v/>
      </c>
      <c r="AW13" s="34">
        <f>IF(AND(AW$5&gt;=$F13,AW$5&lt;=$G13),1,"")</f>
        <v/>
      </c>
      <c r="AX13" s="34">
        <f>IF(AND(AX$5&gt;=$F13,AX$5&lt;=$G13),1,"")</f>
        <v/>
      </c>
      <c r="AY13" s="34">
        <f>IF(AND(AY$5&gt;=$F13,AY$5&lt;=$G13),1,"")</f>
        <v/>
      </c>
      <c r="AZ13" s="34">
        <f>IF(AND(AZ$5&gt;=$F13,AZ$5&lt;=$G13),1,"")</f>
        <v/>
      </c>
      <c r="BA13" s="34">
        <f>IF(AND(BA$5&gt;=$F13,BA$5&lt;=$G13),1,"")</f>
        <v/>
      </c>
      <c r="BB13" s="34">
        <f>IF(AND(BB$5&gt;=$F13,BB$5&lt;=$G13),1,"")</f>
        <v/>
      </c>
      <c r="BC13" s="34">
        <f>IF(AND(BC$5&gt;=$F13,BC$5&lt;=$G13),1,"")</f>
        <v/>
      </c>
      <c r="BD13" s="34">
        <f>IF(AND(BD$5&gt;=$F13,BD$5&lt;=$G13),1,"")</f>
        <v/>
      </c>
      <c r="BE13" s="34">
        <f>IF(AND(BE$5&gt;=$F13,BE$5&lt;=$G13),1,"")</f>
        <v/>
      </c>
      <c r="BF13" s="34">
        <f>IF(AND(BF$5&gt;=$F13,BF$5&lt;=$G13),1,"")</f>
        <v/>
      </c>
      <c r="BG13" s="34">
        <f>IF(AND(BG$5&gt;=$F13,BG$5&lt;=$G13),1,"")</f>
        <v/>
      </c>
      <c r="BH13" s="34">
        <f>IF(AND(BH$5&gt;=$F13,BH$5&lt;=$G13),1,"")</f>
        <v/>
      </c>
      <c r="BI13" s="34">
        <f>IF(AND(BI$5&gt;=$F13,BI$5&lt;=$G13),1,"")</f>
        <v/>
      </c>
      <c r="BJ13" s="34">
        <f>IF(AND(BJ$5&gt;=$F13,BJ$5&lt;=$G13),1,"")</f>
        <v/>
      </c>
      <c r="BK13" s="34">
        <f>IF(AND(BK$5&gt;=$F13,BK$5&lt;=$G13),1,"")</f>
        <v/>
      </c>
      <c r="BL13" s="34">
        <f>IF(AND(BL$5&gt;=$F13,BL$5&lt;=$G13),1,"")</f>
        <v/>
      </c>
      <c r="BM13" s="34">
        <f>IF(AND(BM$5&gt;=$F13,BM$5&lt;=$G13),1,"")</f>
        <v/>
      </c>
      <c r="BN13" s="34">
        <f>IF(AND(BN$5&gt;=$F13,BN$5&lt;=$G13),1,"")</f>
        <v/>
      </c>
    </row>
    <row r="14" ht="14.25" customHeight="1" s="36">
      <c r="A14" s="13" t="inlineStr">
        <is>
          <t>1 Inicio</t>
        </is>
      </c>
      <c r="B14" s="13" t="inlineStr">
        <is>
          <t>1.2.3</t>
        </is>
      </c>
      <c r="C14" s="13" t="inlineStr">
        <is>
          <t>Documento de especificación de las interfaces sin documentación del ERP, del WMS de 2013 y de la telemetría del tercero</t>
        </is>
      </c>
      <c r="D14" s="13" t="inlineStr">
        <is>
          <t>G</t>
        </is>
      </c>
      <c r="E14" s="13" t="inlineStr">
        <is>
          <t>Arquitectura</t>
        </is>
      </c>
      <c r="F14" s="13" t="n">
        <v>1</v>
      </c>
      <c r="G14" s="13" t="n">
        <v>4</v>
      </c>
      <c r="H14" s="13">
        <f>G14-F14+1</f>
        <v/>
      </c>
      <c r="I14" s="31" t="n">
        <v>80</v>
      </c>
      <c r="J14" s="13" t="inlineStr">
        <is>
          <t>Con entregable (actividades en hoja «Actividades hasta H2»)</t>
        </is>
      </c>
      <c r="K14" s="34">
        <f>IF(AND(K$5&gt;=$F14,K$5&lt;=$G14),1,"")</f>
        <v/>
      </c>
      <c r="L14" s="34">
        <f>IF(AND(L$5&gt;=$F14,L$5&lt;=$G14),1,"")</f>
        <v/>
      </c>
      <c r="M14" s="34">
        <f>IF(AND(M$5&gt;=$F14,M$5&lt;=$G14),1,"")</f>
        <v/>
      </c>
      <c r="N14" s="34">
        <f>IF(AND(N$5&gt;=$F14,N$5&lt;=$G14),1,"")</f>
        <v/>
      </c>
      <c r="O14" s="34">
        <f>IF(AND(O$5&gt;=$F14,O$5&lt;=$G14),1,"")</f>
        <v/>
      </c>
      <c r="P14" s="34">
        <f>IF(AND(P$5&gt;=$F14,P$5&lt;=$G14),1,"")</f>
        <v/>
      </c>
      <c r="Q14" s="34">
        <f>IF(AND(Q$5&gt;=$F14,Q$5&lt;=$G14),1,"")</f>
        <v/>
      </c>
      <c r="R14" s="34">
        <f>IF(AND(R$5&gt;=$F14,R$5&lt;=$G14),1,"")</f>
        <v/>
      </c>
      <c r="S14" s="34">
        <f>IF(AND(S$5&gt;=$F14,S$5&lt;=$G14),1,"")</f>
        <v/>
      </c>
      <c r="T14" s="34">
        <f>IF(AND(T$5&gt;=$F14,T$5&lt;=$G14),1,"")</f>
        <v/>
      </c>
      <c r="U14" s="34">
        <f>IF(AND(U$5&gt;=$F14,U$5&lt;=$G14),1,"")</f>
        <v/>
      </c>
      <c r="V14" s="34">
        <f>IF(AND(V$5&gt;=$F14,V$5&lt;=$G14),1,"")</f>
        <v/>
      </c>
      <c r="W14" s="34">
        <f>IF(AND(W$5&gt;=$F14,W$5&lt;=$G14),1,"")</f>
        <v/>
      </c>
      <c r="X14" s="34">
        <f>IF(AND(X$5&gt;=$F14,X$5&lt;=$G14),1,"")</f>
        <v/>
      </c>
      <c r="Y14" s="34">
        <f>IF(AND(Y$5&gt;=$F14,Y$5&lt;=$G14),1,"")</f>
        <v/>
      </c>
      <c r="Z14" s="34">
        <f>IF(AND(Z$5&gt;=$F14,Z$5&lt;=$G14),1,"")</f>
        <v/>
      </c>
      <c r="AA14" s="34">
        <f>IF(AND(AA$5&gt;=$F14,AA$5&lt;=$G14),1,"")</f>
        <v/>
      </c>
      <c r="AB14" s="34">
        <f>IF(AND(AB$5&gt;=$F14,AB$5&lt;=$G14),1,"")</f>
        <v/>
      </c>
      <c r="AC14" s="34">
        <f>IF(AND(AC$5&gt;=$F14,AC$5&lt;=$G14),1,"")</f>
        <v/>
      </c>
      <c r="AD14" s="34">
        <f>IF(AND(AD$5&gt;=$F14,AD$5&lt;=$G14),1,"")</f>
        <v/>
      </c>
      <c r="AE14" s="34">
        <f>IF(AND(AE$5&gt;=$F14,AE$5&lt;=$G14),1,"")</f>
        <v/>
      </c>
      <c r="AF14" s="34">
        <f>IF(AND(AF$5&gt;=$F14,AF$5&lt;=$G14),1,"")</f>
        <v/>
      </c>
      <c r="AG14" s="34">
        <f>IF(AND(AG$5&gt;=$F14,AG$5&lt;=$G14),1,"")</f>
        <v/>
      </c>
      <c r="AH14" s="34">
        <f>IF(AND(AH$5&gt;=$F14,AH$5&lt;=$G14),1,"")</f>
        <v/>
      </c>
      <c r="AI14" s="34">
        <f>IF(AND(AI$5&gt;=$F14,AI$5&lt;=$G14),1,"")</f>
        <v/>
      </c>
      <c r="AJ14" s="34">
        <f>IF(AND(AJ$5&gt;=$F14,AJ$5&lt;=$G14),1,"")</f>
        <v/>
      </c>
      <c r="AK14" s="34">
        <f>IF(AND(AK$5&gt;=$F14,AK$5&lt;=$G14),1,"")</f>
        <v/>
      </c>
      <c r="AL14" s="34">
        <f>IF(AND(AL$5&gt;=$F14,AL$5&lt;=$G14),1,"")</f>
        <v/>
      </c>
      <c r="AM14" s="34">
        <f>IF(AND(AM$5&gt;=$F14,AM$5&lt;=$G14),1,"")</f>
        <v/>
      </c>
      <c r="AN14" s="34">
        <f>IF(AND(AN$5&gt;=$F14,AN$5&lt;=$G14),1,"")</f>
        <v/>
      </c>
      <c r="AO14" s="34">
        <f>IF(AND(AO$5&gt;=$F14,AO$5&lt;=$G14),1,"")</f>
        <v/>
      </c>
      <c r="AP14" s="34">
        <f>IF(AND(AP$5&gt;=$F14,AP$5&lt;=$G14),1,"")</f>
        <v/>
      </c>
      <c r="AQ14" s="34">
        <f>IF(AND(AQ$5&gt;=$F14,AQ$5&lt;=$G14),1,"")</f>
        <v/>
      </c>
      <c r="AR14" s="34">
        <f>IF(AND(AR$5&gt;=$F14,AR$5&lt;=$G14),1,"")</f>
        <v/>
      </c>
      <c r="AS14" s="34">
        <f>IF(AND(AS$5&gt;=$F14,AS$5&lt;=$G14),1,"")</f>
        <v/>
      </c>
      <c r="AT14" s="34">
        <f>IF(AND(AT$5&gt;=$F14,AT$5&lt;=$G14),1,"")</f>
        <v/>
      </c>
      <c r="AU14" s="34">
        <f>IF(AND(AU$5&gt;=$F14,AU$5&lt;=$G14),1,"")</f>
        <v/>
      </c>
      <c r="AV14" s="34">
        <f>IF(AND(AV$5&gt;=$F14,AV$5&lt;=$G14),1,"")</f>
        <v/>
      </c>
      <c r="AW14" s="34">
        <f>IF(AND(AW$5&gt;=$F14,AW$5&lt;=$G14),1,"")</f>
        <v/>
      </c>
      <c r="AX14" s="34">
        <f>IF(AND(AX$5&gt;=$F14,AX$5&lt;=$G14),1,"")</f>
        <v/>
      </c>
      <c r="AY14" s="34">
        <f>IF(AND(AY$5&gt;=$F14,AY$5&lt;=$G14),1,"")</f>
        <v/>
      </c>
      <c r="AZ14" s="34">
        <f>IF(AND(AZ$5&gt;=$F14,AZ$5&lt;=$G14),1,"")</f>
        <v/>
      </c>
      <c r="BA14" s="34">
        <f>IF(AND(BA$5&gt;=$F14,BA$5&lt;=$G14),1,"")</f>
        <v/>
      </c>
      <c r="BB14" s="34">
        <f>IF(AND(BB$5&gt;=$F14,BB$5&lt;=$G14),1,"")</f>
        <v/>
      </c>
      <c r="BC14" s="34">
        <f>IF(AND(BC$5&gt;=$F14,BC$5&lt;=$G14),1,"")</f>
        <v/>
      </c>
      <c r="BD14" s="34">
        <f>IF(AND(BD$5&gt;=$F14,BD$5&lt;=$G14),1,"")</f>
        <v/>
      </c>
      <c r="BE14" s="34">
        <f>IF(AND(BE$5&gt;=$F14,BE$5&lt;=$G14),1,"")</f>
        <v/>
      </c>
      <c r="BF14" s="34">
        <f>IF(AND(BF$5&gt;=$F14,BF$5&lt;=$G14),1,"")</f>
        <v/>
      </c>
      <c r="BG14" s="34">
        <f>IF(AND(BG$5&gt;=$F14,BG$5&lt;=$G14),1,"")</f>
        <v/>
      </c>
      <c r="BH14" s="34">
        <f>IF(AND(BH$5&gt;=$F14,BH$5&lt;=$G14),1,"")</f>
        <v/>
      </c>
      <c r="BI14" s="34">
        <f>IF(AND(BI$5&gt;=$F14,BI$5&lt;=$G14),1,"")</f>
        <v/>
      </c>
      <c r="BJ14" s="34">
        <f>IF(AND(BJ$5&gt;=$F14,BJ$5&lt;=$G14),1,"")</f>
        <v/>
      </c>
      <c r="BK14" s="34">
        <f>IF(AND(BK$5&gt;=$F14,BK$5&lt;=$G14),1,"")</f>
        <v/>
      </c>
      <c r="BL14" s="34">
        <f>IF(AND(BL$5&gt;=$F14,BL$5&lt;=$G14),1,"")</f>
        <v/>
      </c>
      <c r="BM14" s="34">
        <f>IF(AND(BM$5&gt;=$F14,BM$5&lt;=$G14),1,"")</f>
        <v/>
      </c>
      <c r="BN14" s="34">
        <f>IF(AND(BN$5&gt;=$F14,BN$5&lt;=$G14),1,"")</f>
        <v/>
      </c>
    </row>
    <row r="15" ht="14.25" customHeight="1" s="36">
      <c r="A15" s="13" t="inlineStr">
        <is>
          <t>1 Inicio</t>
        </is>
      </c>
      <c r="B15" s="13" t="inlineStr">
        <is>
          <t>1.2.4</t>
        </is>
      </c>
      <c r="C15" s="13" t="inlineStr">
        <is>
          <t>Matriz de trazabilidad: requerimiento, módulo, paquete y prueba (H1)</t>
        </is>
      </c>
      <c r="D15" s="13" t="inlineStr">
        <is>
          <t>G</t>
        </is>
      </c>
      <c r="E15" s="13" t="inlineStr">
        <is>
          <t>Calidad y pruebas</t>
        </is>
      </c>
      <c r="F15" s="13" t="n">
        <v>2</v>
      </c>
      <c r="G15" s="13" t="n">
        <v>2</v>
      </c>
      <c r="H15" s="13">
        <f>G15-F15+1</f>
        <v/>
      </c>
      <c r="I15" s="31" t="n">
        <v>80</v>
      </c>
      <c r="J15" s="13" t="inlineStr">
        <is>
          <t>Con entregable (actividades en hoja «Actividades hasta H2»)</t>
        </is>
      </c>
      <c r="K15" s="34">
        <f>IF(AND(K$5&gt;=$F15,K$5&lt;=$G15),1,"")</f>
        <v/>
      </c>
      <c r="L15" s="34">
        <f>IF(AND(L$5&gt;=$F15,L$5&lt;=$G15),1,"")</f>
        <v/>
      </c>
      <c r="M15" s="34">
        <f>IF(AND(M$5&gt;=$F15,M$5&lt;=$G15),1,"")</f>
        <v/>
      </c>
      <c r="N15" s="34">
        <f>IF(AND(N$5&gt;=$F15,N$5&lt;=$G15),1,"")</f>
        <v/>
      </c>
      <c r="O15" s="34">
        <f>IF(AND(O$5&gt;=$F15,O$5&lt;=$G15),1,"")</f>
        <v/>
      </c>
      <c r="P15" s="34">
        <f>IF(AND(P$5&gt;=$F15,P$5&lt;=$G15),1,"")</f>
        <v/>
      </c>
      <c r="Q15" s="34">
        <f>IF(AND(Q$5&gt;=$F15,Q$5&lt;=$G15),1,"")</f>
        <v/>
      </c>
      <c r="R15" s="34">
        <f>IF(AND(R$5&gt;=$F15,R$5&lt;=$G15),1,"")</f>
        <v/>
      </c>
      <c r="S15" s="34">
        <f>IF(AND(S$5&gt;=$F15,S$5&lt;=$G15),1,"")</f>
        <v/>
      </c>
      <c r="T15" s="34">
        <f>IF(AND(T$5&gt;=$F15,T$5&lt;=$G15),1,"")</f>
        <v/>
      </c>
      <c r="U15" s="34">
        <f>IF(AND(U$5&gt;=$F15,U$5&lt;=$G15),1,"")</f>
        <v/>
      </c>
      <c r="V15" s="34">
        <f>IF(AND(V$5&gt;=$F15,V$5&lt;=$G15),1,"")</f>
        <v/>
      </c>
      <c r="W15" s="34">
        <f>IF(AND(W$5&gt;=$F15,W$5&lt;=$G15),1,"")</f>
        <v/>
      </c>
      <c r="X15" s="34">
        <f>IF(AND(X$5&gt;=$F15,X$5&lt;=$G15),1,"")</f>
        <v/>
      </c>
      <c r="Y15" s="34">
        <f>IF(AND(Y$5&gt;=$F15,Y$5&lt;=$G15),1,"")</f>
        <v/>
      </c>
      <c r="Z15" s="34">
        <f>IF(AND(Z$5&gt;=$F15,Z$5&lt;=$G15),1,"")</f>
        <v/>
      </c>
      <c r="AA15" s="34">
        <f>IF(AND(AA$5&gt;=$F15,AA$5&lt;=$G15),1,"")</f>
        <v/>
      </c>
      <c r="AB15" s="34">
        <f>IF(AND(AB$5&gt;=$F15,AB$5&lt;=$G15),1,"")</f>
        <v/>
      </c>
      <c r="AC15" s="34">
        <f>IF(AND(AC$5&gt;=$F15,AC$5&lt;=$G15),1,"")</f>
        <v/>
      </c>
      <c r="AD15" s="34">
        <f>IF(AND(AD$5&gt;=$F15,AD$5&lt;=$G15),1,"")</f>
        <v/>
      </c>
      <c r="AE15" s="34">
        <f>IF(AND(AE$5&gt;=$F15,AE$5&lt;=$G15),1,"")</f>
        <v/>
      </c>
      <c r="AF15" s="34">
        <f>IF(AND(AF$5&gt;=$F15,AF$5&lt;=$G15),1,"")</f>
        <v/>
      </c>
      <c r="AG15" s="34">
        <f>IF(AND(AG$5&gt;=$F15,AG$5&lt;=$G15),1,"")</f>
        <v/>
      </c>
      <c r="AH15" s="34">
        <f>IF(AND(AH$5&gt;=$F15,AH$5&lt;=$G15),1,"")</f>
        <v/>
      </c>
      <c r="AI15" s="34">
        <f>IF(AND(AI$5&gt;=$F15,AI$5&lt;=$G15),1,"")</f>
        <v/>
      </c>
      <c r="AJ15" s="34">
        <f>IF(AND(AJ$5&gt;=$F15,AJ$5&lt;=$G15),1,"")</f>
        <v/>
      </c>
      <c r="AK15" s="34">
        <f>IF(AND(AK$5&gt;=$F15,AK$5&lt;=$G15),1,"")</f>
        <v/>
      </c>
      <c r="AL15" s="34">
        <f>IF(AND(AL$5&gt;=$F15,AL$5&lt;=$G15),1,"")</f>
        <v/>
      </c>
      <c r="AM15" s="34">
        <f>IF(AND(AM$5&gt;=$F15,AM$5&lt;=$G15),1,"")</f>
        <v/>
      </c>
      <c r="AN15" s="34">
        <f>IF(AND(AN$5&gt;=$F15,AN$5&lt;=$G15),1,"")</f>
        <v/>
      </c>
      <c r="AO15" s="34">
        <f>IF(AND(AO$5&gt;=$F15,AO$5&lt;=$G15),1,"")</f>
        <v/>
      </c>
      <c r="AP15" s="34">
        <f>IF(AND(AP$5&gt;=$F15,AP$5&lt;=$G15),1,"")</f>
        <v/>
      </c>
      <c r="AQ15" s="34">
        <f>IF(AND(AQ$5&gt;=$F15,AQ$5&lt;=$G15),1,"")</f>
        <v/>
      </c>
      <c r="AR15" s="34">
        <f>IF(AND(AR$5&gt;=$F15,AR$5&lt;=$G15),1,"")</f>
        <v/>
      </c>
      <c r="AS15" s="34">
        <f>IF(AND(AS$5&gt;=$F15,AS$5&lt;=$G15),1,"")</f>
        <v/>
      </c>
      <c r="AT15" s="34">
        <f>IF(AND(AT$5&gt;=$F15,AT$5&lt;=$G15),1,"")</f>
        <v/>
      </c>
      <c r="AU15" s="34">
        <f>IF(AND(AU$5&gt;=$F15,AU$5&lt;=$G15),1,"")</f>
        <v/>
      </c>
      <c r="AV15" s="34">
        <f>IF(AND(AV$5&gt;=$F15,AV$5&lt;=$G15),1,"")</f>
        <v/>
      </c>
      <c r="AW15" s="34">
        <f>IF(AND(AW$5&gt;=$F15,AW$5&lt;=$G15),1,"")</f>
        <v/>
      </c>
      <c r="AX15" s="34">
        <f>IF(AND(AX$5&gt;=$F15,AX$5&lt;=$G15),1,"")</f>
        <v/>
      </c>
      <c r="AY15" s="34">
        <f>IF(AND(AY$5&gt;=$F15,AY$5&lt;=$G15),1,"")</f>
        <v/>
      </c>
      <c r="AZ15" s="34">
        <f>IF(AND(AZ$5&gt;=$F15,AZ$5&lt;=$G15),1,"")</f>
        <v/>
      </c>
      <c r="BA15" s="34">
        <f>IF(AND(BA$5&gt;=$F15,BA$5&lt;=$G15),1,"")</f>
        <v/>
      </c>
      <c r="BB15" s="34">
        <f>IF(AND(BB$5&gt;=$F15,BB$5&lt;=$G15),1,"")</f>
        <v/>
      </c>
      <c r="BC15" s="34">
        <f>IF(AND(BC$5&gt;=$F15,BC$5&lt;=$G15),1,"")</f>
        <v/>
      </c>
      <c r="BD15" s="34">
        <f>IF(AND(BD$5&gt;=$F15,BD$5&lt;=$G15),1,"")</f>
        <v/>
      </c>
      <c r="BE15" s="34">
        <f>IF(AND(BE$5&gt;=$F15,BE$5&lt;=$G15),1,"")</f>
        <v/>
      </c>
      <c r="BF15" s="34">
        <f>IF(AND(BF$5&gt;=$F15,BF$5&lt;=$G15),1,"")</f>
        <v/>
      </c>
      <c r="BG15" s="34">
        <f>IF(AND(BG$5&gt;=$F15,BG$5&lt;=$G15),1,"")</f>
        <v/>
      </c>
      <c r="BH15" s="34">
        <f>IF(AND(BH$5&gt;=$F15,BH$5&lt;=$G15),1,"")</f>
        <v/>
      </c>
      <c r="BI15" s="34">
        <f>IF(AND(BI$5&gt;=$F15,BI$5&lt;=$G15),1,"")</f>
        <v/>
      </c>
      <c r="BJ15" s="34">
        <f>IF(AND(BJ$5&gt;=$F15,BJ$5&lt;=$G15),1,"")</f>
        <v/>
      </c>
      <c r="BK15" s="34">
        <f>IF(AND(BK$5&gt;=$F15,BK$5&lt;=$G15),1,"")</f>
        <v/>
      </c>
      <c r="BL15" s="34">
        <f>IF(AND(BL$5&gt;=$F15,BL$5&lt;=$G15),1,"")</f>
        <v/>
      </c>
      <c r="BM15" s="34">
        <f>IF(AND(BM$5&gt;=$F15,BM$5&lt;=$G15),1,"")</f>
        <v/>
      </c>
      <c r="BN15" s="34">
        <f>IF(AND(BN$5&gt;=$F15,BN$5&lt;=$G15),1,"")</f>
        <v/>
      </c>
    </row>
    <row r="16" ht="14.25" customHeight="1" s="36">
      <c r="A16" s="13" t="inlineStr">
        <is>
          <t>1 Inicio</t>
        </is>
      </c>
      <c r="B16" s="13" t="inlineStr">
        <is>
          <t>1.2.5</t>
        </is>
      </c>
      <c r="C16" s="13" t="inlineStr">
        <is>
          <t>Documento de línea base de alcance de la Etapa 2: canal moderno y costo de servir (H8)</t>
        </is>
      </c>
      <c r="D16" s="13" t="inlineStr">
        <is>
          <t>G</t>
        </is>
      </c>
      <c r="E16" s="13" t="inlineStr">
        <is>
          <t>Arquitectura</t>
        </is>
      </c>
      <c r="F16" s="13" t="n">
        <v>13</v>
      </c>
      <c r="G16" s="13" t="n">
        <v>13</v>
      </c>
      <c r="H16" s="13">
        <f>G16-F16+1</f>
        <v/>
      </c>
      <c r="I16" s="31" t="n">
        <v>80</v>
      </c>
      <c r="J16" s="13" t="inlineStr">
        <is>
          <t>Con entregable (detalle por planificación gradual)</t>
        </is>
      </c>
      <c r="K16" s="34">
        <f>IF(AND(K$5&gt;=$F16,K$5&lt;=$G16),1,"")</f>
        <v/>
      </c>
      <c r="L16" s="34">
        <f>IF(AND(L$5&gt;=$F16,L$5&lt;=$G16),1,"")</f>
        <v/>
      </c>
      <c r="M16" s="34">
        <f>IF(AND(M$5&gt;=$F16,M$5&lt;=$G16),1,"")</f>
        <v/>
      </c>
      <c r="N16" s="34">
        <f>IF(AND(N$5&gt;=$F16,N$5&lt;=$G16),1,"")</f>
        <v/>
      </c>
      <c r="O16" s="34">
        <f>IF(AND(O$5&gt;=$F16,O$5&lt;=$G16),1,"")</f>
        <v/>
      </c>
      <c r="P16" s="34">
        <f>IF(AND(P$5&gt;=$F16,P$5&lt;=$G16),1,"")</f>
        <v/>
      </c>
      <c r="Q16" s="34">
        <f>IF(AND(Q$5&gt;=$F16,Q$5&lt;=$G16),1,"")</f>
        <v/>
      </c>
      <c r="R16" s="34">
        <f>IF(AND(R$5&gt;=$F16,R$5&lt;=$G16),1,"")</f>
        <v/>
      </c>
      <c r="S16" s="34">
        <f>IF(AND(S$5&gt;=$F16,S$5&lt;=$G16),1,"")</f>
        <v/>
      </c>
      <c r="T16" s="34">
        <f>IF(AND(T$5&gt;=$F16,T$5&lt;=$G16),1,"")</f>
        <v/>
      </c>
      <c r="U16" s="34">
        <f>IF(AND(U$5&gt;=$F16,U$5&lt;=$G16),1,"")</f>
        <v/>
      </c>
      <c r="V16" s="34">
        <f>IF(AND(V$5&gt;=$F16,V$5&lt;=$G16),1,"")</f>
        <v/>
      </c>
      <c r="W16" s="34">
        <f>IF(AND(W$5&gt;=$F16,W$5&lt;=$G16),1,"")</f>
        <v/>
      </c>
      <c r="X16" s="34">
        <f>IF(AND(X$5&gt;=$F16,X$5&lt;=$G16),1,"")</f>
        <v/>
      </c>
      <c r="Y16" s="34">
        <f>IF(AND(Y$5&gt;=$F16,Y$5&lt;=$G16),1,"")</f>
        <v/>
      </c>
      <c r="Z16" s="34">
        <f>IF(AND(Z$5&gt;=$F16,Z$5&lt;=$G16),1,"")</f>
        <v/>
      </c>
      <c r="AA16" s="34">
        <f>IF(AND(AA$5&gt;=$F16,AA$5&lt;=$G16),1,"")</f>
        <v/>
      </c>
      <c r="AB16" s="34">
        <f>IF(AND(AB$5&gt;=$F16,AB$5&lt;=$G16),1,"")</f>
        <v/>
      </c>
      <c r="AC16" s="34">
        <f>IF(AND(AC$5&gt;=$F16,AC$5&lt;=$G16),1,"")</f>
        <v/>
      </c>
      <c r="AD16" s="34">
        <f>IF(AND(AD$5&gt;=$F16,AD$5&lt;=$G16),1,"")</f>
        <v/>
      </c>
      <c r="AE16" s="34">
        <f>IF(AND(AE$5&gt;=$F16,AE$5&lt;=$G16),1,"")</f>
        <v/>
      </c>
      <c r="AF16" s="34">
        <f>IF(AND(AF$5&gt;=$F16,AF$5&lt;=$G16),1,"")</f>
        <v/>
      </c>
      <c r="AG16" s="34">
        <f>IF(AND(AG$5&gt;=$F16,AG$5&lt;=$G16),1,"")</f>
        <v/>
      </c>
      <c r="AH16" s="34">
        <f>IF(AND(AH$5&gt;=$F16,AH$5&lt;=$G16),1,"")</f>
        <v/>
      </c>
      <c r="AI16" s="34">
        <f>IF(AND(AI$5&gt;=$F16,AI$5&lt;=$G16),1,"")</f>
        <v/>
      </c>
      <c r="AJ16" s="34">
        <f>IF(AND(AJ$5&gt;=$F16,AJ$5&lt;=$G16),1,"")</f>
        <v/>
      </c>
      <c r="AK16" s="34">
        <f>IF(AND(AK$5&gt;=$F16,AK$5&lt;=$G16),1,"")</f>
        <v/>
      </c>
      <c r="AL16" s="34">
        <f>IF(AND(AL$5&gt;=$F16,AL$5&lt;=$G16),1,"")</f>
        <v/>
      </c>
      <c r="AM16" s="34">
        <f>IF(AND(AM$5&gt;=$F16,AM$5&lt;=$G16),1,"")</f>
        <v/>
      </c>
      <c r="AN16" s="34">
        <f>IF(AND(AN$5&gt;=$F16,AN$5&lt;=$G16),1,"")</f>
        <v/>
      </c>
      <c r="AO16" s="34">
        <f>IF(AND(AO$5&gt;=$F16,AO$5&lt;=$G16),1,"")</f>
        <v/>
      </c>
      <c r="AP16" s="34">
        <f>IF(AND(AP$5&gt;=$F16,AP$5&lt;=$G16),1,"")</f>
        <v/>
      </c>
      <c r="AQ16" s="34">
        <f>IF(AND(AQ$5&gt;=$F16,AQ$5&lt;=$G16),1,"")</f>
        <v/>
      </c>
      <c r="AR16" s="34">
        <f>IF(AND(AR$5&gt;=$F16,AR$5&lt;=$G16),1,"")</f>
        <v/>
      </c>
      <c r="AS16" s="34">
        <f>IF(AND(AS$5&gt;=$F16,AS$5&lt;=$G16),1,"")</f>
        <v/>
      </c>
      <c r="AT16" s="34">
        <f>IF(AND(AT$5&gt;=$F16,AT$5&lt;=$G16),1,"")</f>
        <v/>
      </c>
      <c r="AU16" s="34">
        <f>IF(AND(AU$5&gt;=$F16,AU$5&lt;=$G16),1,"")</f>
        <v/>
      </c>
      <c r="AV16" s="34">
        <f>IF(AND(AV$5&gt;=$F16,AV$5&lt;=$G16),1,"")</f>
        <v/>
      </c>
      <c r="AW16" s="34">
        <f>IF(AND(AW$5&gt;=$F16,AW$5&lt;=$G16),1,"")</f>
        <v/>
      </c>
      <c r="AX16" s="34">
        <f>IF(AND(AX$5&gt;=$F16,AX$5&lt;=$G16),1,"")</f>
        <v/>
      </c>
      <c r="AY16" s="34">
        <f>IF(AND(AY$5&gt;=$F16,AY$5&lt;=$G16),1,"")</f>
        <v/>
      </c>
      <c r="AZ16" s="34">
        <f>IF(AND(AZ$5&gt;=$F16,AZ$5&lt;=$G16),1,"")</f>
        <v/>
      </c>
      <c r="BA16" s="34">
        <f>IF(AND(BA$5&gt;=$F16,BA$5&lt;=$G16),1,"")</f>
        <v/>
      </c>
      <c r="BB16" s="34">
        <f>IF(AND(BB$5&gt;=$F16,BB$5&lt;=$G16),1,"")</f>
        <v/>
      </c>
      <c r="BC16" s="34">
        <f>IF(AND(BC$5&gt;=$F16,BC$5&lt;=$G16),1,"")</f>
        <v/>
      </c>
      <c r="BD16" s="34">
        <f>IF(AND(BD$5&gt;=$F16,BD$5&lt;=$G16),1,"")</f>
        <v/>
      </c>
      <c r="BE16" s="34">
        <f>IF(AND(BE$5&gt;=$F16,BE$5&lt;=$G16),1,"")</f>
        <v/>
      </c>
      <c r="BF16" s="34">
        <f>IF(AND(BF$5&gt;=$F16,BF$5&lt;=$G16),1,"")</f>
        <v/>
      </c>
      <c r="BG16" s="34">
        <f>IF(AND(BG$5&gt;=$F16,BG$5&lt;=$G16),1,"")</f>
        <v/>
      </c>
      <c r="BH16" s="34">
        <f>IF(AND(BH$5&gt;=$F16,BH$5&lt;=$G16),1,"")</f>
        <v/>
      </c>
      <c r="BI16" s="34">
        <f>IF(AND(BI$5&gt;=$F16,BI$5&lt;=$G16),1,"")</f>
        <v/>
      </c>
      <c r="BJ16" s="34">
        <f>IF(AND(BJ$5&gt;=$F16,BJ$5&lt;=$G16),1,"")</f>
        <v/>
      </c>
      <c r="BK16" s="34">
        <f>IF(AND(BK$5&gt;=$F16,BK$5&lt;=$G16),1,"")</f>
        <v/>
      </c>
      <c r="BL16" s="34">
        <f>IF(AND(BL$5&gt;=$F16,BL$5&lt;=$G16),1,"")</f>
        <v/>
      </c>
      <c r="BM16" s="34">
        <f>IF(AND(BM$5&gt;=$F16,BM$5&lt;=$G16),1,"")</f>
        <v/>
      </c>
      <c r="BN16" s="34">
        <f>IF(AND(BN$5&gt;=$F16,BN$5&lt;=$G16),1,"")</f>
        <v/>
      </c>
    </row>
    <row r="17" ht="14.25" customHeight="1" s="36">
      <c r="A17" s="13" t="inlineStr">
        <is>
          <t>1 Inicio</t>
        </is>
      </c>
      <c r="B17" s="13" t="inlineStr">
        <is>
          <t>1.3.1</t>
        </is>
      </c>
      <c r="C17" s="13" t="inlineStr">
        <is>
          <t>Plan para la dirección del proyecto, con el calendario de congelamientos de septiembre, diciembre y el cierre mensual</t>
        </is>
      </c>
      <c r="D17" s="13" t="inlineStr">
        <is>
          <t>G</t>
        </is>
      </c>
      <c r="E17" s="13" t="inlineStr">
        <is>
          <t>Jefe de Proyecto</t>
        </is>
      </c>
      <c r="F17" s="13" t="n">
        <v>1</v>
      </c>
      <c r="G17" s="13" t="n">
        <v>1</v>
      </c>
      <c r="H17" s="13">
        <f>G17-F17+1</f>
        <v/>
      </c>
      <c r="I17" s="31" t="n">
        <v>80</v>
      </c>
      <c r="J17" s="13" t="inlineStr">
        <is>
          <t>Con entregable (actividades en hoja «Actividades hasta H2»)</t>
        </is>
      </c>
      <c r="K17" s="34">
        <f>IF(AND(K$5&gt;=$F17,K$5&lt;=$G17),1,"")</f>
        <v/>
      </c>
      <c r="L17" s="34">
        <f>IF(AND(L$5&gt;=$F17,L$5&lt;=$G17),1,"")</f>
        <v/>
      </c>
      <c r="M17" s="34">
        <f>IF(AND(M$5&gt;=$F17,M$5&lt;=$G17),1,"")</f>
        <v/>
      </c>
      <c r="N17" s="34">
        <f>IF(AND(N$5&gt;=$F17,N$5&lt;=$G17),1,"")</f>
        <v/>
      </c>
      <c r="O17" s="34">
        <f>IF(AND(O$5&gt;=$F17,O$5&lt;=$G17),1,"")</f>
        <v/>
      </c>
      <c r="P17" s="34">
        <f>IF(AND(P$5&gt;=$F17,P$5&lt;=$G17),1,"")</f>
        <v/>
      </c>
      <c r="Q17" s="34">
        <f>IF(AND(Q$5&gt;=$F17,Q$5&lt;=$G17),1,"")</f>
        <v/>
      </c>
      <c r="R17" s="34">
        <f>IF(AND(R$5&gt;=$F17,R$5&lt;=$G17),1,"")</f>
        <v/>
      </c>
      <c r="S17" s="34">
        <f>IF(AND(S$5&gt;=$F17,S$5&lt;=$G17),1,"")</f>
        <v/>
      </c>
      <c r="T17" s="34">
        <f>IF(AND(T$5&gt;=$F17,T$5&lt;=$G17),1,"")</f>
        <v/>
      </c>
      <c r="U17" s="34">
        <f>IF(AND(U$5&gt;=$F17,U$5&lt;=$G17),1,"")</f>
        <v/>
      </c>
      <c r="V17" s="34">
        <f>IF(AND(V$5&gt;=$F17,V$5&lt;=$G17),1,"")</f>
        <v/>
      </c>
      <c r="W17" s="34">
        <f>IF(AND(W$5&gt;=$F17,W$5&lt;=$G17),1,"")</f>
        <v/>
      </c>
      <c r="X17" s="34">
        <f>IF(AND(X$5&gt;=$F17,X$5&lt;=$G17),1,"")</f>
        <v/>
      </c>
      <c r="Y17" s="34">
        <f>IF(AND(Y$5&gt;=$F17,Y$5&lt;=$G17),1,"")</f>
        <v/>
      </c>
      <c r="Z17" s="34">
        <f>IF(AND(Z$5&gt;=$F17,Z$5&lt;=$G17),1,"")</f>
        <v/>
      </c>
      <c r="AA17" s="34">
        <f>IF(AND(AA$5&gt;=$F17,AA$5&lt;=$G17),1,"")</f>
        <v/>
      </c>
      <c r="AB17" s="34">
        <f>IF(AND(AB$5&gt;=$F17,AB$5&lt;=$G17),1,"")</f>
        <v/>
      </c>
      <c r="AC17" s="34">
        <f>IF(AND(AC$5&gt;=$F17,AC$5&lt;=$G17),1,"")</f>
        <v/>
      </c>
      <c r="AD17" s="34">
        <f>IF(AND(AD$5&gt;=$F17,AD$5&lt;=$G17),1,"")</f>
        <v/>
      </c>
      <c r="AE17" s="34">
        <f>IF(AND(AE$5&gt;=$F17,AE$5&lt;=$G17),1,"")</f>
        <v/>
      </c>
      <c r="AF17" s="34">
        <f>IF(AND(AF$5&gt;=$F17,AF$5&lt;=$G17),1,"")</f>
        <v/>
      </c>
      <c r="AG17" s="34">
        <f>IF(AND(AG$5&gt;=$F17,AG$5&lt;=$G17),1,"")</f>
        <v/>
      </c>
      <c r="AH17" s="34">
        <f>IF(AND(AH$5&gt;=$F17,AH$5&lt;=$G17),1,"")</f>
        <v/>
      </c>
      <c r="AI17" s="34">
        <f>IF(AND(AI$5&gt;=$F17,AI$5&lt;=$G17),1,"")</f>
        <v/>
      </c>
      <c r="AJ17" s="34">
        <f>IF(AND(AJ$5&gt;=$F17,AJ$5&lt;=$G17),1,"")</f>
        <v/>
      </c>
      <c r="AK17" s="34">
        <f>IF(AND(AK$5&gt;=$F17,AK$5&lt;=$G17),1,"")</f>
        <v/>
      </c>
      <c r="AL17" s="34">
        <f>IF(AND(AL$5&gt;=$F17,AL$5&lt;=$G17),1,"")</f>
        <v/>
      </c>
      <c r="AM17" s="34">
        <f>IF(AND(AM$5&gt;=$F17,AM$5&lt;=$G17),1,"")</f>
        <v/>
      </c>
      <c r="AN17" s="34">
        <f>IF(AND(AN$5&gt;=$F17,AN$5&lt;=$G17),1,"")</f>
        <v/>
      </c>
      <c r="AO17" s="34">
        <f>IF(AND(AO$5&gt;=$F17,AO$5&lt;=$G17),1,"")</f>
        <v/>
      </c>
      <c r="AP17" s="34">
        <f>IF(AND(AP$5&gt;=$F17,AP$5&lt;=$G17),1,"")</f>
        <v/>
      </c>
      <c r="AQ17" s="34">
        <f>IF(AND(AQ$5&gt;=$F17,AQ$5&lt;=$G17),1,"")</f>
        <v/>
      </c>
      <c r="AR17" s="34">
        <f>IF(AND(AR$5&gt;=$F17,AR$5&lt;=$G17),1,"")</f>
        <v/>
      </c>
      <c r="AS17" s="34">
        <f>IF(AND(AS$5&gt;=$F17,AS$5&lt;=$G17),1,"")</f>
        <v/>
      </c>
      <c r="AT17" s="34">
        <f>IF(AND(AT$5&gt;=$F17,AT$5&lt;=$G17),1,"")</f>
        <v/>
      </c>
      <c r="AU17" s="34">
        <f>IF(AND(AU$5&gt;=$F17,AU$5&lt;=$G17),1,"")</f>
        <v/>
      </c>
      <c r="AV17" s="34">
        <f>IF(AND(AV$5&gt;=$F17,AV$5&lt;=$G17),1,"")</f>
        <v/>
      </c>
      <c r="AW17" s="34">
        <f>IF(AND(AW$5&gt;=$F17,AW$5&lt;=$G17),1,"")</f>
        <v/>
      </c>
      <c r="AX17" s="34">
        <f>IF(AND(AX$5&gt;=$F17,AX$5&lt;=$G17),1,"")</f>
        <v/>
      </c>
      <c r="AY17" s="34">
        <f>IF(AND(AY$5&gt;=$F17,AY$5&lt;=$G17),1,"")</f>
        <v/>
      </c>
      <c r="AZ17" s="34">
        <f>IF(AND(AZ$5&gt;=$F17,AZ$5&lt;=$G17),1,"")</f>
        <v/>
      </c>
      <c r="BA17" s="34">
        <f>IF(AND(BA$5&gt;=$F17,BA$5&lt;=$G17),1,"")</f>
        <v/>
      </c>
      <c r="BB17" s="34">
        <f>IF(AND(BB$5&gt;=$F17,BB$5&lt;=$G17),1,"")</f>
        <v/>
      </c>
      <c r="BC17" s="34">
        <f>IF(AND(BC$5&gt;=$F17,BC$5&lt;=$G17),1,"")</f>
        <v/>
      </c>
      <c r="BD17" s="34">
        <f>IF(AND(BD$5&gt;=$F17,BD$5&lt;=$G17),1,"")</f>
        <v/>
      </c>
      <c r="BE17" s="34">
        <f>IF(AND(BE$5&gt;=$F17,BE$5&lt;=$G17),1,"")</f>
        <v/>
      </c>
      <c r="BF17" s="34">
        <f>IF(AND(BF$5&gt;=$F17,BF$5&lt;=$G17),1,"")</f>
        <v/>
      </c>
      <c r="BG17" s="34">
        <f>IF(AND(BG$5&gt;=$F17,BG$5&lt;=$G17),1,"")</f>
        <v/>
      </c>
      <c r="BH17" s="34">
        <f>IF(AND(BH$5&gt;=$F17,BH$5&lt;=$G17),1,"")</f>
        <v/>
      </c>
      <c r="BI17" s="34">
        <f>IF(AND(BI$5&gt;=$F17,BI$5&lt;=$G17),1,"")</f>
        <v/>
      </c>
      <c r="BJ17" s="34">
        <f>IF(AND(BJ$5&gt;=$F17,BJ$5&lt;=$G17),1,"")</f>
        <v/>
      </c>
      <c r="BK17" s="34">
        <f>IF(AND(BK$5&gt;=$F17,BK$5&lt;=$G17),1,"")</f>
        <v/>
      </c>
      <c r="BL17" s="34">
        <f>IF(AND(BL$5&gt;=$F17,BL$5&lt;=$G17),1,"")</f>
        <v/>
      </c>
      <c r="BM17" s="34">
        <f>IF(AND(BM$5&gt;=$F17,BM$5&lt;=$G17),1,"")</f>
        <v/>
      </c>
      <c r="BN17" s="34">
        <f>IF(AND(BN$5&gt;=$F17,BN$5&lt;=$G17),1,"")</f>
        <v/>
      </c>
    </row>
    <row r="18" ht="14.25" customHeight="1" s="36">
      <c r="A18" s="13" t="inlineStr">
        <is>
          <t>1 Inicio</t>
        </is>
      </c>
      <c r="B18" s="13" t="inlineStr">
        <is>
          <t>1.3.2</t>
        </is>
      </c>
      <c r="C18" s="13" t="inlineStr">
        <is>
          <t>EDT y diccionario de la EDT (línea base del alcance)</t>
        </is>
      </c>
      <c r="D18" s="13" t="inlineStr">
        <is>
          <t>G</t>
        </is>
      </c>
      <c r="E18" s="13" t="inlineStr">
        <is>
          <t>Jefe de Proyecto</t>
        </is>
      </c>
      <c r="F18" s="13" t="n">
        <v>2</v>
      </c>
      <c r="G18" s="13" t="n">
        <v>2</v>
      </c>
      <c r="H18" s="13">
        <f>G18-F18+1</f>
        <v/>
      </c>
      <c r="I18" s="31" t="n">
        <v>80</v>
      </c>
      <c r="J18" s="13" t="inlineStr">
        <is>
          <t>Con entregable (actividades en hoja «Actividades hasta H2»)</t>
        </is>
      </c>
      <c r="K18" s="34">
        <f>IF(AND(K$5&gt;=$F18,K$5&lt;=$G18),1,"")</f>
        <v/>
      </c>
      <c r="L18" s="34">
        <f>IF(AND(L$5&gt;=$F18,L$5&lt;=$G18),1,"")</f>
        <v/>
      </c>
      <c r="M18" s="34">
        <f>IF(AND(M$5&gt;=$F18,M$5&lt;=$G18),1,"")</f>
        <v/>
      </c>
      <c r="N18" s="34">
        <f>IF(AND(N$5&gt;=$F18,N$5&lt;=$G18),1,"")</f>
        <v/>
      </c>
      <c r="O18" s="34">
        <f>IF(AND(O$5&gt;=$F18,O$5&lt;=$G18),1,"")</f>
        <v/>
      </c>
      <c r="P18" s="34">
        <f>IF(AND(P$5&gt;=$F18,P$5&lt;=$G18),1,"")</f>
        <v/>
      </c>
      <c r="Q18" s="34">
        <f>IF(AND(Q$5&gt;=$F18,Q$5&lt;=$G18),1,"")</f>
        <v/>
      </c>
      <c r="R18" s="34">
        <f>IF(AND(R$5&gt;=$F18,R$5&lt;=$G18),1,"")</f>
        <v/>
      </c>
      <c r="S18" s="34">
        <f>IF(AND(S$5&gt;=$F18,S$5&lt;=$G18),1,"")</f>
        <v/>
      </c>
      <c r="T18" s="34">
        <f>IF(AND(T$5&gt;=$F18,T$5&lt;=$G18),1,"")</f>
        <v/>
      </c>
      <c r="U18" s="34">
        <f>IF(AND(U$5&gt;=$F18,U$5&lt;=$G18),1,"")</f>
        <v/>
      </c>
      <c r="V18" s="34">
        <f>IF(AND(V$5&gt;=$F18,V$5&lt;=$G18),1,"")</f>
        <v/>
      </c>
      <c r="W18" s="34">
        <f>IF(AND(W$5&gt;=$F18,W$5&lt;=$G18),1,"")</f>
        <v/>
      </c>
      <c r="X18" s="34">
        <f>IF(AND(X$5&gt;=$F18,X$5&lt;=$G18),1,"")</f>
        <v/>
      </c>
      <c r="Y18" s="34">
        <f>IF(AND(Y$5&gt;=$F18,Y$5&lt;=$G18),1,"")</f>
        <v/>
      </c>
      <c r="Z18" s="34">
        <f>IF(AND(Z$5&gt;=$F18,Z$5&lt;=$G18),1,"")</f>
        <v/>
      </c>
      <c r="AA18" s="34">
        <f>IF(AND(AA$5&gt;=$F18,AA$5&lt;=$G18),1,"")</f>
        <v/>
      </c>
      <c r="AB18" s="34">
        <f>IF(AND(AB$5&gt;=$F18,AB$5&lt;=$G18),1,"")</f>
        <v/>
      </c>
      <c r="AC18" s="34">
        <f>IF(AND(AC$5&gt;=$F18,AC$5&lt;=$G18),1,"")</f>
        <v/>
      </c>
      <c r="AD18" s="34">
        <f>IF(AND(AD$5&gt;=$F18,AD$5&lt;=$G18),1,"")</f>
        <v/>
      </c>
      <c r="AE18" s="34">
        <f>IF(AND(AE$5&gt;=$F18,AE$5&lt;=$G18),1,"")</f>
        <v/>
      </c>
      <c r="AF18" s="34">
        <f>IF(AND(AF$5&gt;=$F18,AF$5&lt;=$G18),1,"")</f>
        <v/>
      </c>
      <c r="AG18" s="34">
        <f>IF(AND(AG$5&gt;=$F18,AG$5&lt;=$G18),1,"")</f>
        <v/>
      </c>
      <c r="AH18" s="34">
        <f>IF(AND(AH$5&gt;=$F18,AH$5&lt;=$G18),1,"")</f>
        <v/>
      </c>
      <c r="AI18" s="34">
        <f>IF(AND(AI$5&gt;=$F18,AI$5&lt;=$G18),1,"")</f>
        <v/>
      </c>
      <c r="AJ18" s="34">
        <f>IF(AND(AJ$5&gt;=$F18,AJ$5&lt;=$G18),1,"")</f>
        <v/>
      </c>
      <c r="AK18" s="34">
        <f>IF(AND(AK$5&gt;=$F18,AK$5&lt;=$G18),1,"")</f>
        <v/>
      </c>
      <c r="AL18" s="34">
        <f>IF(AND(AL$5&gt;=$F18,AL$5&lt;=$G18),1,"")</f>
        <v/>
      </c>
      <c r="AM18" s="34">
        <f>IF(AND(AM$5&gt;=$F18,AM$5&lt;=$G18),1,"")</f>
        <v/>
      </c>
      <c r="AN18" s="34">
        <f>IF(AND(AN$5&gt;=$F18,AN$5&lt;=$G18),1,"")</f>
        <v/>
      </c>
      <c r="AO18" s="34">
        <f>IF(AND(AO$5&gt;=$F18,AO$5&lt;=$G18),1,"")</f>
        <v/>
      </c>
      <c r="AP18" s="34">
        <f>IF(AND(AP$5&gt;=$F18,AP$5&lt;=$G18),1,"")</f>
        <v/>
      </c>
      <c r="AQ18" s="34">
        <f>IF(AND(AQ$5&gt;=$F18,AQ$5&lt;=$G18),1,"")</f>
        <v/>
      </c>
      <c r="AR18" s="34">
        <f>IF(AND(AR$5&gt;=$F18,AR$5&lt;=$G18),1,"")</f>
        <v/>
      </c>
      <c r="AS18" s="34">
        <f>IF(AND(AS$5&gt;=$F18,AS$5&lt;=$G18),1,"")</f>
        <v/>
      </c>
      <c r="AT18" s="34">
        <f>IF(AND(AT$5&gt;=$F18,AT$5&lt;=$G18),1,"")</f>
        <v/>
      </c>
      <c r="AU18" s="34">
        <f>IF(AND(AU$5&gt;=$F18,AU$5&lt;=$G18),1,"")</f>
        <v/>
      </c>
      <c r="AV18" s="34">
        <f>IF(AND(AV$5&gt;=$F18,AV$5&lt;=$G18),1,"")</f>
        <v/>
      </c>
      <c r="AW18" s="34">
        <f>IF(AND(AW$5&gt;=$F18,AW$5&lt;=$G18),1,"")</f>
        <v/>
      </c>
      <c r="AX18" s="34">
        <f>IF(AND(AX$5&gt;=$F18,AX$5&lt;=$G18),1,"")</f>
        <v/>
      </c>
      <c r="AY18" s="34">
        <f>IF(AND(AY$5&gt;=$F18,AY$5&lt;=$G18),1,"")</f>
        <v/>
      </c>
      <c r="AZ18" s="34">
        <f>IF(AND(AZ$5&gt;=$F18,AZ$5&lt;=$G18),1,"")</f>
        <v/>
      </c>
      <c r="BA18" s="34">
        <f>IF(AND(BA$5&gt;=$F18,BA$5&lt;=$G18),1,"")</f>
        <v/>
      </c>
      <c r="BB18" s="34">
        <f>IF(AND(BB$5&gt;=$F18,BB$5&lt;=$G18),1,"")</f>
        <v/>
      </c>
      <c r="BC18" s="34">
        <f>IF(AND(BC$5&gt;=$F18,BC$5&lt;=$G18),1,"")</f>
        <v/>
      </c>
      <c r="BD18" s="34">
        <f>IF(AND(BD$5&gt;=$F18,BD$5&lt;=$G18),1,"")</f>
        <v/>
      </c>
      <c r="BE18" s="34">
        <f>IF(AND(BE$5&gt;=$F18,BE$5&lt;=$G18),1,"")</f>
        <v/>
      </c>
      <c r="BF18" s="34">
        <f>IF(AND(BF$5&gt;=$F18,BF$5&lt;=$G18),1,"")</f>
        <v/>
      </c>
      <c r="BG18" s="34">
        <f>IF(AND(BG$5&gt;=$F18,BG$5&lt;=$G18),1,"")</f>
        <v/>
      </c>
      <c r="BH18" s="34">
        <f>IF(AND(BH$5&gt;=$F18,BH$5&lt;=$G18),1,"")</f>
        <v/>
      </c>
      <c r="BI18" s="34">
        <f>IF(AND(BI$5&gt;=$F18,BI$5&lt;=$G18),1,"")</f>
        <v/>
      </c>
      <c r="BJ18" s="34">
        <f>IF(AND(BJ$5&gt;=$F18,BJ$5&lt;=$G18),1,"")</f>
        <v/>
      </c>
      <c r="BK18" s="34">
        <f>IF(AND(BK$5&gt;=$F18,BK$5&lt;=$G18),1,"")</f>
        <v/>
      </c>
      <c r="BL18" s="34">
        <f>IF(AND(BL$5&gt;=$F18,BL$5&lt;=$G18),1,"")</f>
        <v/>
      </c>
      <c r="BM18" s="34">
        <f>IF(AND(BM$5&gt;=$F18,BM$5&lt;=$G18),1,"")</f>
        <v/>
      </c>
      <c r="BN18" s="34">
        <f>IF(AND(BN$5&gt;=$F18,BN$5&lt;=$G18),1,"")</f>
        <v/>
      </c>
    </row>
    <row r="19" ht="14.25" customHeight="1" s="36">
      <c r="A19" s="13" t="inlineStr">
        <is>
          <t>1 Inicio</t>
        </is>
      </c>
      <c r="B19" s="13" t="inlineStr">
        <is>
          <t>1.3.3</t>
        </is>
      </c>
      <c r="C19" s="13" t="inlineStr">
        <is>
          <t>Carta Gantt de 56 meses con los hitos H1 a H12 y la ruta crítica</t>
        </is>
      </c>
      <c r="D19" s="13" t="inlineStr">
        <is>
          <t>G</t>
        </is>
      </c>
      <c r="E19" s="13" t="inlineStr">
        <is>
          <t>Jefe de Proyecto</t>
        </is>
      </c>
      <c r="F19" s="13" t="n">
        <v>2</v>
      </c>
      <c r="G19" s="13" t="n">
        <v>2</v>
      </c>
      <c r="H19" s="13">
        <f>G19-F19+1</f>
        <v/>
      </c>
      <c r="I19" s="31" t="n">
        <v>80</v>
      </c>
      <c r="J19" s="13" t="inlineStr">
        <is>
          <t>Con entregable (actividades en hoja «Actividades hasta H2»)</t>
        </is>
      </c>
      <c r="K19" s="34">
        <f>IF(AND(K$5&gt;=$F19,K$5&lt;=$G19),1,"")</f>
        <v/>
      </c>
      <c r="L19" s="34">
        <f>IF(AND(L$5&gt;=$F19,L$5&lt;=$G19),1,"")</f>
        <v/>
      </c>
      <c r="M19" s="34">
        <f>IF(AND(M$5&gt;=$F19,M$5&lt;=$G19),1,"")</f>
        <v/>
      </c>
      <c r="N19" s="34">
        <f>IF(AND(N$5&gt;=$F19,N$5&lt;=$G19),1,"")</f>
        <v/>
      </c>
      <c r="O19" s="34">
        <f>IF(AND(O$5&gt;=$F19,O$5&lt;=$G19),1,"")</f>
        <v/>
      </c>
      <c r="P19" s="34">
        <f>IF(AND(P$5&gt;=$F19,P$5&lt;=$G19),1,"")</f>
        <v/>
      </c>
      <c r="Q19" s="34">
        <f>IF(AND(Q$5&gt;=$F19,Q$5&lt;=$G19),1,"")</f>
        <v/>
      </c>
      <c r="R19" s="34">
        <f>IF(AND(R$5&gt;=$F19,R$5&lt;=$G19),1,"")</f>
        <v/>
      </c>
      <c r="S19" s="34">
        <f>IF(AND(S$5&gt;=$F19,S$5&lt;=$G19),1,"")</f>
        <v/>
      </c>
      <c r="T19" s="34">
        <f>IF(AND(T$5&gt;=$F19,T$5&lt;=$G19),1,"")</f>
        <v/>
      </c>
      <c r="U19" s="34">
        <f>IF(AND(U$5&gt;=$F19,U$5&lt;=$G19),1,"")</f>
        <v/>
      </c>
      <c r="V19" s="34">
        <f>IF(AND(V$5&gt;=$F19,V$5&lt;=$G19),1,"")</f>
        <v/>
      </c>
      <c r="W19" s="34">
        <f>IF(AND(W$5&gt;=$F19,W$5&lt;=$G19),1,"")</f>
        <v/>
      </c>
      <c r="X19" s="34">
        <f>IF(AND(X$5&gt;=$F19,X$5&lt;=$G19),1,"")</f>
        <v/>
      </c>
      <c r="Y19" s="34">
        <f>IF(AND(Y$5&gt;=$F19,Y$5&lt;=$G19),1,"")</f>
        <v/>
      </c>
      <c r="Z19" s="34">
        <f>IF(AND(Z$5&gt;=$F19,Z$5&lt;=$G19),1,"")</f>
        <v/>
      </c>
      <c r="AA19" s="34">
        <f>IF(AND(AA$5&gt;=$F19,AA$5&lt;=$G19),1,"")</f>
        <v/>
      </c>
      <c r="AB19" s="34">
        <f>IF(AND(AB$5&gt;=$F19,AB$5&lt;=$G19),1,"")</f>
        <v/>
      </c>
      <c r="AC19" s="34">
        <f>IF(AND(AC$5&gt;=$F19,AC$5&lt;=$G19),1,"")</f>
        <v/>
      </c>
      <c r="AD19" s="34">
        <f>IF(AND(AD$5&gt;=$F19,AD$5&lt;=$G19),1,"")</f>
        <v/>
      </c>
      <c r="AE19" s="34">
        <f>IF(AND(AE$5&gt;=$F19,AE$5&lt;=$G19),1,"")</f>
        <v/>
      </c>
      <c r="AF19" s="34">
        <f>IF(AND(AF$5&gt;=$F19,AF$5&lt;=$G19),1,"")</f>
        <v/>
      </c>
      <c r="AG19" s="34">
        <f>IF(AND(AG$5&gt;=$F19,AG$5&lt;=$G19),1,"")</f>
        <v/>
      </c>
      <c r="AH19" s="34">
        <f>IF(AND(AH$5&gt;=$F19,AH$5&lt;=$G19),1,"")</f>
        <v/>
      </c>
      <c r="AI19" s="34">
        <f>IF(AND(AI$5&gt;=$F19,AI$5&lt;=$G19),1,"")</f>
        <v/>
      </c>
      <c r="AJ19" s="34">
        <f>IF(AND(AJ$5&gt;=$F19,AJ$5&lt;=$G19),1,"")</f>
        <v/>
      </c>
      <c r="AK19" s="34">
        <f>IF(AND(AK$5&gt;=$F19,AK$5&lt;=$G19),1,"")</f>
        <v/>
      </c>
      <c r="AL19" s="34">
        <f>IF(AND(AL$5&gt;=$F19,AL$5&lt;=$G19),1,"")</f>
        <v/>
      </c>
      <c r="AM19" s="34">
        <f>IF(AND(AM$5&gt;=$F19,AM$5&lt;=$G19),1,"")</f>
        <v/>
      </c>
      <c r="AN19" s="34">
        <f>IF(AND(AN$5&gt;=$F19,AN$5&lt;=$G19),1,"")</f>
        <v/>
      </c>
      <c r="AO19" s="34">
        <f>IF(AND(AO$5&gt;=$F19,AO$5&lt;=$G19),1,"")</f>
        <v/>
      </c>
      <c r="AP19" s="34">
        <f>IF(AND(AP$5&gt;=$F19,AP$5&lt;=$G19),1,"")</f>
        <v/>
      </c>
      <c r="AQ19" s="34">
        <f>IF(AND(AQ$5&gt;=$F19,AQ$5&lt;=$G19),1,"")</f>
        <v/>
      </c>
      <c r="AR19" s="34">
        <f>IF(AND(AR$5&gt;=$F19,AR$5&lt;=$G19),1,"")</f>
        <v/>
      </c>
      <c r="AS19" s="34">
        <f>IF(AND(AS$5&gt;=$F19,AS$5&lt;=$G19),1,"")</f>
        <v/>
      </c>
      <c r="AT19" s="34">
        <f>IF(AND(AT$5&gt;=$F19,AT$5&lt;=$G19),1,"")</f>
        <v/>
      </c>
      <c r="AU19" s="34">
        <f>IF(AND(AU$5&gt;=$F19,AU$5&lt;=$G19),1,"")</f>
        <v/>
      </c>
      <c r="AV19" s="34">
        <f>IF(AND(AV$5&gt;=$F19,AV$5&lt;=$G19),1,"")</f>
        <v/>
      </c>
      <c r="AW19" s="34">
        <f>IF(AND(AW$5&gt;=$F19,AW$5&lt;=$G19),1,"")</f>
        <v/>
      </c>
      <c r="AX19" s="34">
        <f>IF(AND(AX$5&gt;=$F19,AX$5&lt;=$G19),1,"")</f>
        <v/>
      </c>
      <c r="AY19" s="34">
        <f>IF(AND(AY$5&gt;=$F19,AY$5&lt;=$G19),1,"")</f>
        <v/>
      </c>
      <c r="AZ19" s="34">
        <f>IF(AND(AZ$5&gt;=$F19,AZ$5&lt;=$G19),1,"")</f>
        <v/>
      </c>
      <c r="BA19" s="34">
        <f>IF(AND(BA$5&gt;=$F19,BA$5&lt;=$G19),1,"")</f>
        <v/>
      </c>
      <c r="BB19" s="34">
        <f>IF(AND(BB$5&gt;=$F19,BB$5&lt;=$G19),1,"")</f>
        <v/>
      </c>
      <c r="BC19" s="34">
        <f>IF(AND(BC$5&gt;=$F19,BC$5&lt;=$G19),1,"")</f>
        <v/>
      </c>
      <c r="BD19" s="34">
        <f>IF(AND(BD$5&gt;=$F19,BD$5&lt;=$G19),1,"")</f>
        <v/>
      </c>
      <c r="BE19" s="34">
        <f>IF(AND(BE$5&gt;=$F19,BE$5&lt;=$G19),1,"")</f>
        <v/>
      </c>
      <c r="BF19" s="34">
        <f>IF(AND(BF$5&gt;=$F19,BF$5&lt;=$G19),1,"")</f>
        <v/>
      </c>
      <c r="BG19" s="34">
        <f>IF(AND(BG$5&gt;=$F19,BG$5&lt;=$G19),1,"")</f>
        <v/>
      </c>
      <c r="BH19" s="34">
        <f>IF(AND(BH$5&gt;=$F19,BH$5&lt;=$G19),1,"")</f>
        <v/>
      </c>
      <c r="BI19" s="34">
        <f>IF(AND(BI$5&gt;=$F19,BI$5&lt;=$G19),1,"")</f>
        <v/>
      </c>
      <c r="BJ19" s="34">
        <f>IF(AND(BJ$5&gt;=$F19,BJ$5&lt;=$G19),1,"")</f>
        <v/>
      </c>
      <c r="BK19" s="34">
        <f>IF(AND(BK$5&gt;=$F19,BK$5&lt;=$G19),1,"")</f>
        <v/>
      </c>
      <c r="BL19" s="34">
        <f>IF(AND(BL$5&gt;=$F19,BL$5&lt;=$G19),1,"")</f>
        <v/>
      </c>
      <c r="BM19" s="34">
        <f>IF(AND(BM$5&gt;=$F19,BM$5&lt;=$G19),1,"")</f>
        <v/>
      </c>
      <c r="BN19" s="34">
        <f>IF(AND(BN$5&gt;=$F19,BN$5&lt;=$G19),1,"")</f>
        <v/>
      </c>
    </row>
    <row r="20" ht="14.25" customHeight="1" s="36">
      <c r="A20" s="13" t="inlineStr">
        <is>
          <t>1 Inicio</t>
        </is>
      </c>
      <c r="B20" s="13" t="inlineStr">
        <is>
          <t>1.3.4</t>
        </is>
      </c>
      <c r="C20" s="13" t="inlineStr">
        <is>
          <t>Documento de nivelación de recursos y frentes del solapamiento de los meses 13 a 15 y 19 a 20</t>
        </is>
      </c>
      <c r="D20" s="13" t="inlineStr">
        <is>
          <t>G</t>
        </is>
      </c>
      <c r="E20" s="13" t="inlineStr">
        <is>
          <t>Jefe de Proyecto</t>
        </is>
      </c>
      <c r="F20" s="13" t="n">
        <v>2</v>
      </c>
      <c r="G20" s="13" t="n">
        <v>2</v>
      </c>
      <c r="H20" s="13">
        <f>G20-F20+1</f>
        <v/>
      </c>
      <c r="I20" s="31" t="n">
        <v>80</v>
      </c>
      <c r="J20" s="13" t="inlineStr">
        <is>
          <t>Con entregable (actividades en hoja «Actividades hasta H2»)</t>
        </is>
      </c>
      <c r="K20" s="34">
        <f>IF(AND(K$5&gt;=$F20,K$5&lt;=$G20),1,"")</f>
        <v/>
      </c>
      <c r="L20" s="34">
        <f>IF(AND(L$5&gt;=$F20,L$5&lt;=$G20),1,"")</f>
        <v/>
      </c>
      <c r="M20" s="34">
        <f>IF(AND(M$5&gt;=$F20,M$5&lt;=$G20),1,"")</f>
        <v/>
      </c>
      <c r="N20" s="34">
        <f>IF(AND(N$5&gt;=$F20,N$5&lt;=$G20),1,"")</f>
        <v/>
      </c>
      <c r="O20" s="34">
        <f>IF(AND(O$5&gt;=$F20,O$5&lt;=$G20),1,"")</f>
        <v/>
      </c>
      <c r="P20" s="34">
        <f>IF(AND(P$5&gt;=$F20,P$5&lt;=$G20),1,"")</f>
        <v/>
      </c>
      <c r="Q20" s="34">
        <f>IF(AND(Q$5&gt;=$F20,Q$5&lt;=$G20),1,"")</f>
        <v/>
      </c>
      <c r="R20" s="34">
        <f>IF(AND(R$5&gt;=$F20,R$5&lt;=$G20),1,"")</f>
        <v/>
      </c>
      <c r="S20" s="34">
        <f>IF(AND(S$5&gt;=$F20,S$5&lt;=$G20),1,"")</f>
        <v/>
      </c>
      <c r="T20" s="34">
        <f>IF(AND(T$5&gt;=$F20,T$5&lt;=$G20),1,"")</f>
        <v/>
      </c>
      <c r="U20" s="34">
        <f>IF(AND(U$5&gt;=$F20,U$5&lt;=$G20),1,"")</f>
        <v/>
      </c>
      <c r="V20" s="34">
        <f>IF(AND(V$5&gt;=$F20,V$5&lt;=$G20),1,"")</f>
        <v/>
      </c>
      <c r="W20" s="34">
        <f>IF(AND(W$5&gt;=$F20,W$5&lt;=$G20),1,"")</f>
        <v/>
      </c>
      <c r="X20" s="34">
        <f>IF(AND(X$5&gt;=$F20,X$5&lt;=$G20),1,"")</f>
        <v/>
      </c>
      <c r="Y20" s="34">
        <f>IF(AND(Y$5&gt;=$F20,Y$5&lt;=$G20),1,"")</f>
        <v/>
      </c>
      <c r="Z20" s="34">
        <f>IF(AND(Z$5&gt;=$F20,Z$5&lt;=$G20),1,"")</f>
        <v/>
      </c>
      <c r="AA20" s="34">
        <f>IF(AND(AA$5&gt;=$F20,AA$5&lt;=$G20),1,"")</f>
        <v/>
      </c>
      <c r="AB20" s="34">
        <f>IF(AND(AB$5&gt;=$F20,AB$5&lt;=$G20),1,"")</f>
        <v/>
      </c>
      <c r="AC20" s="34">
        <f>IF(AND(AC$5&gt;=$F20,AC$5&lt;=$G20),1,"")</f>
        <v/>
      </c>
      <c r="AD20" s="34">
        <f>IF(AND(AD$5&gt;=$F20,AD$5&lt;=$G20),1,"")</f>
        <v/>
      </c>
      <c r="AE20" s="34">
        <f>IF(AND(AE$5&gt;=$F20,AE$5&lt;=$G20),1,"")</f>
        <v/>
      </c>
      <c r="AF20" s="34">
        <f>IF(AND(AF$5&gt;=$F20,AF$5&lt;=$G20),1,"")</f>
        <v/>
      </c>
      <c r="AG20" s="34">
        <f>IF(AND(AG$5&gt;=$F20,AG$5&lt;=$G20),1,"")</f>
        <v/>
      </c>
      <c r="AH20" s="34">
        <f>IF(AND(AH$5&gt;=$F20,AH$5&lt;=$G20),1,"")</f>
        <v/>
      </c>
      <c r="AI20" s="34">
        <f>IF(AND(AI$5&gt;=$F20,AI$5&lt;=$G20),1,"")</f>
        <v/>
      </c>
      <c r="AJ20" s="34">
        <f>IF(AND(AJ$5&gt;=$F20,AJ$5&lt;=$G20),1,"")</f>
        <v/>
      </c>
      <c r="AK20" s="34">
        <f>IF(AND(AK$5&gt;=$F20,AK$5&lt;=$G20),1,"")</f>
        <v/>
      </c>
      <c r="AL20" s="34">
        <f>IF(AND(AL$5&gt;=$F20,AL$5&lt;=$G20),1,"")</f>
        <v/>
      </c>
      <c r="AM20" s="34">
        <f>IF(AND(AM$5&gt;=$F20,AM$5&lt;=$G20),1,"")</f>
        <v/>
      </c>
      <c r="AN20" s="34">
        <f>IF(AND(AN$5&gt;=$F20,AN$5&lt;=$G20),1,"")</f>
        <v/>
      </c>
      <c r="AO20" s="34">
        <f>IF(AND(AO$5&gt;=$F20,AO$5&lt;=$G20),1,"")</f>
        <v/>
      </c>
      <c r="AP20" s="34">
        <f>IF(AND(AP$5&gt;=$F20,AP$5&lt;=$G20),1,"")</f>
        <v/>
      </c>
      <c r="AQ20" s="34">
        <f>IF(AND(AQ$5&gt;=$F20,AQ$5&lt;=$G20),1,"")</f>
        <v/>
      </c>
      <c r="AR20" s="34">
        <f>IF(AND(AR$5&gt;=$F20,AR$5&lt;=$G20),1,"")</f>
        <v/>
      </c>
      <c r="AS20" s="34">
        <f>IF(AND(AS$5&gt;=$F20,AS$5&lt;=$G20),1,"")</f>
        <v/>
      </c>
      <c r="AT20" s="34">
        <f>IF(AND(AT$5&gt;=$F20,AT$5&lt;=$G20),1,"")</f>
        <v/>
      </c>
      <c r="AU20" s="34">
        <f>IF(AND(AU$5&gt;=$F20,AU$5&lt;=$G20),1,"")</f>
        <v/>
      </c>
      <c r="AV20" s="34">
        <f>IF(AND(AV$5&gt;=$F20,AV$5&lt;=$G20),1,"")</f>
        <v/>
      </c>
      <c r="AW20" s="34">
        <f>IF(AND(AW$5&gt;=$F20,AW$5&lt;=$G20),1,"")</f>
        <v/>
      </c>
      <c r="AX20" s="34">
        <f>IF(AND(AX$5&gt;=$F20,AX$5&lt;=$G20),1,"")</f>
        <v/>
      </c>
      <c r="AY20" s="34">
        <f>IF(AND(AY$5&gt;=$F20,AY$5&lt;=$G20),1,"")</f>
        <v/>
      </c>
      <c r="AZ20" s="34">
        <f>IF(AND(AZ$5&gt;=$F20,AZ$5&lt;=$G20),1,"")</f>
        <v/>
      </c>
      <c r="BA20" s="34">
        <f>IF(AND(BA$5&gt;=$F20,BA$5&lt;=$G20),1,"")</f>
        <v/>
      </c>
      <c r="BB20" s="34">
        <f>IF(AND(BB$5&gt;=$F20,BB$5&lt;=$G20),1,"")</f>
        <v/>
      </c>
      <c r="BC20" s="34">
        <f>IF(AND(BC$5&gt;=$F20,BC$5&lt;=$G20),1,"")</f>
        <v/>
      </c>
      <c r="BD20" s="34">
        <f>IF(AND(BD$5&gt;=$F20,BD$5&lt;=$G20),1,"")</f>
        <v/>
      </c>
      <c r="BE20" s="34">
        <f>IF(AND(BE$5&gt;=$F20,BE$5&lt;=$G20),1,"")</f>
        <v/>
      </c>
      <c r="BF20" s="34">
        <f>IF(AND(BF$5&gt;=$F20,BF$5&lt;=$G20),1,"")</f>
        <v/>
      </c>
      <c r="BG20" s="34">
        <f>IF(AND(BG$5&gt;=$F20,BG$5&lt;=$G20),1,"")</f>
        <v/>
      </c>
      <c r="BH20" s="34">
        <f>IF(AND(BH$5&gt;=$F20,BH$5&lt;=$G20),1,"")</f>
        <v/>
      </c>
      <c r="BI20" s="34">
        <f>IF(AND(BI$5&gt;=$F20,BI$5&lt;=$G20),1,"")</f>
        <v/>
      </c>
      <c r="BJ20" s="34">
        <f>IF(AND(BJ$5&gt;=$F20,BJ$5&lt;=$G20),1,"")</f>
        <v/>
      </c>
      <c r="BK20" s="34">
        <f>IF(AND(BK$5&gt;=$F20,BK$5&lt;=$G20),1,"")</f>
        <v/>
      </c>
      <c r="BL20" s="34">
        <f>IF(AND(BL$5&gt;=$F20,BL$5&lt;=$G20),1,"")</f>
        <v/>
      </c>
      <c r="BM20" s="34">
        <f>IF(AND(BM$5&gt;=$F20,BM$5&lt;=$G20),1,"")</f>
        <v/>
      </c>
      <c r="BN20" s="34">
        <f>IF(AND(BN$5&gt;=$F20,BN$5&lt;=$G20),1,"")</f>
        <v/>
      </c>
    </row>
    <row r="21" ht="14.25" customHeight="1" s="36">
      <c r="A21" s="13" t="inlineStr">
        <is>
          <t>1 Inicio</t>
        </is>
      </c>
      <c r="B21" s="13" t="inlineStr">
        <is>
          <t>1.3.5</t>
        </is>
      </c>
      <c r="C21" s="13" t="inlineStr">
        <is>
          <t>Reunión semanal de seguimiento con su informe semanal</t>
        </is>
      </c>
      <c r="D21" s="13" t="inlineStr">
        <is>
          <t>R</t>
        </is>
      </c>
      <c r="E21" s="13" t="inlineStr">
        <is>
          <t>Jefe de Proyecto</t>
        </is>
      </c>
      <c r="F21" s="13" t="n">
        <v>1</v>
      </c>
      <c r="G21" s="13" t="n">
        <v>20</v>
      </c>
      <c r="H21" s="13">
        <f>G21-F21+1</f>
        <v/>
      </c>
      <c r="I21" s="31" t="n">
        <v>480</v>
      </c>
      <c r="J21" s="13" t="inlineStr">
        <is>
          <t>Esfuerzo continuo (por quincena u ocurrencia)</t>
        </is>
      </c>
      <c r="K21" s="34">
        <f>IF(AND(K$5&gt;=$F21,K$5&lt;=$G21),1,"")</f>
        <v/>
      </c>
      <c r="L21" s="34">
        <f>IF(AND(L$5&gt;=$F21,L$5&lt;=$G21),1,"")</f>
        <v/>
      </c>
      <c r="M21" s="34">
        <f>IF(AND(M$5&gt;=$F21,M$5&lt;=$G21),1,"")</f>
        <v/>
      </c>
      <c r="N21" s="34">
        <f>IF(AND(N$5&gt;=$F21,N$5&lt;=$G21),1,"")</f>
        <v/>
      </c>
      <c r="O21" s="34">
        <f>IF(AND(O$5&gt;=$F21,O$5&lt;=$G21),1,"")</f>
        <v/>
      </c>
      <c r="P21" s="34">
        <f>IF(AND(P$5&gt;=$F21,P$5&lt;=$G21),1,"")</f>
        <v/>
      </c>
      <c r="Q21" s="34">
        <f>IF(AND(Q$5&gt;=$F21,Q$5&lt;=$G21),1,"")</f>
        <v/>
      </c>
      <c r="R21" s="34">
        <f>IF(AND(R$5&gt;=$F21,R$5&lt;=$G21),1,"")</f>
        <v/>
      </c>
      <c r="S21" s="34">
        <f>IF(AND(S$5&gt;=$F21,S$5&lt;=$G21),1,"")</f>
        <v/>
      </c>
      <c r="T21" s="34">
        <f>IF(AND(T$5&gt;=$F21,T$5&lt;=$G21),1,"")</f>
        <v/>
      </c>
      <c r="U21" s="34">
        <f>IF(AND(U$5&gt;=$F21,U$5&lt;=$G21),1,"")</f>
        <v/>
      </c>
      <c r="V21" s="34">
        <f>IF(AND(V$5&gt;=$F21,V$5&lt;=$G21),1,"")</f>
        <v/>
      </c>
      <c r="W21" s="34">
        <f>IF(AND(W$5&gt;=$F21,W$5&lt;=$G21),1,"")</f>
        <v/>
      </c>
      <c r="X21" s="34">
        <f>IF(AND(X$5&gt;=$F21,X$5&lt;=$G21),1,"")</f>
        <v/>
      </c>
      <c r="Y21" s="34">
        <f>IF(AND(Y$5&gt;=$F21,Y$5&lt;=$G21),1,"")</f>
        <v/>
      </c>
      <c r="Z21" s="34">
        <f>IF(AND(Z$5&gt;=$F21,Z$5&lt;=$G21),1,"")</f>
        <v/>
      </c>
      <c r="AA21" s="34">
        <f>IF(AND(AA$5&gt;=$F21,AA$5&lt;=$G21),1,"")</f>
        <v/>
      </c>
      <c r="AB21" s="34">
        <f>IF(AND(AB$5&gt;=$F21,AB$5&lt;=$G21),1,"")</f>
        <v/>
      </c>
      <c r="AC21" s="34">
        <f>IF(AND(AC$5&gt;=$F21,AC$5&lt;=$G21),1,"")</f>
        <v/>
      </c>
      <c r="AD21" s="34">
        <f>IF(AND(AD$5&gt;=$F21,AD$5&lt;=$G21),1,"")</f>
        <v/>
      </c>
      <c r="AE21" s="34">
        <f>IF(AND(AE$5&gt;=$F21,AE$5&lt;=$G21),1,"")</f>
        <v/>
      </c>
      <c r="AF21" s="34">
        <f>IF(AND(AF$5&gt;=$F21,AF$5&lt;=$G21),1,"")</f>
        <v/>
      </c>
      <c r="AG21" s="34">
        <f>IF(AND(AG$5&gt;=$F21,AG$5&lt;=$G21),1,"")</f>
        <v/>
      </c>
      <c r="AH21" s="34">
        <f>IF(AND(AH$5&gt;=$F21,AH$5&lt;=$G21),1,"")</f>
        <v/>
      </c>
      <c r="AI21" s="34">
        <f>IF(AND(AI$5&gt;=$F21,AI$5&lt;=$G21),1,"")</f>
        <v/>
      </c>
      <c r="AJ21" s="34">
        <f>IF(AND(AJ$5&gt;=$F21,AJ$5&lt;=$G21),1,"")</f>
        <v/>
      </c>
      <c r="AK21" s="34">
        <f>IF(AND(AK$5&gt;=$F21,AK$5&lt;=$G21),1,"")</f>
        <v/>
      </c>
      <c r="AL21" s="34">
        <f>IF(AND(AL$5&gt;=$F21,AL$5&lt;=$G21),1,"")</f>
        <v/>
      </c>
      <c r="AM21" s="34">
        <f>IF(AND(AM$5&gt;=$F21,AM$5&lt;=$G21),1,"")</f>
        <v/>
      </c>
      <c r="AN21" s="34">
        <f>IF(AND(AN$5&gt;=$F21,AN$5&lt;=$G21),1,"")</f>
        <v/>
      </c>
      <c r="AO21" s="34">
        <f>IF(AND(AO$5&gt;=$F21,AO$5&lt;=$G21),1,"")</f>
        <v/>
      </c>
      <c r="AP21" s="34">
        <f>IF(AND(AP$5&gt;=$F21,AP$5&lt;=$G21),1,"")</f>
        <v/>
      </c>
      <c r="AQ21" s="34">
        <f>IF(AND(AQ$5&gt;=$F21,AQ$5&lt;=$G21),1,"")</f>
        <v/>
      </c>
      <c r="AR21" s="34">
        <f>IF(AND(AR$5&gt;=$F21,AR$5&lt;=$G21),1,"")</f>
        <v/>
      </c>
      <c r="AS21" s="34">
        <f>IF(AND(AS$5&gt;=$F21,AS$5&lt;=$G21),1,"")</f>
        <v/>
      </c>
      <c r="AT21" s="34">
        <f>IF(AND(AT$5&gt;=$F21,AT$5&lt;=$G21),1,"")</f>
        <v/>
      </c>
      <c r="AU21" s="34">
        <f>IF(AND(AU$5&gt;=$F21,AU$5&lt;=$G21),1,"")</f>
        <v/>
      </c>
      <c r="AV21" s="34">
        <f>IF(AND(AV$5&gt;=$F21,AV$5&lt;=$G21),1,"")</f>
        <v/>
      </c>
      <c r="AW21" s="34">
        <f>IF(AND(AW$5&gt;=$F21,AW$5&lt;=$G21),1,"")</f>
        <v/>
      </c>
      <c r="AX21" s="34">
        <f>IF(AND(AX$5&gt;=$F21,AX$5&lt;=$G21),1,"")</f>
        <v/>
      </c>
      <c r="AY21" s="34">
        <f>IF(AND(AY$5&gt;=$F21,AY$5&lt;=$G21),1,"")</f>
        <v/>
      </c>
      <c r="AZ21" s="34">
        <f>IF(AND(AZ$5&gt;=$F21,AZ$5&lt;=$G21),1,"")</f>
        <v/>
      </c>
      <c r="BA21" s="34">
        <f>IF(AND(BA$5&gt;=$F21,BA$5&lt;=$G21),1,"")</f>
        <v/>
      </c>
      <c r="BB21" s="34">
        <f>IF(AND(BB$5&gt;=$F21,BB$5&lt;=$G21),1,"")</f>
        <v/>
      </c>
      <c r="BC21" s="34">
        <f>IF(AND(BC$5&gt;=$F21,BC$5&lt;=$G21),1,"")</f>
        <v/>
      </c>
      <c r="BD21" s="34">
        <f>IF(AND(BD$5&gt;=$F21,BD$5&lt;=$G21),1,"")</f>
        <v/>
      </c>
      <c r="BE21" s="34">
        <f>IF(AND(BE$5&gt;=$F21,BE$5&lt;=$G21),1,"")</f>
        <v/>
      </c>
      <c r="BF21" s="34">
        <f>IF(AND(BF$5&gt;=$F21,BF$5&lt;=$G21),1,"")</f>
        <v/>
      </c>
      <c r="BG21" s="34">
        <f>IF(AND(BG$5&gt;=$F21,BG$5&lt;=$G21),1,"")</f>
        <v/>
      </c>
      <c r="BH21" s="34">
        <f>IF(AND(BH$5&gt;=$F21,BH$5&lt;=$G21),1,"")</f>
        <v/>
      </c>
      <c r="BI21" s="34">
        <f>IF(AND(BI$5&gt;=$F21,BI$5&lt;=$G21),1,"")</f>
        <v/>
      </c>
      <c r="BJ21" s="34">
        <f>IF(AND(BJ$5&gt;=$F21,BJ$5&lt;=$G21),1,"")</f>
        <v/>
      </c>
      <c r="BK21" s="34">
        <f>IF(AND(BK$5&gt;=$F21,BK$5&lt;=$G21),1,"")</f>
        <v/>
      </c>
      <c r="BL21" s="34">
        <f>IF(AND(BL$5&gt;=$F21,BL$5&lt;=$G21),1,"")</f>
        <v/>
      </c>
      <c r="BM21" s="34">
        <f>IF(AND(BM$5&gt;=$F21,BM$5&lt;=$G21),1,"")</f>
        <v/>
      </c>
      <c r="BN21" s="34">
        <f>IF(AND(BN$5&gt;=$F21,BN$5&lt;=$G21),1,"")</f>
        <v/>
      </c>
    </row>
    <row r="22" ht="14.25" customHeight="1" s="36">
      <c r="A22" s="13" t="inlineStr">
        <is>
          <t>1 Inicio</t>
        </is>
      </c>
      <c r="B22" s="13" t="inlineStr">
        <is>
          <t>1.4.1</t>
        </is>
      </c>
      <c r="C22" s="13" t="inlineStr">
        <is>
          <t>Registro de interesados con su influencia, interés y estrategia</t>
        </is>
      </c>
      <c r="D22" s="13" t="inlineStr">
        <is>
          <t>G</t>
        </is>
      </c>
      <c r="E22" s="13" t="inlineStr">
        <is>
          <t>Jefe de Proyecto</t>
        </is>
      </c>
      <c r="F22" s="13" t="n">
        <v>1</v>
      </c>
      <c r="G22" s="13" t="n">
        <v>1</v>
      </c>
      <c r="H22" s="13">
        <f>G22-F22+1</f>
        <v/>
      </c>
      <c r="I22" s="31" t="n">
        <v>80</v>
      </c>
      <c r="J22" s="13" t="inlineStr">
        <is>
          <t>Con entregable (actividades en hoja «Actividades hasta H2»)</t>
        </is>
      </c>
      <c r="K22" s="34">
        <f>IF(AND(K$5&gt;=$F22,K$5&lt;=$G22),1,"")</f>
        <v/>
      </c>
      <c r="L22" s="34">
        <f>IF(AND(L$5&gt;=$F22,L$5&lt;=$G22),1,"")</f>
        <v/>
      </c>
      <c r="M22" s="34">
        <f>IF(AND(M$5&gt;=$F22,M$5&lt;=$G22),1,"")</f>
        <v/>
      </c>
      <c r="N22" s="34">
        <f>IF(AND(N$5&gt;=$F22,N$5&lt;=$G22),1,"")</f>
        <v/>
      </c>
      <c r="O22" s="34">
        <f>IF(AND(O$5&gt;=$F22,O$5&lt;=$G22),1,"")</f>
        <v/>
      </c>
      <c r="P22" s="34">
        <f>IF(AND(P$5&gt;=$F22,P$5&lt;=$G22),1,"")</f>
        <v/>
      </c>
      <c r="Q22" s="34">
        <f>IF(AND(Q$5&gt;=$F22,Q$5&lt;=$G22),1,"")</f>
        <v/>
      </c>
      <c r="R22" s="34">
        <f>IF(AND(R$5&gt;=$F22,R$5&lt;=$G22),1,"")</f>
        <v/>
      </c>
      <c r="S22" s="34">
        <f>IF(AND(S$5&gt;=$F22,S$5&lt;=$G22),1,"")</f>
        <v/>
      </c>
      <c r="T22" s="34">
        <f>IF(AND(T$5&gt;=$F22,T$5&lt;=$G22),1,"")</f>
        <v/>
      </c>
      <c r="U22" s="34">
        <f>IF(AND(U$5&gt;=$F22,U$5&lt;=$G22),1,"")</f>
        <v/>
      </c>
      <c r="V22" s="34">
        <f>IF(AND(V$5&gt;=$F22,V$5&lt;=$G22),1,"")</f>
        <v/>
      </c>
      <c r="W22" s="34">
        <f>IF(AND(W$5&gt;=$F22,W$5&lt;=$G22),1,"")</f>
        <v/>
      </c>
      <c r="X22" s="34">
        <f>IF(AND(X$5&gt;=$F22,X$5&lt;=$G22),1,"")</f>
        <v/>
      </c>
      <c r="Y22" s="34">
        <f>IF(AND(Y$5&gt;=$F22,Y$5&lt;=$G22),1,"")</f>
        <v/>
      </c>
      <c r="Z22" s="34">
        <f>IF(AND(Z$5&gt;=$F22,Z$5&lt;=$G22),1,"")</f>
        <v/>
      </c>
      <c r="AA22" s="34">
        <f>IF(AND(AA$5&gt;=$F22,AA$5&lt;=$G22),1,"")</f>
        <v/>
      </c>
      <c r="AB22" s="34">
        <f>IF(AND(AB$5&gt;=$F22,AB$5&lt;=$G22),1,"")</f>
        <v/>
      </c>
      <c r="AC22" s="34">
        <f>IF(AND(AC$5&gt;=$F22,AC$5&lt;=$G22),1,"")</f>
        <v/>
      </c>
      <c r="AD22" s="34">
        <f>IF(AND(AD$5&gt;=$F22,AD$5&lt;=$G22),1,"")</f>
        <v/>
      </c>
      <c r="AE22" s="34">
        <f>IF(AND(AE$5&gt;=$F22,AE$5&lt;=$G22),1,"")</f>
        <v/>
      </c>
      <c r="AF22" s="34">
        <f>IF(AND(AF$5&gt;=$F22,AF$5&lt;=$G22),1,"")</f>
        <v/>
      </c>
      <c r="AG22" s="34">
        <f>IF(AND(AG$5&gt;=$F22,AG$5&lt;=$G22),1,"")</f>
        <v/>
      </c>
      <c r="AH22" s="34">
        <f>IF(AND(AH$5&gt;=$F22,AH$5&lt;=$G22),1,"")</f>
        <v/>
      </c>
      <c r="AI22" s="34">
        <f>IF(AND(AI$5&gt;=$F22,AI$5&lt;=$G22),1,"")</f>
        <v/>
      </c>
      <c r="AJ22" s="34">
        <f>IF(AND(AJ$5&gt;=$F22,AJ$5&lt;=$G22),1,"")</f>
        <v/>
      </c>
      <c r="AK22" s="34">
        <f>IF(AND(AK$5&gt;=$F22,AK$5&lt;=$G22),1,"")</f>
        <v/>
      </c>
      <c r="AL22" s="34">
        <f>IF(AND(AL$5&gt;=$F22,AL$5&lt;=$G22),1,"")</f>
        <v/>
      </c>
      <c r="AM22" s="34">
        <f>IF(AND(AM$5&gt;=$F22,AM$5&lt;=$G22),1,"")</f>
        <v/>
      </c>
      <c r="AN22" s="34">
        <f>IF(AND(AN$5&gt;=$F22,AN$5&lt;=$G22),1,"")</f>
        <v/>
      </c>
      <c r="AO22" s="34">
        <f>IF(AND(AO$5&gt;=$F22,AO$5&lt;=$G22),1,"")</f>
        <v/>
      </c>
      <c r="AP22" s="34">
        <f>IF(AND(AP$5&gt;=$F22,AP$5&lt;=$G22),1,"")</f>
        <v/>
      </c>
      <c r="AQ22" s="34">
        <f>IF(AND(AQ$5&gt;=$F22,AQ$5&lt;=$G22),1,"")</f>
        <v/>
      </c>
      <c r="AR22" s="34">
        <f>IF(AND(AR$5&gt;=$F22,AR$5&lt;=$G22),1,"")</f>
        <v/>
      </c>
      <c r="AS22" s="34">
        <f>IF(AND(AS$5&gt;=$F22,AS$5&lt;=$G22),1,"")</f>
        <v/>
      </c>
      <c r="AT22" s="34">
        <f>IF(AND(AT$5&gt;=$F22,AT$5&lt;=$G22),1,"")</f>
        <v/>
      </c>
      <c r="AU22" s="34">
        <f>IF(AND(AU$5&gt;=$F22,AU$5&lt;=$G22),1,"")</f>
        <v/>
      </c>
      <c r="AV22" s="34">
        <f>IF(AND(AV$5&gt;=$F22,AV$5&lt;=$G22),1,"")</f>
        <v/>
      </c>
      <c r="AW22" s="34">
        <f>IF(AND(AW$5&gt;=$F22,AW$5&lt;=$G22),1,"")</f>
        <v/>
      </c>
      <c r="AX22" s="34">
        <f>IF(AND(AX$5&gt;=$F22,AX$5&lt;=$G22),1,"")</f>
        <v/>
      </c>
      <c r="AY22" s="34">
        <f>IF(AND(AY$5&gt;=$F22,AY$5&lt;=$G22),1,"")</f>
        <v/>
      </c>
      <c r="AZ22" s="34">
        <f>IF(AND(AZ$5&gt;=$F22,AZ$5&lt;=$G22),1,"")</f>
        <v/>
      </c>
      <c r="BA22" s="34">
        <f>IF(AND(BA$5&gt;=$F22,BA$5&lt;=$G22),1,"")</f>
        <v/>
      </c>
      <c r="BB22" s="34">
        <f>IF(AND(BB$5&gt;=$F22,BB$5&lt;=$G22),1,"")</f>
        <v/>
      </c>
      <c r="BC22" s="34">
        <f>IF(AND(BC$5&gt;=$F22,BC$5&lt;=$G22),1,"")</f>
        <v/>
      </c>
      <c r="BD22" s="34">
        <f>IF(AND(BD$5&gt;=$F22,BD$5&lt;=$G22),1,"")</f>
        <v/>
      </c>
      <c r="BE22" s="34">
        <f>IF(AND(BE$5&gt;=$F22,BE$5&lt;=$G22),1,"")</f>
        <v/>
      </c>
      <c r="BF22" s="34">
        <f>IF(AND(BF$5&gt;=$F22,BF$5&lt;=$G22),1,"")</f>
        <v/>
      </c>
      <c r="BG22" s="34">
        <f>IF(AND(BG$5&gt;=$F22,BG$5&lt;=$G22),1,"")</f>
        <v/>
      </c>
      <c r="BH22" s="34">
        <f>IF(AND(BH$5&gt;=$F22,BH$5&lt;=$G22),1,"")</f>
        <v/>
      </c>
      <c r="BI22" s="34">
        <f>IF(AND(BI$5&gt;=$F22,BI$5&lt;=$G22),1,"")</f>
        <v/>
      </c>
      <c r="BJ22" s="34">
        <f>IF(AND(BJ$5&gt;=$F22,BJ$5&lt;=$G22),1,"")</f>
        <v/>
      </c>
      <c r="BK22" s="34">
        <f>IF(AND(BK$5&gt;=$F22,BK$5&lt;=$G22),1,"")</f>
        <v/>
      </c>
      <c r="BL22" s="34">
        <f>IF(AND(BL$5&gt;=$F22,BL$5&lt;=$G22),1,"")</f>
        <v/>
      </c>
      <c r="BM22" s="34">
        <f>IF(AND(BM$5&gt;=$F22,BM$5&lt;=$G22),1,"")</f>
        <v/>
      </c>
      <c r="BN22" s="34">
        <f>IF(AND(BN$5&gt;=$F22,BN$5&lt;=$G22),1,"")</f>
        <v/>
      </c>
    </row>
    <row r="23" ht="14.25" customHeight="1" s="36">
      <c r="A23" s="13" t="inlineStr">
        <is>
          <t>1 Inicio</t>
        </is>
      </c>
      <c r="B23" s="13" t="inlineStr">
        <is>
          <t>1.4.2</t>
        </is>
      </c>
      <c r="C23" s="13" t="inlineStr">
        <is>
          <t>Plan de comunicaciones con calendario y canales por grupo de interés</t>
        </is>
      </c>
      <c r="D23" s="13" t="inlineStr">
        <is>
          <t>G</t>
        </is>
      </c>
      <c r="E23" s="13" t="inlineStr">
        <is>
          <t>Jefe de Proyecto</t>
        </is>
      </c>
      <c r="F23" s="13" t="n">
        <v>1</v>
      </c>
      <c r="G23" s="13" t="n">
        <v>1</v>
      </c>
      <c r="H23" s="13">
        <f>G23-F23+1</f>
        <v/>
      </c>
      <c r="I23" s="31" t="n">
        <v>80</v>
      </c>
      <c r="J23" s="13" t="inlineStr">
        <is>
          <t>Con entregable (actividades en hoja «Actividades hasta H2»)</t>
        </is>
      </c>
      <c r="K23" s="34">
        <f>IF(AND(K$5&gt;=$F23,K$5&lt;=$G23),1,"")</f>
        <v/>
      </c>
      <c r="L23" s="34">
        <f>IF(AND(L$5&gt;=$F23,L$5&lt;=$G23),1,"")</f>
        <v/>
      </c>
      <c r="M23" s="34">
        <f>IF(AND(M$5&gt;=$F23,M$5&lt;=$G23),1,"")</f>
        <v/>
      </c>
      <c r="N23" s="34">
        <f>IF(AND(N$5&gt;=$F23,N$5&lt;=$G23),1,"")</f>
        <v/>
      </c>
      <c r="O23" s="34">
        <f>IF(AND(O$5&gt;=$F23,O$5&lt;=$G23),1,"")</f>
        <v/>
      </c>
      <c r="P23" s="34">
        <f>IF(AND(P$5&gt;=$F23,P$5&lt;=$G23),1,"")</f>
        <v/>
      </c>
      <c r="Q23" s="34">
        <f>IF(AND(Q$5&gt;=$F23,Q$5&lt;=$G23),1,"")</f>
        <v/>
      </c>
      <c r="R23" s="34">
        <f>IF(AND(R$5&gt;=$F23,R$5&lt;=$G23),1,"")</f>
        <v/>
      </c>
      <c r="S23" s="34">
        <f>IF(AND(S$5&gt;=$F23,S$5&lt;=$G23),1,"")</f>
        <v/>
      </c>
      <c r="T23" s="34">
        <f>IF(AND(T$5&gt;=$F23,T$5&lt;=$G23),1,"")</f>
        <v/>
      </c>
      <c r="U23" s="34">
        <f>IF(AND(U$5&gt;=$F23,U$5&lt;=$G23),1,"")</f>
        <v/>
      </c>
      <c r="V23" s="34">
        <f>IF(AND(V$5&gt;=$F23,V$5&lt;=$G23),1,"")</f>
        <v/>
      </c>
      <c r="W23" s="34">
        <f>IF(AND(W$5&gt;=$F23,W$5&lt;=$G23),1,"")</f>
        <v/>
      </c>
      <c r="X23" s="34">
        <f>IF(AND(X$5&gt;=$F23,X$5&lt;=$G23),1,"")</f>
        <v/>
      </c>
      <c r="Y23" s="34">
        <f>IF(AND(Y$5&gt;=$F23,Y$5&lt;=$G23),1,"")</f>
        <v/>
      </c>
      <c r="Z23" s="34">
        <f>IF(AND(Z$5&gt;=$F23,Z$5&lt;=$G23),1,"")</f>
        <v/>
      </c>
      <c r="AA23" s="34">
        <f>IF(AND(AA$5&gt;=$F23,AA$5&lt;=$G23),1,"")</f>
        <v/>
      </c>
      <c r="AB23" s="34">
        <f>IF(AND(AB$5&gt;=$F23,AB$5&lt;=$G23),1,"")</f>
        <v/>
      </c>
      <c r="AC23" s="34">
        <f>IF(AND(AC$5&gt;=$F23,AC$5&lt;=$G23),1,"")</f>
        <v/>
      </c>
      <c r="AD23" s="34">
        <f>IF(AND(AD$5&gt;=$F23,AD$5&lt;=$G23),1,"")</f>
        <v/>
      </c>
      <c r="AE23" s="34">
        <f>IF(AND(AE$5&gt;=$F23,AE$5&lt;=$G23),1,"")</f>
        <v/>
      </c>
      <c r="AF23" s="34">
        <f>IF(AND(AF$5&gt;=$F23,AF$5&lt;=$G23),1,"")</f>
        <v/>
      </c>
      <c r="AG23" s="34">
        <f>IF(AND(AG$5&gt;=$F23,AG$5&lt;=$G23),1,"")</f>
        <v/>
      </c>
      <c r="AH23" s="34">
        <f>IF(AND(AH$5&gt;=$F23,AH$5&lt;=$G23),1,"")</f>
        <v/>
      </c>
      <c r="AI23" s="34">
        <f>IF(AND(AI$5&gt;=$F23,AI$5&lt;=$G23),1,"")</f>
        <v/>
      </c>
      <c r="AJ23" s="34">
        <f>IF(AND(AJ$5&gt;=$F23,AJ$5&lt;=$G23),1,"")</f>
        <v/>
      </c>
      <c r="AK23" s="34">
        <f>IF(AND(AK$5&gt;=$F23,AK$5&lt;=$G23),1,"")</f>
        <v/>
      </c>
      <c r="AL23" s="34">
        <f>IF(AND(AL$5&gt;=$F23,AL$5&lt;=$G23),1,"")</f>
        <v/>
      </c>
      <c r="AM23" s="34">
        <f>IF(AND(AM$5&gt;=$F23,AM$5&lt;=$G23),1,"")</f>
        <v/>
      </c>
      <c r="AN23" s="34">
        <f>IF(AND(AN$5&gt;=$F23,AN$5&lt;=$G23),1,"")</f>
        <v/>
      </c>
      <c r="AO23" s="34">
        <f>IF(AND(AO$5&gt;=$F23,AO$5&lt;=$G23),1,"")</f>
        <v/>
      </c>
      <c r="AP23" s="34">
        <f>IF(AND(AP$5&gt;=$F23,AP$5&lt;=$G23),1,"")</f>
        <v/>
      </c>
      <c r="AQ23" s="34">
        <f>IF(AND(AQ$5&gt;=$F23,AQ$5&lt;=$G23),1,"")</f>
        <v/>
      </c>
      <c r="AR23" s="34">
        <f>IF(AND(AR$5&gt;=$F23,AR$5&lt;=$G23),1,"")</f>
        <v/>
      </c>
      <c r="AS23" s="34">
        <f>IF(AND(AS$5&gt;=$F23,AS$5&lt;=$G23),1,"")</f>
        <v/>
      </c>
      <c r="AT23" s="34">
        <f>IF(AND(AT$5&gt;=$F23,AT$5&lt;=$G23),1,"")</f>
        <v/>
      </c>
      <c r="AU23" s="34">
        <f>IF(AND(AU$5&gt;=$F23,AU$5&lt;=$G23),1,"")</f>
        <v/>
      </c>
      <c r="AV23" s="34">
        <f>IF(AND(AV$5&gt;=$F23,AV$5&lt;=$G23),1,"")</f>
        <v/>
      </c>
      <c r="AW23" s="34">
        <f>IF(AND(AW$5&gt;=$F23,AW$5&lt;=$G23),1,"")</f>
        <v/>
      </c>
      <c r="AX23" s="34">
        <f>IF(AND(AX$5&gt;=$F23,AX$5&lt;=$G23),1,"")</f>
        <v/>
      </c>
      <c r="AY23" s="34">
        <f>IF(AND(AY$5&gt;=$F23,AY$5&lt;=$G23),1,"")</f>
        <v/>
      </c>
      <c r="AZ23" s="34">
        <f>IF(AND(AZ$5&gt;=$F23,AZ$5&lt;=$G23),1,"")</f>
        <v/>
      </c>
      <c r="BA23" s="34">
        <f>IF(AND(BA$5&gt;=$F23,BA$5&lt;=$G23),1,"")</f>
        <v/>
      </c>
      <c r="BB23" s="34">
        <f>IF(AND(BB$5&gt;=$F23,BB$5&lt;=$G23),1,"")</f>
        <v/>
      </c>
      <c r="BC23" s="34">
        <f>IF(AND(BC$5&gt;=$F23,BC$5&lt;=$G23),1,"")</f>
        <v/>
      </c>
      <c r="BD23" s="34">
        <f>IF(AND(BD$5&gt;=$F23,BD$5&lt;=$G23),1,"")</f>
        <v/>
      </c>
      <c r="BE23" s="34">
        <f>IF(AND(BE$5&gt;=$F23,BE$5&lt;=$G23),1,"")</f>
        <v/>
      </c>
      <c r="BF23" s="34">
        <f>IF(AND(BF$5&gt;=$F23,BF$5&lt;=$G23),1,"")</f>
        <v/>
      </c>
      <c r="BG23" s="34">
        <f>IF(AND(BG$5&gt;=$F23,BG$5&lt;=$G23),1,"")</f>
        <v/>
      </c>
      <c r="BH23" s="34">
        <f>IF(AND(BH$5&gt;=$F23,BH$5&lt;=$G23),1,"")</f>
        <v/>
      </c>
      <c r="BI23" s="34">
        <f>IF(AND(BI$5&gt;=$F23,BI$5&lt;=$G23),1,"")</f>
        <v/>
      </c>
      <c r="BJ23" s="34">
        <f>IF(AND(BJ$5&gt;=$F23,BJ$5&lt;=$G23),1,"")</f>
        <v/>
      </c>
      <c r="BK23" s="34">
        <f>IF(AND(BK$5&gt;=$F23,BK$5&lt;=$G23),1,"")</f>
        <v/>
      </c>
      <c r="BL23" s="34">
        <f>IF(AND(BL$5&gt;=$F23,BL$5&lt;=$G23),1,"")</f>
        <v/>
      </c>
      <c r="BM23" s="34">
        <f>IF(AND(BM$5&gt;=$F23,BM$5&lt;=$G23),1,"")</f>
        <v/>
      </c>
      <c r="BN23" s="34">
        <f>IF(AND(BN$5&gt;=$F23,BN$5&lt;=$G23),1,"")</f>
        <v/>
      </c>
    </row>
    <row r="24" ht="14.25" customHeight="1" s="36">
      <c r="A24" s="13" t="inlineStr">
        <is>
          <t>1 Inicio</t>
        </is>
      </c>
      <c r="B24" s="13" t="inlineStr">
        <is>
          <t>1.4.3</t>
        </is>
      </c>
      <c r="C24" s="13" t="inlineStr">
        <is>
          <t>Registro de solicitudes de cambio con análisis de impacto</t>
        </is>
      </c>
      <c r="D24" s="13" t="inlineStr">
        <is>
          <t>R</t>
        </is>
      </c>
      <c r="E24" s="13" t="inlineStr">
        <is>
          <t>Jefe de Proyecto</t>
        </is>
      </c>
      <c r="F24" s="13" t="n">
        <v>1</v>
      </c>
      <c r="G24" s="13" t="n">
        <v>56</v>
      </c>
      <c r="H24" s="13">
        <f>G24-F24+1</f>
        <v/>
      </c>
      <c r="I24" s="31" t="n">
        <v>896</v>
      </c>
      <c r="J24" s="13" t="inlineStr">
        <is>
          <t>Esfuerzo continuo (por quincena u ocurrencia)</t>
        </is>
      </c>
      <c r="K24" s="34">
        <f>IF(AND(K$5&gt;=$F24,K$5&lt;=$G24),1,"")</f>
        <v/>
      </c>
      <c r="L24" s="34">
        <f>IF(AND(L$5&gt;=$F24,L$5&lt;=$G24),1,"")</f>
        <v/>
      </c>
      <c r="M24" s="34">
        <f>IF(AND(M$5&gt;=$F24,M$5&lt;=$G24),1,"")</f>
        <v/>
      </c>
      <c r="N24" s="34">
        <f>IF(AND(N$5&gt;=$F24,N$5&lt;=$G24),1,"")</f>
        <v/>
      </c>
      <c r="O24" s="34">
        <f>IF(AND(O$5&gt;=$F24,O$5&lt;=$G24),1,"")</f>
        <v/>
      </c>
      <c r="P24" s="34">
        <f>IF(AND(P$5&gt;=$F24,P$5&lt;=$G24),1,"")</f>
        <v/>
      </c>
      <c r="Q24" s="34">
        <f>IF(AND(Q$5&gt;=$F24,Q$5&lt;=$G24),1,"")</f>
        <v/>
      </c>
      <c r="R24" s="34">
        <f>IF(AND(R$5&gt;=$F24,R$5&lt;=$G24),1,"")</f>
        <v/>
      </c>
      <c r="S24" s="34">
        <f>IF(AND(S$5&gt;=$F24,S$5&lt;=$G24),1,"")</f>
        <v/>
      </c>
      <c r="T24" s="34">
        <f>IF(AND(T$5&gt;=$F24,T$5&lt;=$G24),1,"")</f>
        <v/>
      </c>
      <c r="U24" s="34">
        <f>IF(AND(U$5&gt;=$F24,U$5&lt;=$G24),1,"")</f>
        <v/>
      </c>
      <c r="V24" s="34">
        <f>IF(AND(V$5&gt;=$F24,V$5&lt;=$G24),1,"")</f>
        <v/>
      </c>
      <c r="W24" s="34">
        <f>IF(AND(W$5&gt;=$F24,W$5&lt;=$G24),1,"")</f>
        <v/>
      </c>
      <c r="X24" s="34">
        <f>IF(AND(X$5&gt;=$F24,X$5&lt;=$G24),1,"")</f>
        <v/>
      </c>
      <c r="Y24" s="34">
        <f>IF(AND(Y$5&gt;=$F24,Y$5&lt;=$G24),1,"")</f>
        <v/>
      </c>
      <c r="Z24" s="34">
        <f>IF(AND(Z$5&gt;=$F24,Z$5&lt;=$G24),1,"")</f>
        <v/>
      </c>
      <c r="AA24" s="34">
        <f>IF(AND(AA$5&gt;=$F24,AA$5&lt;=$G24),1,"")</f>
        <v/>
      </c>
      <c r="AB24" s="34">
        <f>IF(AND(AB$5&gt;=$F24,AB$5&lt;=$G24),1,"")</f>
        <v/>
      </c>
      <c r="AC24" s="34">
        <f>IF(AND(AC$5&gt;=$F24,AC$5&lt;=$G24),1,"")</f>
        <v/>
      </c>
      <c r="AD24" s="34">
        <f>IF(AND(AD$5&gt;=$F24,AD$5&lt;=$G24),1,"")</f>
        <v/>
      </c>
      <c r="AE24" s="34">
        <f>IF(AND(AE$5&gt;=$F24,AE$5&lt;=$G24),1,"")</f>
        <v/>
      </c>
      <c r="AF24" s="34">
        <f>IF(AND(AF$5&gt;=$F24,AF$5&lt;=$G24),1,"")</f>
        <v/>
      </c>
      <c r="AG24" s="34">
        <f>IF(AND(AG$5&gt;=$F24,AG$5&lt;=$G24),1,"")</f>
        <v/>
      </c>
      <c r="AH24" s="34">
        <f>IF(AND(AH$5&gt;=$F24,AH$5&lt;=$G24),1,"")</f>
        <v/>
      </c>
      <c r="AI24" s="34">
        <f>IF(AND(AI$5&gt;=$F24,AI$5&lt;=$G24),1,"")</f>
        <v/>
      </c>
      <c r="AJ24" s="34">
        <f>IF(AND(AJ$5&gt;=$F24,AJ$5&lt;=$G24),1,"")</f>
        <v/>
      </c>
      <c r="AK24" s="34">
        <f>IF(AND(AK$5&gt;=$F24,AK$5&lt;=$G24),1,"")</f>
        <v/>
      </c>
      <c r="AL24" s="34">
        <f>IF(AND(AL$5&gt;=$F24,AL$5&lt;=$G24),1,"")</f>
        <v/>
      </c>
      <c r="AM24" s="34">
        <f>IF(AND(AM$5&gt;=$F24,AM$5&lt;=$G24),1,"")</f>
        <v/>
      </c>
      <c r="AN24" s="34">
        <f>IF(AND(AN$5&gt;=$F24,AN$5&lt;=$G24),1,"")</f>
        <v/>
      </c>
      <c r="AO24" s="34">
        <f>IF(AND(AO$5&gt;=$F24,AO$5&lt;=$G24),1,"")</f>
        <v/>
      </c>
      <c r="AP24" s="34">
        <f>IF(AND(AP$5&gt;=$F24,AP$5&lt;=$G24),1,"")</f>
        <v/>
      </c>
      <c r="AQ24" s="34">
        <f>IF(AND(AQ$5&gt;=$F24,AQ$5&lt;=$G24),1,"")</f>
        <v/>
      </c>
      <c r="AR24" s="34">
        <f>IF(AND(AR$5&gt;=$F24,AR$5&lt;=$G24),1,"")</f>
        <v/>
      </c>
      <c r="AS24" s="34">
        <f>IF(AND(AS$5&gt;=$F24,AS$5&lt;=$G24),1,"")</f>
        <v/>
      </c>
      <c r="AT24" s="34">
        <f>IF(AND(AT$5&gt;=$F24,AT$5&lt;=$G24),1,"")</f>
        <v/>
      </c>
      <c r="AU24" s="34">
        <f>IF(AND(AU$5&gt;=$F24,AU$5&lt;=$G24),1,"")</f>
        <v/>
      </c>
      <c r="AV24" s="34">
        <f>IF(AND(AV$5&gt;=$F24,AV$5&lt;=$G24),1,"")</f>
        <v/>
      </c>
      <c r="AW24" s="34">
        <f>IF(AND(AW$5&gt;=$F24,AW$5&lt;=$G24),1,"")</f>
        <v/>
      </c>
      <c r="AX24" s="34">
        <f>IF(AND(AX$5&gt;=$F24,AX$5&lt;=$G24),1,"")</f>
        <v/>
      </c>
      <c r="AY24" s="34">
        <f>IF(AND(AY$5&gt;=$F24,AY$5&lt;=$G24),1,"")</f>
        <v/>
      </c>
      <c r="AZ24" s="34">
        <f>IF(AND(AZ$5&gt;=$F24,AZ$5&lt;=$G24),1,"")</f>
        <v/>
      </c>
      <c r="BA24" s="34">
        <f>IF(AND(BA$5&gt;=$F24,BA$5&lt;=$G24),1,"")</f>
        <v/>
      </c>
      <c r="BB24" s="34">
        <f>IF(AND(BB$5&gt;=$F24,BB$5&lt;=$G24),1,"")</f>
        <v/>
      </c>
      <c r="BC24" s="34">
        <f>IF(AND(BC$5&gt;=$F24,BC$5&lt;=$G24),1,"")</f>
        <v/>
      </c>
      <c r="BD24" s="34">
        <f>IF(AND(BD$5&gt;=$F24,BD$5&lt;=$G24),1,"")</f>
        <v/>
      </c>
      <c r="BE24" s="34">
        <f>IF(AND(BE$5&gt;=$F24,BE$5&lt;=$G24),1,"")</f>
        <v/>
      </c>
      <c r="BF24" s="34">
        <f>IF(AND(BF$5&gt;=$F24,BF$5&lt;=$G24),1,"")</f>
        <v/>
      </c>
      <c r="BG24" s="34">
        <f>IF(AND(BG$5&gt;=$F24,BG$5&lt;=$G24),1,"")</f>
        <v/>
      </c>
      <c r="BH24" s="34">
        <f>IF(AND(BH$5&gt;=$F24,BH$5&lt;=$G24),1,"")</f>
        <v/>
      </c>
      <c r="BI24" s="34">
        <f>IF(AND(BI$5&gt;=$F24,BI$5&lt;=$G24),1,"")</f>
        <v/>
      </c>
      <c r="BJ24" s="34">
        <f>IF(AND(BJ$5&gt;=$F24,BJ$5&lt;=$G24),1,"")</f>
        <v/>
      </c>
      <c r="BK24" s="34">
        <f>IF(AND(BK$5&gt;=$F24,BK$5&lt;=$G24),1,"")</f>
        <v/>
      </c>
      <c r="BL24" s="34">
        <f>IF(AND(BL$5&gt;=$F24,BL$5&lt;=$G24),1,"")</f>
        <v/>
      </c>
      <c r="BM24" s="34">
        <f>IF(AND(BM$5&gt;=$F24,BM$5&lt;=$G24),1,"")</f>
        <v/>
      </c>
      <c r="BN24" s="34">
        <f>IF(AND(BN$5&gt;=$F24,BN$5&lt;=$G24),1,"")</f>
        <v/>
      </c>
    </row>
    <row r="25" ht="14.25" customHeight="1" s="36">
      <c r="A25" s="13" t="inlineStr">
        <is>
          <t>1 Inicio</t>
        </is>
      </c>
      <c r="B25" s="13" t="inlineStr">
        <is>
          <t>1.5.1</t>
        </is>
      </c>
      <c r="C25" s="13" t="inlineStr">
        <is>
          <t>Plan de calidad y plan de pruebas</t>
        </is>
      </c>
      <c r="D25" s="13" t="inlineStr">
        <is>
          <t>G</t>
        </is>
      </c>
      <c r="E25" s="13" t="inlineStr">
        <is>
          <t>Calidad y pruebas</t>
        </is>
      </c>
      <c r="F25" s="13" t="n">
        <v>2</v>
      </c>
      <c r="G25" s="13" t="n">
        <v>2</v>
      </c>
      <c r="H25" s="13">
        <f>G25-F25+1</f>
        <v/>
      </c>
      <c r="I25" s="31" t="n">
        <v>80</v>
      </c>
      <c r="J25" s="13" t="inlineStr">
        <is>
          <t>Con entregable (actividades en hoja «Actividades hasta H2»)</t>
        </is>
      </c>
      <c r="K25" s="34">
        <f>IF(AND(K$5&gt;=$F25,K$5&lt;=$G25),1,"")</f>
        <v/>
      </c>
      <c r="L25" s="34">
        <f>IF(AND(L$5&gt;=$F25,L$5&lt;=$G25),1,"")</f>
        <v/>
      </c>
      <c r="M25" s="34">
        <f>IF(AND(M$5&gt;=$F25,M$5&lt;=$G25),1,"")</f>
        <v/>
      </c>
      <c r="N25" s="34">
        <f>IF(AND(N$5&gt;=$F25,N$5&lt;=$G25),1,"")</f>
        <v/>
      </c>
      <c r="O25" s="34">
        <f>IF(AND(O$5&gt;=$F25,O$5&lt;=$G25),1,"")</f>
        <v/>
      </c>
      <c r="P25" s="34">
        <f>IF(AND(P$5&gt;=$F25,P$5&lt;=$G25),1,"")</f>
        <v/>
      </c>
      <c r="Q25" s="34">
        <f>IF(AND(Q$5&gt;=$F25,Q$5&lt;=$G25),1,"")</f>
        <v/>
      </c>
      <c r="R25" s="34">
        <f>IF(AND(R$5&gt;=$F25,R$5&lt;=$G25),1,"")</f>
        <v/>
      </c>
      <c r="S25" s="34">
        <f>IF(AND(S$5&gt;=$F25,S$5&lt;=$G25),1,"")</f>
        <v/>
      </c>
      <c r="T25" s="34">
        <f>IF(AND(T$5&gt;=$F25,T$5&lt;=$G25),1,"")</f>
        <v/>
      </c>
      <c r="U25" s="34">
        <f>IF(AND(U$5&gt;=$F25,U$5&lt;=$G25),1,"")</f>
        <v/>
      </c>
      <c r="V25" s="34">
        <f>IF(AND(V$5&gt;=$F25,V$5&lt;=$G25),1,"")</f>
        <v/>
      </c>
      <c r="W25" s="34">
        <f>IF(AND(W$5&gt;=$F25,W$5&lt;=$G25),1,"")</f>
        <v/>
      </c>
      <c r="X25" s="34">
        <f>IF(AND(X$5&gt;=$F25,X$5&lt;=$G25),1,"")</f>
        <v/>
      </c>
      <c r="Y25" s="34">
        <f>IF(AND(Y$5&gt;=$F25,Y$5&lt;=$G25),1,"")</f>
        <v/>
      </c>
      <c r="Z25" s="34">
        <f>IF(AND(Z$5&gt;=$F25,Z$5&lt;=$G25),1,"")</f>
        <v/>
      </c>
      <c r="AA25" s="34">
        <f>IF(AND(AA$5&gt;=$F25,AA$5&lt;=$G25),1,"")</f>
        <v/>
      </c>
      <c r="AB25" s="34">
        <f>IF(AND(AB$5&gt;=$F25,AB$5&lt;=$G25),1,"")</f>
        <v/>
      </c>
      <c r="AC25" s="34">
        <f>IF(AND(AC$5&gt;=$F25,AC$5&lt;=$G25),1,"")</f>
        <v/>
      </c>
      <c r="AD25" s="34">
        <f>IF(AND(AD$5&gt;=$F25,AD$5&lt;=$G25),1,"")</f>
        <v/>
      </c>
      <c r="AE25" s="34">
        <f>IF(AND(AE$5&gt;=$F25,AE$5&lt;=$G25),1,"")</f>
        <v/>
      </c>
      <c r="AF25" s="34">
        <f>IF(AND(AF$5&gt;=$F25,AF$5&lt;=$G25),1,"")</f>
        <v/>
      </c>
      <c r="AG25" s="34">
        <f>IF(AND(AG$5&gt;=$F25,AG$5&lt;=$G25),1,"")</f>
        <v/>
      </c>
      <c r="AH25" s="34">
        <f>IF(AND(AH$5&gt;=$F25,AH$5&lt;=$G25),1,"")</f>
        <v/>
      </c>
      <c r="AI25" s="34">
        <f>IF(AND(AI$5&gt;=$F25,AI$5&lt;=$G25),1,"")</f>
        <v/>
      </c>
      <c r="AJ25" s="34">
        <f>IF(AND(AJ$5&gt;=$F25,AJ$5&lt;=$G25),1,"")</f>
        <v/>
      </c>
      <c r="AK25" s="34">
        <f>IF(AND(AK$5&gt;=$F25,AK$5&lt;=$G25),1,"")</f>
        <v/>
      </c>
      <c r="AL25" s="34">
        <f>IF(AND(AL$5&gt;=$F25,AL$5&lt;=$G25),1,"")</f>
        <v/>
      </c>
      <c r="AM25" s="34">
        <f>IF(AND(AM$5&gt;=$F25,AM$5&lt;=$G25),1,"")</f>
        <v/>
      </c>
      <c r="AN25" s="34">
        <f>IF(AND(AN$5&gt;=$F25,AN$5&lt;=$G25),1,"")</f>
        <v/>
      </c>
      <c r="AO25" s="34">
        <f>IF(AND(AO$5&gt;=$F25,AO$5&lt;=$G25),1,"")</f>
        <v/>
      </c>
      <c r="AP25" s="34">
        <f>IF(AND(AP$5&gt;=$F25,AP$5&lt;=$G25),1,"")</f>
        <v/>
      </c>
      <c r="AQ25" s="34">
        <f>IF(AND(AQ$5&gt;=$F25,AQ$5&lt;=$G25),1,"")</f>
        <v/>
      </c>
      <c r="AR25" s="34">
        <f>IF(AND(AR$5&gt;=$F25,AR$5&lt;=$G25),1,"")</f>
        <v/>
      </c>
      <c r="AS25" s="34">
        <f>IF(AND(AS$5&gt;=$F25,AS$5&lt;=$G25),1,"")</f>
        <v/>
      </c>
      <c r="AT25" s="34">
        <f>IF(AND(AT$5&gt;=$F25,AT$5&lt;=$G25),1,"")</f>
        <v/>
      </c>
      <c r="AU25" s="34">
        <f>IF(AND(AU$5&gt;=$F25,AU$5&lt;=$G25),1,"")</f>
        <v/>
      </c>
      <c r="AV25" s="34">
        <f>IF(AND(AV$5&gt;=$F25,AV$5&lt;=$G25),1,"")</f>
        <v/>
      </c>
      <c r="AW25" s="34">
        <f>IF(AND(AW$5&gt;=$F25,AW$5&lt;=$G25),1,"")</f>
        <v/>
      </c>
      <c r="AX25" s="34">
        <f>IF(AND(AX$5&gt;=$F25,AX$5&lt;=$G25),1,"")</f>
        <v/>
      </c>
      <c r="AY25" s="34">
        <f>IF(AND(AY$5&gt;=$F25,AY$5&lt;=$G25),1,"")</f>
        <v/>
      </c>
      <c r="AZ25" s="34">
        <f>IF(AND(AZ$5&gt;=$F25,AZ$5&lt;=$G25),1,"")</f>
        <v/>
      </c>
      <c r="BA25" s="34">
        <f>IF(AND(BA$5&gt;=$F25,BA$5&lt;=$G25),1,"")</f>
        <v/>
      </c>
      <c r="BB25" s="34">
        <f>IF(AND(BB$5&gt;=$F25,BB$5&lt;=$G25),1,"")</f>
        <v/>
      </c>
      <c r="BC25" s="34">
        <f>IF(AND(BC$5&gt;=$F25,BC$5&lt;=$G25),1,"")</f>
        <v/>
      </c>
      <c r="BD25" s="34">
        <f>IF(AND(BD$5&gt;=$F25,BD$5&lt;=$G25),1,"")</f>
        <v/>
      </c>
      <c r="BE25" s="34">
        <f>IF(AND(BE$5&gt;=$F25,BE$5&lt;=$G25),1,"")</f>
        <v/>
      </c>
      <c r="BF25" s="34">
        <f>IF(AND(BF$5&gt;=$F25,BF$5&lt;=$G25),1,"")</f>
        <v/>
      </c>
      <c r="BG25" s="34">
        <f>IF(AND(BG$5&gt;=$F25,BG$5&lt;=$G25),1,"")</f>
        <v/>
      </c>
      <c r="BH25" s="34">
        <f>IF(AND(BH$5&gt;=$F25,BH$5&lt;=$G25),1,"")</f>
        <v/>
      </c>
      <c r="BI25" s="34">
        <f>IF(AND(BI$5&gt;=$F25,BI$5&lt;=$G25),1,"")</f>
        <v/>
      </c>
      <c r="BJ25" s="34">
        <f>IF(AND(BJ$5&gt;=$F25,BJ$5&lt;=$G25),1,"")</f>
        <v/>
      </c>
      <c r="BK25" s="34">
        <f>IF(AND(BK$5&gt;=$F25,BK$5&lt;=$G25),1,"")</f>
        <v/>
      </c>
      <c r="BL25" s="34">
        <f>IF(AND(BL$5&gt;=$F25,BL$5&lt;=$G25),1,"")</f>
        <v/>
      </c>
      <c r="BM25" s="34">
        <f>IF(AND(BM$5&gt;=$F25,BM$5&lt;=$G25),1,"")</f>
        <v/>
      </c>
      <c r="BN25" s="34">
        <f>IF(AND(BN$5&gt;=$F25,BN$5&lt;=$G25),1,"")</f>
        <v/>
      </c>
    </row>
    <row r="26" ht="14.25" customHeight="1" s="36">
      <c r="A26" s="13" t="inlineStr">
        <is>
          <t>1 Inicio</t>
        </is>
      </c>
      <c r="B26" s="13" t="inlineStr">
        <is>
          <t>1.5.2</t>
        </is>
      </c>
      <c r="C26" s="13" t="inlineStr">
        <is>
          <t>Puertas de calidad automáticas en la cadena de integración (cobertura mínima del 80 %)</t>
        </is>
      </c>
      <c r="D26" s="13" t="inlineStr">
        <is>
          <t>G</t>
        </is>
      </c>
      <c r="E26" s="13" t="inlineStr">
        <is>
          <t>Calidad y pruebas</t>
        </is>
      </c>
      <c r="F26" s="13" t="n">
        <v>6</v>
      </c>
      <c r="G26" s="13" t="n">
        <v>20</v>
      </c>
      <c r="H26" s="13">
        <f>G26-F26+1</f>
        <v/>
      </c>
      <c r="I26" s="31" t="n">
        <v>80</v>
      </c>
      <c r="J26" s="13" t="inlineStr">
        <is>
          <t>Esfuerzo continuo (por quincena u ocurrencia)</t>
        </is>
      </c>
      <c r="K26" s="34">
        <f>IF(AND(K$5&gt;=$F26,K$5&lt;=$G26),1,"")</f>
        <v/>
      </c>
      <c r="L26" s="34">
        <f>IF(AND(L$5&gt;=$F26,L$5&lt;=$G26),1,"")</f>
        <v/>
      </c>
      <c r="M26" s="34">
        <f>IF(AND(M$5&gt;=$F26,M$5&lt;=$G26),1,"")</f>
        <v/>
      </c>
      <c r="N26" s="34">
        <f>IF(AND(N$5&gt;=$F26,N$5&lt;=$G26),1,"")</f>
        <v/>
      </c>
      <c r="O26" s="34">
        <f>IF(AND(O$5&gt;=$F26,O$5&lt;=$G26),1,"")</f>
        <v/>
      </c>
      <c r="P26" s="34">
        <f>IF(AND(P$5&gt;=$F26,P$5&lt;=$G26),1,"")</f>
        <v/>
      </c>
      <c r="Q26" s="34">
        <f>IF(AND(Q$5&gt;=$F26,Q$5&lt;=$G26),1,"")</f>
        <v/>
      </c>
      <c r="R26" s="34">
        <f>IF(AND(R$5&gt;=$F26,R$5&lt;=$G26),1,"")</f>
        <v/>
      </c>
      <c r="S26" s="34">
        <f>IF(AND(S$5&gt;=$F26,S$5&lt;=$G26),1,"")</f>
        <v/>
      </c>
      <c r="T26" s="34">
        <f>IF(AND(T$5&gt;=$F26,T$5&lt;=$G26),1,"")</f>
        <v/>
      </c>
      <c r="U26" s="34">
        <f>IF(AND(U$5&gt;=$F26,U$5&lt;=$G26),1,"")</f>
        <v/>
      </c>
      <c r="V26" s="34">
        <f>IF(AND(V$5&gt;=$F26,V$5&lt;=$G26),1,"")</f>
        <v/>
      </c>
      <c r="W26" s="34">
        <f>IF(AND(W$5&gt;=$F26,W$5&lt;=$G26),1,"")</f>
        <v/>
      </c>
      <c r="X26" s="34">
        <f>IF(AND(X$5&gt;=$F26,X$5&lt;=$G26),1,"")</f>
        <v/>
      </c>
      <c r="Y26" s="34">
        <f>IF(AND(Y$5&gt;=$F26,Y$5&lt;=$G26),1,"")</f>
        <v/>
      </c>
      <c r="Z26" s="34">
        <f>IF(AND(Z$5&gt;=$F26,Z$5&lt;=$G26),1,"")</f>
        <v/>
      </c>
      <c r="AA26" s="34">
        <f>IF(AND(AA$5&gt;=$F26,AA$5&lt;=$G26),1,"")</f>
        <v/>
      </c>
      <c r="AB26" s="34">
        <f>IF(AND(AB$5&gt;=$F26,AB$5&lt;=$G26),1,"")</f>
        <v/>
      </c>
      <c r="AC26" s="34">
        <f>IF(AND(AC$5&gt;=$F26,AC$5&lt;=$G26),1,"")</f>
        <v/>
      </c>
      <c r="AD26" s="34">
        <f>IF(AND(AD$5&gt;=$F26,AD$5&lt;=$G26),1,"")</f>
        <v/>
      </c>
      <c r="AE26" s="34">
        <f>IF(AND(AE$5&gt;=$F26,AE$5&lt;=$G26),1,"")</f>
        <v/>
      </c>
      <c r="AF26" s="34">
        <f>IF(AND(AF$5&gt;=$F26,AF$5&lt;=$G26),1,"")</f>
        <v/>
      </c>
      <c r="AG26" s="34">
        <f>IF(AND(AG$5&gt;=$F26,AG$5&lt;=$G26),1,"")</f>
        <v/>
      </c>
      <c r="AH26" s="34">
        <f>IF(AND(AH$5&gt;=$F26,AH$5&lt;=$G26),1,"")</f>
        <v/>
      </c>
      <c r="AI26" s="34">
        <f>IF(AND(AI$5&gt;=$F26,AI$5&lt;=$G26),1,"")</f>
        <v/>
      </c>
      <c r="AJ26" s="34">
        <f>IF(AND(AJ$5&gt;=$F26,AJ$5&lt;=$G26),1,"")</f>
        <v/>
      </c>
      <c r="AK26" s="34">
        <f>IF(AND(AK$5&gt;=$F26,AK$5&lt;=$G26),1,"")</f>
        <v/>
      </c>
      <c r="AL26" s="34">
        <f>IF(AND(AL$5&gt;=$F26,AL$5&lt;=$G26),1,"")</f>
        <v/>
      </c>
      <c r="AM26" s="34">
        <f>IF(AND(AM$5&gt;=$F26,AM$5&lt;=$G26),1,"")</f>
        <v/>
      </c>
      <c r="AN26" s="34">
        <f>IF(AND(AN$5&gt;=$F26,AN$5&lt;=$G26),1,"")</f>
        <v/>
      </c>
      <c r="AO26" s="34">
        <f>IF(AND(AO$5&gt;=$F26,AO$5&lt;=$G26),1,"")</f>
        <v/>
      </c>
      <c r="AP26" s="34">
        <f>IF(AND(AP$5&gt;=$F26,AP$5&lt;=$G26),1,"")</f>
        <v/>
      </c>
      <c r="AQ26" s="34">
        <f>IF(AND(AQ$5&gt;=$F26,AQ$5&lt;=$G26),1,"")</f>
        <v/>
      </c>
      <c r="AR26" s="34">
        <f>IF(AND(AR$5&gt;=$F26,AR$5&lt;=$G26),1,"")</f>
        <v/>
      </c>
      <c r="AS26" s="34">
        <f>IF(AND(AS$5&gt;=$F26,AS$5&lt;=$G26),1,"")</f>
        <v/>
      </c>
      <c r="AT26" s="34">
        <f>IF(AND(AT$5&gt;=$F26,AT$5&lt;=$G26),1,"")</f>
        <v/>
      </c>
      <c r="AU26" s="34">
        <f>IF(AND(AU$5&gt;=$F26,AU$5&lt;=$G26),1,"")</f>
        <v/>
      </c>
      <c r="AV26" s="34">
        <f>IF(AND(AV$5&gt;=$F26,AV$5&lt;=$G26),1,"")</f>
        <v/>
      </c>
      <c r="AW26" s="34">
        <f>IF(AND(AW$5&gt;=$F26,AW$5&lt;=$G26),1,"")</f>
        <v/>
      </c>
      <c r="AX26" s="34">
        <f>IF(AND(AX$5&gt;=$F26,AX$5&lt;=$G26),1,"")</f>
        <v/>
      </c>
      <c r="AY26" s="34">
        <f>IF(AND(AY$5&gt;=$F26,AY$5&lt;=$G26),1,"")</f>
        <v/>
      </c>
      <c r="AZ26" s="34">
        <f>IF(AND(AZ$5&gt;=$F26,AZ$5&lt;=$G26),1,"")</f>
        <v/>
      </c>
      <c r="BA26" s="34">
        <f>IF(AND(BA$5&gt;=$F26,BA$5&lt;=$G26),1,"")</f>
        <v/>
      </c>
      <c r="BB26" s="34">
        <f>IF(AND(BB$5&gt;=$F26,BB$5&lt;=$G26),1,"")</f>
        <v/>
      </c>
      <c r="BC26" s="34">
        <f>IF(AND(BC$5&gt;=$F26,BC$5&lt;=$G26),1,"")</f>
        <v/>
      </c>
      <c r="BD26" s="34">
        <f>IF(AND(BD$5&gt;=$F26,BD$5&lt;=$G26),1,"")</f>
        <v/>
      </c>
      <c r="BE26" s="34">
        <f>IF(AND(BE$5&gt;=$F26,BE$5&lt;=$G26),1,"")</f>
        <v/>
      </c>
      <c r="BF26" s="34">
        <f>IF(AND(BF$5&gt;=$F26,BF$5&lt;=$G26),1,"")</f>
        <v/>
      </c>
      <c r="BG26" s="34">
        <f>IF(AND(BG$5&gt;=$F26,BG$5&lt;=$G26),1,"")</f>
        <v/>
      </c>
      <c r="BH26" s="34">
        <f>IF(AND(BH$5&gt;=$F26,BH$5&lt;=$G26),1,"")</f>
        <v/>
      </c>
      <c r="BI26" s="34">
        <f>IF(AND(BI$5&gt;=$F26,BI$5&lt;=$G26),1,"")</f>
        <v/>
      </c>
      <c r="BJ26" s="34">
        <f>IF(AND(BJ$5&gt;=$F26,BJ$5&lt;=$G26),1,"")</f>
        <v/>
      </c>
      <c r="BK26" s="34">
        <f>IF(AND(BK$5&gt;=$F26,BK$5&lt;=$G26),1,"")</f>
        <v/>
      </c>
      <c r="BL26" s="34">
        <f>IF(AND(BL$5&gt;=$F26,BL$5&lt;=$G26),1,"")</f>
        <v/>
      </c>
      <c r="BM26" s="34">
        <f>IF(AND(BM$5&gt;=$F26,BM$5&lt;=$G26),1,"")</f>
        <v/>
      </c>
      <c r="BN26" s="34">
        <f>IF(AND(BN$5&gt;=$F26,BN$5&lt;=$G26),1,"")</f>
        <v/>
      </c>
    </row>
    <row r="27" ht="14.25" customHeight="1" s="36">
      <c r="A27" s="13" t="inlineStr">
        <is>
          <t>1 Inicio</t>
        </is>
      </c>
      <c r="B27" s="13" t="inlineStr">
        <is>
          <t>1.6.1</t>
        </is>
      </c>
      <c r="C27" s="13" t="inlineStr">
        <is>
          <t>Plan de riesgos y registro inicial de riesgos según ISO 31000</t>
        </is>
      </c>
      <c r="D27" s="13" t="inlineStr">
        <is>
          <t>G</t>
        </is>
      </c>
      <c r="E27" s="13" t="inlineStr">
        <is>
          <t>Jefe de Proyecto</t>
        </is>
      </c>
      <c r="F27" s="13" t="n">
        <v>2</v>
      </c>
      <c r="G27" s="13" t="n">
        <v>2</v>
      </c>
      <c r="H27" s="13">
        <f>G27-F27+1</f>
        <v/>
      </c>
      <c r="I27" s="31" t="n">
        <v>80</v>
      </c>
      <c r="J27" s="13" t="inlineStr">
        <is>
          <t>Con entregable (actividades en hoja «Actividades hasta H2»)</t>
        </is>
      </c>
      <c r="K27" s="34">
        <f>IF(AND(K$5&gt;=$F27,K$5&lt;=$G27),1,"")</f>
        <v/>
      </c>
      <c r="L27" s="34">
        <f>IF(AND(L$5&gt;=$F27,L$5&lt;=$G27),1,"")</f>
        <v/>
      </c>
      <c r="M27" s="34">
        <f>IF(AND(M$5&gt;=$F27,M$5&lt;=$G27),1,"")</f>
        <v/>
      </c>
      <c r="N27" s="34">
        <f>IF(AND(N$5&gt;=$F27,N$5&lt;=$G27),1,"")</f>
        <v/>
      </c>
      <c r="O27" s="34">
        <f>IF(AND(O$5&gt;=$F27,O$5&lt;=$G27),1,"")</f>
        <v/>
      </c>
      <c r="P27" s="34">
        <f>IF(AND(P$5&gt;=$F27,P$5&lt;=$G27),1,"")</f>
        <v/>
      </c>
      <c r="Q27" s="34">
        <f>IF(AND(Q$5&gt;=$F27,Q$5&lt;=$G27),1,"")</f>
        <v/>
      </c>
      <c r="R27" s="34">
        <f>IF(AND(R$5&gt;=$F27,R$5&lt;=$G27),1,"")</f>
        <v/>
      </c>
      <c r="S27" s="34">
        <f>IF(AND(S$5&gt;=$F27,S$5&lt;=$G27),1,"")</f>
        <v/>
      </c>
      <c r="T27" s="34">
        <f>IF(AND(T$5&gt;=$F27,T$5&lt;=$G27),1,"")</f>
        <v/>
      </c>
      <c r="U27" s="34">
        <f>IF(AND(U$5&gt;=$F27,U$5&lt;=$G27),1,"")</f>
        <v/>
      </c>
      <c r="V27" s="34">
        <f>IF(AND(V$5&gt;=$F27,V$5&lt;=$G27),1,"")</f>
        <v/>
      </c>
      <c r="W27" s="34">
        <f>IF(AND(W$5&gt;=$F27,W$5&lt;=$G27),1,"")</f>
        <v/>
      </c>
      <c r="X27" s="34">
        <f>IF(AND(X$5&gt;=$F27,X$5&lt;=$G27),1,"")</f>
        <v/>
      </c>
      <c r="Y27" s="34">
        <f>IF(AND(Y$5&gt;=$F27,Y$5&lt;=$G27),1,"")</f>
        <v/>
      </c>
      <c r="Z27" s="34">
        <f>IF(AND(Z$5&gt;=$F27,Z$5&lt;=$G27),1,"")</f>
        <v/>
      </c>
      <c r="AA27" s="34">
        <f>IF(AND(AA$5&gt;=$F27,AA$5&lt;=$G27),1,"")</f>
        <v/>
      </c>
      <c r="AB27" s="34">
        <f>IF(AND(AB$5&gt;=$F27,AB$5&lt;=$G27),1,"")</f>
        <v/>
      </c>
      <c r="AC27" s="34">
        <f>IF(AND(AC$5&gt;=$F27,AC$5&lt;=$G27),1,"")</f>
        <v/>
      </c>
      <c r="AD27" s="34">
        <f>IF(AND(AD$5&gt;=$F27,AD$5&lt;=$G27),1,"")</f>
        <v/>
      </c>
      <c r="AE27" s="34">
        <f>IF(AND(AE$5&gt;=$F27,AE$5&lt;=$G27),1,"")</f>
        <v/>
      </c>
      <c r="AF27" s="34">
        <f>IF(AND(AF$5&gt;=$F27,AF$5&lt;=$G27),1,"")</f>
        <v/>
      </c>
      <c r="AG27" s="34">
        <f>IF(AND(AG$5&gt;=$F27,AG$5&lt;=$G27),1,"")</f>
        <v/>
      </c>
      <c r="AH27" s="34">
        <f>IF(AND(AH$5&gt;=$F27,AH$5&lt;=$G27),1,"")</f>
        <v/>
      </c>
      <c r="AI27" s="34">
        <f>IF(AND(AI$5&gt;=$F27,AI$5&lt;=$G27),1,"")</f>
        <v/>
      </c>
      <c r="AJ27" s="34">
        <f>IF(AND(AJ$5&gt;=$F27,AJ$5&lt;=$G27),1,"")</f>
        <v/>
      </c>
      <c r="AK27" s="34">
        <f>IF(AND(AK$5&gt;=$F27,AK$5&lt;=$G27),1,"")</f>
        <v/>
      </c>
      <c r="AL27" s="34">
        <f>IF(AND(AL$5&gt;=$F27,AL$5&lt;=$G27),1,"")</f>
        <v/>
      </c>
      <c r="AM27" s="34">
        <f>IF(AND(AM$5&gt;=$F27,AM$5&lt;=$G27),1,"")</f>
        <v/>
      </c>
      <c r="AN27" s="34">
        <f>IF(AND(AN$5&gt;=$F27,AN$5&lt;=$G27),1,"")</f>
        <v/>
      </c>
      <c r="AO27" s="34">
        <f>IF(AND(AO$5&gt;=$F27,AO$5&lt;=$G27),1,"")</f>
        <v/>
      </c>
      <c r="AP27" s="34">
        <f>IF(AND(AP$5&gt;=$F27,AP$5&lt;=$G27),1,"")</f>
        <v/>
      </c>
      <c r="AQ27" s="34">
        <f>IF(AND(AQ$5&gt;=$F27,AQ$5&lt;=$G27),1,"")</f>
        <v/>
      </c>
      <c r="AR27" s="34">
        <f>IF(AND(AR$5&gt;=$F27,AR$5&lt;=$G27),1,"")</f>
        <v/>
      </c>
      <c r="AS27" s="34">
        <f>IF(AND(AS$5&gt;=$F27,AS$5&lt;=$G27),1,"")</f>
        <v/>
      </c>
      <c r="AT27" s="34">
        <f>IF(AND(AT$5&gt;=$F27,AT$5&lt;=$G27),1,"")</f>
        <v/>
      </c>
      <c r="AU27" s="34">
        <f>IF(AND(AU$5&gt;=$F27,AU$5&lt;=$G27),1,"")</f>
        <v/>
      </c>
      <c r="AV27" s="34">
        <f>IF(AND(AV$5&gt;=$F27,AV$5&lt;=$G27),1,"")</f>
        <v/>
      </c>
      <c r="AW27" s="34">
        <f>IF(AND(AW$5&gt;=$F27,AW$5&lt;=$G27),1,"")</f>
        <v/>
      </c>
      <c r="AX27" s="34">
        <f>IF(AND(AX$5&gt;=$F27,AX$5&lt;=$G27),1,"")</f>
        <v/>
      </c>
      <c r="AY27" s="34">
        <f>IF(AND(AY$5&gt;=$F27,AY$5&lt;=$G27),1,"")</f>
        <v/>
      </c>
      <c r="AZ27" s="34">
        <f>IF(AND(AZ$5&gt;=$F27,AZ$5&lt;=$G27),1,"")</f>
        <v/>
      </c>
      <c r="BA27" s="34">
        <f>IF(AND(BA$5&gt;=$F27,BA$5&lt;=$G27),1,"")</f>
        <v/>
      </c>
      <c r="BB27" s="34">
        <f>IF(AND(BB$5&gt;=$F27,BB$5&lt;=$G27),1,"")</f>
        <v/>
      </c>
      <c r="BC27" s="34">
        <f>IF(AND(BC$5&gt;=$F27,BC$5&lt;=$G27),1,"")</f>
        <v/>
      </c>
      <c r="BD27" s="34">
        <f>IF(AND(BD$5&gt;=$F27,BD$5&lt;=$G27),1,"")</f>
        <v/>
      </c>
      <c r="BE27" s="34">
        <f>IF(AND(BE$5&gt;=$F27,BE$5&lt;=$G27),1,"")</f>
        <v/>
      </c>
      <c r="BF27" s="34">
        <f>IF(AND(BF$5&gt;=$F27,BF$5&lt;=$G27),1,"")</f>
        <v/>
      </c>
      <c r="BG27" s="34">
        <f>IF(AND(BG$5&gt;=$F27,BG$5&lt;=$G27),1,"")</f>
        <v/>
      </c>
      <c r="BH27" s="34">
        <f>IF(AND(BH$5&gt;=$F27,BH$5&lt;=$G27),1,"")</f>
        <v/>
      </c>
      <c r="BI27" s="34">
        <f>IF(AND(BI$5&gt;=$F27,BI$5&lt;=$G27),1,"")</f>
        <v/>
      </c>
      <c r="BJ27" s="34">
        <f>IF(AND(BJ$5&gt;=$F27,BJ$5&lt;=$G27),1,"")</f>
        <v/>
      </c>
      <c r="BK27" s="34">
        <f>IF(AND(BK$5&gt;=$F27,BK$5&lt;=$G27),1,"")</f>
        <v/>
      </c>
      <c r="BL27" s="34">
        <f>IF(AND(BL$5&gt;=$F27,BL$5&lt;=$G27),1,"")</f>
        <v/>
      </c>
      <c r="BM27" s="34">
        <f>IF(AND(BM$5&gt;=$F27,BM$5&lt;=$G27),1,"")</f>
        <v/>
      </c>
      <c r="BN27" s="34">
        <f>IF(AND(BN$5&gt;=$F27,BN$5&lt;=$G27),1,"")</f>
        <v/>
      </c>
    </row>
    <row r="28" ht="14.25" customHeight="1" s="36">
      <c r="A28" s="13" t="inlineStr">
        <is>
          <t>1 Inicio</t>
        </is>
      </c>
      <c r="B28" s="13" t="inlineStr">
        <is>
          <t>1.6.2</t>
        </is>
      </c>
      <c r="C28" s="13" t="inlineStr">
        <is>
          <t>Registro de riesgos revisado en cada Comité de Proyecto</t>
        </is>
      </c>
      <c r="D28" s="13" t="inlineStr">
        <is>
          <t>R</t>
        </is>
      </c>
      <c r="E28" s="13" t="inlineStr">
        <is>
          <t>Jefe de Proyecto</t>
        </is>
      </c>
      <c r="F28" s="13" t="n">
        <v>1</v>
      </c>
      <c r="G28" s="13" t="n">
        <v>20</v>
      </c>
      <c r="H28" s="13">
        <f>G28-F28+1</f>
        <v/>
      </c>
      <c r="I28" s="31" t="n">
        <v>160</v>
      </c>
      <c r="J28" s="13" t="inlineStr">
        <is>
          <t>Esfuerzo continuo (por quincena u ocurrencia)</t>
        </is>
      </c>
      <c r="K28" s="34">
        <f>IF(AND(K$5&gt;=$F28,K$5&lt;=$G28),1,"")</f>
        <v/>
      </c>
      <c r="L28" s="34">
        <f>IF(AND(L$5&gt;=$F28,L$5&lt;=$G28),1,"")</f>
        <v/>
      </c>
      <c r="M28" s="34">
        <f>IF(AND(M$5&gt;=$F28,M$5&lt;=$G28),1,"")</f>
        <v/>
      </c>
      <c r="N28" s="34">
        <f>IF(AND(N$5&gt;=$F28,N$5&lt;=$G28),1,"")</f>
        <v/>
      </c>
      <c r="O28" s="34">
        <f>IF(AND(O$5&gt;=$F28,O$5&lt;=$G28),1,"")</f>
        <v/>
      </c>
      <c r="P28" s="34">
        <f>IF(AND(P$5&gt;=$F28,P$5&lt;=$G28),1,"")</f>
        <v/>
      </c>
      <c r="Q28" s="34">
        <f>IF(AND(Q$5&gt;=$F28,Q$5&lt;=$G28),1,"")</f>
        <v/>
      </c>
      <c r="R28" s="34">
        <f>IF(AND(R$5&gt;=$F28,R$5&lt;=$G28),1,"")</f>
        <v/>
      </c>
      <c r="S28" s="34">
        <f>IF(AND(S$5&gt;=$F28,S$5&lt;=$G28),1,"")</f>
        <v/>
      </c>
      <c r="T28" s="34">
        <f>IF(AND(T$5&gt;=$F28,T$5&lt;=$G28),1,"")</f>
        <v/>
      </c>
      <c r="U28" s="34">
        <f>IF(AND(U$5&gt;=$F28,U$5&lt;=$G28),1,"")</f>
        <v/>
      </c>
      <c r="V28" s="34">
        <f>IF(AND(V$5&gt;=$F28,V$5&lt;=$G28),1,"")</f>
        <v/>
      </c>
      <c r="W28" s="34">
        <f>IF(AND(W$5&gt;=$F28,W$5&lt;=$G28),1,"")</f>
        <v/>
      </c>
      <c r="X28" s="34">
        <f>IF(AND(X$5&gt;=$F28,X$5&lt;=$G28),1,"")</f>
        <v/>
      </c>
      <c r="Y28" s="34">
        <f>IF(AND(Y$5&gt;=$F28,Y$5&lt;=$G28),1,"")</f>
        <v/>
      </c>
      <c r="Z28" s="34">
        <f>IF(AND(Z$5&gt;=$F28,Z$5&lt;=$G28),1,"")</f>
        <v/>
      </c>
      <c r="AA28" s="34">
        <f>IF(AND(AA$5&gt;=$F28,AA$5&lt;=$G28),1,"")</f>
        <v/>
      </c>
      <c r="AB28" s="34">
        <f>IF(AND(AB$5&gt;=$F28,AB$5&lt;=$G28),1,"")</f>
        <v/>
      </c>
      <c r="AC28" s="34">
        <f>IF(AND(AC$5&gt;=$F28,AC$5&lt;=$G28),1,"")</f>
        <v/>
      </c>
      <c r="AD28" s="34">
        <f>IF(AND(AD$5&gt;=$F28,AD$5&lt;=$G28),1,"")</f>
        <v/>
      </c>
      <c r="AE28" s="34">
        <f>IF(AND(AE$5&gt;=$F28,AE$5&lt;=$G28),1,"")</f>
        <v/>
      </c>
      <c r="AF28" s="34">
        <f>IF(AND(AF$5&gt;=$F28,AF$5&lt;=$G28),1,"")</f>
        <v/>
      </c>
      <c r="AG28" s="34">
        <f>IF(AND(AG$5&gt;=$F28,AG$5&lt;=$G28),1,"")</f>
        <v/>
      </c>
      <c r="AH28" s="34">
        <f>IF(AND(AH$5&gt;=$F28,AH$5&lt;=$G28),1,"")</f>
        <v/>
      </c>
      <c r="AI28" s="34">
        <f>IF(AND(AI$5&gt;=$F28,AI$5&lt;=$G28),1,"")</f>
        <v/>
      </c>
      <c r="AJ28" s="34">
        <f>IF(AND(AJ$5&gt;=$F28,AJ$5&lt;=$G28),1,"")</f>
        <v/>
      </c>
      <c r="AK28" s="34">
        <f>IF(AND(AK$5&gt;=$F28,AK$5&lt;=$G28),1,"")</f>
        <v/>
      </c>
      <c r="AL28" s="34">
        <f>IF(AND(AL$5&gt;=$F28,AL$5&lt;=$G28),1,"")</f>
        <v/>
      </c>
      <c r="AM28" s="34">
        <f>IF(AND(AM$5&gt;=$F28,AM$5&lt;=$G28),1,"")</f>
        <v/>
      </c>
      <c r="AN28" s="34">
        <f>IF(AND(AN$5&gt;=$F28,AN$5&lt;=$G28),1,"")</f>
        <v/>
      </c>
      <c r="AO28" s="34">
        <f>IF(AND(AO$5&gt;=$F28,AO$5&lt;=$G28),1,"")</f>
        <v/>
      </c>
      <c r="AP28" s="34">
        <f>IF(AND(AP$5&gt;=$F28,AP$5&lt;=$G28),1,"")</f>
        <v/>
      </c>
      <c r="AQ28" s="34">
        <f>IF(AND(AQ$5&gt;=$F28,AQ$5&lt;=$G28),1,"")</f>
        <v/>
      </c>
      <c r="AR28" s="34">
        <f>IF(AND(AR$5&gt;=$F28,AR$5&lt;=$G28),1,"")</f>
        <v/>
      </c>
      <c r="AS28" s="34">
        <f>IF(AND(AS$5&gt;=$F28,AS$5&lt;=$G28),1,"")</f>
        <v/>
      </c>
      <c r="AT28" s="34">
        <f>IF(AND(AT$5&gt;=$F28,AT$5&lt;=$G28),1,"")</f>
        <v/>
      </c>
      <c r="AU28" s="34">
        <f>IF(AND(AU$5&gt;=$F28,AU$5&lt;=$G28),1,"")</f>
        <v/>
      </c>
      <c r="AV28" s="34">
        <f>IF(AND(AV$5&gt;=$F28,AV$5&lt;=$G28),1,"")</f>
        <v/>
      </c>
      <c r="AW28" s="34">
        <f>IF(AND(AW$5&gt;=$F28,AW$5&lt;=$G28),1,"")</f>
        <v/>
      </c>
      <c r="AX28" s="34">
        <f>IF(AND(AX$5&gt;=$F28,AX$5&lt;=$G28),1,"")</f>
        <v/>
      </c>
      <c r="AY28" s="34">
        <f>IF(AND(AY$5&gt;=$F28,AY$5&lt;=$G28),1,"")</f>
        <v/>
      </c>
      <c r="AZ28" s="34">
        <f>IF(AND(AZ$5&gt;=$F28,AZ$5&lt;=$G28),1,"")</f>
        <v/>
      </c>
      <c r="BA28" s="34">
        <f>IF(AND(BA$5&gt;=$F28,BA$5&lt;=$G28),1,"")</f>
        <v/>
      </c>
      <c r="BB28" s="34">
        <f>IF(AND(BB$5&gt;=$F28,BB$5&lt;=$G28),1,"")</f>
        <v/>
      </c>
      <c r="BC28" s="34">
        <f>IF(AND(BC$5&gt;=$F28,BC$5&lt;=$G28),1,"")</f>
        <v/>
      </c>
      <c r="BD28" s="34">
        <f>IF(AND(BD$5&gt;=$F28,BD$5&lt;=$G28),1,"")</f>
        <v/>
      </c>
      <c r="BE28" s="34">
        <f>IF(AND(BE$5&gt;=$F28,BE$5&lt;=$G28),1,"")</f>
        <v/>
      </c>
      <c r="BF28" s="34">
        <f>IF(AND(BF$5&gt;=$F28,BF$5&lt;=$G28),1,"")</f>
        <v/>
      </c>
      <c r="BG28" s="34">
        <f>IF(AND(BG$5&gt;=$F28,BG$5&lt;=$G28),1,"")</f>
        <v/>
      </c>
      <c r="BH28" s="34">
        <f>IF(AND(BH$5&gt;=$F28,BH$5&lt;=$G28),1,"")</f>
        <v/>
      </c>
      <c r="BI28" s="34">
        <f>IF(AND(BI$5&gt;=$F28,BI$5&lt;=$G28),1,"")</f>
        <v/>
      </c>
      <c r="BJ28" s="34">
        <f>IF(AND(BJ$5&gt;=$F28,BJ$5&lt;=$G28),1,"")</f>
        <v/>
      </c>
      <c r="BK28" s="34">
        <f>IF(AND(BK$5&gt;=$F28,BK$5&lt;=$G28),1,"")</f>
        <v/>
      </c>
      <c r="BL28" s="34">
        <f>IF(AND(BL$5&gt;=$F28,BL$5&lt;=$G28),1,"")</f>
        <v/>
      </c>
      <c r="BM28" s="34">
        <f>IF(AND(BM$5&gt;=$F28,BM$5&lt;=$G28),1,"")</f>
        <v/>
      </c>
      <c r="BN28" s="34">
        <f>IF(AND(BN$5&gt;=$F28,BN$5&lt;=$G28),1,"")</f>
        <v/>
      </c>
    </row>
    <row r="29" ht="14.25" customHeight="1" s="36">
      <c r="A29" s="13" t="inlineStr">
        <is>
          <t>1 Inicio</t>
        </is>
      </c>
      <c r="B29" s="13" t="inlineStr">
        <is>
          <t>1.7.1</t>
        </is>
      </c>
      <c r="C29" s="13" t="inlineStr">
        <is>
          <t>Plan de Reversibilidad inicial (primeros 90 días)</t>
        </is>
      </c>
      <c r="D29" s="13" t="inlineStr">
        <is>
          <t>G</t>
        </is>
      </c>
      <c r="E29" s="13" t="inlineStr">
        <is>
          <t>Jefe de Proyecto</t>
        </is>
      </c>
      <c r="F29" s="13" t="n">
        <v>3</v>
      </c>
      <c r="G29" s="13" t="n">
        <v>3</v>
      </c>
      <c r="H29" s="13">
        <f>G29-F29+1</f>
        <v/>
      </c>
      <c r="I29" s="31" t="n">
        <v>80</v>
      </c>
      <c r="J29" s="13" t="inlineStr">
        <is>
          <t>Con entregable (actividades en hoja «Actividades hasta H2»)</t>
        </is>
      </c>
      <c r="K29" s="34">
        <f>IF(AND(K$5&gt;=$F29,K$5&lt;=$G29),1,"")</f>
        <v/>
      </c>
      <c r="L29" s="34">
        <f>IF(AND(L$5&gt;=$F29,L$5&lt;=$G29),1,"")</f>
        <v/>
      </c>
      <c r="M29" s="34">
        <f>IF(AND(M$5&gt;=$F29,M$5&lt;=$G29),1,"")</f>
        <v/>
      </c>
      <c r="N29" s="34">
        <f>IF(AND(N$5&gt;=$F29,N$5&lt;=$G29),1,"")</f>
        <v/>
      </c>
      <c r="O29" s="34">
        <f>IF(AND(O$5&gt;=$F29,O$5&lt;=$G29),1,"")</f>
        <v/>
      </c>
      <c r="P29" s="34">
        <f>IF(AND(P$5&gt;=$F29,P$5&lt;=$G29),1,"")</f>
        <v/>
      </c>
      <c r="Q29" s="34">
        <f>IF(AND(Q$5&gt;=$F29,Q$5&lt;=$G29),1,"")</f>
        <v/>
      </c>
      <c r="R29" s="34">
        <f>IF(AND(R$5&gt;=$F29,R$5&lt;=$G29),1,"")</f>
        <v/>
      </c>
      <c r="S29" s="34">
        <f>IF(AND(S$5&gt;=$F29,S$5&lt;=$G29),1,"")</f>
        <v/>
      </c>
      <c r="T29" s="34">
        <f>IF(AND(T$5&gt;=$F29,T$5&lt;=$G29),1,"")</f>
        <v/>
      </c>
      <c r="U29" s="34">
        <f>IF(AND(U$5&gt;=$F29,U$5&lt;=$G29),1,"")</f>
        <v/>
      </c>
      <c r="V29" s="34">
        <f>IF(AND(V$5&gt;=$F29,V$5&lt;=$G29),1,"")</f>
        <v/>
      </c>
      <c r="W29" s="34">
        <f>IF(AND(W$5&gt;=$F29,W$5&lt;=$G29),1,"")</f>
        <v/>
      </c>
      <c r="X29" s="34">
        <f>IF(AND(X$5&gt;=$F29,X$5&lt;=$G29),1,"")</f>
        <v/>
      </c>
      <c r="Y29" s="34">
        <f>IF(AND(Y$5&gt;=$F29,Y$5&lt;=$G29),1,"")</f>
        <v/>
      </c>
      <c r="Z29" s="34">
        <f>IF(AND(Z$5&gt;=$F29,Z$5&lt;=$G29),1,"")</f>
        <v/>
      </c>
      <c r="AA29" s="34">
        <f>IF(AND(AA$5&gt;=$F29,AA$5&lt;=$G29),1,"")</f>
        <v/>
      </c>
      <c r="AB29" s="34">
        <f>IF(AND(AB$5&gt;=$F29,AB$5&lt;=$G29),1,"")</f>
        <v/>
      </c>
      <c r="AC29" s="34">
        <f>IF(AND(AC$5&gt;=$F29,AC$5&lt;=$G29),1,"")</f>
        <v/>
      </c>
      <c r="AD29" s="34">
        <f>IF(AND(AD$5&gt;=$F29,AD$5&lt;=$G29),1,"")</f>
        <v/>
      </c>
      <c r="AE29" s="34">
        <f>IF(AND(AE$5&gt;=$F29,AE$5&lt;=$G29),1,"")</f>
        <v/>
      </c>
      <c r="AF29" s="34">
        <f>IF(AND(AF$5&gt;=$F29,AF$5&lt;=$G29),1,"")</f>
        <v/>
      </c>
      <c r="AG29" s="34">
        <f>IF(AND(AG$5&gt;=$F29,AG$5&lt;=$G29),1,"")</f>
        <v/>
      </c>
      <c r="AH29" s="34">
        <f>IF(AND(AH$5&gt;=$F29,AH$5&lt;=$G29),1,"")</f>
        <v/>
      </c>
      <c r="AI29" s="34">
        <f>IF(AND(AI$5&gt;=$F29,AI$5&lt;=$G29),1,"")</f>
        <v/>
      </c>
      <c r="AJ29" s="34">
        <f>IF(AND(AJ$5&gt;=$F29,AJ$5&lt;=$G29),1,"")</f>
        <v/>
      </c>
      <c r="AK29" s="34">
        <f>IF(AND(AK$5&gt;=$F29,AK$5&lt;=$G29),1,"")</f>
        <v/>
      </c>
      <c r="AL29" s="34">
        <f>IF(AND(AL$5&gt;=$F29,AL$5&lt;=$G29),1,"")</f>
        <v/>
      </c>
      <c r="AM29" s="34">
        <f>IF(AND(AM$5&gt;=$F29,AM$5&lt;=$G29),1,"")</f>
        <v/>
      </c>
      <c r="AN29" s="34">
        <f>IF(AND(AN$5&gt;=$F29,AN$5&lt;=$G29),1,"")</f>
        <v/>
      </c>
      <c r="AO29" s="34">
        <f>IF(AND(AO$5&gt;=$F29,AO$5&lt;=$G29),1,"")</f>
        <v/>
      </c>
      <c r="AP29" s="34">
        <f>IF(AND(AP$5&gt;=$F29,AP$5&lt;=$G29),1,"")</f>
        <v/>
      </c>
      <c r="AQ29" s="34">
        <f>IF(AND(AQ$5&gt;=$F29,AQ$5&lt;=$G29),1,"")</f>
        <v/>
      </c>
      <c r="AR29" s="34">
        <f>IF(AND(AR$5&gt;=$F29,AR$5&lt;=$G29),1,"")</f>
        <v/>
      </c>
      <c r="AS29" s="34">
        <f>IF(AND(AS$5&gt;=$F29,AS$5&lt;=$G29),1,"")</f>
        <v/>
      </c>
      <c r="AT29" s="34">
        <f>IF(AND(AT$5&gt;=$F29,AT$5&lt;=$G29),1,"")</f>
        <v/>
      </c>
      <c r="AU29" s="34">
        <f>IF(AND(AU$5&gt;=$F29,AU$5&lt;=$G29),1,"")</f>
        <v/>
      </c>
      <c r="AV29" s="34">
        <f>IF(AND(AV$5&gt;=$F29,AV$5&lt;=$G29),1,"")</f>
        <v/>
      </c>
      <c r="AW29" s="34">
        <f>IF(AND(AW$5&gt;=$F29,AW$5&lt;=$G29),1,"")</f>
        <v/>
      </c>
      <c r="AX29" s="34">
        <f>IF(AND(AX$5&gt;=$F29,AX$5&lt;=$G29),1,"")</f>
        <v/>
      </c>
      <c r="AY29" s="34">
        <f>IF(AND(AY$5&gt;=$F29,AY$5&lt;=$G29),1,"")</f>
        <v/>
      </c>
      <c r="AZ29" s="34">
        <f>IF(AND(AZ$5&gt;=$F29,AZ$5&lt;=$G29),1,"")</f>
        <v/>
      </c>
      <c r="BA29" s="34">
        <f>IF(AND(BA$5&gt;=$F29,BA$5&lt;=$G29),1,"")</f>
        <v/>
      </c>
      <c r="BB29" s="34">
        <f>IF(AND(BB$5&gt;=$F29,BB$5&lt;=$G29),1,"")</f>
        <v/>
      </c>
      <c r="BC29" s="34">
        <f>IF(AND(BC$5&gt;=$F29,BC$5&lt;=$G29),1,"")</f>
        <v/>
      </c>
      <c r="BD29" s="34">
        <f>IF(AND(BD$5&gt;=$F29,BD$5&lt;=$G29),1,"")</f>
        <v/>
      </c>
      <c r="BE29" s="34">
        <f>IF(AND(BE$5&gt;=$F29,BE$5&lt;=$G29),1,"")</f>
        <v/>
      </c>
      <c r="BF29" s="34">
        <f>IF(AND(BF$5&gt;=$F29,BF$5&lt;=$G29),1,"")</f>
        <v/>
      </c>
      <c r="BG29" s="34">
        <f>IF(AND(BG$5&gt;=$F29,BG$5&lt;=$G29),1,"")</f>
        <v/>
      </c>
      <c r="BH29" s="34">
        <f>IF(AND(BH$5&gt;=$F29,BH$5&lt;=$G29),1,"")</f>
        <v/>
      </c>
      <c r="BI29" s="34">
        <f>IF(AND(BI$5&gt;=$F29,BI$5&lt;=$G29),1,"")</f>
        <v/>
      </c>
      <c r="BJ29" s="34">
        <f>IF(AND(BJ$5&gt;=$F29,BJ$5&lt;=$G29),1,"")</f>
        <v/>
      </c>
      <c r="BK29" s="34">
        <f>IF(AND(BK$5&gt;=$F29,BK$5&lt;=$G29),1,"")</f>
        <v/>
      </c>
      <c r="BL29" s="34">
        <f>IF(AND(BL$5&gt;=$F29,BL$5&lt;=$G29),1,"")</f>
        <v/>
      </c>
      <c r="BM29" s="34">
        <f>IF(AND(BM$5&gt;=$F29,BM$5&lt;=$G29),1,"")</f>
        <v/>
      </c>
      <c r="BN29" s="34">
        <f>IF(AND(BN$5&gt;=$F29,BN$5&lt;=$G29),1,"")</f>
        <v/>
      </c>
    </row>
    <row r="30" ht="14.25" customHeight="1" s="36">
      <c r="A30" s="13" t="inlineStr">
        <is>
          <t>1 Inicio</t>
        </is>
      </c>
      <c r="B30" s="13" t="inlineStr">
        <is>
          <t>1.7.2</t>
        </is>
      </c>
      <c r="C30" s="13" t="inlineStr">
        <is>
          <t>Primera actualización anual del Plan de Reversibilidad durante la implementación</t>
        </is>
      </c>
      <c r="D30" s="13" t="inlineStr">
        <is>
          <t>G</t>
        </is>
      </c>
      <c r="E30" s="13" t="inlineStr">
        <is>
          <t>Jefe de Proyecto</t>
        </is>
      </c>
      <c r="F30" s="13" t="n">
        <v>15</v>
      </c>
      <c r="G30" s="13" t="n">
        <v>15</v>
      </c>
      <c r="H30" s="13">
        <f>G30-F30+1</f>
        <v/>
      </c>
      <c r="I30" s="31" t="n">
        <v>80</v>
      </c>
      <c r="J30" s="13" t="inlineStr">
        <is>
          <t>Con entregable (detalle por planificación gradual)</t>
        </is>
      </c>
      <c r="K30" s="34">
        <f>IF(AND(K$5&gt;=$F30,K$5&lt;=$G30),1,"")</f>
        <v/>
      </c>
      <c r="L30" s="34">
        <f>IF(AND(L$5&gt;=$F30,L$5&lt;=$G30),1,"")</f>
        <v/>
      </c>
      <c r="M30" s="34">
        <f>IF(AND(M$5&gt;=$F30,M$5&lt;=$G30),1,"")</f>
        <v/>
      </c>
      <c r="N30" s="34">
        <f>IF(AND(N$5&gt;=$F30,N$5&lt;=$G30),1,"")</f>
        <v/>
      </c>
      <c r="O30" s="34">
        <f>IF(AND(O$5&gt;=$F30,O$5&lt;=$G30),1,"")</f>
        <v/>
      </c>
      <c r="P30" s="34">
        <f>IF(AND(P$5&gt;=$F30,P$5&lt;=$G30),1,"")</f>
        <v/>
      </c>
      <c r="Q30" s="34">
        <f>IF(AND(Q$5&gt;=$F30,Q$5&lt;=$G30),1,"")</f>
        <v/>
      </c>
      <c r="R30" s="34">
        <f>IF(AND(R$5&gt;=$F30,R$5&lt;=$G30),1,"")</f>
        <v/>
      </c>
      <c r="S30" s="34">
        <f>IF(AND(S$5&gt;=$F30,S$5&lt;=$G30),1,"")</f>
        <v/>
      </c>
      <c r="T30" s="34">
        <f>IF(AND(T$5&gt;=$F30,T$5&lt;=$G30),1,"")</f>
        <v/>
      </c>
      <c r="U30" s="34">
        <f>IF(AND(U$5&gt;=$F30,U$5&lt;=$G30),1,"")</f>
        <v/>
      </c>
      <c r="V30" s="34">
        <f>IF(AND(V$5&gt;=$F30,V$5&lt;=$G30),1,"")</f>
        <v/>
      </c>
      <c r="W30" s="34">
        <f>IF(AND(W$5&gt;=$F30,W$5&lt;=$G30),1,"")</f>
        <v/>
      </c>
      <c r="X30" s="34">
        <f>IF(AND(X$5&gt;=$F30,X$5&lt;=$G30),1,"")</f>
        <v/>
      </c>
      <c r="Y30" s="34">
        <f>IF(AND(Y$5&gt;=$F30,Y$5&lt;=$G30),1,"")</f>
        <v/>
      </c>
      <c r="Z30" s="34">
        <f>IF(AND(Z$5&gt;=$F30,Z$5&lt;=$G30),1,"")</f>
        <v/>
      </c>
      <c r="AA30" s="34">
        <f>IF(AND(AA$5&gt;=$F30,AA$5&lt;=$G30),1,"")</f>
        <v/>
      </c>
      <c r="AB30" s="34">
        <f>IF(AND(AB$5&gt;=$F30,AB$5&lt;=$G30),1,"")</f>
        <v/>
      </c>
      <c r="AC30" s="34">
        <f>IF(AND(AC$5&gt;=$F30,AC$5&lt;=$G30),1,"")</f>
        <v/>
      </c>
      <c r="AD30" s="34">
        <f>IF(AND(AD$5&gt;=$F30,AD$5&lt;=$G30),1,"")</f>
        <v/>
      </c>
      <c r="AE30" s="34">
        <f>IF(AND(AE$5&gt;=$F30,AE$5&lt;=$G30),1,"")</f>
        <v/>
      </c>
      <c r="AF30" s="34">
        <f>IF(AND(AF$5&gt;=$F30,AF$5&lt;=$G30),1,"")</f>
        <v/>
      </c>
      <c r="AG30" s="34">
        <f>IF(AND(AG$5&gt;=$F30,AG$5&lt;=$G30),1,"")</f>
        <v/>
      </c>
      <c r="AH30" s="34">
        <f>IF(AND(AH$5&gt;=$F30,AH$5&lt;=$G30),1,"")</f>
        <v/>
      </c>
      <c r="AI30" s="34">
        <f>IF(AND(AI$5&gt;=$F30,AI$5&lt;=$G30),1,"")</f>
        <v/>
      </c>
      <c r="AJ30" s="34">
        <f>IF(AND(AJ$5&gt;=$F30,AJ$5&lt;=$G30),1,"")</f>
        <v/>
      </c>
      <c r="AK30" s="34">
        <f>IF(AND(AK$5&gt;=$F30,AK$5&lt;=$G30),1,"")</f>
        <v/>
      </c>
      <c r="AL30" s="34">
        <f>IF(AND(AL$5&gt;=$F30,AL$5&lt;=$G30),1,"")</f>
        <v/>
      </c>
      <c r="AM30" s="34">
        <f>IF(AND(AM$5&gt;=$F30,AM$5&lt;=$G30),1,"")</f>
        <v/>
      </c>
      <c r="AN30" s="34">
        <f>IF(AND(AN$5&gt;=$F30,AN$5&lt;=$G30),1,"")</f>
        <v/>
      </c>
      <c r="AO30" s="34">
        <f>IF(AND(AO$5&gt;=$F30,AO$5&lt;=$G30),1,"")</f>
        <v/>
      </c>
      <c r="AP30" s="34">
        <f>IF(AND(AP$5&gt;=$F30,AP$5&lt;=$G30),1,"")</f>
        <v/>
      </c>
      <c r="AQ30" s="34">
        <f>IF(AND(AQ$5&gt;=$F30,AQ$5&lt;=$G30),1,"")</f>
        <v/>
      </c>
      <c r="AR30" s="34">
        <f>IF(AND(AR$5&gt;=$F30,AR$5&lt;=$G30),1,"")</f>
        <v/>
      </c>
      <c r="AS30" s="34">
        <f>IF(AND(AS$5&gt;=$F30,AS$5&lt;=$G30),1,"")</f>
        <v/>
      </c>
      <c r="AT30" s="34">
        <f>IF(AND(AT$5&gt;=$F30,AT$5&lt;=$G30),1,"")</f>
        <v/>
      </c>
      <c r="AU30" s="34">
        <f>IF(AND(AU$5&gt;=$F30,AU$5&lt;=$G30),1,"")</f>
        <v/>
      </c>
      <c r="AV30" s="34">
        <f>IF(AND(AV$5&gt;=$F30,AV$5&lt;=$G30),1,"")</f>
        <v/>
      </c>
      <c r="AW30" s="34">
        <f>IF(AND(AW$5&gt;=$F30,AW$5&lt;=$G30),1,"")</f>
        <v/>
      </c>
      <c r="AX30" s="34">
        <f>IF(AND(AX$5&gt;=$F30,AX$5&lt;=$G30),1,"")</f>
        <v/>
      </c>
      <c r="AY30" s="34">
        <f>IF(AND(AY$5&gt;=$F30,AY$5&lt;=$G30),1,"")</f>
        <v/>
      </c>
      <c r="AZ30" s="34">
        <f>IF(AND(AZ$5&gt;=$F30,AZ$5&lt;=$G30),1,"")</f>
        <v/>
      </c>
      <c r="BA30" s="34">
        <f>IF(AND(BA$5&gt;=$F30,BA$5&lt;=$G30),1,"")</f>
        <v/>
      </c>
      <c r="BB30" s="34">
        <f>IF(AND(BB$5&gt;=$F30,BB$5&lt;=$G30),1,"")</f>
        <v/>
      </c>
      <c r="BC30" s="34">
        <f>IF(AND(BC$5&gt;=$F30,BC$5&lt;=$G30),1,"")</f>
        <v/>
      </c>
      <c r="BD30" s="34">
        <f>IF(AND(BD$5&gt;=$F30,BD$5&lt;=$G30),1,"")</f>
        <v/>
      </c>
      <c r="BE30" s="34">
        <f>IF(AND(BE$5&gt;=$F30,BE$5&lt;=$G30),1,"")</f>
        <v/>
      </c>
      <c r="BF30" s="34">
        <f>IF(AND(BF$5&gt;=$F30,BF$5&lt;=$G30),1,"")</f>
        <v/>
      </c>
      <c r="BG30" s="34">
        <f>IF(AND(BG$5&gt;=$F30,BG$5&lt;=$G30),1,"")</f>
        <v/>
      </c>
      <c r="BH30" s="34">
        <f>IF(AND(BH$5&gt;=$F30,BH$5&lt;=$G30),1,"")</f>
        <v/>
      </c>
      <c r="BI30" s="34">
        <f>IF(AND(BI$5&gt;=$F30,BI$5&lt;=$G30),1,"")</f>
        <v/>
      </c>
      <c r="BJ30" s="34">
        <f>IF(AND(BJ$5&gt;=$F30,BJ$5&lt;=$G30),1,"")</f>
        <v/>
      </c>
      <c r="BK30" s="34">
        <f>IF(AND(BK$5&gt;=$F30,BK$5&lt;=$G30),1,"")</f>
        <v/>
      </c>
      <c r="BL30" s="34">
        <f>IF(AND(BL$5&gt;=$F30,BL$5&lt;=$G30),1,"")</f>
        <v/>
      </c>
      <c r="BM30" s="34">
        <f>IF(AND(BM$5&gt;=$F30,BM$5&lt;=$G30),1,"")</f>
        <v/>
      </c>
      <c r="BN30" s="34">
        <f>IF(AND(BN$5&gt;=$F30,BN$5&lt;=$G30),1,"")</f>
        <v/>
      </c>
    </row>
    <row r="31" ht="14.25" customHeight="1" s="36">
      <c r="A31" s="13" t="inlineStr">
        <is>
          <t>1 Inicio</t>
        </is>
      </c>
      <c r="B31" s="13" t="inlineStr">
        <is>
          <t>1.8.1</t>
        </is>
      </c>
      <c r="C31" s="13" t="inlineStr">
        <is>
          <t>Oficina de gestión del proyecto con metodología basada en el PMBOK</t>
        </is>
      </c>
      <c r="D31" s="13" t="inlineStr">
        <is>
          <t>R</t>
        </is>
      </c>
      <c r="E31" s="13" t="inlineStr">
        <is>
          <t>Jefe de Proyecto</t>
        </is>
      </c>
      <c r="F31" s="13" t="n">
        <v>1</v>
      </c>
      <c r="G31" s="13" t="n">
        <v>20</v>
      </c>
      <c r="H31" s="13">
        <f>G31-F31+1</f>
        <v/>
      </c>
      <c r="I31" s="31" t="n">
        <v>320</v>
      </c>
      <c r="J31" s="13" t="inlineStr">
        <is>
          <t>Esfuerzo continuo (por quincena u ocurrencia)</t>
        </is>
      </c>
      <c r="K31" s="34">
        <f>IF(AND(K$5&gt;=$F31,K$5&lt;=$G31),1,"")</f>
        <v/>
      </c>
      <c r="L31" s="34">
        <f>IF(AND(L$5&gt;=$F31,L$5&lt;=$G31),1,"")</f>
        <v/>
      </c>
      <c r="M31" s="34">
        <f>IF(AND(M$5&gt;=$F31,M$5&lt;=$G31),1,"")</f>
        <v/>
      </c>
      <c r="N31" s="34">
        <f>IF(AND(N$5&gt;=$F31,N$5&lt;=$G31),1,"")</f>
        <v/>
      </c>
      <c r="O31" s="34">
        <f>IF(AND(O$5&gt;=$F31,O$5&lt;=$G31),1,"")</f>
        <v/>
      </c>
      <c r="P31" s="34">
        <f>IF(AND(P$5&gt;=$F31,P$5&lt;=$G31),1,"")</f>
        <v/>
      </c>
      <c r="Q31" s="34">
        <f>IF(AND(Q$5&gt;=$F31,Q$5&lt;=$G31),1,"")</f>
        <v/>
      </c>
      <c r="R31" s="34">
        <f>IF(AND(R$5&gt;=$F31,R$5&lt;=$G31),1,"")</f>
        <v/>
      </c>
      <c r="S31" s="34">
        <f>IF(AND(S$5&gt;=$F31,S$5&lt;=$G31),1,"")</f>
        <v/>
      </c>
      <c r="T31" s="34">
        <f>IF(AND(T$5&gt;=$F31,T$5&lt;=$G31),1,"")</f>
        <v/>
      </c>
      <c r="U31" s="34">
        <f>IF(AND(U$5&gt;=$F31,U$5&lt;=$G31),1,"")</f>
        <v/>
      </c>
      <c r="V31" s="34">
        <f>IF(AND(V$5&gt;=$F31,V$5&lt;=$G31),1,"")</f>
        <v/>
      </c>
      <c r="W31" s="34">
        <f>IF(AND(W$5&gt;=$F31,W$5&lt;=$G31),1,"")</f>
        <v/>
      </c>
      <c r="X31" s="34">
        <f>IF(AND(X$5&gt;=$F31,X$5&lt;=$G31),1,"")</f>
        <v/>
      </c>
      <c r="Y31" s="34">
        <f>IF(AND(Y$5&gt;=$F31,Y$5&lt;=$G31),1,"")</f>
        <v/>
      </c>
      <c r="Z31" s="34">
        <f>IF(AND(Z$5&gt;=$F31,Z$5&lt;=$G31),1,"")</f>
        <v/>
      </c>
      <c r="AA31" s="34">
        <f>IF(AND(AA$5&gt;=$F31,AA$5&lt;=$G31),1,"")</f>
        <v/>
      </c>
      <c r="AB31" s="34">
        <f>IF(AND(AB$5&gt;=$F31,AB$5&lt;=$G31),1,"")</f>
        <v/>
      </c>
      <c r="AC31" s="34">
        <f>IF(AND(AC$5&gt;=$F31,AC$5&lt;=$G31),1,"")</f>
        <v/>
      </c>
      <c r="AD31" s="34">
        <f>IF(AND(AD$5&gt;=$F31,AD$5&lt;=$G31),1,"")</f>
        <v/>
      </c>
      <c r="AE31" s="34">
        <f>IF(AND(AE$5&gt;=$F31,AE$5&lt;=$G31),1,"")</f>
        <v/>
      </c>
      <c r="AF31" s="34">
        <f>IF(AND(AF$5&gt;=$F31,AF$5&lt;=$G31),1,"")</f>
        <v/>
      </c>
      <c r="AG31" s="34">
        <f>IF(AND(AG$5&gt;=$F31,AG$5&lt;=$G31),1,"")</f>
        <v/>
      </c>
      <c r="AH31" s="34">
        <f>IF(AND(AH$5&gt;=$F31,AH$5&lt;=$G31),1,"")</f>
        <v/>
      </c>
      <c r="AI31" s="34">
        <f>IF(AND(AI$5&gt;=$F31,AI$5&lt;=$G31),1,"")</f>
        <v/>
      </c>
      <c r="AJ31" s="34">
        <f>IF(AND(AJ$5&gt;=$F31,AJ$5&lt;=$G31),1,"")</f>
        <v/>
      </c>
      <c r="AK31" s="34">
        <f>IF(AND(AK$5&gt;=$F31,AK$5&lt;=$G31),1,"")</f>
        <v/>
      </c>
      <c r="AL31" s="34">
        <f>IF(AND(AL$5&gt;=$F31,AL$5&lt;=$G31),1,"")</f>
        <v/>
      </c>
      <c r="AM31" s="34">
        <f>IF(AND(AM$5&gt;=$F31,AM$5&lt;=$G31),1,"")</f>
        <v/>
      </c>
      <c r="AN31" s="34">
        <f>IF(AND(AN$5&gt;=$F31,AN$5&lt;=$G31),1,"")</f>
        <v/>
      </c>
      <c r="AO31" s="34">
        <f>IF(AND(AO$5&gt;=$F31,AO$5&lt;=$G31),1,"")</f>
        <v/>
      </c>
      <c r="AP31" s="34">
        <f>IF(AND(AP$5&gt;=$F31,AP$5&lt;=$G31),1,"")</f>
        <v/>
      </c>
      <c r="AQ31" s="34">
        <f>IF(AND(AQ$5&gt;=$F31,AQ$5&lt;=$G31),1,"")</f>
        <v/>
      </c>
      <c r="AR31" s="34">
        <f>IF(AND(AR$5&gt;=$F31,AR$5&lt;=$G31),1,"")</f>
        <v/>
      </c>
      <c r="AS31" s="34">
        <f>IF(AND(AS$5&gt;=$F31,AS$5&lt;=$G31),1,"")</f>
        <v/>
      </c>
      <c r="AT31" s="34">
        <f>IF(AND(AT$5&gt;=$F31,AT$5&lt;=$G31),1,"")</f>
        <v/>
      </c>
      <c r="AU31" s="34">
        <f>IF(AND(AU$5&gt;=$F31,AU$5&lt;=$G31),1,"")</f>
        <v/>
      </c>
      <c r="AV31" s="34">
        <f>IF(AND(AV$5&gt;=$F31,AV$5&lt;=$G31),1,"")</f>
        <v/>
      </c>
      <c r="AW31" s="34">
        <f>IF(AND(AW$5&gt;=$F31,AW$5&lt;=$G31),1,"")</f>
        <v/>
      </c>
      <c r="AX31" s="34">
        <f>IF(AND(AX$5&gt;=$F31,AX$5&lt;=$G31),1,"")</f>
        <v/>
      </c>
      <c r="AY31" s="34">
        <f>IF(AND(AY$5&gt;=$F31,AY$5&lt;=$G31),1,"")</f>
        <v/>
      </c>
      <c r="AZ31" s="34">
        <f>IF(AND(AZ$5&gt;=$F31,AZ$5&lt;=$G31),1,"")</f>
        <v/>
      </c>
      <c r="BA31" s="34">
        <f>IF(AND(BA$5&gt;=$F31,BA$5&lt;=$G31),1,"")</f>
        <v/>
      </c>
      <c r="BB31" s="34">
        <f>IF(AND(BB$5&gt;=$F31,BB$5&lt;=$G31),1,"")</f>
        <v/>
      </c>
      <c r="BC31" s="34">
        <f>IF(AND(BC$5&gt;=$F31,BC$5&lt;=$G31),1,"")</f>
        <v/>
      </c>
      <c r="BD31" s="34">
        <f>IF(AND(BD$5&gt;=$F31,BD$5&lt;=$G31),1,"")</f>
        <v/>
      </c>
      <c r="BE31" s="34">
        <f>IF(AND(BE$5&gt;=$F31,BE$5&lt;=$G31),1,"")</f>
        <v/>
      </c>
      <c r="BF31" s="34">
        <f>IF(AND(BF$5&gt;=$F31,BF$5&lt;=$G31),1,"")</f>
        <v/>
      </c>
      <c r="BG31" s="34">
        <f>IF(AND(BG$5&gt;=$F31,BG$5&lt;=$G31),1,"")</f>
        <v/>
      </c>
      <c r="BH31" s="34">
        <f>IF(AND(BH$5&gt;=$F31,BH$5&lt;=$G31),1,"")</f>
        <v/>
      </c>
      <c r="BI31" s="34">
        <f>IF(AND(BI$5&gt;=$F31,BI$5&lt;=$G31),1,"")</f>
        <v/>
      </c>
      <c r="BJ31" s="34">
        <f>IF(AND(BJ$5&gt;=$F31,BJ$5&lt;=$G31),1,"")</f>
        <v/>
      </c>
      <c r="BK31" s="34">
        <f>IF(AND(BK$5&gt;=$F31,BK$5&lt;=$G31),1,"")</f>
        <v/>
      </c>
      <c r="BL31" s="34">
        <f>IF(AND(BL$5&gt;=$F31,BL$5&lt;=$G31),1,"")</f>
        <v/>
      </c>
      <c r="BM31" s="34">
        <f>IF(AND(BM$5&gt;=$F31,BM$5&lt;=$G31),1,"")</f>
        <v/>
      </c>
      <c r="BN31" s="34">
        <f>IF(AND(BN$5&gt;=$F31,BN$5&lt;=$G31),1,"")</f>
        <v/>
      </c>
    </row>
    <row r="32" ht="14.25" customHeight="1" s="36">
      <c r="A32" s="13" t="inlineStr">
        <is>
          <t>1 Inicio</t>
        </is>
      </c>
      <c r="B32" s="13" t="inlineStr">
        <is>
          <t>1.8.2</t>
        </is>
      </c>
      <c r="C32" s="13" t="inlineStr">
        <is>
          <t>Actas del Comité Ejecutivo mensual, con la aprobación de los cambios de alcance</t>
        </is>
      </c>
      <c r="D32" s="13" t="inlineStr">
        <is>
          <t>R</t>
        </is>
      </c>
      <c r="E32" s="13" t="inlineStr">
        <is>
          <t>Jefe de Proyecto</t>
        </is>
      </c>
      <c r="F32" s="13" t="n">
        <v>1</v>
      </c>
      <c r="G32" s="13" t="n">
        <v>56</v>
      </c>
      <c r="H32" s="13">
        <f>G32-F32+1</f>
        <v/>
      </c>
      <c r="I32" s="31" t="n">
        <v>448</v>
      </c>
      <c r="J32" s="13" t="inlineStr">
        <is>
          <t>Esfuerzo continuo (por quincena u ocurrencia)</t>
        </is>
      </c>
      <c r="K32" s="34">
        <f>IF(AND(K$5&gt;=$F32,K$5&lt;=$G32),1,"")</f>
        <v/>
      </c>
      <c r="L32" s="34">
        <f>IF(AND(L$5&gt;=$F32,L$5&lt;=$G32),1,"")</f>
        <v/>
      </c>
      <c r="M32" s="34">
        <f>IF(AND(M$5&gt;=$F32,M$5&lt;=$G32),1,"")</f>
        <v/>
      </c>
      <c r="N32" s="34">
        <f>IF(AND(N$5&gt;=$F32,N$5&lt;=$G32),1,"")</f>
        <v/>
      </c>
      <c r="O32" s="34">
        <f>IF(AND(O$5&gt;=$F32,O$5&lt;=$G32),1,"")</f>
        <v/>
      </c>
      <c r="P32" s="34">
        <f>IF(AND(P$5&gt;=$F32,P$5&lt;=$G32),1,"")</f>
        <v/>
      </c>
      <c r="Q32" s="34">
        <f>IF(AND(Q$5&gt;=$F32,Q$5&lt;=$G32),1,"")</f>
        <v/>
      </c>
      <c r="R32" s="34">
        <f>IF(AND(R$5&gt;=$F32,R$5&lt;=$G32),1,"")</f>
        <v/>
      </c>
      <c r="S32" s="34">
        <f>IF(AND(S$5&gt;=$F32,S$5&lt;=$G32),1,"")</f>
        <v/>
      </c>
      <c r="T32" s="34">
        <f>IF(AND(T$5&gt;=$F32,T$5&lt;=$G32),1,"")</f>
        <v/>
      </c>
      <c r="U32" s="34">
        <f>IF(AND(U$5&gt;=$F32,U$5&lt;=$G32),1,"")</f>
        <v/>
      </c>
      <c r="V32" s="34">
        <f>IF(AND(V$5&gt;=$F32,V$5&lt;=$G32),1,"")</f>
        <v/>
      </c>
      <c r="W32" s="34">
        <f>IF(AND(W$5&gt;=$F32,W$5&lt;=$G32),1,"")</f>
        <v/>
      </c>
      <c r="X32" s="34">
        <f>IF(AND(X$5&gt;=$F32,X$5&lt;=$G32),1,"")</f>
        <v/>
      </c>
      <c r="Y32" s="34">
        <f>IF(AND(Y$5&gt;=$F32,Y$5&lt;=$G32),1,"")</f>
        <v/>
      </c>
      <c r="Z32" s="34">
        <f>IF(AND(Z$5&gt;=$F32,Z$5&lt;=$G32),1,"")</f>
        <v/>
      </c>
      <c r="AA32" s="34">
        <f>IF(AND(AA$5&gt;=$F32,AA$5&lt;=$G32),1,"")</f>
        <v/>
      </c>
      <c r="AB32" s="34">
        <f>IF(AND(AB$5&gt;=$F32,AB$5&lt;=$G32),1,"")</f>
        <v/>
      </c>
      <c r="AC32" s="34">
        <f>IF(AND(AC$5&gt;=$F32,AC$5&lt;=$G32),1,"")</f>
        <v/>
      </c>
      <c r="AD32" s="34">
        <f>IF(AND(AD$5&gt;=$F32,AD$5&lt;=$G32),1,"")</f>
        <v/>
      </c>
      <c r="AE32" s="34">
        <f>IF(AND(AE$5&gt;=$F32,AE$5&lt;=$G32),1,"")</f>
        <v/>
      </c>
      <c r="AF32" s="34">
        <f>IF(AND(AF$5&gt;=$F32,AF$5&lt;=$G32),1,"")</f>
        <v/>
      </c>
      <c r="AG32" s="34">
        <f>IF(AND(AG$5&gt;=$F32,AG$5&lt;=$G32),1,"")</f>
        <v/>
      </c>
      <c r="AH32" s="34">
        <f>IF(AND(AH$5&gt;=$F32,AH$5&lt;=$G32),1,"")</f>
        <v/>
      </c>
      <c r="AI32" s="34">
        <f>IF(AND(AI$5&gt;=$F32,AI$5&lt;=$G32),1,"")</f>
        <v/>
      </c>
      <c r="AJ32" s="34">
        <f>IF(AND(AJ$5&gt;=$F32,AJ$5&lt;=$G32),1,"")</f>
        <v/>
      </c>
      <c r="AK32" s="34">
        <f>IF(AND(AK$5&gt;=$F32,AK$5&lt;=$G32),1,"")</f>
        <v/>
      </c>
      <c r="AL32" s="34">
        <f>IF(AND(AL$5&gt;=$F32,AL$5&lt;=$G32),1,"")</f>
        <v/>
      </c>
      <c r="AM32" s="34">
        <f>IF(AND(AM$5&gt;=$F32,AM$5&lt;=$G32),1,"")</f>
        <v/>
      </c>
      <c r="AN32" s="34">
        <f>IF(AND(AN$5&gt;=$F32,AN$5&lt;=$G32),1,"")</f>
        <v/>
      </c>
      <c r="AO32" s="34">
        <f>IF(AND(AO$5&gt;=$F32,AO$5&lt;=$G32),1,"")</f>
        <v/>
      </c>
      <c r="AP32" s="34">
        <f>IF(AND(AP$5&gt;=$F32,AP$5&lt;=$G32),1,"")</f>
        <v/>
      </c>
      <c r="AQ32" s="34">
        <f>IF(AND(AQ$5&gt;=$F32,AQ$5&lt;=$G32),1,"")</f>
        <v/>
      </c>
      <c r="AR32" s="34">
        <f>IF(AND(AR$5&gt;=$F32,AR$5&lt;=$G32),1,"")</f>
        <v/>
      </c>
      <c r="AS32" s="34">
        <f>IF(AND(AS$5&gt;=$F32,AS$5&lt;=$G32),1,"")</f>
        <v/>
      </c>
      <c r="AT32" s="34">
        <f>IF(AND(AT$5&gt;=$F32,AT$5&lt;=$G32),1,"")</f>
        <v/>
      </c>
      <c r="AU32" s="34">
        <f>IF(AND(AU$5&gt;=$F32,AU$5&lt;=$G32),1,"")</f>
        <v/>
      </c>
      <c r="AV32" s="34">
        <f>IF(AND(AV$5&gt;=$F32,AV$5&lt;=$G32),1,"")</f>
        <v/>
      </c>
      <c r="AW32" s="34">
        <f>IF(AND(AW$5&gt;=$F32,AW$5&lt;=$G32),1,"")</f>
        <v/>
      </c>
      <c r="AX32" s="34">
        <f>IF(AND(AX$5&gt;=$F32,AX$5&lt;=$G32),1,"")</f>
        <v/>
      </c>
      <c r="AY32" s="34">
        <f>IF(AND(AY$5&gt;=$F32,AY$5&lt;=$G32),1,"")</f>
        <v/>
      </c>
      <c r="AZ32" s="34">
        <f>IF(AND(AZ$5&gt;=$F32,AZ$5&lt;=$G32),1,"")</f>
        <v/>
      </c>
      <c r="BA32" s="34">
        <f>IF(AND(BA$5&gt;=$F32,BA$5&lt;=$G32),1,"")</f>
        <v/>
      </c>
      <c r="BB32" s="34">
        <f>IF(AND(BB$5&gt;=$F32,BB$5&lt;=$G32),1,"")</f>
        <v/>
      </c>
      <c r="BC32" s="34">
        <f>IF(AND(BC$5&gt;=$F32,BC$5&lt;=$G32),1,"")</f>
        <v/>
      </c>
      <c r="BD32" s="34">
        <f>IF(AND(BD$5&gt;=$F32,BD$5&lt;=$G32),1,"")</f>
        <v/>
      </c>
      <c r="BE32" s="34">
        <f>IF(AND(BE$5&gt;=$F32,BE$5&lt;=$G32),1,"")</f>
        <v/>
      </c>
      <c r="BF32" s="34">
        <f>IF(AND(BF$5&gt;=$F32,BF$5&lt;=$G32),1,"")</f>
        <v/>
      </c>
      <c r="BG32" s="34">
        <f>IF(AND(BG$5&gt;=$F32,BG$5&lt;=$G32),1,"")</f>
        <v/>
      </c>
      <c r="BH32" s="34">
        <f>IF(AND(BH$5&gt;=$F32,BH$5&lt;=$G32),1,"")</f>
        <v/>
      </c>
      <c r="BI32" s="34">
        <f>IF(AND(BI$5&gt;=$F32,BI$5&lt;=$G32),1,"")</f>
        <v/>
      </c>
      <c r="BJ32" s="34">
        <f>IF(AND(BJ$5&gt;=$F32,BJ$5&lt;=$G32),1,"")</f>
        <v/>
      </c>
      <c r="BK32" s="34">
        <f>IF(AND(BK$5&gt;=$F32,BK$5&lt;=$G32),1,"")</f>
        <v/>
      </c>
      <c r="BL32" s="34">
        <f>IF(AND(BL$5&gt;=$F32,BL$5&lt;=$G32),1,"")</f>
        <v/>
      </c>
      <c r="BM32" s="34">
        <f>IF(AND(BM$5&gt;=$F32,BM$5&lt;=$G32),1,"")</f>
        <v/>
      </c>
      <c r="BN32" s="34">
        <f>IF(AND(BN$5&gt;=$F32,BN$5&lt;=$G32),1,"")</f>
        <v/>
      </c>
    </row>
    <row r="33" ht="14.25" customHeight="1" s="36">
      <c r="A33" s="13" t="inlineStr">
        <is>
          <t>1 Inicio</t>
        </is>
      </c>
      <c r="B33" s="13" t="inlineStr">
        <is>
          <t>1.8.3</t>
        </is>
      </c>
      <c r="C33" s="13" t="inlineStr">
        <is>
          <t>Actas del Comité de Proyecto quincenal</t>
        </is>
      </c>
      <c r="D33" s="13" t="inlineStr">
        <is>
          <t>R</t>
        </is>
      </c>
      <c r="E33" s="13" t="inlineStr">
        <is>
          <t>Jefe de Proyecto</t>
        </is>
      </c>
      <c r="F33" s="13" t="n">
        <v>1</v>
      </c>
      <c r="G33" s="13" t="n">
        <v>20</v>
      </c>
      <c r="H33" s="13">
        <f>G33-F33+1</f>
        <v/>
      </c>
      <c r="I33" s="31" t="n">
        <v>240</v>
      </c>
      <c r="J33" s="13" t="inlineStr">
        <is>
          <t>Esfuerzo continuo (por quincena u ocurrencia)</t>
        </is>
      </c>
      <c r="K33" s="34">
        <f>IF(AND(K$5&gt;=$F33,K$5&lt;=$G33),1,"")</f>
        <v/>
      </c>
      <c r="L33" s="34">
        <f>IF(AND(L$5&gt;=$F33,L$5&lt;=$G33),1,"")</f>
        <v/>
      </c>
      <c r="M33" s="34">
        <f>IF(AND(M$5&gt;=$F33,M$5&lt;=$G33),1,"")</f>
        <v/>
      </c>
      <c r="N33" s="34">
        <f>IF(AND(N$5&gt;=$F33,N$5&lt;=$G33),1,"")</f>
        <v/>
      </c>
      <c r="O33" s="34">
        <f>IF(AND(O$5&gt;=$F33,O$5&lt;=$G33),1,"")</f>
        <v/>
      </c>
      <c r="P33" s="34">
        <f>IF(AND(P$5&gt;=$F33,P$5&lt;=$G33),1,"")</f>
        <v/>
      </c>
      <c r="Q33" s="34">
        <f>IF(AND(Q$5&gt;=$F33,Q$5&lt;=$G33),1,"")</f>
        <v/>
      </c>
      <c r="R33" s="34">
        <f>IF(AND(R$5&gt;=$F33,R$5&lt;=$G33),1,"")</f>
        <v/>
      </c>
      <c r="S33" s="34">
        <f>IF(AND(S$5&gt;=$F33,S$5&lt;=$G33),1,"")</f>
        <v/>
      </c>
      <c r="T33" s="34">
        <f>IF(AND(T$5&gt;=$F33,T$5&lt;=$G33),1,"")</f>
        <v/>
      </c>
      <c r="U33" s="34">
        <f>IF(AND(U$5&gt;=$F33,U$5&lt;=$G33),1,"")</f>
        <v/>
      </c>
      <c r="V33" s="34">
        <f>IF(AND(V$5&gt;=$F33,V$5&lt;=$G33),1,"")</f>
        <v/>
      </c>
      <c r="W33" s="34">
        <f>IF(AND(W$5&gt;=$F33,W$5&lt;=$G33),1,"")</f>
        <v/>
      </c>
      <c r="X33" s="34">
        <f>IF(AND(X$5&gt;=$F33,X$5&lt;=$G33),1,"")</f>
        <v/>
      </c>
      <c r="Y33" s="34">
        <f>IF(AND(Y$5&gt;=$F33,Y$5&lt;=$G33),1,"")</f>
        <v/>
      </c>
      <c r="Z33" s="34">
        <f>IF(AND(Z$5&gt;=$F33,Z$5&lt;=$G33),1,"")</f>
        <v/>
      </c>
      <c r="AA33" s="34">
        <f>IF(AND(AA$5&gt;=$F33,AA$5&lt;=$G33),1,"")</f>
        <v/>
      </c>
      <c r="AB33" s="34">
        <f>IF(AND(AB$5&gt;=$F33,AB$5&lt;=$G33),1,"")</f>
        <v/>
      </c>
      <c r="AC33" s="34">
        <f>IF(AND(AC$5&gt;=$F33,AC$5&lt;=$G33),1,"")</f>
        <v/>
      </c>
      <c r="AD33" s="34">
        <f>IF(AND(AD$5&gt;=$F33,AD$5&lt;=$G33),1,"")</f>
        <v/>
      </c>
      <c r="AE33" s="34">
        <f>IF(AND(AE$5&gt;=$F33,AE$5&lt;=$G33),1,"")</f>
        <v/>
      </c>
      <c r="AF33" s="34">
        <f>IF(AND(AF$5&gt;=$F33,AF$5&lt;=$G33),1,"")</f>
        <v/>
      </c>
      <c r="AG33" s="34">
        <f>IF(AND(AG$5&gt;=$F33,AG$5&lt;=$G33),1,"")</f>
        <v/>
      </c>
      <c r="AH33" s="34">
        <f>IF(AND(AH$5&gt;=$F33,AH$5&lt;=$G33),1,"")</f>
        <v/>
      </c>
      <c r="AI33" s="34">
        <f>IF(AND(AI$5&gt;=$F33,AI$5&lt;=$G33),1,"")</f>
        <v/>
      </c>
      <c r="AJ33" s="34">
        <f>IF(AND(AJ$5&gt;=$F33,AJ$5&lt;=$G33),1,"")</f>
        <v/>
      </c>
      <c r="AK33" s="34">
        <f>IF(AND(AK$5&gt;=$F33,AK$5&lt;=$G33),1,"")</f>
        <v/>
      </c>
      <c r="AL33" s="34">
        <f>IF(AND(AL$5&gt;=$F33,AL$5&lt;=$G33),1,"")</f>
        <v/>
      </c>
      <c r="AM33" s="34">
        <f>IF(AND(AM$5&gt;=$F33,AM$5&lt;=$G33),1,"")</f>
        <v/>
      </c>
      <c r="AN33" s="34">
        <f>IF(AND(AN$5&gt;=$F33,AN$5&lt;=$G33),1,"")</f>
        <v/>
      </c>
      <c r="AO33" s="34">
        <f>IF(AND(AO$5&gt;=$F33,AO$5&lt;=$G33),1,"")</f>
        <v/>
      </c>
      <c r="AP33" s="34">
        <f>IF(AND(AP$5&gt;=$F33,AP$5&lt;=$G33),1,"")</f>
        <v/>
      </c>
      <c r="AQ33" s="34">
        <f>IF(AND(AQ$5&gt;=$F33,AQ$5&lt;=$G33),1,"")</f>
        <v/>
      </c>
      <c r="AR33" s="34">
        <f>IF(AND(AR$5&gt;=$F33,AR$5&lt;=$G33),1,"")</f>
        <v/>
      </c>
      <c r="AS33" s="34">
        <f>IF(AND(AS$5&gt;=$F33,AS$5&lt;=$G33),1,"")</f>
        <v/>
      </c>
      <c r="AT33" s="34">
        <f>IF(AND(AT$5&gt;=$F33,AT$5&lt;=$G33),1,"")</f>
        <v/>
      </c>
      <c r="AU33" s="34">
        <f>IF(AND(AU$5&gt;=$F33,AU$5&lt;=$G33),1,"")</f>
        <v/>
      </c>
      <c r="AV33" s="34">
        <f>IF(AND(AV$5&gt;=$F33,AV$5&lt;=$G33),1,"")</f>
        <v/>
      </c>
      <c r="AW33" s="34">
        <f>IF(AND(AW$5&gt;=$F33,AW$5&lt;=$G33),1,"")</f>
        <v/>
      </c>
      <c r="AX33" s="34">
        <f>IF(AND(AX$5&gt;=$F33,AX$5&lt;=$G33),1,"")</f>
        <v/>
      </c>
      <c r="AY33" s="34">
        <f>IF(AND(AY$5&gt;=$F33,AY$5&lt;=$G33),1,"")</f>
        <v/>
      </c>
      <c r="AZ33" s="34">
        <f>IF(AND(AZ$5&gt;=$F33,AZ$5&lt;=$G33),1,"")</f>
        <v/>
      </c>
      <c r="BA33" s="34">
        <f>IF(AND(BA$5&gt;=$F33,BA$5&lt;=$G33),1,"")</f>
        <v/>
      </c>
      <c r="BB33" s="34">
        <f>IF(AND(BB$5&gt;=$F33,BB$5&lt;=$G33),1,"")</f>
        <v/>
      </c>
      <c r="BC33" s="34">
        <f>IF(AND(BC$5&gt;=$F33,BC$5&lt;=$G33),1,"")</f>
        <v/>
      </c>
      <c r="BD33" s="34">
        <f>IF(AND(BD$5&gt;=$F33,BD$5&lt;=$G33),1,"")</f>
        <v/>
      </c>
      <c r="BE33" s="34">
        <f>IF(AND(BE$5&gt;=$F33,BE$5&lt;=$G33),1,"")</f>
        <v/>
      </c>
      <c r="BF33" s="34">
        <f>IF(AND(BF$5&gt;=$F33,BF$5&lt;=$G33),1,"")</f>
        <v/>
      </c>
      <c r="BG33" s="34">
        <f>IF(AND(BG$5&gt;=$F33,BG$5&lt;=$G33),1,"")</f>
        <v/>
      </c>
      <c r="BH33" s="34">
        <f>IF(AND(BH$5&gt;=$F33,BH$5&lt;=$G33),1,"")</f>
        <v/>
      </c>
      <c r="BI33" s="34">
        <f>IF(AND(BI$5&gt;=$F33,BI$5&lt;=$G33),1,"")</f>
        <v/>
      </c>
      <c r="BJ33" s="34">
        <f>IF(AND(BJ$5&gt;=$F33,BJ$5&lt;=$G33),1,"")</f>
        <v/>
      </c>
      <c r="BK33" s="34">
        <f>IF(AND(BK$5&gt;=$F33,BK$5&lt;=$G33),1,"")</f>
        <v/>
      </c>
      <c r="BL33" s="34">
        <f>IF(AND(BL$5&gt;=$F33,BL$5&lt;=$G33),1,"")</f>
        <v/>
      </c>
      <c r="BM33" s="34">
        <f>IF(AND(BM$5&gt;=$F33,BM$5&lt;=$G33),1,"")</f>
        <v/>
      </c>
      <c r="BN33" s="34">
        <f>IF(AND(BN$5&gt;=$F33,BN$5&lt;=$G33),1,"")</f>
        <v/>
      </c>
    </row>
    <row r="34" ht="14.25" customHeight="1" s="36">
      <c r="A34" s="13" t="inlineStr">
        <is>
          <t>1 Inicio</t>
        </is>
      </c>
      <c r="B34" s="13" t="inlineStr">
        <is>
          <t>1.8.4</t>
        </is>
      </c>
      <c r="C34" s="13" t="inlineStr">
        <is>
          <t>Actas del Comité de Arquitectura mensual</t>
        </is>
      </c>
      <c r="D34" s="13" t="inlineStr">
        <is>
          <t>R</t>
        </is>
      </c>
      <c r="E34" s="13" t="inlineStr">
        <is>
          <t>Arquitectura</t>
        </is>
      </c>
      <c r="F34" s="13" t="n">
        <v>1</v>
      </c>
      <c r="G34" s="13" t="n">
        <v>56</v>
      </c>
      <c r="H34" s="13">
        <f>G34-F34+1</f>
        <v/>
      </c>
      <c r="I34" s="31" t="n">
        <v>448</v>
      </c>
      <c r="J34" s="13" t="inlineStr">
        <is>
          <t>Esfuerzo continuo (por quincena u ocurrencia)</t>
        </is>
      </c>
      <c r="K34" s="34">
        <f>IF(AND(K$5&gt;=$F34,K$5&lt;=$G34),1,"")</f>
        <v/>
      </c>
      <c r="L34" s="34">
        <f>IF(AND(L$5&gt;=$F34,L$5&lt;=$G34),1,"")</f>
        <v/>
      </c>
      <c r="M34" s="34">
        <f>IF(AND(M$5&gt;=$F34,M$5&lt;=$G34),1,"")</f>
        <v/>
      </c>
      <c r="N34" s="34">
        <f>IF(AND(N$5&gt;=$F34,N$5&lt;=$G34),1,"")</f>
        <v/>
      </c>
      <c r="O34" s="34">
        <f>IF(AND(O$5&gt;=$F34,O$5&lt;=$G34),1,"")</f>
        <v/>
      </c>
      <c r="P34" s="34">
        <f>IF(AND(P$5&gt;=$F34,P$5&lt;=$G34),1,"")</f>
        <v/>
      </c>
      <c r="Q34" s="34">
        <f>IF(AND(Q$5&gt;=$F34,Q$5&lt;=$G34),1,"")</f>
        <v/>
      </c>
      <c r="R34" s="34">
        <f>IF(AND(R$5&gt;=$F34,R$5&lt;=$G34),1,"")</f>
        <v/>
      </c>
      <c r="S34" s="34">
        <f>IF(AND(S$5&gt;=$F34,S$5&lt;=$G34),1,"")</f>
        <v/>
      </c>
      <c r="T34" s="34">
        <f>IF(AND(T$5&gt;=$F34,T$5&lt;=$G34),1,"")</f>
        <v/>
      </c>
      <c r="U34" s="34">
        <f>IF(AND(U$5&gt;=$F34,U$5&lt;=$G34),1,"")</f>
        <v/>
      </c>
      <c r="V34" s="34">
        <f>IF(AND(V$5&gt;=$F34,V$5&lt;=$G34),1,"")</f>
        <v/>
      </c>
      <c r="W34" s="34">
        <f>IF(AND(W$5&gt;=$F34,W$5&lt;=$G34),1,"")</f>
        <v/>
      </c>
      <c r="X34" s="34">
        <f>IF(AND(X$5&gt;=$F34,X$5&lt;=$G34),1,"")</f>
        <v/>
      </c>
      <c r="Y34" s="34">
        <f>IF(AND(Y$5&gt;=$F34,Y$5&lt;=$G34),1,"")</f>
        <v/>
      </c>
      <c r="Z34" s="34">
        <f>IF(AND(Z$5&gt;=$F34,Z$5&lt;=$G34),1,"")</f>
        <v/>
      </c>
      <c r="AA34" s="34">
        <f>IF(AND(AA$5&gt;=$F34,AA$5&lt;=$G34),1,"")</f>
        <v/>
      </c>
      <c r="AB34" s="34">
        <f>IF(AND(AB$5&gt;=$F34,AB$5&lt;=$G34),1,"")</f>
        <v/>
      </c>
      <c r="AC34" s="34">
        <f>IF(AND(AC$5&gt;=$F34,AC$5&lt;=$G34),1,"")</f>
        <v/>
      </c>
      <c r="AD34" s="34">
        <f>IF(AND(AD$5&gt;=$F34,AD$5&lt;=$G34),1,"")</f>
        <v/>
      </c>
      <c r="AE34" s="34">
        <f>IF(AND(AE$5&gt;=$F34,AE$5&lt;=$G34),1,"")</f>
        <v/>
      </c>
      <c r="AF34" s="34">
        <f>IF(AND(AF$5&gt;=$F34,AF$5&lt;=$G34),1,"")</f>
        <v/>
      </c>
      <c r="AG34" s="34">
        <f>IF(AND(AG$5&gt;=$F34,AG$5&lt;=$G34),1,"")</f>
        <v/>
      </c>
      <c r="AH34" s="34">
        <f>IF(AND(AH$5&gt;=$F34,AH$5&lt;=$G34),1,"")</f>
        <v/>
      </c>
      <c r="AI34" s="34">
        <f>IF(AND(AI$5&gt;=$F34,AI$5&lt;=$G34),1,"")</f>
        <v/>
      </c>
      <c r="AJ34" s="34">
        <f>IF(AND(AJ$5&gt;=$F34,AJ$5&lt;=$G34),1,"")</f>
        <v/>
      </c>
      <c r="AK34" s="34">
        <f>IF(AND(AK$5&gt;=$F34,AK$5&lt;=$G34),1,"")</f>
        <v/>
      </c>
      <c r="AL34" s="34">
        <f>IF(AND(AL$5&gt;=$F34,AL$5&lt;=$G34),1,"")</f>
        <v/>
      </c>
      <c r="AM34" s="34">
        <f>IF(AND(AM$5&gt;=$F34,AM$5&lt;=$G34),1,"")</f>
        <v/>
      </c>
      <c r="AN34" s="34">
        <f>IF(AND(AN$5&gt;=$F34,AN$5&lt;=$G34),1,"")</f>
        <v/>
      </c>
      <c r="AO34" s="34">
        <f>IF(AND(AO$5&gt;=$F34,AO$5&lt;=$G34),1,"")</f>
        <v/>
      </c>
      <c r="AP34" s="34">
        <f>IF(AND(AP$5&gt;=$F34,AP$5&lt;=$G34),1,"")</f>
        <v/>
      </c>
      <c r="AQ34" s="34">
        <f>IF(AND(AQ$5&gt;=$F34,AQ$5&lt;=$G34),1,"")</f>
        <v/>
      </c>
      <c r="AR34" s="34">
        <f>IF(AND(AR$5&gt;=$F34,AR$5&lt;=$G34),1,"")</f>
        <v/>
      </c>
      <c r="AS34" s="34">
        <f>IF(AND(AS$5&gt;=$F34,AS$5&lt;=$G34),1,"")</f>
        <v/>
      </c>
      <c r="AT34" s="34">
        <f>IF(AND(AT$5&gt;=$F34,AT$5&lt;=$G34),1,"")</f>
        <v/>
      </c>
      <c r="AU34" s="34">
        <f>IF(AND(AU$5&gt;=$F34,AU$5&lt;=$G34),1,"")</f>
        <v/>
      </c>
      <c r="AV34" s="34">
        <f>IF(AND(AV$5&gt;=$F34,AV$5&lt;=$G34),1,"")</f>
        <v/>
      </c>
      <c r="AW34" s="34">
        <f>IF(AND(AW$5&gt;=$F34,AW$5&lt;=$G34),1,"")</f>
        <v/>
      </c>
      <c r="AX34" s="34">
        <f>IF(AND(AX$5&gt;=$F34,AX$5&lt;=$G34),1,"")</f>
        <v/>
      </c>
      <c r="AY34" s="34">
        <f>IF(AND(AY$5&gt;=$F34,AY$5&lt;=$G34),1,"")</f>
        <v/>
      </c>
      <c r="AZ34" s="34">
        <f>IF(AND(AZ$5&gt;=$F34,AZ$5&lt;=$G34),1,"")</f>
        <v/>
      </c>
      <c r="BA34" s="34">
        <f>IF(AND(BA$5&gt;=$F34,BA$5&lt;=$G34),1,"")</f>
        <v/>
      </c>
      <c r="BB34" s="34">
        <f>IF(AND(BB$5&gt;=$F34,BB$5&lt;=$G34),1,"")</f>
        <v/>
      </c>
      <c r="BC34" s="34">
        <f>IF(AND(BC$5&gt;=$F34,BC$5&lt;=$G34),1,"")</f>
        <v/>
      </c>
      <c r="BD34" s="34">
        <f>IF(AND(BD$5&gt;=$F34,BD$5&lt;=$G34),1,"")</f>
        <v/>
      </c>
      <c r="BE34" s="34">
        <f>IF(AND(BE$5&gt;=$F34,BE$5&lt;=$G34),1,"")</f>
        <v/>
      </c>
      <c r="BF34" s="34">
        <f>IF(AND(BF$5&gt;=$F34,BF$5&lt;=$G34),1,"")</f>
        <v/>
      </c>
      <c r="BG34" s="34">
        <f>IF(AND(BG$5&gt;=$F34,BG$5&lt;=$G34),1,"")</f>
        <v/>
      </c>
      <c r="BH34" s="34">
        <f>IF(AND(BH$5&gt;=$F34,BH$5&lt;=$G34),1,"")</f>
        <v/>
      </c>
      <c r="BI34" s="34">
        <f>IF(AND(BI$5&gt;=$F34,BI$5&lt;=$G34),1,"")</f>
        <v/>
      </c>
      <c r="BJ34" s="34">
        <f>IF(AND(BJ$5&gt;=$F34,BJ$5&lt;=$G34),1,"")</f>
        <v/>
      </c>
      <c r="BK34" s="34">
        <f>IF(AND(BK$5&gt;=$F34,BK$5&lt;=$G34),1,"")</f>
        <v/>
      </c>
      <c r="BL34" s="34">
        <f>IF(AND(BL$5&gt;=$F34,BL$5&lt;=$G34),1,"")</f>
        <v/>
      </c>
      <c r="BM34" s="34">
        <f>IF(AND(BM$5&gt;=$F34,BM$5&lt;=$G34),1,"")</f>
        <v/>
      </c>
      <c r="BN34" s="34">
        <f>IF(AND(BN$5&gt;=$F34,BN$5&lt;=$G34),1,"")</f>
        <v/>
      </c>
    </row>
    <row r="35" ht="14.25" customHeight="1" s="36">
      <c r="A35" s="13" t="inlineStr">
        <is>
          <t>1 Inicio</t>
        </is>
      </c>
      <c r="B35" s="13" t="inlineStr">
        <is>
          <t>1.8.5</t>
        </is>
      </c>
      <c r="C35" s="13" t="inlineStr">
        <is>
          <t>Actas del Comité de Operación mensual, desde el mes 13</t>
        </is>
      </c>
      <c r="D35" s="13" t="inlineStr">
        <is>
          <t>R</t>
        </is>
      </c>
      <c r="E35" s="13" t="inlineStr">
        <is>
          <t>Operación / SRE</t>
        </is>
      </c>
      <c r="F35" s="13" t="n">
        <v>13</v>
      </c>
      <c r="G35" s="13" t="n">
        <v>56</v>
      </c>
      <c r="H35" s="13">
        <f>G35-F35+1</f>
        <v/>
      </c>
      <c r="I35" s="31" t="n">
        <v>352</v>
      </c>
      <c r="J35" s="13" t="inlineStr">
        <is>
          <t>Esfuerzo continuo (por quincena u ocurrencia)</t>
        </is>
      </c>
      <c r="K35" s="34">
        <f>IF(AND(K$5&gt;=$F35,K$5&lt;=$G35),1,"")</f>
        <v/>
      </c>
      <c r="L35" s="34">
        <f>IF(AND(L$5&gt;=$F35,L$5&lt;=$G35),1,"")</f>
        <v/>
      </c>
      <c r="M35" s="34">
        <f>IF(AND(M$5&gt;=$F35,M$5&lt;=$G35),1,"")</f>
        <v/>
      </c>
      <c r="N35" s="34">
        <f>IF(AND(N$5&gt;=$F35,N$5&lt;=$G35),1,"")</f>
        <v/>
      </c>
      <c r="O35" s="34">
        <f>IF(AND(O$5&gt;=$F35,O$5&lt;=$G35),1,"")</f>
        <v/>
      </c>
      <c r="P35" s="34">
        <f>IF(AND(P$5&gt;=$F35,P$5&lt;=$G35),1,"")</f>
        <v/>
      </c>
      <c r="Q35" s="34">
        <f>IF(AND(Q$5&gt;=$F35,Q$5&lt;=$G35),1,"")</f>
        <v/>
      </c>
      <c r="R35" s="34">
        <f>IF(AND(R$5&gt;=$F35,R$5&lt;=$G35),1,"")</f>
        <v/>
      </c>
      <c r="S35" s="34">
        <f>IF(AND(S$5&gt;=$F35,S$5&lt;=$G35),1,"")</f>
        <v/>
      </c>
      <c r="T35" s="34">
        <f>IF(AND(T$5&gt;=$F35,T$5&lt;=$G35),1,"")</f>
        <v/>
      </c>
      <c r="U35" s="34">
        <f>IF(AND(U$5&gt;=$F35,U$5&lt;=$G35),1,"")</f>
        <v/>
      </c>
      <c r="V35" s="34">
        <f>IF(AND(V$5&gt;=$F35,V$5&lt;=$G35),1,"")</f>
        <v/>
      </c>
      <c r="W35" s="34">
        <f>IF(AND(W$5&gt;=$F35,W$5&lt;=$G35),1,"")</f>
        <v/>
      </c>
      <c r="X35" s="34">
        <f>IF(AND(X$5&gt;=$F35,X$5&lt;=$G35),1,"")</f>
        <v/>
      </c>
      <c r="Y35" s="34">
        <f>IF(AND(Y$5&gt;=$F35,Y$5&lt;=$G35),1,"")</f>
        <v/>
      </c>
      <c r="Z35" s="34">
        <f>IF(AND(Z$5&gt;=$F35,Z$5&lt;=$G35),1,"")</f>
        <v/>
      </c>
      <c r="AA35" s="34">
        <f>IF(AND(AA$5&gt;=$F35,AA$5&lt;=$G35),1,"")</f>
        <v/>
      </c>
      <c r="AB35" s="34">
        <f>IF(AND(AB$5&gt;=$F35,AB$5&lt;=$G35),1,"")</f>
        <v/>
      </c>
      <c r="AC35" s="34">
        <f>IF(AND(AC$5&gt;=$F35,AC$5&lt;=$G35),1,"")</f>
        <v/>
      </c>
      <c r="AD35" s="34">
        <f>IF(AND(AD$5&gt;=$F35,AD$5&lt;=$G35),1,"")</f>
        <v/>
      </c>
      <c r="AE35" s="34">
        <f>IF(AND(AE$5&gt;=$F35,AE$5&lt;=$G35),1,"")</f>
        <v/>
      </c>
      <c r="AF35" s="34">
        <f>IF(AND(AF$5&gt;=$F35,AF$5&lt;=$G35),1,"")</f>
        <v/>
      </c>
      <c r="AG35" s="34">
        <f>IF(AND(AG$5&gt;=$F35,AG$5&lt;=$G35),1,"")</f>
        <v/>
      </c>
      <c r="AH35" s="34">
        <f>IF(AND(AH$5&gt;=$F35,AH$5&lt;=$G35),1,"")</f>
        <v/>
      </c>
      <c r="AI35" s="34">
        <f>IF(AND(AI$5&gt;=$F35,AI$5&lt;=$G35),1,"")</f>
        <v/>
      </c>
      <c r="AJ35" s="34">
        <f>IF(AND(AJ$5&gt;=$F35,AJ$5&lt;=$G35),1,"")</f>
        <v/>
      </c>
      <c r="AK35" s="34">
        <f>IF(AND(AK$5&gt;=$F35,AK$5&lt;=$G35),1,"")</f>
        <v/>
      </c>
      <c r="AL35" s="34">
        <f>IF(AND(AL$5&gt;=$F35,AL$5&lt;=$G35),1,"")</f>
        <v/>
      </c>
      <c r="AM35" s="34">
        <f>IF(AND(AM$5&gt;=$F35,AM$5&lt;=$G35),1,"")</f>
        <v/>
      </c>
      <c r="AN35" s="34">
        <f>IF(AND(AN$5&gt;=$F35,AN$5&lt;=$G35),1,"")</f>
        <v/>
      </c>
      <c r="AO35" s="34">
        <f>IF(AND(AO$5&gt;=$F35,AO$5&lt;=$G35),1,"")</f>
        <v/>
      </c>
      <c r="AP35" s="34">
        <f>IF(AND(AP$5&gt;=$F35,AP$5&lt;=$G35),1,"")</f>
        <v/>
      </c>
      <c r="AQ35" s="34">
        <f>IF(AND(AQ$5&gt;=$F35,AQ$5&lt;=$G35),1,"")</f>
        <v/>
      </c>
      <c r="AR35" s="34">
        <f>IF(AND(AR$5&gt;=$F35,AR$5&lt;=$G35),1,"")</f>
        <v/>
      </c>
      <c r="AS35" s="34">
        <f>IF(AND(AS$5&gt;=$F35,AS$5&lt;=$G35),1,"")</f>
        <v/>
      </c>
      <c r="AT35" s="34">
        <f>IF(AND(AT$5&gt;=$F35,AT$5&lt;=$G35),1,"")</f>
        <v/>
      </c>
      <c r="AU35" s="34">
        <f>IF(AND(AU$5&gt;=$F35,AU$5&lt;=$G35),1,"")</f>
        <v/>
      </c>
      <c r="AV35" s="34">
        <f>IF(AND(AV$5&gt;=$F35,AV$5&lt;=$G35),1,"")</f>
        <v/>
      </c>
      <c r="AW35" s="34">
        <f>IF(AND(AW$5&gt;=$F35,AW$5&lt;=$G35),1,"")</f>
        <v/>
      </c>
      <c r="AX35" s="34">
        <f>IF(AND(AX$5&gt;=$F35,AX$5&lt;=$G35),1,"")</f>
        <v/>
      </c>
      <c r="AY35" s="34">
        <f>IF(AND(AY$5&gt;=$F35,AY$5&lt;=$G35),1,"")</f>
        <v/>
      </c>
      <c r="AZ35" s="34">
        <f>IF(AND(AZ$5&gt;=$F35,AZ$5&lt;=$G35),1,"")</f>
        <v/>
      </c>
      <c r="BA35" s="34">
        <f>IF(AND(BA$5&gt;=$F35,BA$5&lt;=$G35),1,"")</f>
        <v/>
      </c>
      <c r="BB35" s="34">
        <f>IF(AND(BB$5&gt;=$F35,BB$5&lt;=$G35),1,"")</f>
        <v/>
      </c>
      <c r="BC35" s="34">
        <f>IF(AND(BC$5&gt;=$F35,BC$5&lt;=$G35),1,"")</f>
        <v/>
      </c>
      <c r="BD35" s="34">
        <f>IF(AND(BD$5&gt;=$F35,BD$5&lt;=$G35),1,"")</f>
        <v/>
      </c>
      <c r="BE35" s="34">
        <f>IF(AND(BE$5&gt;=$F35,BE$5&lt;=$G35),1,"")</f>
        <v/>
      </c>
      <c r="BF35" s="34">
        <f>IF(AND(BF$5&gt;=$F35,BF$5&lt;=$G35),1,"")</f>
        <v/>
      </c>
      <c r="BG35" s="34">
        <f>IF(AND(BG$5&gt;=$F35,BG$5&lt;=$G35),1,"")</f>
        <v/>
      </c>
      <c r="BH35" s="34">
        <f>IF(AND(BH$5&gt;=$F35,BH$5&lt;=$G35),1,"")</f>
        <v/>
      </c>
      <c r="BI35" s="34">
        <f>IF(AND(BI$5&gt;=$F35,BI$5&lt;=$G35),1,"")</f>
        <v/>
      </c>
      <c r="BJ35" s="34">
        <f>IF(AND(BJ$5&gt;=$F35,BJ$5&lt;=$G35),1,"")</f>
        <v/>
      </c>
      <c r="BK35" s="34">
        <f>IF(AND(BK$5&gt;=$F35,BK$5&lt;=$G35),1,"")</f>
        <v/>
      </c>
      <c r="BL35" s="34">
        <f>IF(AND(BL$5&gt;=$F35,BL$5&lt;=$G35),1,"")</f>
        <v/>
      </c>
      <c r="BM35" s="34">
        <f>IF(AND(BM$5&gt;=$F35,BM$5&lt;=$G35),1,"")</f>
        <v/>
      </c>
      <c r="BN35" s="34">
        <f>IF(AND(BN$5&gt;=$F35,BN$5&lt;=$G35),1,"")</f>
        <v/>
      </c>
    </row>
    <row r="36" ht="14.25" customHeight="1" s="36">
      <c r="A36" s="13" t="inlineStr">
        <is>
          <t>1 Inicio</t>
        </is>
      </c>
      <c r="B36" s="13" t="inlineStr">
        <is>
          <t>1.8.6</t>
        </is>
      </c>
      <c r="C36" s="13" t="inlineStr">
        <is>
          <t>Informe mensual de avance con valor ganado</t>
        </is>
      </c>
      <c r="D36" s="13" t="inlineStr">
        <is>
          <t>R</t>
        </is>
      </c>
      <c r="E36" s="13" t="inlineStr">
        <is>
          <t>Jefe de Proyecto</t>
        </is>
      </c>
      <c r="F36" s="13" t="n">
        <v>1</v>
      </c>
      <c r="G36" s="13" t="n">
        <v>20</v>
      </c>
      <c r="H36" s="13">
        <f>G36-F36+1</f>
        <v/>
      </c>
      <c r="I36" s="31" t="n">
        <v>480</v>
      </c>
      <c r="J36" s="13" t="inlineStr">
        <is>
          <t>Esfuerzo continuo (por quincena u ocurrencia)</t>
        </is>
      </c>
      <c r="K36" s="34">
        <f>IF(AND(K$5&gt;=$F36,K$5&lt;=$G36),1,"")</f>
        <v/>
      </c>
      <c r="L36" s="34">
        <f>IF(AND(L$5&gt;=$F36,L$5&lt;=$G36),1,"")</f>
        <v/>
      </c>
      <c r="M36" s="34">
        <f>IF(AND(M$5&gt;=$F36,M$5&lt;=$G36),1,"")</f>
        <v/>
      </c>
      <c r="N36" s="34">
        <f>IF(AND(N$5&gt;=$F36,N$5&lt;=$G36),1,"")</f>
        <v/>
      </c>
      <c r="O36" s="34">
        <f>IF(AND(O$5&gt;=$F36,O$5&lt;=$G36),1,"")</f>
        <v/>
      </c>
      <c r="P36" s="34">
        <f>IF(AND(P$5&gt;=$F36,P$5&lt;=$G36),1,"")</f>
        <v/>
      </c>
      <c r="Q36" s="34">
        <f>IF(AND(Q$5&gt;=$F36,Q$5&lt;=$G36),1,"")</f>
        <v/>
      </c>
      <c r="R36" s="34">
        <f>IF(AND(R$5&gt;=$F36,R$5&lt;=$G36),1,"")</f>
        <v/>
      </c>
      <c r="S36" s="34">
        <f>IF(AND(S$5&gt;=$F36,S$5&lt;=$G36),1,"")</f>
        <v/>
      </c>
      <c r="T36" s="34">
        <f>IF(AND(T$5&gt;=$F36,T$5&lt;=$G36),1,"")</f>
        <v/>
      </c>
      <c r="U36" s="34">
        <f>IF(AND(U$5&gt;=$F36,U$5&lt;=$G36),1,"")</f>
        <v/>
      </c>
      <c r="V36" s="34">
        <f>IF(AND(V$5&gt;=$F36,V$5&lt;=$G36),1,"")</f>
        <v/>
      </c>
      <c r="W36" s="34">
        <f>IF(AND(W$5&gt;=$F36,W$5&lt;=$G36),1,"")</f>
        <v/>
      </c>
      <c r="X36" s="34">
        <f>IF(AND(X$5&gt;=$F36,X$5&lt;=$G36),1,"")</f>
        <v/>
      </c>
      <c r="Y36" s="34">
        <f>IF(AND(Y$5&gt;=$F36,Y$5&lt;=$G36),1,"")</f>
        <v/>
      </c>
      <c r="Z36" s="34">
        <f>IF(AND(Z$5&gt;=$F36,Z$5&lt;=$G36),1,"")</f>
        <v/>
      </c>
      <c r="AA36" s="34">
        <f>IF(AND(AA$5&gt;=$F36,AA$5&lt;=$G36),1,"")</f>
        <v/>
      </c>
      <c r="AB36" s="34">
        <f>IF(AND(AB$5&gt;=$F36,AB$5&lt;=$G36),1,"")</f>
        <v/>
      </c>
      <c r="AC36" s="34">
        <f>IF(AND(AC$5&gt;=$F36,AC$5&lt;=$G36),1,"")</f>
        <v/>
      </c>
      <c r="AD36" s="34">
        <f>IF(AND(AD$5&gt;=$F36,AD$5&lt;=$G36),1,"")</f>
        <v/>
      </c>
      <c r="AE36" s="34">
        <f>IF(AND(AE$5&gt;=$F36,AE$5&lt;=$G36),1,"")</f>
        <v/>
      </c>
      <c r="AF36" s="34">
        <f>IF(AND(AF$5&gt;=$F36,AF$5&lt;=$G36),1,"")</f>
        <v/>
      </c>
      <c r="AG36" s="34">
        <f>IF(AND(AG$5&gt;=$F36,AG$5&lt;=$G36),1,"")</f>
        <v/>
      </c>
      <c r="AH36" s="34">
        <f>IF(AND(AH$5&gt;=$F36,AH$5&lt;=$G36),1,"")</f>
        <v/>
      </c>
      <c r="AI36" s="34">
        <f>IF(AND(AI$5&gt;=$F36,AI$5&lt;=$G36),1,"")</f>
        <v/>
      </c>
      <c r="AJ36" s="34">
        <f>IF(AND(AJ$5&gt;=$F36,AJ$5&lt;=$G36),1,"")</f>
        <v/>
      </c>
      <c r="AK36" s="34">
        <f>IF(AND(AK$5&gt;=$F36,AK$5&lt;=$G36),1,"")</f>
        <v/>
      </c>
      <c r="AL36" s="34">
        <f>IF(AND(AL$5&gt;=$F36,AL$5&lt;=$G36),1,"")</f>
        <v/>
      </c>
      <c r="AM36" s="34">
        <f>IF(AND(AM$5&gt;=$F36,AM$5&lt;=$G36),1,"")</f>
        <v/>
      </c>
      <c r="AN36" s="34">
        <f>IF(AND(AN$5&gt;=$F36,AN$5&lt;=$G36),1,"")</f>
        <v/>
      </c>
      <c r="AO36" s="34">
        <f>IF(AND(AO$5&gt;=$F36,AO$5&lt;=$G36),1,"")</f>
        <v/>
      </c>
      <c r="AP36" s="34">
        <f>IF(AND(AP$5&gt;=$F36,AP$5&lt;=$G36),1,"")</f>
        <v/>
      </c>
      <c r="AQ36" s="34">
        <f>IF(AND(AQ$5&gt;=$F36,AQ$5&lt;=$G36),1,"")</f>
        <v/>
      </c>
      <c r="AR36" s="34">
        <f>IF(AND(AR$5&gt;=$F36,AR$5&lt;=$G36),1,"")</f>
        <v/>
      </c>
      <c r="AS36" s="34">
        <f>IF(AND(AS$5&gt;=$F36,AS$5&lt;=$G36),1,"")</f>
        <v/>
      </c>
      <c r="AT36" s="34">
        <f>IF(AND(AT$5&gt;=$F36,AT$5&lt;=$G36),1,"")</f>
        <v/>
      </c>
      <c r="AU36" s="34">
        <f>IF(AND(AU$5&gt;=$F36,AU$5&lt;=$G36),1,"")</f>
        <v/>
      </c>
      <c r="AV36" s="34">
        <f>IF(AND(AV$5&gt;=$F36,AV$5&lt;=$G36),1,"")</f>
        <v/>
      </c>
      <c r="AW36" s="34">
        <f>IF(AND(AW$5&gt;=$F36,AW$5&lt;=$G36),1,"")</f>
        <v/>
      </c>
      <c r="AX36" s="34">
        <f>IF(AND(AX$5&gt;=$F36,AX$5&lt;=$G36),1,"")</f>
        <v/>
      </c>
      <c r="AY36" s="34">
        <f>IF(AND(AY$5&gt;=$F36,AY$5&lt;=$G36),1,"")</f>
        <v/>
      </c>
      <c r="AZ36" s="34">
        <f>IF(AND(AZ$5&gt;=$F36,AZ$5&lt;=$G36),1,"")</f>
        <v/>
      </c>
      <c r="BA36" s="34">
        <f>IF(AND(BA$5&gt;=$F36,BA$5&lt;=$G36),1,"")</f>
        <v/>
      </c>
      <c r="BB36" s="34">
        <f>IF(AND(BB$5&gt;=$F36,BB$5&lt;=$G36),1,"")</f>
        <v/>
      </c>
      <c r="BC36" s="34">
        <f>IF(AND(BC$5&gt;=$F36,BC$5&lt;=$G36),1,"")</f>
        <v/>
      </c>
      <c r="BD36" s="34">
        <f>IF(AND(BD$5&gt;=$F36,BD$5&lt;=$G36),1,"")</f>
        <v/>
      </c>
      <c r="BE36" s="34">
        <f>IF(AND(BE$5&gt;=$F36,BE$5&lt;=$G36),1,"")</f>
        <v/>
      </c>
      <c r="BF36" s="34">
        <f>IF(AND(BF$5&gt;=$F36,BF$5&lt;=$G36),1,"")</f>
        <v/>
      </c>
      <c r="BG36" s="34">
        <f>IF(AND(BG$5&gt;=$F36,BG$5&lt;=$G36),1,"")</f>
        <v/>
      </c>
      <c r="BH36" s="34">
        <f>IF(AND(BH$5&gt;=$F36,BH$5&lt;=$G36),1,"")</f>
        <v/>
      </c>
      <c r="BI36" s="34">
        <f>IF(AND(BI$5&gt;=$F36,BI$5&lt;=$G36),1,"")</f>
        <v/>
      </c>
      <c r="BJ36" s="34">
        <f>IF(AND(BJ$5&gt;=$F36,BJ$5&lt;=$G36),1,"")</f>
        <v/>
      </c>
      <c r="BK36" s="34">
        <f>IF(AND(BK$5&gt;=$F36,BK$5&lt;=$G36),1,"")</f>
        <v/>
      </c>
      <c r="BL36" s="34">
        <f>IF(AND(BL$5&gt;=$F36,BL$5&lt;=$G36),1,"")</f>
        <v/>
      </c>
      <c r="BM36" s="34">
        <f>IF(AND(BM$5&gt;=$F36,BM$5&lt;=$G36),1,"")</f>
        <v/>
      </c>
      <c r="BN36" s="34">
        <f>IF(AND(BN$5&gt;=$F36,BN$5&lt;=$G36),1,"")</f>
        <v/>
      </c>
    </row>
    <row r="37" ht="14.25" customHeight="1" s="36">
      <c r="A37" s="13" t="inlineStr">
        <is>
          <t>1 Inicio</t>
        </is>
      </c>
      <c r="B37" s="13" t="inlineStr">
        <is>
          <t>1.8.7</t>
        </is>
      </c>
      <c r="C37" s="13" t="inlineStr">
        <is>
          <t>Tablero de estado del proyecto disponible para el CLIENTE</t>
        </is>
      </c>
      <c r="D37" s="13" t="inlineStr">
        <is>
          <t>R</t>
        </is>
      </c>
      <c r="E37" s="13" t="inlineStr">
        <is>
          <t>Jefe de Proyecto</t>
        </is>
      </c>
      <c r="F37" s="13" t="n">
        <v>2</v>
      </c>
      <c r="G37" s="13" t="n">
        <v>56</v>
      </c>
      <c r="H37" s="13">
        <f>G37-F37+1</f>
        <v/>
      </c>
      <c r="I37" s="31" t="n">
        <v>440</v>
      </c>
      <c r="J37" s="13" t="inlineStr">
        <is>
          <t>Esfuerzo continuo (por quincena u ocurrencia)</t>
        </is>
      </c>
      <c r="K37" s="34">
        <f>IF(AND(K$5&gt;=$F37,K$5&lt;=$G37),1,"")</f>
        <v/>
      </c>
      <c r="L37" s="34">
        <f>IF(AND(L$5&gt;=$F37,L$5&lt;=$G37),1,"")</f>
        <v/>
      </c>
      <c r="M37" s="34">
        <f>IF(AND(M$5&gt;=$F37,M$5&lt;=$G37),1,"")</f>
        <v/>
      </c>
      <c r="N37" s="34">
        <f>IF(AND(N$5&gt;=$F37,N$5&lt;=$G37),1,"")</f>
        <v/>
      </c>
      <c r="O37" s="34">
        <f>IF(AND(O$5&gt;=$F37,O$5&lt;=$G37),1,"")</f>
        <v/>
      </c>
      <c r="P37" s="34">
        <f>IF(AND(P$5&gt;=$F37,P$5&lt;=$G37),1,"")</f>
        <v/>
      </c>
      <c r="Q37" s="34">
        <f>IF(AND(Q$5&gt;=$F37,Q$5&lt;=$G37),1,"")</f>
        <v/>
      </c>
      <c r="R37" s="34">
        <f>IF(AND(R$5&gt;=$F37,R$5&lt;=$G37),1,"")</f>
        <v/>
      </c>
      <c r="S37" s="34">
        <f>IF(AND(S$5&gt;=$F37,S$5&lt;=$G37),1,"")</f>
        <v/>
      </c>
      <c r="T37" s="34">
        <f>IF(AND(T$5&gt;=$F37,T$5&lt;=$G37),1,"")</f>
        <v/>
      </c>
      <c r="U37" s="34">
        <f>IF(AND(U$5&gt;=$F37,U$5&lt;=$G37),1,"")</f>
        <v/>
      </c>
      <c r="V37" s="34">
        <f>IF(AND(V$5&gt;=$F37,V$5&lt;=$G37),1,"")</f>
        <v/>
      </c>
      <c r="W37" s="34">
        <f>IF(AND(W$5&gt;=$F37,W$5&lt;=$G37),1,"")</f>
        <v/>
      </c>
      <c r="X37" s="34">
        <f>IF(AND(X$5&gt;=$F37,X$5&lt;=$G37),1,"")</f>
        <v/>
      </c>
      <c r="Y37" s="34">
        <f>IF(AND(Y$5&gt;=$F37,Y$5&lt;=$G37),1,"")</f>
        <v/>
      </c>
      <c r="Z37" s="34">
        <f>IF(AND(Z$5&gt;=$F37,Z$5&lt;=$G37),1,"")</f>
        <v/>
      </c>
      <c r="AA37" s="34">
        <f>IF(AND(AA$5&gt;=$F37,AA$5&lt;=$G37),1,"")</f>
        <v/>
      </c>
      <c r="AB37" s="34">
        <f>IF(AND(AB$5&gt;=$F37,AB$5&lt;=$G37),1,"")</f>
        <v/>
      </c>
      <c r="AC37" s="34">
        <f>IF(AND(AC$5&gt;=$F37,AC$5&lt;=$G37),1,"")</f>
        <v/>
      </c>
      <c r="AD37" s="34">
        <f>IF(AND(AD$5&gt;=$F37,AD$5&lt;=$G37),1,"")</f>
        <v/>
      </c>
      <c r="AE37" s="34">
        <f>IF(AND(AE$5&gt;=$F37,AE$5&lt;=$G37),1,"")</f>
        <v/>
      </c>
      <c r="AF37" s="34">
        <f>IF(AND(AF$5&gt;=$F37,AF$5&lt;=$G37),1,"")</f>
        <v/>
      </c>
      <c r="AG37" s="34">
        <f>IF(AND(AG$5&gt;=$F37,AG$5&lt;=$G37),1,"")</f>
        <v/>
      </c>
      <c r="AH37" s="34">
        <f>IF(AND(AH$5&gt;=$F37,AH$5&lt;=$G37),1,"")</f>
        <v/>
      </c>
      <c r="AI37" s="34">
        <f>IF(AND(AI$5&gt;=$F37,AI$5&lt;=$G37),1,"")</f>
        <v/>
      </c>
      <c r="AJ37" s="34">
        <f>IF(AND(AJ$5&gt;=$F37,AJ$5&lt;=$G37),1,"")</f>
        <v/>
      </c>
      <c r="AK37" s="34">
        <f>IF(AND(AK$5&gt;=$F37,AK$5&lt;=$G37),1,"")</f>
        <v/>
      </c>
      <c r="AL37" s="34">
        <f>IF(AND(AL$5&gt;=$F37,AL$5&lt;=$G37),1,"")</f>
        <v/>
      </c>
      <c r="AM37" s="34">
        <f>IF(AND(AM$5&gt;=$F37,AM$5&lt;=$G37),1,"")</f>
        <v/>
      </c>
      <c r="AN37" s="34">
        <f>IF(AND(AN$5&gt;=$F37,AN$5&lt;=$G37),1,"")</f>
        <v/>
      </c>
      <c r="AO37" s="34">
        <f>IF(AND(AO$5&gt;=$F37,AO$5&lt;=$G37),1,"")</f>
        <v/>
      </c>
      <c r="AP37" s="34">
        <f>IF(AND(AP$5&gt;=$F37,AP$5&lt;=$G37),1,"")</f>
        <v/>
      </c>
      <c r="AQ37" s="34">
        <f>IF(AND(AQ$5&gt;=$F37,AQ$5&lt;=$G37),1,"")</f>
        <v/>
      </c>
      <c r="AR37" s="34">
        <f>IF(AND(AR$5&gt;=$F37,AR$5&lt;=$G37),1,"")</f>
        <v/>
      </c>
      <c r="AS37" s="34">
        <f>IF(AND(AS$5&gt;=$F37,AS$5&lt;=$G37),1,"")</f>
        <v/>
      </c>
      <c r="AT37" s="34">
        <f>IF(AND(AT$5&gt;=$F37,AT$5&lt;=$G37),1,"")</f>
        <v/>
      </c>
      <c r="AU37" s="34">
        <f>IF(AND(AU$5&gt;=$F37,AU$5&lt;=$G37),1,"")</f>
        <v/>
      </c>
      <c r="AV37" s="34">
        <f>IF(AND(AV$5&gt;=$F37,AV$5&lt;=$G37),1,"")</f>
        <v/>
      </c>
      <c r="AW37" s="34">
        <f>IF(AND(AW$5&gt;=$F37,AW$5&lt;=$G37),1,"")</f>
        <v/>
      </c>
      <c r="AX37" s="34">
        <f>IF(AND(AX$5&gt;=$F37,AX$5&lt;=$G37),1,"")</f>
        <v/>
      </c>
      <c r="AY37" s="34">
        <f>IF(AND(AY$5&gt;=$F37,AY$5&lt;=$G37),1,"")</f>
        <v/>
      </c>
      <c r="AZ37" s="34">
        <f>IF(AND(AZ$5&gt;=$F37,AZ$5&lt;=$G37),1,"")</f>
        <v/>
      </c>
      <c r="BA37" s="34">
        <f>IF(AND(BA$5&gt;=$F37,BA$5&lt;=$G37),1,"")</f>
        <v/>
      </c>
      <c r="BB37" s="34">
        <f>IF(AND(BB$5&gt;=$F37,BB$5&lt;=$G37),1,"")</f>
        <v/>
      </c>
      <c r="BC37" s="34">
        <f>IF(AND(BC$5&gt;=$F37,BC$5&lt;=$G37),1,"")</f>
        <v/>
      </c>
      <c r="BD37" s="34">
        <f>IF(AND(BD$5&gt;=$F37,BD$5&lt;=$G37),1,"")</f>
        <v/>
      </c>
      <c r="BE37" s="34">
        <f>IF(AND(BE$5&gt;=$F37,BE$5&lt;=$G37),1,"")</f>
        <v/>
      </c>
      <c r="BF37" s="34">
        <f>IF(AND(BF$5&gt;=$F37,BF$5&lt;=$G37),1,"")</f>
        <v/>
      </c>
      <c r="BG37" s="34">
        <f>IF(AND(BG$5&gt;=$F37,BG$5&lt;=$G37),1,"")</f>
        <v/>
      </c>
      <c r="BH37" s="34">
        <f>IF(AND(BH$5&gt;=$F37,BH$5&lt;=$G37),1,"")</f>
        <v/>
      </c>
      <c r="BI37" s="34">
        <f>IF(AND(BI$5&gt;=$F37,BI$5&lt;=$G37),1,"")</f>
        <v/>
      </c>
      <c r="BJ37" s="34">
        <f>IF(AND(BJ$5&gt;=$F37,BJ$5&lt;=$G37),1,"")</f>
        <v/>
      </c>
      <c r="BK37" s="34">
        <f>IF(AND(BK$5&gt;=$F37,BK$5&lt;=$G37),1,"")</f>
        <v/>
      </c>
      <c r="BL37" s="34">
        <f>IF(AND(BL$5&gt;=$F37,BL$5&lt;=$G37),1,"")</f>
        <v/>
      </c>
      <c r="BM37" s="34">
        <f>IF(AND(BM$5&gt;=$F37,BM$5&lt;=$G37),1,"")</f>
        <v/>
      </c>
      <c r="BN37" s="34">
        <f>IF(AND(BN$5&gt;=$F37,BN$5&lt;=$G37),1,"")</f>
        <v/>
      </c>
    </row>
    <row r="38" ht="14.25" customHeight="1" s="36">
      <c r="A38" s="13" t="inlineStr">
        <is>
          <t>1 Inicio</t>
        </is>
      </c>
      <c r="B38" s="13" t="inlineStr">
        <is>
          <t>1.8.8</t>
        </is>
      </c>
      <c r="C38" s="13" t="inlineStr">
        <is>
          <t>Espacio colaborativo con la documentación, los entregables, las actas, los riesgos y los cambios</t>
        </is>
      </c>
      <c r="D38" s="13" t="inlineStr">
        <is>
          <t>R</t>
        </is>
      </c>
      <c r="E38" s="13" t="inlineStr">
        <is>
          <t>Jefe de Proyecto</t>
        </is>
      </c>
      <c r="F38" s="13" t="n">
        <v>1</v>
      </c>
      <c r="G38" s="13" t="n">
        <v>56</v>
      </c>
      <c r="H38" s="13">
        <f>G38-F38+1</f>
        <v/>
      </c>
      <c r="I38" s="31" t="n">
        <v>448</v>
      </c>
      <c r="J38" s="13" t="inlineStr">
        <is>
          <t>Esfuerzo continuo (por quincena u ocurrencia)</t>
        </is>
      </c>
      <c r="K38" s="34">
        <f>IF(AND(K$5&gt;=$F38,K$5&lt;=$G38),1,"")</f>
        <v/>
      </c>
      <c r="L38" s="34">
        <f>IF(AND(L$5&gt;=$F38,L$5&lt;=$G38),1,"")</f>
        <v/>
      </c>
      <c r="M38" s="34">
        <f>IF(AND(M$5&gt;=$F38,M$5&lt;=$G38),1,"")</f>
        <v/>
      </c>
      <c r="N38" s="34">
        <f>IF(AND(N$5&gt;=$F38,N$5&lt;=$G38),1,"")</f>
        <v/>
      </c>
      <c r="O38" s="34">
        <f>IF(AND(O$5&gt;=$F38,O$5&lt;=$G38),1,"")</f>
        <v/>
      </c>
      <c r="P38" s="34">
        <f>IF(AND(P$5&gt;=$F38,P$5&lt;=$G38),1,"")</f>
        <v/>
      </c>
      <c r="Q38" s="34">
        <f>IF(AND(Q$5&gt;=$F38,Q$5&lt;=$G38),1,"")</f>
        <v/>
      </c>
      <c r="R38" s="34">
        <f>IF(AND(R$5&gt;=$F38,R$5&lt;=$G38),1,"")</f>
        <v/>
      </c>
      <c r="S38" s="34">
        <f>IF(AND(S$5&gt;=$F38,S$5&lt;=$G38),1,"")</f>
        <v/>
      </c>
      <c r="T38" s="34">
        <f>IF(AND(T$5&gt;=$F38,T$5&lt;=$G38),1,"")</f>
        <v/>
      </c>
      <c r="U38" s="34">
        <f>IF(AND(U$5&gt;=$F38,U$5&lt;=$G38),1,"")</f>
        <v/>
      </c>
      <c r="V38" s="34">
        <f>IF(AND(V$5&gt;=$F38,V$5&lt;=$G38),1,"")</f>
        <v/>
      </c>
      <c r="W38" s="34">
        <f>IF(AND(W$5&gt;=$F38,W$5&lt;=$G38),1,"")</f>
        <v/>
      </c>
      <c r="X38" s="34">
        <f>IF(AND(X$5&gt;=$F38,X$5&lt;=$G38),1,"")</f>
        <v/>
      </c>
      <c r="Y38" s="34">
        <f>IF(AND(Y$5&gt;=$F38,Y$5&lt;=$G38),1,"")</f>
        <v/>
      </c>
      <c r="Z38" s="34">
        <f>IF(AND(Z$5&gt;=$F38,Z$5&lt;=$G38),1,"")</f>
        <v/>
      </c>
      <c r="AA38" s="34">
        <f>IF(AND(AA$5&gt;=$F38,AA$5&lt;=$G38),1,"")</f>
        <v/>
      </c>
      <c r="AB38" s="34">
        <f>IF(AND(AB$5&gt;=$F38,AB$5&lt;=$G38),1,"")</f>
        <v/>
      </c>
      <c r="AC38" s="34">
        <f>IF(AND(AC$5&gt;=$F38,AC$5&lt;=$G38),1,"")</f>
        <v/>
      </c>
      <c r="AD38" s="34">
        <f>IF(AND(AD$5&gt;=$F38,AD$5&lt;=$G38),1,"")</f>
        <v/>
      </c>
      <c r="AE38" s="34">
        <f>IF(AND(AE$5&gt;=$F38,AE$5&lt;=$G38),1,"")</f>
        <v/>
      </c>
      <c r="AF38" s="34">
        <f>IF(AND(AF$5&gt;=$F38,AF$5&lt;=$G38),1,"")</f>
        <v/>
      </c>
      <c r="AG38" s="34">
        <f>IF(AND(AG$5&gt;=$F38,AG$5&lt;=$G38),1,"")</f>
        <v/>
      </c>
      <c r="AH38" s="34">
        <f>IF(AND(AH$5&gt;=$F38,AH$5&lt;=$G38),1,"")</f>
        <v/>
      </c>
      <c r="AI38" s="34">
        <f>IF(AND(AI$5&gt;=$F38,AI$5&lt;=$G38),1,"")</f>
        <v/>
      </c>
      <c r="AJ38" s="34">
        <f>IF(AND(AJ$5&gt;=$F38,AJ$5&lt;=$G38),1,"")</f>
        <v/>
      </c>
      <c r="AK38" s="34">
        <f>IF(AND(AK$5&gt;=$F38,AK$5&lt;=$G38),1,"")</f>
        <v/>
      </c>
      <c r="AL38" s="34">
        <f>IF(AND(AL$5&gt;=$F38,AL$5&lt;=$G38),1,"")</f>
        <v/>
      </c>
      <c r="AM38" s="34">
        <f>IF(AND(AM$5&gt;=$F38,AM$5&lt;=$G38),1,"")</f>
        <v/>
      </c>
      <c r="AN38" s="34">
        <f>IF(AND(AN$5&gt;=$F38,AN$5&lt;=$G38),1,"")</f>
        <v/>
      </c>
      <c r="AO38" s="34">
        <f>IF(AND(AO$5&gt;=$F38,AO$5&lt;=$G38),1,"")</f>
        <v/>
      </c>
      <c r="AP38" s="34">
        <f>IF(AND(AP$5&gt;=$F38,AP$5&lt;=$G38),1,"")</f>
        <v/>
      </c>
      <c r="AQ38" s="34">
        <f>IF(AND(AQ$5&gt;=$F38,AQ$5&lt;=$G38),1,"")</f>
        <v/>
      </c>
      <c r="AR38" s="34">
        <f>IF(AND(AR$5&gt;=$F38,AR$5&lt;=$G38),1,"")</f>
        <v/>
      </c>
      <c r="AS38" s="34">
        <f>IF(AND(AS$5&gt;=$F38,AS$5&lt;=$G38),1,"")</f>
        <v/>
      </c>
      <c r="AT38" s="34">
        <f>IF(AND(AT$5&gt;=$F38,AT$5&lt;=$G38),1,"")</f>
        <v/>
      </c>
      <c r="AU38" s="34">
        <f>IF(AND(AU$5&gt;=$F38,AU$5&lt;=$G38),1,"")</f>
        <v/>
      </c>
      <c r="AV38" s="34">
        <f>IF(AND(AV$5&gt;=$F38,AV$5&lt;=$G38),1,"")</f>
        <v/>
      </c>
      <c r="AW38" s="34">
        <f>IF(AND(AW$5&gt;=$F38,AW$5&lt;=$G38),1,"")</f>
        <v/>
      </c>
      <c r="AX38" s="34">
        <f>IF(AND(AX$5&gt;=$F38,AX$5&lt;=$G38),1,"")</f>
        <v/>
      </c>
      <c r="AY38" s="34">
        <f>IF(AND(AY$5&gt;=$F38,AY$5&lt;=$G38),1,"")</f>
        <v/>
      </c>
      <c r="AZ38" s="34">
        <f>IF(AND(AZ$5&gt;=$F38,AZ$5&lt;=$G38),1,"")</f>
        <v/>
      </c>
      <c r="BA38" s="34">
        <f>IF(AND(BA$5&gt;=$F38,BA$5&lt;=$G38),1,"")</f>
        <v/>
      </c>
      <c r="BB38" s="34">
        <f>IF(AND(BB$5&gt;=$F38,BB$5&lt;=$G38),1,"")</f>
        <v/>
      </c>
      <c r="BC38" s="34">
        <f>IF(AND(BC$5&gt;=$F38,BC$5&lt;=$G38),1,"")</f>
        <v/>
      </c>
      <c r="BD38" s="34">
        <f>IF(AND(BD$5&gt;=$F38,BD$5&lt;=$G38),1,"")</f>
        <v/>
      </c>
      <c r="BE38" s="34">
        <f>IF(AND(BE$5&gt;=$F38,BE$5&lt;=$G38),1,"")</f>
        <v/>
      </c>
      <c r="BF38" s="34">
        <f>IF(AND(BF$5&gt;=$F38,BF$5&lt;=$G38),1,"")</f>
        <v/>
      </c>
      <c r="BG38" s="34">
        <f>IF(AND(BG$5&gt;=$F38,BG$5&lt;=$G38),1,"")</f>
        <v/>
      </c>
      <c r="BH38" s="34">
        <f>IF(AND(BH$5&gt;=$F38,BH$5&lt;=$G38),1,"")</f>
        <v/>
      </c>
      <c r="BI38" s="34">
        <f>IF(AND(BI$5&gt;=$F38,BI$5&lt;=$G38),1,"")</f>
        <v/>
      </c>
      <c r="BJ38" s="34">
        <f>IF(AND(BJ$5&gt;=$F38,BJ$5&lt;=$G38),1,"")</f>
        <v/>
      </c>
      <c r="BK38" s="34">
        <f>IF(AND(BK$5&gt;=$F38,BK$5&lt;=$G38),1,"")</f>
        <v/>
      </c>
      <c r="BL38" s="34">
        <f>IF(AND(BL$5&gt;=$F38,BL$5&lt;=$G38),1,"")</f>
        <v/>
      </c>
      <c r="BM38" s="34">
        <f>IF(AND(BM$5&gt;=$F38,BM$5&lt;=$G38),1,"")</f>
        <v/>
      </c>
      <c r="BN38" s="34">
        <f>IF(AND(BN$5&gt;=$F38,BN$5&lt;=$G38),1,"")</f>
        <v/>
      </c>
    </row>
    <row r="39" ht="14.25" customHeight="1" s="36">
      <c r="A39" s="13" t="inlineStr">
        <is>
          <t>1 Inicio</t>
        </is>
      </c>
      <c r="B39" s="13" t="inlineStr">
        <is>
          <t>1.9.1</t>
        </is>
      </c>
      <c r="C39" s="13" t="inlineStr">
        <is>
          <t>Matriz de cumplimiento normativo por obligación legal, con su control y su evidencia</t>
        </is>
      </c>
      <c r="D39" s="13" t="inlineStr">
        <is>
          <t>G</t>
        </is>
      </c>
      <c r="E39" s="13" t="inlineStr">
        <is>
          <t>Seguridad</t>
        </is>
      </c>
      <c r="F39" s="13" t="n">
        <v>1</v>
      </c>
      <c r="G39" s="13" t="n">
        <v>1</v>
      </c>
      <c r="H39" s="13">
        <f>G39-F39+1</f>
        <v/>
      </c>
      <c r="I39" s="31" t="n">
        <v>80</v>
      </c>
      <c r="J39" s="13" t="inlineStr">
        <is>
          <t>Con entregable (actividades en hoja «Actividades hasta H2»)</t>
        </is>
      </c>
      <c r="K39" s="34">
        <f>IF(AND(K$5&gt;=$F39,K$5&lt;=$G39),1,"")</f>
        <v/>
      </c>
      <c r="L39" s="34">
        <f>IF(AND(L$5&gt;=$F39,L$5&lt;=$G39),1,"")</f>
        <v/>
      </c>
      <c r="M39" s="34">
        <f>IF(AND(M$5&gt;=$F39,M$5&lt;=$G39),1,"")</f>
        <v/>
      </c>
      <c r="N39" s="34">
        <f>IF(AND(N$5&gt;=$F39,N$5&lt;=$G39),1,"")</f>
        <v/>
      </c>
      <c r="O39" s="34">
        <f>IF(AND(O$5&gt;=$F39,O$5&lt;=$G39),1,"")</f>
        <v/>
      </c>
      <c r="P39" s="34">
        <f>IF(AND(P$5&gt;=$F39,P$5&lt;=$G39),1,"")</f>
        <v/>
      </c>
      <c r="Q39" s="34">
        <f>IF(AND(Q$5&gt;=$F39,Q$5&lt;=$G39),1,"")</f>
        <v/>
      </c>
      <c r="R39" s="34">
        <f>IF(AND(R$5&gt;=$F39,R$5&lt;=$G39),1,"")</f>
        <v/>
      </c>
      <c r="S39" s="34">
        <f>IF(AND(S$5&gt;=$F39,S$5&lt;=$G39),1,"")</f>
        <v/>
      </c>
      <c r="T39" s="34">
        <f>IF(AND(T$5&gt;=$F39,T$5&lt;=$G39),1,"")</f>
        <v/>
      </c>
      <c r="U39" s="34">
        <f>IF(AND(U$5&gt;=$F39,U$5&lt;=$G39),1,"")</f>
        <v/>
      </c>
      <c r="V39" s="34">
        <f>IF(AND(V$5&gt;=$F39,V$5&lt;=$G39),1,"")</f>
        <v/>
      </c>
      <c r="W39" s="34">
        <f>IF(AND(W$5&gt;=$F39,W$5&lt;=$G39),1,"")</f>
        <v/>
      </c>
      <c r="X39" s="34">
        <f>IF(AND(X$5&gt;=$F39,X$5&lt;=$G39),1,"")</f>
        <v/>
      </c>
      <c r="Y39" s="34">
        <f>IF(AND(Y$5&gt;=$F39,Y$5&lt;=$G39),1,"")</f>
        <v/>
      </c>
      <c r="Z39" s="34">
        <f>IF(AND(Z$5&gt;=$F39,Z$5&lt;=$G39),1,"")</f>
        <v/>
      </c>
      <c r="AA39" s="34">
        <f>IF(AND(AA$5&gt;=$F39,AA$5&lt;=$G39),1,"")</f>
        <v/>
      </c>
      <c r="AB39" s="34">
        <f>IF(AND(AB$5&gt;=$F39,AB$5&lt;=$G39),1,"")</f>
        <v/>
      </c>
      <c r="AC39" s="34">
        <f>IF(AND(AC$5&gt;=$F39,AC$5&lt;=$G39),1,"")</f>
        <v/>
      </c>
      <c r="AD39" s="34">
        <f>IF(AND(AD$5&gt;=$F39,AD$5&lt;=$G39),1,"")</f>
        <v/>
      </c>
      <c r="AE39" s="34">
        <f>IF(AND(AE$5&gt;=$F39,AE$5&lt;=$G39),1,"")</f>
        <v/>
      </c>
      <c r="AF39" s="34">
        <f>IF(AND(AF$5&gt;=$F39,AF$5&lt;=$G39),1,"")</f>
        <v/>
      </c>
      <c r="AG39" s="34">
        <f>IF(AND(AG$5&gt;=$F39,AG$5&lt;=$G39),1,"")</f>
        <v/>
      </c>
      <c r="AH39" s="34">
        <f>IF(AND(AH$5&gt;=$F39,AH$5&lt;=$G39),1,"")</f>
        <v/>
      </c>
      <c r="AI39" s="34">
        <f>IF(AND(AI$5&gt;=$F39,AI$5&lt;=$G39),1,"")</f>
        <v/>
      </c>
      <c r="AJ39" s="34">
        <f>IF(AND(AJ$5&gt;=$F39,AJ$5&lt;=$G39),1,"")</f>
        <v/>
      </c>
      <c r="AK39" s="34">
        <f>IF(AND(AK$5&gt;=$F39,AK$5&lt;=$G39),1,"")</f>
        <v/>
      </c>
      <c r="AL39" s="34">
        <f>IF(AND(AL$5&gt;=$F39,AL$5&lt;=$G39),1,"")</f>
        <v/>
      </c>
      <c r="AM39" s="34">
        <f>IF(AND(AM$5&gt;=$F39,AM$5&lt;=$G39),1,"")</f>
        <v/>
      </c>
      <c r="AN39" s="34">
        <f>IF(AND(AN$5&gt;=$F39,AN$5&lt;=$G39),1,"")</f>
        <v/>
      </c>
      <c r="AO39" s="34">
        <f>IF(AND(AO$5&gt;=$F39,AO$5&lt;=$G39),1,"")</f>
        <v/>
      </c>
      <c r="AP39" s="34">
        <f>IF(AND(AP$5&gt;=$F39,AP$5&lt;=$G39),1,"")</f>
        <v/>
      </c>
      <c r="AQ39" s="34">
        <f>IF(AND(AQ$5&gt;=$F39,AQ$5&lt;=$G39),1,"")</f>
        <v/>
      </c>
      <c r="AR39" s="34">
        <f>IF(AND(AR$5&gt;=$F39,AR$5&lt;=$G39),1,"")</f>
        <v/>
      </c>
      <c r="AS39" s="34">
        <f>IF(AND(AS$5&gt;=$F39,AS$5&lt;=$G39),1,"")</f>
        <v/>
      </c>
      <c r="AT39" s="34">
        <f>IF(AND(AT$5&gt;=$F39,AT$5&lt;=$G39),1,"")</f>
        <v/>
      </c>
      <c r="AU39" s="34">
        <f>IF(AND(AU$5&gt;=$F39,AU$5&lt;=$G39),1,"")</f>
        <v/>
      </c>
      <c r="AV39" s="34">
        <f>IF(AND(AV$5&gt;=$F39,AV$5&lt;=$G39),1,"")</f>
        <v/>
      </c>
      <c r="AW39" s="34">
        <f>IF(AND(AW$5&gt;=$F39,AW$5&lt;=$G39),1,"")</f>
        <v/>
      </c>
      <c r="AX39" s="34">
        <f>IF(AND(AX$5&gt;=$F39,AX$5&lt;=$G39),1,"")</f>
        <v/>
      </c>
      <c r="AY39" s="34">
        <f>IF(AND(AY$5&gt;=$F39,AY$5&lt;=$G39),1,"")</f>
        <v/>
      </c>
      <c r="AZ39" s="34">
        <f>IF(AND(AZ$5&gt;=$F39,AZ$5&lt;=$G39),1,"")</f>
        <v/>
      </c>
      <c r="BA39" s="34">
        <f>IF(AND(BA$5&gt;=$F39,BA$5&lt;=$G39),1,"")</f>
        <v/>
      </c>
      <c r="BB39" s="34">
        <f>IF(AND(BB$5&gt;=$F39,BB$5&lt;=$G39),1,"")</f>
        <v/>
      </c>
      <c r="BC39" s="34">
        <f>IF(AND(BC$5&gt;=$F39,BC$5&lt;=$G39),1,"")</f>
        <v/>
      </c>
      <c r="BD39" s="34">
        <f>IF(AND(BD$5&gt;=$F39,BD$5&lt;=$G39),1,"")</f>
        <v/>
      </c>
      <c r="BE39" s="34">
        <f>IF(AND(BE$5&gt;=$F39,BE$5&lt;=$G39),1,"")</f>
        <v/>
      </c>
      <c r="BF39" s="34">
        <f>IF(AND(BF$5&gt;=$F39,BF$5&lt;=$G39),1,"")</f>
        <v/>
      </c>
      <c r="BG39" s="34">
        <f>IF(AND(BG$5&gt;=$F39,BG$5&lt;=$G39),1,"")</f>
        <v/>
      </c>
      <c r="BH39" s="34">
        <f>IF(AND(BH$5&gt;=$F39,BH$5&lt;=$G39),1,"")</f>
        <v/>
      </c>
      <c r="BI39" s="34">
        <f>IF(AND(BI$5&gt;=$F39,BI$5&lt;=$G39),1,"")</f>
        <v/>
      </c>
      <c r="BJ39" s="34">
        <f>IF(AND(BJ$5&gt;=$F39,BJ$5&lt;=$G39),1,"")</f>
        <v/>
      </c>
      <c r="BK39" s="34">
        <f>IF(AND(BK$5&gt;=$F39,BK$5&lt;=$G39),1,"")</f>
        <v/>
      </c>
      <c r="BL39" s="34">
        <f>IF(AND(BL$5&gt;=$F39,BL$5&lt;=$G39),1,"")</f>
        <v/>
      </c>
      <c r="BM39" s="34">
        <f>IF(AND(BM$5&gt;=$F39,BM$5&lt;=$G39),1,"")</f>
        <v/>
      </c>
      <c r="BN39" s="34">
        <f>IF(AND(BN$5&gt;=$F39,BN$5&lt;=$G39),1,"")</f>
        <v/>
      </c>
    </row>
    <row r="40" ht="14.25" customHeight="1" s="36">
      <c r="A40" s="13" t="inlineStr">
        <is>
          <t>1 Inicio</t>
        </is>
      </c>
      <c r="B40" s="13" t="inlineStr">
        <is>
          <t>1.9.2</t>
        </is>
      </c>
      <c r="C40" s="13" t="inlineStr">
        <is>
          <t>Acuerdo de tratamiento de datos personales con el CLIENTE</t>
        </is>
      </c>
      <c r="D40" s="13" t="inlineStr">
        <is>
          <t>G</t>
        </is>
      </c>
      <c r="E40" s="13" t="inlineStr">
        <is>
          <t>Seguridad</t>
        </is>
      </c>
      <c r="F40" s="13" t="n">
        <v>1</v>
      </c>
      <c r="G40" s="13" t="n">
        <v>1</v>
      </c>
      <c r="H40" s="13">
        <f>G40-F40+1</f>
        <v/>
      </c>
      <c r="I40" s="31" t="n">
        <v>80</v>
      </c>
      <c r="J40" s="13" t="inlineStr">
        <is>
          <t>Con entregable (actividades en hoja «Actividades hasta H2»)</t>
        </is>
      </c>
      <c r="K40" s="34">
        <f>IF(AND(K$5&gt;=$F40,K$5&lt;=$G40),1,"")</f>
        <v/>
      </c>
      <c r="L40" s="34">
        <f>IF(AND(L$5&gt;=$F40,L$5&lt;=$G40),1,"")</f>
        <v/>
      </c>
      <c r="M40" s="34">
        <f>IF(AND(M$5&gt;=$F40,M$5&lt;=$G40),1,"")</f>
        <v/>
      </c>
      <c r="N40" s="34">
        <f>IF(AND(N$5&gt;=$F40,N$5&lt;=$G40),1,"")</f>
        <v/>
      </c>
      <c r="O40" s="34">
        <f>IF(AND(O$5&gt;=$F40,O$5&lt;=$G40),1,"")</f>
        <v/>
      </c>
      <c r="P40" s="34">
        <f>IF(AND(P$5&gt;=$F40,P$5&lt;=$G40),1,"")</f>
        <v/>
      </c>
      <c r="Q40" s="34">
        <f>IF(AND(Q$5&gt;=$F40,Q$5&lt;=$G40),1,"")</f>
        <v/>
      </c>
      <c r="R40" s="34">
        <f>IF(AND(R$5&gt;=$F40,R$5&lt;=$G40),1,"")</f>
        <v/>
      </c>
      <c r="S40" s="34">
        <f>IF(AND(S$5&gt;=$F40,S$5&lt;=$G40),1,"")</f>
        <v/>
      </c>
      <c r="T40" s="34">
        <f>IF(AND(T$5&gt;=$F40,T$5&lt;=$G40),1,"")</f>
        <v/>
      </c>
      <c r="U40" s="34">
        <f>IF(AND(U$5&gt;=$F40,U$5&lt;=$G40),1,"")</f>
        <v/>
      </c>
      <c r="V40" s="34">
        <f>IF(AND(V$5&gt;=$F40,V$5&lt;=$G40),1,"")</f>
        <v/>
      </c>
      <c r="W40" s="34">
        <f>IF(AND(W$5&gt;=$F40,W$5&lt;=$G40),1,"")</f>
        <v/>
      </c>
      <c r="X40" s="34">
        <f>IF(AND(X$5&gt;=$F40,X$5&lt;=$G40),1,"")</f>
        <v/>
      </c>
      <c r="Y40" s="34">
        <f>IF(AND(Y$5&gt;=$F40,Y$5&lt;=$G40),1,"")</f>
        <v/>
      </c>
      <c r="Z40" s="34">
        <f>IF(AND(Z$5&gt;=$F40,Z$5&lt;=$G40),1,"")</f>
        <v/>
      </c>
      <c r="AA40" s="34">
        <f>IF(AND(AA$5&gt;=$F40,AA$5&lt;=$G40),1,"")</f>
        <v/>
      </c>
      <c r="AB40" s="34">
        <f>IF(AND(AB$5&gt;=$F40,AB$5&lt;=$G40),1,"")</f>
        <v/>
      </c>
      <c r="AC40" s="34">
        <f>IF(AND(AC$5&gt;=$F40,AC$5&lt;=$G40),1,"")</f>
        <v/>
      </c>
      <c r="AD40" s="34">
        <f>IF(AND(AD$5&gt;=$F40,AD$5&lt;=$G40),1,"")</f>
        <v/>
      </c>
      <c r="AE40" s="34">
        <f>IF(AND(AE$5&gt;=$F40,AE$5&lt;=$G40),1,"")</f>
        <v/>
      </c>
      <c r="AF40" s="34">
        <f>IF(AND(AF$5&gt;=$F40,AF$5&lt;=$G40),1,"")</f>
        <v/>
      </c>
      <c r="AG40" s="34">
        <f>IF(AND(AG$5&gt;=$F40,AG$5&lt;=$G40),1,"")</f>
        <v/>
      </c>
      <c r="AH40" s="34">
        <f>IF(AND(AH$5&gt;=$F40,AH$5&lt;=$G40),1,"")</f>
        <v/>
      </c>
      <c r="AI40" s="34">
        <f>IF(AND(AI$5&gt;=$F40,AI$5&lt;=$G40),1,"")</f>
        <v/>
      </c>
      <c r="AJ40" s="34">
        <f>IF(AND(AJ$5&gt;=$F40,AJ$5&lt;=$G40),1,"")</f>
        <v/>
      </c>
      <c r="AK40" s="34">
        <f>IF(AND(AK$5&gt;=$F40,AK$5&lt;=$G40),1,"")</f>
        <v/>
      </c>
      <c r="AL40" s="34">
        <f>IF(AND(AL$5&gt;=$F40,AL$5&lt;=$G40),1,"")</f>
        <v/>
      </c>
      <c r="AM40" s="34">
        <f>IF(AND(AM$5&gt;=$F40,AM$5&lt;=$G40),1,"")</f>
        <v/>
      </c>
      <c r="AN40" s="34">
        <f>IF(AND(AN$5&gt;=$F40,AN$5&lt;=$G40),1,"")</f>
        <v/>
      </c>
      <c r="AO40" s="34">
        <f>IF(AND(AO$5&gt;=$F40,AO$5&lt;=$G40),1,"")</f>
        <v/>
      </c>
      <c r="AP40" s="34">
        <f>IF(AND(AP$5&gt;=$F40,AP$5&lt;=$G40),1,"")</f>
        <v/>
      </c>
      <c r="AQ40" s="34">
        <f>IF(AND(AQ$5&gt;=$F40,AQ$5&lt;=$G40),1,"")</f>
        <v/>
      </c>
      <c r="AR40" s="34">
        <f>IF(AND(AR$5&gt;=$F40,AR$5&lt;=$G40),1,"")</f>
        <v/>
      </c>
      <c r="AS40" s="34">
        <f>IF(AND(AS$5&gt;=$F40,AS$5&lt;=$G40),1,"")</f>
        <v/>
      </c>
      <c r="AT40" s="34">
        <f>IF(AND(AT$5&gt;=$F40,AT$5&lt;=$G40),1,"")</f>
        <v/>
      </c>
      <c r="AU40" s="34">
        <f>IF(AND(AU$5&gt;=$F40,AU$5&lt;=$G40),1,"")</f>
        <v/>
      </c>
      <c r="AV40" s="34">
        <f>IF(AND(AV$5&gt;=$F40,AV$5&lt;=$G40),1,"")</f>
        <v/>
      </c>
      <c r="AW40" s="34">
        <f>IF(AND(AW$5&gt;=$F40,AW$5&lt;=$G40),1,"")</f>
        <v/>
      </c>
      <c r="AX40" s="34">
        <f>IF(AND(AX$5&gt;=$F40,AX$5&lt;=$G40),1,"")</f>
        <v/>
      </c>
      <c r="AY40" s="34">
        <f>IF(AND(AY$5&gt;=$F40,AY$5&lt;=$G40),1,"")</f>
        <v/>
      </c>
      <c r="AZ40" s="34">
        <f>IF(AND(AZ$5&gt;=$F40,AZ$5&lt;=$G40),1,"")</f>
        <v/>
      </c>
      <c r="BA40" s="34">
        <f>IF(AND(BA$5&gt;=$F40,BA$5&lt;=$G40),1,"")</f>
        <v/>
      </c>
      <c r="BB40" s="34">
        <f>IF(AND(BB$5&gt;=$F40,BB$5&lt;=$G40),1,"")</f>
        <v/>
      </c>
      <c r="BC40" s="34">
        <f>IF(AND(BC$5&gt;=$F40,BC$5&lt;=$G40),1,"")</f>
        <v/>
      </c>
      <c r="BD40" s="34">
        <f>IF(AND(BD$5&gt;=$F40,BD$5&lt;=$G40),1,"")</f>
        <v/>
      </c>
      <c r="BE40" s="34">
        <f>IF(AND(BE$5&gt;=$F40,BE$5&lt;=$G40),1,"")</f>
        <v/>
      </c>
      <c r="BF40" s="34">
        <f>IF(AND(BF$5&gt;=$F40,BF$5&lt;=$G40),1,"")</f>
        <v/>
      </c>
      <c r="BG40" s="34">
        <f>IF(AND(BG$5&gt;=$F40,BG$5&lt;=$G40),1,"")</f>
        <v/>
      </c>
      <c r="BH40" s="34">
        <f>IF(AND(BH$5&gt;=$F40,BH$5&lt;=$G40),1,"")</f>
        <v/>
      </c>
      <c r="BI40" s="34">
        <f>IF(AND(BI$5&gt;=$F40,BI$5&lt;=$G40),1,"")</f>
        <v/>
      </c>
      <c r="BJ40" s="34">
        <f>IF(AND(BJ$5&gt;=$F40,BJ$5&lt;=$G40),1,"")</f>
        <v/>
      </c>
      <c r="BK40" s="34">
        <f>IF(AND(BK$5&gt;=$F40,BK$5&lt;=$G40),1,"")</f>
        <v/>
      </c>
      <c r="BL40" s="34">
        <f>IF(AND(BL$5&gt;=$F40,BL$5&lt;=$G40),1,"")</f>
        <v/>
      </c>
      <c r="BM40" s="34">
        <f>IF(AND(BM$5&gt;=$F40,BM$5&lt;=$G40),1,"")</f>
        <v/>
      </c>
      <c r="BN40" s="34">
        <f>IF(AND(BN$5&gt;=$F40,BN$5&lt;=$G40),1,"")</f>
        <v/>
      </c>
    </row>
    <row r="41" ht="14.25" customHeight="1" s="36">
      <c r="A41" s="13" t="inlineStr">
        <is>
          <t>1 Inicio</t>
        </is>
      </c>
      <c r="B41" s="13" t="inlineStr">
        <is>
          <t>1.9.3</t>
        </is>
      </c>
      <c r="C41" s="13" t="inlineStr">
        <is>
          <t>Registro de actividades de tratamiento y evaluación de impacto en protección de datos</t>
        </is>
      </c>
      <c r="D41" s="13" t="inlineStr">
        <is>
          <t>G</t>
        </is>
      </c>
      <c r="E41" s="13" t="inlineStr">
        <is>
          <t>Seguridad</t>
        </is>
      </c>
      <c r="F41" s="13" t="n">
        <v>2</v>
      </c>
      <c r="G41" s="13" t="n">
        <v>2</v>
      </c>
      <c r="H41" s="13">
        <f>G41-F41+1</f>
        <v/>
      </c>
      <c r="I41" s="31" t="n">
        <v>80</v>
      </c>
      <c r="J41" s="13" t="inlineStr">
        <is>
          <t>Con entregable (actividades en hoja «Actividades hasta H2»)</t>
        </is>
      </c>
      <c r="K41" s="34">
        <f>IF(AND(K$5&gt;=$F41,K$5&lt;=$G41),1,"")</f>
        <v/>
      </c>
      <c r="L41" s="34">
        <f>IF(AND(L$5&gt;=$F41,L$5&lt;=$G41),1,"")</f>
        <v/>
      </c>
      <c r="M41" s="34">
        <f>IF(AND(M$5&gt;=$F41,M$5&lt;=$G41),1,"")</f>
        <v/>
      </c>
      <c r="N41" s="34">
        <f>IF(AND(N$5&gt;=$F41,N$5&lt;=$G41),1,"")</f>
        <v/>
      </c>
      <c r="O41" s="34">
        <f>IF(AND(O$5&gt;=$F41,O$5&lt;=$G41),1,"")</f>
        <v/>
      </c>
      <c r="P41" s="34">
        <f>IF(AND(P$5&gt;=$F41,P$5&lt;=$G41),1,"")</f>
        <v/>
      </c>
      <c r="Q41" s="34">
        <f>IF(AND(Q$5&gt;=$F41,Q$5&lt;=$G41),1,"")</f>
        <v/>
      </c>
      <c r="R41" s="34">
        <f>IF(AND(R$5&gt;=$F41,R$5&lt;=$G41),1,"")</f>
        <v/>
      </c>
      <c r="S41" s="34">
        <f>IF(AND(S$5&gt;=$F41,S$5&lt;=$G41),1,"")</f>
        <v/>
      </c>
      <c r="T41" s="34">
        <f>IF(AND(T$5&gt;=$F41,T$5&lt;=$G41),1,"")</f>
        <v/>
      </c>
      <c r="U41" s="34">
        <f>IF(AND(U$5&gt;=$F41,U$5&lt;=$G41),1,"")</f>
        <v/>
      </c>
      <c r="V41" s="34">
        <f>IF(AND(V$5&gt;=$F41,V$5&lt;=$G41),1,"")</f>
        <v/>
      </c>
      <c r="W41" s="34">
        <f>IF(AND(W$5&gt;=$F41,W$5&lt;=$G41),1,"")</f>
        <v/>
      </c>
      <c r="X41" s="34">
        <f>IF(AND(X$5&gt;=$F41,X$5&lt;=$G41),1,"")</f>
        <v/>
      </c>
      <c r="Y41" s="34">
        <f>IF(AND(Y$5&gt;=$F41,Y$5&lt;=$G41),1,"")</f>
        <v/>
      </c>
      <c r="Z41" s="34">
        <f>IF(AND(Z$5&gt;=$F41,Z$5&lt;=$G41),1,"")</f>
        <v/>
      </c>
      <c r="AA41" s="34">
        <f>IF(AND(AA$5&gt;=$F41,AA$5&lt;=$G41),1,"")</f>
        <v/>
      </c>
      <c r="AB41" s="34">
        <f>IF(AND(AB$5&gt;=$F41,AB$5&lt;=$G41),1,"")</f>
        <v/>
      </c>
      <c r="AC41" s="34">
        <f>IF(AND(AC$5&gt;=$F41,AC$5&lt;=$G41),1,"")</f>
        <v/>
      </c>
      <c r="AD41" s="34">
        <f>IF(AND(AD$5&gt;=$F41,AD$5&lt;=$G41),1,"")</f>
        <v/>
      </c>
      <c r="AE41" s="34">
        <f>IF(AND(AE$5&gt;=$F41,AE$5&lt;=$G41),1,"")</f>
        <v/>
      </c>
      <c r="AF41" s="34">
        <f>IF(AND(AF$5&gt;=$F41,AF$5&lt;=$G41),1,"")</f>
        <v/>
      </c>
      <c r="AG41" s="34">
        <f>IF(AND(AG$5&gt;=$F41,AG$5&lt;=$G41),1,"")</f>
        <v/>
      </c>
      <c r="AH41" s="34">
        <f>IF(AND(AH$5&gt;=$F41,AH$5&lt;=$G41),1,"")</f>
        <v/>
      </c>
      <c r="AI41" s="34">
        <f>IF(AND(AI$5&gt;=$F41,AI$5&lt;=$G41),1,"")</f>
        <v/>
      </c>
      <c r="AJ41" s="34">
        <f>IF(AND(AJ$5&gt;=$F41,AJ$5&lt;=$G41),1,"")</f>
        <v/>
      </c>
      <c r="AK41" s="34">
        <f>IF(AND(AK$5&gt;=$F41,AK$5&lt;=$G41),1,"")</f>
        <v/>
      </c>
      <c r="AL41" s="34">
        <f>IF(AND(AL$5&gt;=$F41,AL$5&lt;=$G41),1,"")</f>
        <v/>
      </c>
      <c r="AM41" s="34">
        <f>IF(AND(AM$5&gt;=$F41,AM$5&lt;=$G41),1,"")</f>
        <v/>
      </c>
      <c r="AN41" s="34">
        <f>IF(AND(AN$5&gt;=$F41,AN$5&lt;=$G41),1,"")</f>
        <v/>
      </c>
      <c r="AO41" s="34">
        <f>IF(AND(AO$5&gt;=$F41,AO$5&lt;=$G41),1,"")</f>
        <v/>
      </c>
      <c r="AP41" s="34">
        <f>IF(AND(AP$5&gt;=$F41,AP$5&lt;=$G41),1,"")</f>
        <v/>
      </c>
      <c r="AQ41" s="34">
        <f>IF(AND(AQ$5&gt;=$F41,AQ$5&lt;=$G41),1,"")</f>
        <v/>
      </c>
      <c r="AR41" s="34">
        <f>IF(AND(AR$5&gt;=$F41,AR$5&lt;=$G41),1,"")</f>
        <v/>
      </c>
      <c r="AS41" s="34">
        <f>IF(AND(AS$5&gt;=$F41,AS$5&lt;=$G41),1,"")</f>
        <v/>
      </c>
      <c r="AT41" s="34">
        <f>IF(AND(AT$5&gt;=$F41,AT$5&lt;=$G41),1,"")</f>
        <v/>
      </c>
      <c r="AU41" s="34">
        <f>IF(AND(AU$5&gt;=$F41,AU$5&lt;=$G41),1,"")</f>
        <v/>
      </c>
      <c r="AV41" s="34">
        <f>IF(AND(AV$5&gt;=$F41,AV$5&lt;=$G41),1,"")</f>
        <v/>
      </c>
      <c r="AW41" s="34">
        <f>IF(AND(AW$5&gt;=$F41,AW$5&lt;=$G41),1,"")</f>
        <v/>
      </c>
      <c r="AX41" s="34">
        <f>IF(AND(AX$5&gt;=$F41,AX$5&lt;=$G41),1,"")</f>
        <v/>
      </c>
      <c r="AY41" s="34">
        <f>IF(AND(AY$5&gt;=$F41,AY$5&lt;=$G41),1,"")</f>
        <v/>
      </c>
      <c r="AZ41" s="34">
        <f>IF(AND(AZ$5&gt;=$F41,AZ$5&lt;=$G41),1,"")</f>
        <v/>
      </c>
      <c r="BA41" s="34">
        <f>IF(AND(BA$5&gt;=$F41,BA$5&lt;=$G41),1,"")</f>
        <v/>
      </c>
      <c r="BB41" s="34">
        <f>IF(AND(BB$5&gt;=$F41,BB$5&lt;=$G41),1,"")</f>
        <v/>
      </c>
      <c r="BC41" s="34">
        <f>IF(AND(BC$5&gt;=$F41,BC$5&lt;=$G41),1,"")</f>
        <v/>
      </c>
      <c r="BD41" s="34">
        <f>IF(AND(BD$5&gt;=$F41,BD$5&lt;=$G41),1,"")</f>
        <v/>
      </c>
      <c r="BE41" s="34">
        <f>IF(AND(BE$5&gt;=$F41,BE$5&lt;=$G41),1,"")</f>
        <v/>
      </c>
      <c r="BF41" s="34">
        <f>IF(AND(BF$5&gt;=$F41,BF$5&lt;=$G41),1,"")</f>
        <v/>
      </c>
      <c r="BG41" s="34">
        <f>IF(AND(BG$5&gt;=$F41,BG$5&lt;=$G41),1,"")</f>
        <v/>
      </c>
      <c r="BH41" s="34">
        <f>IF(AND(BH$5&gt;=$F41,BH$5&lt;=$G41),1,"")</f>
        <v/>
      </c>
      <c r="BI41" s="34">
        <f>IF(AND(BI$5&gt;=$F41,BI$5&lt;=$G41),1,"")</f>
        <v/>
      </c>
      <c r="BJ41" s="34">
        <f>IF(AND(BJ$5&gt;=$F41,BJ$5&lt;=$G41),1,"")</f>
        <v/>
      </c>
      <c r="BK41" s="34">
        <f>IF(AND(BK$5&gt;=$F41,BK$5&lt;=$G41),1,"")</f>
        <v/>
      </c>
      <c r="BL41" s="34">
        <f>IF(AND(BL$5&gt;=$F41,BL$5&lt;=$G41),1,"")</f>
        <v/>
      </c>
      <c r="BM41" s="34">
        <f>IF(AND(BM$5&gt;=$F41,BM$5&lt;=$G41),1,"")</f>
        <v/>
      </c>
      <c r="BN41" s="34">
        <f>IF(AND(BN$5&gt;=$F41,BN$5&lt;=$G41),1,"")</f>
        <v/>
      </c>
    </row>
    <row r="42" ht="14.25" customHeight="1" s="36">
      <c r="A42" s="13" t="inlineStr">
        <is>
          <t>1 Inicio</t>
        </is>
      </c>
      <c r="B42" s="13" t="inlineStr">
        <is>
          <t>1.9.4</t>
        </is>
      </c>
      <c r="C42" s="13" t="inlineStr">
        <is>
          <t>Certificación ISO/IEC 27001 vigente y entrega anual de los informes de certificación</t>
        </is>
      </c>
      <c r="D42" s="13" t="inlineStr">
        <is>
          <t>R</t>
        </is>
      </c>
      <c r="E42" s="13" t="inlineStr">
        <is>
          <t>Seguridad</t>
        </is>
      </c>
      <c r="F42" s="13" t="n">
        <v>1</v>
      </c>
      <c r="G42" s="13" t="n">
        <v>56</v>
      </c>
      <c r="H42" s="13">
        <f>G42-F42+1</f>
        <v/>
      </c>
      <c r="I42" s="31" t="n">
        <v>224</v>
      </c>
      <c r="J42" s="13" t="inlineStr">
        <is>
          <t>Esfuerzo continuo (por quincena u ocurrencia)</t>
        </is>
      </c>
      <c r="K42" s="34">
        <f>IF(AND(K$5&gt;=$F42,K$5&lt;=$G42),1,"")</f>
        <v/>
      </c>
      <c r="L42" s="34">
        <f>IF(AND(L$5&gt;=$F42,L$5&lt;=$G42),1,"")</f>
        <v/>
      </c>
      <c r="M42" s="34">
        <f>IF(AND(M$5&gt;=$F42,M$5&lt;=$G42),1,"")</f>
        <v/>
      </c>
      <c r="N42" s="34">
        <f>IF(AND(N$5&gt;=$F42,N$5&lt;=$G42),1,"")</f>
        <v/>
      </c>
      <c r="O42" s="34">
        <f>IF(AND(O$5&gt;=$F42,O$5&lt;=$G42),1,"")</f>
        <v/>
      </c>
      <c r="P42" s="34">
        <f>IF(AND(P$5&gt;=$F42,P$5&lt;=$G42),1,"")</f>
        <v/>
      </c>
      <c r="Q42" s="34">
        <f>IF(AND(Q$5&gt;=$F42,Q$5&lt;=$G42),1,"")</f>
        <v/>
      </c>
      <c r="R42" s="34">
        <f>IF(AND(R$5&gt;=$F42,R$5&lt;=$G42),1,"")</f>
        <v/>
      </c>
      <c r="S42" s="34">
        <f>IF(AND(S$5&gt;=$F42,S$5&lt;=$G42),1,"")</f>
        <v/>
      </c>
      <c r="T42" s="34">
        <f>IF(AND(T$5&gt;=$F42,T$5&lt;=$G42),1,"")</f>
        <v/>
      </c>
      <c r="U42" s="34">
        <f>IF(AND(U$5&gt;=$F42,U$5&lt;=$G42),1,"")</f>
        <v/>
      </c>
      <c r="V42" s="34">
        <f>IF(AND(V$5&gt;=$F42,V$5&lt;=$G42),1,"")</f>
        <v/>
      </c>
      <c r="W42" s="34">
        <f>IF(AND(W$5&gt;=$F42,W$5&lt;=$G42),1,"")</f>
        <v/>
      </c>
      <c r="X42" s="34">
        <f>IF(AND(X$5&gt;=$F42,X$5&lt;=$G42),1,"")</f>
        <v/>
      </c>
      <c r="Y42" s="34">
        <f>IF(AND(Y$5&gt;=$F42,Y$5&lt;=$G42),1,"")</f>
        <v/>
      </c>
      <c r="Z42" s="34">
        <f>IF(AND(Z$5&gt;=$F42,Z$5&lt;=$G42),1,"")</f>
        <v/>
      </c>
      <c r="AA42" s="34">
        <f>IF(AND(AA$5&gt;=$F42,AA$5&lt;=$G42),1,"")</f>
        <v/>
      </c>
      <c r="AB42" s="34">
        <f>IF(AND(AB$5&gt;=$F42,AB$5&lt;=$G42),1,"")</f>
        <v/>
      </c>
      <c r="AC42" s="34">
        <f>IF(AND(AC$5&gt;=$F42,AC$5&lt;=$G42),1,"")</f>
        <v/>
      </c>
      <c r="AD42" s="34">
        <f>IF(AND(AD$5&gt;=$F42,AD$5&lt;=$G42),1,"")</f>
        <v/>
      </c>
      <c r="AE42" s="34">
        <f>IF(AND(AE$5&gt;=$F42,AE$5&lt;=$G42),1,"")</f>
        <v/>
      </c>
      <c r="AF42" s="34">
        <f>IF(AND(AF$5&gt;=$F42,AF$5&lt;=$G42),1,"")</f>
        <v/>
      </c>
      <c r="AG42" s="34">
        <f>IF(AND(AG$5&gt;=$F42,AG$5&lt;=$G42),1,"")</f>
        <v/>
      </c>
      <c r="AH42" s="34">
        <f>IF(AND(AH$5&gt;=$F42,AH$5&lt;=$G42),1,"")</f>
        <v/>
      </c>
      <c r="AI42" s="34">
        <f>IF(AND(AI$5&gt;=$F42,AI$5&lt;=$G42),1,"")</f>
        <v/>
      </c>
      <c r="AJ42" s="34">
        <f>IF(AND(AJ$5&gt;=$F42,AJ$5&lt;=$G42),1,"")</f>
        <v/>
      </c>
      <c r="AK42" s="34">
        <f>IF(AND(AK$5&gt;=$F42,AK$5&lt;=$G42),1,"")</f>
        <v/>
      </c>
      <c r="AL42" s="34">
        <f>IF(AND(AL$5&gt;=$F42,AL$5&lt;=$G42),1,"")</f>
        <v/>
      </c>
      <c r="AM42" s="34">
        <f>IF(AND(AM$5&gt;=$F42,AM$5&lt;=$G42),1,"")</f>
        <v/>
      </c>
      <c r="AN42" s="34">
        <f>IF(AND(AN$5&gt;=$F42,AN$5&lt;=$G42),1,"")</f>
        <v/>
      </c>
      <c r="AO42" s="34">
        <f>IF(AND(AO$5&gt;=$F42,AO$5&lt;=$G42),1,"")</f>
        <v/>
      </c>
      <c r="AP42" s="34">
        <f>IF(AND(AP$5&gt;=$F42,AP$5&lt;=$G42),1,"")</f>
        <v/>
      </c>
      <c r="AQ42" s="34">
        <f>IF(AND(AQ$5&gt;=$F42,AQ$5&lt;=$G42),1,"")</f>
        <v/>
      </c>
      <c r="AR42" s="34">
        <f>IF(AND(AR$5&gt;=$F42,AR$5&lt;=$G42),1,"")</f>
        <v/>
      </c>
      <c r="AS42" s="34">
        <f>IF(AND(AS$5&gt;=$F42,AS$5&lt;=$G42),1,"")</f>
        <v/>
      </c>
      <c r="AT42" s="34">
        <f>IF(AND(AT$5&gt;=$F42,AT$5&lt;=$G42),1,"")</f>
        <v/>
      </c>
      <c r="AU42" s="34">
        <f>IF(AND(AU$5&gt;=$F42,AU$5&lt;=$G42),1,"")</f>
        <v/>
      </c>
      <c r="AV42" s="34">
        <f>IF(AND(AV$5&gt;=$F42,AV$5&lt;=$G42),1,"")</f>
        <v/>
      </c>
      <c r="AW42" s="34">
        <f>IF(AND(AW$5&gt;=$F42,AW$5&lt;=$G42),1,"")</f>
        <v/>
      </c>
      <c r="AX42" s="34">
        <f>IF(AND(AX$5&gt;=$F42,AX$5&lt;=$G42),1,"")</f>
        <v/>
      </c>
      <c r="AY42" s="34">
        <f>IF(AND(AY$5&gt;=$F42,AY$5&lt;=$G42),1,"")</f>
        <v/>
      </c>
      <c r="AZ42" s="34">
        <f>IF(AND(AZ$5&gt;=$F42,AZ$5&lt;=$G42),1,"")</f>
        <v/>
      </c>
      <c r="BA42" s="34">
        <f>IF(AND(BA$5&gt;=$F42,BA$5&lt;=$G42),1,"")</f>
        <v/>
      </c>
      <c r="BB42" s="34">
        <f>IF(AND(BB$5&gt;=$F42,BB$5&lt;=$G42),1,"")</f>
        <v/>
      </c>
      <c r="BC42" s="34">
        <f>IF(AND(BC$5&gt;=$F42,BC$5&lt;=$G42),1,"")</f>
        <v/>
      </c>
      <c r="BD42" s="34">
        <f>IF(AND(BD$5&gt;=$F42,BD$5&lt;=$G42),1,"")</f>
        <v/>
      </c>
      <c r="BE42" s="34">
        <f>IF(AND(BE$5&gt;=$F42,BE$5&lt;=$G42),1,"")</f>
        <v/>
      </c>
      <c r="BF42" s="34">
        <f>IF(AND(BF$5&gt;=$F42,BF$5&lt;=$G42),1,"")</f>
        <v/>
      </c>
      <c r="BG42" s="34">
        <f>IF(AND(BG$5&gt;=$F42,BG$5&lt;=$G42),1,"")</f>
        <v/>
      </c>
      <c r="BH42" s="34">
        <f>IF(AND(BH$5&gt;=$F42,BH$5&lt;=$G42),1,"")</f>
        <v/>
      </c>
      <c r="BI42" s="34">
        <f>IF(AND(BI$5&gt;=$F42,BI$5&lt;=$G42),1,"")</f>
        <v/>
      </c>
      <c r="BJ42" s="34">
        <f>IF(AND(BJ$5&gt;=$F42,BJ$5&lt;=$G42),1,"")</f>
        <v/>
      </c>
      <c r="BK42" s="34">
        <f>IF(AND(BK$5&gt;=$F42,BK$5&lt;=$G42),1,"")</f>
        <v/>
      </c>
      <c r="BL42" s="34">
        <f>IF(AND(BL$5&gt;=$F42,BL$5&lt;=$G42),1,"")</f>
        <v/>
      </c>
      <c r="BM42" s="34">
        <f>IF(AND(BM$5&gt;=$F42,BM$5&lt;=$G42),1,"")</f>
        <v/>
      </c>
      <c r="BN42" s="34">
        <f>IF(AND(BN$5&gt;=$F42,BN$5&lt;=$G42),1,"")</f>
        <v/>
      </c>
    </row>
    <row r="43" ht="14.25" customHeight="1" s="36">
      <c r="A43" s="13" t="inlineStr">
        <is>
          <t>1 Inicio</t>
        </is>
      </c>
      <c r="B43" s="13" t="inlineStr">
        <is>
          <t>1.9.5</t>
        </is>
      </c>
      <c r="C43" s="13" t="inlineStr">
        <is>
          <t>Garantía de fiel cumplimiento, seguros y certificados laborales vigentes durante el contrato</t>
        </is>
      </c>
      <c r="D43" s="13" t="inlineStr">
        <is>
          <t>R</t>
        </is>
      </c>
      <c r="E43" s="13" t="inlineStr">
        <is>
          <t>Jefe de Proyecto</t>
        </is>
      </c>
      <c r="F43" s="13" t="n">
        <v>1</v>
      </c>
      <c r="G43" s="13" t="n">
        <v>56</v>
      </c>
      <c r="H43" s="13">
        <f>G43-F43+1</f>
        <v/>
      </c>
      <c r="I43" s="31" t="n">
        <v>224</v>
      </c>
      <c r="J43" s="13" t="inlineStr">
        <is>
          <t>Esfuerzo continuo (por quincena u ocurrencia)</t>
        </is>
      </c>
      <c r="K43" s="34">
        <f>IF(AND(K$5&gt;=$F43,K$5&lt;=$G43),1,"")</f>
        <v/>
      </c>
      <c r="L43" s="34">
        <f>IF(AND(L$5&gt;=$F43,L$5&lt;=$G43),1,"")</f>
        <v/>
      </c>
      <c r="M43" s="34">
        <f>IF(AND(M$5&gt;=$F43,M$5&lt;=$G43),1,"")</f>
        <v/>
      </c>
      <c r="N43" s="34">
        <f>IF(AND(N$5&gt;=$F43,N$5&lt;=$G43),1,"")</f>
        <v/>
      </c>
      <c r="O43" s="34">
        <f>IF(AND(O$5&gt;=$F43,O$5&lt;=$G43),1,"")</f>
        <v/>
      </c>
      <c r="P43" s="34">
        <f>IF(AND(P$5&gt;=$F43,P$5&lt;=$G43),1,"")</f>
        <v/>
      </c>
      <c r="Q43" s="34">
        <f>IF(AND(Q$5&gt;=$F43,Q$5&lt;=$G43),1,"")</f>
        <v/>
      </c>
      <c r="R43" s="34">
        <f>IF(AND(R$5&gt;=$F43,R$5&lt;=$G43),1,"")</f>
        <v/>
      </c>
      <c r="S43" s="34">
        <f>IF(AND(S$5&gt;=$F43,S$5&lt;=$G43),1,"")</f>
        <v/>
      </c>
      <c r="T43" s="34">
        <f>IF(AND(T$5&gt;=$F43,T$5&lt;=$G43),1,"")</f>
        <v/>
      </c>
      <c r="U43" s="34">
        <f>IF(AND(U$5&gt;=$F43,U$5&lt;=$G43),1,"")</f>
        <v/>
      </c>
      <c r="V43" s="34">
        <f>IF(AND(V$5&gt;=$F43,V$5&lt;=$G43),1,"")</f>
        <v/>
      </c>
      <c r="W43" s="34">
        <f>IF(AND(W$5&gt;=$F43,W$5&lt;=$G43),1,"")</f>
        <v/>
      </c>
      <c r="X43" s="34">
        <f>IF(AND(X$5&gt;=$F43,X$5&lt;=$G43),1,"")</f>
        <v/>
      </c>
      <c r="Y43" s="34">
        <f>IF(AND(Y$5&gt;=$F43,Y$5&lt;=$G43),1,"")</f>
        <v/>
      </c>
      <c r="Z43" s="34">
        <f>IF(AND(Z$5&gt;=$F43,Z$5&lt;=$G43),1,"")</f>
        <v/>
      </c>
      <c r="AA43" s="34">
        <f>IF(AND(AA$5&gt;=$F43,AA$5&lt;=$G43),1,"")</f>
        <v/>
      </c>
      <c r="AB43" s="34">
        <f>IF(AND(AB$5&gt;=$F43,AB$5&lt;=$G43),1,"")</f>
        <v/>
      </c>
      <c r="AC43" s="34">
        <f>IF(AND(AC$5&gt;=$F43,AC$5&lt;=$G43),1,"")</f>
        <v/>
      </c>
      <c r="AD43" s="34">
        <f>IF(AND(AD$5&gt;=$F43,AD$5&lt;=$G43),1,"")</f>
        <v/>
      </c>
      <c r="AE43" s="34">
        <f>IF(AND(AE$5&gt;=$F43,AE$5&lt;=$G43),1,"")</f>
        <v/>
      </c>
      <c r="AF43" s="34">
        <f>IF(AND(AF$5&gt;=$F43,AF$5&lt;=$G43),1,"")</f>
        <v/>
      </c>
      <c r="AG43" s="34">
        <f>IF(AND(AG$5&gt;=$F43,AG$5&lt;=$G43),1,"")</f>
        <v/>
      </c>
      <c r="AH43" s="34">
        <f>IF(AND(AH$5&gt;=$F43,AH$5&lt;=$G43),1,"")</f>
        <v/>
      </c>
      <c r="AI43" s="34">
        <f>IF(AND(AI$5&gt;=$F43,AI$5&lt;=$G43),1,"")</f>
        <v/>
      </c>
      <c r="AJ43" s="34">
        <f>IF(AND(AJ$5&gt;=$F43,AJ$5&lt;=$G43),1,"")</f>
        <v/>
      </c>
      <c r="AK43" s="34">
        <f>IF(AND(AK$5&gt;=$F43,AK$5&lt;=$G43),1,"")</f>
        <v/>
      </c>
      <c r="AL43" s="34">
        <f>IF(AND(AL$5&gt;=$F43,AL$5&lt;=$G43),1,"")</f>
        <v/>
      </c>
      <c r="AM43" s="34">
        <f>IF(AND(AM$5&gt;=$F43,AM$5&lt;=$G43),1,"")</f>
        <v/>
      </c>
      <c r="AN43" s="34">
        <f>IF(AND(AN$5&gt;=$F43,AN$5&lt;=$G43),1,"")</f>
        <v/>
      </c>
      <c r="AO43" s="34">
        <f>IF(AND(AO$5&gt;=$F43,AO$5&lt;=$G43),1,"")</f>
        <v/>
      </c>
      <c r="AP43" s="34">
        <f>IF(AND(AP$5&gt;=$F43,AP$5&lt;=$G43),1,"")</f>
        <v/>
      </c>
      <c r="AQ43" s="34">
        <f>IF(AND(AQ$5&gt;=$F43,AQ$5&lt;=$G43),1,"")</f>
        <v/>
      </c>
      <c r="AR43" s="34">
        <f>IF(AND(AR$5&gt;=$F43,AR$5&lt;=$G43),1,"")</f>
        <v/>
      </c>
      <c r="AS43" s="34">
        <f>IF(AND(AS$5&gt;=$F43,AS$5&lt;=$G43),1,"")</f>
        <v/>
      </c>
      <c r="AT43" s="34">
        <f>IF(AND(AT$5&gt;=$F43,AT$5&lt;=$G43),1,"")</f>
        <v/>
      </c>
      <c r="AU43" s="34">
        <f>IF(AND(AU$5&gt;=$F43,AU$5&lt;=$G43),1,"")</f>
        <v/>
      </c>
      <c r="AV43" s="34">
        <f>IF(AND(AV$5&gt;=$F43,AV$5&lt;=$G43),1,"")</f>
        <v/>
      </c>
      <c r="AW43" s="34">
        <f>IF(AND(AW$5&gt;=$F43,AW$5&lt;=$G43),1,"")</f>
        <v/>
      </c>
      <c r="AX43" s="34">
        <f>IF(AND(AX$5&gt;=$F43,AX$5&lt;=$G43),1,"")</f>
        <v/>
      </c>
      <c r="AY43" s="34">
        <f>IF(AND(AY$5&gt;=$F43,AY$5&lt;=$G43),1,"")</f>
        <v/>
      </c>
      <c r="AZ43" s="34">
        <f>IF(AND(AZ$5&gt;=$F43,AZ$5&lt;=$G43),1,"")</f>
        <v/>
      </c>
      <c r="BA43" s="34">
        <f>IF(AND(BA$5&gt;=$F43,BA$5&lt;=$G43),1,"")</f>
        <v/>
      </c>
      <c r="BB43" s="34">
        <f>IF(AND(BB$5&gt;=$F43,BB$5&lt;=$G43),1,"")</f>
        <v/>
      </c>
      <c r="BC43" s="34">
        <f>IF(AND(BC$5&gt;=$F43,BC$5&lt;=$G43),1,"")</f>
        <v/>
      </c>
      <c r="BD43" s="34">
        <f>IF(AND(BD$5&gt;=$F43,BD$5&lt;=$G43),1,"")</f>
        <v/>
      </c>
      <c r="BE43" s="34">
        <f>IF(AND(BE$5&gt;=$F43,BE$5&lt;=$G43),1,"")</f>
        <v/>
      </c>
      <c r="BF43" s="34">
        <f>IF(AND(BF$5&gt;=$F43,BF$5&lt;=$G43),1,"")</f>
        <v/>
      </c>
      <c r="BG43" s="34">
        <f>IF(AND(BG$5&gt;=$F43,BG$5&lt;=$G43),1,"")</f>
        <v/>
      </c>
      <c r="BH43" s="34">
        <f>IF(AND(BH$5&gt;=$F43,BH$5&lt;=$G43),1,"")</f>
        <v/>
      </c>
      <c r="BI43" s="34">
        <f>IF(AND(BI$5&gt;=$F43,BI$5&lt;=$G43),1,"")</f>
        <v/>
      </c>
      <c r="BJ43" s="34">
        <f>IF(AND(BJ$5&gt;=$F43,BJ$5&lt;=$G43),1,"")</f>
        <v/>
      </c>
      <c r="BK43" s="34">
        <f>IF(AND(BK$5&gt;=$F43,BK$5&lt;=$G43),1,"")</f>
        <v/>
      </c>
      <c r="BL43" s="34">
        <f>IF(AND(BL$5&gt;=$F43,BL$5&lt;=$G43),1,"")</f>
        <v/>
      </c>
      <c r="BM43" s="34">
        <f>IF(AND(BM$5&gt;=$F43,BM$5&lt;=$G43),1,"")</f>
        <v/>
      </c>
      <c r="BN43" s="34">
        <f>IF(AND(BN$5&gt;=$F43,BN$5&lt;=$G43),1,"")</f>
        <v/>
      </c>
    </row>
    <row r="44" ht="14.25" customHeight="1" s="36">
      <c r="A44" s="13" t="inlineStr">
        <is>
          <t>2 Elaboración</t>
        </is>
      </c>
      <c r="B44" s="13" t="inlineStr">
        <is>
          <t>2.1.1</t>
        </is>
      </c>
      <c r="C44" s="13" t="inlineStr">
        <is>
          <t>Documento de arquitectura lógica: capas, módulos M1 a M12 e interfaces</t>
        </is>
      </c>
      <c r="D44" s="13" t="inlineStr">
        <is>
          <t>E</t>
        </is>
      </c>
      <c r="E44" s="13" t="inlineStr">
        <is>
          <t>Arquitectura</t>
        </is>
      </c>
      <c r="F44" s="13" t="n">
        <v>2</v>
      </c>
      <c r="G44" s="13" t="n">
        <v>2</v>
      </c>
      <c r="H44" s="13">
        <f>G44-F44+1</f>
        <v/>
      </c>
      <c r="I44" s="31" t="n">
        <v>240</v>
      </c>
      <c r="J44" s="13" t="inlineStr">
        <is>
          <t>Con entregable (actividades en hoja «Actividades hasta H2»)</t>
        </is>
      </c>
      <c r="K44" s="34">
        <f>IF(AND(K$5&gt;=$F44,K$5&lt;=$G44),2,"")</f>
        <v/>
      </c>
      <c r="L44" s="34">
        <f>IF(AND(L$5&gt;=$F44,L$5&lt;=$G44),2,"")</f>
        <v/>
      </c>
      <c r="M44" s="34">
        <f>IF(AND(M$5&gt;=$F44,M$5&lt;=$G44),2,"")</f>
        <v/>
      </c>
      <c r="N44" s="34">
        <f>IF(AND(N$5&gt;=$F44,N$5&lt;=$G44),2,"")</f>
        <v/>
      </c>
      <c r="O44" s="34">
        <f>IF(AND(O$5&gt;=$F44,O$5&lt;=$G44),2,"")</f>
        <v/>
      </c>
      <c r="P44" s="34">
        <f>IF(AND(P$5&gt;=$F44,P$5&lt;=$G44),2,"")</f>
        <v/>
      </c>
      <c r="Q44" s="34">
        <f>IF(AND(Q$5&gt;=$F44,Q$5&lt;=$G44),2,"")</f>
        <v/>
      </c>
      <c r="R44" s="34">
        <f>IF(AND(R$5&gt;=$F44,R$5&lt;=$G44),2,"")</f>
        <v/>
      </c>
      <c r="S44" s="34">
        <f>IF(AND(S$5&gt;=$F44,S$5&lt;=$G44),2,"")</f>
        <v/>
      </c>
      <c r="T44" s="34">
        <f>IF(AND(T$5&gt;=$F44,T$5&lt;=$G44),2,"")</f>
        <v/>
      </c>
      <c r="U44" s="34">
        <f>IF(AND(U$5&gt;=$F44,U$5&lt;=$G44),2,"")</f>
        <v/>
      </c>
      <c r="V44" s="34">
        <f>IF(AND(V$5&gt;=$F44,V$5&lt;=$G44),2,"")</f>
        <v/>
      </c>
      <c r="W44" s="34">
        <f>IF(AND(W$5&gt;=$F44,W$5&lt;=$G44),2,"")</f>
        <v/>
      </c>
      <c r="X44" s="34">
        <f>IF(AND(X$5&gt;=$F44,X$5&lt;=$G44),2,"")</f>
        <v/>
      </c>
      <c r="Y44" s="34">
        <f>IF(AND(Y$5&gt;=$F44,Y$5&lt;=$G44),2,"")</f>
        <v/>
      </c>
      <c r="Z44" s="34">
        <f>IF(AND(Z$5&gt;=$F44,Z$5&lt;=$G44),2,"")</f>
        <v/>
      </c>
      <c r="AA44" s="34">
        <f>IF(AND(AA$5&gt;=$F44,AA$5&lt;=$G44),2,"")</f>
        <v/>
      </c>
      <c r="AB44" s="34">
        <f>IF(AND(AB$5&gt;=$F44,AB$5&lt;=$G44),2,"")</f>
        <v/>
      </c>
      <c r="AC44" s="34">
        <f>IF(AND(AC$5&gt;=$F44,AC$5&lt;=$G44),2,"")</f>
        <v/>
      </c>
      <c r="AD44" s="34">
        <f>IF(AND(AD$5&gt;=$F44,AD$5&lt;=$G44),2,"")</f>
        <v/>
      </c>
      <c r="AE44" s="34">
        <f>IF(AND(AE$5&gt;=$F44,AE$5&lt;=$G44),2,"")</f>
        <v/>
      </c>
      <c r="AF44" s="34">
        <f>IF(AND(AF$5&gt;=$F44,AF$5&lt;=$G44),2,"")</f>
        <v/>
      </c>
      <c r="AG44" s="34">
        <f>IF(AND(AG$5&gt;=$F44,AG$5&lt;=$G44),2,"")</f>
        <v/>
      </c>
      <c r="AH44" s="34">
        <f>IF(AND(AH$5&gt;=$F44,AH$5&lt;=$G44),2,"")</f>
        <v/>
      </c>
      <c r="AI44" s="34">
        <f>IF(AND(AI$5&gt;=$F44,AI$5&lt;=$G44),2,"")</f>
        <v/>
      </c>
      <c r="AJ44" s="34">
        <f>IF(AND(AJ$5&gt;=$F44,AJ$5&lt;=$G44),2,"")</f>
        <v/>
      </c>
      <c r="AK44" s="34">
        <f>IF(AND(AK$5&gt;=$F44,AK$5&lt;=$G44),2,"")</f>
        <v/>
      </c>
      <c r="AL44" s="34">
        <f>IF(AND(AL$5&gt;=$F44,AL$5&lt;=$G44),2,"")</f>
        <v/>
      </c>
      <c r="AM44" s="34">
        <f>IF(AND(AM$5&gt;=$F44,AM$5&lt;=$G44),2,"")</f>
        <v/>
      </c>
      <c r="AN44" s="34">
        <f>IF(AND(AN$5&gt;=$F44,AN$5&lt;=$G44),2,"")</f>
        <v/>
      </c>
      <c r="AO44" s="34">
        <f>IF(AND(AO$5&gt;=$F44,AO$5&lt;=$G44),2,"")</f>
        <v/>
      </c>
      <c r="AP44" s="34">
        <f>IF(AND(AP$5&gt;=$F44,AP$5&lt;=$G44),2,"")</f>
        <v/>
      </c>
      <c r="AQ44" s="34">
        <f>IF(AND(AQ$5&gt;=$F44,AQ$5&lt;=$G44),2,"")</f>
        <v/>
      </c>
      <c r="AR44" s="34">
        <f>IF(AND(AR$5&gt;=$F44,AR$5&lt;=$G44),2,"")</f>
        <v/>
      </c>
      <c r="AS44" s="34">
        <f>IF(AND(AS$5&gt;=$F44,AS$5&lt;=$G44),2,"")</f>
        <v/>
      </c>
      <c r="AT44" s="34">
        <f>IF(AND(AT$5&gt;=$F44,AT$5&lt;=$G44),2,"")</f>
        <v/>
      </c>
      <c r="AU44" s="34">
        <f>IF(AND(AU$5&gt;=$F44,AU$5&lt;=$G44),2,"")</f>
        <v/>
      </c>
      <c r="AV44" s="34">
        <f>IF(AND(AV$5&gt;=$F44,AV$5&lt;=$G44),2,"")</f>
        <v/>
      </c>
      <c r="AW44" s="34">
        <f>IF(AND(AW$5&gt;=$F44,AW$5&lt;=$G44),2,"")</f>
        <v/>
      </c>
      <c r="AX44" s="34">
        <f>IF(AND(AX$5&gt;=$F44,AX$5&lt;=$G44),2,"")</f>
        <v/>
      </c>
      <c r="AY44" s="34">
        <f>IF(AND(AY$5&gt;=$F44,AY$5&lt;=$G44),2,"")</f>
        <v/>
      </c>
      <c r="AZ44" s="34">
        <f>IF(AND(AZ$5&gt;=$F44,AZ$5&lt;=$G44),2,"")</f>
        <v/>
      </c>
      <c r="BA44" s="34">
        <f>IF(AND(BA$5&gt;=$F44,BA$5&lt;=$G44),2,"")</f>
        <v/>
      </c>
      <c r="BB44" s="34">
        <f>IF(AND(BB$5&gt;=$F44,BB$5&lt;=$G44),2,"")</f>
        <v/>
      </c>
      <c r="BC44" s="34">
        <f>IF(AND(BC$5&gt;=$F44,BC$5&lt;=$G44),2,"")</f>
        <v/>
      </c>
      <c r="BD44" s="34">
        <f>IF(AND(BD$5&gt;=$F44,BD$5&lt;=$G44),2,"")</f>
        <v/>
      </c>
      <c r="BE44" s="34">
        <f>IF(AND(BE$5&gt;=$F44,BE$5&lt;=$G44),2,"")</f>
        <v/>
      </c>
      <c r="BF44" s="34">
        <f>IF(AND(BF$5&gt;=$F44,BF$5&lt;=$G44),2,"")</f>
        <v/>
      </c>
      <c r="BG44" s="34">
        <f>IF(AND(BG$5&gt;=$F44,BG$5&lt;=$G44),2,"")</f>
        <v/>
      </c>
      <c r="BH44" s="34">
        <f>IF(AND(BH$5&gt;=$F44,BH$5&lt;=$G44),2,"")</f>
        <v/>
      </c>
      <c r="BI44" s="34">
        <f>IF(AND(BI$5&gt;=$F44,BI$5&lt;=$G44),2,"")</f>
        <v/>
      </c>
      <c r="BJ44" s="34">
        <f>IF(AND(BJ$5&gt;=$F44,BJ$5&lt;=$G44),2,"")</f>
        <v/>
      </c>
      <c r="BK44" s="34">
        <f>IF(AND(BK$5&gt;=$F44,BK$5&lt;=$G44),2,"")</f>
        <v/>
      </c>
      <c r="BL44" s="34">
        <f>IF(AND(BL$5&gt;=$F44,BL$5&lt;=$G44),2,"")</f>
        <v/>
      </c>
      <c r="BM44" s="34">
        <f>IF(AND(BM$5&gt;=$F44,BM$5&lt;=$G44),2,"")</f>
        <v/>
      </c>
      <c r="BN44" s="34">
        <f>IF(AND(BN$5&gt;=$F44,BN$5&lt;=$G44),2,"")</f>
        <v/>
      </c>
    </row>
    <row r="45" ht="14.25" customHeight="1" s="36">
      <c r="A45" s="13" t="inlineStr">
        <is>
          <t>2 Elaboración</t>
        </is>
      </c>
      <c r="B45" s="13" t="inlineStr">
        <is>
          <t>2.1.2</t>
        </is>
      </c>
      <c r="C45" s="13" t="inlineStr">
        <is>
          <t>Documento de arquitectura física híbrida: nube, centros de distribución y plataformas de cross-docking</t>
        </is>
      </c>
      <c r="D45" s="13" t="inlineStr">
        <is>
          <t>E</t>
        </is>
      </c>
      <c r="E45" s="13" t="inlineStr">
        <is>
          <t>Arquitectura</t>
        </is>
      </c>
      <c r="F45" s="13" t="n">
        <v>2</v>
      </c>
      <c r="G45" s="13" t="n">
        <v>2</v>
      </c>
      <c r="H45" s="13">
        <f>G45-F45+1</f>
        <v/>
      </c>
      <c r="I45" s="31" t="n">
        <v>240</v>
      </c>
      <c r="J45" s="13" t="inlineStr">
        <is>
          <t>Con entregable (actividades en hoja «Actividades hasta H2»)</t>
        </is>
      </c>
      <c r="K45" s="34">
        <f>IF(AND(K$5&gt;=$F45,K$5&lt;=$G45),2,"")</f>
        <v/>
      </c>
      <c r="L45" s="34">
        <f>IF(AND(L$5&gt;=$F45,L$5&lt;=$G45),2,"")</f>
        <v/>
      </c>
      <c r="M45" s="34">
        <f>IF(AND(M$5&gt;=$F45,M$5&lt;=$G45),2,"")</f>
        <v/>
      </c>
      <c r="N45" s="34">
        <f>IF(AND(N$5&gt;=$F45,N$5&lt;=$G45),2,"")</f>
        <v/>
      </c>
      <c r="O45" s="34">
        <f>IF(AND(O$5&gt;=$F45,O$5&lt;=$G45),2,"")</f>
        <v/>
      </c>
      <c r="P45" s="34">
        <f>IF(AND(P$5&gt;=$F45,P$5&lt;=$G45),2,"")</f>
        <v/>
      </c>
      <c r="Q45" s="34">
        <f>IF(AND(Q$5&gt;=$F45,Q$5&lt;=$G45),2,"")</f>
        <v/>
      </c>
      <c r="R45" s="34">
        <f>IF(AND(R$5&gt;=$F45,R$5&lt;=$G45),2,"")</f>
        <v/>
      </c>
      <c r="S45" s="34">
        <f>IF(AND(S$5&gt;=$F45,S$5&lt;=$G45),2,"")</f>
        <v/>
      </c>
      <c r="T45" s="34">
        <f>IF(AND(T$5&gt;=$F45,T$5&lt;=$G45),2,"")</f>
        <v/>
      </c>
      <c r="U45" s="34">
        <f>IF(AND(U$5&gt;=$F45,U$5&lt;=$G45),2,"")</f>
        <v/>
      </c>
      <c r="V45" s="34">
        <f>IF(AND(V$5&gt;=$F45,V$5&lt;=$G45),2,"")</f>
        <v/>
      </c>
      <c r="W45" s="34">
        <f>IF(AND(W$5&gt;=$F45,W$5&lt;=$G45),2,"")</f>
        <v/>
      </c>
      <c r="X45" s="34">
        <f>IF(AND(X$5&gt;=$F45,X$5&lt;=$G45),2,"")</f>
        <v/>
      </c>
      <c r="Y45" s="34">
        <f>IF(AND(Y$5&gt;=$F45,Y$5&lt;=$G45),2,"")</f>
        <v/>
      </c>
      <c r="Z45" s="34">
        <f>IF(AND(Z$5&gt;=$F45,Z$5&lt;=$G45),2,"")</f>
        <v/>
      </c>
      <c r="AA45" s="34">
        <f>IF(AND(AA$5&gt;=$F45,AA$5&lt;=$G45),2,"")</f>
        <v/>
      </c>
      <c r="AB45" s="34">
        <f>IF(AND(AB$5&gt;=$F45,AB$5&lt;=$G45),2,"")</f>
        <v/>
      </c>
      <c r="AC45" s="34">
        <f>IF(AND(AC$5&gt;=$F45,AC$5&lt;=$G45),2,"")</f>
        <v/>
      </c>
      <c r="AD45" s="34">
        <f>IF(AND(AD$5&gt;=$F45,AD$5&lt;=$G45),2,"")</f>
        <v/>
      </c>
      <c r="AE45" s="34">
        <f>IF(AND(AE$5&gt;=$F45,AE$5&lt;=$G45),2,"")</f>
        <v/>
      </c>
      <c r="AF45" s="34">
        <f>IF(AND(AF$5&gt;=$F45,AF$5&lt;=$G45),2,"")</f>
        <v/>
      </c>
      <c r="AG45" s="34">
        <f>IF(AND(AG$5&gt;=$F45,AG$5&lt;=$G45),2,"")</f>
        <v/>
      </c>
      <c r="AH45" s="34">
        <f>IF(AND(AH$5&gt;=$F45,AH$5&lt;=$G45),2,"")</f>
        <v/>
      </c>
      <c r="AI45" s="34">
        <f>IF(AND(AI$5&gt;=$F45,AI$5&lt;=$G45),2,"")</f>
        <v/>
      </c>
      <c r="AJ45" s="34">
        <f>IF(AND(AJ$5&gt;=$F45,AJ$5&lt;=$G45),2,"")</f>
        <v/>
      </c>
      <c r="AK45" s="34">
        <f>IF(AND(AK$5&gt;=$F45,AK$5&lt;=$G45),2,"")</f>
        <v/>
      </c>
      <c r="AL45" s="34">
        <f>IF(AND(AL$5&gt;=$F45,AL$5&lt;=$G45),2,"")</f>
        <v/>
      </c>
      <c r="AM45" s="34">
        <f>IF(AND(AM$5&gt;=$F45,AM$5&lt;=$G45),2,"")</f>
        <v/>
      </c>
      <c r="AN45" s="34">
        <f>IF(AND(AN$5&gt;=$F45,AN$5&lt;=$G45),2,"")</f>
        <v/>
      </c>
      <c r="AO45" s="34">
        <f>IF(AND(AO$5&gt;=$F45,AO$5&lt;=$G45),2,"")</f>
        <v/>
      </c>
      <c r="AP45" s="34">
        <f>IF(AND(AP$5&gt;=$F45,AP$5&lt;=$G45),2,"")</f>
        <v/>
      </c>
      <c r="AQ45" s="34">
        <f>IF(AND(AQ$5&gt;=$F45,AQ$5&lt;=$G45),2,"")</f>
        <v/>
      </c>
      <c r="AR45" s="34">
        <f>IF(AND(AR$5&gt;=$F45,AR$5&lt;=$G45),2,"")</f>
        <v/>
      </c>
      <c r="AS45" s="34">
        <f>IF(AND(AS$5&gt;=$F45,AS$5&lt;=$G45),2,"")</f>
        <v/>
      </c>
      <c r="AT45" s="34">
        <f>IF(AND(AT$5&gt;=$F45,AT$5&lt;=$G45),2,"")</f>
        <v/>
      </c>
      <c r="AU45" s="34">
        <f>IF(AND(AU$5&gt;=$F45,AU$5&lt;=$G45),2,"")</f>
        <v/>
      </c>
      <c r="AV45" s="34">
        <f>IF(AND(AV$5&gt;=$F45,AV$5&lt;=$G45),2,"")</f>
        <v/>
      </c>
      <c r="AW45" s="34">
        <f>IF(AND(AW$5&gt;=$F45,AW$5&lt;=$G45),2,"")</f>
        <v/>
      </c>
      <c r="AX45" s="34">
        <f>IF(AND(AX$5&gt;=$F45,AX$5&lt;=$G45),2,"")</f>
        <v/>
      </c>
      <c r="AY45" s="34">
        <f>IF(AND(AY$5&gt;=$F45,AY$5&lt;=$G45),2,"")</f>
        <v/>
      </c>
      <c r="AZ45" s="34">
        <f>IF(AND(AZ$5&gt;=$F45,AZ$5&lt;=$G45),2,"")</f>
        <v/>
      </c>
      <c r="BA45" s="34">
        <f>IF(AND(BA$5&gt;=$F45,BA$5&lt;=$G45),2,"")</f>
        <v/>
      </c>
      <c r="BB45" s="34">
        <f>IF(AND(BB$5&gt;=$F45,BB$5&lt;=$G45),2,"")</f>
        <v/>
      </c>
      <c r="BC45" s="34">
        <f>IF(AND(BC$5&gt;=$F45,BC$5&lt;=$G45),2,"")</f>
        <v/>
      </c>
      <c r="BD45" s="34">
        <f>IF(AND(BD$5&gt;=$F45,BD$5&lt;=$G45),2,"")</f>
        <v/>
      </c>
      <c r="BE45" s="34">
        <f>IF(AND(BE$5&gt;=$F45,BE$5&lt;=$G45),2,"")</f>
        <v/>
      </c>
      <c r="BF45" s="34">
        <f>IF(AND(BF$5&gt;=$F45,BF$5&lt;=$G45),2,"")</f>
        <v/>
      </c>
      <c r="BG45" s="34">
        <f>IF(AND(BG$5&gt;=$F45,BG$5&lt;=$G45),2,"")</f>
        <v/>
      </c>
      <c r="BH45" s="34">
        <f>IF(AND(BH$5&gt;=$F45,BH$5&lt;=$G45),2,"")</f>
        <v/>
      </c>
      <c r="BI45" s="34">
        <f>IF(AND(BI$5&gt;=$F45,BI$5&lt;=$G45),2,"")</f>
        <v/>
      </c>
      <c r="BJ45" s="34">
        <f>IF(AND(BJ$5&gt;=$F45,BJ$5&lt;=$G45),2,"")</f>
        <v/>
      </c>
      <c r="BK45" s="34">
        <f>IF(AND(BK$5&gt;=$F45,BK$5&lt;=$G45),2,"")</f>
        <v/>
      </c>
      <c r="BL45" s="34">
        <f>IF(AND(BL$5&gt;=$F45,BL$5&lt;=$G45),2,"")</f>
        <v/>
      </c>
      <c r="BM45" s="34">
        <f>IF(AND(BM$5&gt;=$F45,BM$5&lt;=$G45),2,"")</f>
        <v/>
      </c>
      <c r="BN45" s="34">
        <f>IF(AND(BN$5&gt;=$F45,BN$5&lt;=$G45),2,"")</f>
        <v/>
      </c>
    </row>
    <row r="46" ht="14.25" customHeight="1" s="36">
      <c r="A46" s="13" t="inlineStr">
        <is>
          <t>2 Elaboración</t>
        </is>
      </c>
      <c r="B46" s="13" t="inlineStr">
        <is>
          <t>2.1.3</t>
        </is>
      </c>
      <c r="C46" s="13" t="inlineStr">
        <is>
          <t>Modelo de datos y diccionario de datos, con la trazabilidad por lote</t>
        </is>
      </c>
      <c r="D46" s="13" t="inlineStr">
        <is>
          <t>E</t>
        </is>
      </c>
      <c r="E46" s="13" t="inlineStr">
        <is>
          <t>Datos</t>
        </is>
      </c>
      <c r="F46" s="13" t="n">
        <v>2</v>
      </c>
      <c r="G46" s="13" t="n">
        <v>2</v>
      </c>
      <c r="H46" s="13">
        <f>G46-F46+1</f>
        <v/>
      </c>
      <c r="I46" s="31" t="n">
        <v>240</v>
      </c>
      <c r="J46" s="13" t="inlineStr">
        <is>
          <t>Con entregable (actividades en hoja «Actividades hasta H2»)</t>
        </is>
      </c>
      <c r="K46" s="34">
        <f>IF(AND(K$5&gt;=$F46,K$5&lt;=$G46),2,"")</f>
        <v/>
      </c>
      <c r="L46" s="34">
        <f>IF(AND(L$5&gt;=$F46,L$5&lt;=$G46),2,"")</f>
        <v/>
      </c>
      <c r="M46" s="34">
        <f>IF(AND(M$5&gt;=$F46,M$5&lt;=$G46),2,"")</f>
        <v/>
      </c>
      <c r="N46" s="34">
        <f>IF(AND(N$5&gt;=$F46,N$5&lt;=$G46),2,"")</f>
        <v/>
      </c>
      <c r="O46" s="34">
        <f>IF(AND(O$5&gt;=$F46,O$5&lt;=$G46),2,"")</f>
        <v/>
      </c>
      <c r="P46" s="34">
        <f>IF(AND(P$5&gt;=$F46,P$5&lt;=$G46),2,"")</f>
        <v/>
      </c>
      <c r="Q46" s="34">
        <f>IF(AND(Q$5&gt;=$F46,Q$5&lt;=$G46),2,"")</f>
        <v/>
      </c>
      <c r="R46" s="34">
        <f>IF(AND(R$5&gt;=$F46,R$5&lt;=$G46),2,"")</f>
        <v/>
      </c>
      <c r="S46" s="34">
        <f>IF(AND(S$5&gt;=$F46,S$5&lt;=$G46),2,"")</f>
        <v/>
      </c>
      <c r="T46" s="34">
        <f>IF(AND(T$5&gt;=$F46,T$5&lt;=$G46),2,"")</f>
        <v/>
      </c>
      <c r="U46" s="34">
        <f>IF(AND(U$5&gt;=$F46,U$5&lt;=$G46),2,"")</f>
        <v/>
      </c>
      <c r="V46" s="34">
        <f>IF(AND(V$5&gt;=$F46,V$5&lt;=$G46),2,"")</f>
        <v/>
      </c>
      <c r="W46" s="34">
        <f>IF(AND(W$5&gt;=$F46,W$5&lt;=$G46),2,"")</f>
        <v/>
      </c>
      <c r="X46" s="34">
        <f>IF(AND(X$5&gt;=$F46,X$5&lt;=$G46),2,"")</f>
        <v/>
      </c>
      <c r="Y46" s="34">
        <f>IF(AND(Y$5&gt;=$F46,Y$5&lt;=$G46),2,"")</f>
        <v/>
      </c>
      <c r="Z46" s="34">
        <f>IF(AND(Z$5&gt;=$F46,Z$5&lt;=$G46),2,"")</f>
        <v/>
      </c>
      <c r="AA46" s="34">
        <f>IF(AND(AA$5&gt;=$F46,AA$5&lt;=$G46),2,"")</f>
        <v/>
      </c>
      <c r="AB46" s="34">
        <f>IF(AND(AB$5&gt;=$F46,AB$5&lt;=$G46),2,"")</f>
        <v/>
      </c>
      <c r="AC46" s="34">
        <f>IF(AND(AC$5&gt;=$F46,AC$5&lt;=$G46),2,"")</f>
        <v/>
      </c>
      <c r="AD46" s="34">
        <f>IF(AND(AD$5&gt;=$F46,AD$5&lt;=$G46),2,"")</f>
        <v/>
      </c>
      <c r="AE46" s="34">
        <f>IF(AND(AE$5&gt;=$F46,AE$5&lt;=$G46),2,"")</f>
        <v/>
      </c>
      <c r="AF46" s="34">
        <f>IF(AND(AF$5&gt;=$F46,AF$5&lt;=$G46),2,"")</f>
        <v/>
      </c>
      <c r="AG46" s="34">
        <f>IF(AND(AG$5&gt;=$F46,AG$5&lt;=$G46),2,"")</f>
        <v/>
      </c>
      <c r="AH46" s="34">
        <f>IF(AND(AH$5&gt;=$F46,AH$5&lt;=$G46),2,"")</f>
        <v/>
      </c>
      <c r="AI46" s="34">
        <f>IF(AND(AI$5&gt;=$F46,AI$5&lt;=$G46),2,"")</f>
        <v/>
      </c>
      <c r="AJ46" s="34">
        <f>IF(AND(AJ$5&gt;=$F46,AJ$5&lt;=$G46),2,"")</f>
        <v/>
      </c>
      <c r="AK46" s="34">
        <f>IF(AND(AK$5&gt;=$F46,AK$5&lt;=$G46),2,"")</f>
        <v/>
      </c>
      <c r="AL46" s="34">
        <f>IF(AND(AL$5&gt;=$F46,AL$5&lt;=$G46),2,"")</f>
        <v/>
      </c>
      <c r="AM46" s="34">
        <f>IF(AND(AM$5&gt;=$F46,AM$5&lt;=$G46),2,"")</f>
        <v/>
      </c>
      <c r="AN46" s="34">
        <f>IF(AND(AN$5&gt;=$F46,AN$5&lt;=$G46),2,"")</f>
        <v/>
      </c>
      <c r="AO46" s="34">
        <f>IF(AND(AO$5&gt;=$F46,AO$5&lt;=$G46),2,"")</f>
        <v/>
      </c>
      <c r="AP46" s="34">
        <f>IF(AND(AP$5&gt;=$F46,AP$5&lt;=$G46),2,"")</f>
        <v/>
      </c>
      <c r="AQ46" s="34">
        <f>IF(AND(AQ$5&gt;=$F46,AQ$5&lt;=$G46),2,"")</f>
        <v/>
      </c>
      <c r="AR46" s="34">
        <f>IF(AND(AR$5&gt;=$F46,AR$5&lt;=$G46),2,"")</f>
        <v/>
      </c>
      <c r="AS46" s="34">
        <f>IF(AND(AS$5&gt;=$F46,AS$5&lt;=$G46),2,"")</f>
        <v/>
      </c>
      <c r="AT46" s="34">
        <f>IF(AND(AT$5&gt;=$F46,AT$5&lt;=$G46),2,"")</f>
        <v/>
      </c>
      <c r="AU46" s="34">
        <f>IF(AND(AU$5&gt;=$F46,AU$5&lt;=$G46),2,"")</f>
        <v/>
      </c>
      <c r="AV46" s="34">
        <f>IF(AND(AV$5&gt;=$F46,AV$5&lt;=$G46),2,"")</f>
        <v/>
      </c>
      <c r="AW46" s="34">
        <f>IF(AND(AW$5&gt;=$F46,AW$5&lt;=$G46),2,"")</f>
        <v/>
      </c>
      <c r="AX46" s="34">
        <f>IF(AND(AX$5&gt;=$F46,AX$5&lt;=$G46),2,"")</f>
        <v/>
      </c>
      <c r="AY46" s="34">
        <f>IF(AND(AY$5&gt;=$F46,AY$5&lt;=$G46),2,"")</f>
        <v/>
      </c>
      <c r="AZ46" s="34">
        <f>IF(AND(AZ$5&gt;=$F46,AZ$5&lt;=$G46),2,"")</f>
        <v/>
      </c>
      <c r="BA46" s="34">
        <f>IF(AND(BA$5&gt;=$F46,BA$5&lt;=$G46),2,"")</f>
        <v/>
      </c>
      <c r="BB46" s="34">
        <f>IF(AND(BB$5&gt;=$F46,BB$5&lt;=$G46),2,"")</f>
        <v/>
      </c>
      <c r="BC46" s="34">
        <f>IF(AND(BC$5&gt;=$F46,BC$5&lt;=$G46),2,"")</f>
        <v/>
      </c>
      <c r="BD46" s="34">
        <f>IF(AND(BD$5&gt;=$F46,BD$5&lt;=$G46),2,"")</f>
        <v/>
      </c>
      <c r="BE46" s="34">
        <f>IF(AND(BE$5&gt;=$F46,BE$5&lt;=$G46),2,"")</f>
        <v/>
      </c>
      <c r="BF46" s="34">
        <f>IF(AND(BF$5&gt;=$F46,BF$5&lt;=$G46),2,"")</f>
        <v/>
      </c>
      <c r="BG46" s="34">
        <f>IF(AND(BG$5&gt;=$F46,BG$5&lt;=$G46),2,"")</f>
        <v/>
      </c>
      <c r="BH46" s="34">
        <f>IF(AND(BH$5&gt;=$F46,BH$5&lt;=$G46),2,"")</f>
        <v/>
      </c>
      <c r="BI46" s="34">
        <f>IF(AND(BI$5&gt;=$F46,BI$5&lt;=$G46),2,"")</f>
        <v/>
      </c>
      <c r="BJ46" s="34">
        <f>IF(AND(BJ$5&gt;=$F46,BJ$5&lt;=$G46),2,"")</f>
        <v/>
      </c>
      <c r="BK46" s="34">
        <f>IF(AND(BK$5&gt;=$F46,BK$5&lt;=$G46),2,"")</f>
        <v/>
      </c>
      <c r="BL46" s="34">
        <f>IF(AND(BL$5&gt;=$F46,BL$5&lt;=$G46),2,"")</f>
        <v/>
      </c>
      <c r="BM46" s="34">
        <f>IF(AND(BM$5&gt;=$F46,BM$5&lt;=$G46),2,"")</f>
        <v/>
      </c>
      <c r="BN46" s="34">
        <f>IF(AND(BN$5&gt;=$F46,BN$5&lt;=$G46),2,"")</f>
        <v/>
      </c>
    </row>
    <row r="47" ht="14.25" customHeight="1" s="36">
      <c r="A47" s="13" t="inlineStr">
        <is>
          <t>2 Elaboración</t>
        </is>
      </c>
      <c r="B47" s="13" t="inlineStr">
        <is>
          <t>2.1.4</t>
        </is>
      </c>
      <c r="C47" s="13" t="inlineStr">
        <is>
          <t>Documento de diseño detallado de M11 y del intercambio con las cadenas</t>
        </is>
      </c>
      <c r="D47" s="13" t="inlineStr">
        <is>
          <t>E</t>
        </is>
      </c>
      <c r="E47" s="13" t="inlineStr">
        <is>
          <t>Arquitectura</t>
        </is>
      </c>
      <c r="F47" s="13" t="n">
        <v>13</v>
      </c>
      <c r="G47" s="13" t="n">
        <v>13</v>
      </c>
      <c r="H47" s="13">
        <f>G47-F47+1</f>
        <v/>
      </c>
      <c r="I47" s="31" t="n">
        <v>240</v>
      </c>
      <c r="J47" s="13" t="inlineStr">
        <is>
          <t>Con entregable (detalle por planificación gradual)</t>
        </is>
      </c>
      <c r="K47" s="34">
        <f>IF(AND(K$5&gt;=$F47,K$5&lt;=$G47),2,"")</f>
        <v/>
      </c>
      <c r="L47" s="34">
        <f>IF(AND(L$5&gt;=$F47,L$5&lt;=$G47),2,"")</f>
        <v/>
      </c>
      <c r="M47" s="34">
        <f>IF(AND(M$5&gt;=$F47,M$5&lt;=$G47),2,"")</f>
        <v/>
      </c>
      <c r="N47" s="34">
        <f>IF(AND(N$5&gt;=$F47,N$5&lt;=$G47),2,"")</f>
        <v/>
      </c>
      <c r="O47" s="34">
        <f>IF(AND(O$5&gt;=$F47,O$5&lt;=$G47),2,"")</f>
        <v/>
      </c>
      <c r="P47" s="34">
        <f>IF(AND(P$5&gt;=$F47,P$5&lt;=$G47),2,"")</f>
        <v/>
      </c>
      <c r="Q47" s="34">
        <f>IF(AND(Q$5&gt;=$F47,Q$5&lt;=$G47),2,"")</f>
        <v/>
      </c>
      <c r="R47" s="34">
        <f>IF(AND(R$5&gt;=$F47,R$5&lt;=$G47),2,"")</f>
        <v/>
      </c>
      <c r="S47" s="34">
        <f>IF(AND(S$5&gt;=$F47,S$5&lt;=$G47),2,"")</f>
        <v/>
      </c>
      <c r="T47" s="34">
        <f>IF(AND(T$5&gt;=$F47,T$5&lt;=$G47),2,"")</f>
        <v/>
      </c>
      <c r="U47" s="34">
        <f>IF(AND(U$5&gt;=$F47,U$5&lt;=$G47),2,"")</f>
        <v/>
      </c>
      <c r="V47" s="34">
        <f>IF(AND(V$5&gt;=$F47,V$5&lt;=$G47),2,"")</f>
        <v/>
      </c>
      <c r="W47" s="34">
        <f>IF(AND(W$5&gt;=$F47,W$5&lt;=$G47),2,"")</f>
        <v/>
      </c>
      <c r="X47" s="34">
        <f>IF(AND(X$5&gt;=$F47,X$5&lt;=$G47),2,"")</f>
        <v/>
      </c>
      <c r="Y47" s="34">
        <f>IF(AND(Y$5&gt;=$F47,Y$5&lt;=$G47),2,"")</f>
        <v/>
      </c>
      <c r="Z47" s="34">
        <f>IF(AND(Z$5&gt;=$F47,Z$5&lt;=$G47),2,"")</f>
        <v/>
      </c>
      <c r="AA47" s="34">
        <f>IF(AND(AA$5&gt;=$F47,AA$5&lt;=$G47),2,"")</f>
        <v/>
      </c>
      <c r="AB47" s="34">
        <f>IF(AND(AB$5&gt;=$F47,AB$5&lt;=$G47),2,"")</f>
        <v/>
      </c>
      <c r="AC47" s="34">
        <f>IF(AND(AC$5&gt;=$F47,AC$5&lt;=$G47),2,"")</f>
        <v/>
      </c>
      <c r="AD47" s="34">
        <f>IF(AND(AD$5&gt;=$F47,AD$5&lt;=$G47),2,"")</f>
        <v/>
      </c>
      <c r="AE47" s="34">
        <f>IF(AND(AE$5&gt;=$F47,AE$5&lt;=$G47),2,"")</f>
        <v/>
      </c>
      <c r="AF47" s="34">
        <f>IF(AND(AF$5&gt;=$F47,AF$5&lt;=$G47),2,"")</f>
        <v/>
      </c>
      <c r="AG47" s="34">
        <f>IF(AND(AG$5&gt;=$F47,AG$5&lt;=$G47),2,"")</f>
        <v/>
      </c>
      <c r="AH47" s="34">
        <f>IF(AND(AH$5&gt;=$F47,AH$5&lt;=$G47),2,"")</f>
        <v/>
      </c>
      <c r="AI47" s="34">
        <f>IF(AND(AI$5&gt;=$F47,AI$5&lt;=$G47),2,"")</f>
        <v/>
      </c>
      <c r="AJ47" s="34">
        <f>IF(AND(AJ$5&gt;=$F47,AJ$5&lt;=$G47),2,"")</f>
        <v/>
      </c>
      <c r="AK47" s="34">
        <f>IF(AND(AK$5&gt;=$F47,AK$5&lt;=$G47),2,"")</f>
        <v/>
      </c>
      <c r="AL47" s="34">
        <f>IF(AND(AL$5&gt;=$F47,AL$5&lt;=$G47),2,"")</f>
        <v/>
      </c>
      <c r="AM47" s="34">
        <f>IF(AND(AM$5&gt;=$F47,AM$5&lt;=$G47),2,"")</f>
        <v/>
      </c>
      <c r="AN47" s="34">
        <f>IF(AND(AN$5&gt;=$F47,AN$5&lt;=$G47),2,"")</f>
        <v/>
      </c>
      <c r="AO47" s="34">
        <f>IF(AND(AO$5&gt;=$F47,AO$5&lt;=$G47),2,"")</f>
        <v/>
      </c>
      <c r="AP47" s="34">
        <f>IF(AND(AP$5&gt;=$F47,AP$5&lt;=$G47),2,"")</f>
        <v/>
      </c>
      <c r="AQ47" s="34">
        <f>IF(AND(AQ$5&gt;=$F47,AQ$5&lt;=$G47),2,"")</f>
        <v/>
      </c>
      <c r="AR47" s="34">
        <f>IF(AND(AR$5&gt;=$F47,AR$5&lt;=$G47),2,"")</f>
        <v/>
      </c>
      <c r="AS47" s="34">
        <f>IF(AND(AS$5&gt;=$F47,AS$5&lt;=$G47),2,"")</f>
        <v/>
      </c>
      <c r="AT47" s="34">
        <f>IF(AND(AT$5&gt;=$F47,AT$5&lt;=$G47),2,"")</f>
        <v/>
      </c>
      <c r="AU47" s="34">
        <f>IF(AND(AU$5&gt;=$F47,AU$5&lt;=$G47),2,"")</f>
        <v/>
      </c>
      <c r="AV47" s="34">
        <f>IF(AND(AV$5&gt;=$F47,AV$5&lt;=$G47),2,"")</f>
        <v/>
      </c>
      <c r="AW47" s="34">
        <f>IF(AND(AW$5&gt;=$F47,AW$5&lt;=$G47),2,"")</f>
        <v/>
      </c>
      <c r="AX47" s="34">
        <f>IF(AND(AX$5&gt;=$F47,AX$5&lt;=$G47),2,"")</f>
        <v/>
      </c>
      <c r="AY47" s="34">
        <f>IF(AND(AY$5&gt;=$F47,AY$5&lt;=$G47),2,"")</f>
        <v/>
      </c>
      <c r="AZ47" s="34">
        <f>IF(AND(AZ$5&gt;=$F47,AZ$5&lt;=$G47),2,"")</f>
        <v/>
      </c>
      <c r="BA47" s="34">
        <f>IF(AND(BA$5&gt;=$F47,BA$5&lt;=$G47),2,"")</f>
        <v/>
      </c>
      <c r="BB47" s="34">
        <f>IF(AND(BB$5&gt;=$F47,BB$5&lt;=$G47),2,"")</f>
        <v/>
      </c>
      <c r="BC47" s="34">
        <f>IF(AND(BC$5&gt;=$F47,BC$5&lt;=$G47),2,"")</f>
        <v/>
      </c>
      <c r="BD47" s="34">
        <f>IF(AND(BD$5&gt;=$F47,BD$5&lt;=$G47),2,"")</f>
        <v/>
      </c>
      <c r="BE47" s="34">
        <f>IF(AND(BE$5&gt;=$F47,BE$5&lt;=$G47),2,"")</f>
        <v/>
      </c>
      <c r="BF47" s="34">
        <f>IF(AND(BF$5&gt;=$F47,BF$5&lt;=$G47),2,"")</f>
        <v/>
      </c>
      <c r="BG47" s="34">
        <f>IF(AND(BG$5&gt;=$F47,BG$5&lt;=$G47),2,"")</f>
        <v/>
      </c>
      <c r="BH47" s="34">
        <f>IF(AND(BH$5&gt;=$F47,BH$5&lt;=$G47),2,"")</f>
        <v/>
      </c>
      <c r="BI47" s="34">
        <f>IF(AND(BI$5&gt;=$F47,BI$5&lt;=$G47),2,"")</f>
        <v/>
      </c>
      <c r="BJ47" s="34">
        <f>IF(AND(BJ$5&gt;=$F47,BJ$5&lt;=$G47),2,"")</f>
        <v/>
      </c>
      <c r="BK47" s="34">
        <f>IF(AND(BK$5&gt;=$F47,BK$5&lt;=$G47),2,"")</f>
        <v/>
      </c>
      <c r="BL47" s="34">
        <f>IF(AND(BL$5&gt;=$F47,BL$5&lt;=$G47),2,"")</f>
        <v/>
      </c>
      <c r="BM47" s="34">
        <f>IF(AND(BM$5&gt;=$F47,BM$5&lt;=$G47),2,"")</f>
        <v/>
      </c>
      <c r="BN47" s="34">
        <f>IF(AND(BN$5&gt;=$F47,BN$5&lt;=$G47),2,"")</f>
        <v/>
      </c>
    </row>
    <row r="48" ht="14.25" customHeight="1" s="36">
      <c r="A48" s="13" t="inlineStr">
        <is>
          <t>2 Elaboración</t>
        </is>
      </c>
      <c r="B48" s="13" t="inlineStr">
        <is>
          <t>2.2.1</t>
        </is>
      </c>
      <c r="C48" s="13" t="inlineStr">
        <is>
          <t>Plan de seguridad de la información</t>
        </is>
      </c>
      <c r="D48" s="13" t="inlineStr">
        <is>
          <t>E</t>
        </is>
      </c>
      <c r="E48" s="13" t="inlineStr">
        <is>
          <t>Seguridad</t>
        </is>
      </c>
      <c r="F48" s="13" t="n">
        <v>2</v>
      </c>
      <c r="G48" s="13" t="n">
        <v>2</v>
      </c>
      <c r="H48" s="13">
        <f>G48-F48+1</f>
        <v/>
      </c>
      <c r="I48" s="31" t="n">
        <v>240</v>
      </c>
      <c r="J48" s="13" t="inlineStr">
        <is>
          <t>Con entregable (actividades en hoja «Actividades hasta H2»)</t>
        </is>
      </c>
      <c r="K48" s="34">
        <f>IF(AND(K$5&gt;=$F48,K$5&lt;=$G48),2,"")</f>
        <v/>
      </c>
      <c r="L48" s="34">
        <f>IF(AND(L$5&gt;=$F48,L$5&lt;=$G48),2,"")</f>
        <v/>
      </c>
      <c r="M48" s="34">
        <f>IF(AND(M$5&gt;=$F48,M$5&lt;=$G48),2,"")</f>
        <v/>
      </c>
      <c r="N48" s="34">
        <f>IF(AND(N$5&gt;=$F48,N$5&lt;=$G48),2,"")</f>
        <v/>
      </c>
      <c r="O48" s="34">
        <f>IF(AND(O$5&gt;=$F48,O$5&lt;=$G48),2,"")</f>
        <v/>
      </c>
      <c r="P48" s="34">
        <f>IF(AND(P$5&gt;=$F48,P$5&lt;=$G48),2,"")</f>
        <v/>
      </c>
      <c r="Q48" s="34">
        <f>IF(AND(Q$5&gt;=$F48,Q$5&lt;=$G48),2,"")</f>
        <v/>
      </c>
      <c r="R48" s="34">
        <f>IF(AND(R$5&gt;=$F48,R$5&lt;=$G48),2,"")</f>
        <v/>
      </c>
      <c r="S48" s="34">
        <f>IF(AND(S$5&gt;=$F48,S$5&lt;=$G48),2,"")</f>
        <v/>
      </c>
      <c r="T48" s="34">
        <f>IF(AND(T$5&gt;=$F48,T$5&lt;=$G48),2,"")</f>
        <v/>
      </c>
      <c r="U48" s="34">
        <f>IF(AND(U$5&gt;=$F48,U$5&lt;=$G48),2,"")</f>
        <v/>
      </c>
      <c r="V48" s="34">
        <f>IF(AND(V$5&gt;=$F48,V$5&lt;=$G48),2,"")</f>
        <v/>
      </c>
      <c r="W48" s="34">
        <f>IF(AND(W$5&gt;=$F48,W$5&lt;=$G48),2,"")</f>
        <v/>
      </c>
      <c r="X48" s="34">
        <f>IF(AND(X$5&gt;=$F48,X$5&lt;=$G48),2,"")</f>
        <v/>
      </c>
      <c r="Y48" s="34">
        <f>IF(AND(Y$5&gt;=$F48,Y$5&lt;=$G48),2,"")</f>
        <v/>
      </c>
      <c r="Z48" s="34">
        <f>IF(AND(Z$5&gt;=$F48,Z$5&lt;=$G48),2,"")</f>
        <v/>
      </c>
      <c r="AA48" s="34">
        <f>IF(AND(AA$5&gt;=$F48,AA$5&lt;=$G48),2,"")</f>
        <v/>
      </c>
      <c r="AB48" s="34">
        <f>IF(AND(AB$5&gt;=$F48,AB$5&lt;=$G48),2,"")</f>
        <v/>
      </c>
      <c r="AC48" s="34">
        <f>IF(AND(AC$5&gt;=$F48,AC$5&lt;=$G48),2,"")</f>
        <v/>
      </c>
      <c r="AD48" s="34">
        <f>IF(AND(AD$5&gt;=$F48,AD$5&lt;=$G48),2,"")</f>
        <v/>
      </c>
      <c r="AE48" s="34">
        <f>IF(AND(AE$5&gt;=$F48,AE$5&lt;=$G48),2,"")</f>
        <v/>
      </c>
      <c r="AF48" s="34">
        <f>IF(AND(AF$5&gt;=$F48,AF$5&lt;=$G48),2,"")</f>
        <v/>
      </c>
      <c r="AG48" s="34">
        <f>IF(AND(AG$5&gt;=$F48,AG$5&lt;=$G48),2,"")</f>
        <v/>
      </c>
      <c r="AH48" s="34">
        <f>IF(AND(AH$5&gt;=$F48,AH$5&lt;=$G48),2,"")</f>
        <v/>
      </c>
      <c r="AI48" s="34">
        <f>IF(AND(AI$5&gt;=$F48,AI$5&lt;=$G48),2,"")</f>
        <v/>
      </c>
      <c r="AJ48" s="34">
        <f>IF(AND(AJ$5&gt;=$F48,AJ$5&lt;=$G48),2,"")</f>
        <v/>
      </c>
      <c r="AK48" s="34">
        <f>IF(AND(AK$5&gt;=$F48,AK$5&lt;=$G48),2,"")</f>
        <v/>
      </c>
      <c r="AL48" s="34">
        <f>IF(AND(AL$5&gt;=$F48,AL$5&lt;=$G48),2,"")</f>
        <v/>
      </c>
      <c r="AM48" s="34">
        <f>IF(AND(AM$5&gt;=$F48,AM$5&lt;=$G48),2,"")</f>
        <v/>
      </c>
      <c r="AN48" s="34">
        <f>IF(AND(AN$5&gt;=$F48,AN$5&lt;=$G48),2,"")</f>
        <v/>
      </c>
      <c r="AO48" s="34">
        <f>IF(AND(AO$5&gt;=$F48,AO$5&lt;=$G48),2,"")</f>
        <v/>
      </c>
      <c r="AP48" s="34">
        <f>IF(AND(AP$5&gt;=$F48,AP$5&lt;=$G48),2,"")</f>
        <v/>
      </c>
      <c r="AQ48" s="34">
        <f>IF(AND(AQ$5&gt;=$F48,AQ$5&lt;=$G48),2,"")</f>
        <v/>
      </c>
      <c r="AR48" s="34">
        <f>IF(AND(AR$5&gt;=$F48,AR$5&lt;=$G48),2,"")</f>
        <v/>
      </c>
      <c r="AS48" s="34">
        <f>IF(AND(AS$5&gt;=$F48,AS$5&lt;=$G48),2,"")</f>
        <v/>
      </c>
      <c r="AT48" s="34">
        <f>IF(AND(AT$5&gt;=$F48,AT$5&lt;=$G48),2,"")</f>
        <v/>
      </c>
      <c r="AU48" s="34">
        <f>IF(AND(AU$5&gt;=$F48,AU$5&lt;=$G48),2,"")</f>
        <v/>
      </c>
      <c r="AV48" s="34">
        <f>IF(AND(AV$5&gt;=$F48,AV$5&lt;=$G48),2,"")</f>
        <v/>
      </c>
      <c r="AW48" s="34">
        <f>IF(AND(AW$5&gt;=$F48,AW$5&lt;=$G48),2,"")</f>
        <v/>
      </c>
      <c r="AX48" s="34">
        <f>IF(AND(AX$5&gt;=$F48,AX$5&lt;=$G48),2,"")</f>
        <v/>
      </c>
      <c r="AY48" s="34">
        <f>IF(AND(AY$5&gt;=$F48,AY$5&lt;=$G48),2,"")</f>
        <v/>
      </c>
      <c r="AZ48" s="34">
        <f>IF(AND(AZ$5&gt;=$F48,AZ$5&lt;=$G48),2,"")</f>
        <v/>
      </c>
      <c r="BA48" s="34">
        <f>IF(AND(BA$5&gt;=$F48,BA$5&lt;=$G48),2,"")</f>
        <v/>
      </c>
      <c r="BB48" s="34">
        <f>IF(AND(BB$5&gt;=$F48,BB$5&lt;=$G48),2,"")</f>
        <v/>
      </c>
      <c r="BC48" s="34">
        <f>IF(AND(BC$5&gt;=$F48,BC$5&lt;=$G48),2,"")</f>
        <v/>
      </c>
      <c r="BD48" s="34">
        <f>IF(AND(BD$5&gt;=$F48,BD$5&lt;=$G48),2,"")</f>
        <v/>
      </c>
      <c r="BE48" s="34">
        <f>IF(AND(BE$5&gt;=$F48,BE$5&lt;=$G48),2,"")</f>
        <v/>
      </c>
      <c r="BF48" s="34">
        <f>IF(AND(BF$5&gt;=$F48,BF$5&lt;=$G48),2,"")</f>
        <v/>
      </c>
      <c r="BG48" s="34">
        <f>IF(AND(BG$5&gt;=$F48,BG$5&lt;=$G48),2,"")</f>
        <v/>
      </c>
      <c r="BH48" s="34">
        <f>IF(AND(BH$5&gt;=$F48,BH$5&lt;=$G48),2,"")</f>
        <v/>
      </c>
      <c r="BI48" s="34">
        <f>IF(AND(BI$5&gt;=$F48,BI$5&lt;=$G48),2,"")</f>
        <v/>
      </c>
      <c r="BJ48" s="34">
        <f>IF(AND(BJ$5&gt;=$F48,BJ$5&lt;=$G48),2,"")</f>
        <v/>
      </c>
      <c r="BK48" s="34">
        <f>IF(AND(BK$5&gt;=$F48,BK$5&lt;=$G48),2,"")</f>
        <v/>
      </c>
      <c r="BL48" s="34">
        <f>IF(AND(BL$5&gt;=$F48,BL$5&lt;=$G48),2,"")</f>
        <v/>
      </c>
      <c r="BM48" s="34">
        <f>IF(AND(BM$5&gt;=$F48,BM$5&lt;=$G48),2,"")</f>
        <v/>
      </c>
      <c r="BN48" s="34">
        <f>IF(AND(BN$5&gt;=$F48,BN$5&lt;=$G48),2,"")</f>
        <v/>
      </c>
    </row>
    <row r="49" ht="14.25" customHeight="1" s="36">
      <c r="A49" s="13" t="inlineStr">
        <is>
          <t>2 Elaboración</t>
        </is>
      </c>
      <c r="B49" s="13" t="inlineStr">
        <is>
          <t>2.2.2</t>
        </is>
      </c>
      <c r="C49" s="13" t="inlineStr">
        <is>
          <t>Modelado de amenazas por componente y por integración externa, actualizado ante cada cambio</t>
        </is>
      </c>
      <c r="D49" s="13" t="inlineStr">
        <is>
          <t>E</t>
        </is>
      </c>
      <c r="E49" s="13" t="inlineStr">
        <is>
          <t>Seguridad</t>
        </is>
      </c>
      <c r="F49" s="13" t="n">
        <v>3</v>
      </c>
      <c r="G49" s="13" t="n">
        <v>10</v>
      </c>
      <c r="H49" s="13">
        <f>G49-F49+1</f>
        <v/>
      </c>
      <c r="I49" s="31" t="n">
        <v>240</v>
      </c>
      <c r="J49" s="13" t="inlineStr">
        <is>
          <t>Esfuerzo continuo (por quincena u ocurrencia)</t>
        </is>
      </c>
      <c r="K49" s="34">
        <f>IF(AND(K$5&gt;=$F49,K$5&lt;=$G49),2,"")</f>
        <v/>
      </c>
      <c r="L49" s="34">
        <f>IF(AND(L$5&gt;=$F49,L$5&lt;=$G49),2,"")</f>
        <v/>
      </c>
      <c r="M49" s="34">
        <f>IF(AND(M$5&gt;=$F49,M$5&lt;=$G49),2,"")</f>
        <v/>
      </c>
      <c r="N49" s="34">
        <f>IF(AND(N$5&gt;=$F49,N$5&lt;=$G49),2,"")</f>
        <v/>
      </c>
      <c r="O49" s="34">
        <f>IF(AND(O$5&gt;=$F49,O$5&lt;=$G49),2,"")</f>
        <v/>
      </c>
      <c r="P49" s="34">
        <f>IF(AND(P$5&gt;=$F49,P$5&lt;=$G49),2,"")</f>
        <v/>
      </c>
      <c r="Q49" s="34">
        <f>IF(AND(Q$5&gt;=$F49,Q$5&lt;=$G49),2,"")</f>
        <v/>
      </c>
      <c r="R49" s="34">
        <f>IF(AND(R$5&gt;=$F49,R$5&lt;=$G49),2,"")</f>
        <v/>
      </c>
      <c r="S49" s="34">
        <f>IF(AND(S$5&gt;=$F49,S$5&lt;=$G49),2,"")</f>
        <v/>
      </c>
      <c r="T49" s="34">
        <f>IF(AND(T$5&gt;=$F49,T$5&lt;=$G49),2,"")</f>
        <v/>
      </c>
      <c r="U49" s="34">
        <f>IF(AND(U$5&gt;=$F49,U$5&lt;=$G49),2,"")</f>
        <v/>
      </c>
      <c r="V49" s="34">
        <f>IF(AND(V$5&gt;=$F49,V$5&lt;=$G49),2,"")</f>
        <v/>
      </c>
      <c r="W49" s="34">
        <f>IF(AND(W$5&gt;=$F49,W$5&lt;=$G49),2,"")</f>
        <v/>
      </c>
      <c r="X49" s="34">
        <f>IF(AND(X$5&gt;=$F49,X$5&lt;=$G49),2,"")</f>
        <v/>
      </c>
      <c r="Y49" s="34">
        <f>IF(AND(Y$5&gt;=$F49,Y$5&lt;=$G49),2,"")</f>
        <v/>
      </c>
      <c r="Z49" s="34">
        <f>IF(AND(Z$5&gt;=$F49,Z$5&lt;=$G49),2,"")</f>
        <v/>
      </c>
      <c r="AA49" s="34">
        <f>IF(AND(AA$5&gt;=$F49,AA$5&lt;=$G49),2,"")</f>
        <v/>
      </c>
      <c r="AB49" s="34">
        <f>IF(AND(AB$5&gt;=$F49,AB$5&lt;=$G49),2,"")</f>
        <v/>
      </c>
      <c r="AC49" s="34">
        <f>IF(AND(AC$5&gt;=$F49,AC$5&lt;=$G49),2,"")</f>
        <v/>
      </c>
      <c r="AD49" s="34">
        <f>IF(AND(AD$5&gt;=$F49,AD$5&lt;=$G49),2,"")</f>
        <v/>
      </c>
      <c r="AE49" s="34">
        <f>IF(AND(AE$5&gt;=$F49,AE$5&lt;=$G49),2,"")</f>
        <v/>
      </c>
      <c r="AF49" s="34">
        <f>IF(AND(AF$5&gt;=$F49,AF$5&lt;=$G49),2,"")</f>
        <v/>
      </c>
      <c r="AG49" s="34">
        <f>IF(AND(AG$5&gt;=$F49,AG$5&lt;=$G49),2,"")</f>
        <v/>
      </c>
      <c r="AH49" s="34">
        <f>IF(AND(AH$5&gt;=$F49,AH$5&lt;=$G49),2,"")</f>
        <v/>
      </c>
      <c r="AI49" s="34">
        <f>IF(AND(AI$5&gt;=$F49,AI$5&lt;=$G49),2,"")</f>
        <v/>
      </c>
      <c r="AJ49" s="34">
        <f>IF(AND(AJ$5&gt;=$F49,AJ$5&lt;=$G49),2,"")</f>
        <v/>
      </c>
      <c r="AK49" s="34">
        <f>IF(AND(AK$5&gt;=$F49,AK$5&lt;=$G49),2,"")</f>
        <v/>
      </c>
      <c r="AL49" s="34">
        <f>IF(AND(AL$5&gt;=$F49,AL$5&lt;=$G49),2,"")</f>
        <v/>
      </c>
      <c r="AM49" s="34">
        <f>IF(AND(AM$5&gt;=$F49,AM$5&lt;=$G49),2,"")</f>
        <v/>
      </c>
      <c r="AN49" s="34">
        <f>IF(AND(AN$5&gt;=$F49,AN$5&lt;=$G49),2,"")</f>
        <v/>
      </c>
      <c r="AO49" s="34">
        <f>IF(AND(AO$5&gt;=$F49,AO$5&lt;=$G49),2,"")</f>
        <v/>
      </c>
      <c r="AP49" s="34">
        <f>IF(AND(AP$5&gt;=$F49,AP$5&lt;=$G49),2,"")</f>
        <v/>
      </c>
      <c r="AQ49" s="34">
        <f>IF(AND(AQ$5&gt;=$F49,AQ$5&lt;=$G49),2,"")</f>
        <v/>
      </c>
      <c r="AR49" s="34">
        <f>IF(AND(AR$5&gt;=$F49,AR$5&lt;=$G49),2,"")</f>
        <v/>
      </c>
      <c r="AS49" s="34">
        <f>IF(AND(AS$5&gt;=$F49,AS$5&lt;=$G49),2,"")</f>
        <v/>
      </c>
      <c r="AT49" s="34">
        <f>IF(AND(AT$5&gt;=$F49,AT$5&lt;=$G49),2,"")</f>
        <v/>
      </c>
      <c r="AU49" s="34">
        <f>IF(AND(AU$5&gt;=$F49,AU$5&lt;=$G49),2,"")</f>
        <v/>
      </c>
      <c r="AV49" s="34">
        <f>IF(AND(AV$5&gt;=$F49,AV$5&lt;=$G49),2,"")</f>
        <v/>
      </c>
      <c r="AW49" s="34">
        <f>IF(AND(AW$5&gt;=$F49,AW$5&lt;=$G49),2,"")</f>
        <v/>
      </c>
      <c r="AX49" s="34">
        <f>IF(AND(AX$5&gt;=$F49,AX$5&lt;=$G49),2,"")</f>
        <v/>
      </c>
      <c r="AY49" s="34">
        <f>IF(AND(AY$5&gt;=$F49,AY$5&lt;=$G49),2,"")</f>
        <v/>
      </c>
      <c r="AZ49" s="34">
        <f>IF(AND(AZ$5&gt;=$F49,AZ$5&lt;=$G49),2,"")</f>
        <v/>
      </c>
      <c r="BA49" s="34">
        <f>IF(AND(BA$5&gt;=$F49,BA$5&lt;=$G49),2,"")</f>
        <v/>
      </c>
      <c r="BB49" s="34">
        <f>IF(AND(BB$5&gt;=$F49,BB$5&lt;=$G49),2,"")</f>
        <v/>
      </c>
      <c r="BC49" s="34">
        <f>IF(AND(BC$5&gt;=$F49,BC$5&lt;=$G49),2,"")</f>
        <v/>
      </c>
      <c r="BD49" s="34">
        <f>IF(AND(BD$5&gt;=$F49,BD$5&lt;=$G49),2,"")</f>
        <v/>
      </c>
      <c r="BE49" s="34">
        <f>IF(AND(BE$5&gt;=$F49,BE$5&lt;=$G49),2,"")</f>
        <v/>
      </c>
      <c r="BF49" s="34">
        <f>IF(AND(BF$5&gt;=$F49,BF$5&lt;=$G49),2,"")</f>
        <v/>
      </c>
      <c r="BG49" s="34">
        <f>IF(AND(BG$5&gt;=$F49,BG$5&lt;=$G49),2,"")</f>
        <v/>
      </c>
      <c r="BH49" s="34">
        <f>IF(AND(BH$5&gt;=$F49,BH$5&lt;=$G49),2,"")</f>
        <v/>
      </c>
      <c r="BI49" s="34">
        <f>IF(AND(BI$5&gt;=$F49,BI$5&lt;=$G49),2,"")</f>
        <v/>
      </c>
      <c r="BJ49" s="34">
        <f>IF(AND(BJ$5&gt;=$F49,BJ$5&lt;=$G49),2,"")</f>
        <v/>
      </c>
      <c r="BK49" s="34">
        <f>IF(AND(BK$5&gt;=$F49,BK$5&lt;=$G49),2,"")</f>
        <v/>
      </c>
      <c r="BL49" s="34">
        <f>IF(AND(BL$5&gt;=$F49,BL$5&lt;=$G49),2,"")</f>
        <v/>
      </c>
      <c r="BM49" s="34">
        <f>IF(AND(BM$5&gt;=$F49,BM$5&lt;=$G49),2,"")</f>
        <v/>
      </c>
      <c r="BN49" s="34">
        <f>IF(AND(BN$5&gt;=$F49,BN$5&lt;=$G49),2,"")</f>
        <v/>
      </c>
    </row>
    <row r="50" ht="14.25" customHeight="1" s="36">
      <c r="A50" s="13" t="inlineStr">
        <is>
          <t>2 Elaboración</t>
        </is>
      </c>
      <c r="B50" s="13" t="inlineStr">
        <is>
          <t>2.2.3</t>
        </is>
      </c>
      <c r="C50" s="13" t="inlineStr">
        <is>
          <t>Plan de respuesta a incidentes de seguridad, con aviso al CLIENTE en dos horas</t>
        </is>
      </c>
      <c r="D50" s="13" t="inlineStr">
        <is>
          <t>E</t>
        </is>
      </c>
      <c r="E50" s="13" t="inlineStr">
        <is>
          <t>Seguridad</t>
        </is>
      </c>
      <c r="F50" s="13" t="n">
        <v>3</v>
      </c>
      <c r="G50" s="13" t="n">
        <v>3</v>
      </c>
      <c r="H50" s="13">
        <f>G50-F50+1</f>
        <v/>
      </c>
      <c r="I50" s="31" t="n">
        <v>240</v>
      </c>
      <c r="J50" s="13" t="inlineStr">
        <is>
          <t>Con entregable (actividades en hoja «Actividades hasta H2»)</t>
        </is>
      </c>
      <c r="K50" s="34">
        <f>IF(AND(K$5&gt;=$F50,K$5&lt;=$G50),2,"")</f>
        <v/>
      </c>
      <c r="L50" s="34">
        <f>IF(AND(L$5&gt;=$F50,L$5&lt;=$G50),2,"")</f>
        <v/>
      </c>
      <c r="M50" s="34">
        <f>IF(AND(M$5&gt;=$F50,M$5&lt;=$G50),2,"")</f>
        <v/>
      </c>
      <c r="N50" s="34">
        <f>IF(AND(N$5&gt;=$F50,N$5&lt;=$G50),2,"")</f>
        <v/>
      </c>
      <c r="O50" s="34">
        <f>IF(AND(O$5&gt;=$F50,O$5&lt;=$G50),2,"")</f>
        <v/>
      </c>
      <c r="P50" s="34">
        <f>IF(AND(P$5&gt;=$F50,P$5&lt;=$G50),2,"")</f>
        <v/>
      </c>
      <c r="Q50" s="34">
        <f>IF(AND(Q$5&gt;=$F50,Q$5&lt;=$G50),2,"")</f>
        <v/>
      </c>
      <c r="R50" s="34">
        <f>IF(AND(R$5&gt;=$F50,R$5&lt;=$G50),2,"")</f>
        <v/>
      </c>
      <c r="S50" s="34">
        <f>IF(AND(S$5&gt;=$F50,S$5&lt;=$G50),2,"")</f>
        <v/>
      </c>
      <c r="T50" s="34">
        <f>IF(AND(T$5&gt;=$F50,T$5&lt;=$G50),2,"")</f>
        <v/>
      </c>
      <c r="U50" s="34">
        <f>IF(AND(U$5&gt;=$F50,U$5&lt;=$G50),2,"")</f>
        <v/>
      </c>
      <c r="V50" s="34">
        <f>IF(AND(V$5&gt;=$F50,V$5&lt;=$G50),2,"")</f>
        <v/>
      </c>
      <c r="W50" s="34">
        <f>IF(AND(W$5&gt;=$F50,W$5&lt;=$G50),2,"")</f>
        <v/>
      </c>
      <c r="X50" s="34">
        <f>IF(AND(X$5&gt;=$F50,X$5&lt;=$G50),2,"")</f>
        <v/>
      </c>
      <c r="Y50" s="34">
        <f>IF(AND(Y$5&gt;=$F50,Y$5&lt;=$G50),2,"")</f>
        <v/>
      </c>
      <c r="Z50" s="34">
        <f>IF(AND(Z$5&gt;=$F50,Z$5&lt;=$G50),2,"")</f>
        <v/>
      </c>
      <c r="AA50" s="34">
        <f>IF(AND(AA$5&gt;=$F50,AA$5&lt;=$G50),2,"")</f>
        <v/>
      </c>
      <c r="AB50" s="34">
        <f>IF(AND(AB$5&gt;=$F50,AB$5&lt;=$G50),2,"")</f>
        <v/>
      </c>
      <c r="AC50" s="34">
        <f>IF(AND(AC$5&gt;=$F50,AC$5&lt;=$G50),2,"")</f>
        <v/>
      </c>
      <c r="AD50" s="34">
        <f>IF(AND(AD$5&gt;=$F50,AD$5&lt;=$G50),2,"")</f>
        <v/>
      </c>
      <c r="AE50" s="34">
        <f>IF(AND(AE$5&gt;=$F50,AE$5&lt;=$G50),2,"")</f>
        <v/>
      </c>
      <c r="AF50" s="34">
        <f>IF(AND(AF$5&gt;=$F50,AF$5&lt;=$G50),2,"")</f>
        <v/>
      </c>
      <c r="AG50" s="34">
        <f>IF(AND(AG$5&gt;=$F50,AG$5&lt;=$G50),2,"")</f>
        <v/>
      </c>
      <c r="AH50" s="34">
        <f>IF(AND(AH$5&gt;=$F50,AH$5&lt;=$G50),2,"")</f>
        <v/>
      </c>
      <c r="AI50" s="34">
        <f>IF(AND(AI$5&gt;=$F50,AI$5&lt;=$G50),2,"")</f>
        <v/>
      </c>
      <c r="AJ50" s="34">
        <f>IF(AND(AJ$5&gt;=$F50,AJ$5&lt;=$G50),2,"")</f>
        <v/>
      </c>
      <c r="AK50" s="34">
        <f>IF(AND(AK$5&gt;=$F50,AK$5&lt;=$G50),2,"")</f>
        <v/>
      </c>
      <c r="AL50" s="34">
        <f>IF(AND(AL$5&gt;=$F50,AL$5&lt;=$G50),2,"")</f>
        <v/>
      </c>
      <c r="AM50" s="34">
        <f>IF(AND(AM$5&gt;=$F50,AM$5&lt;=$G50),2,"")</f>
        <v/>
      </c>
      <c r="AN50" s="34">
        <f>IF(AND(AN$5&gt;=$F50,AN$5&lt;=$G50),2,"")</f>
        <v/>
      </c>
      <c r="AO50" s="34">
        <f>IF(AND(AO$5&gt;=$F50,AO$5&lt;=$G50),2,"")</f>
        <v/>
      </c>
      <c r="AP50" s="34">
        <f>IF(AND(AP$5&gt;=$F50,AP$5&lt;=$G50),2,"")</f>
        <v/>
      </c>
      <c r="AQ50" s="34">
        <f>IF(AND(AQ$5&gt;=$F50,AQ$5&lt;=$G50),2,"")</f>
        <v/>
      </c>
      <c r="AR50" s="34">
        <f>IF(AND(AR$5&gt;=$F50,AR$5&lt;=$G50),2,"")</f>
        <v/>
      </c>
      <c r="AS50" s="34">
        <f>IF(AND(AS$5&gt;=$F50,AS$5&lt;=$G50),2,"")</f>
        <v/>
      </c>
      <c r="AT50" s="34">
        <f>IF(AND(AT$5&gt;=$F50,AT$5&lt;=$G50),2,"")</f>
        <v/>
      </c>
      <c r="AU50" s="34">
        <f>IF(AND(AU$5&gt;=$F50,AU$5&lt;=$G50),2,"")</f>
        <v/>
      </c>
      <c r="AV50" s="34">
        <f>IF(AND(AV$5&gt;=$F50,AV$5&lt;=$G50),2,"")</f>
        <v/>
      </c>
      <c r="AW50" s="34">
        <f>IF(AND(AW$5&gt;=$F50,AW$5&lt;=$G50),2,"")</f>
        <v/>
      </c>
      <c r="AX50" s="34">
        <f>IF(AND(AX$5&gt;=$F50,AX$5&lt;=$G50),2,"")</f>
        <v/>
      </c>
      <c r="AY50" s="34">
        <f>IF(AND(AY$5&gt;=$F50,AY$5&lt;=$G50),2,"")</f>
        <v/>
      </c>
      <c r="AZ50" s="34">
        <f>IF(AND(AZ$5&gt;=$F50,AZ$5&lt;=$G50),2,"")</f>
        <v/>
      </c>
      <c r="BA50" s="34">
        <f>IF(AND(BA$5&gt;=$F50,BA$5&lt;=$G50),2,"")</f>
        <v/>
      </c>
      <c r="BB50" s="34">
        <f>IF(AND(BB$5&gt;=$F50,BB$5&lt;=$G50),2,"")</f>
        <v/>
      </c>
      <c r="BC50" s="34">
        <f>IF(AND(BC$5&gt;=$F50,BC$5&lt;=$G50),2,"")</f>
        <v/>
      </c>
      <c r="BD50" s="34">
        <f>IF(AND(BD$5&gt;=$F50,BD$5&lt;=$G50),2,"")</f>
        <v/>
      </c>
      <c r="BE50" s="34">
        <f>IF(AND(BE$5&gt;=$F50,BE$5&lt;=$G50),2,"")</f>
        <v/>
      </c>
      <c r="BF50" s="34">
        <f>IF(AND(BF$5&gt;=$F50,BF$5&lt;=$G50),2,"")</f>
        <v/>
      </c>
      <c r="BG50" s="34">
        <f>IF(AND(BG$5&gt;=$F50,BG$5&lt;=$G50),2,"")</f>
        <v/>
      </c>
      <c r="BH50" s="34">
        <f>IF(AND(BH$5&gt;=$F50,BH$5&lt;=$G50),2,"")</f>
        <v/>
      </c>
      <c r="BI50" s="34">
        <f>IF(AND(BI$5&gt;=$F50,BI$5&lt;=$G50),2,"")</f>
        <v/>
      </c>
      <c r="BJ50" s="34">
        <f>IF(AND(BJ$5&gt;=$F50,BJ$5&lt;=$G50),2,"")</f>
        <v/>
      </c>
      <c r="BK50" s="34">
        <f>IF(AND(BK$5&gt;=$F50,BK$5&lt;=$G50),2,"")</f>
        <v/>
      </c>
      <c r="BL50" s="34">
        <f>IF(AND(BL$5&gt;=$F50,BL$5&lt;=$G50),2,"")</f>
        <v/>
      </c>
      <c r="BM50" s="34">
        <f>IF(AND(BM$5&gt;=$F50,BM$5&lt;=$G50),2,"")</f>
        <v/>
      </c>
      <c r="BN50" s="34">
        <f>IF(AND(BN$5&gt;=$F50,BN$5&lt;=$G50),2,"")</f>
        <v/>
      </c>
    </row>
    <row r="51" ht="14.25" customHeight="1" s="36">
      <c r="A51" s="13" t="inlineStr">
        <is>
          <t>2 Elaboración</t>
        </is>
      </c>
      <c r="B51" s="13" t="inlineStr">
        <is>
          <t>2.2.4</t>
        </is>
      </c>
      <c r="C51" s="13" t="inlineStr">
        <is>
          <t>Matriz de clasificación de la información y matriz de controles</t>
        </is>
      </c>
      <c r="D51" s="13" t="inlineStr">
        <is>
          <t>E</t>
        </is>
      </c>
      <c r="E51" s="13" t="inlineStr">
        <is>
          <t>Seguridad</t>
        </is>
      </c>
      <c r="F51" s="13" t="n">
        <v>2</v>
      </c>
      <c r="G51" s="13" t="n">
        <v>2</v>
      </c>
      <c r="H51" s="13">
        <f>G51-F51+1</f>
        <v/>
      </c>
      <c r="I51" s="31" t="n">
        <v>240</v>
      </c>
      <c r="J51" s="13" t="inlineStr">
        <is>
          <t>Con entregable (actividades en hoja «Actividades hasta H2»)</t>
        </is>
      </c>
      <c r="K51" s="34">
        <f>IF(AND(K$5&gt;=$F51,K$5&lt;=$G51),2,"")</f>
        <v/>
      </c>
      <c r="L51" s="34">
        <f>IF(AND(L$5&gt;=$F51,L$5&lt;=$G51),2,"")</f>
        <v/>
      </c>
      <c r="M51" s="34">
        <f>IF(AND(M$5&gt;=$F51,M$5&lt;=$G51),2,"")</f>
        <v/>
      </c>
      <c r="N51" s="34">
        <f>IF(AND(N$5&gt;=$F51,N$5&lt;=$G51),2,"")</f>
        <v/>
      </c>
      <c r="O51" s="34">
        <f>IF(AND(O$5&gt;=$F51,O$5&lt;=$G51),2,"")</f>
        <v/>
      </c>
      <c r="P51" s="34">
        <f>IF(AND(P$5&gt;=$F51,P$5&lt;=$G51),2,"")</f>
        <v/>
      </c>
      <c r="Q51" s="34">
        <f>IF(AND(Q$5&gt;=$F51,Q$5&lt;=$G51),2,"")</f>
        <v/>
      </c>
      <c r="R51" s="34">
        <f>IF(AND(R$5&gt;=$F51,R$5&lt;=$G51),2,"")</f>
        <v/>
      </c>
      <c r="S51" s="34">
        <f>IF(AND(S$5&gt;=$F51,S$5&lt;=$G51),2,"")</f>
        <v/>
      </c>
      <c r="T51" s="34">
        <f>IF(AND(T$5&gt;=$F51,T$5&lt;=$G51),2,"")</f>
        <v/>
      </c>
      <c r="U51" s="34">
        <f>IF(AND(U$5&gt;=$F51,U$5&lt;=$G51),2,"")</f>
        <v/>
      </c>
      <c r="V51" s="34">
        <f>IF(AND(V$5&gt;=$F51,V$5&lt;=$G51),2,"")</f>
        <v/>
      </c>
      <c r="W51" s="34">
        <f>IF(AND(W$5&gt;=$F51,W$5&lt;=$G51),2,"")</f>
        <v/>
      </c>
      <c r="X51" s="34">
        <f>IF(AND(X$5&gt;=$F51,X$5&lt;=$G51),2,"")</f>
        <v/>
      </c>
      <c r="Y51" s="34">
        <f>IF(AND(Y$5&gt;=$F51,Y$5&lt;=$G51),2,"")</f>
        <v/>
      </c>
      <c r="Z51" s="34">
        <f>IF(AND(Z$5&gt;=$F51,Z$5&lt;=$G51),2,"")</f>
        <v/>
      </c>
      <c r="AA51" s="34">
        <f>IF(AND(AA$5&gt;=$F51,AA$5&lt;=$G51),2,"")</f>
        <v/>
      </c>
      <c r="AB51" s="34">
        <f>IF(AND(AB$5&gt;=$F51,AB$5&lt;=$G51),2,"")</f>
        <v/>
      </c>
      <c r="AC51" s="34">
        <f>IF(AND(AC$5&gt;=$F51,AC$5&lt;=$G51),2,"")</f>
        <v/>
      </c>
      <c r="AD51" s="34">
        <f>IF(AND(AD$5&gt;=$F51,AD$5&lt;=$G51),2,"")</f>
        <v/>
      </c>
      <c r="AE51" s="34">
        <f>IF(AND(AE$5&gt;=$F51,AE$5&lt;=$G51),2,"")</f>
        <v/>
      </c>
      <c r="AF51" s="34">
        <f>IF(AND(AF$5&gt;=$F51,AF$5&lt;=$G51),2,"")</f>
        <v/>
      </c>
      <c r="AG51" s="34">
        <f>IF(AND(AG$5&gt;=$F51,AG$5&lt;=$G51),2,"")</f>
        <v/>
      </c>
      <c r="AH51" s="34">
        <f>IF(AND(AH$5&gt;=$F51,AH$5&lt;=$G51),2,"")</f>
        <v/>
      </c>
      <c r="AI51" s="34">
        <f>IF(AND(AI$5&gt;=$F51,AI$5&lt;=$G51),2,"")</f>
        <v/>
      </c>
      <c r="AJ51" s="34">
        <f>IF(AND(AJ$5&gt;=$F51,AJ$5&lt;=$G51),2,"")</f>
        <v/>
      </c>
      <c r="AK51" s="34">
        <f>IF(AND(AK$5&gt;=$F51,AK$5&lt;=$G51),2,"")</f>
        <v/>
      </c>
      <c r="AL51" s="34">
        <f>IF(AND(AL$5&gt;=$F51,AL$5&lt;=$G51),2,"")</f>
        <v/>
      </c>
      <c r="AM51" s="34">
        <f>IF(AND(AM$5&gt;=$F51,AM$5&lt;=$G51),2,"")</f>
        <v/>
      </c>
      <c r="AN51" s="34">
        <f>IF(AND(AN$5&gt;=$F51,AN$5&lt;=$G51),2,"")</f>
        <v/>
      </c>
      <c r="AO51" s="34">
        <f>IF(AND(AO$5&gt;=$F51,AO$5&lt;=$G51),2,"")</f>
        <v/>
      </c>
      <c r="AP51" s="34">
        <f>IF(AND(AP$5&gt;=$F51,AP$5&lt;=$G51),2,"")</f>
        <v/>
      </c>
      <c r="AQ51" s="34">
        <f>IF(AND(AQ$5&gt;=$F51,AQ$5&lt;=$G51),2,"")</f>
        <v/>
      </c>
      <c r="AR51" s="34">
        <f>IF(AND(AR$5&gt;=$F51,AR$5&lt;=$G51),2,"")</f>
        <v/>
      </c>
      <c r="AS51" s="34">
        <f>IF(AND(AS$5&gt;=$F51,AS$5&lt;=$G51),2,"")</f>
        <v/>
      </c>
      <c r="AT51" s="34">
        <f>IF(AND(AT$5&gt;=$F51,AT$5&lt;=$G51),2,"")</f>
        <v/>
      </c>
      <c r="AU51" s="34">
        <f>IF(AND(AU$5&gt;=$F51,AU$5&lt;=$G51),2,"")</f>
        <v/>
      </c>
      <c r="AV51" s="34">
        <f>IF(AND(AV$5&gt;=$F51,AV$5&lt;=$G51),2,"")</f>
        <v/>
      </c>
      <c r="AW51" s="34">
        <f>IF(AND(AW$5&gt;=$F51,AW$5&lt;=$G51),2,"")</f>
        <v/>
      </c>
      <c r="AX51" s="34">
        <f>IF(AND(AX$5&gt;=$F51,AX$5&lt;=$G51),2,"")</f>
        <v/>
      </c>
      <c r="AY51" s="34">
        <f>IF(AND(AY$5&gt;=$F51,AY$5&lt;=$G51),2,"")</f>
        <v/>
      </c>
      <c r="AZ51" s="34">
        <f>IF(AND(AZ$5&gt;=$F51,AZ$5&lt;=$G51),2,"")</f>
        <v/>
      </c>
      <c r="BA51" s="34">
        <f>IF(AND(BA$5&gt;=$F51,BA$5&lt;=$G51),2,"")</f>
        <v/>
      </c>
      <c r="BB51" s="34">
        <f>IF(AND(BB$5&gt;=$F51,BB$5&lt;=$G51),2,"")</f>
        <v/>
      </c>
      <c r="BC51" s="34">
        <f>IF(AND(BC$5&gt;=$F51,BC$5&lt;=$G51),2,"")</f>
        <v/>
      </c>
      <c r="BD51" s="34">
        <f>IF(AND(BD$5&gt;=$F51,BD$5&lt;=$G51),2,"")</f>
        <v/>
      </c>
      <c r="BE51" s="34">
        <f>IF(AND(BE$5&gt;=$F51,BE$5&lt;=$G51),2,"")</f>
        <v/>
      </c>
      <c r="BF51" s="34">
        <f>IF(AND(BF$5&gt;=$F51,BF$5&lt;=$G51),2,"")</f>
        <v/>
      </c>
      <c r="BG51" s="34">
        <f>IF(AND(BG$5&gt;=$F51,BG$5&lt;=$G51),2,"")</f>
        <v/>
      </c>
      <c r="BH51" s="34">
        <f>IF(AND(BH$5&gt;=$F51,BH$5&lt;=$G51),2,"")</f>
        <v/>
      </c>
      <c r="BI51" s="34">
        <f>IF(AND(BI$5&gt;=$F51,BI$5&lt;=$G51),2,"")</f>
        <v/>
      </c>
      <c r="BJ51" s="34">
        <f>IF(AND(BJ$5&gt;=$F51,BJ$5&lt;=$G51),2,"")</f>
        <v/>
      </c>
      <c r="BK51" s="34">
        <f>IF(AND(BK$5&gt;=$F51,BK$5&lt;=$G51),2,"")</f>
        <v/>
      </c>
      <c r="BL51" s="34">
        <f>IF(AND(BL$5&gt;=$F51,BL$5&lt;=$G51),2,"")</f>
        <v/>
      </c>
      <c r="BM51" s="34">
        <f>IF(AND(BM$5&gt;=$F51,BM$5&lt;=$G51),2,"")</f>
        <v/>
      </c>
      <c r="BN51" s="34">
        <f>IF(AND(BN$5&gt;=$F51,BN$5&lt;=$G51),2,"")</f>
        <v/>
      </c>
    </row>
    <row r="52" ht="14.25" customHeight="1" s="36">
      <c r="A52" s="13" t="inlineStr">
        <is>
          <t>2 Elaboración</t>
        </is>
      </c>
      <c r="B52" s="13" t="inlineStr">
        <is>
          <t>2.3.1</t>
        </is>
      </c>
      <c r="C52" s="13" t="inlineStr">
        <is>
          <t>Plano de la sala técnica de Talca, con su cálculo eléctrico y térmico</t>
        </is>
      </c>
      <c r="D52" s="13" t="inlineStr">
        <is>
          <t>E</t>
        </is>
      </c>
      <c r="E52" s="13" t="inlineStr">
        <is>
          <t>Operación / SRE</t>
        </is>
      </c>
      <c r="F52" s="13" t="n">
        <v>1</v>
      </c>
      <c r="G52" s="13" t="n">
        <v>2</v>
      </c>
      <c r="H52" s="13">
        <f>G52-F52+1</f>
        <v/>
      </c>
      <c r="I52" s="31" t="n">
        <v>240</v>
      </c>
      <c r="J52" s="13" t="inlineStr">
        <is>
          <t>Con entregable (actividades en hoja «Actividades hasta H2»)</t>
        </is>
      </c>
      <c r="K52" s="34">
        <f>IF(AND(K$5&gt;=$F52,K$5&lt;=$G52),2,"")</f>
        <v/>
      </c>
      <c r="L52" s="34">
        <f>IF(AND(L$5&gt;=$F52,L$5&lt;=$G52),2,"")</f>
        <v/>
      </c>
      <c r="M52" s="34">
        <f>IF(AND(M$5&gt;=$F52,M$5&lt;=$G52),2,"")</f>
        <v/>
      </c>
      <c r="N52" s="34">
        <f>IF(AND(N$5&gt;=$F52,N$5&lt;=$G52),2,"")</f>
        <v/>
      </c>
      <c r="O52" s="34">
        <f>IF(AND(O$5&gt;=$F52,O$5&lt;=$G52),2,"")</f>
        <v/>
      </c>
      <c r="P52" s="34">
        <f>IF(AND(P$5&gt;=$F52,P$5&lt;=$G52),2,"")</f>
        <v/>
      </c>
      <c r="Q52" s="34">
        <f>IF(AND(Q$5&gt;=$F52,Q$5&lt;=$G52),2,"")</f>
        <v/>
      </c>
      <c r="R52" s="34">
        <f>IF(AND(R$5&gt;=$F52,R$5&lt;=$G52),2,"")</f>
        <v/>
      </c>
      <c r="S52" s="34">
        <f>IF(AND(S$5&gt;=$F52,S$5&lt;=$G52),2,"")</f>
        <v/>
      </c>
      <c r="T52" s="34">
        <f>IF(AND(T$5&gt;=$F52,T$5&lt;=$G52),2,"")</f>
        <v/>
      </c>
      <c r="U52" s="34">
        <f>IF(AND(U$5&gt;=$F52,U$5&lt;=$G52),2,"")</f>
        <v/>
      </c>
      <c r="V52" s="34">
        <f>IF(AND(V$5&gt;=$F52,V$5&lt;=$G52),2,"")</f>
        <v/>
      </c>
      <c r="W52" s="34">
        <f>IF(AND(W$5&gt;=$F52,W$5&lt;=$G52),2,"")</f>
        <v/>
      </c>
      <c r="X52" s="34">
        <f>IF(AND(X$5&gt;=$F52,X$5&lt;=$G52),2,"")</f>
        <v/>
      </c>
      <c r="Y52" s="34">
        <f>IF(AND(Y$5&gt;=$F52,Y$5&lt;=$G52),2,"")</f>
        <v/>
      </c>
      <c r="Z52" s="34">
        <f>IF(AND(Z$5&gt;=$F52,Z$5&lt;=$G52),2,"")</f>
        <v/>
      </c>
      <c r="AA52" s="34">
        <f>IF(AND(AA$5&gt;=$F52,AA$5&lt;=$G52),2,"")</f>
        <v/>
      </c>
      <c r="AB52" s="34">
        <f>IF(AND(AB$5&gt;=$F52,AB$5&lt;=$G52),2,"")</f>
        <v/>
      </c>
      <c r="AC52" s="34">
        <f>IF(AND(AC$5&gt;=$F52,AC$5&lt;=$G52),2,"")</f>
        <v/>
      </c>
      <c r="AD52" s="34">
        <f>IF(AND(AD$5&gt;=$F52,AD$5&lt;=$G52),2,"")</f>
        <v/>
      </c>
      <c r="AE52" s="34">
        <f>IF(AND(AE$5&gt;=$F52,AE$5&lt;=$G52),2,"")</f>
        <v/>
      </c>
      <c r="AF52" s="34">
        <f>IF(AND(AF$5&gt;=$F52,AF$5&lt;=$G52),2,"")</f>
        <v/>
      </c>
      <c r="AG52" s="34">
        <f>IF(AND(AG$5&gt;=$F52,AG$5&lt;=$G52),2,"")</f>
        <v/>
      </c>
      <c r="AH52" s="34">
        <f>IF(AND(AH$5&gt;=$F52,AH$5&lt;=$G52),2,"")</f>
        <v/>
      </c>
      <c r="AI52" s="34">
        <f>IF(AND(AI$5&gt;=$F52,AI$5&lt;=$G52),2,"")</f>
        <v/>
      </c>
      <c r="AJ52" s="34">
        <f>IF(AND(AJ$5&gt;=$F52,AJ$5&lt;=$G52),2,"")</f>
        <v/>
      </c>
      <c r="AK52" s="34">
        <f>IF(AND(AK$5&gt;=$F52,AK$5&lt;=$G52),2,"")</f>
        <v/>
      </c>
      <c r="AL52" s="34">
        <f>IF(AND(AL$5&gt;=$F52,AL$5&lt;=$G52),2,"")</f>
        <v/>
      </c>
      <c r="AM52" s="34">
        <f>IF(AND(AM$5&gt;=$F52,AM$5&lt;=$G52),2,"")</f>
        <v/>
      </c>
      <c r="AN52" s="34">
        <f>IF(AND(AN$5&gt;=$F52,AN$5&lt;=$G52),2,"")</f>
        <v/>
      </c>
      <c r="AO52" s="34">
        <f>IF(AND(AO$5&gt;=$F52,AO$5&lt;=$G52),2,"")</f>
        <v/>
      </c>
      <c r="AP52" s="34">
        <f>IF(AND(AP$5&gt;=$F52,AP$5&lt;=$G52),2,"")</f>
        <v/>
      </c>
      <c r="AQ52" s="34">
        <f>IF(AND(AQ$5&gt;=$F52,AQ$5&lt;=$G52),2,"")</f>
        <v/>
      </c>
      <c r="AR52" s="34">
        <f>IF(AND(AR$5&gt;=$F52,AR$5&lt;=$G52),2,"")</f>
        <v/>
      </c>
      <c r="AS52" s="34">
        <f>IF(AND(AS$5&gt;=$F52,AS$5&lt;=$G52),2,"")</f>
        <v/>
      </c>
      <c r="AT52" s="34">
        <f>IF(AND(AT$5&gt;=$F52,AT$5&lt;=$G52),2,"")</f>
        <v/>
      </c>
      <c r="AU52" s="34">
        <f>IF(AND(AU$5&gt;=$F52,AU$5&lt;=$G52),2,"")</f>
        <v/>
      </c>
      <c r="AV52" s="34">
        <f>IF(AND(AV$5&gt;=$F52,AV$5&lt;=$G52),2,"")</f>
        <v/>
      </c>
      <c r="AW52" s="34">
        <f>IF(AND(AW$5&gt;=$F52,AW$5&lt;=$G52),2,"")</f>
        <v/>
      </c>
      <c r="AX52" s="34">
        <f>IF(AND(AX$5&gt;=$F52,AX$5&lt;=$G52),2,"")</f>
        <v/>
      </c>
      <c r="AY52" s="34">
        <f>IF(AND(AY$5&gt;=$F52,AY$5&lt;=$G52),2,"")</f>
        <v/>
      </c>
      <c r="AZ52" s="34">
        <f>IF(AND(AZ$5&gt;=$F52,AZ$5&lt;=$G52),2,"")</f>
        <v/>
      </c>
      <c r="BA52" s="34">
        <f>IF(AND(BA$5&gt;=$F52,BA$5&lt;=$G52),2,"")</f>
        <v/>
      </c>
      <c r="BB52" s="34">
        <f>IF(AND(BB$5&gt;=$F52,BB$5&lt;=$G52),2,"")</f>
        <v/>
      </c>
      <c r="BC52" s="34">
        <f>IF(AND(BC$5&gt;=$F52,BC$5&lt;=$G52),2,"")</f>
        <v/>
      </c>
      <c r="BD52" s="34">
        <f>IF(AND(BD$5&gt;=$F52,BD$5&lt;=$G52),2,"")</f>
        <v/>
      </c>
      <c r="BE52" s="34">
        <f>IF(AND(BE$5&gt;=$F52,BE$5&lt;=$G52),2,"")</f>
        <v/>
      </c>
      <c r="BF52" s="34">
        <f>IF(AND(BF$5&gt;=$F52,BF$5&lt;=$G52),2,"")</f>
        <v/>
      </c>
      <c r="BG52" s="34">
        <f>IF(AND(BG$5&gt;=$F52,BG$5&lt;=$G52),2,"")</f>
        <v/>
      </c>
      <c r="BH52" s="34">
        <f>IF(AND(BH$5&gt;=$F52,BH$5&lt;=$G52),2,"")</f>
        <v/>
      </c>
      <c r="BI52" s="34">
        <f>IF(AND(BI$5&gt;=$F52,BI$5&lt;=$G52),2,"")</f>
        <v/>
      </c>
      <c r="BJ52" s="34">
        <f>IF(AND(BJ$5&gt;=$F52,BJ$5&lt;=$G52),2,"")</f>
        <v/>
      </c>
      <c r="BK52" s="34">
        <f>IF(AND(BK$5&gt;=$F52,BK$5&lt;=$G52),2,"")</f>
        <v/>
      </c>
      <c r="BL52" s="34">
        <f>IF(AND(BL$5&gt;=$F52,BL$5&lt;=$G52),2,"")</f>
        <v/>
      </c>
      <c r="BM52" s="34">
        <f>IF(AND(BM$5&gt;=$F52,BM$5&lt;=$G52),2,"")</f>
        <v/>
      </c>
      <c r="BN52" s="34">
        <f>IF(AND(BN$5&gt;=$F52,BN$5&lt;=$G52),2,"")</f>
        <v/>
      </c>
    </row>
    <row r="53" ht="14.25" customHeight="1" s="36">
      <c r="A53" s="13" t="inlineStr">
        <is>
          <t>2 Elaboración</t>
        </is>
      </c>
      <c r="B53" s="13" t="inlineStr">
        <is>
          <t>2.3.2</t>
        </is>
      </c>
      <c r="C53" s="13" t="inlineStr">
        <is>
          <t>Plano de distribución de los racks R01 de servidores y R02 de comunicaciones</t>
        </is>
      </c>
      <c r="D53" s="13" t="inlineStr">
        <is>
          <t>E</t>
        </is>
      </c>
      <c r="E53" s="13" t="inlineStr">
        <is>
          <t>Operación / SRE</t>
        </is>
      </c>
      <c r="F53" s="13" t="n">
        <v>1</v>
      </c>
      <c r="G53" s="13" t="n">
        <v>2</v>
      </c>
      <c r="H53" s="13">
        <f>G53-F53+1</f>
        <v/>
      </c>
      <c r="I53" s="31" t="n">
        <v>240</v>
      </c>
      <c r="J53" s="13" t="inlineStr">
        <is>
          <t>Con entregable (actividades en hoja «Actividades hasta H2»)</t>
        </is>
      </c>
      <c r="K53" s="34">
        <f>IF(AND(K$5&gt;=$F53,K$5&lt;=$G53),2,"")</f>
        <v/>
      </c>
      <c r="L53" s="34">
        <f>IF(AND(L$5&gt;=$F53,L$5&lt;=$G53),2,"")</f>
        <v/>
      </c>
      <c r="M53" s="34">
        <f>IF(AND(M$5&gt;=$F53,M$5&lt;=$G53),2,"")</f>
        <v/>
      </c>
      <c r="N53" s="34">
        <f>IF(AND(N$5&gt;=$F53,N$5&lt;=$G53),2,"")</f>
        <v/>
      </c>
      <c r="O53" s="34">
        <f>IF(AND(O$5&gt;=$F53,O$5&lt;=$G53),2,"")</f>
        <v/>
      </c>
      <c r="P53" s="34">
        <f>IF(AND(P$5&gt;=$F53,P$5&lt;=$G53),2,"")</f>
        <v/>
      </c>
      <c r="Q53" s="34">
        <f>IF(AND(Q$5&gt;=$F53,Q$5&lt;=$G53),2,"")</f>
        <v/>
      </c>
      <c r="R53" s="34">
        <f>IF(AND(R$5&gt;=$F53,R$5&lt;=$G53),2,"")</f>
        <v/>
      </c>
      <c r="S53" s="34">
        <f>IF(AND(S$5&gt;=$F53,S$5&lt;=$G53),2,"")</f>
        <v/>
      </c>
      <c r="T53" s="34">
        <f>IF(AND(T$5&gt;=$F53,T$5&lt;=$G53),2,"")</f>
        <v/>
      </c>
      <c r="U53" s="34">
        <f>IF(AND(U$5&gt;=$F53,U$5&lt;=$G53),2,"")</f>
        <v/>
      </c>
      <c r="V53" s="34">
        <f>IF(AND(V$5&gt;=$F53,V$5&lt;=$G53),2,"")</f>
        <v/>
      </c>
      <c r="W53" s="34">
        <f>IF(AND(W$5&gt;=$F53,W$5&lt;=$G53),2,"")</f>
        <v/>
      </c>
      <c r="X53" s="34">
        <f>IF(AND(X$5&gt;=$F53,X$5&lt;=$G53),2,"")</f>
        <v/>
      </c>
      <c r="Y53" s="34">
        <f>IF(AND(Y$5&gt;=$F53,Y$5&lt;=$G53),2,"")</f>
        <v/>
      </c>
      <c r="Z53" s="34">
        <f>IF(AND(Z$5&gt;=$F53,Z$5&lt;=$G53),2,"")</f>
        <v/>
      </c>
      <c r="AA53" s="34">
        <f>IF(AND(AA$5&gt;=$F53,AA$5&lt;=$G53),2,"")</f>
        <v/>
      </c>
      <c r="AB53" s="34">
        <f>IF(AND(AB$5&gt;=$F53,AB$5&lt;=$G53),2,"")</f>
        <v/>
      </c>
      <c r="AC53" s="34">
        <f>IF(AND(AC$5&gt;=$F53,AC$5&lt;=$G53),2,"")</f>
        <v/>
      </c>
      <c r="AD53" s="34">
        <f>IF(AND(AD$5&gt;=$F53,AD$5&lt;=$G53),2,"")</f>
        <v/>
      </c>
      <c r="AE53" s="34">
        <f>IF(AND(AE$5&gt;=$F53,AE$5&lt;=$G53),2,"")</f>
        <v/>
      </c>
      <c r="AF53" s="34">
        <f>IF(AND(AF$5&gt;=$F53,AF$5&lt;=$G53),2,"")</f>
        <v/>
      </c>
      <c r="AG53" s="34">
        <f>IF(AND(AG$5&gt;=$F53,AG$5&lt;=$G53),2,"")</f>
        <v/>
      </c>
      <c r="AH53" s="34">
        <f>IF(AND(AH$5&gt;=$F53,AH$5&lt;=$G53),2,"")</f>
        <v/>
      </c>
      <c r="AI53" s="34">
        <f>IF(AND(AI$5&gt;=$F53,AI$5&lt;=$G53),2,"")</f>
        <v/>
      </c>
      <c r="AJ53" s="34">
        <f>IF(AND(AJ$5&gt;=$F53,AJ$5&lt;=$G53),2,"")</f>
        <v/>
      </c>
      <c r="AK53" s="34">
        <f>IF(AND(AK$5&gt;=$F53,AK$5&lt;=$G53),2,"")</f>
        <v/>
      </c>
      <c r="AL53" s="34">
        <f>IF(AND(AL$5&gt;=$F53,AL$5&lt;=$G53),2,"")</f>
        <v/>
      </c>
      <c r="AM53" s="34">
        <f>IF(AND(AM$5&gt;=$F53,AM$5&lt;=$G53),2,"")</f>
        <v/>
      </c>
      <c r="AN53" s="34">
        <f>IF(AND(AN$5&gt;=$F53,AN$5&lt;=$G53),2,"")</f>
        <v/>
      </c>
      <c r="AO53" s="34">
        <f>IF(AND(AO$5&gt;=$F53,AO$5&lt;=$G53),2,"")</f>
        <v/>
      </c>
      <c r="AP53" s="34">
        <f>IF(AND(AP$5&gt;=$F53,AP$5&lt;=$G53),2,"")</f>
        <v/>
      </c>
      <c r="AQ53" s="34">
        <f>IF(AND(AQ$5&gt;=$F53,AQ$5&lt;=$G53),2,"")</f>
        <v/>
      </c>
      <c r="AR53" s="34">
        <f>IF(AND(AR$5&gt;=$F53,AR$5&lt;=$G53),2,"")</f>
        <v/>
      </c>
      <c r="AS53" s="34">
        <f>IF(AND(AS$5&gt;=$F53,AS$5&lt;=$G53),2,"")</f>
        <v/>
      </c>
      <c r="AT53" s="34">
        <f>IF(AND(AT$5&gt;=$F53,AT$5&lt;=$G53),2,"")</f>
        <v/>
      </c>
      <c r="AU53" s="34">
        <f>IF(AND(AU$5&gt;=$F53,AU$5&lt;=$G53),2,"")</f>
        <v/>
      </c>
      <c r="AV53" s="34">
        <f>IF(AND(AV$5&gt;=$F53,AV$5&lt;=$G53),2,"")</f>
        <v/>
      </c>
      <c r="AW53" s="34">
        <f>IF(AND(AW$5&gt;=$F53,AW$5&lt;=$G53),2,"")</f>
        <v/>
      </c>
      <c r="AX53" s="34">
        <f>IF(AND(AX$5&gt;=$F53,AX$5&lt;=$G53),2,"")</f>
        <v/>
      </c>
      <c r="AY53" s="34">
        <f>IF(AND(AY$5&gt;=$F53,AY$5&lt;=$G53),2,"")</f>
        <v/>
      </c>
      <c r="AZ53" s="34">
        <f>IF(AND(AZ$5&gt;=$F53,AZ$5&lt;=$G53),2,"")</f>
        <v/>
      </c>
      <c r="BA53" s="34">
        <f>IF(AND(BA$5&gt;=$F53,BA$5&lt;=$G53),2,"")</f>
        <v/>
      </c>
      <c r="BB53" s="34">
        <f>IF(AND(BB$5&gt;=$F53,BB$5&lt;=$G53),2,"")</f>
        <v/>
      </c>
      <c r="BC53" s="34">
        <f>IF(AND(BC$5&gt;=$F53,BC$5&lt;=$G53),2,"")</f>
        <v/>
      </c>
      <c r="BD53" s="34">
        <f>IF(AND(BD$5&gt;=$F53,BD$5&lt;=$G53),2,"")</f>
        <v/>
      </c>
      <c r="BE53" s="34">
        <f>IF(AND(BE$5&gt;=$F53,BE$5&lt;=$G53),2,"")</f>
        <v/>
      </c>
      <c r="BF53" s="34">
        <f>IF(AND(BF$5&gt;=$F53,BF$5&lt;=$G53),2,"")</f>
        <v/>
      </c>
      <c r="BG53" s="34">
        <f>IF(AND(BG$5&gt;=$F53,BG$5&lt;=$G53),2,"")</f>
        <v/>
      </c>
      <c r="BH53" s="34">
        <f>IF(AND(BH$5&gt;=$F53,BH$5&lt;=$G53),2,"")</f>
        <v/>
      </c>
      <c r="BI53" s="34">
        <f>IF(AND(BI$5&gt;=$F53,BI$5&lt;=$G53),2,"")</f>
        <v/>
      </c>
      <c r="BJ53" s="34">
        <f>IF(AND(BJ$5&gt;=$F53,BJ$5&lt;=$G53),2,"")</f>
        <v/>
      </c>
      <c r="BK53" s="34">
        <f>IF(AND(BK$5&gt;=$F53,BK$5&lt;=$G53),2,"")</f>
        <v/>
      </c>
      <c r="BL53" s="34">
        <f>IF(AND(BL$5&gt;=$F53,BL$5&lt;=$G53),2,"")</f>
        <v/>
      </c>
      <c r="BM53" s="34">
        <f>IF(AND(BM$5&gt;=$F53,BM$5&lt;=$G53),2,"")</f>
        <v/>
      </c>
      <c r="BN53" s="34">
        <f>IF(AND(BN$5&gt;=$F53,BN$5&lt;=$G53),2,"")</f>
        <v/>
      </c>
    </row>
    <row r="54" ht="14.25" customHeight="1" s="36">
      <c r="A54" s="13" t="inlineStr">
        <is>
          <t>2 Elaboración</t>
        </is>
      </c>
      <c r="B54" s="13" t="inlineStr">
        <is>
          <t>2.3.3</t>
        </is>
      </c>
      <c r="C54" s="13" t="inlineStr">
        <is>
          <t>Plano de los gabinetes de borde de Concepción y de las plataformas de cross-docking</t>
        </is>
      </c>
      <c r="D54" s="13" t="inlineStr">
        <is>
          <t>E</t>
        </is>
      </c>
      <c r="E54" s="13" t="inlineStr">
        <is>
          <t>Operación / SRE</t>
        </is>
      </c>
      <c r="F54" s="13" t="n">
        <v>2</v>
      </c>
      <c r="G54" s="13" t="n">
        <v>2</v>
      </c>
      <c r="H54" s="13">
        <f>G54-F54+1</f>
        <v/>
      </c>
      <c r="I54" s="31" t="n">
        <v>240</v>
      </c>
      <c r="J54" s="13" t="inlineStr">
        <is>
          <t>Con entregable (actividades en hoja «Actividades hasta H2»)</t>
        </is>
      </c>
      <c r="K54" s="34">
        <f>IF(AND(K$5&gt;=$F54,K$5&lt;=$G54),2,"")</f>
        <v/>
      </c>
      <c r="L54" s="34">
        <f>IF(AND(L$5&gt;=$F54,L$5&lt;=$G54),2,"")</f>
        <v/>
      </c>
      <c r="M54" s="34">
        <f>IF(AND(M$5&gt;=$F54,M$5&lt;=$G54),2,"")</f>
        <v/>
      </c>
      <c r="N54" s="34">
        <f>IF(AND(N$5&gt;=$F54,N$5&lt;=$G54),2,"")</f>
        <v/>
      </c>
      <c r="O54" s="34">
        <f>IF(AND(O$5&gt;=$F54,O$5&lt;=$G54),2,"")</f>
        <v/>
      </c>
      <c r="P54" s="34">
        <f>IF(AND(P$5&gt;=$F54,P$5&lt;=$G54),2,"")</f>
        <v/>
      </c>
      <c r="Q54" s="34">
        <f>IF(AND(Q$5&gt;=$F54,Q$5&lt;=$G54),2,"")</f>
        <v/>
      </c>
      <c r="R54" s="34">
        <f>IF(AND(R$5&gt;=$F54,R$5&lt;=$G54),2,"")</f>
        <v/>
      </c>
      <c r="S54" s="34">
        <f>IF(AND(S$5&gt;=$F54,S$5&lt;=$G54),2,"")</f>
        <v/>
      </c>
      <c r="T54" s="34">
        <f>IF(AND(T$5&gt;=$F54,T$5&lt;=$G54),2,"")</f>
        <v/>
      </c>
      <c r="U54" s="34">
        <f>IF(AND(U$5&gt;=$F54,U$5&lt;=$G54),2,"")</f>
        <v/>
      </c>
      <c r="V54" s="34">
        <f>IF(AND(V$5&gt;=$F54,V$5&lt;=$G54),2,"")</f>
        <v/>
      </c>
      <c r="W54" s="34">
        <f>IF(AND(W$5&gt;=$F54,W$5&lt;=$G54),2,"")</f>
        <v/>
      </c>
      <c r="X54" s="34">
        <f>IF(AND(X$5&gt;=$F54,X$5&lt;=$G54),2,"")</f>
        <v/>
      </c>
      <c r="Y54" s="34">
        <f>IF(AND(Y$5&gt;=$F54,Y$5&lt;=$G54),2,"")</f>
        <v/>
      </c>
      <c r="Z54" s="34">
        <f>IF(AND(Z$5&gt;=$F54,Z$5&lt;=$G54),2,"")</f>
        <v/>
      </c>
      <c r="AA54" s="34">
        <f>IF(AND(AA$5&gt;=$F54,AA$5&lt;=$G54),2,"")</f>
        <v/>
      </c>
      <c r="AB54" s="34">
        <f>IF(AND(AB$5&gt;=$F54,AB$5&lt;=$G54),2,"")</f>
        <v/>
      </c>
      <c r="AC54" s="34">
        <f>IF(AND(AC$5&gt;=$F54,AC$5&lt;=$G54),2,"")</f>
        <v/>
      </c>
      <c r="AD54" s="34">
        <f>IF(AND(AD$5&gt;=$F54,AD$5&lt;=$G54),2,"")</f>
        <v/>
      </c>
      <c r="AE54" s="34">
        <f>IF(AND(AE$5&gt;=$F54,AE$5&lt;=$G54),2,"")</f>
        <v/>
      </c>
      <c r="AF54" s="34">
        <f>IF(AND(AF$5&gt;=$F54,AF$5&lt;=$G54),2,"")</f>
        <v/>
      </c>
      <c r="AG54" s="34">
        <f>IF(AND(AG$5&gt;=$F54,AG$5&lt;=$G54),2,"")</f>
        <v/>
      </c>
      <c r="AH54" s="34">
        <f>IF(AND(AH$5&gt;=$F54,AH$5&lt;=$G54),2,"")</f>
        <v/>
      </c>
      <c r="AI54" s="34">
        <f>IF(AND(AI$5&gt;=$F54,AI$5&lt;=$G54),2,"")</f>
        <v/>
      </c>
      <c r="AJ54" s="34">
        <f>IF(AND(AJ$5&gt;=$F54,AJ$5&lt;=$G54),2,"")</f>
        <v/>
      </c>
      <c r="AK54" s="34">
        <f>IF(AND(AK$5&gt;=$F54,AK$5&lt;=$G54),2,"")</f>
        <v/>
      </c>
      <c r="AL54" s="34">
        <f>IF(AND(AL$5&gt;=$F54,AL$5&lt;=$G54),2,"")</f>
        <v/>
      </c>
      <c r="AM54" s="34">
        <f>IF(AND(AM$5&gt;=$F54,AM$5&lt;=$G54),2,"")</f>
        <v/>
      </c>
      <c r="AN54" s="34">
        <f>IF(AND(AN$5&gt;=$F54,AN$5&lt;=$G54),2,"")</f>
        <v/>
      </c>
      <c r="AO54" s="34">
        <f>IF(AND(AO$5&gt;=$F54,AO$5&lt;=$G54),2,"")</f>
        <v/>
      </c>
      <c r="AP54" s="34">
        <f>IF(AND(AP$5&gt;=$F54,AP$5&lt;=$G54),2,"")</f>
        <v/>
      </c>
      <c r="AQ54" s="34">
        <f>IF(AND(AQ$5&gt;=$F54,AQ$5&lt;=$G54),2,"")</f>
        <v/>
      </c>
      <c r="AR54" s="34">
        <f>IF(AND(AR$5&gt;=$F54,AR$5&lt;=$G54),2,"")</f>
        <v/>
      </c>
      <c r="AS54" s="34">
        <f>IF(AND(AS$5&gt;=$F54,AS$5&lt;=$G54),2,"")</f>
        <v/>
      </c>
      <c r="AT54" s="34">
        <f>IF(AND(AT$5&gt;=$F54,AT$5&lt;=$G54),2,"")</f>
        <v/>
      </c>
      <c r="AU54" s="34">
        <f>IF(AND(AU$5&gt;=$F54,AU$5&lt;=$G54),2,"")</f>
        <v/>
      </c>
      <c r="AV54" s="34">
        <f>IF(AND(AV$5&gt;=$F54,AV$5&lt;=$G54),2,"")</f>
        <v/>
      </c>
      <c r="AW54" s="34">
        <f>IF(AND(AW$5&gt;=$F54,AW$5&lt;=$G54),2,"")</f>
        <v/>
      </c>
      <c r="AX54" s="34">
        <f>IF(AND(AX$5&gt;=$F54,AX$5&lt;=$G54),2,"")</f>
        <v/>
      </c>
      <c r="AY54" s="34">
        <f>IF(AND(AY$5&gt;=$F54,AY$5&lt;=$G54),2,"")</f>
        <v/>
      </c>
      <c r="AZ54" s="34">
        <f>IF(AND(AZ$5&gt;=$F54,AZ$5&lt;=$G54),2,"")</f>
        <v/>
      </c>
      <c r="BA54" s="34">
        <f>IF(AND(BA$5&gt;=$F54,BA$5&lt;=$G54),2,"")</f>
        <v/>
      </c>
      <c r="BB54" s="34">
        <f>IF(AND(BB$5&gt;=$F54,BB$5&lt;=$G54),2,"")</f>
        <v/>
      </c>
      <c r="BC54" s="34">
        <f>IF(AND(BC$5&gt;=$F54,BC$5&lt;=$G54),2,"")</f>
        <v/>
      </c>
      <c r="BD54" s="34">
        <f>IF(AND(BD$5&gt;=$F54,BD$5&lt;=$G54),2,"")</f>
        <v/>
      </c>
      <c r="BE54" s="34">
        <f>IF(AND(BE$5&gt;=$F54,BE$5&lt;=$G54),2,"")</f>
        <v/>
      </c>
      <c r="BF54" s="34">
        <f>IF(AND(BF$5&gt;=$F54,BF$5&lt;=$G54),2,"")</f>
        <v/>
      </c>
      <c r="BG54" s="34">
        <f>IF(AND(BG$5&gt;=$F54,BG$5&lt;=$G54),2,"")</f>
        <v/>
      </c>
      <c r="BH54" s="34">
        <f>IF(AND(BH$5&gt;=$F54,BH$5&lt;=$G54),2,"")</f>
        <v/>
      </c>
      <c r="BI54" s="34">
        <f>IF(AND(BI$5&gt;=$F54,BI$5&lt;=$G54),2,"")</f>
        <v/>
      </c>
      <c r="BJ54" s="34">
        <f>IF(AND(BJ$5&gt;=$F54,BJ$5&lt;=$G54),2,"")</f>
        <v/>
      </c>
      <c r="BK54" s="34">
        <f>IF(AND(BK$5&gt;=$F54,BK$5&lt;=$G54),2,"")</f>
        <v/>
      </c>
      <c r="BL54" s="34">
        <f>IF(AND(BL$5&gt;=$F54,BL$5&lt;=$G54),2,"")</f>
        <v/>
      </c>
      <c r="BM54" s="34">
        <f>IF(AND(BM$5&gt;=$F54,BM$5&lt;=$G54),2,"")</f>
        <v/>
      </c>
      <c r="BN54" s="34">
        <f>IF(AND(BN$5&gt;=$F54,BN$5&lt;=$G54),2,"")</f>
        <v/>
      </c>
    </row>
    <row r="55" ht="14.25" customHeight="1" s="36">
      <c r="A55" s="13" t="inlineStr">
        <is>
          <t>2 Elaboración</t>
        </is>
      </c>
      <c r="B55" s="13" t="inlineStr">
        <is>
          <t>2.4.1</t>
        </is>
      </c>
      <c r="C55" s="13" t="inlineStr">
        <is>
          <t>Acta de aprobación de la arquitectura, el plan de seguridad y el modelo de datos (H2)</t>
        </is>
      </c>
      <c r="D55" s="13" t="inlineStr">
        <is>
          <t>E</t>
        </is>
      </c>
      <c r="E55" s="13" t="inlineStr">
        <is>
          <t>Arquitectura</t>
        </is>
      </c>
      <c r="F55" s="13" t="n">
        <v>3</v>
      </c>
      <c r="G55" s="13" t="n">
        <v>3</v>
      </c>
      <c r="H55" s="13">
        <f>G55-F55+1</f>
        <v/>
      </c>
      <c r="I55" s="31" t="n">
        <v>240</v>
      </c>
      <c r="J55" s="13" t="inlineStr">
        <is>
          <t>Con entregable (actividades en hoja «Actividades hasta H2»)</t>
        </is>
      </c>
      <c r="K55" s="34">
        <f>IF(AND(K$5&gt;=$F55,K$5&lt;=$G55),2,"")</f>
        <v/>
      </c>
      <c r="L55" s="34">
        <f>IF(AND(L$5&gt;=$F55,L$5&lt;=$G55),2,"")</f>
        <v/>
      </c>
      <c r="M55" s="34">
        <f>IF(AND(M$5&gt;=$F55,M$5&lt;=$G55),2,"")</f>
        <v/>
      </c>
      <c r="N55" s="34">
        <f>IF(AND(N$5&gt;=$F55,N$5&lt;=$G55),2,"")</f>
        <v/>
      </c>
      <c r="O55" s="34">
        <f>IF(AND(O$5&gt;=$F55,O$5&lt;=$G55),2,"")</f>
        <v/>
      </c>
      <c r="P55" s="34">
        <f>IF(AND(P$5&gt;=$F55,P$5&lt;=$G55),2,"")</f>
        <v/>
      </c>
      <c r="Q55" s="34">
        <f>IF(AND(Q$5&gt;=$F55,Q$5&lt;=$G55),2,"")</f>
        <v/>
      </c>
      <c r="R55" s="34">
        <f>IF(AND(R$5&gt;=$F55,R$5&lt;=$G55),2,"")</f>
        <v/>
      </c>
      <c r="S55" s="34">
        <f>IF(AND(S$5&gt;=$F55,S$5&lt;=$G55),2,"")</f>
        <v/>
      </c>
      <c r="T55" s="34">
        <f>IF(AND(T$5&gt;=$F55,T$5&lt;=$G55),2,"")</f>
        <v/>
      </c>
      <c r="U55" s="34">
        <f>IF(AND(U$5&gt;=$F55,U$5&lt;=$G55),2,"")</f>
        <v/>
      </c>
      <c r="V55" s="34">
        <f>IF(AND(V$5&gt;=$F55,V$5&lt;=$G55),2,"")</f>
        <v/>
      </c>
      <c r="W55" s="34">
        <f>IF(AND(W$5&gt;=$F55,W$5&lt;=$G55),2,"")</f>
        <v/>
      </c>
      <c r="X55" s="34">
        <f>IF(AND(X$5&gt;=$F55,X$5&lt;=$G55),2,"")</f>
        <v/>
      </c>
      <c r="Y55" s="34">
        <f>IF(AND(Y$5&gt;=$F55,Y$5&lt;=$G55),2,"")</f>
        <v/>
      </c>
      <c r="Z55" s="34">
        <f>IF(AND(Z$5&gt;=$F55,Z$5&lt;=$G55),2,"")</f>
        <v/>
      </c>
      <c r="AA55" s="34">
        <f>IF(AND(AA$5&gt;=$F55,AA$5&lt;=$G55),2,"")</f>
        <v/>
      </c>
      <c r="AB55" s="34">
        <f>IF(AND(AB$5&gt;=$F55,AB$5&lt;=$G55),2,"")</f>
        <v/>
      </c>
      <c r="AC55" s="34">
        <f>IF(AND(AC$5&gt;=$F55,AC$5&lt;=$G55),2,"")</f>
        <v/>
      </c>
      <c r="AD55" s="34">
        <f>IF(AND(AD$5&gt;=$F55,AD$5&lt;=$G55),2,"")</f>
        <v/>
      </c>
      <c r="AE55" s="34">
        <f>IF(AND(AE$5&gt;=$F55,AE$5&lt;=$G55),2,"")</f>
        <v/>
      </c>
      <c r="AF55" s="34">
        <f>IF(AND(AF$5&gt;=$F55,AF$5&lt;=$G55),2,"")</f>
        <v/>
      </c>
      <c r="AG55" s="34">
        <f>IF(AND(AG$5&gt;=$F55,AG$5&lt;=$G55),2,"")</f>
        <v/>
      </c>
      <c r="AH55" s="34">
        <f>IF(AND(AH$5&gt;=$F55,AH$5&lt;=$G55),2,"")</f>
        <v/>
      </c>
      <c r="AI55" s="34">
        <f>IF(AND(AI$5&gt;=$F55,AI$5&lt;=$G55),2,"")</f>
        <v/>
      </c>
      <c r="AJ55" s="34">
        <f>IF(AND(AJ$5&gt;=$F55,AJ$5&lt;=$G55),2,"")</f>
        <v/>
      </c>
      <c r="AK55" s="34">
        <f>IF(AND(AK$5&gt;=$F55,AK$5&lt;=$G55),2,"")</f>
        <v/>
      </c>
      <c r="AL55" s="34">
        <f>IF(AND(AL$5&gt;=$F55,AL$5&lt;=$G55),2,"")</f>
        <v/>
      </c>
      <c r="AM55" s="34">
        <f>IF(AND(AM$5&gt;=$F55,AM$5&lt;=$G55),2,"")</f>
        <v/>
      </c>
      <c r="AN55" s="34">
        <f>IF(AND(AN$5&gt;=$F55,AN$5&lt;=$G55),2,"")</f>
        <v/>
      </c>
      <c r="AO55" s="34">
        <f>IF(AND(AO$5&gt;=$F55,AO$5&lt;=$G55),2,"")</f>
        <v/>
      </c>
      <c r="AP55" s="34">
        <f>IF(AND(AP$5&gt;=$F55,AP$5&lt;=$G55),2,"")</f>
        <v/>
      </c>
      <c r="AQ55" s="34">
        <f>IF(AND(AQ$5&gt;=$F55,AQ$5&lt;=$G55),2,"")</f>
        <v/>
      </c>
      <c r="AR55" s="34">
        <f>IF(AND(AR$5&gt;=$F55,AR$5&lt;=$G55),2,"")</f>
        <v/>
      </c>
      <c r="AS55" s="34">
        <f>IF(AND(AS$5&gt;=$F55,AS$5&lt;=$G55),2,"")</f>
        <v/>
      </c>
      <c r="AT55" s="34">
        <f>IF(AND(AT$5&gt;=$F55,AT$5&lt;=$G55),2,"")</f>
        <v/>
      </c>
      <c r="AU55" s="34">
        <f>IF(AND(AU$5&gt;=$F55,AU$5&lt;=$G55),2,"")</f>
        <v/>
      </c>
      <c r="AV55" s="34">
        <f>IF(AND(AV$5&gt;=$F55,AV$5&lt;=$G55),2,"")</f>
        <v/>
      </c>
      <c r="AW55" s="34">
        <f>IF(AND(AW$5&gt;=$F55,AW$5&lt;=$G55),2,"")</f>
        <v/>
      </c>
      <c r="AX55" s="34">
        <f>IF(AND(AX$5&gt;=$F55,AX$5&lt;=$G55),2,"")</f>
        <v/>
      </c>
      <c r="AY55" s="34">
        <f>IF(AND(AY$5&gt;=$F55,AY$5&lt;=$G55),2,"")</f>
        <v/>
      </c>
      <c r="AZ55" s="34">
        <f>IF(AND(AZ$5&gt;=$F55,AZ$5&lt;=$G55),2,"")</f>
        <v/>
      </c>
      <c r="BA55" s="34">
        <f>IF(AND(BA$5&gt;=$F55,BA$5&lt;=$G55),2,"")</f>
        <v/>
      </c>
      <c r="BB55" s="34">
        <f>IF(AND(BB$5&gt;=$F55,BB$5&lt;=$G55),2,"")</f>
        <v/>
      </c>
      <c r="BC55" s="34">
        <f>IF(AND(BC$5&gt;=$F55,BC$5&lt;=$G55),2,"")</f>
        <v/>
      </c>
      <c r="BD55" s="34">
        <f>IF(AND(BD$5&gt;=$F55,BD$5&lt;=$G55),2,"")</f>
        <v/>
      </c>
      <c r="BE55" s="34">
        <f>IF(AND(BE$5&gt;=$F55,BE$5&lt;=$G55),2,"")</f>
        <v/>
      </c>
      <c r="BF55" s="34">
        <f>IF(AND(BF$5&gt;=$F55,BF$5&lt;=$G55),2,"")</f>
        <v/>
      </c>
      <c r="BG55" s="34">
        <f>IF(AND(BG$5&gt;=$F55,BG$5&lt;=$G55),2,"")</f>
        <v/>
      </c>
      <c r="BH55" s="34">
        <f>IF(AND(BH$5&gt;=$F55,BH$5&lt;=$G55),2,"")</f>
        <v/>
      </c>
      <c r="BI55" s="34">
        <f>IF(AND(BI$5&gt;=$F55,BI$5&lt;=$G55),2,"")</f>
        <v/>
      </c>
      <c r="BJ55" s="34">
        <f>IF(AND(BJ$5&gt;=$F55,BJ$5&lt;=$G55),2,"")</f>
        <v/>
      </c>
      <c r="BK55" s="34">
        <f>IF(AND(BK$5&gt;=$F55,BK$5&lt;=$G55),2,"")</f>
        <v/>
      </c>
      <c r="BL55" s="34">
        <f>IF(AND(BL$5&gt;=$F55,BL$5&lt;=$G55),2,"")</f>
        <v/>
      </c>
      <c r="BM55" s="34">
        <f>IF(AND(BM$5&gt;=$F55,BM$5&lt;=$G55),2,"")</f>
        <v/>
      </c>
      <c r="BN55" s="34">
        <f>IF(AND(BN$5&gt;=$F55,BN$5&lt;=$G55),2,"")</f>
        <v/>
      </c>
    </row>
    <row r="56" ht="14.25" customHeight="1" s="36">
      <c r="A56" s="13" t="inlineStr">
        <is>
          <t>2 Elaboración</t>
        </is>
      </c>
      <c r="B56" s="13" t="inlineStr">
        <is>
          <t>2.4.2</t>
        </is>
      </c>
      <c r="C56" s="13" t="inlineStr">
        <is>
          <t>Acta de aprobación del diseño detallado de la Etapa 2 (H8)</t>
        </is>
      </c>
      <c r="D56" s="13" t="inlineStr">
        <is>
          <t>E</t>
        </is>
      </c>
      <c r="E56" s="13" t="inlineStr">
        <is>
          <t>Arquitectura</t>
        </is>
      </c>
      <c r="F56" s="13" t="n">
        <v>14</v>
      </c>
      <c r="G56" s="13" t="n">
        <v>14</v>
      </c>
      <c r="H56" s="13">
        <f>G56-F56+1</f>
        <v/>
      </c>
      <c r="I56" s="31" t="n">
        <v>240</v>
      </c>
      <c r="J56" s="13" t="inlineStr">
        <is>
          <t>Con entregable (detalle por planificación gradual)</t>
        </is>
      </c>
      <c r="K56" s="34">
        <f>IF(AND(K$5&gt;=$F56,K$5&lt;=$G56),2,"")</f>
        <v/>
      </c>
      <c r="L56" s="34">
        <f>IF(AND(L$5&gt;=$F56,L$5&lt;=$G56),2,"")</f>
        <v/>
      </c>
      <c r="M56" s="34">
        <f>IF(AND(M$5&gt;=$F56,M$5&lt;=$G56),2,"")</f>
        <v/>
      </c>
      <c r="N56" s="34">
        <f>IF(AND(N$5&gt;=$F56,N$5&lt;=$G56),2,"")</f>
        <v/>
      </c>
      <c r="O56" s="34">
        <f>IF(AND(O$5&gt;=$F56,O$5&lt;=$G56),2,"")</f>
        <v/>
      </c>
      <c r="P56" s="34">
        <f>IF(AND(P$5&gt;=$F56,P$5&lt;=$G56),2,"")</f>
        <v/>
      </c>
      <c r="Q56" s="34">
        <f>IF(AND(Q$5&gt;=$F56,Q$5&lt;=$G56),2,"")</f>
        <v/>
      </c>
      <c r="R56" s="34">
        <f>IF(AND(R$5&gt;=$F56,R$5&lt;=$G56),2,"")</f>
        <v/>
      </c>
      <c r="S56" s="34">
        <f>IF(AND(S$5&gt;=$F56,S$5&lt;=$G56),2,"")</f>
        <v/>
      </c>
      <c r="T56" s="34">
        <f>IF(AND(T$5&gt;=$F56,T$5&lt;=$G56),2,"")</f>
        <v/>
      </c>
      <c r="U56" s="34">
        <f>IF(AND(U$5&gt;=$F56,U$5&lt;=$G56),2,"")</f>
        <v/>
      </c>
      <c r="V56" s="34">
        <f>IF(AND(V$5&gt;=$F56,V$5&lt;=$G56),2,"")</f>
        <v/>
      </c>
      <c r="W56" s="34">
        <f>IF(AND(W$5&gt;=$F56,W$5&lt;=$G56),2,"")</f>
        <v/>
      </c>
      <c r="X56" s="34">
        <f>IF(AND(X$5&gt;=$F56,X$5&lt;=$G56),2,"")</f>
        <v/>
      </c>
      <c r="Y56" s="34">
        <f>IF(AND(Y$5&gt;=$F56,Y$5&lt;=$G56),2,"")</f>
        <v/>
      </c>
      <c r="Z56" s="34">
        <f>IF(AND(Z$5&gt;=$F56,Z$5&lt;=$G56),2,"")</f>
        <v/>
      </c>
      <c r="AA56" s="34">
        <f>IF(AND(AA$5&gt;=$F56,AA$5&lt;=$G56),2,"")</f>
        <v/>
      </c>
      <c r="AB56" s="34">
        <f>IF(AND(AB$5&gt;=$F56,AB$5&lt;=$G56),2,"")</f>
        <v/>
      </c>
      <c r="AC56" s="34">
        <f>IF(AND(AC$5&gt;=$F56,AC$5&lt;=$G56),2,"")</f>
        <v/>
      </c>
      <c r="AD56" s="34">
        <f>IF(AND(AD$5&gt;=$F56,AD$5&lt;=$G56),2,"")</f>
        <v/>
      </c>
      <c r="AE56" s="34">
        <f>IF(AND(AE$5&gt;=$F56,AE$5&lt;=$G56),2,"")</f>
        <v/>
      </c>
      <c r="AF56" s="34">
        <f>IF(AND(AF$5&gt;=$F56,AF$5&lt;=$G56),2,"")</f>
        <v/>
      </c>
      <c r="AG56" s="34">
        <f>IF(AND(AG$5&gt;=$F56,AG$5&lt;=$G56),2,"")</f>
        <v/>
      </c>
      <c r="AH56" s="34">
        <f>IF(AND(AH$5&gt;=$F56,AH$5&lt;=$G56),2,"")</f>
        <v/>
      </c>
      <c r="AI56" s="34">
        <f>IF(AND(AI$5&gt;=$F56,AI$5&lt;=$G56),2,"")</f>
        <v/>
      </c>
      <c r="AJ56" s="34">
        <f>IF(AND(AJ$5&gt;=$F56,AJ$5&lt;=$G56),2,"")</f>
        <v/>
      </c>
      <c r="AK56" s="34">
        <f>IF(AND(AK$5&gt;=$F56,AK$5&lt;=$G56),2,"")</f>
        <v/>
      </c>
      <c r="AL56" s="34">
        <f>IF(AND(AL$5&gt;=$F56,AL$5&lt;=$G56),2,"")</f>
        <v/>
      </c>
      <c r="AM56" s="34">
        <f>IF(AND(AM$5&gt;=$F56,AM$5&lt;=$G56),2,"")</f>
        <v/>
      </c>
      <c r="AN56" s="34">
        <f>IF(AND(AN$5&gt;=$F56,AN$5&lt;=$G56),2,"")</f>
        <v/>
      </c>
      <c r="AO56" s="34">
        <f>IF(AND(AO$5&gt;=$F56,AO$5&lt;=$G56),2,"")</f>
        <v/>
      </c>
      <c r="AP56" s="34">
        <f>IF(AND(AP$5&gt;=$F56,AP$5&lt;=$G56),2,"")</f>
        <v/>
      </c>
      <c r="AQ56" s="34">
        <f>IF(AND(AQ$5&gt;=$F56,AQ$5&lt;=$G56),2,"")</f>
        <v/>
      </c>
      <c r="AR56" s="34">
        <f>IF(AND(AR$5&gt;=$F56,AR$5&lt;=$G56),2,"")</f>
        <v/>
      </c>
      <c r="AS56" s="34">
        <f>IF(AND(AS$5&gt;=$F56,AS$5&lt;=$G56),2,"")</f>
        <v/>
      </c>
      <c r="AT56" s="34">
        <f>IF(AND(AT$5&gt;=$F56,AT$5&lt;=$G56),2,"")</f>
        <v/>
      </c>
      <c r="AU56" s="34">
        <f>IF(AND(AU$5&gt;=$F56,AU$5&lt;=$G56),2,"")</f>
        <v/>
      </c>
      <c r="AV56" s="34">
        <f>IF(AND(AV$5&gt;=$F56,AV$5&lt;=$G56),2,"")</f>
        <v/>
      </c>
      <c r="AW56" s="34">
        <f>IF(AND(AW$5&gt;=$F56,AW$5&lt;=$G56),2,"")</f>
        <v/>
      </c>
      <c r="AX56" s="34">
        <f>IF(AND(AX$5&gt;=$F56,AX$5&lt;=$G56),2,"")</f>
        <v/>
      </c>
      <c r="AY56" s="34">
        <f>IF(AND(AY$5&gt;=$F56,AY$5&lt;=$G56),2,"")</f>
        <v/>
      </c>
      <c r="AZ56" s="34">
        <f>IF(AND(AZ$5&gt;=$F56,AZ$5&lt;=$G56),2,"")</f>
        <v/>
      </c>
      <c r="BA56" s="34">
        <f>IF(AND(BA$5&gt;=$F56,BA$5&lt;=$G56),2,"")</f>
        <v/>
      </c>
      <c r="BB56" s="34">
        <f>IF(AND(BB$5&gt;=$F56,BB$5&lt;=$G56),2,"")</f>
        <v/>
      </c>
      <c r="BC56" s="34">
        <f>IF(AND(BC$5&gt;=$F56,BC$5&lt;=$G56),2,"")</f>
        <v/>
      </c>
      <c r="BD56" s="34">
        <f>IF(AND(BD$5&gt;=$F56,BD$5&lt;=$G56),2,"")</f>
        <v/>
      </c>
      <c r="BE56" s="34">
        <f>IF(AND(BE$5&gt;=$F56,BE$5&lt;=$G56),2,"")</f>
        <v/>
      </c>
      <c r="BF56" s="34">
        <f>IF(AND(BF$5&gt;=$F56,BF$5&lt;=$G56),2,"")</f>
        <v/>
      </c>
      <c r="BG56" s="34">
        <f>IF(AND(BG$5&gt;=$F56,BG$5&lt;=$G56),2,"")</f>
        <v/>
      </c>
      <c r="BH56" s="34">
        <f>IF(AND(BH$5&gt;=$F56,BH$5&lt;=$G56),2,"")</f>
        <v/>
      </c>
      <c r="BI56" s="34">
        <f>IF(AND(BI$5&gt;=$F56,BI$5&lt;=$G56),2,"")</f>
        <v/>
      </c>
      <c r="BJ56" s="34">
        <f>IF(AND(BJ$5&gt;=$F56,BJ$5&lt;=$G56),2,"")</f>
        <v/>
      </c>
      <c r="BK56" s="34">
        <f>IF(AND(BK$5&gt;=$F56,BK$5&lt;=$G56),2,"")</f>
        <v/>
      </c>
      <c r="BL56" s="34">
        <f>IF(AND(BL$5&gt;=$F56,BL$5&lt;=$G56),2,"")</f>
        <v/>
      </c>
      <c r="BM56" s="34">
        <f>IF(AND(BM$5&gt;=$F56,BM$5&lt;=$G56),2,"")</f>
        <v/>
      </c>
      <c r="BN56" s="34">
        <f>IF(AND(BN$5&gt;=$F56,BN$5&lt;=$G56),2,"")</f>
        <v/>
      </c>
    </row>
    <row r="57" ht="14.25" customHeight="1" s="36">
      <c r="A57" s="13" t="inlineStr">
        <is>
          <t>2 Elaboración</t>
        </is>
      </c>
      <c r="B57" s="13" t="inlineStr">
        <is>
          <t>2.5.1</t>
        </is>
      </c>
      <c r="C57" s="13" t="inlineStr">
        <is>
          <t>Plan de continuidad del negocio según ISO 22301, con análisis de impacto y procedimientos manuales</t>
        </is>
      </c>
      <c r="D57" s="13" t="inlineStr">
        <is>
          <t>E</t>
        </is>
      </c>
      <c r="E57" s="13" t="inlineStr">
        <is>
          <t>Operación / SRE</t>
        </is>
      </c>
      <c r="F57" s="13" t="n">
        <v>3</v>
      </c>
      <c r="G57" s="13" t="n">
        <v>3</v>
      </c>
      <c r="H57" s="13">
        <f>G57-F57+1</f>
        <v/>
      </c>
      <c r="I57" s="31" t="n">
        <v>240</v>
      </c>
      <c r="J57" s="13" t="inlineStr">
        <is>
          <t>Con entregable (actividades en hoja «Actividades hasta H2»)</t>
        </is>
      </c>
      <c r="K57" s="34">
        <f>IF(AND(K$5&gt;=$F57,K$5&lt;=$G57),2,"")</f>
        <v/>
      </c>
      <c r="L57" s="34">
        <f>IF(AND(L$5&gt;=$F57,L$5&lt;=$G57),2,"")</f>
        <v/>
      </c>
      <c r="M57" s="34">
        <f>IF(AND(M$5&gt;=$F57,M$5&lt;=$G57),2,"")</f>
        <v/>
      </c>
      <c r="N57" s="34">
        <f>IF(AND(N$5&gt;=$F57,N$5&lt;=$G57),2,"")</f>
        <v/>
      </c>
      <c r="O57" s="34">
        <f>IF(AND(O$5&gt;=$F57,O$5&lt;=$G57),2,"")</f>
        <v/>
      </c>
      <c r="P57" s="34">
        <f>IF(AND(P$5&gt;=$F57,P$5&lt;=$G57),2,"")</f>
        <v/>
      </c>
      <c r="Q57" s="34">
        <f>IF(AND(Q$5&gt;=$F57,Q$5&lt;=$G57),2,"")</f>
        <v/>
      </c>
      <c r="R57" s="34">
        <f>IF(AND(R$5&gt;=$F57,R$5&lt;=$G57),2,"")</f>
        <v/>
      </c>
      <c r="S57" s="34">
        <f>IF(AND(S$5&gt;=$F57,S$5&lt;=$G57),2,"")</f>
        <v/>
      </c>
      <c r="T57" s="34">
        <f>IF(AND(T$5&gt;=$F57,T$5&lt;=$G57),2,"")</f>
        <v/>
      </c>
      <c r="U57" s="34">
        <f>IF(AND(U$5&gt;=$F57,U$5&lt;=$G57),2,"")</f>
        <v/>
      </c>
      <c r="V57" s="34">
        <f>IF(AND(V$5&gt;=$F57,V$5&lt;=$G57),2,"")</f>
        <v/>
      </c>
      <c r="W57" s="34">
        <f>IF(AND(W$5&gt;=$F57,W$5&lt;=$G57),2,"")</f>
        <v/>
      </c>
      <c r="X57" s="34">
        <f>IF(AND(X$5&gt;=$F57,X$5&lt;=$G57),2,"")</f>
        <v/>
      </c>
      <c r="Y57" s="34">
        <f>IF(AND(Y$5&gt;=$F57,Y$5&lt;=$G57),2,"")</f>
        <v/>
      </c>
      <c r="Z57" s="34">
        <f>IF(AND(Z$5&gt;=$F57,Z$5&lt;=$G57),2,"")</f>
        <v/>
      </c>
      <c r="AA57" s="34">
        <f>IF(AND(AA$5&gt;=$F57,AA$5&lt;=$G57),2,"")</f>
        <v/>
      </c>
      <c r="AB57" s="34">
        <f>IF(AND(AB$5&gt;=$F57,AB$5&lt;=$G57),2,"")</f>
        <v/>
      </c>
      <c r="AC57" s="34">
        <f>IF(AND(AC$5&gt;=$F57,AC$5&lt;=$G57),2,"")</f>
        <v/>
      </c>
      <c r="AD57" s="34">
        <f>IF(AND(AD$5&gt;=$F57,AD$5&lt;=$G57),2,"")</f>
        <v/>
      </c>
      <c r="AE57" s="34">
        <f>IF(AND(AE$5&gt;=$F57,AE$5&lt;=$G57),2,"")</f>
        <v/>
      </c>
      <c r="AF57" s="34">
        <f>IF(AND(AF$5&gt;=$F57,AF$5&lt;=$G57),2,"")</f>
        <v/>
      </c>
      <c r="AG57" s="34">
        <f>IF(AND(AG$5&gt;=$F57,AG$5&lt;=$G57),2,"")</f>
        <v/>
      </c>
      <c r="AH57" s="34">
        <f>IF(AND(AH$5&gt;=$F57,AH$5&lt;=$G57),2,"")</f>
        <v/>
      </c>
      <c r="AI57" s="34">
        <f>IF(AND(AI$5&gt;=$F57,AI$5&lt;=$G57),2,"")</f>
        <v/>
      </c>
      <c r="AJ57" s="34">
        <f>IF(AND(AJ$5&gt;=$F57,AJ$5&lt;=$G57),2,"")</f>
        <v/>
      </c>
      <c r="AK57" s="34">
        <f>IF(AND(AK$5&gt;=$F57,AK$5&lt;=$G57),2,"")</f>
        <v/>
      </c>
      <c r="AL57" s="34">
        <f>IF(AND(AL$5&gt;=$F57,AL$5&lt;=$G57),2,"")</f>
        <v/>
      </c>
      <c r="AM57" s="34">
        <f>IF(AND(AM$5&gt;=$F57,AM$5&lt;=$G57),2,"")</f>
        <v/>
      </c>
      <c r="AN57" s="34">
        <f>IF(AND(AN$5&gt;=$F57,AN$5&lt;=$G57),2,"")</f>
        <v/>
      </c>
      <c r="AO57" s="34">
        <f>IF(AND(AO$5&gt;=$F57,AO$5&lt;=$G57),2,"")</f>
        <v/>
      </c>
      <c r="AP57" s="34">
        <f>IF(AND(AP$5&gt;=$F57,AP$5&lt;=$G57),2,"")</f>
        <v/>
      </c>
      <c r="AQ57" s="34">
        <f>IF(AND(AQ$5&gt;=$F57,AQ$5&lt;=$G57),2,"")</f>
        <v/>
      </c>
      <c r="AR57" s="34">
        <f>IF(AND(AR$5&gt;=$F57,AR$5&lt;=$G57),2,"")</f>
        <v/>
      </c>
      <c r="AS57" s="34">
        <f>IF(AND(AS$5&gt;=$F57,AS$5&lt;=$G57),2,"")</f>
        <v/>
      </c>
      <c r="AT57" s="34">
        <f>IF(AND(AT$5&gt;=$F57,AT$5&lt;=$G57),2,"")</f>
        <v/>
      </c>
      <c r="AU57" s="34">
        <f>IF(AND(AU$5&gt;=$F57,AU$5&lt;=$G57),2,"")</f>
        <v/>
      </c>
      <c r="AV57" s="34">
        <f>IF(AND(AV$5&gt;=$F57,AV$5&lt;=$G57),2,"")</f>
        <v/>
      </c>
      <c r="AW57" s="34">
        <f>IF(AND(AW$5&gt;=$F57,AW$5&lt;=$G57),2,"")</f>
        <v/>
      </c>
      <c r="AX57" s="34">
        <f>IF(AND(AX$5&gt;=$F57,AX$5&lt;=$G57),2,"")</f>
        <v/>
      </c>
      <c r="AY57" s="34">
        <f>IF(AND(AY$5&gt;=$F57,AY$5&lt;=$G57),2,"")</f>
        <v/>
      </c>
      <c r="AZ57" s="34">
        <f>IF(AND(AZ$5&gt;=$F57,AZ$5&lt;=$G57),2,"")</f>
        <v/>
      </c>
      <c r="BA57" s="34">
        <f>IF(AND(BA$5&gt;=$F57,BA$5&lt;=$G57),2,"")</f>
        <v/>
      </c>
      <c r="BB57" s="34">
        <f>IF(AND(BB$5&gt;=$F57,BB$5&lt;=$G57),2,"")</f>
        <v/>
      </c>
      <c r="BC57" s="34">
        <f>IF(AND(BC$5&gt;=$F57,BC$5&lt;=$G57),2,"")</f>
        <v/>
      </c>
      <c r="BD57" s="34">
        <f>IF(AND(BD$5&gt;=$F57,BD$5&lt;=$G57),2,"")</f>
        <v/>
      </c>
      <c r="BE57" s="34">
        <f>IF(AND(BE$5&gt;=$F57,BE$5&lt;=$G57),2,"")</f>
        <v/>
      </c>
      <c r="BF57" s="34">
        <f>IF(AND(BF$5&gt;=$F57,BF$5&lt;=$G57),2,"")</f>
        <v/>
      </c>
      <c r="BG57" s="34">
        <f>IF(AND(BG$5&gt;=$F57,BG$5&lt;=$G57),2,"")</f>
        <v/>
      </c>
      <c r="BH57" s="34">
        <f>IF(AND(BH$5&gt;=$F57,BH$5&lt;=$G57),2,"")</f>
        <v/>
      </c>
      <c r="BI57" s="34">
        <f>IF(AND(BI$5&gt;=$F57,BI$5&lt;=$G57),2,"")</f>
        <v/>
      </c>
      <c r="BJ57" s="34">
        <f>IF(AND(BJ$5&gt;=$F57,BJ$5&lt;=$G57),2,"")</f>
        <v/>
      </c>
      <c r="BK57" s="34">
        <f>IF(AND(BK$5&gt;=$F57,BK$5&lt;=$G57),2,"")</f>
        <v/>
      </c>
      <c r="BL57" s="34">
        <f>IF(AND(BL$5&gt;=$F57,BL$5&lt;=$G57),2,"")</f>
        <v/>
      </c>
      <c r="BM57" s="34">
        <f>IF(AND(BM$5&gt;=$F57,BM$5&lt;=$G57),2,"")</f>
        <v/>
      </c>
      <c r="BN57" s="34">
        <f>IF(AND(BN$5&gt;=$F57,BN$5&lt;=$G57),2,"")</f>
        <v/>
      </c>
    </row>
    <row r="58" ht="14.25" customHeight="1" s="36">
      <c r="A58" s="13" t="inlineStr">
        <is>
          <t>2 Elaboración</t>
        </is>
      </c>
      <c r="B58" s="13" t="inlineStr">
        <is>
          <t>2.5.2</t>
        </is>
      </c>
      <c r="C58" s="13" t="inlineStr">
        <is>
          <t>Plan de continuidad TIC según ISO/IEC 27031 y plan de recuperación ante desastres</t>
        </is>
      </c>
      <c r="D58" s="13" t="inlineStr">
        <is>
          <t>E</t>
        </is>
      </c>
      <c r="E58" s="13" t="inlineStr">
        <is>
          <t>Operación / SRE</t>
        </is>
      </c>
      <c r="F58" s="13" t="n">
        <v>3</v>
      </c>
      <c r="G58" s="13" t="n">
        <v>3</v>
      </c>
      <c r="H58" s="13">
        <f>G58-F58+1</f>
        <v/>
      </c>
      <c r="I58" s="31" t="n">
        <v>240</v>
      </c>
      <c r="J58" s="13" t="inlineStr">
        <is>
          <t>Con entregable (actividades en hoja «Actividades hasta H2»)</t>
        </is>
      </c>
      <c r="K58" s="34">
        <f>IF(AND(K$5&gt;=$F58,K$5&lt;=$G58),2,"")</f>
        <v/>
      </c>
      <c r="L58" s="34">
        <f>IF(AND(L$5&gt;=$F58,L$5&lt;=$G58),2,"")</f>
        <v/>
      </c>
      <c r="M58" s="34">
        <f>IF(AND(M$5&gt;=$F58,M$5&lt;=$G58),2,"")</f>
        <v/>
      </c>
      <c r="N58" s="34">
        <f>IF(AND(N$5&gt;=$F58,N$5&lt;=$G58),2,"")</f>
        <v/>
      </c>
      <c r="O58" s="34">
        <f>IF(AND(O$5&gt;=$F58,O$5&lt;=$G58),2,"")</f>
        <v/>
      </c>
      <c r="P58" s="34">
        <f>IF(AND(P$5&gt;=$F58,P$5&lt;=$G58),2,"")</f>
        <v/>
      </c>
      <c r="Q58" s="34">
        <f>IF(AND(Q$5&gt;=$F58,Q$5&lt;=$G58),2,"")</f>
        <v/>
      </c>
      <c r="R58" s="34">
        <f>IF(AND(R$5&gt;=$F58,R$5&lt;=$G58),2,"")</f>
        <v/>
      </c>
      <c r="S58" s="34">
        <f>IF(AND(S$5&gt;=$F58,S$5&lt;=$G58),2,"")</f>
        <v/>
      </c>
      <c r="T58" s="34">
        <f>IF(AND(T$5&gt;=$F58,T$5&lt;=$G58),2,"")</f>
        <v/>
      </c>
      <c r="U58" s="34">
        <f>IF(AND(U$5&gt;=$F58,U$5&lt;=$G58),2,"")</f>
        <v/>
      </c>
      <c r="V58" s="34">
        <f>IF(AND(V$5&gt;=$F58,V$5&lt;=$G58),2,"")</f>
        <v/>
      </c>
      <c r="W58" s="34">
        <f>IF(AND(W$5&gt;=$F58,W$5&lt;=$G58),2,"")</f>
        <v/>
      </c>
      <c r="X58" s="34">
        <f>IF(AND(X$5&gt;=$F58,X$5&lt;=$G58),2,"")</f>
        <v/>
      </c>
      <c r="Y58" s="34">
        <f>IF(AND(Y$5&gt;=$F58,Y$5&lt;=$G58),2,"")</f>
        <v/>
      </c>
      <c r="Z58" s="34">
        <f>IF(AND(Z$5&gt;=$F58,Z$5&lt;=$G58),2,"")</f>
        <v/>
      </c>
      <c r="AA58" s="34">
        <f>IF(AND(AA$5&gt;=$F58,AA$5&lt;=$G58),2,"")</f>
        <v/>
      </c>
      <c r="AB58" s="34">
        <f>IF(AND(AB$5&gt;=$F58,AB$5&lt;=$G58),2,"")</f>
        <v/>
      </c>
      <c r="AC58" s="34">
        <f>IF(AND(AC$5&gt;=$F58,AC$5&lt;=$G58),2,"")</f>
        <v/>
      </c>
      <c r="AD58" s="34">
        <f>IF(AND(AD$5&gt;=$F58,AD$5&lt;=$G58),2,"")</f>
        <v/>
      </c>
      <c r="AE58" s="34">
        <f>IF(AND(AE$5&gt;=$F58,AE$5&lt;=$G58),2,"")</f>
        <v/>
      </c>
      <c r="AF58" s="34">
        <f>IF(AND(AF$5&gt;=$F58,AF$5&lt;=$G58),2,"")</f>
        <v/>
      </c>
      <c r="AG58" s="34">
        <f>IF(AND(AG$5&gt;=$F58,AG$5&lt;=$G58),2,"")</f>
        <v/>
      </c>
      <c r="AH58" s="34">
        <f>IF(AND(AH$5&gt;=$F58,AH$5&lt;=$G58),2,"")</f>
        <v/>
      </c>
      <c r="AI58" s="34">
        <f>IF(AND(AI$5&gt;=$F58,AI$5&lt;=$G58),2,"")</f>
        <v/>
      </c>
      <c r="AJ58" s="34">
        <f>IF(AND(AJ$5&gt;=$F58,AJ$5&lt;=$G58),2,"")</f>
        <v/>
      </c>
      <c r="AK58" s="34">
        <f>IF(AND(AK$5&gt;=$F58,AK$5&lt;=$G58),2,"")</f>
        <v/>
      </c>
      <c r="AL58" s="34">
        <f>IF(AND(AL$5&gt;=$F58,AL$5&lt;=$G58),2,"")</f>
        <v/>
      </c>
      <c r="AM58" s="34">
        <f>IF(AND(AM$5&gt;=$F58,AM$5&lt;=$G58),2,"")</f>
        <v/>
      </c>
      <c r="AN58" s="34">
        <f>IF(AND(AN$5&gt;=$F58,AN$5&lt;=$G58),2,"")</f>
        <v/>
      </c>
      <c r="AO58" s="34">
        <f>IF(AND(AO$5&gt;=$F58,AO$5&lt;=$G58),2,"")</f>
        <v/>
      </c>
      <c r="AP58" s="34">
        <f>IF(AND(AP$5&gt;=$F58,AP$5&lt;=$G58),2,"")</f>
        <v/>
      </c>
      <c r="AQ58" s="34">
        <f>IF(AND(AQ$5&gt;=$F58,AQ$5&lt;=$G58),2,"")</f>
        <v/>
      </c>
      <c r="AR58" s="34">
        <f>IF(AND(AR$5&gt;=$F58,AR$5&lt;=$G58),2,"")</f>
        <v/>
      </c>
      <c r="AS58" s="34">
        <f>IF(AND(AS$5&gt;=$F58,AS$5&lt;=$G58),2,"")</f>
        <v/>
      </c>
      <c r="AT58" s="34">
        <f>IF(AND(AT$5&gt;=$F58,AT$5&lt;=$G58),2,"")</f>
        <v/>
      </c>
      <c r="AU58" s="34">
        <f>IF(AND(AU$5&gt;=$F58,AU$5&lt;=$G58),2,"")</f>
        <v/>
      </c>
      <c r="AV58" s="34">
        <f>IF(AND(AV$5&gt;=$F58,AV$5&lt;=$G58),2,"")</f>
        <v/>
      </c>
      <c r="AW58" s="34">
        <f>IF(AND(AW$5&gt;=$F58,AW$5&lt;=$G58),2,"")</f>
        <v/>
      </c>
      <c r="AX58" s="34">
        <f>IF(AND(AX$5&gt;=$F58,AX$5&lt;=$G58),2,"")</f>
        <v/>
      </c>
      <c r="AY58" s="34">
        <f>IF(AND(AY$5&gt;=$F58,AY$5&lt;=$G58),2,"")</f>
        <v/>
      </c>
      <c r="AZ58" s="34">
        <f>IF(AND(AZ$5&gt;=$F58,AZ$5&lt;=$G58),2,"")</f>
        <v/>
      </c>
      <c r="BA58" s="34">
        <f>IF(AND(BA$5&gt;=$F58,BA$5&lt;=$G58),2,"")</f>
        <v/>
      </c>
      <c r="BB58" s="34">
        <f>IF(AND(BB$5&gt;=$F58,BB$5&lt;=$G58),2,"")</f>
        <v/>
      </c>
      <c r="BC58" s="34">
        <f>IF(AND(BC$5&gt;=$F58,BC$5&lt;=$G58),2,"")</f>
        <v/>
      </c>
      <c r="BD58" s="34">
        <f>IF(AND(BD$5&gt;=$F58,BD$5&lt;=$G58),2,"")</f>
        <v/>
      </c>
      <c r="BE58" s="34">
        <f>IF(AND(BE$5&gt;=$F58,BE$5&lt;=$G58),2,"")</f>
        <v/>
      </c>
      <c r="BF58" s="34">
        <f>IF(AND(BF$5&gt;=$F58,BF$5&lt;=$G58),2,"")</f>
        <v/>
      </c>
      <c r="BG58" s="34">
        <f>IF(AND(BG$5&gt;=$F58,BG$5&lt;=$G58),2,"")</f>
        <v/>
      </c>
      <c r="BH58" s="34">
        <f>IF(AND(BH$5&gt;=$F58,BH$5&lt;=$G58),2,"")</f>
        <v/>
      </c>
      <c r="BI58" s="34">
        <f>IF(AND(BI$5&gt;=$F58,BI$5&lt;=$G58),2,"")</f>
        <v/>
      </c>
      <c r="BJ58" s="34">
        <f>IF(AND(BJ$5&gt;=$F58,BJ$5&lt;=$G58),2,"")</f>
        <v/>
      </c>
      <c r="BK58" s="34">
        <f>IF(AND(BK$5&gt;=$F58,BK$5&lt;=$G58),2,"")</f>
        <v/>
      </c>
      <c r="BL58" s="34">
        <f>IF(AND(BL$5&gt;=$F58,BL$5&lt;=$G58),2,"")</f>
        <v/>
      </c>
      <c r="BM58" s="34">
        <f>IF(AND(BM$5&gt;=$F58,BM$5&lt;=$G58),2,"")</f>
        <v/>
      </c>
      <c r="BN58" s="34">
        <f>IF(AND(BN$5&gt;=$F58,BN$5&lt;=$G58),2,"")</f>
        <v/>
      </c>
    </row>
    <row r="59" ht="14.25" customHeight="1" s="36">
      <c r="A59" s="13" t="inlineStr">
        <is>
          <t>2 Elaboración</t>
        </is>
      </c>
      <c r="B59" s="13" t="inlineStr">
        <is>
          <t>2.6.1</t>
        </is>
      </c>
      <c r="C59" s="13" t="inlineStr">
        <is>
          <t>Investigación con preparadores, preventistas, conductores y almaceneros</t>
        </is>
      </c>
      <c r="D59" s="13" t="inlineStr">
        <is>
          <t>E</t>
        </is>
      </c>
      <c r="E59" s="13" t="inlineStr">
        <is>
          <t>Implantación y gestión del cambio</t>
        </is>
      </c>
      <c r="F59" s="13" t="n">
        <v>2</v>
      </c>
      <c r="G59" s="13" t="n">
        <v>2</v>
      </c>
      <c r="H59" s="13">
        <f>G59-F59+1</f>
        <v/>
      </c>
      <c r="I59" s="31" t="n">
        <v>240</v>
      </c>
      <c r="J59" s="13" t="inlineStr">
        <is>
          <t>Con entregable (actividades en hoja «Actividades hasta H2»)</t>
        </is>
      </c>
      <c r="K59" s="34">
        <f>IF(AND(K$5&gt;=$F59,K$5&lt;=$G59),2,"")</f>
        <v/>
      </c>
      <c r="L59" s="34">
        <f>IF(AND(L$5&gt;=$F59,L$5&lt;=$G59),2,"")</f>
        <v/>
      </c>
      <c r="M59" s="34">
        <f>IF(AND(M$5&gt;=$F59,M$5&lt;=$G59),2,"")</f>
        <v/>
      </c>
      <c r="N59" s="34">
        <f>IF(AND(N$5&gt;=$F59,N$5&lt;=$G59),2,"")</f>
        <v/>
      </c>
      <c r="O59" s="34">
        <f>IF(AND(O$5&gt;=$F59,O$5&lt;=$G59),2,"")</f>
        <v/>
      </c>
      <c r="P59" s="34">
        <f>IF(AND(P$5&gt;=$F59,P$5&lt;=$G59),2,"")</f>
        <v/>
      </c>
      <c r="Q59" s="34">
        <f>IF(AND(Q$5&gt;=$F59,Q$5&lt;=$G59),2,"")</f>
        <v/>
      </c>
      <c r="R59" s="34">
        <f>IF(AND(R$5&gt;=$F59,R$5&lt;=$G59),2,"")</f>
        <v/>
      </c>
      <c r="S59" s="34">
        <f>IF(AND(S$5&gt;=$F59,S$5&lt;=$G59),2,"")</f>
        <v/>
      </c>
      <c r="T59" s="34">
        <f>IF(AND(T$5&gt;=$F59,T$5&lt;=$G59),2,"")</f>
        <v/>
      </c>
      <c r="U59" s="34">
        <f>IF(AND(U$5&gt;=$F59,U$5&lt;=$G59),2,"")</f>
        <v/>
      </c>
      <c r="V59" s="34">
        <f>IF(AND(V$5&gt;=$F59,V$5&lt;=$G59),2,"")</f>
        <v/>
      </c>
      <c r="W59" s="34">
        <f>IF(AND(W$5&gt;=$F59,W$5&lt;=$G59),2,"")</f>
        <v/>
      </c>
      <c r="X59" s="34">
        <f>IF(AND(X$5&gt;=$F59,X$5&lt;=$G59),2,"")</f>
        <v/>
      </c>
      <c r="Y59" s="34">
        <f>IF(AND(Y$5&gt;=$F59,Y$5&lt;=$G59),2,"")</f>
        <v/>
      </c>
      <c r="Z59" s="34">
        <f>IF(AND(Z$5&gt;=$F59,Z$5&lt;=$G59),2,"")</f>
        <v/>
      </c>
      <c r="AA59" s="34">
        <f>IF(AND(AA$5&gt;=$F59,AA$5&lt;=$G59),2,"")</f>
        <v/>
      </c>
      <c r="AB59" s="34">
        <f>IF(AND(AB$5&gt;=$F59,AB$5&lt;=$G59),2,"")</f>
        <v/>
      </c>
      <c r="AC59" s="34">
        <f>IF(AND(AC$5&gt;=$F59,AC$5&lt;=$G59),2,"")</f>
        <v/>
      </c>
      <c r="AD59" s="34">
        <f>IF(AND(AD$5&gt;=$F59,AD$5&lt;=$G59),2,"")</f>
        <v/>
      </c>
      <c r="AE59" s="34">
        <f>IF(AND(AE$5&gt;=$F59,AE$5&lt;=$G59),2,"")</f>
        <v/>
      </c>
      <c r="AF59" s="34">
        <f>IF(AND(AF$5&gt;=$F59,AF$5&lt;=$G59),2,"")</f>
        <v/>
      </c>
      <c r="AG59" s="34">
        <f>IF(AND(AG$5&gt;=$F59,AG$5&lt;=$G59),2,"")</f>
        <v/>
      </c>
      <c r="AH59" s="34">
        <f>IF(AND(AH$5&gt;=$F59,AH$5&lt;=$G59),2,"")</f>
        <v/>
      </c>
      <c r="AI59" s="34">
        <f>IF(AND(AI$5&gt;=$F59,AI$5&lt;=$G59),2,"")</f>
        <v/>
      </c>
      <c r="AJ59" s="34">
        <f>IF(AND(AJ$5&gt;=$F59,AJ$5&lt;=$G59),2,"")</f>
        <v/>
      </c>
      <c r="AK59" s="34">
        <f>IF(AND(AK$5&gt;=$F59,AK$5&lt;=$G59),2,"")</f>
        <v/>
      </c>
      <c r="AL59" s="34">
        <f>IF(AND(AL$5&gt;=$F59,AL$5&lt;=$G59),2,"")</f>
        <v/>
      </c>
      <c r="AM59" s="34">
        <f>IF(AND(AM$5&gt;=$F59,AM$5&lt;=$G59),2,"")</f>
        <v/>
      </c>
      <c r="AN59" s="34">
        <f>IF(AND(AN$5&gt;=$F59,AN$5&lt;=$G59),2,"")</f>
        <v/>
      </c>
      <c r="AO59" s="34">
        <f>IF(AND(AO$5&gt;=$F59,AO$5&lt;=$G59),2,"")</f>
        <v/>
      </c>
      <c r="AP59" s="34">
        <f>IF(AND(AP$5&gt;=$F59,AP$5&lt;=$G59),2,"")</f>
        <v/>
      </c>
      <c r="AQ59" s="34">
        <f>IF(AND(AQ$5&gt;=$F59,AQ$5&lt;=$G59),2,"")</f>
        <v/>
      </c>
      <c r="AR59" s="34">
        <f>IF(AND(AR$5&gt;=$F59,AR$5&lt;=$G59),2,"")</f>
        <v/>
      </c>
      <c r="AS59" s="34">
        <f>IF(AND(AS$5&gt;=$F59,AS$5&lt;=$G59),2,"")</f>
        <v/>
      </c>
      <c r="AT59" s="34">
        <f>IF(AND(AT$5&gt;=$F59,AT$5&lt;=$G59),2,"")</f>
        <v/>
      </c>
      <c r="AU59" s="34">
        <f>IF(AND(AU$5&gt;=$F59,AU$5&lt;=$G59),2,"")</f>
        <v/>
      </c>
      <c r="AV59" s="34">
        <f>IF(AND(AV$5&gt;=$F59,AV$5&lt;=$G59),2,"")</f>
        <v/>
      </c>
      <c r="AW59" s="34">
        <f>IF(AND(AW$5&gt;=$F59,AW$5&lt;=$G59),2,"")</f>
        <v/>
      </c>
      <c r="AX59" s="34">
        <f>IF(AND(AX$5&gt;=$F59,AX$5&lt;=$G59),2,"")</f>
        <v/>
      </c>
      <c r="AY59" s="34">
        <f>IF(AND(AY$5&gt;=$F59,AY$5&lt;=$G59),2,"")</f>
        <v/>
      </c>
      <c r="AZ59" s="34">
        <f>IF(AND(AZ$5&gt;=$F59,AZ$5&lt;=$G59),2,"")</f>
        <v/>
      </c>
      <c r="BA59" s="34">
        <f>IF(AND(BA$5&gt;=$F59,BA$5&lt;=$G59),2,"")</f>
        <v/>
      </c>
      <c r="BB59" s="34">
        <f>IF(AND(BB$5&gt;=$F59,BB$5&lt;=$G59),2,"")</f>
        <v/>
      </c>
      <c r="BC59" s="34">
        <f>IF(AND(BC$5&gt;=$F59,BC$5&lt;=$G59),2,"")</f>
        <v/>
      </c>
      <c r="BD59" s="34">
        <f>IF(AND(BD$5&gt;=$F59,BD$5&lt;=$G59),2,"")</f>
        <v/>
      </c>
      <c r="BE59" s="34">
        <f>IF(AND(BE$5&gt;=$F59,BE$5&lt;=$G59),2,"")</f>
        <v/>
      </c>
      <c r="BF59" s="34">
        <f>IF(AND(BF$5&gt;=$F59,BF$5&lt;=$G59),2,"")</f>
        <v/>
      </c>
      <c r="BG59" s="34">
        <f>IF(AND(BG$5&gt;=$F59,BG$5&lt;=$G59),2,"")</f>
        <v/>
      </c>
      <c r="BH59" s="34">
        <f>IF(AND(BH$5&gt;=$F59,BH$5&lt;=$G59),2,"")</f>
        <v/>
      </c>
      <c r="BI59" s="34">
        <f>IF(AND(BI$5&gt;=$F59,BI$5&lt;=$G59),2,"")</f>
        <v/>
      </c>
      <c r="BJ59" s="34">
        <f>IF(AND(BJ$5&gt;=$F59,BJ$5&lt;=$G59),2,"")</f>
        <v/>
      </c>
      <c r="BK59" s="34">
        <f>IF(AND(BK$5&gt;=$F59,BK$5&lt;=$G59),2,"")</f>
        <v/>
      </c>
      <c r="BL59" s="34">
        <f>IF(AND(BL$5&gt;=$F59,BL$5&lt;=$G59),2,"")</f>
        <v/>
      </c>
      <c r="BM59" s="34">
        <f>IF(AND(BM$5&gt;=$F59,BM$5&lt;=$G59),2,"")</f>
        <v/>
      </c>
      <c r="BN59" s="34">
        <f>IF(AND(BN$5&gt;=$F59,BN$5&lt;=$G59),2,"")</f>
        <v/>
      </c>
    </row>
    <row r="60" ht="14.25" customHeight="1" s="36">
      <c r="A60" s="13" t="inlineStr">
        <is>
          <t>2 Elaboración</t>
        </is>
      </c>
      <c r="B60" s="13" t="inlineStr">
        <is>
          <t>2.6.2</t>
        </is>
      </c>
      <c r="C60" s="13" t="inlineStr">
        <is>
          <t>Prototipos y pruebas de usabilidad con participantes del CLIENTE</t>
        </is>
      </c>
      <c r="D60" s="13" t="inlineStr">
        <is>
          <t>E</t>
        </is>
      </c>
      <c r="E60" s="13" t="inlineStr">
        <is>
          <t>Implantación y gestión del cambio</t>
        </is>
      </c>
      <c r="F60" s="13" t="n">
        <v>3</v>
      </c>
      <c r="G60" s="13" t="n">
        <v>3</v>
      </c>
      <c r="H60" s="13">
        <f>G60-F60+1</f>
        <v/>
      </c>
      <c r="I60" s="31" t="n">
        <v>240</v>
      </c>
      <c r="J60" s="13" t="inlineStr">
        <is>
          <t>Con entregable (actividades en hoja «Actividades hasta H2»)</t>
        </is>
      </c>
      <c r="K60" s="34">
        <f>IF(AND(K$5&gt;=$F60,K$5&lt;=$G60),2,"")</f>
        <v/>
      </c>
      <c r="L60" s="34">
        <f>IF(AND(L$5&gt;=$F60,L$5&lt;=$G60),2,"")</f>
        <v/>
      </c>
      <c r="M60" s="34">
        <f>IF(AND(M$5&gt;=$F60,M$5&lt;=$G60),2,"")</f>
        <v/>
      </c>
      <c r="N60" s="34">
        <f>IF(AND(N$5&gt;=$F60,N$5&lt;=$G60),2,"")</f>
        <v/>
      </c>
      <c r="O60" s="34">
        <f>IF(AND(O$5&gt;=$F60,O$5&lt;=$G60),2,"")</f>
        <v/>
      </c>
      <c r="P60" s="34">
        <f>IF(AND(P$5&gt;=$F60,P$5&lt;=$G60),2,"")</f>
        <v/>
      </c>
      <c r="Q60" s="34">
        <f>IF(AND(Q$5&gt;=$F60,Q$5&lt;=$G60),2,"")</f>
        <v/>
      </c>
      <c r="R60" s="34">
        <f>IF(AND(R$5&gt;=$F60,R$5&lt;=$G60),2,"")</f>
        <v/>
      </c>
      <c r="S60" s="34">
        <f>IF(AND(S$5&gt;=$F60,S$5&lt;=$G60),2,"")</f>
        <v/>
      </c>
      <c r="T60" s="34">
        <f>IF(AND(T$5&gt;=$F60,T$5&lt;=$G60),2,"")</f>
        <v/>
      </c>
      <c r="U60" s="34">
        <f>IF(AND(U$5&gt;=$F60,U$5&lt;=$G60),2,"")</f>
        <v/>
      </c>
      <c r="V60" s="34">
        <f>IF(AND(V$5&gt;=$F60,V$5&lt;=$G60),2,"")</f>
        <v/>
      </c>
      <c r="W60" s="34">
        <f>IF(AND(W$5&gt;=$F60,W$5&lt;=$G60),2,"")</f>
        <v/>
      </c>
      <c r="X60" s="34">
        <f>IF(AND(X$5&gt;=$F60,X$5&lt;=$G60),2,"")</f>
        <v/>
      </c>
      <c r="Y60" s="34">
        <f>IF(AND(Y$5&gt;=$F60,Y$5&lt;=$G60),2,"")</f>
        <v/>
      </c>
      <c r="Z60" s="34">
        <f>IF(AND(Z$5&gt;=$F60,Z$5&lt;=$G60),2,"")</f>
        <v/>
      </c>
      <c r="AA60" s="34">
        <f>IF(AND(AA$5&gt;=$F60,AA$5&lt;=$G60),2,"")</f>
        <v/>
      </c>
      <c r="AB60" s="34">
        <f>IF(AND(AB$5&gt;=$F60,AB$5&lt;=$G60),2,"")</f>
        <v/>
      </c>
      <c r="AC60" s="34">
        <f>IF(AND(AC$5&gt;=$F60,AC$5&lt;=$G60),2,"")</f>
        <v/>
      </c>
      <c r="AD60" s="34">
        <f>IF(AND(AD$5&gt;=$F60,AD$5&lt;=$G60),2,"")</f>
        <v/>
      </c>
      <c r="AE60" s="34">
        <f>IF(AND(AE$5&gt;=$F60,AE$5&lt;=$G60),2,"")</f>
        <v/>
      </c>
      <c r="AF60" s="34">
        <f>IF(AND(AF$5&gt;=$F60,AF$5&lt;=$G60),2,"")</f>
        <v/>
      </c>
      <c r="AG60" s="34">
        <f>IF(AND(AG$5&gt;=$F60,AG$5&lt;=$G60),2,"")</f>
        <v/>
      </c>
      <c r="AH60" s="34">
        <f>IF(AND(AH$5&gt;=$F60,AH$5&lt;=$G60),2,"")</f>
        <v/>
      </c>
      <c r="AI60" s="34">
        <f>IF(AND(AI$5&gt;=$F60,AI$5&lt;=$G60),2,"")</f>
        <v/>
      </c>
      <c r="AJ60" s="34">
        <f>IF(AND(AJ$5&gt;=$F60,AJ$5&lt;=$G60),2,"")</f>
        <v/>
      </c>
      <c r="AK60" s="34">
        <f>IF(AND(AK$5&gt;=$F60,AK$5&lt;=$G60),2,"")</f>
        <v/>
      </c>
      <c r="AL60" s="34">
        <f>IF(AND(AL$5&gt;=$F60,AL$5&lt;=$G60),2,"")</f>
        <v/>
      </c>
      <c r="AM60" s="34">
        <f>IF(AND(AM$5&gt;=$F60,AM$5&lt;=$G60),2,"")</f>
        <v/>
      </c>
      <c r="AN60" s="34">
        <f>IF(AND(AN$5&gt;=$F60,AN$5&lt;=$G60),2,"")</f>
        <v/>
      </c>
      <c r="AO60" s="34">
        <f>IF(AND(AO$5&gt;=$F60,AO$5&lt;=$G60),2,"")</f>
        <v/>
      </c>
      <c r="AP60" s="34">
        <f>IF(AND(AP$5&gt;=$F60,AP$5&lt;=$G60),2,"")</f>
        <v/>
      </c>
      <c r="AQ60" s="34">
        <f>IF(AND(AQ$5&gt;=$F60,AQ$5&lt;=$G60),2,"")</f>
        <v/>
      </c>
      <c r="AR60" s="34">
        <f>IF(AND(AR$5&gt;=$F60,AR$5&lt;=$G60),2,"")</f>
        <v/>
      </c>
      <c r="AS60" s="34">
        <f>IF(AND(AS$5&gt;=$F60,AS$5&lt;=$G60),2,"")</f>
        <v/>
      </c>
      <c r="AT60" s="34">
        <f>IF(AND(AT$5&gt;=$F60,AT$5&lt;=$G60),2,"")</f>
        <v/>
      </c>
      <c r="AU60" s="34">
        <f>IF(AND(AU$5&gt;=$F60,AU$5&lt;=$G60),2,"")</f>
        <v/>
      </c>
      <c r="AV60" s="34">
        <f>IF(AND(AV$5&gt;=$F60,AV$5&lt;=$G60),2,"")</f>
        <v/>
      </c>
      <c r="AW60" s="34">
        <f>IF(AND(AW$5&gt;=$F60,AW$5&lt;=$G60),2,"")</f>
        <v/>
      </c>
      <c r="AX60" s="34">
        <f>IF(AND(AX$5&gt;=$F60,AX$5&lt;=$G60),2,"")</f>
        <v/>
      </c>
      <c r="AY60" s="34">
        <f>IF(AND(AY$5&gt;=$F60,AY$5&lt;=$G60),2,"")</f>
        <v/>
      </c>
      <c r="AZ60" s="34">
        <f>IF(AND(AZ$5&gt;=$F60,AZ$5&lt;=$G60),2,"")</f>
        <v/>
      </c>
      <c r="BA60" s="34">
        <f>IF(AND(BA$5&gt;=$F60,BA$5&lt;=$G60),2,"")</f>
        <v/>
      </c>
      <c r="BB60" s="34">
        <f>IF(AND(BB$5&gt;=$F60,BB$5&lt;=$G60),2,"")</f>
        <v/>
      </c>
      <c r="BC60" s="34">
        <f>IF(AND(BC$5&gt;=$F60,BC$5&lt;=$G60),2,"")</f>
        <v/>
      </c>
      <c r="BD60" s="34">
        <f>IF(AND(BD$5&gt;=$F60,BD$5&lt;=$G60),2,"")</f>
        <v/>
      </c>
      <c r="BE60" s="34">
        <f>IF(AND(BE$5&gt;=$F60,BE$5&lt;=$G60),2,"")</f>
        <v/>
      </c>
      <c r="BF60" s="34">
        <f>IF(AND(BF$5&gt;=$F60,BF$5&lt;=$G60),2,"")</f>
        <v/>
      </c>
      <c r="BG60" s="34">
        <f>IF(AND(BG$5&gt;=$F60,BG$5&lt;=$G60),2,"")</f>
        <v/>
      </c>
      <c r="BH60" s="34">
        <f>IF(AND(BH$5&gt;=$F60,BH$5&lt;=$G60),2,"")</f>
        <v/>
      </c>
      <c r="BI60" s="34">
        <f>IF(AND(BI$5&gt;=$F60,BI$5&lt;=$G60),2,"")</f>
        <v/>
      </c>
      <c r="BJ60" s="34">
        <f>IF(AND(BJ$5&gt;=$F60,BJ$5&lt;=$G60),2,"")</f>
        <v/>
      </c>
      <c r="BK60" s="34">
        <f>IF(AND(BK$5&gt;=$F60,BK$5&lt;=$G60),2,"")</f>
        <v/>
      </c>
      <c r="BL60" s="34">
        <f>IF(AND(BL$5&gt;=$F60,BL$5&lt;=$G60),2,"")</f>
        <v/>
      </c>
      <c r="BM60" s="34">
        <f>IF(AND(BM$5&gt;=$F60,BM$5&lt;=$G60),2,"")</f>
        <v/>
      </c>
      <c r="BN60" s="34">
        <f>IF(AND(BN$5&gt;=$F60,BN$5&lt;=$G60),2,"")</f>
        <v/>
      </c>
    </row>
    <row r="61" ht="14.25" customHeight="1" s="36">
      <c r="A61" s="13" t="inlineStr">
        <is>
          <t>2 Elaboración</t>
        </is>
      </c>
      <c r="B61" s="13" t="inlineStr">
        <is>
          <t>2.6.3</t>
        </is>
      </c>
      <c r="C61" s="13" t="inlineStr">
        <is>
          <t>Indicadores de usabilidad comprometidos por transacción crítica</t>
        </is>
      </c>
      <c r="D61" s="13" t="inlineStr">
        <is>
          <t>E</t>
        </is>
      </c>
      <c r="E61" s="13" t="inlineStr">
        <is>
          <t>Implantación y gestión del cambio</t>
        </is>
      </c>
      <c r="F61" s="13" t="n">
        <v>4</v>
      </c>
      <c r="G61" s="13" t="n">
        <v>4</v>
      </c>
      <c r="H61" s="13">
        <f>G61-F61+1</f>
        <v/>
      </c>
      <c r="I61" s="31" t="n">
        <v>240</v>
      </c>
      <c r="J61" s="13" t="inlineStr">
        <is>
          <t>Con entregable (actividades en hoja «Actividades hasta H2»)</t>
        </is>
      </c>
      <c r="K61" s="34">
        <f>IF(AND(K$5&gt;=$F61,K$5&lt;=$G61),2,"")</f>
        <v/>
      </c>
      <c r="L61" s="34">
        <f>IF(AND(L$5&gt;=$F61,L$5&lt;=$G61),2,"")</f>
        <v/>
      </c>
      <c r="M61" s="34">
        <f>IF(AND(M$5&gt;=$F61,M$5&lt;=$G61),2,"")</f>
        <v/>
      </c>
      <c r="N61" s="34">
        <f>IF(AND(N$5&gt;=$F61,N$5&lt;=$G61),2,"")</f>
        <v/>
      </c>
      <c r="O61" s="34">
        <f>IF(AND(O$5&gt;=$F61,O$5&lt;=$G61),2,"")</f>
        <v/>
      </c>
      <c r="P61" s="34">
        <f>IF(AND(P$5&gt;=$F61,P$5&lt;=$G61),2,"")</f>
        <v/>
      </c>
      <c r="Q61" s="34">
        <f>IF(AND(Q$5&gt;=$F61,Q$5&lt;=$G61),2,"")</f>
        <v/>
      </c>
      <c r="R61" s="34">
        <f>IF(AND(R$5&gt;=$F61,R$5&lt;=$G61),2,"")</f>
        <v/>
      </c>
      <c r="S61" s="34">
        <f>IF(AND(S$5&gt;=$F61,S$5&lt;=$G61),2,"")</f>
        <v/>
      </c>
      <c r="T61" s="34">
        <f>IF(AND(T$5&gt;=$F61,T$5&lt;=$G61),2,"")</f>
        <v/>
      </c>
      <c r="U61" s="34">
        <f>IF(AND(U$5&gt;=$F61,U$5&lt;=$G61),2,"")</f>
        <v/>
      </c>
      <c r="V61" s="34">
        <f>IF(AND(V$5&gt;=$F61,V$5&lt;=$G61),2,"")</f>
        <v/>
      </c>
      <c r="W61" s="34">
        <f>IF(AND(W$5&gt;=$F61,W$5&lt;=$G61),2,"")</f>
        <v/>
      </c>
      <c r="X61" s="34">
        <f>IF(AND(X$5&gt;=$F61,X$5&lt;=$G61),2,"")</f>
        <v/>
      </c>
      <c r="Y61" s="34">
        <f>IF(AND(Y$5&gt;=$F61,Y$5&lt;=$G61),2,"")</f>
        <v/>
      </c>
      <c r="Z61" s="34">
        <f>IF(AND(Z$5&gt;=$F61,Z$5&lt;=$G61),2,"")</f>
        <v/>
      </c>
      <c r="AA61" s="34">
        <f>IF(AND(AA$5&gt;=$F61,AA$5&lt;=$G61),2,"")</f>
        <v/>
      </c>
      <c r="AB61" s="34">
        <f>IF(AND(AB$5&gt;=$F61,AB$5&lt;=$G61),2,"")</f>
        <v/>
      </c>
      <c r="AC61" s="34">
        <f>IF(AND(AC$5&gt;=$F61,AC$5&lt;=$G61),2,"")</f>
        <v/>
      </c>
      <c r="AD61" s="34">
        <f>IF(AND(AD$5&gt;=$F61,AD$5&lt;=$G61),2,"")</f>
        <v/>
      </c>
      <c r="AE61" s="34">
        <f>IF(AND(AE$5&gt;=$F61,AE$5&lt;=$G61),2,"")</f>
        <v/>
      </c>
      <c r="AF61" s="34">
        <f>IF(AND(AF$5&gt;=$F61,AF$5&lt;=$G61),2,"")</f>
        <v/>
      </c>
      <c r="AG61" s="34">
        <f>IF(AND(AG$5&gt;=$F61,AG$5&lt;=$G61),2,"")</f>
        <v/>
      </c>
      <c r="AH61" s="34">
        <f>IF(AND(AH$5&gt;=$F61,AH$5&lt;=$G61),2,"")</f>
        <v/>
      </c>
      <c r="AI61" s="34">
        <f>IF(AND(AI$5&gt;=$F61,AI$5&lt;=$G61),2,"")</f>
        <v/>
      </c>
      <c r="AJ61" s="34">
        <f>IF(AND(AJ$5&gt;=$F61,AJ$5&lt;=$G61),2,"")</f>
        <v/>
      </c>
      <c r="AK61" s="34">
        <f>IF(AND(AK$5&gt;=$F61,AK$5&lt;=$G61),2,"")</f>
        <v/>
      </c>
      <c r="AL61" s="34">
        <f>IF(AND(AL$5&gt;=$F61,AL$5&lt;=$G61),2,"")</f>
        <v/>
      </c>
      <c r="AM61" s="34">
        <f>IF(AND(AM$5&gt;=$F61,AM$5&lt;=$G61),2,"")</f>
        <v/>
      </c>
      <c r="AN61" s="34">
        <f>IF(AND(AN$5&gt;=$F61,AN$5&lt;=$G61),2,"")</f>
        <v/>
      </c>
      <c r="AO61" s="34">
        <f>IF(AND(AO$5&gt;=$F61,AO$5&lt;=$G61),2,"")</f>
        <v/>
      </c>
      <c r="AP61" s="34">
        <f>IF(AND(AP$5&gt;=$F61,AP$5&lt;=$G61),2,"")</f>
        <v/>
      </c>
      <c r="AQ61" s="34">
        <f>IF(AND(AQ$5&gt;=$F61,AQ$5&lt;=$G61),2,"")</f>
        <v/>
      </c>
      <c r="AR61" s="34">
        <f>IF(AND(AR$5&gt;=$F61,AR$5&lt;=$G61),2,"")</f>
        <v/>
      </c>
      <c r="AS61" s="34">
        <f>IF(AND(AS$5&gt;=$F61,AS$5&lt;=$G61),2,"")</f>
        <v/>
      </c>
      <c r="AT61" s="34">
        <f>IF(AND(AT$5&gt;=$F61,AT$5&lt;=$G61),2,"")</f>
        <v/>
      </c>
      <c r="AU61" s="34">
        <f>IF(AND(AU$5&gt;=$F61,AU$5&lt;=$G61),2,"")</f>
        <v/>
      </c>
      <c r="AV61" s="34">
        <f>IF(AND(AV$5&gt;=$F61,AV$5&lt;=$G61),2,"")</f>
        <v/>
      </c>
      <c r="AW61" s="34">
        <f>IF(AND(AW$5&gt;=$F61,AW$5&lt;=$G61),2,"")</f>
        <v/>
      </c>
      <c r="AX61" s="34">
        <f>IF(AND(AX$5&gt;=$F61,AX$5&lt;=$G61),2,"")</f>
        <v/>
      </c>
      <c r="AY61" s="34">
        <f>IF(AND(AY$5&gt;=$F61,AY$5&lt;=$G61),2,"")</f>
        <v/>
      </c>
      <c r="AZ61" s="34">
        <f>IF(AND(AZ$5&gt;=$F61,AZ$5&lt;=$G61),2,"")</f>
        <v/>
      </c>
      <c r="BA61" s="34">
        <f>IF(AND(BA$5&gt;=$F61,BA$5&lt;=$G61),2,"")</f>
        <v/>
      </c>
      <c r="BB61" s="34">
        <f>IF(AND(BB$5&gt;=$F61,BB$5&lt;=$G61),2,"")</f>
        <v/>
      </c>
      <c r="BC61" s="34">
        <f>IF(AND(BC$5&gt;=$F61,BC$5&lt;=$G61),2,"")</f>
        <v/>
      </c>
      <c r="BD61" s="34">
        <f>IF(AND(BD$5&gt;=$F61,BD$5&lt;=$G61),2,"")</f>
        <v/>
      </c>
      <c r="BE61" s="34">
        <f>IF(AND(BE$5&gt;=$F61,BE$5&lt;=$G61),2,"")</f>
        <v/>
      </c>
      <c r="BF61" s="34">
        <f>IF(AND(BF$5&gt;=$F61,BF$5&lt;=$G61),2,"")</f>
        <v/>
      </c>
      <c r="BG61" s="34">
        <f>IF(AND(BG$5&gt;=$F61,BG$5&lt;=$G61),2,"")</f>
        <v/>
      </c>
      <c r="BH61" s="34">
        <f>IF(AND(BH$5&gt;=$F61,BH$5&lt;=$G61),2,"")</f>
        <v/>
      </c>
      <c r="BI61" s="34">
        <f>IF(AND(BI$5&gt;=$F61,BI$5&lt;=$G61),2,"")</f>
        <v/>
      </c>
      <c r="BJ61" s="34">
        <f>IF(AND(BJ$5&gt;=$F61,BJ$5&lt;=$G61),2,"")</f>
        <v/>
      </c>
      <c r="BK61" s="34">
        <f>IF(AND(BK$5&gt;=$F61,BK$5&lt;=$G61),2,"")</f>
        <v/>
      </c>
      <c r="BL61" s="34">
        <f>IF(AND(BL$5&gt;=$F61,BL$5&lt;=$G61),2,"")</f>
        <v/>
      </c>
      <c r="BM61" s="34">
        <f>IF(AND(BM$5&gt;=$F61,BM$5&lt;=$G61),2,"")</f>
        <v/>
      </c>
      <c r="BN61" s="34">
        <f>IF(AND(BN$5&gt;=$F61,BN$5&lt;=$G61),2,"")</f>
        <v/>
      </c>
    </row>
    <row r="62" ht="14.25" customHeight="1" s="36">
      <c r="A62" s="13" t="inlineStr">
        <is>
          <t>3 Construcción</t>
        </is>
      </c>
      <c r="B62" s="13" t="inlineStr">
        <is>
          <t>3.1.1</t>
        </is>
      </c>
      <c r="C62" s="13" t="inlineStr">
        <is>
          <t>Ambientes de Desarrollo y QA en la nube (H3)</t>
        </is>
      </c>
      <c r="D62" s="13" t="inlineStr">
        <is>
          <t>E</t>
        </is>
      </c>
      <c r="E62" s="13" t="inlineStr">
        <is>
          <t>Operación / SRE</t>
        </is>
      </c>
      <c r="F62" s="13" t="n">
        <v>5</v>
      </c>
      <c r="G62" s="13" t="n">
        <v>5</v>
      </c>
      <c r="H62" s="13">
        <f>G62-F62+1</f>
        <v/>
      </c>
      <c r="I62" s="31" t="n">
        <v>240</v>
      </c>
      <c r="J62" s="13" t="inlineStr">
        <is>
          <t>Con entregable (detalle por planificación gradual)</t>
        </is>
      </c>
      <c r="K62" s="34">
        <f>IF(AND(K$5&gt;=$F62,K$5&lt;=$G62),3,"")</f>
        <v/>
      </c>
      <c r="L62" s="34">
        <f>IF(AND(L$5&gt;=$F62,L$5&lt;=$G62),3,"")</f>
        <v/>
      </c>
      <c r="M62" s="34">
        <f>IF(AND(M$5&gt;=$F62,M$5&lt;=$G62),3,"")</f>
        <v/>
      </c>
      <c r="N62" s="34">
        <f>IF(AND(N$5&gt;=$F62,N$5&lt;=$G62),3,"")</f>
        <v/>
      </c>
      <c r="O62" s="34">
        <f>IF(AND(O$5&gt;=$F62,O$5&lt;=$G62),3,"")</f>
        <v/>
      </c>
      <c r="P62" s="34">
        <f>IF(AND(P$5&gt;=$F62,P$5&lt;=$G62),3,"")</f>
        <v/>
      </c>
      <c r="Q62" s="34">
        <f>IF(AND(Q$5&gt;=$F62,Q$5&lt;=$G62),3,"")</f>
        <v/>
      </c>
      <c r="R62" s="34">
        <f>IF(AND(R$5&gt;=$F62,R$5&lt;=$G62),3,"")</f>
        <v/>
      </c>
      <c r="S62" s="34">
        <f>IF(AND(S$5&gt;=$F62,S$5&lt;=$G62),3,"")</f>
        <v/>
      </c>
      <c r="T62" s="34">
        <f>IF(AND(T$5&gt;=$F62,T$5&lt;=$G62),3,"")</f>
        <v/>
      </c>
      <c r="U62" s="34">
        <f>IF(AND(U$5&gt;=$F62,U$5&lt;=$G62),3,"")</f>
        <v/>
      </c>
      <c r="V62" s="34">
        <f>IF(AND(V$5&gt;=$F62,V$5&lt;=$G62),3,"")</f>
        <v/>
      </c>
      <c r="W62" s="34">
        <f>IF(AND(W$5&gt;=$F62,W$5&lt;=$G62),3,"")</f>
        <v/>
      </c>
      <c r="X62" s="34">
        <f>IF(AND(X$5&gt;=$F62,X$5&lt;=$G62),3,"")</f>
        <v/>
      </c>
      <c r="Y62" s="34">
        <f>IF(AND(Y$5&gt;=$F62,Y$5&lt;=$G62),3,"")</f>
        <v/>
      </c>
      <c r="Z62" s="34">
        <f>IF(AND(Z$5&gt;=$F62,Z$5&lt;=$G62),3,"")</f>
        <v/>
      </c>
      <c r="AA62" s="34">
        <f>IF(AND(AA$5&gt;=$F62,AA$5&lt;=$G62),3,"")</f>
        <v/>
      </c>
      <c r="AB62" s="34">
        <f>IF(AND(AB$5&gt;=$F62,AB$5&lt;=$G62),3,"")</f>
        <v/>
      </c>
      <c r="AC62" s="34">
        <f>IF(AND(AC$5&gt;=$F62,AC$5&lt;=$G62),3,"")</f>
        <v/>
      </c>
      <c r="AD62" s="34">
        <f>IF(AND(AD$5&gt;=$F62,AD$5&lt;=$G62),3,"")</f>
        <v/>
      </c>
      <c r="AE62" s="34">
        <f>IF(AND(AE$5&gt;=$F62,AE$5&lt;=$G62),3,"")</f>
        <v/>
      </c>
      <c r="AF62" s="34">
        <f>IF(AND(AF$5&gt;=$F62,AF$5&lt;=$G62),3,"")</f>
        <v/>
      </c>
      <c r="AG62" s="34">
        <f>IF(AND(AG$5&gt;=$F62,AG$5&lt;=$G62),3,"")</f>
        <v/>
      </c>
      <c r="AH62" s="34">
        <f>IF(AND(AH$5&gt;=$F62,AH$5&lt;=$G62),3,"")</f>
        <v/>
      </c>
      <c r="AI62" s="34">
        <f>IF(AND(AI$5&gt;=$F62,AI$5&lt;=$G62),3,"")</f>
        <v/>
      </c>
      <c r="AJ62" s="34">
        <f>IF(AND(AJ$5&gt;=$F62,AJ$5&lt;=$G62),3,"")</f>
        <v/>
      </c>
      <c r="AK62" s="34">
        <f>IF(AND(AK$5&gt;=$F62,AK$5&lt;=$G62),3,"")</f>
        <v/>
      </c>
      <c r="AL62" s="34">
        <f>IF(AND(AL$5&gt;=$F62,AL$5&lt;=$G62),3,"")</f>
        <v/>
      </c>
      <c r="AM62" s="34">
        <f>IF(AND(AM$5&gt;=$F62,AM$5&lt;=$G62),3,"")</f>
        <v/>
      </c>
      <c r="AN62" s="34">
        <f>IF(AND(AN$5&gt;=$F62,AN$5&lt;=$G62),3,"")</f>
        <v/>
      </c>
      <c r="AO62" s="34">
        <f>IF(AND(AO$5&gt;=$F62,AO$5&lt;=$G62),3,"")</f>
        <v/>
      </c>
      <c r="AP62" s="34">
        <f>IF(AND(AP$5&gt;=$F62,AP$5&lt;=$G62),3,"")</f>
        <v/>
      </c>
      <c r="AQ62" s="34">
        <f>IF(AND(AQ$5&gt;=$F62,AQ$5&lt;=$G62),3,"")</f>
        <v/>
      </c>
      <c r="AR62" s="34">
        <f>IF(AND(AR$5&gt;=$F62,AR$5&lt;=$G62),3,"")</f>
        <v/>
      </c>
      <c r="AS62" s="34">
        <f>IF(AND(AS$5&gt;=$F62,AS$5&lt;=$G62),3,"")</f>
        <v/>
      </c>
      <c r="AT62" s="34">
        <f>IF(AND(AT$5&gt;=$F62,AT$5&lt;=$G62),3,"")</f>
        <v/>
      </c>
      <c r="AU62" s="34">
        <f>IF(AND(AU$5&gt;=$F62,AU$5&lt;=$G62),3,"")</f>
        <v/>
      </c>
      <c r="AV62" s="34">
        <f>IF(AND(AV$5&gt;=$F62,AV$5&lt;=$G62),3,"")</f>
        <v/>
      </c>
      <c r="AW62" s="34">
        <f>IF(AND(AW$5&gt;=$F62,AW$5&lt;=$G62),3,"")</f>
        <v/>
      </c>
      <c r="AX62" s="34">
        <f>IF(AND(AX$5&gt;=$F62,AX$5&lt;=$G62),3,"")</f>
        <v/>
      </c>
      <c r="AY62" s="34">
        <f>IF(AND(AY$5&gt;=$F62,AY$5&lt;=$G62),3,"")</f>
        <v/>
      </c>
      <c r="AZ62" s="34">
        <f>IF(AND(AZ$5&gt;=$F62,AZ$5&lt;=$G62),3,"")</f>
        <v/>
      </c>
      <c r="BA62" s="34">
        <f>IF(AND(BA$5&gt;=$F62,BA$5&lt;=$G62),3,"")</f>
        <v/>
      </c>
      <c r="BB62" s="34">
        <f>IF(AND(BB$5&gt;=$F62,BB$5&lt;=$G62),3,"")</f>
        <v/>
      </c>
      <c r="BC62" s="34">
        <f>IF(AND(BC$5&gt;=$F62,BC$5&lt;=$G62),3,"")</f>
        <v/>
      </c>
      <c r="BD62" s="34">
        <f>IF(AND(BD$5&gt;=$F62,BD$5&lt;=$G62),3,"")</f>
        <v/>
      </c>
      <c r="BE62" s="34">
        <f>IF(AND(BE$5&gt;=$F62,BE$5&lt;=$G62),3,"")</f>
        <v/>
      </c>
      <c r="BF62" s="34">
        <f>IF(AND(BF$5&gt;=$F62,BF$5&lt;=$G62),3,"")</f>
        <v/>
      </c>
      <c r="BG62" s="34">
        <f>IF(AND(BG$5&gt;=$F62,BG$5&lt;=$G62),3,"")</f>
        <v/>
      </c>
      <c r="BH62" s="34">
        <f>IF(AND(BH$5&gt;=$F62,BH$5&lt;=$G62),3,"")</f>
        <v/>
      </c>
      <c r="BI62" s="34">
        <f>IF(AND(BI$5&gt;=$F62,BI$5&lt;=$G62),3,"")</f>
        <v/>
      </c>
      <c r="BJ62" s="34">
        <f>IF(AND(BJ$5&gt;=$F62,BJ$5&lt;=$G62),3,"")</f>
        <v/>
      </c>
      <c r="BK62" s="34">
        <f>IF(AND(BK$5&gt;=$F62,BK$5&lt;=$G62),3,"")</f>
        <v/>
      </c>
      <c r="BL62" s="34">
        <f>IF(AND(BL$5&gt;=$F62,BL$5&lt;=$G62),3,"")</f>
        <v/>
      </c>
      <c r="BM62" s="34">
        <f>IF(AND(BM$5&gt;=$F62,BM$5&lt;=$G62),3,"")</f>
        <v/>
      </c>
      <c r="BN62" s="34">
        <f>IF(AND(BN$5&gt;=$F62,BN$5&lt;=$G62),3,"")</f>
        <v/>
      </c>
    </row>
    <row r="63" ht="14.25" customHeight="1" s="36">
      <c r="A63" s="13" t="inlineStr">
        <is>
          <t>3 Construcción</t>
        </is>
      </c>
      <c r="B63" s="13" t="inlineStr">
        <is>
          <t>3.1.2</t>
        </is>
      </c>
      <c r="C63" s="13" t="inlineStr">
        <is>
          <t>Ambientes de Preproducción y Producción en la nube (H3)</t>
        </is>
      </c>
      <c r="D63" s="13" t="inlineStr">
        <is>
          <t>E</t>
        </is>
      </c>
      <c r="E63" s="13" t="inlineStr">
        <is>
          <t>Operación / SRE</t>
        </is>
      </c>
      <c r="F63" s="13" t="n">
        <v>5</v>
      </c>
      <c r="G63" s="13" t="n">
        <v>5</v>
      </c>
      <c r="H63" s="13">
        <f>G63-F63+1</f>
        <v/>
      </c>
      <c r="I63" s="31" t="n">
        <v>240</v>
      </c>
      <c r="J63" s="13" t="inlineStr">
        <is>
          <t>Con entregable (detalle por planificación gradual)</t>
        </is>
      </c>
      <c r="K63" s="34">
        <f>IF(AND(K$5&gt;=$F63,K$5&lt;=$G63),3,"")</f>
        <v/>
      </c>
      <c r="L63" s="34">
        <f>IF(AND(L$5&gt;=$F63,L$5&lt;=$G63),3,"")</f>
        <v/>
      </c>
      <c r="M63" s="34">
        <f>IF(AND(M$5&gt;=$F63,M$5&lt;=$G63),3,"")</f>
        <v/>
      </c>
      <c r="N63" s="34">
        <f>IF(AND(N$5&gt;=$F63,N$5&lt;=$G63),3,"")</f>
        <v/>
      </c>
      <c r="O63" s="34">
        <f>IF(AND(O$5&gt;=$F63,O$5&lt;=$G63),3,"")</f>
        <v/>
      </c>
      <c r="P63" s="34">
        <f>IF(AND(P$5&gt;=$F63,P$5&lt;=$G63),3,"")</f>
        <v/>
      </c>
      <c r="Q63" s="34">
        <f>IF(AND(Q$5&gt;=$F63,Q$5&lt;=$G63),3,"")</f>
        <v/>
      </c>
      <c r="R63" s="34">
        <f>IF(AND(R$5&gt;=$F63,R$5&lt;=$G63),3,"")</f>
        <v/>
      </c>
      <c r="S63" s="34">
        <f>IF(AND(S$5&gt;=$F63,S$5&lt;=$G63),3,"")</f>
        <v/>
      </c>
      <c r="T63" s="34">
        <f>IF(AND(T$5&gt;=$F63,T$5&lt;=$G63),3,"")</f>
        <v/>
      </c>
      <c r="U63" s="34">
        <f>IF(AND(U$5&gt;=$F63,U$5&lt;=$G63),3,"")</f>
        <v/>
      </c>
      <c r="V63" s="34">
        <f>IF(AND(V$5&gt;=$F63,V$5&lt;=$G63),3,"")</f>
        <v/>
      </c>
      <c r="W63" s="34">
        <f>IF(AND(W$5&gt;=$F63,W$5&lt;=$G63),3,"")</f>
        <v/>
      </c>
      <c r="X63" s="34">
        <f>IF(AND(X$5&gt;=$F63,X$5&lt;=$G63),3,"")</f>
        <v/>
      </c>
      <c r="Y63" s="34">
        <f>IF(AND(Y$5&gt;=$F63,Y$5&lt;=$G63),3,"")</f>
        <v/>
      </c>
      <c r="Z63" s="34">
        <f>IF(AND(Z$5&gt;=$F63,Z$5&lt;=$G63),3,"")</f>
        <v/>
      </c>
      <c r="AA63" s="34">
        <f>IF(AND(AA$5&gt;=$F63,AA$5&lt;=$G63),3,"")</f>
        <v/>
      </c>
      <c r="AB63" s="34">
        <f>IF(AND(AB$5&gt;=$F63,AB$5&lt;=$G63),3,"")</f>
        <v/>
      </c>
      <c r="AC63" s="34">
        <f>IF(AND(AC$5&gt;=$F63,AC$5&lt;=$G63),3,"")</f>
        <v/>
      </c>
      <c r="AD63" s="34">
        <f>IF(AND(AD$5&gt;=$F63,AD$5&lt;=$G63),3,"")</f>
        <v/>
      </c>
      <c r="AE63" s="34">
        <f>IF(AND(AE$5&gt;=$F63,AE$5&lt;=$G63),3,"")</f>
        <v/>
      </c>
      <c r="AF63" s="34">
        <f>IF(AND(AF$5&gt;=$F63,AF$5&lt;=$G63),3,"")</f>
        <v/>
      </c>
      <c r="AG63" s="34">
        <f>IF(AND(AG$5&gt;=$F63,AG$5&lt;=$G63),3,"")</f>
        <v/>
      </c>
      <c r="AH63" s="34">
        <f>IF(AND(AH$5&gt;=$F63,AH$5&lt;=$G63),3,"")</f>
        <v/>
      </c>
      <c r="AI63" s="34">
        <f>IF(AND(AI$5&gt;=$F63,AI$5&lt;=$G63),3,"")</f>
        <v/>
      </c>
      <c r="AJ63" s="34">
        <f>IF(AND(AJ$5&gt;=$F63,AJ$5&lt;=$G63),3,"")</f>
        <v/>
      </c>
      <c r="AK63" s="34">
        <f>IF(AND(AK$5&gt;=$F63,AK$5&lt;=$G63),3,"")</f>
        <v/>
      </c>
      <c r="AL63" s="34">
        <f>IF(AND(AL$5&gt;=$F63,AL$5&lt;=$G63),3,"")</f>
        <v/>
      </c>
      <c r="AM63" s="34">
        <f>IF(AND(AM$5&gt;=$F63,AM$5&lt;=$G63),3,"")</f>
        <v/>
      </c>
      <c r="AN63" s="34">
        <f>IF(AND(AN$5&gt;=$F63,AN$5&lt;=$G63),3,"")</f>
        <v/>
      </c>
      <c r="AO63" s="34">
        <f>IF(AND(AO$5&gt;=$F63,AO$5&lt;=$G63),3,"")</f>
        <v/>
      </c>
      <c r="AP63" s="34">
        <f>IF(AND(AP$5&gt;=$F63,AP$5&lt;=$G63),3,"")</f>
        <v/>
      </c>
      <c r="AQ63" s="34">
        <f>IF(AND(AQ$5&gt;=$F63,AQ$5&lt;=$G63),3,"")</f>
        <v/>
      </c>
      <c r="AR63" s="34">
        <f>IF(AND(AR$5&gt;=$F63,AR$5&lt;=$G63),3,"")</f>
        <v/>
      </c>
      <c r="AS63" s="34">
        <f>IF(AND(AS$5&gt;=$F63,AS$5&lt;=$G63),3,"")</f>
        <v/>
      </c>
      <c r="AT63" s="34">
        <f>IF(AND(AT$5&gt;=$F63,AT$5&lt;=$G63),3,"")</f>
        <v/>
      </c>
      <c r="AU63" s="34">
        <f>IF(AND(AU$5&gt;=$F63,AU$5&lt;=$G63),3,"")</f>
        <v/>
      </c>
      <c r="AV63" s="34">
        <f>IF(AND(AV$5&gt;=$F63,AV$5&lt;=$G63),3,"")</f>
        <v/>
      </c>
      <c r="AW63" s="34">
        <f>IF(AND(AW$5&gt;=$F63,AW$5&lt;=$G63),3,"")</f>
        <v/>
      </c>
      <c r="AX63" s="34">
        <f>IF(AND(AX$5&gt;=$F63,AX$5&lt;=$G63),3,"")</f>
        <v/>
      </c>
      <c r="AY63" s="34">
        <f>IF(AND(AY$5&gt;=$F63,AY$5&lt;=$G63),3,"")</f>
        <v/>
      </c>
      <c r="AZ63" s="34">
        <f>IF(AND(AZ$5&gt;=$F63,AZ$5&lt;=$G63),3,"")</f>
        <v/>
      </c>
      <c r="BA63" s="34">
        <f>IF(AND(BA$5&gt;=$F63,BA$5&lt;=$G63),3,"")</f>
        <v/>
      </c>
      <c r="BB63" s="34">
        <f>IF(AND(BB$5&gt;=$F63,BB$5&lt;=$G63),3,"")</f>
        <v/>
      </c>
      <c r="BC63" s="34">
        <f>IF(AND(BC$5&gt;=$F63,BC$5&lt;=$G63),3,"")</f>
        <v/>
      </c>
      <c r="BD63" s="34">
        <f>IF(AND(BD$5&gt;=$F63,BD$5&lt;=$G63),3,"")</f>
        <v/>
      </c>
      <c r="BE63" s="34">
        <f>IF(AND(BE$5&gt;=$F63,BE$5&lt;=$G63),3,"")</f>
        <v/>
      </c>
      <c r="BF63" s="34">
        <f>IF(AND(BF$5&gt;=$F63,BF$5&lt;=$G63),3,"")</f>
        <v/>
      </c>
      <c r="BG63" s="34">
        <f>IF(AND(BG$5&gt;=$F63,BG$5&lt;=$G63),3,"")</f>
        <v/>
      </c>
      <c r="BH63" s="34">
        <f>IF(AND(BH$5&gt;=$F63,BH$5&lt;=$G63),3,"")</f>
        <v/>
      </c>
      <c r="BI63" s="34">
        <f>IF(AND(BI$5&gt;=$F63,BI$5&lt;=$G63),3,"")</f>
        <v/>
      </c>
      <c r="BJ63" s="34">
        <f>IF(AND(BJ$5&gt;=$F63,BJ$5&lt;=$G63),3,"")</f>
        <v/>
      </c>
      <c r="BK63" s="34">
        <f>IF(AND(BK$5&gt;=$F63,BK$5&lt;=$G63),3,"")</f>
        <v/>
      </c>
      <c r="BL63" s="34">
        <f>IF(AND(BL$5&gt;=$F63,BL$5&lt;=$G63),3,"")</f>
        <v/>
      </c>
      <c r="BM63" s="34">
        <f>IF(AND(BM$5&gt;=$F63,BM$5&lt;=$G63),3,"")</f>
        <v/>
      </c>
      <c r="BN63" s="34">
        <f>IF(AND(BN$5&gt;=$F63,BN$5&lt;=$G63),3,"")</f>
        <v/>
      </c>
    </row>
    <row r="64" ht="14.25" customHeight="1" s="36">
      <c r="A64" s="13" t="inlineStr">
        <is>
          <t>3 Construcción</t>
        </is>
      </c>
      <c r="B64" s="13" t="inlineStr">
        <is>
          <t>3.1.3</t>
        </is>
      </c>
      <c r="C64" s="13" t="inlineStr">
        <is>
          <t>Ambiente de recuperación ante desastres en la región secundaria (H3)</t>
        </is>
      </c>
      <c r="D64" s="13" t="inlineStr">
        <is>
          <t>E</t>
        </is>
      </c>
      <c r="E64" s="13" t="inlineStr">
        <is>
          <t>Operación / SRE</t>
        </is>
      </c>
      <c r="F64" s="13" t="n">
        <v>5</v>
      </c>
      <c r="G64" s="13" t="n">
        <v>5</v>
      </c>
      <c r="H64" s="13">
        <f>G64-F64+1</f>
        <v/>
      </c>
      <c r="I64" s="31" t="n">
        <v>240</v>
      </c>
      <c r="J64" s="13" t="inlineStr">
        <is>
          <t>Con entregable (detalle por planificación gradual)</t>
        </is>
      </c>
      <c r="K64" s="34">
        <f>IF(AND(K$5&gt;=$F64,K$5&lt;=$G64),3,"")</f>
        <v/>
      </c>
      <c r="L64" s="34">
        <f>IF(AND(L$5&gt;=$F64,L$5&lt;=$G64),3,"")</f>
        <v/>
      </c>
      <c r="M64" s="34">
        <f>IF(AND(M$5&gt;=$F64,M$5&lt;=$G64),3,"")</f>
        <v/>
      </c>
      <c r="N64" s="34">
        <f>IF(AND(N$5&gt;=$F64,N$5&lt;=$G64),3,"")</f>
        <v/>
      </c>
      <c r="O64" s="34">
        <f>IF(AND(O$5&gt;=$F64,O$5&lt;=$G64),3,"")</f>
        <v/>
      </c>
      <c r="P64" s="34">
        <f>IF(AND(P$5&gt;=$F64,P$5&lt;=$G64),3,"")</f>
        <v/>
      </c>
      <c r="Q64" s="34">
        <f>IF(AND(Q$5&gt;=$F64,Q$5&lt;=$G64),3,"")</f>
        <v/>
      </c>
      <c r="R64" s="34">
        <f>IF(AND(R$5&gt;=$F64,R$5&lt;=$G64),3,"")</f>
        <v/>
      </c>
      <c r="S64" s="34">
        <f>IF(AND(S$5&gt;=$F64,S$5&lt;=$G64),3,"")</f>
        <v/>
      </c>
      <c r="T64" s="34">
        <f>IF(AND(T$5&gt;=$F64,T$5&lt;=$G64),3,"")</f>
        <v/>
      </c>
      <c r="U64" s="34">
        <f>IF(AND(U$5&gt;=$F64,U$5&lt;=$G64),3,"")</f>
        <v/>
      </c>
      <c r="V64" s="34">
        <f>IF(AND(V$5&gt;=$F64,V$5&lt;=$G64),3,"")</f>
        <v/>
      </c>
      <c r="W64" s="34">
        <f>IF(AND(W$5&gt;=$F64,W$5&lt;=$G64),3,"")</f>
        <v/>
      </c>
      <c r="X64" s="34">
        <f>IF(AND(X$5&gt;=$F64,X$5&lt;=$G64),3,"")</f>
        <v/>
      </c>
      <c r="Y64" s="34">
        <f>IF(AND(Y$5&gt;=$F64,Y$5&lt;=$G64),3,"")</f>
        <v/>
      </c>
      <c r="Z64" s="34">
        <f>IF(AND(Z$5&gt;=$F64,Z$5&lt;=$G64),3,"")</f>
        <v/>
      </c>
      <c r="AA64" s="34">
        <f>IF(AND(AA$5&gt;=$F64,AA$5&lt;=$G64),3,"")</f>
        <v/>
      </c>
      <c r="AB64" s="34">
        <f>IF(AND(AB$5&gt;=$F64,AB$5&lt;=$G64),3,"")</f>
        <v/>
      </c>
      <c r="AC64" s="34">
        <f>IF(AND(AC$5&gt;=$F64,AC$5&lt;=$G64),3,"")</f>
        <v/>
      </c>
      <c r="AD64" s="34">
        <f>IF(AND(AD$5&gt;=$F64,AD$5&lt;=$G64),3,"")</f>
        <v/>
      </c>
      <c r="AE64" s="34">
        <f>IF(AND(AE$5&gt;=$F64,AE$5&lt;=$G64),3,"")</f>
        <v/>
      </c>
      <c r="AF64" s="34">
        <f>IF(AND(AF$5&gt;=$F64,AF$5&lt;=$G64),3,"")</f>
        <v/>
      </c>
      <c r="AG64" s="34">
        <f>IF(AND(AG$5&gt;=$F64,AG$5&lt;=$G64),3,"")</f>
        <v/>
      </c>
      <c r="AH64" s="34">
        <f>IF(AND(AH$5&gt;=$F64,AH$5&lt;=$G64),3,"")</f>
        <v/>
      </c>
      <c r="AI64" s="34">
        <f>IF(AND(AI$5&gt;=$F64,AI$5&lt;=$G64),3,"")</f>
        <v/>
      </c>
      <c r="AJ64" s="34">
        <f>IF(AND(AJ$5&gt;=$F64,AJ$5&lt;=$G64),3,"")</f>
        <v/>
      </c>
      <c r="AK64" s="34">
        <f>IF(AND(AK$5&gt;=$F64,AK$5&lt;=$G64),3,"")</f>
        <v/>
      </c>
      <c r="AL64" s="34">
        <f>IF(AND(AL$5&gt;=$F64,AL$5&lt;=$G64),3,"")</f>
        <v/>
      </c>
      <c r="AM64" s="34">
        <f>IF(AND(AM$5&gt;=$F64,AM$5&lt;=$G64),3,"")</f>
        <v/>
      </c>
      <c r="AN64" s="34">
        <f>IF(AND(AN$5&gt;=$F64,AN$5&lt;=$G64),3,"")</f>
        <v/>
      </c>
      <c r="AO64" s="34">
        <f>IF(AND(AO$5&gt;=$F64,AO$5&lt;=$G64),3,"")</f>
        <v/>
      </c>
      <c r="AP64" s="34">
        <f>IF(AND(AP$5&gt;=$F64,AP$5&lt;=$G64),3,"")</f>
        <v/>
      </c>
      <c r="AQ64" s="34">
        <f>IF(AND(AQ$5&gt;=$F64,AQ$5&lt;=$G64),3,"")</f>
        <v/>
      </c>
      <c r="AR64" s="34">
        <f>IF(AND(AR$5&gt;=$F64,AR$5&lt;=$G64),3,"")</f>
        <v/>
      </c>
      <c r="AS64" s="34">
        <f>IF(AND(AS$5&gt;=$F64,AS$5&lt;=$G64),3,"")</f>
        <v/>
      </c>
      <c r="AT64" s="34">
        <f>IF(AND(AT$5&gt;=$F64,AT$5&lt;=$G64),3,"")</f>
        <v/>
      </c>
      <c r="AU64" s="34">
        <f>IF(AND(AU$5&gt;=$F64,AU$5&lt;=$G64),3,"")</f>
        <v/>
      </c>
      <c r="AV64" s="34">
        <f>IF(AND(AV$5&gt;=$F64,AV$5&lt;=$G64),3,"")</f>
        <v/>
      </c>
      <c r="AW64" s="34">
        <f>IF(AND(AW$5&gt;=$F64,AW$5&lt;=$G64),3,"")</f>
        <v/>
      </c>
      <c r="AX64" s="34">
        <f>IF(AND(AX$5&gt;=$F64,AX$5&lt;=$G64),3,"")</f>
        <v/>
      </c>
      <c r="AY64" s="34">
        <f>IF(AND(AY$5&gt;=$F64,AY$5&lt;=$G64),3,"")</f>
        <v/>
      </c>
      <c r="AZ64" s="34">
        <f>IF(AND(AZ$5&gt;=$F64,AZ$5&lt;=$G64),3,"")</f>
        <v/>
      </c>
      <c r="BA64" s="34">
        <f>IF(AND(BA$5&gt;=$F64,BA$5&lt;=$G64),3,"")</f>
        <v/>
      </c>
      <c r="BB64" s="34">
        <f>IF(AND(BB$5&gt;=$F64,BB$5&lt;=$G64),3,"")</f>
        <v/>
      </c>
      <c r="BC64" s="34">
        <f>IF(AND(BC$5&gt;=$F64,BC$5&lt;=$G64),3,"")</f>
        <v/>
      </c>
      <c r="BD64" s="34">
        <f>IF(AND(BD$5&gt;=$F64,BD$5&lt;=$G64),3,"")</f>
        <v/>
      </c>
      <c r="BE64" s="34">
        <f>IF(AND(BE$5&gt;=$F64,BE$5&lt;=$G64),3,"")</f>
        <v/>
      </c>
      <c r="BF64" s="34">
        <f>IF(AND(BF$5&gt;=$F64,BF$5&lt;=$G64),3,"")</f>
        <v/>
      </c>
      <c r="BG64" s="34">
        <f>IF(AND(BG$5&gt;=$F64,BG$5&lt;=$G64),3,"")</f>
        <v/>
      </c>
      <c r="BH64" s="34">
        <f>IF(AND(BH$5&gt;=$F64,BH$5&lt;=$G64),3,"")</f>
        <v/>
      </c>
      <c r="BI64" s="34">
        <f>IF(AND(BI$5&gt;=$F64,BI$5&lt;=$G64),3,"")</f>
        <v/>
      </c>
      <c r="BJ64" s="34">
        <f>IF(AND(BJ$5&gt;=$F64,BJ$5&lt;=$G64),3,"")</f>
        <v/>
      </c>
      <c r="BK64" s="34">
        <f>IF(AND(BK$5&gt;=$F64,BK$5&lt;=$G64),3,"")</f>
        <v/>
      </c>
      <c r="BL64" s="34">
        <f>IF(AND(BL$5&gt;=$F64,BL$5&lt;=$G64),3,"")</f>
        <v/>
      </c>
      <c r="BM64" s="34">
        <f>IF(AND(BM$5&gt;=$F64,BM$5&lt;=$G64),3,"")</f>
        <v/>
      </c>
      <c r="BN64" s="34">
        <f>IF(AND(BN$5&gt;=$F64,BN$5&lt;=$G64),3,"")</f>
        <v/>
      </c>
    </row>
    <row r="65" ht="14.25" customHeight="1" s="36">
      <c r="A65" s="13" t="inlineStr">
        <is>
          <t>3 Construcción</t>
        </is>
      </c>
      <c r="B65" s="13" t="inlineStr">
        <is>
          <t>3.1.4</t>
        </is>
      </c>
      <c r="C65" s="13" t="inlineStr">
        <is>
          <t>Cadena de integración y entrega continua, e infraestructura como código</t>
        </is>
      </c>
      <c r="D65" s="13" t="inlineStr">
        <is>
          <t>E</t>
        </is>
      </c>
      <c r="E65" s="13" t="inlineStr">
        <is>
          <t>Operación / SRE</t>
        </is>
      </c>
      <c r="F65" s="13" t="n">
        <v>4</v>
      </c>
      <c r="G65" s="13" t="n">
        <v>4</v>
      </c>
      <c r="H65" s="13">
        <f>G65-F65+1</f>
        <v/>
      </c>
      <c r="I65" s="31" t="n">
        <v>240</v>
      </c>
      <c r="J65" s="13" t="inlineStr">
        <is>
          <t>Con entregable (actividades en hoja «Actividades hasta H2»)</t>
        </is>
      </c>
      <c r="K65" s="34">
        <f>IF(AND(K$5&gt;=$F65,K$5&lt;=$G65),3,"")</f>
        <v/>
      </c>
      <c r="L65" s="34">
        <f>IF(AND(L$5&gt;=$F65,L$5&lt;=$G65),3,"")</f>
        <v/>
      </c>
      <c r="M65" s="34">
        <f>IF(AND(M$5&gt;=$F65,M$5&lt;=$G65),3,"")</f>
        <v/>
      </c>
      <c r="N65" s="34">
        <f>IF(AND(N$5&gt;=$F65,N$5&lt;=$G65),3,"")</f>
        <v/>
      </c>
      <c r="O65" s="34">
        <f>IF(AND(O$5&gt;=$F65,O$5&lt;=$G65),3,"")</f>
        <v/>
      </c>
      <c r="P65" s="34">
        <f>IF(AND(P$5&gt;=$F65,P$5&lt;=$G65),3,"")</f>
        <v/>
      </c>
      <c r="Q65" s="34">
        <f>IF(AND(Q$5&gt;=$F65,Q$5&lt;=$G65),3,"")</f>
        <v/>
      </c>
      <c r="R65" s="34">
        <f>IF(AND(R$5&gt;=$F65,R$5&lt;=$G65),3,"")</f>
        <v/>
      </c>
      <c r="S65" s="34">
        <f>IF(AND(S$5&gt;=$F65,S$5&lt;=$G65),3,"")</f>
        <v/>
      </c>
      <c r="T65" s="34">
        <f>IF(AND(T$5&gt;=$F65,T$5&lt;=$G65),3,"")</f>
        <v/>
      </c>
      <c r="U65" s="34">
        <f>IF(AND(U$5&gt;=$F65,U$5&lt;=$G65),3,"")</f>
        <v/>
      </c>
      <c r="V65" s="34">
        <f>IF(AND(V$5&gt;=$F65,V$5&lt;=$G65),3,"")</f>
        <v/>
      </c>
      <c r="W65" s="34">
        <f>IF(AND(W$5&gt;=$F65,W$5&lt;=$G65),3,"")</f>
        <v/>
      </c>
      <c r="X65" s="34">
        <f>IF(AND(X$5&gt;=$F65,X$5&lt;=$G65),3,"")</f>
        <v/>
      </c>
      <c r="Y65" s="34">
        <f>IF(AND(Y$5&gt;=$F65,Y$5&lt;=$G65),3,"")</f>
        <v/>
      </c>
      <c r="Z65" s="34">
        <f>IF(AND(Z$5&gt;=$F65,Z$5&lt;=$G65),3,"")</f>
        <v/>
      </c>
      <c r="AA65" s="34">
        <f>IF(AND(AA$5&gt;=$F65,AA$5&lt;=$G65),3,"")</f>
        <v/>
      </c>
      <c r="AB65" s="34">
        <f>IF(AND(AB$5&gt;=$F65,AB$5&lt;=$G65),3,"")</f>
        <v/>
      </c>
      <c r="AC65" s="34">
        <f>IF(AND(AC$5&gt;=$F65,AC$5&lt;=$G65),3,"")</f>
        <v/>
      </c>
      <c r="AD65" s="34">
        <f>IF(AND(AD$5&gt;=$F65,AD$5&lt;=$G65),3,"")</f>
        <v/>
      </c>
      <c r="AE65" s="34">
        <f>IF(AND(AE$5&gt;=$F65,AE$5&lt;=$G65),3,"")</f>
        <v/>
      </c>
      <c r="AF65" s="34">
        <f>IF(AND(AF$5&gt;=$F65,AF$5&lt;=$G65),3,"")</f>
        <v/>
      </c>
      <c r="AG65" s="34">
        <f>IF(AND(AG$5&gt;=$F65,AG$5&lt;=$G65),3,"")</f>
        <v/>
      </c>
      <c r="AH65" s="34">
        <f>IF(AND(AH$5&gt;=$F65,AH$5&lt;=$G65),3,"")</f>
        <v/>
      </c>
      <c r="AI65" s="34">
        <f>IF(AND(AI$5&gt;=$F65,AI$5&lt;=$G65),3,"")</f>
        <v/>
      </c>
      <c r="AJ65" s="34">
        <f>IF(AND(AJ$5&gt;=$F65,AJ$5&lt;=$G65),3,"")</f>
        <v/>
      </c>
      <c r="AK65" s="34">
        <f>IF(AND(AK$5&gt;=$F65,AK$5&lt;=$G65),3,"")</f>
        <v/>
      </c>
      <c r="AL65" s="34">
        <f>IF(AND(AL$5&gt;=$F65,AL$5&lt;=$G65),3,"")</f>
        <v/>
      </c>
      <c r="AM65" s="34">
        <f>IF(AND(AM$5&gt;=$F65,AM$5&lt;=$G65),3,"")</f>
        <v/>
      </c>
      <c r="AN65" s="34">
        <f>IF(AND(AN$5&gt;=$F65,AN$5&lt;=$G65),3,"")</f>
        <v/>
      </c>
      <c r="AO65" s="34">
        <f>IF(AND(AO$5&gt;=$F65,AO$5&lt;=$G65),3,"")</f>
        <v/>
      </c>
      <c r="AP65" s="34">
        <f>IF(AND(AP$5&gt;=$F65,AP$5&lt;=$G65),3,"")</f>
        <v/>
      </c>
      <c r="AQ65" s="34">
        <f>IF(AND(AQ$5&gt;=$F65,AQ$5&lt;=$G65),3,"")</f>
        <v/>
      </c>
      <c r="AR65" s="34">
        <f>IF(AND(AR$5&gt;=$F65,AR$5&lt;=$G65),3,"")</f>
        <v/>
      </c>
      <c r="AS65" s="34">
        <f>IF(AND(AS$5&gt;=$F65,AS$5&lt;=$G65),3,"")</f>
        <v/>
      </c>
      <c r="AT65" s="34">
        <f>IF(AND(AT$5&gt;=$F65,AT$5&lt;=$G65),3,"")</f>
        <v/>
      </c>
      <c r="AU65" s="34">
        <f>IF(AND(AU$5&gt;=$F65,AU$5&lt;=$G65),3,"")</f>
        <v/>
      </c>
      <c r="AV65" s="34">
        <f>IF(AND(AV$5&gt;=$F65,AV$5&lt;=$G65),3,"")</f>
        <v/>
      </c>
      <c r="AW65" s="34">
        <f>IF(AND(AW$5&gt;=$F65,AW$5&lt;=$G65),3,"")</f>
        <v/>
      </c>
      <c r="AX65" s="34">
        <f>IF(AND(AX$5&gt;=$F65,AX$5&lt;=$G65),3,"")</f>
        <v/>
      </c>
      <c r="AY65" s="34">
        <f>IF(AND(AY$5&gt;=$F65,AY$5&lt;=$G65),3,"")</f>
        <v/>
      </c>
      <c r="AZ65" s="34">
        <f>IF(AND(AZ$5&gt;=$F65,AZ$5&lt;=$G65),3,"")</f>
        <v/>
      </c>
      <c r="BA65" s="34">
        <f>IF(AND(BA$5&gt;=$F65,BA$5&lt;=$G65),3,"")</f>
        <v/>
      </c>
      <c r="BB65" s="34">
        <f>IF(AND(BB$5&gt;=$F65,BB$5&lt;=$G65),3,"")</f>
        <v/>
      </c>
      <c r="BC65" s="34">
        <f>IF(AND(BC$5&gt;=$F65,BC$5&lt;=$G65),3,"")</f>
        <v/>
      </c>
      <c r="BD65" s="34">
        <f>IF(AND(BD$5&gt;=$F65,BD$5&lt;=$G65),3,"")</f>
        <v/>
      </c>
      <c r="BE65" s="34">
        <f>IF(AND(BE$5&gt;=$F65,BE$5&lt;=$G65),3,"")</f>
        <v/>
      </c>
      <c r="BF65" s="34">
        <f>IF(AND(BF$5&gt;=$F65,BF$5&lt;=$G65),3,"")</f>
        <v/>
      </c>
      <c r="BG65" s="34">
        <f>IF(AND(BG$5&gt;=$F65,BG$5&lt;=$G65),3,"")</f>
        <v/>
      </c>
      <c r="BH65" s="34">
        <f>IF(AND(BH$5&gt;=$F65,BH$5&lt;=$G65),3,"")</f>
        <v/>
      </c>
      <c r="BI65" s="34">
        <f>IF(AND(BI$5&gt;=$F65,BI$5&lt;=$G65),3,"")</f>
        <v/>
      </c>
      <c r="BJ65" s="34">
        <f>IF(AND(BJ$5&gt;=$F65,BJ$5&lt;=$G65),3,"")</f>
        <v/>
      </c>
      <c r="BK65" s="34">
        <f>IF(AND(BK$5&gt;=$F65,BK$5&lt;=$G65),3,"")</f>
        <v/>
      </c>
      <c r="BL65" s="34">
        <f>IF(AND(BL$5&gt;=$F65,BL$5&lt;=$G65),3,"")</f>
        <v/>
      </c>
      <c r="BM65" s="34">
        <f>IF(AND(BM$5&gt;=$F65,BM$5&lt;=$G65),3,"")</f>
        <v/>
      </c>
      <c r="BN65" s="34">
        <f>IF(AND(BN$5&gt;=$F65,BN$5&lt;=$G65),3,"")</f>
        <v/>
      </c>
    </row>
    <row r="66" ht="14.25" customHeight="1" s="36">
      <c r="A66" s="13" t="inlineStr">
        <is>
          <t>3 Construcción</t>
        </is>
      </c>
      <c r="B66" s="13" t="inlineStr">
        <is>
          <t>3.1.5</t>
        </is>
      </c>
      <c r="C66" s="13" t="inlineStr">
        <is>
          <t>Observabilidad de los doce módulos y de los sitios, con tableros para el CLIENTE (H3)</t>
        </is>
      </c>
      <c r="D66" s="13" t="inlineStr">
        <is>
          <t>E</t>
        </is>
      </c>
      <c r="E66" s="13" t="inlineStr">
        <is>
          <t>Operación / SRE</t>
        </is>
      </c>
      <c r="F66" s="13" t="n">
        <v>5</v>
      </c>
      <c r="G66" s="13" t="n">
        <v>5</v>
      </c>
      <c r="H66" s="13">
        <f>G66-F66+1</f>
        <v/>
      </c>
      <c r="I66" s="31" t="n">
        <v>240</v>
      </c>
      <c r="J66" s="13" t="inlineStr">
        <is>
          <t>Con entregable (detalle por planificación gradual)</t>
        </is>
      </c>
      <c r="K66" s="34">
        <f>IF(AND(K$5&gt;=$F66,K$5&lt;=$G66),3,"")</f>
        <v/>
      </c>
      <c r="L66" s="34">
        <f>IF(AND(L$5&gt;=$F66,L$5&lt;=$G66),3,"")</f>
        <v/>
      </c>
      <c r="M66" s="34">
        <f>IF(AND(M$5&gt;=$F66,M$5&lt;=$G66),3,"")</f>
        <v/>
      </c>
      <c r="N66" s="34">
        <f>IF(AND(N$5&gt;=$F66,N$5&lt;=$G66),3,"")</f>
        <v/>
      </c>
      <c r="O66" s="34">
        <f>IF(AND(O$5&gt;=$F66,O$5&lt;=$G66),3,"")</f>
        <v/>
      </c>
      <c r="P66" s="34">
        <f>IF(AND(P$5&gt;=$F66,P$5&lt;=$G66),3,"")</f>
        <v/>
      </c>
      <c r="Q66" s="34">
        <f>IF(AND(Q$5&gt;=$F66,Q$5&lt;=$G66),3,"")</f>
        <v/>
      </c>
      <c r="R66" s="34">
        <f>IF(AND(R$5&gt;=$F66,R$5&lt;=$G66),3,"")</f>
        <v/>
      </c>
      <c r="S66" s="34">
        <f>IF(AND(S$5&gt;=$F66,S$5&lt;=$G66),3,"")</f>
        <v/>
      </c>
      <c r="T66" s="34">
        <f>IF(AND(T$5&gt;=$F66,T$5&lt;=$G66),3,"")</f>
        <v/>
      </c>
      <c r="U66" s="34">
        <f>IF(AND(U$5&gt;=$F66,U$5&lt;=$G66),3,"")</f>
        <v/>
      </c>
      <c r="V66" s="34">
        <f>IF(AND(V$5&gt;=$F66,V$5&lt;=$G66),3,"")</f>
        <v/>
      </c>
      <c r="W66" s="34">
        <f>IF(AND(W$5&gt;=$F66,W$5&lt;=$G66),3,"")</f>
        <v/>
      </c>
      <c r="X66" s="34">
        <f>IF(AND(X$5&gt;=$F66,X$5&lt;=$G66),3,"")</f>
        <v/>
      </c>
      <c r="Y66" s="34">
        <f>IF(AND(Y$5&gt;=$F66,Y$5&lt;=$G66),3,"")</f>
        <v/>
      </c>
      <c r="Z66" s="34">
        <f>IF(AND(Z$5&gt;=$F66,Z$5&lt;=$G66),3,"")</f>
        <v/>
      </c>
      <c r="AA66" s="34">
        <f>IF(AND(AA$5&gt;=$F66,AA$5&lt;=$G66),3,"")</f>
        <v/>
      </c>
      <c r="AB66" s="34">
        <f>IF(AND(AB$5&gt;=$F66,AB$5&lt;=$G66),3,"")</f>
        <v/>
      </c>
      <c r="AC66" s="34">
        <f>IF(AND(AC$5&gt;=$F66,AC$5&lt;=$G66),3,"")</f>
        <v/>
      </c>
      <c r="AD66" s="34">
        <f>IF(AND(AD$5&gt;=$F66,AD$5&lt;=$G66),3,"")</f>
        <v/>
      </c>
      <c r="AE66" s="34">
        <f>IF(AND(AE$5&gt;=$F66,AE$5&lt;=$G66),3,"")</f>
        <v/>
      </c>
      <c r="AF66" s="34">
        <f>IF(AND(AF$5&gt;=$F66,AF$5&lt;=$G66),3,"")</f>
        <v/>
      </c>
      <c r="AG66" s="34">
        <f>IF(AND(AG$5&gt;=$F66,AG$5&lt;=$G66),3,"")</f>
        <v/>
      </c>
      <c r="AH66" s="34">
        <f>IF(AND(AH$5&gt;=$F66,AH$5&lt;=$G66),3,"")</f>
        <v/>
      </c>
      <c r="AI66" s="34">
        <f>IF(AND(AI$5&gt;=$F66,AI$5&lt;=$G66),3,"")</f>
        <v/>
      </c>
      <c r="AJ66" s="34">
        <f>IF(AND(AJ$5&gt;=$F66,AJ$5&lt;=$G66),3,"")</f>
        <v/>
      </c>
      <c r="AK66" s="34">
        <f>IF(AND(AK$5&gt;=$F66,AK$5&lt;=$G66),3,"")</f>
        <v/>
      </c>
      <c r="AL66" s="34">
        <f>IF(AND(AL$5&gt;=$F66,AL$5&lt;=$G66),3,"")</f>
        <v/>
      </c>
      <c r="AM66" s="34">
        <f>IF(AND(AM$5&gt;=$F66,AM$5&lt;=$G66),3,"")</f>
        <v/>
      </c>
      <c r="AN66" s="34">
        <f>IF(AND(AN$5&gt;=$F66,AN$5&lt;=$G66),3,"")</f>
        <v/>
      </c>
      <c r="AO66" s="34">
        <f>IF(AND(AO$5&gt;=$F66,AO$5&lt;=$G66),3,"")</f>
        <v/>
      </c>
      <c r="AP66" s="34">
        <f>IF(AND(AP$5&gt;=$F66,AP$5&lt;=$G66),3,"")</f>
        <v/>
      </c>
      <c r="AQ66" s="34">
        <f>IF(AND(AQ$5&gt;=$F66,AQ$5&lt;=$G66),3,"")</f>
        <v/>
      </c>
      <c r="AR66" s="34">
        <f>IF(AND(AR$5&gt;=$F66,AR$5&lt;=$G66),3,"")</f>
        <v/>
      </c>
      <c r="AS66" s="34">
        <f>IF(AND(AS$5&gt;=$F66,AS$5&lt;=$G66),3,"")</f>
        <v/>
      </c>
      <c r="AT66" s="34">
        <f>IF(AND(AT$5&gt;=$F66,AT$5&lt;=$G66),3,"")</f>
        <v/>
      </c>
      <c r="AU66" s="34">
        <f>IF(AND(AU$5&gt;=$F66,AU$5&lt;=$G66),3,"")</f>
        <v/>
      </c>
      <c r="AV66" s="34">
        <f>IF(AND(AV$5&gt;=$F66,AV$5&lt;=$G66),3,"")</f>
        <v/>
      </c>
      <c r="AW66" s="34">
        <f>IF(AND(AW$5&gt;=$F66,AW$5&lt;=$G66),3,"")</f>
        <v/>
      </c>
      <c r="AX66" s="34">
        <f>IF(AND(AX$5&gt;=$F66,AX$5&lt;=$G66),3,"")</f>
        <v/>
      </c>
      <c r="AY66" s="34">
        <f>IF(AND(AY$5&gt;=$F66,AY$5&lt;=$G66),3,"")</f>
        <v/>
      </c>
      <c r="AZ66" s="34">
        <f>IF(AND(AZ$5&gt;=$F66,AZ$5&lt;=$G66),3,"")</f>
        <v/>
      </c>
      <c r="BA66" s="34">
        <f>IF(AND(BA$5&gt;=$F66,BA$5&lt;=$G66),3,"")</f>
        <v/>
      </c>
      <c r="BB66" s="34">
        <f>IF(AND(BB$5&gt;=$F66,BB$5&lt;=$G66),3,"")</f>
        <v/>
      </c>
      <c r="BC66" s="34">
        <f>IF(AND(BC$5&gt;=$F66,BC$5&lt;=$G66),3,"")</f>
        <v/>
      </c>
      <c r="BD66" s="34">
        <f>IF(AND(BD$5&gt;=$F66,BD$5&lt;=$G66),3,"")</f>
        <v/>
      </c>
      <c r="BE66" s="34">
        <f>IF(AND(BE$5&gt;=$F66,BE$5&lt;=$G66),3,"")</f>
        <v/>
      </c>
      <c r="BF66" s="34">
        <f>IF(AND(BF$5&gt;=$F66,BF$5&lt;=$G66),3,"")</f>
        <v/>
      </c>
      <c r="BG66" s="34">
        <f>IF(AND(BG$5&gt;=$F66,BG$5&lt;=$G66),3,"")</f>
        <v/>
      </c>
      <c r="BH66" s="34">
        <f>IF(AND(BH$5&gt;=$F66,BH$5&lt;=$G66),3,"")</f>
        <v/>
      </c>
      <c r="BI66" s="34">
        <f>IF(AND(BI$5&gt;=$F66,BI$5&lt;=$G66),3,"")</f>
        <v/>
      </c>
      <c r="BJ66" s="34">
        <f>IF(AND(BJ$5&gt;=$F66,BJ$5&lt;=$G66),3,"")</f>
        <v/>
      </c>
      <c r="BK66" s="34">
        <f>IF(AND(BK$5&gt;=$F66,BK$5&lt;=$G66),3,"")</f>
        <v/>
      </c>
      <c r="BL66" s="34">
        <f>IF(AND(BL$5&gt;=$F66,BL$5&lt;=$G66),3,"")</f>
        <v/>
      </c>
      <c r="BM66" s="34">
        <f>IF(AND(BM$5&gt;=$F66,BM$5&lt;=$G66),3,"")</f>
        <v/>
      </c>
      <c r="BN66" s="34">
        <f>IF(AND(BN$5&gt;=$F66,BN$5&lt;=$G66),3,"")</f>
        <v/>
      </c>
    </row>
    <row r="67" ht="14.25" customHeight="1" s="36">
      <c r="A67" s="13" t="inlineStr">
        <is>
          <t>3 Construcción</t>
        </is>
      </c>
      <c r="B67" s="13" t="inlineStr">
        <is>
          <t>3.2.1</t>
        </is>
      </c>
      <c r="C67" s="13" t="inlineStr">
        <is>
          <t>Servicio de nube para la aplicación y los portales</t>
        </is>
      </c>
      <c r="D67" s="13" t="inlineStr">
        <is>
          <t>E</t>
        </is>
      </c>
      <c r="E67" s="13" t="inlineStr">
        <is>
          <t>Operación / SRE</t>
        </is>
      </c>
      <c r="F67" s="13" t="n">
        <v>4</v>
      </c>
      <c r="G67" s="13" t="n">
        <v>4</v>
      </c>
      <c r="H67" s="13">
        <f>G67-F67+1</f>
        <v/>
      </c>
      <c r="I67" s="31" t="n">
        <v>240</v>
      </c>
      <c r="J67" s="13" t="inlineStr">
        <is>
          <t>Con entregable (actividades en hoja «Actividades hasta H2»)</t>
        </is>
      </c>
      <c r="K67" s="34">
        <f>IF(AND(K$5&gt;=$F67,K$5&lt;=$G67),3,"")</f>
        <v/>
      </c>
      <c r="L67" s="34">
        <f>IF(AND(L$5&gt;=$F67,L$5&lt;=$G67),3,"")</f>
        <v/>
      </c>
      <c r="M67" s="34">
        <f>IF(AND(M$5&gt;=$F67,M$5&lt;=$G67),3,"")</f>
        <v/>
      </c>
      <c r="N67" s="34">
        <f>IF(AND(N$5&gt;=$F67,N$5&lt;=$G67),3,"")</f>
        <v/>
      </c>
      <c r="O67" s="34">
        <f>IF(AND(O$5&gt;=$F67,O$5&lt;=$G67),3,"")</f>
        <v/>
      </c>
      <c r="P67" s="34">
        <f>IF(AND(P$5&gt;=$F67,P$5&lt;=$G67),3,"")</f>
        <v/>
      </c>
      <c r="Q67" s="34">
        <f>IF(AND(Q$5&gt;=$F67,Q$5&lt;=$G67),3,"")</f>
        <v/>
      </c>
      <c r="R67" s="34">
        <f>IF(AND(R$5&gt;=$F67,R$5&lt;=$G67),3,"")</f>
        <v/>
      </c>
      <c r="S67" s="34">
        <f>IF(AND(S$5&gt;=$F67,S$5&lt;=$G67),3,"")</f>
        <v/>
      </c>
      <c r="T67" s="34">
        <f>IF(AND(T$5&gt;=$F67,T$5&lt;=$G67),3,"")</f>
        <v/>
      </c>
      <c r="U67" s="34">
        <f>IF(AND(U$5&gt;=$F67,U$5&lt;=$G67),3,"")</f>
        <v/>
      </c>
      <c r="V67" s="34">
        <f>IF(AND(V$5&gt;=$F67,V$5&lt;=$G67),3,"")</f>
        <v/>
      </c>
      <c r="W67" s="34">
        <f>IF(AND(W$5&gt;=$F67,W$5&lt;=$G67),3,"")</f>
        <v/>
      </c>
      <c r="X67" s="34">
        <f>IF(AND(X$5&gt;=$F67,X$5&lt;=$G67),3,"")</f>
        <v/>
      </c>
      <c r="Y67" s="34">
        <f>IF(AND(Y$5&gt;=$F67,Y$5&lt;=$G67),3,"")</f>
        <v/>
      </c>
      <c r="Z67" s="34">
        <f>IF(AND(Z$5&gt;=$F67,Z$5&lt;=$G67),3,"")</f>
        <v/>
      </c>
      <c r="AA67" s="34">
        <f>IF(AND(AA$5&gt;=$F67,AA$5&lt;=$G67),3,"")</f>
        <v/>
      </c>
      <c r="AB67" s="34">
        <f>IF(AND(AB$5&gt;=$F67,AB$5&lt;=$G67),3,"")</f>
        <v/>
      </c>
      <c r="AC67" s="34">
        <f>IF(AND(AC$5&gt;=$F67,AC$5&lt;=$G67),3,"")</f>
        <v/>
      </c>
      <c r="AD67" s="34">
        <f>IF(AND(AD$5&gt;=$F67,AD$5&lt;=$G67),3,"")</f>
        <v/>
      </c>
      <c r="AE67" s="34">
        <f>IF(AND(AE$5&gt;=$F67,AE$5&lt;=$G67),3,"")</f>
        <v/>
      </c>
      <c r="AF67" s="34">
        <f>IF(AND(AF$5&gt;=$F67,AF$5&lt;=$G67),3,"")</f>
        <v/>
      </c>
      <c r="AG67" s="34">
        <f>IF(AND(AG$5&gt;=$F67,AG$5&lt;=$G67),3,"")</f>
        <v/>
      </c>
      <c r="AH67" s="34">
        <f>IF(AND(AH$5&gt;=$F67,AH$5&lt;=$G67),3,"")</f>
        <v/>
      </c>
      <c r="AI67" s="34">
        <f>IF(AND(AI$5&gt;=$F67,AI$5&lt;=$G67),3,"")</f>
        <v/>
      </c>
      <c r="AJ67" s="34">
        <f>IF(AND(AJ$5&gt;=$F67,AJ$5&lt;=$G67),3,"")</f>
        <v/>
      </c>
      <c r="AK67" s="34">
        <f>IF(AND(AK$5&gt;=$F67,AK$5&lt;=$G67),3,"")</f>
        <v/>
      </c>
      <c r="AL67" s="34">
        <f>IF(AND(AL$5&gt;=$F67,AL$5&lt;=$G67),3,"")</f>
        <v/>
      </c>
      <c r="AM67" s="34">
        <f>IF(AND(AM$5&gt;=$F67,AM$5&lt;=$G67),3,"")</f>
        <v/>
      </c>
      <c r="AN67" s="34">
        <f>IF(AND(AN$5&gt;=$F67,AN$5&lt;=$G67),3,"")</f>
        <v/>
      </c>
      <c r="AO67" s="34">
        <f>IF(AND(AO$5&gt;=$F67,AO$5&lt;=$G67),3,"")</f>
        <v/>
      </c>
      <c r="AP67" s="34">
        <f>IF(AND(AP$5&gt;=$F67,AP$5&lt;=$G67),3,"")</f>
        <v/>
      </c>
      <c r="AQ67" s="34">
        <f>IF(AND(AQ$5&gt;=$F67,AQ$5&lt;=$G67),3,"")</f>
        <v/>
      </c>
      <c r="AR67" s="34">
        <f>IF(AND(AR$5&gt;=$F67,AR$5&lt;=$G67),3,"")</f>
        <v/>
      </c>
      <c r="AS67" s="34">
        <f>IF(AND(AS$5&gt;=$F67,AS$5&lt;=$G67),3,"")</f>
        <v/>
      </c>
      <c r="AT67" s="34">
        <f>IF(AND(AT$5&gt;=$F67,AT$5&lt;=$G67),3,"")</f>
        <v/>
      </c>
      <c r="AU67" s="34">
        <f>IF(AND(AU$5&gt;=$F67,AU$5&lt;=$G67),3,"")</f>
        <v/>
      </c>
      <c r="AV67" s="34">
        <f>IF(AND(AV$5&gt;=$F67,AV$5&lt;=$G67),3,"")</f>
        <v/>
      </c>
      <c r="AW67" s="34">
        <f>IF(AND(AW$5&gt;=$F67,AW$5&lt;=$G67),3,"")</f>
        <v/>
      </c>
      <c r="AX67" s="34">
        <f>IF(AND(AX$5&gt;=$F67,AX$5&lt;=$G67),3,"")</f>
        <v/>
      </c>
      <c r="AY67" s="34">
        <f>IF(AND(AY$5&gt;=$F67,AY$5&lt;=$G67),3,"")</f>
        <v/>
      </c>
      <c r="AZ67" s="34">
        <f>IF(AND(AZ$5&gt;=$F67,AZ$5&lt;=$G67),3,"")</f>
        <v/>
      </c>
      <c r="BA67" s="34">
        <f>IF(AND(BA$5&gt;=$F67,BA$5&lt;=$G67),3,"")</f>
        <v/>
      </c>
      <c r="BB67" s="34">
        <f>IF(AND(BB$5&gt;=$F67,BB$5&lt;=$G67),3,"")</f>
        <v/>
      </c>
      <c r="BC67" s="34">
        <f>IF(AND(BC$5&gt;=$F67,BC$5&lt;=$G67),3,"")</f>
        <v/>
      </c>
      <c r="BD67" s="34">
        <f>IF(AND(BD$5&gt;=$F67,BD$5&lt;=$G67),3,"")</f>
        <v/>
      </c>
      <c r="BE67" s="34">
        <f>IF(AND(BE$5&gt;=$F67,BE$5&lt;=$G67),3,"")</f>
        <v/>
      </c>
      <c r="BF67" s="34">
        <f>IF(AND(BF$5&gt;=$F67,BF$5&lt;=$G67),3,"")</f>
        <v/>
      </c>
      <c r="BG67" s="34">
        <f>IF(AND(BG$5&gt;=$F67,BG$5&lt;=$G67),3,"")</f>
        <v/>
      </c>
      <c r="BH67" s="34">
        <f>IF(AND(BH$5&gt;=$F67,BH$5&lt;=$G67),3,"")</f>
        <v/>
      </c>
      <c r="BI67" s="34">
        <f>IF(AND(BI$5&gt;=$F67,BI$5&lt;=$G67),3,"")</f>
        <v/>
      </c>
      <c r="BJ67" s="34">
        <f>IF(AND(BJ$5&gt;=$F67,BJ$5&lt;=$G67),3,"")</f>
        <v/>
      </c>
      <c r="BK67" s="34">
        <f>IF(AND(BK$5&gt;=$F67,BK$5&lt;=$G67),3,"")</f>
        <v/>
      </c>
      <c r="BL67" s="34">
        <f>IF(AND(BL$5&gt;=$F67,BL$5&lt;=$G67),3,"")</f>
        <v/>
      </c>
      <c r="BM67" s="34">
        <f>IF(AND(BM$5&gt;=$F67,BM$5&lt;=$G67),3,"")</f>
        <v/>
      </c>
      <c r="BN67" s="34">
        <f>IF(AND(BN$5&gt;=$F67,BN$5&lt;=$G67),3,"")</f>
        <v/>
      </c>
    </row>
    <row r="68" ht="14.25" customHeight="1" s="36">
      <c r="A68" s="13" t="inlineStr">
        <is>
          <t>3 Construcción</t>
        </is>
      </c>
      <c r="B68" s="13" t="inlineStr">
        <is>
          <t>3.2.2</t>
        </is>
      </c>
      <c r="C68" s="13" t="inlineStr">
        <is>
          <t>Servicio de nube de base de datos, caché y mensajería</t>
        </is>
      </c>
      <c r="D68" s="13" t="inlineStr">
        <is>
          <t>E</t>
        </is>
      </c>
      <c r="E68" s="13" t="inlineStr">
        <is>
          <t>Operación / SRE</t>
        </is>
      </c>
      <c r="F68" s="13" t="n">
        <v>4</v>
      </c>
      <c r="G68" s="13" t="n">
        <v>4</v>
      </c>
      <c r="H68" s="13">
        <f>G68-F68+1</f>
        <v/>
      </c>
      <c r="I68" s="31" t="n">
        <v>240</v>
      </c>
      <c r="J68" s="13" t="inlineStr">
        <is>
          <t>Con entregable (actividades en hoja «Actividades hasta H2»)</t>
        </is>
      </c>
      <c r="K68" s="34">
        <f>IF(AND(K$5&gt;=$F68,K$5&lt;=$G68),3,"")</f>
        <v/>
      </c>
      <c r="L68" s="34">
        <f>IF(AND(L$5&gt;=$F68,L$5&lt;=$G68),3,"")</f>
        <v/>
      </c>
      <c r="M68" s="34">
        <f>IF(AND(M$5&gt;=$F68,M$5&lt;=$G68),3,"")</f>
        <v/>
      </c>
      <c r="N68" s="34">
        <f>IF(AND(N$5&gt;=$F68,N$5&lt;=$G68),3,"")</f>
        <v/>
      </c>
      <c r="O68" s="34">
        <f>IF(AND(O$5&gt;=$F68,O$5&lt;=$G68),3,"")</f>
        <v/>
      </c>
      <c r="P68" s="34">
        <f>IF(AND(P$5&gt;=$F68,P$5&lt;=$G68),3,"")</f>
        <v/>
      </c>
      <c r="Q68" s="34">
        <f>IF(AND(Q$5&gt;=$F68,Q$5&lt;=$G68),3,"")</f>
        <v/>
      </c>
      <c r="R68" s="34">
        <f>IF(AND(R$5&gt;=$F68,R$5&lt;=$G68),3,"")</f>
        <v/>
      </c>
      <c r="S68" s="34">
        <f>IF(AND(S$5&gt;=$F68,S$5&lt;=$G68),3,"")</f>
        <v/>
      </c>
      <c r="T68" s="34">
        <f>IF(AND(T$5&gt;=$F68,T$5&lt;=$G68),3,"")</f>
        <v/>
      </c>
      <c r="U68" s="34">
        <f>IF(AND(U$5&gt;=$F68,U$5&lt;=$G68),3,"")</f>
        <v/>
      </c>
      <c r="V68" s="34">
        <f>IF(AND(V$5&gt;=$F68,V$5&lt;=$G68),3,"")</f>
        <v/>
      </c>
      <c r="W68" s="34">
        <f>IF(AND(W$5&gt;=$F68,W$5&lt;=$G68),3,"")</f>
        <v/>
      </c>
      <c r="X68" s="34">
        <f>IF(AND(X$5&gt;=$F68,X$5&lt;=$G68),3,"")</f>
        <v/>
      </c>
      <c r="Y68" s="34">
        <f>IF(AND(Y$5&gt;=$F68,Y$5&lt;=$G68),3,"")</f>
        <v/>
      </c>
      <c r="Z68" s="34">
        <f>IF(AND(Z$5&gt;=$F68,Z$5&lt;=$G68),3,"")</f>
        <v/>
      </c>
      <c r="AA68" s="34">
        <f>IF(AND(AA$5&gt;=$F68,AA$5&lt;=$G68),3,"")</f>
        <v/>
      </c>
      <c r="AB68" s="34">
        <f>IF(AND(AB$5&gt;=$F68,AB$5&lt;=$G68),3,"")</f>
        <v/>
      </c>
      <c r="AC68" s="34">
        <f>IF(AND(AC$5&gt;=$F68,AC$5&lt;=$G68),3,"")</f>
        <v/>
      </c>
      <c r="AD68" s="34">
        <f>IF(AND(AD$5&gt;=$F68,AD$5&lt;=$G68),3,"")</f>
        <v/>
      </c>
      <c r="AE68" s="34">
        <f>IF(AND(AE$5&gt;=$F68,AE$5&lt;=$G68),3,"")</f>
        <v/>
      </c>
      <c r="AF68" s="34">
        <f>IF(AND(AF$5&gt;=$F68,AF$5&lt;=$G68),3,"")</f>
        <v/>
      </c>
      <c r="AG68" s="34">
        <f>IF(AND(AG$5&gt;=$F68,AG$5&lt;=$G68),3,"")</f>
        <v/>
      </c>
      <c r="AH68" s="34">
        <f>IF(AND(AH$5&gt;=$F68,AH$5&lt;=$G68),3,"")</f>
        <v/>
      </c>
      <c r="AI68" s="34">
        <f>IF(AND(AI$5&gt;=$F68,AI$5&lt;=$G68),3,"")</f>
        <v/>
      </c>
      <c r="AJ68" s="34">
        <f>IF(AND(AJ$5&gt;=$F68,AJ$5&lt;=$G68),3,"")</f>
        <v/>
      </c>
      <c r="AK68" s="34">
        <f>IF(AND(AK$5&gt;=$F68,AK$5&lt;=$G68),3,"")</f>
        <v/>
      </c>
      <c r="AL68" s="34">
        <f>IF(AND(AL$5&gt;=$F68,AL$5&lt;=$G68),3,"")</f>
        <v/>
      </c>
      <c r="AM68" s="34">
        <f>IF(AND(AM$5&gt;=$F68,AM$5&lt;=$G68),3,"")</f>
        <v/>
      </c>
      <c r="AN68" s="34">
        <f>IF(AND(AN$5&gt;=$F68,AN$5&lt;=$G68),3,"")</f>
        <v/>
      </c>
      <c r="AO68" s="34">
        <f>IF(AND(AO$5&gt;=$F68,AO$5&lt;=$G68),3,"")</f>
        <v/>
      </c>
      <c r="AP68" s="34">
        <f>IF(AND(AP$5&gt;=$F68,AP$5&lt;=$G68),3,"")</f>
        <v/>
      </c>
      <c r="AQ68" s="34">
        <f>IF(AND(AQ$5&gt;=$F68,AQ$5&lt;=$G68),3,"")</f>
        <v/>
      </c>
      <c r="AR68" s="34">
        <f>IF(AND(AR$5&gt;=$F68,AR$5&lt;=$G68),3,"")</f>
        <v/>
      </c>
      <c r="AS68" s="34">
        <f>IF(AND(AS$5&gt;=$F68,AS$5&lt;=$G68),3,"")</f>
        <v/>
      </c>
      <c r="AT68" s="34">
        <f>IF(AND(AT$5&gt;=$F68,AT$5&lt;=$G68),3,"")</f>
        <v/>
      </c>
      <c r="AU68" s="34">
        <f>IF(AND(AU$5&gt;=$F68,AU$5&lt;=$G68),3,"")</f>
        <v/>
      </c>
      <c r="AV68" s="34">
        <f>IF(AND(AV$5&gt;=$F68,AV$5&lt;=$G68),3,"")</f>
        <v/>
      </c>
      <c r="AW68" s="34">
        <f>IF(AND(AW$5&gt;=$F68,AW$5&lt;=$G68),3,"")</f>
        <v/>
      </c>
      <c r="AX68" s="34">
        <f>IF(AND(AX$5&gt;=$F68,AX$5&lt;=$G68),3,"")</f>
        <v/>
      </c>
      <c r="AY68" s="34">
        <f>IF(AND(AY$5&gt;=$F68,AY$5&lt;=$G68),3,"")</f>
        <v/>
      </c>
      <c r="AZ68" s="34">
        <f>IF(AND(AZ$5&gt;=$F68,AZ$5&lt;=$G68),3,"")</f>
        <v/>
      </c>
      <c r="BA68" s="34">
        <f>IF(AND(BA$5&gt;=$F68,BA$5&lt;=$G68),3,"")</f>
        <v/>
      </c>
      <c r="BB68" s="34">
        <f>IF(AND(BB$5&gt;=$F68,BB$5&lt;=$G68),3,"")</f>
        <v/>
      </c>
      <c r="BC68" s="34">
        <f>IF(AND(BC$5&gt;=$F68,BC$5&lt;=$G68),3,"")</f>
        <v/>
      </c>
      <c r="BD68" s="34">
        <f>IF(AND(BD$5&gt;=$F68,BD$5&lt;=$G68),3,"")</f>
        <v/>
      </c>
      <c r="BE68" s="34">
        <f>IF(AND(BE$5&gt;=$F68,BE$5&lt;=$G68),3,"")</f>
        <v/>
      </c>
      <c r="BF68" s="34">
        <f>IF(AND(BF$5&gt;=$F68,BF$5&lt;=$G68),3,"")</f>
        <v/>
      </c>
      <c r="BG68" s="34">
        <f>IF(AND(BG$5&gt;=$F68,BG$5&lt;=$G68),3,"")</f>
        <v/>
      </c>
      <c r="BH68" s="34">
        <f>IF(AND(BH$5&gt;=$F68,BH$5&lt;=$G68),3,"")</f>
        <v/>
      </c>
      <c r="BI68" s="34">
        <f>IF(AND(BI$5&gt;=$F68,BI$5&lt;=$G68),3,"")</f>
        <v/>
      </c>
      <c r="BJ68" s="34">
        <f>IF(AND(BJ$5&gt;=$F68,BJ$5&lt;=$G68),3,"")</f>
        <v/>
      </c>
      <c r="BK68" s="34">
        <f>IF(AND(BK$5&gt;=$F68,BK$5&lt;=$G68),3,"")</f>
        <v/>
      </c>
      <c r="BL68" s="34">
        <f>IF(AND(BL$5&gt;=$F68,BL$5&lt;=$G68),3,"")</f>
        <v/>
      </c>
      <c r="BM68" s="34">
        <f>IF(AND(BM$5&gt;=$F68,BM$5&lt;=$G68),3,"")</f>
        <v/>
      </c>
      <c r="BN68" s="34">
        <f>IF(AND(BN$5&gt;=$F68,BN$5&lt;=$G68),3,"")</f>
        <v/>
      </c>
    </row>
    <row r="69" ht="14.25" customHeight="1" s="36">
      <c r="A69" s="13" t="inlineStr">
        <is>
          <t>3 Construcción</t>
        </is>
      </c>
      <c r="B69" s="13" t="inlineStr">
        <is>
          <t>3.2.3</t>
        </is>
      </c>
      <c r="C69" s="13" t="inlineStr">
        <is>
          <t>Servicio de nube de ingesta de IoT, telemetría cruda y plataforma analítica</t>
        </is>
      </c>
      <c r="D69" s="13" t="inlineStr">
        <is>
          <t>E</t>
        </is>
      </c>
      <c r="E69" s="13" t="inlineStr">
        <is>
          <t>Operación / SRE</t>
        </is>
      </c>
      <c r="F69" s="13" t="n">
        <v>4</v>
      </c>
      <c r="G69" s="13" t="n">
        <v>4</v>
      </c>
      <c r="H69" s="13">
        <f>G69-F69+1</f>
        <v/>
      </c>
      <c r="I69" s="31" t="n">
        <v>240</v>
      </c>
      <c r="J69" s="13" t="inlineStr">
        <is>
          <t>Con entregable (actividades en hoja «Actividades hasta H2»)</t>
        </is>
      </c>
      <c r="K69" s="34">
        <f>IF(AND(K$5&gt;=$F69,K$5&lt;=$G69),3,"")</f>
        <v/>
      </c>
      <c r="L69" s="34">
        <f>IF(AND(L$5&gt;=$F69,L$5&lt;=$G69),3,"")</f>
        <v/>
      </c>
      <c r="M69" s="34">
        <f>IF(AND(M$5&gt;=$F69,M$5&lt;=$G69),3,"")</f>
        <v/>
      </c>
      <c r="N69" s="34">
        <f>IF(AND(N$5&gt;=$F69,N$5&lt;=$G69),3,"")</f>
        <v/>
      </c>
      <c r="O69" s="34">
        <f>IF(AND(O$5&gt;=$F69,O$5&lt;=$G69),3,"")</f>
        <v/>
      </c>
      <c r="P69" s="34">
        <f>IF(AND(P$5&gt;=$F69,P$5&lt;=$G69),3,"")</f>
        <v/>
      </c>
      <c r="Q69" s="34">
        <f>IF(AND(Q$5&gt;=$F69,Q$5&lt;=$G69),3,"")</f>
        <v/>
      </c>
      <c r="R69" s="34">
        <f>IF(AND(R$5&gt;=$F69,R$5&lt;=$G69),3,"")</f>
        <v/>
      </c>
      <c r="S69" s="34">
        <f>IF(AND(S$5&gt;=$F69,S$5&lt;=$G69),3,"")</f>
        <v/>
      </c>
      <c r="T69" s="34">
        <f>IF(AND(T$5&gt;=$F69,T$5&lt;=$G69),3,"")</f>
        <v/>
      </c>
      <c r="U69" s="34">
        <f>IF(AND(U$5&gt;=$F69,U$5&lt;=$G69),3,"")</f>
        <v/>
      </c>
      <c r="V69" s="34">
        <f>IF(AND(V$5&gt;=$F69,V$5&lt;=$G69),3,"")</f>
        <v/>
      </c>
      <c r="W69" s="34">
        <f>IF(AND(W$5&gt;=$F69,W$5&lt;=$G69),3,"")</f>
        <v/>
      </c>
      <c r="X69" s="34">
        <f>IF(AND(X$5&gt;=$F69,X$5&lt;=$G69),3,"")</f>
        <v/>
      </c>
      <c r="Y69" s="34">
        <f>IF(AND(Y$5&gt;=$F69,Y$5&lt;=$G69),3,"")</f>
        <v/>
      </c>
      <c r="Z69" s="34">
        <f>IF(AND(Z$5&gt;=$F69,Z$5&lt;=$G69),3,"")</f>
        <v/>
      </c>
      <c r="AA69" s="34">
        <f>IF(AND(AA$5&gt;=$F69,AA$5&lt;=$G69),3,"")</f>
        <v/>
      </c>
      <c r="AB69" s="34">
        <f>IF(AND(AB$5&gt;=$F69,AB$5&lt;=$G69),3,"")</f>
        <v/>
      </c>
      <c r="AC69" s="34">
        <f>IF(AND(AC$5&gt;=$F69,AC$5&lt;=$G69),3,"")</f>
        <v/>
      </c>
      <c r="AD69" s="34">
        <f>IF(AND(AD$5&gt;=$F69,AD$5&lt;=$G69),3,"")</f>
        <v/>
      </c>
      <c r="AE69" s="34">
        <f>IF(AND(AE$5&gt;=$F69,AE$5&lt;=$G69),3,"")</f>
        <v/>
      </c>
      <c r="AF69" s="34">
        <f>IF(AND(AF$5&gt;=$F69,AF$5&lt;=$G69),3,"")</f>
        <v/>
      </c>
      <c r="AG69" s="34">
        <f>IF(AND(AG$5&gt;=$F69,AG$5&lt;=$G69),3,"")</f>
        <v/>
      </c>
      <c r="AH69" s="34">
        <f>IF(AND(AH$5&gt;=$F69,AH$5&lt;=$G69),3,"")</f>
        <v/>
      </c>
      <c r="AI69" s="34">
        <f>IF(AND(AI$5&gt;=$F69,AI$5&lt;=$G69),3,"")</f>
        <v/>
      </c>
      <c r="AJ69" s="34">
        <f>IF(AND(AJ$5&gt;=$F69,AJ$5&lt;=$G69),3,"")</f>
        <v/>
      </c>
      <c r="AK69" s="34">
        <f>IF(AND(AK$5&gt;=$F69,AK$5&lt;=$G69),3,"")</f>
        <v/>
      </c>
      <c r="AL69" s="34">
        <f>IF(AND(AL$5&gt;=$F69,AL$5&lt;=$G69),3,"")</f>
        <v/>
      </c>
      <c r="AM69" s="34">
        <f>IF(AND(AM$5&gt;=$F69,AM$5&lt;=$G69),3,"")</f>
        <v/>
      </c>
      <c r="AN69" s="34">
        <f>IF(AND(AN$5&gt;=$F69,AN$5&lt;=$G69),3,"")</f>
        <v/>
      </c>
      <c r="AO69" s="34">
        <f>IF(AND(AO$5&gt;=$F69,AO$5&lt;=$G69),3,"")</f>
        <v/>
      </c>
      <c r="AP69" s="34">
        <f>IF(AND(AP$5&gt;=$F69,AP$5&lt;=$G69),3,"")</f>
        <v/>
      </c>
      <c r="AQ69" s="34">
        <f>IF(AND(AQ$5&gt;=$F69,AQ$5&lt;=$G69),3,"")</f>
        <v/>
      </c>
      <c r="AR69" s="34">
        <f>IF(AND(AR$5&gt;=$F69,AR$5&lt;=$G69),3,"")</f>
        <v/>
      </c>
      <c r="AS69" s="34">
        <f>IF(AND(AS$5&gt;=$F69,AS$5&lt;=$G69),3,"")</f>
        <v/>
      </c>
      <c r="AT69" s="34">
        <f>IF(AND(AT$5&gt;=$F69,AT$5&lt;=$G69),3,"")</f>
        <v/>
      </c>
      <c r="AU69" s="34">
        <f>IF(AND(AU$5&gt;=$F69,AU$5&lt;=$G69),3,"")</f>
        <v/>
      </c>
      <c r="AV69" s="34">
        <f>IF(AND(AV$5&gt;=$F69,AV$5&lt;=$G69),3,"")</f>
        <v/>
      </c>
      <c r="AW69" s="34">
        <f>IF(AND(AW$5&gt;=$F69,AW$5&lt;=$G69),3,"")</f>
        <v/>
      </c>
      <c r="AX69" s="34">
        <f>IF(AND(AX$5&gt;=$F69,AX$5&lt;=$G69),3,"")</f>
        <v/>
      </c>
      <c r="AY69" s="34">
        <f>IF(AND(AY$5&gt;=$F69,AY$5&lt;=$G69),3,"")</f>
        <v/>
      </c>
      <c r="AZ69" s="34">
        <f>IF(AND(AZ$5&gt;=$F69,AZ$5&lt;=$G69),3,"")</f>
        <v/>
      </c>
      <c r="BA69" s="34">
        <f>IF(AND(BA$5&gt;=$F69,BA$5&lt;=$G69),3,"")</f>
        <v/>
      </c>
      <c r="BB69" s="34">
        <f>IF(AND(BB$5&gt;=$F69,BB$5&lt;=$G69),3,"")</f>
        <v/>
      </c>
      <c r="BC69" s="34">
        <f>IF(AND(BC$5&gt;=$F69,BC$5&lt;=$G69),3,"")</f>
        <v/>
      </c>
      <c r="BD69" s="34">
        <f>IF(AND(BD$5&gt;=$F69,BD$5&lt;=$G69),3,"")</f>
        <v/>
      </c>
      <c r="BE69" s="34">
        <f>IF(AND(BE$5&gt;=$F69,BE$5&lt;=$G69),3,"")</f>
        <v/>
      </c>
      <c r="BF69" s="34">
        <f>IF(AND(BF$5&gt;=$F69,BF$5&lt;=$G69),3,"")</f>
        <v/>
      </c>
      <c r="BG69" s="34">
        <f>IF(AND(BG$5&gt;=$F69,BG$5&lt;=$G69),3,"")</f>
        <v/>
      </c>
      <c r="BH69" s="34">
        <f>IF(AND(BH$5&gt;=$F69,BH$5&lt;=$G69),3,"")</f>
        <v/>
      </c>
      <c r="BI69" s="34">
        <f>IF(AND(BI$5&gt;=$F69,BI$5&lt;=$G69),3,"")</f>
        <v/>
      </c>
      <c r="BJ69" s="34">
        <f>IF(AND(BJ$5&gt;=$F69,BJ$5&lt;=$G69),3,"")</f>
        <v/>
      </c>
      <c r="BK69" s="34">
        <f>IF(AND(BK$5&gt;=$F69,BK$5&lt;=$G69),3,"")</f>
        <v/>
      </c>
      <c r="BL69" s="34">
        <f>IF(AND(BL$5&gt;=$F69,BL$5&lt;=$G69),3,"")</f>
        <v/>
      </c>
      <c r="BM69" s="34">
        <f>IF(AND(BM$5&gt;=$F69,BM$5&lt;=$G69),3,"")</f>
        <v/>
      </c>
      <c r="BN69" s="34">
        <f>IF(AND(BN$5&gt;=$F69,BN$5&lt;=$G69),3,"")</f>
        <v/>
      </c>
    </row>
    <row r="70" ht="14.25" customHeight="1" s="36">
      <c r="A70" s="13" t="inlineStr">
        <is>
          <t>3 Construcción</t>
        </is>
      </c>
      <c r="B70" s="13" t="inlineStr">
        <is>
          <t>3.2.4</t>
        </is>
      </c>
      <c r="C70" s="13" t="inlineStr">
        <is>
          <t>Servicio de nube de respaldo inmutable y réplica entre regiones</t>
        </is>
      </c>
      <c r="D70" s="13" t="inlineStr">
        <is>
          <t>E</t>
        </is>
      </c>
      <c r="E70" s="13" t="inlineStr">
        <is>
          <t>Operación / SRE</t>
        </is>
      </c>
      <c r="F70" s="13" t="n">
        <v>4</v>
      </c>
      <c r="G70" s="13" t="n">
        <v>4</v>
      </c>
      <c r="H70" s="13">
        <f>G70-F70+1</f>
        <v/>
      </c>
      <c r="I70" s="31" t="n">
        <v>240</v>
      </c>
      <c r="J70" s="13" t="inlineStr">
        <is>
          <t>Con entregable (actividades en hoja «Actividades hasta H2»)</t>
        </is>
      </c>
      <c r="K70" s="34">
        <f>IF(AND(K$5&gt;=$F70,K$5&lt;=$G70),3,"")</f>
        <v/>
      </c>
      <c r="L70" s="34">
        <f>IF(AND(L$5&gt;=$F70,L$5&lt;=$G70),3,"")</f>
        <v/>
      </c>
      <c r="M70" s="34">
        <f>IF(AND(M$5&gt;=$F70,M$5&lt;=$G70),3,"")</f>
        <v/>
      </c>
      <c r="N70" s="34">
        <f>IF(AND(N$5&gt;=$F70,N$5&lt;=$G70),3,"")</f>
        <v/>
      </c>
      <c r="O70" s="34">
        <f>IF(AND(O$5&gt;=$F70,O$5&lt;=$G70),3,"")</f>
        <v/>
      </c>
      <c r="P70" s="34">
        <f>IF(AND(P$5&gt;=$F70,P$5&lt;=$G70),3,"")</f>
        <v/>
      </c>
      <c r="Q70" s="34">
        <f>IF(AND(Q$5&gt;=$F70,Q$5&lt;=$G70),3,"")</f>
        <v/>
      </c>
      <c r="R70" s="34">
        <f>IF(AND(R$5&gt;=$F70,R$5&lt;=$G70),3,"")</f>
        <v/>
      </c>
      <c r="S70" s="34">
        <f>IF(AND(S$5&gt;=$F70,S$5&lt;=$G70),3,"")</f>
        <v/>
      </c>
      <c r="T70" s="34">
        <f>IF(AND(T$5&gt;=$F70,T$5&lt;=$G70),3,"")</f>
        <v/>
      </c>
      <c r="U70" s="34">
        <f>IF(AND(U$5&gt;=$F70,U$5&lt;=$G70),3,"")</f>
        <v/>
      </c>
      <c r="V70" s="34">
        <f>IF(AND(V$5&gt;=$F70,V$5&lt;=$G70),3,"")</f>
        <v/>
      </c>
      <c r="W70" s="34">
        <f>IF(AND(W$5&gt;=$F70,W$5&lt;=$G70),3,"")</f>
        <v/>
      </c>
      <c r="X70" s="34">
        <f>IF(AND(X$5&gt;=$F70,X$5&lt;=$G70),3,"")</f>
        <v/>
      </c>
      <c r="Y70" s="34">
        <f>IF(AND(Y$5&gt;=$F70,Y$5&lt;=$G70),3,"")</f>
        <v/>
      </c>
      <c r="Z70" s="34">
        <f>IF(AND(Z$5&gt;=$F70,Z$5&lt;=$G70),3,"")</f>
        <v/>
      </c>
      <c r="AA70" s="34">
        <f>IF(AND(AA$5&gt;=$F70,AA$5&lt;=$G70),3,"")</f>
        <v/>
      </c>
      <c r="AB70" s="34">
        <f>IF(AND(AB$5&gt;=$F70,AB$5&lt;=$G70),3,"")</f>
        <v/>
      </c>
      <c r="AC70" s="34">
        <f>IF(AND(AC$5&gt;=$F70,AC$5&lt;=$G70),3,"")</f>
        <v/>
      </c>
      <c r="AD70" s="34">
        <f>IF(AND(AD$5&gt;=$F70,AD$5&lt;=$G70),3,"")</f>
        <v/>
      </c>
      <c r="AE70" s="34">
        <f>IF(AND(AE$5&gt;=$F70,AE$5&lt;=$G70),3,"")</f>
        <v/>
      </c>
      <c r="AF70" s="34">
        <f>IF(AND(AF$5&gt;=$F70,AF$5&lt;=$G70),3,"")</f>
        <v/>
      </c>
      <c r="AG70" s="34">
        <f>IF(AND(AG$5&gt;=$F70,AG$5&lt;=$G70),3,"")</f>
        <v/>
      </c>
      <c r="AH70" s="34">
        <f>IF(AND(AH$5&gt;=$F70,AH$5&lt;=$G70),3,"")</f>
        <v/>
      </c>
      <c r="AI70" s="34">
        <f>IF(AND(AI$5&gt;=$F70,AI$5&lt;=$G70),3,"")</f>
        <v/>
      </c>
      <c r="AJ70" s="34">
        <f>IF(AND(AJ$5&gt;=$F70,AJ$5&lt;=$G70),3,"")</f>
        <v/>
      </c>
      <c r="AK70" s="34">
        <f>IF(AND(AK$5&gt;=$F70,AK$5&lt;=$G70),3,"")</f>
        <v/>
      </c>
      <c r="AL70" s="34">
        <f>IF(AND(AL$5&gt;=$F70,AL$5&lt;=$G70),3,"")</f>
        <v/>
      </c>
      <c r="AM70" s="34">
        <f>IF(AND(AM$5&gt;=$F70,AM$5&lt;=$G70),3,"")</f>
        <v/>
      </c>
      <c r="AN70" s="34">
        <f>IF(AND(AN$5&gt;=$F70,AN$5&lt;=$G70),3,"")</f>
        <v/>
      </c>
      <c r="AO70" s="34">
        <f>IF(AND(AO$5&gt;=$F70,AO$5&lt;=$G70),3,"")</f>
        <v/>
      </c>
      <c r="AP70" s="34">
        <f>IF(AND(AP$5&gt;=$F70,AP$5&lt;=$G70),3,"")</f>
        <v/>
      </c>
      <c r="AQ70" s="34">
        <f>IF(AND(AQ$5&gt;=$F70,AQ$5&lt;=$G70),3,"")</f>
        <v/>
      </c>
      <c r="AR70" s="34">
        <f>IF(AND(AR$5&gt;=$F70,AR$5&lt;=$G70),3,"")</f>
        <v/>
      </c>
      <c r="AS70" s="34">
        <f>IF(AND(AS$5&gt;=$F70,AS$5&lt;=$G70),3,"")</f>
        <v/>
      </c>
      <c r="AT70" s="34">
        <f>IF(AND(AT$5&gt;=$F70,AT$5&lt;=$G70),3,"")</f>
        <v/>
      </c>
      <c r="AU70" s="34">
        <f>IF(AND(AU$5&gt;=$F70,AU$5&lt;=$G70),3,"")</f>
        <v/>
      </c>
      <c r="AV70" s="34">
        <f>IF(AND(AV$5&gt;=$F70,AV$5&lt;=$G70),3,"")</f>
        <v/>
      </c>
      <c r="AW70" s="34">
        <f>IF(AND(AW$5&gt;=$F70,AW$5&lt;=$G70),3,"")</f>
        <v/>
      </c>
      <c r="AX70" s="34">
        <f>IF(AND(AX$5&gt;=$F70,AX$5&lt;=$G70),3,"")</f>
        <v/>
      </c>
      <c r="AY70" s="34">
        <f>IF(AND(AY$5&gt;=$F70,AY$5&lt;=$G70),3,"")</f>
        <v/>
      </c>
      <c r="AZ70" s="34">
        <f>IF(AND(AZ$5&gt;=$F70,AZ$5&lt;=$G70),3,"")</f>
        <v/>
      </c>
      <c r="BA70" s="34">
        <f>IF(AND(BA$5&gt;=$F70,BA$5&lt;=$G70),3,"")</f>
        <v/>
      </c>
      <c r="BB70" s="34">
        <f>IF(AND(BB$5&gt;=$F70,BB$5&lt;=$G70),3,"")</f>
        <v/>
      </c>
      <c r="BC70" s="34">
        <f>IF(AND(BC$5&gt;=$F70,BC$5&lt;=$G70),3,"")</f>
        <v/>
      </c>
      <c r="BD70" s="34">
        <f>IF(AND(BD$5&gt;=$F70,BD$5&lt;=$G70),3,"")</f>
        <v/>
      </c>
      <c r="BE70" s="34">
        <f>IF(AND(BE$5&gt;=$F70,BE$5&lt;=$G70),3,"")</f>
        <v/>
      </c>
      <c r="BF70" s="34">
        <f>IF(AND(BF$5&gt;=$F70,BF$5&lt;=$G70),3,"")</f>
        <v/>
      </c>
      <c r="BG70" s="34">
        <f>IF(AND(BG$5&gt;=$F70,BG$5&lt;=$G70),3,"")</f>
        <v/>
      </c>
      <c r="BH70" s="34">
        <f>IF(AND(BH$5&gt;=$F70,BH$5&lt;=$G70),3,"")</f>
        <v/>
      </c>
      <c r="BI70" s="34">
        <f>IF(AND(BI$5&gt;=$F70,BI$5&lt;=$G70),3,"")</f>
        <v/>
      </c>
      <c r="BJ70" s="34">
        <f>IF(AND(BJ$5&gt;=$F70,BJ$5&lt;=$G70),3,"")</f>
        <v/>
      </c>
      <c r="BK70" s="34">
        <f>IF(AND(BK$5&gt;=$F70,BK$5&lt;=$G70),3,"")</f>
        <v/>
      </c>
      <c r="BL70" s="34">
        <f>IF(AND(BL$5&gt;=$F70,BL$5&lt;=$G70),3,"")</f>
        <v/>
      </c>
      <c r="BM70" s="34">
        <f>IF(AND(BM$5&gt;=$F70,BM$5&lt;=$G70),3,"")</f>
        <v/>
      </c>
      <c r="BN70" s="34">
        <f>IF(AND(BN$5&gt;=$F70,BN$5&lt;=$G70),3,"")</f>
        <v/>
      </c>
    </row>
    <row r="71" ht="14.25" customHeight="1" s="36">
      <c r="A71" s="13" t="inlineStr">
        <is>
          <t>3 Construcción</t>
        </is>
      </c>
      <c r="B71" s="13" t="inlineStr">
        <is>
          <t>3.2.5</t>
        </is>
      </c>
      <c r="C71" s="13" t="inlineStr">
        <is>
          <t>Servicio de nube de seguridad y gobierno, y detección en endpoints</t>
        </is>
      </c>
      <c r="D71" s="13" t="inlineStr">
        <is>
          <t>E</t>
        </is>
      </c>
      <c r="E71" s="13" t="inlineStr">
        <is>
          <t>Seguridad</t>
        </is>
      </c>
      <c r="F71" s="13" t="n">
        <v>4</v>
      </c>
      <c r="G71" s="13" t="n">
        <v>4</v>
      </c>
      <c r="H71" s="13">
        <f>G71-F71+1</f>
        <v/>
      </c>
      <c r="I71" s="31" t="n">
        <v>240</v>
      </c>
      <c r="J71" s="13" t="inlineStr">
        <is>
          <t>Con entregable (actividades en hoja «Actividades hasta H2»)</t>
        </is>
      </c>
      <c r="K71" s="34">
        <f>IF(AND(K$5&gt;=$F71,K$5&lt;=$G71),3,"")</f>
        <v/>
      </c>
      <c r="L71" s="34">
        <f>IF(AND(L$5&gt;=$F71,L$5&lt;=$G71),3,"")</f>
        <v/>
      </c>
      <c r="M71" s="34">
        <f>IF(AND(M$5&gt;=$F71,M$5&lt;=$G71),3,"")</f>
        <v/>
      </c>
      <c r="N71" s="34">
        <f>IF(AND(N$5&gt;=$F71,N$5&lt;=$G71),3,"")</f>
        <v/>
      </c>
      <c r="O71" s="34">
        <f>IF(AND(O$5&gt;=$F71,O$5&lt;=$G71),3,"")</f>
        <v/>
      </c>
      <c r="P71" s="34">
        <f>IF(AND(P$5&gt;=$F71,P$5&lt;=$G71),3,"")</f>
        <v/>
      </c>
      <c r="Q71" s="34">
        <f>IF(AND(Q$5&gt;=$F71,Q$5&lt;=$G71),3,"")</f>
        <v/>
      </c>
      <c r="R71" s="34">
        <f>IF(AND(R$5&gt;=$F71,R$5&lt;=$G71),3,"")</f>
        <v/>
      </c>
      <c r="S71" s="34">
        <f>IF(AND(S$5&gt;=$F71,S$5&lt;=$G71),3,"")</f>
        <v/>
      </c>
      <c r="T71" s="34">
        <f>IF(AND(T$5&gt;=$F71,T$5&lt;=$G71),3,"")</f>
        <v/>
      </c>
      <c r="U71" s="34">
        <f>IF(AND(U$5&gt;=$F71,U$5&lt;=$G71),3,"")</f>
        <v/>
      </c>
      <c r="V71" s="34">
        <f>IF(AND(V$5&gt;=$F71,V$5&lt;=$G71),3,"")</f>
        <v/>
      </c>
      <c r="W71" s="34">
        <f>IF(AND(W$5&gt;=$F71,W$5&lt;=$G71),3,"")</f>
        <v/>
      </c>
      <c r="X71" s="34">
        <f>IF(AND(X$5&gt;=$F71,X$5&lt;=$G71),3,"")</f>
        <v/>
      </c>
      <c r="Y71" s="34">
        <f>IF(AND(Y$5&gt;=$F71,Y$5&lt;=$G71),3,"")</f>
        <v/>
      </c>
      <c r="Z71" s="34">
        <f>IF(AND(Z$5&gt;=$F71,Z$5&lt;=$G71),3,"")</f>
        <v/>
      </c>
      <c r="AA71" s="34">
        <f>IF(AND(AA$5&gt;=$F71,AA$5&lt;=$G71),3,"")</f>
        <v/>
      </c>
      <c r="AB71" s="34">
        <f>IF(AND(AB$5&gt;=$F71,AB$5&lt;=$G71),3,"")</f>
        <v/>
      </c>
      <c r="AC71" s="34">
        <f>IF(AND(AC$5&gt;=$F71,AC$5&lt;=$G71),3,"")</f>
        <v/>
      </c>
      <c r="AD71" s="34">
        <f>IF(AND(AD$5&gt;=$F71,AD$5&lt;=$G71),3,"")</f>
        <v/>
      </c>
      <c r="AE71" s="34">
        <f>IF(AND(AE$5&gt;=$F71,AE$5&lt;=$G71),3,"")</f>
        <v/>
      </c>
      <c r="AF71" s="34">
        <f>IF(AND(AF$5&gt;=$F71,AF$5&lt;=$G71),3,"")</f>
        <v/>
      </c>
      <c r="AG71" s="34">
        <f>IF(AND(AG$5&gt;=$F71,AG$5&lt;=$G71),3,"")</f>
        <v/>
      </c>
      <c r="AH71" s="34">
        <f>IF(AND(AH$5&gt;=$F71,AH$5&lt;=$G71),3,"")</f>
        <v/>
      </c>
      <c r="AI71" s="34">
        <f>IF(AND(AI$5&gt;=$F71,AI$5&lt;=$G71),3,"")</f>
        <v/>
      </c>
      <c r="AJ71" s="34">
        <f>IF(AND(AJ$5&gt;=$F71,AJ$5&lt;=$G71),3,"")</f>
        <v/>
      </c>
      <c r="AK71" s="34">
        <f>IF(AND(AK$5&gt;=$F71,AK$5&lt;=$G71),3,"")</f>
        <v/>
      </c>
      <c r="AL71" s="34">
        <f>IF(AND(AL$5&gt;=$F71,AL$5&lt;=$G71),3,"")</f>
        <v/>
      </c>
      <c r="AM71" s="34">
        <f>IF(AND(AM$5&gt;=$F71,AM$5&lt;=$G71),3,"")</f>
        <v/>
      </c>
      <c r="AN71" s="34">
        <f>IF(AND(AN$5&gt;=$F71,AN$5&lt;=$G71),3,"")</f>
        <v/>
      </c>
      <c r="AO71" s="34">
        <f>IF(AND(AO$5&gt;=$F71,AO$5&lt;=$G71),3,"")</f>
        <v/>
      </c>
      <c r="AP71" s="34">
        <f>IF(AND(AP$5&gt;=$F71,AP$5&lt;=$G71),3,"")</f>
        <v/>
      </c>
      <c r="AQ71" s="34">
        <f>IF(AND(AQ$5&gt;=$F71,AQ$5&lt;=$G71),3,"")</f>
        <v/>
      </c>
      <c r="AR71" s="34">
        <f>IF(AND(AR$5&gt;=$F71,AR$5&lt;=$G71),3,"")</f>
        <v/>
      </c>
      <c r="AS71" s="34">
        <f>IF(AND(AS$5&gt;=$F71,AS$5&lt;=$G71),3,"")</f>
        <v/>
      </c>
      <c r="AT71" s="34">
        <f>IF(AND(AT$5&gt;=$F71,AT$5&lt;=$G71),3,"")</f>
        <v/>
      </c>
      <c r="AU71" s="34">
        <f>IF(AND(AU$5&gt;=$F71,AU$5&lt;=$G71),3,"")</f>
        <v/>
      </c>
      <c r="AV71" s="34">
        <f>IF(AND(AV$5&gt;=$F71,AV$5&lt;=$G71),3,"")</f>
        <v/>
      </c>
      <c r="AW71" s="34">
        <f>IF(AND(AW$5&gt;=$F71,AW$5&lt;=$G71),3,"")</f>
        <v/>
      </c>
      <c r="AX71" s="34">
        <f>IF(AND(AX$5&gt;=$F71,AX$5&lt;=$G71),3,"")</f>
        <v/>
      </c>
      <c r="AY71" s="34">
        <f>IF(AND(AY$5&gt;=$F71,AY$5&lt;=$G71),3,"")</f>
        <v/>
      </c>
      <c r="AZ71" s="34">
        <f>IF(AND(AZ$5&gt;=$F71,AZ$5&lt;=$G71),3,"")</f>
        <v/>
      </c>
      <c r="BA71" s="34">
        <f>IF(AND(BA$5&gt;=$F71,BA$5&lt;=$G71),3,"")</f>
        <v/>
      </c>
      <c r="BB71" s="34">
        <f>IF(AND(BB$5&gt;=$F71,BB$5&lt;=$G71),3,"")</f>
        <v/>
      </c>
      <c r="BC71" s="34">
        <f>IF(AND(BC$5&gt;=$F71,BC$5&lt;=$G71),3,"")</f>
        <v/>
      </c>
      <c r="BD71" s="34">
        <f>IF(AND(BD$5&gt;=$F71,BD$5&lt;=$G71),3,"")</f>
        <v/>
      </c>
      <c r="BE71" s="34">
        <f>IF(AND(BE$5&gt;=$F71,BE$5&lt;=$G71),3,"")</f>
        <v/>
      </c>
      <c r="BF71" s="34">
        <f>IF(AND(BF$5&gt;=$F71,BF$5&lt;=$G71),3,"")</f>
        <v/>
      </c>
      <c r="BG71" s="34">
        <f>IF(AND(BG$5&gt;=$F71,BG$5&lt;=$G71),3,"")</f>
        <v/>
      </c>
      <c r="BH71" s="34">
        <f>IF(AND(BH$5&gt;=$F71,BH$5&lt;=$G71),3,"")</f>
        <v/>
      </c>
      <c r="BI71" s="34">
        <f>IF(AND(BI$5&gt;=$F71,BI$5&lt;=$G71),3,"")</f>
        <v/>
      </c>
      <c r="BJ71" s="34">
        <f>IF(AND(BJ$5&gt;=$F71,BJ$5&lt;=$G71),3,"")</f>
        <v/>
      </c>
      <c r="BK71" s="34">
        <f>IF(AND(BK$5&gt;=$F71,BK$5&lt;=$G71),3,"")</f>
        <v/>
      </c>
      <c r="BL71" s="34">
        <f>IF(AND(BL$5&gt;=$F71,BL$5&lt;=$G71),3,"")</f>
        <v/>
      </c>
      <c r="BM71" s="34">
        <f>IF(AND(BM$5&gt;=$F71,BM$5&lt;=$G71),3,"")</f>
        <v/>
      </c>
      <c r="BN71" s="34">
        <f>IF(AND(BN$5&gt;=$F71,BN$5&lt;=$G71),3,"")</f>
        <v/>
      </c>
    </row>
    <row r="72" ht="14.25" customHeight="1" s="36">
      <c r="A72" s="13" t="inlineStr">
        <is>
          <t>3 Construcción</t>
        </is>
      </c>
      <c r="B72" s="13" t="inlineStr">
        <is>
          <t>3.2.6</t>
        </is>
      </c>
      <c r="C72" s="13" t="inlineStr">
        <is>
          <t>Servicio de gestión de dispositivos móviles</t>
        </is>
      </c>
      <c r="D72" s="13" t="inlineStr">
        <is>
          <t>E</t>
        </is>
      </c>
      <c r="E72" s="13" t="inlineStr">
        <is>
          <t>Operación / SRE</t>
        </is>
      </c>
      <c r="F72" s="13" t="n">
        <v>5</v>
      </c>
      <c r="G72" s="13" t="n">
        <v>5</v>
      </c>
      <c r="H72" s="13">
        <f>G72-F72+1</f>
        <v/>
      </c>
      <c r="I72" s="31" t="n">
        <v>240</v>
      </c>
      <c r="J72" s="13" t="inlineStr">
        <is>
          <t>Con entregable (detalle por planificación gradual)</t>
        </is>
      </c>
      <c r="K72" s="34">
        <f>IF(AND(K$5&gt;=$F72,K$5&lt;=$G72),3,"")</f>
        <v/>
      </c>
      <c r="L72" s="34">
        <f>IF(AND(L$5&gt;=$F72,L$5&lt;=$G72),3,"")</f>
        <v/>
      </c>
      <c r="M72" s="34">
        <f>IF(AND(M$5&gt;=$F72,M$5&lt;=$G72),3,"")</f>
        <v/>
      </c>
      <c r="N72" s="34">
        <f>IF(AND(N$5&gt;=$F72,N$5&lt;=$G72),3,"")</f>
        <v/>
      </c>
      <c r="O72" s="34">
        <f>IF(AND(O$5&gt;=$F72,O$5&lt;=$G72),3,"")</f>
        <v/>
      </c>
      <c r="P72" s="34">
        <f>IF(AND(P$5&gt;=$F72,P$5&lt;=$G72),3,"")</f>
        <v/>
      </c>
      <c r="Q72" s="34">
        <f>IF(AND(Q$5&gt;=$F72,Q$5&lt;=$G72),3,"")</f>
        <v/>
      </c>
      <c r="R72" s="34">
        <f>IF(AND(R$5&gt;=$F72,R$5&lt;=$G72),3,"")</f>
        <v/>
      </c>
      <c r="S72" s="34">
        <f>IF(AND(S$5&gt;=$F72,S$5&lt;=$G72),3,"")</f>
        <v/>
      </c>
      <c r="T72" s="34">
        <f>IF(AND(T$5&gt;=$F72,T$5&lt;=$G72),3,"")</f>
        <v/>
      </c>
      <c r="U72" s="34">
        <f>IF(AND(U$5&gt;=$F72,U$5&lt;=$G72),3,"")</f>
        <v/>
      </c>
      <c r="V72" s="34">
        <f>IF(AND(V$5&gt;=$F72,V$5&lt;=$G72),3,"")</f>
        <v/>
      </c>
      <c r="W72" s="34">
        <f>IF(AND(W$5&gt;=$F72,W$5&lt;=$G72),3,"")</f>
        <v/>
      </c>
      <c r="X72" s="34">
        <f>IF(AND(X$5&gt;=$F72,X$5&lt;=$G72),3,"")</f>
        <v/>
      </c>
      <c r="Y72" s="34">
        <f>IF(AND(Y$5&gt;=$F72,Y$5&lt;=$G72),3,"")</f>
        <v/>
      </c>
      <c r="Z72" s="34">
        <f>IF(AND(Z$5&gt;=$F72,Z$5&lt;=$G72),3,"")</f>
        <v/>
      </c>
      <c r="AA72" s="34">
        <f>IF(AND(AA$5&gt;=$F72,AA$5&lt;=$G72),3,"")</f>
        <v/>
      </c>
      <c r="AB72" s="34">
        <f>IF(AND(AB$5&gt;=$F72,AB$5&lt;=$G72),3,"")</f>
        <v/>
      </c>
      <c r="AC72" s="34">
        <f>IF(AND(AC$5&gt;=$F72,AC$5&lt;=$G72),3,"")</f>
        <v/>
      </c>
      <c r="AD72" s="34">
        <f>IF(AND(AD$5&gt;=$F72,AD$5&lt;=$G72),3,"")</f>
        <v/>
      </c>
      <c r="AE72" s="34">
        <f>IF(AND(AE$5&gt;=$F72,AE$5&lt;=$G72),3,"")</f>
        <v/>
      </c>
      <c r="AF72" s="34">
        <f>IF(AND(AF$5&gt;=$F72,AF$5&lt;=$G72),3,"")</f>
        <v/>
      </c>
      <c r="AG72" s="34">
        <f>IF(AND(AG$5&gt;=$F72,AG$5&lt;=$G72),3,"")</f>
        <v/>
      </c>
      <c r="AH72" s="34">
        <f>IF(AND(AH$5&gt;=$F72,AH$5&lt;=$G72),3,"")</f>
        <v/>
      </c>
      <c r="AI72" s="34">
        <f>IF(AND(AI$5&gt;=$F72,AI$5&lt;=$G72),3,"")</f>
        <v/>
      </c>
      <c r="AJ72" s="34">
        <f>IF(AND(AJ$5&gt;=$F72,AJ$5&lt;=$G72),3,"")</f>
        <v/>
      </c>
      <c r="AK72" s="34">
        <f>IF(AND(AK$5&gt;=$F72,AK$5&lt;=$G72),3,"")</f>
        <v/>
      </c>
      <c r="AL72" s="34">
        <f>IF(AND(AL$5&gt;=$F72,AL$5&lt;=$G72),3,"")</f>
        <v/>
      </c>
      <c r="AM72" s="34">
        <f>IF(AND(AM$5&gt;=$F72,AM$5&lt;=$G72),3,"")</f>
        <v/>
      </c>
      <c r="AN72" s="34">
        <f>IF(AND(AN$5&gt;=$F72,AN$5&lt;=$G72),3,"")</f>
        <v/>
      </c>
      <c r="AO72" s="34">
        <f>IF(AND(AO$5&gt;=$F72,AO$5&lt;=$G72),3,"")</f>
        <v/>
      </c>
      <c r="AP72" s="34">
        <f>IF(AND(AP$5&gt;=$F72,AP$5&lt;=$G72),3,"")</f>
        <v/>
      </c>
      <c r="AQ72" s="34">
        <f>IF(AND(AQ$5&gt;=$F72,AQ$5&lt;=$G72),3,"")</f>
        <v/>
      </c>
      <c r="AR72" s="34">
        <f>IF(AND(AR$5&gt;=$F72,AR$5&lt;=$G72),3,"")</f>
        <v/>
      </c>
      <c r="AS72" s="34">
        <f>IF(AND(AS$5&gt;=$F72,AS$5&lt;=$G72),3,"")</f>
        <v/>
      </c>
      <c r="AT72" s="34">
        <f>IF(AND(AT$5&gt;=$F72,AT$5&lt;=$G72),3,"")</f>
        <v/>
      </c>
      <c r="AU72" s="34">
        <f>IF(AND(AU$5&gt;=$F72,AU$5&lt;=$G72),3,"")</f>
        <v/>
      </c>
      <c r="AV72" s="34">
        <f>IF(AND(AV$5&gt;=$F72,AV$5&lt;=$G72),3,"")</f>
        <v/>
      </c>
      <c r="AW72" s="34">
        <f>IF(AND(AW$5&gt;=$F72,AW$5&lt;=$G72),3,"")</f>
        <v/>
      </c>
      <c r="AX72" s="34">
        <f>IF(AND(AX$5&gt;=$F72,AX$5&lt;=$G72),3,"")</f>
        <v/>
      </c>
      <c r="AY72" s="34">
        <f>IF(AND(AY$5&gt;=$F72,AY$5&lt;=$G72),3,"")</f>
        <v/>
      </c>
      <c r="AZ72" s="34">
        <f>IF(AND(AZ$5&gt;=$F72,AZ$5&lt;=$G72),3,"")</f>
        <v/>
      </c>
      <c r="BA72" s="34">
        <f>IF(AND(BA$5&gt;=$F72,BA$5&lt;=$G72),3,"")</f>
        <v/>
      </c>
      <c r="BB72" s="34">
        <f>IF(AND(BB$5&gt;=$F72,BB$5&lt;=$G72),3,"")</f>
        <v/>
      </c>
      <c r="BC72" s="34">
        <f>IF(AND(BC$5&gt;=$F72,BC$5&lt;=$G72),3,"")</f>
        <v/>
      </c>
      <c r="BD72" s="34">
        <f>IF(AND(BD$5&gt;=$F72,BD$5&lt;=$G72),3,"")</f>
        <v/>
      </c>
      <c r="BE72" s="34">
        <f>IF(AND(BE$5&gt;=$F72,BE$5&lt;=$G72),3,"")</f>
        <v/>
      </c>
      <c r="BF72" s="34">
        <f>IF(AND(BF$5&gt;=$F72,BF$5&lt;=$G72),3,"")</f>
        <v/>
      </c>
      <c r="BG72" s="34">
        <f>IF(AND(BG$5&gt;=$F72,BG$5&lt;=$G72),3,"")</f>
        <v/>
      </c>
      <c r="BH72" s="34">
        <f>IF(AND(BH$5&gt;=$F72,BH$5&lt;=$G72),3,"")</f>
        <v/>
      </c>
      <c r="BI72" s="34">
        <f>IF(AND(BI$5&gt;=$F72,BI$5&lt;=$G72),3,"")</f>
        <v/>
      </c>
      <c r="BJ72" s="34">
        <f>IF(AND(BJ$5&gt;=$F72,BJ$5&lt;=$G72),3,"")</f>
        <v/>
      </c>
      <c r="BK72" s="34">
        <f>IF(AND(BK$5&gt;=$F72,BK$5&lt;=$G72),3,"")</f>
        <v/>
      </c>
      <c r="BL72" s="34">
        <f>IF(AND(BL$5&gt;=$F72,BL$5&lt;=$G72),3,"")</f>
        <v/>
      </c>
      <c r="BM72" s="34">
        <f>IF(AND(BM$5&gt;=$F72,BM$5&lt;=$G72),3,"")</f>
        <v/>
      </c>
      <c r="BN72" s="34">
        <f>IF(AND(BN$5&gt;=$F72,BN$5&lt;=$G72),3,"")</f>
        <v/>
      </c>
    </row>
    <row r="73" ht="14.25" customHeight="1" s="36">
      <c r="A73" s="13" t="inlineStr">
        <is>
          <t>3 Construcción</t>
        </is>
      </c>
      <c r="B73" s="13" t="inlineStr">
        <is>
          <t>3.3.1</t>
        </is>
      </c>
      <c r="C73" s="13" t="inlineStr">
        <is>
          <t>Identidad y control de acceso, incluidos los conductores externos que rotan sin aviso</t>
        </is>
      </c>
      <c r="D73" s="13" t="inlineStr">
        <is>
          <t>I</t>
        </is>
      </c>
      <c r="E73" s="13" t="inlineStr">
        <is>
          <t>Seguridad</t>
        </is>
      </c>
      <c r="F73" s="13" t="n">
        <v>5</v>
      </c>
      <c r="G73" s="13" t="n">
        <v>7</v>
      </c>
      <c r="H73" s="13">
        <f>G73-F73+1</f>
        <v/>
      </c>
      <c r="I73" s="31" t="n">
        <v>480</v>
      </c>
      <c r="J73" s="13" t="inlineStr">
        <is>
          <t>Con entregable (detalle por planificación gradual)</t>
        </is>
      </c>
      <c r="K73" s="34">
        <f>IF(AND(K$5&gt;=$F73,K$5&lt;=$G73),3,"")</f>
        <v/>
      </c>
      <c r="L73" s="34">
        <f>IF(AND(L$5&gt;=$F73,L$5&lt;=$G73),3,"")</f>
        <v/>
      </c>
      <c r="M73" s="34">
        <f>IF(AND(M$5&gt;=$F73,M$5&lt;=$G73),3,"")</f>
        <v/>
      </c>
      <c r="N73" s="34">
        <f>IF(AND(N$5&gt;=$F73,N$5&lt;=$G73),3,"")</f>
        <v/>
      </c>
      <c r="O73" s="34">
        <f>IF(AND(O$5&gt;=$F73,O$5&lt;=$G73),3,"")</f>
        <v/>
      </c>
      <c r="P73" s="34">
        <f>IF(AND(P$5&gt;=$F73,P$5&lt;=$G73),3,"")</f>
        <v/>
      </c>
      <c r="Q73" s="34">
        <f>IF(AND(Q$5&gt;=$F73,Q$5&lt;=$G73),3,"")</f>
        <v/>
      </c>
      <c r="R73" s="34">
        <f>IF(AND(R$5&gt;=$F73,R$5&lt;=$G73),3,"")</f>
        <v/>
      </c>
      <c r="S73" s="34">
        <f>IF(AND(S$5&gt;=$F73,S$5&lt;=$G73),3,"")</f>
        <v/>
      </c>
      <c r="T73" s="34">
        <f>IF(AND(T$5&gt;=$F73,T$5&lt;=$G73),3,"")</f>
        <v/>
      </c>
      <c r="U73" s="34">
        <f>IF(AND(U$5&gt;=$F73,U$5&lt;=$G73),3,"")</f>
        <v/>
      </c>
      <c r="V73" s="34">
        <f>IF(AND(V$5&gt;=$F73,V$5&lt;=$G73),3,"")</f>
        <v/>
      </c>
      <c r="W73" s="34">
        <f>IF(AND(W$5&gt;=$F73,W$5&lt;=$G73),3,"")</f>
        <v/>
      </c>
      <c r="X73" s="34">
        <f>IF(AND(X$5&gt;=$F73,X$5&lt;=$G73),3,"")</f>
        <v/>
      </c>
      <c r="Y73" s="34">
        <f>IF(AND(Y$5&gt;=$F73,Y$5&lt;=$G73),3,"")</f>
        <v/>
      </c>
      <c r="Z73" s="34">
        <f>IF(AND(Z$5&gt;=$F73,Z$5&lt;=$G73),3,"")</f>
        <v/>
      </c>
      <c r="AA73" s="34">
        <f>IF(AND(AA$5&gt;=$F73,AA$5&lt;=$G73),3,"")</f>
        <v/>
      </c>
      <c r="AB73" s="34">
        <f>IF(AND(AB$5&gt;=$F73,AB$5&lt;=$G73),3,"")</f>
        <v/>
      </c>
      <c r="AC73" s="34">
        <f>IF(AND(AC$5&gt;=$F73,AC$5&lt;=$G73),3,"")</f>
        <v/>
      </c>
      <c r="AD73" s="34">
        <f>IF(AND(AD$5&gt;=$F73,AD$5&lt;=$G73),3,"")</f>
        <v/>
      </c>
      <c r="AE73" s="34">
        <f>IF(AND(AE$5&gt;=$F73,AE$5&lt;=$G73),3,"")</f>
        <v/>
      </c>
      <c r="AF73" s="34">
        <f>IF(AND(AF$5&gt;=$F73,AF$5&lt;=$G73),3,"")</f>
        <v/>
      </c>
      <c r="AG73" s="34">
        <f>IF(AND(AG$5&gt;=$F73,AG$5&lt;=$G73),3,"")</f>
        <v/>
      </c>
      <c r="AH73" s="34">
        <f>IF(AND(AH$5&gt;=$F73,AH$5&lt;=$G73),3,"")</f>
        <v/>
      </c>
      <c r="AI73" s="34">
        <f>IF(AND(AI$5&gt;=$F73,AI$5&lt;=$G73),3,"")</f>
        <v/>
      </c>
      <c r="AJ73" s="34">
        <f>IF(AND(AJ$5&gt;=$F73,AJ$5&lt;=$G73),3,"")</f>
        <v/>
      </c>
      <c r="AK73" s="34">
        <f>IF(AND(AK$5&gt;=$F73,AK$5&lt;=$G73),3,"")</f>
        <v/>
      </c>
      <c r="AL73" s="34">
        <f>IF(AND(AL$5&gt;=$F73,AL$5&lt;=$G73),3,"")</f>
        <v/>
      </c>
      <c r="AM73" s="34">
        <f>IF(AND(AM$5&gt;=$F73,AM$5&lt;=$G73),3,"")</f>
        <v/>
      </c>
      <c r="AN73" s="34">
        <f>IF(AND(AN$5&gt;=$F73,AN$5&lt;=$G73),3,"")</f>
        <v/>
      </c>
      <c r="AO73" s="34">
        <f>IF(AND(AO$5&gt;=$F73,AO$5&lt;=$G73),3,"")</f>
        <v/>
      </c>
      <c r="AP73" s="34">
        <f>IF(AND(AP$5&gt;=$F73,AP$5&lt;=$G73),3,"")</f>
        <v/>
      </c>
      <c r="AQ73" s="34">
        <f>IF(AND(AQ$5&gt;=$F73,AQ$5&lt;=$G73),3,"")</f>
        <v/>
      </c>
      <c r="AR73" s="34">
        <f>IF(AND(AR$5&gt;=$F73,AR$5&lt;=$G73),3,"")</f>
        <v/>
      </c>
      <c r="AS73" s="34">
        <f>IF(AND(AS$5&gt;=$F73,AS$5&lt;=$G73),3,"")</f>
        <v/>
      </c>
      <c r="AT73" s="34">
        <f>IF(AND(AT$5&gt;=$F73,AT$5&lt;=$G73),3,"")</f>
        <v/>
      </c>
      <c r="AU73" s="34">
        <f>IF(AND(AU$5&gt;=$F73,AU$5&lt;=$G73),3,"")</f>
        <v/>
      </c>
      <c r="AV73" s="34">
        <f>IF(AND(AV$5&gt;=$F73,AV$5&lt;=$G73),3,"")</f>
        <v/>
      </c>
      <c r="AW73" s="34">
        <f>IF(AND(AW$5&gt;=$F73,AW$5&lt;=$G73),3,"")</f>
        <v/>
      </c>
      <c r="AX73" s="34">
        <f>IF(AND(AX$5&gt;=$F73,AX$5&lt;=$G73),3,"")</f>
        <v/>
      </c>
      <c r="AY73" s="34">
        <f>IF(AND(AY$5&gt;=$F73,AY$5&lt;=$G73),3,"")</f>
        <v/>
      </c>
      <c r="AZ73" s="34">
        <f>IF(AND(AZ$5&gt;=$F73,AZ$5&lt;=$G73),3,"")</f>
        <v/>
      </c>
      <c r="BA73" s="34">
        <f>IF(AND(BA$5&gt;=$F73,BA$5&lt;=$G73),3,"")</f>
        <v/>
      </c>
      <c r="BB73" s="34">
        <f>IF(AND(BB$5&gt;=$F73,BB$5&lt;=$G73),3,"")</f>
        <v/>
      </c>
      <c r="BC73" s="34">
        <f>IF(AND(BC$5&gt;=$F73,BC$5&lt;=$G73),3,"")</f>
        <v/>
      </c>
      <c r="BD73" s="34">
        <f>IF(AND(BD$5&gt;=$F73,BD$5&lt;=$G73),3,"")</f>
        <v/>
      </c>
      <c r="BE73" s="34">
        <f>IF(AND(BE$5&gt;=$F73,BE$5&lt;=$G73),3,"")</f>
        <v/>
      </c>
      <c r="BF73" s="34">
        <f>IF(AND(BF$5&gt;=$F73,BF$5&lt;=$G73),3,"")</f>
        <v/>
      </c>
      <c r="BG73" s="34">
        <f>IF(AND(BG$5&gt;=$F73,BG$5&lt;=$G73),3,"")</f>
        <v/>
      </c>
      <c r="BH73" s="34">
        <f>IF(AND(BH$5&gt;=$F73,BH$5&lt;=$G73),3,"")</f>
        <v/>
      </c>
      <c r="BI73" s="34">
        <f>IF(AND(BI$5&gt;=$F73,BI$5&lt;=$G73),3,"")</f>
        <v/>
      </c>
      <c r="BJ73" s="34">
        <f>IF(AND(BJ$5&gt;=$F73,BJ$5&lt;=$G73),3,"")</f>
        <v/>
      </c>
      <c r="BK73" s="34">
        <f>IF(AND(BK$5&gt;=$F73,BK$5&lt;=$G73),3,"")</f>
        <v/>
      </c>
      <c r="BL73" s="34">
        <f>IF(AND(BL$5&gt;=$F73,BL$5&lt;=$G73),3,"")</f>
        <v/>
      </c>
      <c r="BM73" s="34">
        <f>IF(AND(BM$5&gt;=$F73,BM$5&lt;=$G73),3,"")</f>
        <v/>
      </c>
      <c r="BN73" s="34">
        <f>IF(AND(BN$5&gt;=$F73,BN$5&lt;=$G73),3,"")</f>
        <v/>
      </c>
    </row>
    <row r="74" ht="14.25" customHeight="1" s="36">
      <c r="A74" s="13" t="inlineStr">
        <is>
          <t>3 Construcción</t>
        </is>
      </c>
      <c r="B74" s="13" t="inlineStr">
        <is>
          <t>3.3.2</t>
        </is>
      </c>
      <c r="C74" s="13" t="inlineStr">
        <is>
          <t>Integración con el ERP como único emisor de la guía de despacho (INT-06 e INT-07)</t>
        </is>
      </c>
      <c r="D74" s="13" t="inlineStr">
        <is>
          <t>I</t>
        </is>
      </c>
      <c r="E74" s="13" t="inlineStr">
        <is>
          <t>Arquitectura</t>
        </is>
      </c>
      <c r="F74" s="13" t="n">
        <v>5</v>
      </c>
      <c r="G74" s="13" t="n">
        <v>6</v>
      </c>
      <c r="H74" s="13">
        <f>G74-F74+1</f>
        <v/>
      </c>
      <c r="I74" s="31" t="n">
        <v>480</v>
      </c>
      <c r="J74" s="13" t="inlineStr">
        <is>
          <t>Con entregable (detalle por planificación gradual)</t>
        </is>
      </c>
      <c r="K74" s="34">
        <f>IF(AND(K$5&gt;=$F74,K$5&lt;=$G74),3,"")</f>
        <v/>
      </c>
      <c r="L74" s="34">
        <f>IF(AND(L$5&gt;=$F74,L$5&lt;=$G74),3,"")</f>
        <v/>
      </c>
      <c r="M74" s="34">
        <f>IF(AND(M$5&gt;=$F74,M$5&lt;=$G74),3,"")</f>
        <v/>
      </c>
      <c r="N74" s="34">
        <f>IF(AND(N$5&gt;=$F74,N$5&lt;=$G74),3,"")</f>
        <v/>
      </c>
      <c r="O74" s="34">
        <f>IF(AND(O$5&gt;=$F74,O$5&lt;=$G74),3,"")</f>
        <v/>
      </c>
      <c r="P74" s="34">
        <f>IF(AND(P$5&gt;=$F74,P$5&lt;=$G74),3,"")</f>
        <v/>
      </c>
      <c r="Q74" s="34">
        <f>IF(AND(Q$5&gt;=$F74,Q$5&lt;=$G74),3,"")</f>
        <v/>
      </c>
      <c r="R74" s="34">
        <f>IF(AND(R$5&gt;=$F74,R$5&lt;=$G74),3,"")</f>
        <v/>
      </c>
      <c r="S74" s="34">
        <f>IF(AND(S$5&gt;=$F74,S$5&lt;=$G74),3,"")</f>
        <v/>
      </c>
      <c r="T74" s="34">
        <f>IF(AND(T$5&gt;=$F74,T$5&lt;=$G74),3,"")</f>
        <v/>
      </c>
      <c r="U74" s="34">
        <f>IF(AND(U$5&gt;=$F74,U$5&lt;=$G74),3,"")</f>
        <v/>
      </c>
      <c r="V74" s="34">
        <f>IF(AND(V$5&gt;=$F74,V$5&lt;=$G74),3,"")</f>
        <v/>
      </c>
      <c r="W74" s="34">
        <f>IF(AND(W$5&gt;=$F74,W$5&lt;=$G74),3,"")</f>
        <v/>
      </c>
      <c r="X74" s="34">
        <f>IF(AND(X$5&gt;=$F74,X$5&lt;=$G74),3,"")</f>
        <v/>
      </c>
      <c r="Y74" s="34">
        <f>IF(AND(Y$5&gt;=$F74,Y$5&lt;=$G74),3,"")</f>
        <v/>
      </c>
      <c r="Z74" s="34">
        <f>IF(AND(Z$5&gt;=$F74,Z$5&lt;=$G74),3,"")</f>
        <v/>
      </c>
      <c r="AA74" s="34">
        <f>IF(AND(AA$5&gt;=$F74,AA$5&lt;=$G74),3,"")</f>
        <v/>
      </c>
      <c r="AB74" s="34">
        <f>IF(AND(AB$5&gt;=$F74,AB$5&lt;=$G74),3,"")</f>
        <v/>
      </c>
      <c r="AC74" s="34">
        <f>IF(AND(AC$5&gt;=$F74,AC$5&lt;=$G74),3,"")</f>
        <v/>
      </c>
      <c r="AD74" s="34">
        <f>IF(AND(AD$5&gt;=$F74,AD$5&lt;=$G74),3,"")</f>
        <v/>
      </c>
      <c r="AE74" s="34">
        <f>IF(AND(AE$5&gt;=$F74,AE$5&lt;=$G74),3,"")</f>
        <v/>
      </c>
      <c r="AF74" s="34">
        <f>IF(AND(AF$5&gt;=$F74,AF$5&lt;=$G74),3,"")</f>
        <v/>
      </c>
      <c r="AG74" s="34">
        <f>IF(AND(AG$5&gt;=$F74,AG$5&lt;=$G74),3,"")</f>
        <v/>
      </c>
      <c r="AH74" s="34">
        <f>IF(AND(AH$5&gt;=$F74,AH$5&lt;=$G74),3,"")</f>
        <v/>
      </c>
      <c r="AI74" s="34">
        <f>IF(AND(AI$5&gt;=$F74,AI$5&lt;=$G74),3,"")</f>
        <v/>
      </c>
      <c r="AJ74" s="34">
        <f>IF(AND(AJ$5&gt;=$F74,AJ$5&lt;=$G74),3,"")</f>
        <v/>
      </c>
      <c r="AK74" s="34">
        <f>IF(AND(AK$5&gt;=$F74,AK$5&lt;=$G74),3,"")</f>
        <v/>
      </c>
      <c r="AL74" s="34">
        <f>IF(AND(AL$5&gt;=$F74,AL$5&lt;=$G74),3,"")</f>
        <v/>
      </c>
      <c r="AM74" s="34">
        <f>IF(AND(AM$5&gt;=$F74,AM$5&lt;=$G74),3,"")</f>
        <v/>
      </c>
      <c r="AN74" s="34">
        <f>IF(AND(AN$5&gt;=$F74,AN$5&lt;=$G74),3,"")</f>
        <v/>
      </c>
      <c r="AO74" s="34">
        <f>IF(AND(AO$5&gt;=$F74,AO$5&lt;=$G74),3,"")</f>
        <v/>
      </c>
      <c r="AP74" s="34">
        <f>IF(AND(AP$5&gt;=$F74,AP$5&lt;=$G74),3,"")</f>
        <v/>
      </c>
      <c r="AQ74" s="34">
        <f>IF(AND(AQ$5&gt;=$F74,AQ$5&lt;=$G74),3,"")</f>
        <v/>
      </c>
      <c r="AR74" s="34">
        <f>IF(AND(AR$5&gt;=$F74,AR$5&lt;=$G74),3,"")</f>
        <v/>
      </c>
      <c r="AS74" s="34">
        <f>IF(AND(AS$5&gt;=$F74,AS$5&lt;=$G74),3,"")</f>
        <v/>
      </c>
      <c r="AT74" s="34">
        <f>IF(AND(AT$5&gt;=$F74,AT$5&lt;=$G74),3,"")</f>
        <v/>
      </c>
      <c r="AU74" s="34">
        <f>IF(AND(AU$5&gt;=$F74,AU$5&lt;=$G74),3,"")</f>
        <v/>
      </c>
      <c r="AV74" s="34">
        <f>IF(AND(AV$5&gt;=$F74,AV$5&lt;=$G74),3,"")</f>
        <v/>
      </c>
      <c r="AW74" s="34">
        <f>IF(AND(AW$5&gt;=$F74,AW$5&lt;=$G74),3,"")</f>
        <v/>
      </c>
      <c r="AX74" s="34">
        <f>IF(AND(AX$5&gt;=$F74,AX$5&lt;=$G74),3,"")</f>
        <v/>
      </c>
      <c r="AY74" s="34">
        <f>IF(AND(AY$5&gt;=$F74,AY$5&lt;=$G74),3,"")</f>
        <v/>
      </c>
      <c r="AZ74" s="34">
        <f>IF(AND(AZ$5&gt;=$F74,AZ$5&lt;=$G74),3,"")</f>
        <v/>
      </c>
      <c r="BA74" s="34">
        <f>IF(AND(BA$5&gt;=$F74,BA$5&lt;=$G74),3,"")</f>
        <v/>
      </c>
      <c r="BB74" s="34">
        <f>IF(AND(BB$5&gt;=$F74,BB$5&lt;=$G74),3,"")</f>
        <v/>
      </c>
      <c r="BC74" s="34">
        <f>IF(AND(BC$5&gt;=$F74,BC$5&lt;=$G74),3,"")</f>
        <v/>
      </c>
      <c r="BD74" s="34">
        <f>IF(AND(BD$5&gt;=$F74,BD$5&lt;=$G74),3,"")</f>
        <v/>
      </c>
      <c r="BE74" s="34">
        <f>IF(AND(BE$5&gt;=$F74,BE$5&lt;=$G74),3,"")</f>
        <v/>
      </c>
      <c r="BF74" s="34">
        <f>IF(AND(BF$5&gt;=$F74,BF$5&lt;=$G74),3,"")</f>
        <v/>
      </c>
      <c r="BG74" s="34">
        <f>IF(AND(BG$5&gt;=$F74,BG$5&lt;=$G74),3,"")</f>
        <v/>
      </c>
      <c r="BH74" s="34">
        <f>IF(AND(BH$5&gt;=$F74,BH$5&lt;=$G74),3,"")</f>
        <v/>
      </c>
      <c r="BI74" s="34">
        <f>IF(AND(BI$5&gt;=$F74,BI$5&lt;=$G74),3,"")</f>
        <v/>
      </c>
      <c r="BJ74" s="34">
        <f>IF(AND(BJ$5&gt;=$F74,BJ$5&lt;=$G74),3,"")</f>
        <v/>
      </c>
      <c r="BK74" s="34">
        <f>IF(AND(BK$5&gt;=$F74,BK$5&lt;=$G74),3,"")</f>
        <v/>
      </c>
      <c r="BL74" s="34">
        <f>IF(AND(BL$5&gt;=$F74,BL$5&lt;=$G74),3,"")</f>
        <v/>
      </c>
      <c r="BM74" s="34">
        <f>IF(AND(BM$5&gt;=$F74,BM$5&lt;=$G74),3,"")</f>
        <v/>
      </c>
      <c r="BN74" s="34">
        <f>IF(AND(BN$5&gt;=$F74,BN$5&lt;=$G74),3,"")</f>
        <v/>
      </c>
    </row>
    <row r="75" ht="14.25" customHeight="1" s="36">
      <c r="A75" s="13" t="inlineStr">
        <is>
          <t>3 Construcción</t>
        </is>
      </c>
      <c r="B75" s="13" t="inlineStr">
        <is>
          <t>3.3.3</t>
        </is>
      </c>
      <c r="C75" s="13" t="inlineStr">
        <is>
          <t>Convivencia con el WMS de 2013 durante el reemplazo</t>
        </is>
      </c>
      <c r="D75" s="13" t="inlineStr">
        <is>
          <t>I</t>
        </is>
      </c>
      <c r="E75" s="13" t="inlineStr">
        <is>
          <t>Arquitectura</t>
        </is>
      </c>
      <c r="F75" s="13" t="n">
        <v>5</v>
      </c>
      <c r="G75" s="13" t="n">
        <v>6</v>
      </c>
      <c r="H75" s="13">
        <f>G75-F75+1</f>
        <v/>
      </c>
      <c r="I75" s="31" t="n">
        <v>480</v>
      </c>
      <c r="J75" s="13" t="inlineStr">
        <is>
          <t>Con entregable (detalle por planificación gradual)</t>
        </is>
      </c>
      <c r="K75" s="34">
        <f>IF(AND(K$5&gt;=$F75,K$5&lt;=$G75),3,"")</f>
        <v/>
      </c>
      <c r="L75" s="34">
        <f>IF(AND(L$5&gt;=$F75,L$5&lt;=$G75),3,"")</f>
        <v/>
      </c>
      <c r="M75" s="34">
        <f>IF(AND(M$5&gt;=$F75,M$5&lt;=$G75),3,"")</f>
        <v/>
      </c>
      <c r="N75" s="34">
        <f>IF(AND(N$5&gt;=$F75,N$5&lt;=$G75),3,"")</f>
        <v/>
      </c>
      <c r="O75" s="34">
        <f>IF(AND(O$5&gt;=$F75,O$5&lt;=$G75),3,"")</f>
        <v/>
      </c>
      <c r="P75" s="34">
        <f>IF(AND(P$5&gt;=$F75,P$5&lt;=$G75),3,"")</f>
        <v/>
      </c>
      <c r="Q75" s="34">
        <f>IF(AND(Q$5&gt;=$F75,Q$5&lt;=$G75),3,"")</f>
        <v/>
      </c>
      <c r="R75" s="34">
        <f>IF(AND(R$5&gt;=$F75,R$5&lt;=$G75),3,"")</f>
        <v/>
      </c>
      <c r="S75" s="34">
        <f>IF(AND(S$5&gt;=$F75,S$5&lt;=$G75),3,"")</f>
        <v/>
      </c>
      <c r="T75" s="34">
        <f>IF(AND(T$5&gt;=$F75,T$5&lt;=$G75),3,"")</f>
        <v/>
      </c>
      <c r="U75" s="34">
        <f>IF(AND(U$5&gt;=$F75,U$5&lt;=$G75),3,"")</f>
        <v/>
      </c>
      <c r="V75" s="34">
        <f>IF(AND(V$5&gt;=$F75,V$5&lt;=$G75),3,"")</f>
        <v/>
      </c>
      <c r="W75" s="34">
        <f>IF(AND(W$5&gt;=$F75,W$5&lt;=$G75),3,"")</f>
        <v/>
      </c>
      <c r="X75" s="34">
        <f>IF(AND(X$5&gt;=$F75,X$5&lt;=$G75),3,"")</f>
        <v/>
      </c>
      <c r="Y75" s="34">
        <f>IF(AND(Y$5&gt;=$F75,Y$5&lt;=$G75),3,"")</f>
        <v/>
      </c>
      <c r="Z75" s="34">
        <f>IF(AND(Z$5&gt;=$F75,Z$5&lt;=$G75),3,"")</f>
        <v/>
      </c>
      <c r="AA75" s="34">
        <f>IF(AND(AA$5&gt;=$F75,AA$5&lt;=$G75),3,"")</f>
        <v/>
      </c>
      <c r="AB75" s="34">
        <f>IF(AND(AB$5&gt;=$F75,AB$5&lt;=$G75),3,"")</f>
        <v/>
      </c>
      <c r="AC75" s="34">
        <f>IF(AND(AC$5&gt;=$F75,AC$5&lt;=$G75),3,"")</f>
        <v/>
      </c>
      <c r="AD75" s="34">
        <f>IF(AND(AD$5&gt;=$F75,AD$5&lt;=$G75),3,"")</f>
        <v/>
      </c>
      <c r="AE75" s="34">
        <f>IF(AND(AE$5&gt;=$F75,AE$5&lt;=$G75),3,"")</f>
        <v/>
      </c>
      <c r="AF75" s="34">
        <f>IF(AND(AF$5&gt;=$F75,AF$5&lt;=$G75),3,"")</f>
        <v/>
      </c>
      <c r="AG75" s="34">
        <f>IF(AND(AG$5&gt;=$F75,AG$5&lt;=$G75),3,"")</f>
        <v/>
      </c>
      <c r="AH75" s="34">
        <f>IF(AND(AH$5&gt;=$F75,AH$5&lt;=$G75),3,"")</f>
        <v/>
      </c>
      <c r="AI75" s="34">
        <f>IF(AND(AI$5&gt;=$F75,AI$5&lt;=$G75),3,"")</f>
        <v/>
      </c>
      <c r="AJ75" s="34">
        <f>IF(AND(AJ$5&gt;=$F75,AJ$5&lt;=$G75),3,"")</f>
        <v/>
      </c>
      <c r="AK75" s="34">
        <f>IF(AND(AK$5&gt;=$F75,AK$5&lt;=$G75),3,"")</f>
        <v/>
      </c>
      <c r="AL75" s="34">
        <f>IF(AND(AL$5&gt;=$F75,AL$5&lt;=$G75),3,"")</f>
        <v/>
      </c>
      <c r="AM75" s="34">
        <f>IF(AND(AM$5&gt;=$F75,AM$5&lt;=$G75),3,"")</f>
        <v/>
      </c>
      <c r="AN75" s="34">
        <f>IF(AND(AN$5&gt;=$F75,AN$5&lt;=$G75),3,"")</f>
        <v/>
      </c>
      <c r="AO75" s="34">
        <f>IF(AND(AO$5&gt;=$F75,AO$5&lt;=$G75),3,"")</f>
        <v/>
      </c>
      <c r="AP75" s="34">
        <f>IF(AND(AP$5&gt;=$F75,AP$5&lt;=$G75),3,"")</f>
        <v/>
      </c>
      <c r="AQ75" s="34">
        <f>IF(AND(AQ$5&gt;=$F75,AQ$5&lt;=$G75),3,"")</f>
        <v/>
      </c>
      <c r="AR75" s="34">
        <f>IF(AND(AR$5&gt;=$F75,AR$5&lt;=$G75),3,"")</f>
        <v/>
      </c>
      <c r="AS75" s="34">
        <f>IF(AND(AS$5&gt;=$F75,AS$5&lt;=$G75),3,"")</f>
        <v/>
      </c>
      <c r="AT75" s="34">
        <f>IF(AND(AT$5&gt;=$F75,AT$5&lt;=$G75),3,"")</f>
        <v/>
      </c>
      <c r="AU75" s="34">
        <f>IF(AND(AU$5&gt;=$F75,AU$5&lt;=$G75),3,"")</f>
        <v/>
      </c>
      <c r="AV75" s="34">
        <f>IF(AND(AV$5&gt;=$F75,AV$5&lt;=$G75),3,"")</f>
        <v/>
      </c>
      <c r="AW75" s="34">
        <f>IF(AND(AW$5&gt;=$F75,AW$5&lt;=$G75),3,"")</f>
        <v/>
      </c>
      <c r="AX75" s="34">
        <f>IF(AND(AX$5&gt;=$F75,AX$5&lt;=$G75),3,"")</f>
        <v/>
      </c>
      <c r="AY75" s="34">
        <f>IF(AND(AY$5&gt;=$F75,AY$5&lt;=$G75),3,"")</f>
        <v/>
      </c>
      <c r="AZ75" s="34">
        <f>IF(AND(AZ$5&gt;=$F75,AZ$5&lt;=$G75),3,"")</f>
        <v/>
      </c>
      <c r="BA75" s="34">
        <f>IF(AND(BA$5&gt;=$F75,BA$5&lt;=$G75),3,"")</f>
        <v/>
      </c>
      <c r="BB75" s="34">
        <f>IF(AND(BB$5&gt;=$F75,BB$5&lt;=$G75),3,"")</f>
        <v/>
      </c>
      <c r="BC75" s="34">
        <f>IF(AND(BC$5&gt;=$F75,BC$5&lt;=$G75),3,"")</f>
        <v/>
      </c>
      <c r="BD75" s="34">
        <f>IF(AND(BD$5&gt;=$F75,BD$5&lt;=$G75),3,"")</f>
        <v/>
      </c>
      <c r="BE75" s="34">
        <f>IF(AND(BE$5&gt;=$F75,BE$5&lt;=$G75),3,"")</f>
        <v/>
      </c>
      <c r="BF75" s="34">
        <f>IF(AND(BF$5&gt;=$F75,BF$5&lt;=$G75),3,"")</f>
        <v/>
      </c>
      <c r="BG75" s="34">
        <f>IF(AND(BG$5&gt;=$F75,BG$5&lt;=$G75),3,"")</f>
        <v/>
      </c>
      <c r="BH75" s="34">
        <f>IF(AND(BH$5&gt;=$F75,BH$5&lt;=$G75),3,"")</f>
        <v/>
      </c>
      <c r="BI75" s="34">
        <f>IF(AND(BI$5&gt;=$F75,BI$5&lt;=$G75),3,"")</f>
        <v/>
      </c>
      <c r="BJ75" s="34">
        <f>IF(AND(BJ$5&gt;=$F75,BJ$5&lt;=$G75),3,"")</f>
        <v/>
      </c>
      <c r="BK75" s="34">
        <f>IF(AND(BK$5&gt;=$F75,BK$5&lt;=$G75),3,"")</f>
        <v/>
      </c>
      <c r="BL75" s="34">
        <f>IF(AND(BL$5&gt;=$F75,BL$5&lt;=$G75),3,"")</f>
        <v/>
      </c>
      <c r="BM75" s="34">
        <f>IF(AND(BM$5&gt;=$F75,BM$5&lt;=$G75),3,"")</f>
        <v/>
      </c>
      <c r="BN75" s="34">
        <f>IF(AND(BN$5&gt;=$F75,BN$5&lt;=$G75),3,"")</f>
        <v/>
      </c>
    </row>
    <row r="76" ht="14.25" customHeight="1" s="36">
      <c r="A76" s="13" t="inlineStr">
        <is>
          <t>3 Construcción</t>
        </is>
      </c>
      <c r="B76" s="13" t="inlineStr">
        <is>
          <t>3.3.4</t>
        </is>
      </c>
      <c r="C76" s="13" t="inlineStr">
        <is>
          <t>Integración con la telemetría de los 42 camiones propios (INT-15)</t>
        </is>
      </c>
      <c r="D76" s="13" t="inlineStr">
        <is>
          <t>I</t>
        </is>
      </c>
      <c r="E76" s="13" t="inlineStr">
        <is>
          <t>Arquitectura</t>
        </is>
      </c>
      <c r="F76" s="13" t="n">
        <v>5</v>
      </c>
      <c r="G76" s="13" t="n">
        <v>6</v>
      </c>
      <c r="H76" s="13">
        <f>G76-F76+1</f>
        <v/>
      </c>
      <c r="I76" s="31" t="n">
        <v>480</v>
      </c>
      <c r="J76" s="13" t="inlineStr">
        <is>
          <t>Con entregable (detalle por planificación gradual)</t>
        </is>
      </c>
      <c r="K76" s="34">
        <f>IF(AND(K$5&gt;=$F76,K$5&lt;=$G76),3,"")</f>
        <v/>
      </c>
      <c r="L76" s="34">
        <f>IF(AND(L$5&gt;=$F76,L$5&lt;=$G76),3,"")</f>
        <v/>
      </c>
      <c r="M76" s="34">
        <f>IF(AND(M$5&gt;=$F76,M$5&lt;=$G76),3,"")</f>
        <v/>
      </c>
      <c r="N76" s="34">
        <f>IF(AND(N$5&gt;=$F76,N$5&lt;=$G76),3,"")</f>
        <v/>
      </c>
      <c r="O76" s="34">
        <f>IF(AND(O$5&gt;=$F76,O$5&lt;=$G76),3,"")</f>
        <v/>
      </c>
      <c r="P76" s="34">
        <f>IF(AND(P$5&gt;=$F76,P$5&lt;=$G76),3,"")</f>
        <v/>
      </c>
      <c r="Q76" s="34">
        <f>IF(AND(Q$5&gt;=$F76,Q$5&lt;=$G76),3,"")</f>
        <v/>
      </c>
      <c r="R76" s="34">
        <f>IF(AND(R$5&gt;=$F76,R$5&lt;=$G76),3,"")</f>
        <v/>
      </c>
      <c r="S76" s="34">
        <f>IF(AND(S$5&gt;=$F76,S$5&lt;=$G76),3,"")</f>
        <v/>
      </c>
      <c r="T76" s="34">
        <f>IF(AND(T$5&gt;=$F76,T$5&lt;=$G76),3,"")</f>
        <v/>
      </c>
      <c r="U76" s="34">
        <f>IF(AND(U$5&gt;=$F76,U$5&lt;=$G76),3,"")</f>
        <v/>
      </c>
      <c r="V76" s="34">
        <f>IF(AND(V$5&gt;=$F76,V$5&lt;=$G76),3,"")</f>
        <v/>
      </c>
      <c r="W76" s="34">
        <f>IF(AND(W$5&gt;=$F76,W$5&lt;=$G76),3,"")</f>
        <v/>
      </c>
      <c r="X76" s="34">
        <f>IF(AND(X$5&gt;=$F76,X$5&lt;=$G76),3,"")</f>
        <v/>
      </c>
      <c r="Y76" s="34">
        <f>IF(AND(Y$5&gt;=$F76,Y$5&lt;=$G76),3,"")</f>
        <v/>
      </c>
      <c r="Z76" s="34">
        <f>IF(AND(Z$5&gt;=$F76,Z$5&lt;=$G76),3,"")</f>
        <v/>
      </c>
      <c r="AA76" s="34">
        <f>IF(AND(AA$5&gt;=$F76,AA$5&lt;=$G76),3,"")</f>
        <v/>
      </c>
      <c r="AB76" s="34">
        <f>IF(AND(AB$5&gt;=$F76,AB$5&lt;=$G76),3,"")</f>
        <v/>
      </c>
      <c r="AC76" s="34">
        <f>IF(AND(AC$5&gt;=$F76,AC$5&lt;=$G76),3,"")</f>
        <v/>
      </c>
      <c r="AD76" s="34">
        <f>IF(AND(AD$5&gt;=$F76,AD$5&lt;=$G76),3,"")</f>
        <v/>
      </c>
      <c r="AE76" s="34">
        <f>IF(AND(AE$5&gt;=$F76,AE$5&lt;=$G76),3,"")</f>
        <v/>
      </c>
      <c r="AF76" s="34">
        <f>IF(AND(AF$5&gt;=$F76,AF$5&lt;=$G76),3,"")</f>
        <v/>
      </c>
      <c r="AG76" s="34">
        <f>IF(AND(AG$5&gt;=$F76,AG$5&lt;=$G76),3,"")</f>
        <v/>
      </c>
      <c r="AH76" s="34">
        <f>IF(AND(AH$5&gt;=$F76,AH$5&lt;=$G76),3,"")</f>
        <v/>
      </c>
      <c r="AI76" s="34">
        <f>IF(AND(AI$5&gt;=$F76,AI$5&lt;=$G76),3,"")</f>
        <v/>
      </c>
      <c r="AJ76" s="34">
        <f>IF(AND(AJ$5&gt;=$F76,AJ$5&lt;=$G76),3,"")</f>
        <v/>
      </c>
      <c r="AK76" s="34">
        <f>IF(AND(AK$5&gt;=$F76,AK$5&lt;=$G76),3,"")</f>
        <v/>
      </c>
      <c r="AL76" s="34">
        <f>IF(AND(AL$5&gt;=$F76,AL$5&lt;=$G76),3,"")</f>
        <v/>
      </c>
      <c r="AM76" s="34">
        <f>IF(AND(AM$5&gt;=$F76,AM$5&lt;=$G76),3,"")</f>
        <v/>
      </c>
      <c r="AN76" s="34">
        <f>IF(AND(AN$5&gt;=$F76,AN$5&lt;=$G76),3,"")</f>
        <v/>
      </c>
      <c r="AO76" s="34">
        <f>IF(AND(AO$5&gt;=$F76,AO$5&lt;=$G76),3,"")</f>
        <v/>
      </c>
      <c r="AP76" s="34">
        <f>IF(AND(AP$5&gt;=$F76,AP$5&lt;=$G76),3,"")</f>
        <v/>
      </c>
      <c r="AQ76" s="34">
        <f>IF(AND(AQ$5&gt;=$F76,AQ$5&lt;=$G76),3,"")</f>
        <v/>
      </c>
      <c r="AR76" s="34">
        <f>IF(AND(AR$5&gt;=$F76,AR$5&lt;=$G76),3,"")</f>
        <v/>
      </c>
      <c r="AS76" s="34">
        <f>IF(AND(AS$5&gt;=$F76,AS$5&lt;=$G76),3,"")</f>
        <v/>
      </c>
      <c r="AT76" s="34">
        <f>IF(AND(AT$5&gt;=$F76,AT$5&lt;=$G76),3,"")</f>
        <v/>
      </c>
      <c r="AU76" s="34">
        <f>IF(AND(AU$5&gt;=$F76,AU$5&lt;=$G76),3,"")</f>
        <v/>
      </c>
      <c r="AV76" s="34">
        <f>IF(AND(AV$5&gt;=$F76,AV$5&lt;=$G76),3,"")</f>
        <v/>
      </c>
      <c r="AW76" s="34">
        <f>IF(AND(AW$5&gt;=$F76,AW$5&lt;=$G76),3,"")</f>
        <v/>
      </c>
      <c r="AX76" s="34">
        <f>IF(AND(AX$5&gt;=$F76,AX$5&lt;=$G76),3,"")</f>
        <v/>
      </c>
      <c r="AY76" s="34">
        <f>IF(AND(AY$5&gt;=$F76,AY$5&lt;=$G76),3,"")</f>
        <v/>
      </c>
      <c r="AZ76" s="34">
        <f>IF(AND(AZ$5&gt;=$F76,AZ$5&lt;=$G76),3,"")</f>
        <v/>
      </c>
      <c r="BA76" s="34">
        <f>IF(AND(BA$5&gt;=$F76,BA$5&lt;=$G76),3,"")</f>
        <v/>
      </c>
      <c r="BB76" s="34">
        <f>IF(AND(BB$5&gt;=$F76,BB$5&lt;=$G76),3,"")</f>
        <v/>
      </c>
      <c r="BC76" s="34">
        <f>IF(AND(BC$5&gt;=$F76,BC$5&lt;=$G76),3,"")</f>
        <v/>
      </c>
      <c r="BD76" s="34">
        <f>IF(AND(BD$5&gt;=$F76,BD$5&lt;=$G76),3,"")</f>
        <v/>
      </c>
      <c r="BE76" s="34">
        <f>IF(AND(BE$5&gt;=$F76,BE$5&lt;=$G76),3,"")</f>
        <v/>
      </c>
      <c r="BF76" s="34">
        <f>IF(AND(BF$5&gt;=$F76,BF$5&lt;=$G76),3,"")</f>
        <v/>
      </c>
      <c r="BG76" s="34">
        <f>IF(AND(BG$5&gt;=$F76,BG$5&lt;=$G76),3,"")</f>
        <v/>
      </c>
      <c r="BH76" s="34">
        <f>IF(AND(BH$5&gt;=$F76,BH$5&lt;=$G76),3,"")</f>
        <v/>
      </c>
      <c r="BI76" s="34">
        <f>IF(AND(BI$5&gt;=$F76,BI$5&lt;=$G76),3,"")</f>
        <v/>
      </c>
      <c r="BJ76" s="34">
        <f>IF(AND(BJ$5&gt;=$F76,BJ$5&lt;=$G76),3,"")</f>
        <v/>
      </c>
      <c r="BK76" s="34">
        <f>IF(AND(BK$5&gt;=$F76,BK$5&lt;=$G76),3,"")</f>
        <v/>
      </c>
      <c r="BL76" s="34">
        <f>IF(AND(BL$5&gt;=$F76,BL$5&lt;=$G76),3,"")</f>
        <v/>
      </c>
      <c r="BM76" s="34">
        <f>IF(AND(BM$5&gt;=$F76,BM$5&lt;=$G76),3,"")</f>
        <v/>
      </c>
      <c r="BN76" s="34">
        <f>IF(AND(BN$5&gt;=$F76,BN$5&lt;=$G76),3,"")</f>
        <v/>
      </c>
    </row>
    <row r="77" ht="14.25" customHeight="1" s="36">
      <c r="A77" s="13" t="inlineStr">
        <is>
          <t>3 Construcción</t>
        </is>
      </c>
      <c r="B77" s="13" t="inlineStr">
        <is>
          <t>3.3.5</t>
        </is>
      </c>
      <c r="C77" s="13" t="inlineStr">
        <is>
          <t>Registro auditable de stock, lotes y cobros</t>
        </is>
      </c>
      <c r="D77" s="13" t="inlineStr">
        <is>
          <t>I</t>
        </is>
      </c>
      <c r="E77" s="13" t="inlineStr">
        <is>
          <t>Arquitectura</t>
        </is>
      </c>
      <c r="F77" s="13" t="n">
        <v>5</v>
      </c>
      <c r="G77" s="13" t="n">
        <v>7</v>
      </c>
      <c r="H77" s="13">
        <f>G77-F77+1</f>
        <v/>
      </c>
      <c r="I77" s="31" t="n">
        <v>480</v>
      </c>
      <c r="J77" s="13" t="inlineStr">
        <is>
          <t>Con entregable (detalle por planificación gradual)</t>
        </is>
      </c>
      <c r="K77" s="34">
        <f>IF(AND(K$5&gt;=$F77,K$5&lt;=$G77),3,"")</f>
        <v/>
      </c>
      <c r="L77" s="34">
        <f>IF(AND(L$5&gt;=$F77,L$5&lt;=$G77),3,"")</f>
        <v/>
      </c>
      <c r="M77" s="34">
        <f>IF(AND(M$5&gt;=$F77,M$5&lt;=$G77),3,"")</f>
        <v/>
      </c>
      <c r="N77" s="34">
        <f>IF(AND(N$5&gt;=$F77,N$5&lt;=$G77),3,"")</f>
        <v/>
      </c>
      <c r="O77" s="34">
        <f>IF(AND(O$5&gt;=$F77,O$5&lt;=$G77),3,"")</f>
        <v/>
      </c>
      <c r="P77" s="34">
        <f>IF(AND(P$5&gt;=$F77,P$5&lt;=$G77),3,"")</f>
        <v/>
      </c>
      <c r="Q77" s="34">
        <f>IF(AND(Q$5&gt;=$F77,Q$5&lt;=$G77),3,"")</f>
        <v/>
      </c>
      <c r="R77" s="34">
        <f>IF(AND(R$5&gt;=$F77,R$5&lt;=$G77),3,"")</f>
        <v/>
      </c>
      <c r="S77" s="34">
        <f>IF(AND(S$5&gt;=$F77,S$5&lt;=$G77),3,"")</f>
        <v/>
      </c>
      <c r="T77" s="34">
        <f>IF(AND(T$5&gt;=$F77,T$5&lt;=$G77),3,"")</f>
        <v/>
      </c>
      <c r="U77" s="34">
        <f>IF(AND(U$5&gt;=$F77,U$5&lt;=$G77),3,"")</f>
        <v/>
      </c>
      <c r="V77" s="34">
        <f>IF(AND(V$5&gt;=$F77,V$5&lt;=$G77),3,"")</f>
        <v/>
      </c>
      <c r="W77" s="34">
        <f>IF(AND(W$5&gt;=$F77,W$5&lt;=$G77),3,"")</f>
        <v/>
      </c>
      <c r="X77" s="34">
        <f>IF(AND(X$5&gt;=$F77,X$5&lt;=$G77),3,"")</f>
        <v/>
      </c>
      <c r="Y77" s="34">
        <f>IF(AND(Y$5&gt;=$F77,Y$5&lt;=$G77),3,"")</f>
        <v/>
      </c>
      <c r="Z77" s="34">
        <f>IF(AND(Z$5&gt;=$F77,Z$5&lt;=$G77),3,"")</f>
        <v/>
      </c>
      <c r="AA77" s="34">
        <f>IF(AND(AA$5&gt;=$F77,AA$5&lt;=$G77),3,"")</f>
        <v/>
      </c>
      <c r="AB77" s="34">
        <f>IF(AND(AB$5&gt;=$F77,AB$5&lt;=$G77),3,"")</f>
        <v/>
      </c>
      <c r="AC77" s="34">
        <f>IF(AND(AC$5&gt;=$F77,AC$5&lt;=$G77),3,"")</f>
        <v/>
      </c>
      <c r="AD77" s="34">
        <f>IF(AND(AD$5&gt;=$F77,AD$5&lt;=$G77),3,"")</f>
        <v/>
      </c>
      <c r="AE77" s="34">
        <f>IF(AND(AE$5&gt;=$F77,AE$5&lt;=$G77),3,"")</f>
        <v/>
      </c>
      <c r="AF77" s="34">
        <f>IF(AND(AF$5&gt;=$F77,AF$5&lt;=$G77),3,"")</f>
        <v/>
      </c>
      <c r="AG77" s="34">
        <f>IF(AND(AG$5&gt;=$F77,AG$5&lt;=$G77),3,"")</f>
        <v/>
      </c>
      <c r="AH77" s="34">
        <f>IF(AND(AH$5&gt;=$F77,AH$5&lt;=$G77),3,"")</f>
        <v/>
      </c>
      <c r="AI77" s="34">
        <f>IF(AND(AI$5&gt;=$F77,AI$5&lt;=$G77),3,"")</f>
        <v/>
      </c>
      <c r="AJ77" s="34">
        <f>IF(AND(AJ$5&gt;=$F77,AJ$5&lt;=$G77),3,"")</f>
        <v/>
      </c>
      <c r="AK77" s="34">
        <f>IF(AND(AK$5&gt;=$F77,AK$5&lt;=$G77),3,"")</f>
        <v/>
      </c>
      <c r="AL77" s="34">
        <f>IF(AND(AL$5&gt;=$F77,AL$5&lt;=$G77),3,"")</f>
        <v/>
      </c>
      <c r="AM77" s="34">
        <f>IF(AND(AM$5&gt;=$F77,AM$5&lt;=$G77),3,"")</f>
        <v/>
      </c>
      <c r="AN77" s="34">
        <f>IF(AND(AN$5&gt;=$F77,AN$5&lt;=$G77),3,"")</f>
        <v/>
      </c>
      <c r="AO77" s="34">
        <f>IF(AND(AO$5&gt;=$F77,AO$5&lt;=$G77),3,"")</f>
        <v/>
      </c>
      <c r="AP77" s="34">
        <f>IF(AND(AP$5&gt;=$F77,AP$5&lt;=$G77),3,"")</f>
        <v/>
      </c>
      <c r="AQ77" s="34">
        <f>IF(AND(AQ$5&gt;=$F77,AQ$5&lt;=$G77),3,"")</f>
        <v/>
      </c>
      <c r="AR77" s="34">
        <f>IF(AND(AR$5&gt;=$F77,AR$5&lt;=$G77),3,"")</f>
        <v/>
      </c>
      <c r="AS77" s="34">
        <f>IF(AND(AS$5&gt;=$F77,AS$5&lt;=$G77),3,"")</f>
        <v/>
      </c>
      <c r="AT77" s="34">
        <f>IF(AND(AT$5&gt;=$F77,AT$5&lt;=$G77),3,"")</f>
        <v/>
      </c>
      <c r="AU77" s="34">
        <f>IF(AND(AU$5&gt;=$F77,AU$5&lt;=$G77),3,"")</f>
        <v/>
      </c>
      <c r="AV77" s="34">
        <f>IF(AND(AV$5&gt;=$F77,AV$5&lt;=$G77),3,"")</f>
        <v/>
      </c>
      <c r="AW77" s="34">
        <f>IF(AND(AW$5&gt;=$F77,AW$5&lt;=$G77),3,"")</f>
        <v/>
      </c>
      <c r="AX77" s="34">
        <f>IF(AND(AX$5&gt;=$F77,AX$5&lt;=$G77),3,"")</f>
        <v/>
      </c>
      <c r="AY77" s="34">
        <f>IF(AND(AY$5&gt;=$F77,AY$5&lt;=$G77),3,"")</f>
        <v/>
      </c>
      <c r="AZ77" s="34">
        <f>IF(AND(AZ$5&gt;=$F77,AZ$5&lt;=$G77),3,"")</f>
        <v/>
      </c>
      <c r="BA77" s="34">
        <f>IF(AND(BA$5&gt;=$F77,BA$5&lt;=$G77),3,"")</f>
        <v/>
      </c>
      <c r="BB77" s="34">
        <f>IF(AND(BB$5&gt;=$F77,BB$5&lt;=$G77),3,"")</f>
        <v/>
      </c>
      <c r="BC77" s="34">
        <f>IF(AND(BC$5&gt;=$F77,BC$5&lt;=$G77),3,"")</f>
        <v/>
      </c>
      <c r="BD77" s="34">
        <f>IF(AND(BD$5&gt;=$F77,BD$5&lt;=$G77),3,"")</f>
        <v/>
      </c>
      <c r="BE77" s="34">
        <f>IF(AND(BE$5&gt;=$F77,BE$5&lt;=$G77),3,"")</f>
        <v/>
      </c>
      <c r="BF77" s="34">
        <f>IF(AND(BF$5&gt;=$F77,BF$5&lt;=$G77),3,"")</f>
        <v/>
      </c>
      <c r="BG77" s="34">
        <f>IF(AND(BG$5&gt;=$F77,BG$5&lt;=$G77),3,"")</f>
        <v/>
      </c>
      <c r="BH77" s="34">
        <f>IF(AND(BH$5&gt;=$F77,BH$5&lt;=$G77),3,"")</f>
        <v/>
      </c>
      <c r="BI77" s="34">
        <f>IF(AND(BI$5&gt;=$F77,BI$5&lt;=$G77),3,"")</f>
        <v/>
      </c>
      <c r="BJ77" s="34">
        <f>IF(AND(BJ$5&gt;=$F77,BJ$5&lt;=$G77),3,"")</f>
        <v/>
      </c>
      <c r="BK77" s="34">
        <f>IF(AND(BK$5&gt;=$F77,BK$5&lt;=$G77),3,"")</f>
        <v/>
      </c>
      <c r="BL77" s="34">
        <f>IF(AND(BL$5&gt;=$F77,BL$5&lt;=$G77),3,"")</f>
        <v/>
      </c>
      <c r="BM77" s="34">
        <f>IF(AND(BM$5&gt;=$F77,BM$5&lt;=$G77),3,"")</f>
        <v/>
      </c>
      <c r="BN77" s="34">
        <f>IF(AND(BN$5&gt;=$F77,BN$5&lt;=$G77),3,"")</f>
        <v/>
      </c>
    </row>
    <row r="78" ht="14.25" customHeight="1" s="36">
      <c r="A78" s="13" t="inlineStr">
        <is>
          <t>3 Construcción</t>
        </is>
      </c>
      <c r="B78" s="13" t="inlineStr">
        <is>
          <t>3.3.6</t>
        </is>
      </c>
      <c r="C78" s="13" t="inlineStr">
        <is>
          <t>Operación sin conexión: 14 horas en terreno y 24 horas en el CD</t>
        </is>
      </c>
      <c r="D78" s="13" t="inlineStr">
        <is>
          <t>I</t>
        </is>
      </c>
      <c r="E78" s="13" t="inlineStr">
        <is>
          <t>Arquitectura</t>
        </is>
      </c>
      <c r="F78" s="13" t="n">
        <v>5</v>
      </c>
      <c r="G78" s="13" t="n">
        <v>7</v>
      </c>
      <c r="H78" s="13">
        <f>G78-F78+1</f>
        <v/>
      </c>
      <c r="I78" s="31" t="n">
        <v>480</v>
      </c>
      <c r="J78" s="13" t="inlineStr">
        <is>
          <t>Con entregable (detalle por planificación gradual)</t>
        </is>
      </c>
      <c r="K78" s="34">
        <f>IF(AND(K$5&gt;=$F78,K$5&lt;=$G78),3,"")</f>
        <v/>
      </c>
      <c r="L78" s="34">
        <f>IF(AND(L$5&gt;=$F78,L$5&lt;=$G78),3,"")</f>
        <v/>
      </c>
      <c r="M78" s="34">
        <f>IF(AND(M$5&gt;=$F78,M$5&lt;=$G78),3,"")</f>
        <v/>
      </c>
      <c r="N78" s="34">
        <f>IF(AND(N$5&gt;=$F78,N$5&lt;=$G78),3,"")</f>
        <v/>
      </c>
      <c r="O78" s="34">
        <f>IF(AND(O$5&gt;=$F78,O$5&lt;=$G78),3,"")</f>
        <v/>
      </c>
      <c r="P78" s="34">
        <f>IF(AND(P$5&gt;=$F78,P$5&lt;=$G78),3,"")</f>
        <v/>
      </c>
      <c r="Q78" s="34">
        <f>IF(AND(Q$5&gt;=$F78,Q$5&lt;=$G78),3,"")</f>
        <v/>
      </c>
      <c r="R78" s="34">
        <f>IF(AND(R$5&gt;=$F78,R$5&lt;=$G78),3,"")</f>
        <v/>
      </c>
      <c r="S78" s="34">
        <f>IF(AND(S$5&gt;=$F78,S$5&lt;=$G78),3,"")</f>
        <v/>
      </c>
      <c r="T78" s="34">
        <f>IF(AND(T$5&gt;=$F78,T$5&lt;=$G78),3,"")</f>
        <v/>
      </c>
      <c r="U78" s="34">
        <f>IF(AND(U$5&gt;=$F78,U$5&lt;=$G78),3,"")</f>
        <v/>
      </c>
      <c r="V78" s="34">
        <f>IF(AND(V$5&gt;=$F78,V$5&lt;=$G78),3,"")</f>
        <v/>
      </c>
      <c r="W78" s="34">
        <f>IF(AND(W$5&gt;=$F78,W$5&lt;=$G78),3,"")</f>
        <v/>
      </c>
      <c r="X78" s="34">
        <f>IF(AND(X$5&gt;=$F78,X$5&lt;=$G78),3,"")</f>
        <v/>
      </c>
      <c r="Y78" s="34">
        <f>IF(AND(Y$5&gt;=$F78,Y$5&lt;=$G78),3,"")</f>
        <v/>
      </c>
      <c r="Z78" s="34">
        <f>IF(AND(Z$5&gt;=$F78,Z$5&lt;=$G78),3,"")</f>
        <v/>
      </c>
      <c r="AA78" s="34">
        <f>IF(AND(AA$5&gt;=$F78,AA$5&lt;=$G78),3,"")</f>
        <v/>
      </c>
      <c r="AB78" s="34">
        <f>IF(AND(AB$5&gt;=$F78,AB$5&lt;=$G78),3,"")</f>
        <v/>
      </c>
      <c r="AC78" s="34">
        <f>IF(AND(AC$5&gt;=$F78,AC$5&lt;=$G78),3,"")</f>
        <v/>
      </c>
      <c r="AD78" s="34">
        <f>IF(AND(AD$5&gt;=$F78,AD$5&lt;=$G78),3,"")</f>
        <v/>
      </c>
      <c r="AE78" s="34">
        <f>IF(AND(AE$5&gt;=$F78,AE$5&lt;=$G78),3,"")</f>
        <v/>
      </c>
      <c r="AF78" s="34">
        <f>IF(AND(AF$5&gt;=$F78,AF$5&lt;=$G78),3,"")</f>
        <v/>
      </c>
      <c r="AG78" s="34">
        <f>IF(AND(AG$5&gt;=$F78,AG$5&lt;=$G78),3,"")</f>
        <v/>
      </c>
      <c r="AH78" s="34">
        <f>IF(AND(AH$5&gt;=$F78,AH$5&lt;=$G78),3,"")</f>
        <v/>
      </c>
      <c r="AI78" s="34">
        <f>IF(AND(AI$5&gt;=$F78,AI$5&lt;=$G78),3,"")</f>
        <v/>
      </c>
      <c r="AJ78" s="34">
        <f>IF(AND(AJ$5&gt;=$F78,AJ$5&lt;=$G78),3,"")</f>
        <v/>
      </c>
      <c r="AK78" s="34">
        <f>IF(AND(AK$5&gt;=$F78,AK$5&lt;=$G78),3,"")</f>
        <v/>
      </c>
      <c r="AL78" s="34">
        <f>IF(AND(AL$5&gt;=$F78,AL$5&lt;=$G78),3,"")</f>
        <v/>
      </c>
      <c r="AM78" s="34">
        <f>IF(AND(AM$5&gt;=$F78,AM$5&lt;=$G78),3,"")</f>
        <v/>
      </c>
      <c r="AN78" s="34">
        <f>IF(AND(AN$5&gt;=$F78,AN$5&lt;=$G78),3,"")</f>
        <v/>
      </c>
      <c r="AO78" s="34">
        <f>IF(AND(AO$5&gt;=$F78,AO$5&lt;=$G78),3,"")</f>
        <v/>
      </c>
      <c r="AP78" s="34">
        <f>IF(AND(AP$5&gt;=$F78,AP$5&lt;=$G78),3,"")</f>
        <v/>
      </c>
      <c r="AQ78" s="34">
        <f>IF(AND(AQ$5&gt;=$F78,AQ$5&lt;=$G78),3,"")</f>
        <v/>
      </c>
      <c r="AR78" s="34">
        <f>IF(AND(AR$5&gt;=$F78,AR$5&lt;=$G78),3,"")</f>
        <v/>
      </c>
      <c r="AS78" s="34">
        <f>IF(AND(AS$5&gt;=$F78,AS$5&lt;=$G78),3,"")</f>
        <v/>
      </c>
      <c r="AT78" s="34">
        <f>IF(AND(AT$5&gt;=$F78,AT$5&lt;=$G78),3,"")</f>
        <v/>
      </c>
      <c r="AU78" s="34">
        <f>IF(AND(AU$5&gt;=$F78,AU$5&lt;=$G78),3,"")</f>
        <v/>
      </c>
      <c r="AV78" s="34">
        <f>IF(AND(AV$5&gt;=$F78,AV$5&lt;=$G78),3,"")</f>
        <v/>
      </c>
      <c r="AW78" s="34">
        <f>IF(AND(AW$5&gt;=$F78,AW$5&lt;=$G78),3,"")</f>
        <v/>
      </c>
      <c r="AX78" s="34">
        <f>IF(AND(AX$5&gt;=$F78,AX$5&lt;=$G78),3,"")</f>
        <v/>
      </c>
      <c r="AY78" s="34">
        <f>IF(AND(AY$5&gt;=$F78,AY$5&lt;=$G78),3,"")</f>
        <v/>
      </c>
      <c r="AZ78" s="34">
        <f>IF(AND(AZ$5&gt;=$F78,AZ$5&lt;=$G78),3,"")</f>
        <v/>
      </c>
      <c r="BA78" s="34">
        <f>IF(AND(BA$5&gt;=$F78,BA$5&lt;=$G78),3,"")</f>
        <v/>
      </c>
      <c r="BB78" s="34">
        <f>IF(AND(BB$5&gt;=$F78,BB$5&lt;=$G78),3,"")</f>
        <v/>
      </c>
      <c r="BC78" s="34">
        <f>IF(AND(BC$5&gt;=$F78,BC$5&lt;=$G78),3,"")</f>
        <v/>
      </c>
      <c r="BD78" s="34">
        <f>IF(AND(BD$5&gt;=$F78,BD$5&lt;=$G78),3,"")</f>
        <v/>
      </c>
      <c r="BE78" s="34">
        <f>IF(AND(BE$5&gt;=$F78,BE$5&lt;=$G78),3,"")</f>
        <v/>
      </c>
      <c r="BF78" s="34">
        <f>IF(AND(BF$5&gt;=$F78,BF$5&lt;=$G78),3,"")</f>
        <v/>
      </c>
      <c r="BG78" s="34">
        <f>IF(AND(BG$5&gt;=$F78,BG$5&lt;=$G78),3,"")</f>
        <v/>
      </c>
      <c r="BH78" s="34">
        <f>IF(AND(BH$5&gt;=$F78,BH$5&lt;=$G78),3,"")</f>
        <v/>
      </c>
      <c r="BI78" s="34">
        <f>IF(AND(BI$5&gt;=$F78,BI$5&lt;=$G78),3,"")</f>
        <v/>
      </c>
      <c r="BJ78" s="34">
        <f>IF(AND(BJ$5&gt;=$F78,BJ$5&lt;=$G78),3,"")</f>
        <v/>
      </c>
      <c r="BK78" s="34">
        <f>IF(AND(BK$5&gt;=$F78,BK$5&lt;=$G78),3,"")</f>
        <v/>
      </c>
      <c r="BL78" s="34">
        <f>IF(AND(BL$5&gt;=$F78,BL$5&lt;=$G78),3,"")</f>
        <v/>
      </c>
      <c r="BM78" s="34">
        <f>IF(AND(BM$5&gt;=$F78,BM$5&lt;=$G78),3,"")</f>
        <v/>
      </c>
      <c r="BN78" s="34">
        <f>IF(AND(BN$5&gt;=$F78,BN$5&lt;=$G78),3,"")</f>
        <v/>
      </c>
    </row>
    <row r="79" ht="14.25" customHeight="1" s="36">
      <c r="A79" s="13" t="inlineStr">
        <is>
          <t>3 Construcción</t>
        </is>
      </c>
      <c r="B79" s="13" t="inlineStr">
        <is>
          <t>3.4.1</t>
        </is>
      </c>
      <c r="C79" s="13" t="inlineStr">
        <is>
          <t>Recepción de mercadería con captura de lote y vencimiento (M1 Recepción)</t>
        </is>
      </c>
      <c r="D79" s="13" t="inlineStr">
        <is>
          <t>D</t>
        </is>
      </c>
      <c r="E79" s="13" t="inlineStr">
        <is>
          <t>Desarrollo</t>
        </is>
      </c>
      <c r="F79" s="13" t="n">
        <v>5</v>
      </c>
      <c r="G79" s="13" t="n">
        <v>7</v>
      </c>
      <c r="H79" s="13">
        <f>G79-F79+1</f>
        <v/>
      </c>
      <c r="I79" s="31" t="n">
        <v>960</v>
      </c>
      <c r="J79" s="13" t="inlineStr">
        <is>
          <t>Con entregable (detalle por planificación gradual)</t>
        </is>
      </c>
      <c r="K79" s="34">
        <f>IF(AND(K$5&gt;=$F79,K$5&lt;=$G79),3,"")</f>
        <v/>
      </c>
      <c r="L79" s="34">
        <f>IF(AND(L$5&gt;=$F79,L$5&lt;=$G79),3,"")</f>
        <v/>
      </c>
      <c r="M79" s="34">
        <f>IF(AND(M$5&gt;=$F79,M$5&lt;=$G79),3,"")</f>
        <v/>
      </c>
      <c r="N79" s="34">
        <f>IF(AND(N$5&gt;=$F79,N$5&lt;=$G79),3,"")</f>
        <v/>
      </c>
      <c r="O79" s="34">
        <f>IF(AND(O$5&gt;=$F79,O$5&lt;=$G79),3,"")</f>
        <v/>
      </c>
      <c r="P79" s="34">
        <f>IF(AND(P$5&gt;=$F79,P$5&lt;=$G79),3,"")</f>
        <v/>
      </c>
      <c r="Q79" s="34">
        <f>IF(AND(Q$5&gt;=$F79,Q$5&lt;=$G79),3,"")</f>
        <v/>
      </c>
      <c r="R79" s="34">
        <f>IF(AND(R$5&gt;=$F79,R$5&lt;=$G79),3,"")</f>
        <v/>
      </c>
      <c r="S79" s="34">
        <f>IF(AND(S$5&gt;=$F79,S$5&lt;=$G79),3,"")</f>
        <v/>
      </c>
      <c r="T79" s="34">
        <f>IF(AND(T$5&gt;=$F79,T$5&lt;=$G79),3,"")</f>
        <v/>
      </c>
      <c r="U79" s="34">
        <f>IF(AND(U$5&gt;=$F79,U$5&lt;=$G79),3,"")</f>
        <v/>
      </c>
      <c r="V79" s="34">
        <f>IF(AND(V$5&gt;=$F79,V$5&lt;=$G79),3,"")</f>
        <v/>
      </c>
      <c r="W79" s="34">
        <f>IF(AND(W$5&gt;=$F79,W$5&lt;=$G79),3,"")</f>
        <v/>
      </c>
      <c r="X79" s="34">
        <f>IF(AND(X$5&gt;=$F79,X$5&lt;=$G79),3,"")</f>
        <v/>
      </c>
      <c r="Y79" s="34">
        <f>IF(AND(Y$5&gt;=$F79,Y$5&lt;=$G79),3,"")</f>
        <v/>
      </c>
      <c r="Z79" s="34">
        <f>IF(AND(Z$5&gt;=$F79,Z$5&lt;=$G79),3,"")</f>
        <v/>
      </c>
      <c r="AA79" s="34">
        <f>IF(AND(AA$5&gt;=$F79,AA$5&lt;=$G79),3,"")</f>
        <v/>
      </c>
      <c r="AB79" s="34">
        <f>IF(AND(AB$5&gt;=$F79,AB$5&lt;=$G79),3,"")</f>
        <v/>
      </c>
      <c r="AC79" s="34">
        <f>IF(AND(AC$5&gt;=$F79,AC$5&lt;=$G79),3,"")</f>
        <v/>
      </c>
      <c r="AD79" s="34">
        <f>IF(AND(AD$5&gt;=$F79,AD$5&lt;=$G79),3,"")</f>
        <v/>
      </c>
      <c r="AE79" s="34">
        <f>IF(AND(AE$5&gt;=$F79,AE$5&lt;=$G79),3,"")</f>
        <v/>
      </c>
      <c r="AF79" s="34">
        <f>IF(AND(AF$5&gt;=$F79,AF$5&lt;=$G79),3,"")</f>
        <v/>
      </c>
      <c r="AG79" s="34">
        <f>IF(AND(AG$5&gt;=$F79,AG$5&lt;=$G79),3,"")</f>
        <v/>
      </c>
      <c r="AH79" s="34">
        <f>IF(AND(AH$5&gt;=$F79,AH$5&lt;=$G79),3,"")</f>
        <v/>
      </c>
      <c r="AI79" s="34">
        <f>IF(AND(AI$5&gt;=$F79,AI$5&lt;=$G79),3,"")</f>
        <v/>
      </c>
      <c r="AJ79" s="34">
        <f>IF(AND(AJ$5&gt;=$F79,AJ$5&lt;=$G79),3,"")</f>
        <v/>
      </c>
      <c r="AK79" s="34">
        <f>IF(AND(AK$5&gt;=$F79,AK$5&lt;=$G79),3,"")</f>
        <v/>
      </c>
      <c r="AL79" s="34">
        <f>IF(AND(AL$5&gt;=$F79,AL$5&lt;=$G79),3,"")</f>
        <v/>
      </c>
      <c r="AM79" s="34">
        <f>IF(AND(AM$5&gt;=$F79,AM$5&lt;=$G79),3,"")</f>
        <v/>
      </c>
      <c r="AN79" s="34">
        <f>IF(AND(AN$5&gt;=$F79,AN$5&lt;=$G79),3,"")</f>
        <v/>
      </c>
      <c r="AO79" s="34">
        <f>IF(AND(AO$5&gt;=$F79,AO$5&lt;=$G79),3,"")</f>
        <v/>
      </c>
      <c r="AP79" s="34">
        <f>IF(AND(AP$5&gt;=$F79,AP$5&lt;=$G79),3,"")</f>
        <v/>
      </c>
      <c r="AQ79" s="34">
        <f>IF(AND(AQ$5&gt;=$F79,AQ$5&lt;=$G79),3,"")</f>
        <v/>
      </c>
      <c r="AR79" s="34">
        <f>IF(AND(AR$5&gt;=$F79,AR$5&lt;=$G79),3,"")</f>
        <v/>
      </c>
      <c r="AS79" s="34">
        <f>IF(AND(AS$5&gt;=$F79,AS$5&lt;=$G79),3,"")</f>
        <v/>
      </c>
      <c r="AT79" s="34">
        <f>IF(AND(AT$5&gt;=$F79,AT$5&lt;=$G79),3,"")</f>
        <v/>
      </c>
      <c r="AU79" s="34">
        <f>IF(AND(AU$5&gt;=$F79,AU$5&lt;=$G79),3,"")</f>
        <v/>
      </c>
      <c r="AV79" s="34">
        <f>IF(AND(AV$5&gt;=$F79,AV$5&lt;=$G79),3,"")</f>
        <v/>
      </c>
      <c r="AW79" s="34">
        <f>IF(AND(AW$5&gt;=$F79,AW$5&lt;=$G79),3,"")</f>
        <v/>
      </c>
      <c r="AX79" s="34">
        <f>IF(AND(AX$5&gt;=$F79,AX$5&lt;=$G79),3,"")</f>
        <v/>
      </c>
      <c r="AY79" s="34">
        <f>IF(AND(AY$5&gt;=$F79,AY$5&lt;=$G79),3,"")</f>
        <v/>
      </c>
      <c r="AZ79" s="34">
        <f>IF(AND(AZ$5&gt;=$F79,AZ$5&lt;=$G79),3,"")</f>
        <v/>
      </c>
      <c r="BA79" s="34">
        <f>IF(AND(BA$5&gt;=$F79,BA$5&lt;=$G79),3,"")</f>
        <v/>
      </c>
      <c r="BB79" s="34">
        <f>IF(AND(BB$5&gt;=$F79,BB$5&lt;=$G79),3,"")</f>
        <v/>
      </c>
      <c r="BC79" s="34">
        <f>IF(AND(BC$5&gt;=$F79,BC$5&lt;=$G79),3,"")</f>
        <v/>
      </c>
      <c r="BD79" s="34">
        <f>IF(AND(BD$5&gt;=$F79,BD$5&lt;=$G79),3,"")</f>
        <v/>
      </c>
      <c r="BE79" s="34">
        <f>IF(AND(BE$5&gt;=$F79,BE$5&lt;=$G79),3,"")</f>
        <v/>
      </c>
      <c r="BF79" s="34">
        <f>IF(AND(BF$5&gt;=$F79,BF$5&lt;=$G79),3,"")</f>
        <v/>
      </c>
      <c r="BG79" s="34">
        <f>IF(AND(BG$5&gt;=$F79,BG$5&lt;=$G79),3,"")</f>
        <v/>
      </c>
      <c r="BH79" s="34">
        <f>IF(AND(BH$5&gt;=$F79,BH$5&lt;=$G79),3,"")</f>
        <v/>
      </c>
      <c r="BI79" s="34">
        <f>IF(AND(BI$5&gt;=$F79,BI$5&lt;=$G79),3,"")</f>
        <v/>
      </c>
      <c r="BJ79" s="34">
        <f>IF(AND(BJ$5&gt;=$F79,BJ$5&lt;=$G79),3,"")</f>
        <v/>
      </c>
      <c r="BK79" s="34">
        <f>IF(AND(BK$5&gt;=$F79,BK$5&lt;=$G79),3,"")</f>
        <v/>
      </c>
      <c r="BL79" s="34">
        <f>IF(AND(BL$5&gt;=$F79,BL$5&lt;=$G79),3,"")</f>
        <v/>
      </c>
      <c r="BM79" s="34">
        <f>IF(AND(BM$5&gt;=$F79,BM$5&lt;=$G79),3,"")</f>
        <v/>
      </c>
      <c r="BN79" s="34">
        <f>IF(AND(BN$5&gt;=$F79,BN$5&lt;=$G79),3,"")</f>
        <v/>
      </c>
    </row>
    <row r="80" ht="14.25" customHeight="1" s="36">
      <c r="A80" s="13" t="inlineStr">
        <is>
          <t>3 Construcción</t>
        </is>
      </c>
      <c r="B80" s="13" t="inlineStr">
        <is>
          <t>3.4.2</t>
        </is>
      </c>
      <c r="C80" s="13" t="inlineStr">
        <is>
          <t>Inventario por ubicación y lote, con FEFO y conteo cíclico (M2 Inventario)</t>
        </is>
      </c>
      <c r="D80" s="13" t="inlineStr">
        <is>
          <t>D</t>
        </is>
      </c>
      <c r="E80" s="13" t="inlineStr">
        <is>
          <t>Desarrollo</t>
        </is>
      </c>
      <c r="F80" s="13" t="n">
        <v>5</v>
      </c>
      <c r="G80" s="13" t="n">
        <v>7</v>
      </c>
      <c r="H80" s="13">
        <f>G80-F80+1</f>
        <v/>
      </c>
      <c r="I80" s="31" t="n">
        <v>960</v>
      </c>
      <c r="J80" s="13" t="inlineStr">
        <is>
          <t>Con entregable (detalle por planificación gradual)</t>
        </is>
      </c>
      <c r="K80" s="34">
        <f>IF(AND(K$5&gt;=$F80,K$5&lt;=$G80),3,"")</f>
        <v/>
      </c>
      <c r="L80" s="34">
        <f>IF(AND(L$5&gt;=$F80,L$5&lt;=$G80),3,"")</f>
        <v/>
      </c>
      <c r="M80" s="34">
        <f>IF(AND(M$5&gt;=$F80,M$5&lt;=$G80),3,"")</f>
        <v/>
      </c>
      <c r="N80" s="34">
        <f>IF(AND(N$5&gt;=$F80,N$5&lt;=$G80),3,"")</f>
        <v/>
      </c>
      <c r="O80" s="34">
        <f>IF(AND(O$5&gt;=$F80,O$5&lt;=$G80),3,"")</f>
        <v/>
      </c>
      <c r="P80" s="34">
        <f>IF(AND(P$5&gt;=$F80,P$5&lt;=$G80),3,"")</f>
        <v/>
      </c>
      <c r="Q80" s="34">
        <f>IF(AND(Q$5&gt;=$F80,Q$5&lt;=$G80),3,"")</f>
        <v/>
      </c>
      <c r="R80" s="34">
        <f>IF(AND(R$5&gt;=$F80,R$5&lt;=$G80),3,"")</f>
        <v/>
      </c>
      <c r="S80" s="34">
        <f>IF(AND(S$5&gt;=$F80,S$5&lt;=$G80),3,"")</f>
        <v/>
      </c>
      <c r="T80" s="34">
        <f>IF(AND(T$5&gt;=$F80,T$5&lt;=$G80),3,"")</f>
        <v/>
      </c>
      <c r="U80" s="34">
        <f>IF(AND(U$5&gt;=$F80,U$5&lt;=$G80),3,"")</f>
        <v/>
      </c>
      <c r="V80" s="34">
        <f>IF(AND(V$5&gt;=$F80,V$5&lt;=$G80),3,"")</f>
        <v/>
      </c>
      <c r="W80" s="34">
        <f>IF(AND(W$5&gt;=$F80,W$5&lt;=$G80),3,"")</f>
        <v/>
      </c>
      <c r="X80" s="34">
        <f>IF(AND(X$5&gt;=$F80,X$5&lt;=$G80),3,"")</f>
        <v/>
      </c>
      <c r="Y80" s="34">
        <f>IF(AND(Y$5&gt;=$F80,Y$5&lt;=$G80),3,"")</f>
        <v/>
      </c>
      <c r="Z80" s="34">
        <f>IF(AND(Z$5&gt;=$F80,Z$5&lt;=$G80),3,"")</f>
        <v/>
      </c>
      <c r="AA80" s="34">
        <f>IF(AND(AA$5&gt;=$F80,AA$5&lt;=$G80),3,"")</f>
        <v/>
      </c>
      <c r="AB80" s="34">
        <f>IF(AND(AB$5&gt;=$F80,AB$5&lt;=$G80),3,"")</f>
        <v/>
      </c>
      <c r="AC80" s="34">
        <f>IF(AND(AC$5&gt;=$F80,AC$5&lt;=$G80),3,"")</f>
        <v/>
      </c>
      <c r="AD80" s="34">
        <f>IF(AND(AD$5&gt;=$F80,AD$5&lt;=$G80),3,"")</f>
        <v/>
      </c>
      <c r="AE80" s="34">
        <f>IF(AND(AE$5&gt;=$F80,AE$5&lt;=$G80),3,"")</f>
        <v/>
      </c>
      <c r="AF80" s="34">
        <f>IF(AND(AF$5&gt;=$F80,AF$5&lt;=$G80),3,"")</f>
        <v/>
      </c>
      <c r="AG80" s="34">
        <f>IF(AND(AG$5&gt;=$F80,AG$5&lt;=$G80),3,"")</f>
        <v/>
      </c>
      <c r="AH80" s="34">
        <f>IF(AND(AH$5&gt;=$F80,AH$5&lt;=$G80),3,"")</f>
        <v/>
      </c>
      <c r="AI80" s="34">
        <f>IF(AND(AI$5&gt;=$F80,AI$5&lt;=$G80),3,"")</f>
        <v/>
      </c>
      <c r="AJ80" s="34">
        <f>IF(AND(AJ$5&gt;=$F80,AJ$5&lt;=$G80),3,"")</f>
        <v/>
      </c>
      <c r="AK80" s="34">
        <f>IF(AND(AK$5&gt;=$F80,AK$5&lt;=$G80),3,"")</f>
        <v/>
      </c>
      <c r="AL80" s="34">
        <f>IF(AND(AL$5&gt;=$F80,AL$5&lt;=$G80),3,"")</f>
        <v/>
      </c>
      <c r="AM80" s="34">
        <f>IF(AND(AM$5&gt;=$F80,AM$5&lt;=$G80),3,"")</f>
        <v/>
      </c>
      <c r="AN80" s="34">
        <f>IF(AND(AN$5&gt;=$F80,AN$5&lt;=$G80),3,"")</f>
        <v/>
      </c>
      <c r="AO80" s="34">
        <f>IF(AND(AO$5&gt;=$F80,AO$5&lt;=$G80),3,"")</f>
        <v/>
      </c>
      <c r="AP80" s="34">
        <f>IF(AND(AP$5&gt;=$F80,AP$5&lt;=$G80),3,"")</f>
        <v/>
      </c>
      <c r="AQ80" s="34">
        <f>IF(AND(AQ$5&gt;=$F80,AQ$5&lt;=$G80),3,"")</f>
        <v/>
      </c>
      <c r="AR80" s="34">
        <f>IF(AND(AR$5&gt;=$F80,AR$5&lt;=$G80),3,"")</f>
        <v/>
      </c>
      <c r="AS80" s="34">
        <f>IF(AND(AS$5&gt;=$F80,AS$5&lt;=$G80),3,"")</f>
        <v/>
      </c>
      <c r="AT80" s="34">
        <f>IF(AND(AT$5&gt;=$F80,AT$5&lt;=$G80),3,"")</f>
        <v/>
      </c>
      <c r="AU80" s="34">
        <f>IF(AND(AU$5&gt;=$F80,AU$5&lt;=$G80),3,"")</f>
        <v/>
      </c>
      <c r="AV80" s="34">
        <f>IF(AND(AV$5&gt;=$F80,AV$5&lt;=$G80),3,"")</f>
        <v/>
      </c>
      <c r="AW80" s="34">
        <f>IF(AND(AW$5&gt;=$F80,AW$5&lt;=$G80),3,"")</f>
        <v/>
      </c>
      <c r="AX80" s="34">
        <f>IF(AND(AX$5&gt;=$F80,AX$5&lt;=$G80),3,"")</f>
        <v/>
      </c>
      <c r="AY80" s="34">
        <f>IF(AND(AY$5&gt;=$F80,AY$5&lt;=$G80),3,"")</f>
        <v/>
      </c>
      <c r="AZ80" s="34">
        <f>IF(AND(AZ$5&gt;=$F80,AZ$5&lt;=$G80),3,"")</f>
        <v/>
      </c>
      <c r="BA80" s="34">
        <f>IF(AND(BA$5&gt;=$F80,BA$5&lt;=$G80),3,"")</f>
        <v/>
      </c>
      <c r="BB80" s="34">
        <f>IF(AND(BB$5&gt;=$F80,BB$5&lt;=$G80),3,"")</f>
        <v/>
      </c>
      <c r="BC80" s="34">
        <f>IF(AND(BC$5&gt;=$F80,BC$5&lt;=$G80),3,"")</f>
        <v/>
      </c>
      <c r="BD80" s="34">
        <f>IF(AND(BD$5&gt;=$F80,BD$5&lt;=$G80),3,"")</f>
        <v/>
      </c>
      <c r="BE80" s="34">
        <f>IF(AND(BE$5&gt;=$F80,BE$5&lt;=$G80),3,"")</f>
        <v/>
      </c>
      <c r="BF80" s="34">
        <f>IF(AND(BF$5&gt;=$F80,BF$5&lt;=$G80),3,"")</f>
        <v/>
      </c>
      <c r="BG80" s="34">
        <f>IF(AND(BG$5&gt;=$F80,BG$5&lt;=$G80),3,"")</f>
        <v/>
      </c>
      <c r="BH80" s="34">
        <f>IF(AND(BH$5&gt;=$F80,BH$5&lt;=$G80),3,"")</f>
        <v/>
      </c>
      <c r="BI80" s="34">
        <f>IF(AND(BI$5&gt;=$F80,BI$5&lt;=$G80),3,"")</f>
        <v/>
      </c>
      <c r="BJ80" s="34">
        <f>IF(AND(BJ$5&gt;=$F80,BJ$5&lt;=$G80),3,"")</f>
        <v/>
      </c>
      <c r="BK80" s="34">
        <f>IF(AND(BK$5&gt;=$F80,BK$5&lt;=$G80),3,"")</f>
        <v/>
      </c>
      <c r="BL80" s="34">
        <f>IF(AND(BL$5&gt;=$F80,BL$5&lt;=$G80),3,"")</f>
        <v/>
      </c>
      <c r="BM80" s="34">
        <f>IF(AND(BM$5&gt;=$F80,BM$5&lt;=$G80),3,"")</f>
        <v/>
      </c>
      <c r="BN80" s="34">
        <f>IF(AND(BN$5&gt;=$F80,BN$5&lt;=$G80),3,"")</f>
        <v/>
      </c>
    </row>
    <row r="81" ht="14.25" customHeight="1" s="36">
      <c r="A81" s="13" t="inlineStr">
        <is>
          <t>3 Construcción</t>
        </is>
      </c>
      <c r="B81" s="13" t="inlineStr">
        <is>
          <t>3.4.3</t>
        </is>
      </c>
      <c r="C81" s="13" t="inlineStr">
        <is>
          <t>Preparación de pedidos en el turno de noche y en la cámara de congelado (M5 Preparación)</t>
        </is>
      </c>
      <c r="D81" s="13" t="inlineStr">
        <is>
          <t>D</t>
        </is>
      </c>
      <c r="E81" s="13" t="inlineStr">
        <is>
          <t>Desarrollo</t>
        </is>
      </c>
      <c r="F81" s="13" t="n">
        <v>5</v>
      </c>
      <c r="G81" s="13" t="n">
        <v>7</v>
      </c>
      <c r="H81" s="13">
        <f>G81-F81+1</f>
        <v/>
      </c>
      <c r="I81" s="31" t="n">
        <v>960</v>
      </c>
      <c r="J81" s="13" t="inlineStr">
        <is>
          <t>Con entregable (detalle por planificación gradual)</t>
        </is>
      </c>
      <c r="K81" s="34">
        <f>IF(AND(K$5&gt;=$F81,K$5&lt;=$G81),3,"")</f>
        <v/>
      </c>
      <c r="L81" s="34">
        <f>IF(AND(L$5&gt;=$F81,L$5&lt;=$G81),3,"")</f>
        <v/>
      </c>
      <c r="M81" s="34">
        <f>IF(AND(M$5&gt;=$F81,M$5&lt;=$G81),3,"")</f>
        <v/>
      </c>
      <c r="N81" s="34">
        <f>IF(AND(N$5&gt;=$F81,N$5&lt;=$G81),3,"")</f>
        <v/>
      </c>
      <c r="O81" s="34">
        <f>IF(AND(O$5&gt;=$F81,O$5&lt;=$G81),3,"")</f>
        <v/>
      </c>
      <c r="P81" s="34">
        <f>IF(AND(P$5&gt;=$F81,P$5&lt;=$G81),3,"")</f>
        <v/>
      </c>
      <c r="Q81" s="34">
        <f>IF(AND(Q$5&gt;=$F81,Q$5&lt;=$G81),3,"")</f>
        <v/>
      </c>
      <c r="R81" s="34">
        <f>IF(AND(R$5&gt;=$F81,R$5&lt;=$G81),3,"")</f>
        <v/>
      </c>
      <c r="S81" s="34">
        <f>IF(AND(S$5&gt;=$F81,S$5&lt;=$G81),3,"")</f>
        <v/>
      </c>
      <c r="T81" s="34">
        <f>IF(AND(T$5&gt;=$F81,T$5&lt;=$G81),3,"")</f>
        <v/>
      </c>
      <c r="U81" s="34">
        <f>IF(AND(U$5&gt;=$F81,U$5&lt;=$G81),3,"")</f>
        <v/>
      </c>
      <c r="V81" s="34">
        <f>IF(AND(V$5&gt;=$F81,V$5&lt;=$G81),3,"")</f>
        <v/>
      </c>
      <c r="W81" s="34">
        <f>IF(AND(W$5&gt;=$F81,W$5&lt;=$G81),3,"")</f>
        <v/>
      </c>
      <c r="X81" s="34">
        <f>IF(AND(X$5&gt;=$F81,X$5&lt;=$G81),3,"")</f>
        <v/>
      </c>
      <c r="Y81" s="34">
        <f>IF(AND(Y$5&gt;=$F81,Y$5&lt;=$G81),3,"")</f>
        <v/>
      </c>
      <c r="Z81" s="34">
        <f>IF(AND(Z$5&gt;=$F81,Z$5&lt;=$G81),3,"")</f>
        <v/>
      </c>
      <c r="AA81" s="34">
        <f>IF(AND(AA$5&gt;=$F81,AA$5&lt;=$G81),3,"")</f>
        <v/>
      </c>
      <c r="AB81" s="34">
        <f>IF(AND(AB$5&gt;=$F81,AB$5&lt;=$G81),3,"")</f>
        <v/>
      </c>
      <c r="AC81" s="34">
        <f>IF(AND(AC$5&gt;=$F81,AC$5&lt;=$G81),3,"")</f>
        <v/>
      </c>
      <c r="AD81" s="34">
        <f>IF(AND(AD$5&gt;=$F81,AD$5&lt;=$G81),3,"")</f>
        <v/>
      </c>
      <c r="AE81" s="34">
        <f>IF(AND(AE$5&gt;=$F81,AE$5&lt;=$G81),3,"")</f>
        <v/>
      </c>
      <c r="AF81" s="34">
        <f>IF(AND(AF$5&gt;=$F81,AF$5&lt;=$G81),3,"")</f>
        <v/>
      </c>
      <c r="AG81" s="34">
        <f>IF(AND(AG$5&gt;=$F81,AG$5&lt;=$G81),3,"")</f>
        <v/>
      </c>
      <c r="AH81" s="34">
        <f>IF(AND(AH$5&gt;=$F81,AH$5&lt;=$G81),3,"")</f>
        <v/>
      </c>
      <c r="AI81" s="34">
        <f>IF(AND(AI$5&gt;=$F81,AI$5&lt;=$G81),3,"")</f>
        <v/>
      </c>
      <c r="AJ81" s="34">
        <f>IF(AND(AJ$5&gt;=$F81,AJ$5&lt;=$G81),3,"")</f>
        <v/>
      </c>
      <c r="AK81" s="34">
        <f>IF(AND(AK$5&gt;=$F81,AK$5&lt;=$G81),3,"")</f>
        <v/>
      </c>
      <c r="AL81" s="34">
        <f>IF(AND(AL$5&gt;=$F81,AL$5&lt;=$G81),3,"")</f>
        <v/>
      </c>
      <c r="AM81" s="34">
        <f>IF(AND(AM$5&gt;=$F81,AM$5&lt;=$G81),3,"")</f>
        <v/>
      </c>
      <c r="AN81" s="34">
        <f>IF(AND(AN$5&gt;=$F81,AN$5&lt;=$G81),3,"")</f>
        <v/>
      </c>
      <c r="AO81" s="34">
        <f>IF(AND(AO$5&gt;=$F81,AO$5&lt;=$G81),3,"")</f>
        <v/>
      </c>
      <c r="AP81" s="34">
        <f>IF(AND(AP$5&gt;=$F81,AP$5&lt;=$G81),3,"")</f>
        <v/>
      </c>
      <c r="AQ81" s="34">
        <f>IF(AND(AQ$5&gt;=$F81,AQ$5&lt;=$G81),3,"")</f>
        <v/>
      </c>
      <c r="AR81" s="34">
        <f>IF(AND(AR$5&gt;=$F81,AR$5&lt;=$G81),3,"")</f>
        <v/>
      </c>
      <c r="AS81" s="34">
        <f>IF(AND(AS$5&gt;=$F81,AS$5&lt;=$G81),3,"")</f>
        <v/>
      </c>
      <c r="AT81" s="34">
        <f>IF(AND(AT$5&gt;=$F81,AT$5&lt;=$G81),3,"")</f>
        <v/>
      </c>
      <c r="AU81" s="34">
        <f>IF(AND(AU$5&gt;=$F81,AU$5&lt;=$G81),3,"")</f>
        <v/>
      </c>
      <c r="AV81" s="34">
        <f>IF(AND(AV$5&gt;=$F81,AV$5&lt;=$G81),3,"")</f>
        <v/>
      </c>
      <c r="AW81" s="34">
        <f>IF(AND(AW$5&gt;=$F81,AW$5&lt;=$G81),3,"")</f>
        <v/>
      </c>
      <c r="AX81" s="34">
        <f>IF(AND(AX$5&gt;=$F81,AX$5&lt;=$G81),3,"")</f>
        <v/>
      </c>
      <c r="AY81" s="34">
        <f>IF(AND(AY$5&gt;=$F81,AY$5&lt;=$G81),3,"")</f>
        <v/>
      </c>
      <c r="AZ81" s="34">
        <f>IF(AND(AZ$5&gt;=$F81,AZ$5&lt;=$G81),3,"")</f>
        <v/>
      </c>
      <c r="BA81" s="34">
        <f>IF(AND(BA$5&gt;=$F81,BA$5&lt;=$G81),3,"")</f>
        <v/>
      </c>
      <c r="BB81" s="34">
        <f>IF(AND(BB$5&gt;=$F81,BB$5&lt;=$G81),3,"")</f>
        <v/>
      </c>
      <c r="BC81" s="34">
        <f>IF(AND(BC$5&gt;=$F81,BC$5&lt;=$G81),3,"")</f>
        <v/>
      </c>
      <c r="BD81" s="34">
        <f>IF(AND(BD$5&gt;=$F81,BD$5&lt;=$G81),3,"")</f>
        <v/>
      </c>
      <c r="BE81" s="34">
        <f>IF(AND(BE$5&gt;=$F81,BE$5&lt;=$G81),3,"")</f>
        <v/>
      </c>
      <c r="BF81" s="34">
        <f>IF(AND(BF$5&gt;=$F81,BF$5&lt;=$G81),3,"")</f>
        <v/>
      </c>
      <c r="BG81" s="34">
        <f>IF(AND(BG$5&gt;=$F81,BG$5&lt;=$G81),3,"")</f>
        <v/>
      </c>
      <c r="BH81" s="34">
        <f>IF(AND(BH$5&gt;=$F81,BH$5&lt;=$G81),3,"")</f>
        <v/>
      </c>
      <c r="BI81" s="34">
        <f>IF(AND(BI$5&gt;=$F81,BI$5&lt;=$G81),3,"")</f>
        <v/>
      </c>
      <c r="BJ81" s="34">
        <f>IF(AND(BJ$5&gt;=$F81,BJ$5&lt;=$G81),3,"")</f>
        <v/>
      </c>
      <c r="BK81" s="34">
        <f>IF(AND(BK$5&gt;=$F81,BK$5&lt;=$G81),3,"")</f>
        <v/>
      </c>
      <c r="BL81" s="34">
        <f>IF(AND(BL$5&gt;=$F81,BL$5&lt;=$G81),3,"")</f>
        <v/>
      </c>
      <c r="BM81" s="34">
        <f>IF(AND(BM$5&gt;=$F81,BM$5&lt;=$G81),3,"")</f>
        <v/>
      </c>
      <c r="BN81" s="34">
        <f>IF(AND(BN$5&gt;=$F81,BN$5&lt;=$G81),3,"")</f>
        <v/>
      </c>
    </row>
    <row r="82" ht="14.25" customHeight="1" s="36">
      <c r="A82" s="13" t="inlineStr">
        <is>
          <t>3 Construcción</t>
        </is>
      </c>
      <c r="B82" s="13" t="inlineStr">
        <is>
          <t>3.4.4</t>
        </is>
      </c>
      <c r="C82" s="13" t="inlineStr">
        <is>
          <t>Cadena de frío, retención de lotes y retiro sanitario (M9 Calidad y trazabilidad)</t>
        </is>
      </c>
      <c r="D82" s="13" t="inlineStr">
        <is>
          <t>D</t>
        </is>
      </c>
      <c r="E82" s="13" t="inlineStr">
        <is>
          <t>Desarrollo</t>
        </is>
      </c>
      <c r="F82" s="13" t="n">
        <v>5</v>
      </c>
      <c r="G82" s="13" t="n">
        <v>8</v>
      </c>
      <c r="H82" s="13">
        <f>G82-F82+1</f>
        <v/>
      </c>
      <c r="I82" s="31" t="n">
        <v>960</v>
      </c>
      <c r="J82" s="13" t="inlineStr">
        <is>
          <t>Con entregable (detalle por planificación gradual)</t>
        </is>
      </c>
      <c r="K82" s="34">
        <f>IF(AND(K$5&gt;=$F82,K$5&lt;=$G82),3,"")</f>
        <v/>
      </c>
      <c r="L82" s="34">
        <f>IF(AND(L$5&gt;=$F82,L$5&lt;=$G82),3,"")</f>
        <v/>
      </c>
      <c r="M82" s="34">
        <f>IF(AND(M$5&gt;=$F82,M$5&lt;=$G82),3,"")</f>
        <v/>
      </c>
      <c r="N82" s="34">
        <f>IF(AND(N$5&gt;=$F82,N$5&lt;=$G82),3,"")</f>
        <v/>
      </c>
      <c r="O82" s="34">
        <f>IF(AND(O$5&gt;=$F82,O$5&lt;=$G82),3,"")</f>
        <v/>
      </c>
      <c r="P82" s="34">
        <f>IF(AND(P$5&gt;=$F82,P$5&lt;=$G82),3,"")</f>
        <v/>
      </c>
      <c r="Q82" s="34">
        <f>IF(AND(Q$5&gt;=$F82,Q$5&lt;=$G82),3,"")</f>
        <v/>
      </c>
      <c r="R82" s="34">
        <f>IF(AND(R$5&gt;=$F82,R$5&lt;=$G82),3,"")</f>
        <v/>
      </c>
      <c r="S82" s="34">
        <f>IF(AND(S$5&gt;=$F82,S$5&lt;=$G82),3,"")</f>
        <v/>
      </c>
      <c r="T82" s="34">
        <f>IF(AND(T$5&gt;=$F82,T$5&lt;=$G82),3,"")</f>
        <v/>
      </c>
      <c r="U82" s="34">
        <f>IF(AND(U$5&gt;=$F82,U$5&lt;=$G82),3,"")</f>
        <v/>
      </c>
      <c r="V82" s="34">
        <f>IF(AND(V$5&gt;=$F82,V$5&lt;=$G82),3,"")</f>
        <v/>
      </c>
      <c r="W82" s="34">
        <f>IF(AND(W$5&gt;=$F82,W$5&lt;=$G82),3,"")</f>
        <v/>
      </c>
      <c r="X82" s="34">
        <f>IF(AND(X$5&gt;=$F82,X$5&lt;=$G82),3,"")</f>
        <v/>
      </c>
      <c r="Y82" s="34">
        <f>IF(AND(Y$5&gt;=$F82,Y$5&lt;=$G82),3,"")</f>
        <v/>
      </c>
      <c r="Z82" s="34">
        <f>IF(AND(Z$5&gt;=$F82,Z$5&lt;=$G82),3,"")</f>
        <v/>
      </c>
      <c r="AA82" s="34">
        <f>IF(AND(AA$5&gt;=$F82,AA$5&lt;=$G82),3,"")</f>
        <v/>
      </c>
      <c r="AB82" s="34">
        <f>IF(AND(AB$5&gt;=$F82,AB$5&lt;=$G82),3,"")</f>
        <v/>
      </c>
      <c r="AC82" s="34">
        <f>IF(AND(AC$5&gt;=$F82,AC$5&lt;=$G82),3,"")</f>
        <v/>
      </c>
      <c r="AD82" s="34">
        <f>IF(AND(AD$5&gt;=$F82,AD$5&lt;=$G82),3,"")</f>
        <v/>
      </c>
      <c r="AE82" s="34">
        <f>IF(AND(AE$5&gt;=$F82,AE$5&lt;=$G82),3,"")</f>
        <v/>
      </c>
      <c r="AF82" s="34">
        <f>IF(AND(AF$5&gt;=$F82,AF$5&lt;=$G82),3,"")</f>
        <v/>
      </c>
      <c r="AG82" s="34">
        <f>IF(AND(AG$5&gt;=$F82,AG$5&lt;=$G82),3,"")</f>
        <v/>
      </c>
      <c r="AH82" s="34">
        <f>IF(AND(AH$5&gt;=$F82,AH$5&lt;=$G82),3,"")</f>
        <v/>
      </c>
      <c r="AI82" s="34">
        <f>IF(AND(AI$5&gt;=$F82,AI$5&lt;=$G82),3,"")</f>
        <v/>
      </c>
      <c r="AJ82" s="34">
        <f>IF(AND(AJ$5&gt;=$F82,AJ$5&lt;=$G82),3,"")</f>
        <v/>
      </c>
      <c r="AK82" s="34">
        <f>IF(AND(AK$5&gt;=$F82,AK$5&lt;=$G82),3,"")</f>
        <v/>
      </c>
      <c r="AL82" s="34">
        <f>IF(AND(AL$5&gt;=$F82,AL$5&lt;=$G82),3,"")</f>
        <v/>
      </c>
      <c r="AM82" s="34">
        <f>IF(AND(AM$5&gt;=$F82,AM$5&lt;=$G82),3,"")</f>
        <v/>
      </c>
      <c r="AN82" s="34">
        <f>IF(AND(AN$5&gt;=$F82,AN$5&lt;=$G82),3,"")</f>
        <v/>
      </c>
      <c r="AO82" s="34">
        <f>IF(AND(AO$5&gt;=$F82,AO$5&lt;=$G82),3,"")</f>
        <v/>
      </c>
      <c r="AP82" s="34">
        <f>IF(AND(AP$5&gt;=$F82,AP$5&lt;=$G82),3,"")</f>
        <v/>
      </c>
      <c r="AQ82" s="34">
        <f>IF(AND(AQ$5&gt;=$F82,AQ$5&lt;=$G82),3,"")</f>
        <v/>
      </c>
      <c r="AR82" s="34">
        <f>IF(AND(AR$5&gt;=$F82,AR$5&lt;=$G82),3,"")</f>
        <v/>
      </c>
      <c r="AS82" s="34">
        <f>IF(AND(AS$5&gt;=$F82,AS$5&lt;=$G82),3,"")</f>
        <v/>
      </c>
      <c r="AT82" s="34">
        <f>IF(AND(AT$5&gt;=$F82,AT$5&lt;=$G82),3,"")</f>
        <v/>
      </c>
      <c r="AU82" s="34">
        <f>IF(AND(AU$5&gt;=$F82,AU$5&lt;=$G82),3,"")</f>
        <v/>
      </c>
      <c r="AV82" s="34">
        <f>IF(AND(AV$5&gt;=$F82,AV$5&lt;=$G82),3,"")</f>
        <v/>
      </c>
      <c r="AW82" s="34">
        <f>IF(AND(AW$5&gt;=$F82,AW$5&lt;=$G82),3,"")</f>
        <v/>
      </c>
      <c r="AX82" s="34">
        <f>IF(AND(AX$5&gt;=$F82,AX$5&lt;=$G82),3,"")</f>
        <v/>
      </c>
      <c r="AY82" s="34">
        <f>IF(AND(AY$5&gt;=$F82,AY$5&lt;=$G82),3,"")</f>
        <v/>
      </c>
      <c r="AZ82" s="34">
        <f>IF(AND(AZ$5&gt;=$F82,AZ$5&lt;=$G82),3,"")</f>
        <v/>
      </c>
      <c r="BA82" s="34">
        <f>IF(AND(BA$5&gt;=$F82,BA$5&lt;=$G82),3,"")</f>
        <v/>
      </c>
      <c r="BB82" s="34">
        <f>IF(AND(BB$5&gt;=$F82,BB$5&lt;=$G82),3,"")</f>
        <v/>
      </c>
      <c r="BC82" s="34">
        <f>IF(AND(BC$5&gt;=$F82,BC$5&lt;=$G82),3,"")</f>
        <v/>
      </c>
      <c r="BD82" s="34">
        <f>IF(AND(BD$5&gt;=$F82,BD$5&lt;=$G82),3,"")</f>
        <v/>
      </c>
      <c r="BE82" s="34">
        <f>IF(AND(BE$5&gt;=$F82,BE$5&lt;=$G82),3,"")</f>
        <v/>
      </c>
      <c r="BF82" s="34">
        <f>IF(AND(BF$5&gt;=$F82,BF$5&lt;=$G82),3,"")</f>
        <v/>
      </c>
      <c r="BG82" s="34">
        <f>IF(AND(BG$5&gt;=$F82,BG$5&lt;=$G82),3,"")</f>
        <v/>
      </c>
      <c r="BH82" s="34">
        <f>IF(AND(BH$5&gt;=$F82,BH$5&lt;=$G82),3,"")</f>
        <v/>
      </c>
      <c r="BI82" s="34">
        <f>IF(AND(BI$5&gt;=$F82,BI$5&lt;=$G82),3,"")</f>
        <v/>
      </c>
      <c r="BJ82" s="34">
        <f>IF(AND(BJ$5&gt;=$F82,BJ$5&lt;=$G82),3,"")</f>
        <v/>
      </c>
      <c r="BK82" s="34">
        <f>IF(AND(BK$5&gt;=$F82,BK$5&lt;=$G82),3,"")</f>
        <v/>
      </c>
      <c r="BL82" s="34">
        <f>IF(AND(BL$5&gt;=$F82,BL$5&lt;=$G82),3,"")</f>
        <v/>
      </c>
      <c r="BM82" s="34">
        <f>IF(AND(BM$5&gt;=$F82,BM$5&lt;=$G82),3,"")</f>
        <v/>
      </c>
      <c r="BN82" s="34">
        <f>IF(AND(BN$5&gt;=$F82,BN$5&lt;=$G82),3,"")</f>
        <v/>
      </c>
    </row>
    <row r="83" ht="14.25" customHeight="1" s="36">
      <c r="A83" s="13" t="inlineStr">
        <is>
          <t>3 Construcción</t>
        </is>
      </c>
      <c r="B83" s="13" t="inlineStr">
        <is>
          <t>3.4.5</t>
        </is>
      </c>
      <c r="C83" s="13" t="inlineStr">
        <is>
          <t>Ingesta de temperatura y posición de la flota (M12 Telemetría)</t>
        </is>
      </c>
      <c r="D83" s="13" t="inlineStr">
        <is>
          <t>D</t>
        </is>
      </c>
      <c r="E83" s="13" t="inlineStr">
        <is>
          <t>Desarrollo</t>
        </is>
      </c>
      <c r="F83" s="13" t="n">
        <v>5</v>
      </c>
      <c r="G83" s="13" t="n">
        <v>7</v>
      </c>
      <c r="H83" s="13">
        <f>G83-F83+1</f>
        <v/>
      </c>
      <c r="I83" s="31" t="n">
        <v>960</v>
      </c>
      <c r="J83" s="13" t="inlineStr">
        <is>
          <t>Con entregable (detalle por planificación gradual)</t>
        </is>
      </c>
      <c r="K83" s="34">
        <f>IF(AND(K$5&gt;=$F83,K$5&lt;=$G83),3,"")</f>
        <v/>
      </c>
      <c r="L83" s="34">
        <f>IF(AND(L$5&gt;=$F83,L$5&lt;=$G83),3,"")</f>
        <v/>
      </c>
      <c r="M83" s="34">
        <f>IF(AND(M$5&gt;=$F83,M$5&lt;=$G83),3,"")</f>
        <v/>
      </c>
      <c r="N83" s="34">
        <f>IF(AND(N$5&gt;=$F83,N$5&lt;=$G83),3,"")</f>
        <v/>
      </c>
      <c r="O83" s="34">
        <f>IF(AND(O$5&gt;=$F83,O$5&lt;=$G83),3,"")</f>
        <v/>
      </c>
      <c r="P83" s="34">
        <f>IF(AND(P$5&gt;=$F83,P$5&lt;=$G83),3,"")</f>
        <v/>
      </c>
      <c r="Q83" s="34">
        <f>IF(AND(Q$5&gt;=$F83,Q$5&lt;=$G83),3,"")</f>
        <v/>
      </c>
      <c r="R83" s="34">
        <f>IF(AND(R$5&gt;=$F83,R$5&lt;=$G83),3,"")</f>
        <v/>
      </c>
      <c r="S83" s="34">
        <f>IF(AND(S$5&gt;=$F83,S$5&lt;=$G83),3,"")</f>
        <v/>
      </c>
      <c r="T83" s="34">
        <f>IF(AND(T$5&gt;=$F83,T$5&lt;=$G83),3,"")</f>
        <v/>
      </c>
      <c r="U83" s="34">
        <f>IF(AND(U$5&gt;=$F83,U$5&lt;=$G83),3,"")</f>
        <v/>
      </c>
      <c r="V83" s="34">
        <f>IF(AND(V$5&gt;=$F83,V$5&lt;=$G83),3,"")</f>
        <v/>
      </c>
      <c r="W83" s="34">
        <f>IF(AND(W$5&gt;=$F83,W$5&lt;=$G83),3,"")</f>
        <v/>
      </c>
      <c r="X83" s="34">
        <f>IF(AND(X$5&gt;=$F83,X$5&lt;=$G83),3,"")</f>
        <v/>
      </c>
      <c r="Y83" s="34">
        <f>IF(AND(Y$5&gt;=$F83,Y$5&lt;=$G83),3,"")</f>
        <v/>
      </c>
      <c r="Z83" s="34">
        <f>IF(AND(Z$5&gt;=$F83,Z$5&lt;=$G83),3,"")</f>
        <v/>
      </c>
      <c r="AA83" s="34">
        <f>IF(AND(AA$5&gt;=$F83,AA$5&lt;=$G83),3,"")</f>
        <v/>
      </c>
      <c r="AB83" s="34">
        <f>IF(AND(AB$5&gt;=$F83,AB$5&lt;=$G83),3,"")</f>
        <v/>
      </c>
      <c r="AC83" s="34">
        <f>IF(AND(AC$5&gt;=$F83,AC$5&lt;=$G83),3,"")</f>
        <v/>
      </c>
      <c r="AD83" s="34">
        <f>IF(AND(AD$5&gt;=$F83,AD$5&lt;=$G83),3,"")</f>
        <v/>
      </c>
      <c r="AE83" s="34">
        <f>IF(AND(AE$5&gt;=$F83,AE$5&lt;=$G83),3,"")</f>
        <v/>
      </c>
      <c r="AF83" s="34">
        <f>IF(AND(AF$5&gt;=$F83,AF$5&lt;=$G83),3,"")</f>
        <v/>
      </c>
      <c r="AG83" s="34">
        <f>IF(AND(AG$5&gt;=$F83,AG$5&lt;=$G83),3,"")</f>
        <v/>
      </c>
      <c r="AH83" s="34">
        <f>IF(AND(AH$5&gt;=$F83,AH$5&lt;=$G83),3,"")</f>
        <v/>
      </c>
      <c r="AI83" s="34">
        <f>IF(AND(AI$5&gt;=$F83,AI$5&lt;=$G83),3,"")</f>
        <v/>
      </c>
      <c r="AJ83" s="34">
        <f>IF(AND(AJ$5&gt;=$F83,AJ$5&lt;=$G83),3,"")</f>
        <v/>
      </c>
      <c r="AK83" s="34">
        <f>IF(AND(AK$5&gt;=$F83,AK$5&lt;=$G83),3,"")</f>
        <v/>
      </c>
      <c r="AL83" s="34">
        <f>IF(AND(AL$5&gt;=$F83,AL$5&lt;=$G83),3,"")</f>
        <v/>
      </c>
      <c r="AM83" s="34">
        <f>IF(AND(AM$5&gt;=$F83,AM$5&lt;=$G83),3,"")</f>
        <v/>
      </c>
      <c r="AN83" s="34">
        <f>IF(AND(AN$5&gt;=$F83,AN$5&lt;=$G83),3,"")</f>
        <v/>
      </c>
      <c r="AO83" s="34">
        <f>IF(AND(AO$5&gt;=$F83,AO$5&lt;=$G83),3,"")</f>
        <v/>
      </c>
      <c r="AP83" s="34">
        <f>IF(AND(AP$5&gt;=$F83,AP$5&lt;=$G83),3,"")</f>
        <v/>
      </c>
      <c r="AQ83" s="34">
        <f>IF(AND(AQ$5&gt;=$F83,AQ$5&lt;=$G83),3,"")</f>
        <v/>
      </c>
      <c r="AR83" s="34">
        <f>IF(AND(AR$5&gt;=$F83,AR$5&lt;=$G83),3,"")</f>
        <v/>
      </c>
      <c r="AS83" s="34">
        <f>IF(AND(AS$5&gt;=$F83,AS$5&lt;=$G83),3,"")</f>
        <v/>
      </c>
      <c r="AT83" s="34">
        <f>IF(AND(AT$5&gt;=$F83,AT$5&lt;=$G83),3,"")</f>
        <v/>
      </c>
      <c r="AU83" s="34">
        <f>IF(AND(AU$5&gt;=$F83,AU$5&lt;=$G83),3,"")</f>
        <v/>
      </c>
      <c r="AV83" s="34">
        <f>IF(AND(AV$5&gt;=$F83,AV$5&lt;=$G83),3,"")</f>
        <v/>
      </c>
      <c r="AW83" s="34">
        <f>IF(AND(AW$5&gt;=$F83,AW$5&lt;=$G83),3,"")</f>
        <v/>
      </c>
      <c r="AX83" s="34">
        <f>IF(AND(AX$5&gt;=$F83,AX$5&lt;=$G83),3,"")</f>
        <v/>
      </c>
      <c r="AY83" s="34">
        <f>IF(AND(AY$5&gt;=$F83,AY$5&lt;=$G83),3,"")</f>
        <v/>
      </c>
      <c r="AZ83" s="34">
        <f>IF(AND(AZ$5&gt;=$F83,AZ$5&lt;=$G83),3,"")</f>
        <v/>
      </c>
      <c r="BA83" s="34">
        <f>IF(AND(BA$5&gt;=$F83,BA$5&lt;=$G83),3,"")</f>
        <v/>
      </c>
      <c r="BB83" s="34">
        <f>IF(AND(BB$5&gt;=$F83,BB$5&lt;=$G83),3,"")</f>
        <v/>
      </c>
      <c r="BC83" s="34">
        <f>IF(AND(BC$5&gt;=$F83,BC$5&lt;=$G83),3,"")</f>
        <v/>
      </c>
      <c r="BD83" s="34">
        <f>IF(AND(BD$5&gt;=$F83,BD$5&lt;=$G83),3,"")</f>
        <v/>
      </c>
      <c r="BE83" s="34">
        <f>IF(AND(BE$5&gt;=$F83,BE$5&lt;=$G83),3,"")</f>
        <v/>
      </c>
      <c r="BF83" s="34">
        <f>IF(AND(BF$5&gt;=$F83,BF$5&lt;=$G83),3,"")</f>
        <v/>
      </c>
      <c r="BG83" s="34">
        <f>IF(AND(BG$5&gt;=$F83,BG$5&lt;=$G83),3,"")</f>
        <v/>
      </c>
      <c r="BH83" s="34">
        <f>IF(AND(BH$5&gt;=$F83,BH$5&lt;=$G83),3,"")</f>
        <v/>
      </c>
      <c r="BI83" s="34">
        <f>IF(AND(BI$5&gt;=$F83,BI$5&lt;=$G83),3,"")</f>
        <v/>
      </c>
      <c r="BJ83" s="34">
        <f>IF(AND(BJ$5&gt;=$F83,BJ$5&lt;=$G83),3,"")</f>
        <v/>
      </c>
      <c r="BK83" s="34">
        <f>IF(AND(BK$5&gt;=$F83,BK$5&lt;=$G83),3,"")</f>
        <v/>
      </c>
      <c r="BL83" s="34">
        <f>IF(AND(BL$5&gt;=$F83,BL$5&lt;=$G83),3,"")</f>
        <v/>
      </c>
      <c r="BM83" s="34">
        <f>IF(AND(BM$5&gt;=$F83,BM$5&lt;=$G83),3,"")</f>
        <v/>
      </c>
      <c r="BN83" s="34">
        <f>IF(AND(BN$5&gt;=$F83,BN$5&lt;=$G83),3,"")</f>
        <v/>
      </c>
    </row>
    <row r="84" ht="14.25" customHeight="1" s="36">
      <c r="A84" s="13" t="inlineStr">
        <is>
          <t>3 Construcción</t>
        </is>
      </c>
      <c r="B84" s="13" t="inlineStr">
        <is>
          <t>3.4.6</t>
        </is>
      </c>
      <c r="C84" s="13" t="inlineStr">
        <is>
          <t>Aplicación móvil de preventa sin conexión, con stock y crédito (M3 Preventa)</t>
        </is>
      </c>
      <c r="D84" s="13" t="inlineStr">
        <is>
          <t>D</t>
        </is>
      </c>
      <c r="E84" s="13" t="inlineStr">
        <is>
          <t>Desarrollo</t>
        </is>
      </c>
      <c r="F84" s="13" t="n">
        <v>5</v>
      </c>
      <c r="G84" s="13" t="n">
        <v>7</v>
      </c>
      <c r="H84" s="13">
        <f>G84-F84+1</f>
        <v/>
      </c>
      <c r="I84" s="31" t="n">
        <v>960</v>
      </c>
      <c r="J84" s="13" t="inlineStr">
        <is>
          <t>Con entregable (detalle por planificación gradual)</t>
        </is>
      </c>
      <c r="K84" s="34">
        <f>IF(AND(K$5&gt;=$F84,K$5&lt;=$G84),3,"")</f>
        <v/>
      </c>
      <c r="L84" s="34">
        <f>IF(AND(L$5&gt;=$F84,L$5&lt;=$G84),3,"")</f>
        <v/>
      </c>
      <c r="M84" s="34">
        <f>IF(AND(M$5&gt;=$F84,M$5&lt;=$G84),3,"")</f>
        <v/>
      </c>
      <c r="N84" s="34">
        <f>IF(AND(N$5&gt;=$F84,N$5&lt;=$G84),3,"")</f>
        <v/>
      </c>
      <c r="O84" s="34">
        <f>IF(AND(O$5&gt;=$F84,O$5&lt;=$G84),3,"")</f>
        <v/>
      </c>
      <c r="P84" s="34">
        <f>IF(AND(P$5&gt;=$F84,P$5&lt;=$G84),3,"")</f>
        <v/>
      </c>
      <c r="Q84" s="34">
        <f>IF(AND(Q$5&gt;=$F84,Q$5&lt;=$G84),3,"")</f>
        <v/>
      </c>
      <c r="R84" s="34">
        <f>IF(AND(R$5&gt;=$F84,R$5&lt;=$G84),3,"")</f>
        <v/>
      </c>
      <c r="S84" s="34">
        <f>IF(AND(S$5&gt;=$F84,S$5&lt;=$G84),3,"")</f>
        <v/>
      </c>
      <c r="T84" s="34">
        <f>IF(AND(T$5&gt;=$F84,T$5&lt;=$G84),3,"")</f>
        <v/>
      </c>
      <c r="U84" s="34">
        <f>IF(AND(U$5&gt;=$F84,U$5&lt;=$G84),3,"")</f>
        <v/>
      </c>
      <c r="V84" s="34">
        <f>IF(AND(V$5&gt;=$F84,V$5&lt;=$G84),3,"")</f>
        <v/>
      </c>
      <c r="W84" s="34">
        <f>IF(AND(W$5&gt;=$F84,W$5&lt;=$G84),3,"")</f>
        <v/>
      </c>
      <c r="X84" s="34">
        <f>IF(AND(X$5&gt;=$F84,X$5&lt;=$G84),3,"")</f>
        <v/>
      </c>
      <c r="Y84" s="34">
        <f>IF(AND(Y$5&gt;=$F84,Y$5&lt;=$G84),3,"")</f>
        <v/>
      </c>
      <c r="Z84" s="34">
        <f>IF(AND(Z$5&gt;=$F84,Z$5&lt;=$G84),3,"")</f>
        <v/>
      </c>
      <c r="AA84" s="34">
        <f>IF(AND(AA$5&gt;=$F84,AA$5&lt;=$G84),3,"")</f>
        <v/>
      </c>
      <c r="AB84" s="34">
        <f>IF(AND(AB$5&gt;=$F84,AB$5&lt;=$G84),3,"")</f>
        <v/>
      </c>
      <c r="AC84" s="34">
        <f>IF(AND(AC$5&gt;=$F84,AC$5&lt;=$G84),3,"")</f>
        <v/>
      </c>
      <c r="AD84" s="34">
        <f>IF(AND(AD$5&gt;=$F84,AD$5&lt;=$G84),3,"")</f>
        <v/>
      </c>
      <c r="AE84" s="34">
        <f>IF(AND(AE$5&gt;=$F84,AE$5&lt;=$G84),3,"")</f>
        <v/>
      </c>
      <c r="AF84" s="34">
        <f>IF(AND(AF$5&gt;=$F84,AF$5&lt;=$G84),3,"")</f>
        <v/>
      </c>
      <c r="AG84" s="34">
        <f>IF(AND(AG$5&gt;=$F84,AG$5&lt;=$G84),3,"")</f>
        <v/>
      </c>
      <c r="AH84" s="34">
        <f>IF(AND(AH$5&gt;=$F84,AH$5&lt;=$G84),3,"")</f>
        <v/>
      </c>
      <c r="AI84" s="34">
        <f>IF(AND(AI$5&gt;=$F84,AI$5&lt;=$G84),3,"")</f>
        <v/>
      </c>
      <c r="AJ84" s="34">
        <f>IF(AND(AJ$5&gt;=$F84,AJ$5&lt;=$G84),3,"")</f>
        <v/>
      </c>
      <c r="AK84" s="34">
        <f>IF(AND(AK$5&gt;=$F84,AK$5&lt;=$G84),3,"")</f>
        <v/>
      </c>
      <c r="AL84" s="34">
        <f>IF(AND(AL$5&gt;=$F84,AL$5&lt;=$G84),3,"")</f>
        <v/>
      </c>
      <c r="AM84" s="34">
        <f>IF(AND(AM$5&gt;=$F84,AM$5&lt;=$G84),3,"")</f>
        <v/>
      </c>
      <c r="AN84" s="34">
        <f>IF(AND(AN$5&gt;=$F84,AN$5&lt;=$G84),3,"")</f>
        <v/>
      </c>
      <c r="AO84" s="34">
        <f>IF(AND(AO$5&gt;=$F84,AO$5&lt;=$G84),3,"")</f>
        <v/>
      </c>
      <c r="AP84" s="34">
        <f>IF(AND(AP$5&gt;=$F84,AP$5&lt;=$G84),3,"")</f>
        <v/>
      </c>
      <c r="AQ84" s="34">
        <f>IF(AND(AQ$5&gt;=$F84,AQ$5&lt;=$G84),3,"")</f>
        <v/>
      </c>
      <c r="AR84" s="34">
        <f>IF(AND(AR$5&gt;=$F84,AR$5&lt;=$G84),3,"")</f>
        <v/>
      </c>
      <c r="AS84" s="34">
        <f>IF(AND(AS$5&gt;=$F84,AS$5&lt;=$G84),3,"")</f>
        <v/>
      </c>
      <c r="AT84" s="34">
        <f>IF(AND(AT$5&gt;=$F84,AT$5&lt;=$G84),3,"")</f>
        <v/>
      </c>
      <c r="AU84" s="34">
        <f>IF(AND(AU$5&gt;=$F84,AU$5&lt;=$G84),3,"")</f>
        <v/>
      </c>
      <c r="AV84" s="34">
        <f>IF(AND(AV$5&gt;=$F84,AV$5&lt;=$G84),3,"")</f>
        <v/>
      </c>
      <c r="AW84" s="34">
        <f>IF(AND(AW$5&gt;=$F84,AW$5&lt;=$G84),3,"")</f>
        <v/>
      </c>
      <c r="AX84" s="34">
        <f>IF(AND(AX$5&gt;=$F84,AX$5&lt;=$G84),3,"")</f>
        <v/>
      </c>
      <c r="AY84" s="34">
        <f>IF(AND(AY$5&gt;=$F84,AY$5&lt;=$G84),3,"")</f>
        <v/>
      </c>
      <c r="AZ84" s="34">
        <f>IF(AND(AZ$5&gt;=$F84,AZ$5&lt;=$G84),3,"")</f>
        <v/>
      </c>
      <c r="BA84" s="34">
        <f>IF(AND(BA$5&gt;=$F84,BA$5&lt;=$G84),3,"")</f>
        <v/>
      </c>
      <c r="BB84" s="34">
        <f>IF(AND(BB$5&gt;=$F84,BB$5&lt;=$G84),3,"")</f>
        <v/>
      </c>
      <c r="BC84" s="34">
        <f>IF(AND(BC$5&gt;=$F84,BC$5&lt;=$G84),3,"")</f>
        <v/>
      </c>
      <c r="BD84" s="34">
        <f>IF(AND(BD$5&gt;=$F84,BD$5&lt;=$G84),3,"")</f>
        <v/>
      </c>
      <c r="BE84" s="34">
        <f>IF(AND(BE$5&gt;=$F84,BE$5&lt;=$G84),3,"")</f>
        <v/>
      </c>
      <c r="BF84" s="34">
        <f>IF(AND(BF$5&gt;=$F84,BF$5&lt;=$G84),3,"")</f>
        <v/>
      </c>
      <c r="BG84" s="34">
        <f>IF(AND(BG$5&gt;=$F84,BG$5&lt;=$G84),3,"")</f>
        <v/>
      </c>
      <c r="BH84" s="34">
        <f>IF(AND(BH$5&gt;=$F84,BH$5&lt;=$G84),3,"")</f>
        <v/>
      </c>
      <c r="BI84" s="34">
        <f>IF(AND(BI$5&gt;=$F84,BI$5&lt;=$G84),3,"")</f>
        <v/>
      </c>
      <c r="BJ84" s="34">
        <f>IF(AND(BJ$5&gt;=$F84,BJ$5&lt;=$G84),3,"")</f>
        <v/>
      </c>
      <c r="BK84" s="34">
        <f>IF(AND(BK$5&gt;=$F84,BK$5&lt;=$G84),3,"")</f>
        <v/>
      </c>
      <c r="BL84" s="34">
        <f>IF(AND(BL$5&gt;=$F84,BL$5&lt;=$G84),3,"")</f>
        <v/>
      </c>
      <c r="BM84" s="34">
        <f>IF(AND(BM$5&gt;=$F84,BM$5&lt;=$G84),3,"")</f>
        <v/>
      </c>
      <c r="BN84" s="34">
        <f>IF(AND(BN$5&gt;=$F84,BN$5&lt;=$G84),3,"")</f>
        <v/>
      </c>
    </row>
    <row r="85" ht="14.25" customHeight="1" s="36">
      <c r="A85" s="13" t="inlineStr">
        <is>
          <t>3 Construcción</t>
        </is>
      </c>
      <c r="B85" s="13" t="inlineStr">
        <is>
          <t>3.4.7</t>
        </is>
      </c>
      <c r="C85" s="13" t="inlineStr">
        <is>
          <t>Planificación de rutas corregible por el planificador (M4 Rutas)</t>
        </is>
      </c>
      <c r="D85" s="13" t="inlineStr">
        <is>
          <t>D</t>
        </is>
      </c>
      <c r="E85" s="13" t="inlineStr">
        <is>
          <t>Desarrollo</t>
        </is>
      </c>
      <c r="F85" s="13" t="n">
        <v>5</v>
      </c>
      <c r="G85" s="13" t="n">
        <v>8</v>
      </c>
      <c r="H85" s="13">
        <f>G85-F85+1</f>
        <v/>
      </c>
      <c r="I85" s="31" t="n">
        <v>960</v>
      </c>
      <c r="J85" s="13" t="inlineStr">
        <is>
          <t>Con entregable (detalle por planificación gradual)</t>
        </is>
      </c>
      <c r="K85" s="34">
        <f>IF(AND(K$5&gt;=$F85,K$5&lt;=$G85),3,"")</f>
        <v/>
      </c>
      <c r="L85" s="34">
        <f>IF(AND(L$5&gt;=$F85,L$5&lt;=$G85),3,"")</f>
        <v/>
      </c>
      <c r="M85" s="34">
        <f>IF(AND(M$5&gt;=$F85,M$5&lt;=$G85),3,"")</f>
        <v/>
      </c>
      <c r="N85" s="34">
        <f>IF(AND(N$5&gt;=$F85,N$5&lt;=$G85),3,"")</f>
        <v/>
      </c>
      <c r="O85" s="34">
        <f>IF(AND(O$5&gt;=$F85,O$5&lt;=$G85),3,"")</f>
        <v/>
      </c>
      <c r="P85" s="34">
        <f>IF(AND(P$5&gt;=$F85,P$5&lt;=$G85),3,"")</f>
        <v/>
      </c>
      <c r="Q85" s="34">
        <f>IF(AND(Q$5&gt;=$F85,Q$5&lt;=$G85),3,"")</f>
        <v/>
      </c>
      <c r="R85" s="34">
        <f>IF(AND(R$5&gt;=$F85,R$5&lt;=$G85),3,"")</f>
        <v/>
      </c>
      <c r="S85" s="34">
        <f>IF(AND(S$5&gt;=$F85,S$5&lt;=$G85),3,"")</f>
        <v/>
      </c>
      <c r="T85" s="34">
        <f>IF(AND(T$5&gt;=$F85,T$5&lt;=$G85),3,"")</f>
        <v/>
      </c>
      <c r="U85" s="34">
        <f>IF(AND(U$5&gt;=$F85,U$5&lt;=$G85),3,"")</f>
        <v/>
      </c>
      <c r="V85" s="34">
        <f>IF(AND(V$5&gt;=$F85,V$5&lt;=$G85),3,"")</f>
        <v/>
      </c>
      <c r="W85" s="34">
        <f>IF(AND(W$5&gt;=$F85,W$5&lt;=$G85),3,"")</f>
        <v/>
      </c>
      <c r="X85" s="34">
        <f>IF(AND(X$5&gt;=$F85,X$5&lt;=$G85),3,"")</f>
        <v/>
      </c>
      <c r="Y85" s="34">
        <f>IF(AND(Y$5&gt;=$F85,Y$5&lt;=$G85),3,"")</f>
        <v/>
      </c>
      <c r="Z85" s="34">
        <f>IF(AND(Z$5&gt;=$F85,Z$5&lt;=$G85),3,"")</f>
        <v/>
      </c>
      <c r="AA85" s="34">
        <f>IF(AND(AA$5&gt;=$F85,AA$5&lt;=$G85),3,"")</f>
        <v/>
      </c>
      <c r="AB85" s="34">
        <f>IF(AND(AB$5&gt;=$F85,AB$5&lt;=$G85),3,"")</f>
        <v/>
      </c>
      <c r="AC85" s="34">
        <f>IF(AND(AC$5&gt;=$F85,AC$5&lt;=$G85),3,"")</f>
        <v/>
      </c>
      <c r="AD85" s="34">
        <f>IF(AND(AD$5&gt;=$F85,AD$5&lt;=$G85),3,"")</f>
        <v/>
      </c>
      <c r="AE85" s="34">
        <f>IF(AND(AE$5&gt;=$F85,AE$5&lt;=$G85),3,"")</f>
        <v/>
      </c>
      <c r="AF85" s="34">
        <f>IF(AND(AF$5&gt;=$F85,AF$5&lt;=$G85),3,"")</f>
        <v/>
      </c>
      <c r="AG85" s="34">
        <f>IF(AND(AG$5&gt;=$F85,AG$5&lt;=$G85),3,"")</f>
        <v/>
      </c>
      <c r="AH85" s="34">
        <f>IF(AND(AH$5&gt;=$F85,AH$5&lt;=$G85),3,"")</f>
        <v/>
      </c>
      <c r="AI85" s="34">
        <f>IF(AND(AI$5&gt;=$F85,AI$5&lt;=$G85),3,"")</f>
        <v/>
      </c>
      <c r="AJ85" s="34">
        <f>IF(AND(AJ$5&gt;=$F85,AJ$5&lt;=$G85),3,"")</f>
        <v/>
      </c>
      <c r="AK85" s="34">
        <f>IF(AND(AK$5&gt;=$F85,AK$5&lt;=$G85),3,"")</f>
        <v/>
      </c>
      <c r="AL85" s="34">
        <f>IF(AND(AL$5&gt;=$F85,AL$5&lt;=$G85),3,"")</f>
        <v/>
      </c>
      <c r="AM85" s="34">
        <f>IF(AND(AM$5&gt;=$F85,AM$5&lt;=$G85),3,"")</f>
        <v/>
      </c>
      <c r="AN85" s="34">
        <f>IF(AND(AN$5&gt;=$F85,AN$5&lt;=$G85),3,"")</f>
        <v/>
      </c>
      <c r="AO85" s="34">
        <f>IF(AND(AO$5&gt;=$F85,AO$5&lt;=$G85),3,"")</f>
        <v/>
      </c>
      <c r="AP85" s="34">
        <f>IF(AND(AP$5&gt;=$F85,AP$5&lt;=$G85),3,"")</f>
        <v/>
      </c>
      <c r="AQ85" s="34">
        <f>IF(AND(AQ$5&gt;=$F85,AQ$5&lt;=$G85),3,"")</f>
        <v/>
      </c>
      <c r="AR85" s="34">
        <f>IF(AND(AR$5&gt;=$F85,AR$5&lt;=$G85),3,"")</f>
        <v/>
      </c>
      <c r="AS85" s="34">
        <f>IF(AND(AS$5&gt;=$F85,AS$5&lt;=$G85),3,"")</f>
        <v/>
      </c>
      <c r="AT85" s="34">
        <f>IF(AND(AT$5&gt;=$F85,AT$5&lt;=$G85),3,"")</f>
        <v/>
      </c>
      <c r="AU85" s="34">
        <f>IF(AND(AU$5&gt;=$F85,AU$5&lt;=$G85),3,"")</f>
        <v/>
      </c>
      <c r="AV85" s="34">
        <f>IF(AND(AV$5&gt;=$F85,AV$5&lt;=$G85),3,"")</f>
        <v/>
      </c>
      <c r="AW85" s="34">
        <f>IF(AND(AW$5&gt;=$F85,AW$5&lt;=$G85),3,"")</f>
        <v/>
      </c>
      <c r="AX85" s="34">
        <f>IF(AND(AX$5&gt;=$F85,AX$5&lt;=$G85),3,"")</f>
        <v/>
      </c>
      <c r="AY85" s="34">
        <f>IF(AND(AY$5&gt;=$F85,AY$5&lt;=$G85),3,"")</f>
        <v/>
      </c>
      <c r="AZ85" s="34">
        <f>IF(AND(AZ$5&gt;=$F85,AZ$5&lt;=$G85),3,"")</f>
        <v/>
      </c>
      <c r="BA85" s="34">
        <f>IF(AND(BA$5&gt;=$F85,BA$5&lt;=$G85),3,"")</f>
        <v/>
      </c>
      <c r="BB85" s="34">
        <f>IF(AND(BB$5&gt;=$F85,BB$5&lt;=$G85),3,"")</f>
        <v/>
      </c>
      <c r="BC85" s="34">
        <f>IF(AND(BC$5&gt;=$F85,BC$5&lt;=$G85),3,"")</f>
        <v/>
      </c>
      <c r="BD85" s="34">
        <f>IF(AND(BD$5&gt;=$F85,BD$5&lt;=$G85),3,"")</f>
        <v/>
      </c>
      <c r="BE85" s="34">
        <f>IF(AND(BE$5&gt;=$F85,BE$5&lt;=$G85),3,"")</f>
        <v/>
      </c>
      <c r="BF85" s="34">
        <f>IF(AND(BF$5&gt;=$F85,BF$5&lt;=$G85),3,"")</f>
        <v/>
      </c>
      <c r="BG85" s="34">
        <f>IF(AND(BG$5&gt;=$F85,BG$5&lt;=$G85),3,"")</f>
        <v/>
      </c>
      <c r="BH85" s="34">
        <f>IF(AND(BH$5&gt;=$F85,BH$5&lt;=$G85),3,"")</f>
        <v/>
      </c>
      <c r="BI85" s="34">
        <f>IF(AND(BI$5&gt;=$F85,BI$5&lt;=$G85),3,"")</f>
        <v/>
      </c>
      <c r="BJ85" s="34">
        <f>IF(AND(BJ$5&gt;=$F85,BJ$5&lt;=$G85),3,"")</f>
        <v/>
      </c>
      <c r="BK85" s="34">
        <f>IF(AND(BK$5&gt;=$F85,BK$5&lt;=$G85),3,"")</f>
        <v/>
      </c>
      <c r="BL85" s="34">
        <f>IF(AND(BL$5&gt;=$F85,BL$5&lt;=$G85),3,"")</f>
        <v/>
      </c>
      <c r="BM85" s="34">
        <f>IF(AND(BM$5&gt;=$F85,BM$5&lt;=$G85),3,"")</f>
        <v/>
      </c>
      <c r="BN85" s="34">
        <f>IF(AND(BN$5&gt;=$F85,BN$5&lt;=$G85),3,"")</f>
        <v/>
      </c>
    </row>
    <row r="86" ht="14.25" customHeight="1" s="36">
      <c r="A86" s="13" t="inlineStr">
        <is>
          <t>3 Construcción</t>
        </is>
      </c>
      <c r="B86" s="13" t="inlineStr">
        <is>
          <t>3.4.8</t>
        </is>
      </c>
      <c r="C86" s="13" t="inlineStr">
        <is>
          <t>Aplicación móvil de reparto con prueba de entrega digital (M6 Reparto)</t>
        </is>
      </c>
      <c r="D86" s="13" t="inlineStr">
        <is>
          <t>D</t>
        </is>
      </c>
      <c r="E86" s="13" t="inlineStr">
        <is>
          <t>Desarrollo</t>
        </is>
      </c>
      <c r="F86" s="13" t="n">
        <v>5</v>
      </c>
      <c r="G86" s="13" t="n">
        <v>8</v>
      </c>
      <c r="H86" s="13">
        <f>G86-F86+1</f>
        <v/>
      </c>
      <c r="I86" s="31" t="n">
        <v>960</v>
      </c>
      <c r="J86" s="13" t="inlineStr">
        <is>
          <t>Con entregable (detalle por planificación gradual)</t>
        </is>
      </c>
      <c r="K86" s="34">
        <f>IF(AND(K$5&gt;=$F86,K$5&lt;=$G86),3,"")</f>
        <v/>
      </c>
      <c r="L86" s="34">
        <f>IF(AND(L$5&gt;=$F86,L$5&lt;=$G86),3,"")</f>
        <v/>
      </c>
      <c r="M86" s="34">
        <f>IF(AND(M$5&gt;=$F86,M$5&lt;=$G86),3,"")</f>
        <v/>
      </c>
      <c r="N86" s="34">
        <f>IF(AND(N$5&gt;=$F86,N$5&lt;=$G86),3,"")</f>
        <v/>
      </c>
      <c r="O86" s="34">
        <f>IF(AND(O$5&gt;=$F86,O$5&lt;=$G86),3,"")</f>
        <v/>
      </c>
      <c r="P86" s="34">
        <f>IF(AND(P$5&gt;=$F86,P$5&lt;=$G86),3,"")</f>
        <v/>
      </c>
      <c r="Q86" s="34">
        <f>IF(AND(Q$5&gt;=$F86,Q$5&lt;=$G86),3,"")</f>
        <v/>
      </c>
      <c r="R86" s="34">
        <f>IF(AND(R$5&gt;=$F86,R$5&lt;=$G86),3,"")</f>
        <v/>
      </c>
      <c r="S86" s="34">
        <f>IF(AND(S$5&gt;=$F86,S$5&lt;=$G86),3,"")</f>
        <v/>
      </c>
      <c r="T86" s="34">
        <f>IF(AND(T$5&gt;=$F86,T$5&lt;=$G86),3,"")</f>
        <v/>
      </c>
      <c r="U86" s="34">
        <f>IF(AND(U$5&gt;=$F86,U$5&lt;=$G86),3,"")</f>
        <v/>
      </c>
      <c r="V86" s="34">
        <f>IF(AND(V$5&gt;=$F86,V$5&lt;=$G86),3,"")</f>
        <v/>
      </c>
      <c r="W86" s="34">
        <f>IF(AND(W$5&gt;=$F86,W$5&lt;=$G86),3,"")</f>
        <v/>
      </c>
      <c r="X86" s="34">
        <f>IF(AND(X$5&gt;=$F86,X$5&lt;=$G86),3,"")</f>
        <v/>
      </c>
      <c r="Y86" s="34">
        <f>IF(AND(Y$5&gt;=$F86,Y$5&lt;=$G86),3,"")</f>
        <v/>
      </c>
      <c r="Z86" s="34">
        <f>IF(AND(Z$5&gt;=$F86,Z$5&lt;=$G86),3,"")</f>
        <v/>
      </c>
      <c r="AA86" s="34">
        <f>IF(AND(AA$5&gt;=$F86,AA$5&lt;=$G86),3,"")</f>
        <v/>
      </c>
      <c r="AB86" s="34">
        <f>IF(AND(AB$5&gt;=$F86,AB$5&lt;=$G86),3,"")</f>
        <v/>
      </c>
      <c r="AC86" s="34">
        <f>IF(AND(AC$5&gt;=$F86,AC$5&lt;=$G86),3,"")</f>
        <v/>
      </c>
      <c r="AD86" s="34">
        <f>IF(AND(AD$5&gt;=$F86,AD$5&lt;=$G86),3,"")</f>
        <v/>
      </c>
      <c r="AE86" s="34">
        <f>IF(AND(AE$5&gt;=$F86,AE$5&lt;=$G86),3,"")</f>
        <v/>
      </c>
      <c r="AF86" s="34">
        <f>IF(AND(AF$5&gt;=$F86,AF$5&lt;=$G86),3,"")</f>
        <v/>
      </c>
      <c r="AG86" s="34">
        <f>IF(AND(AG$5&gt;=$F86,AG$5&lt;=$G86),3,"")</f>
        <v/>
      </c>
      <c r="AH86" s="34">
        <f>IF(AND(AH$5&gt;=$F86,AH$5&lt;=$G86),3,"")</f>
        <v/>
      </c>
      <c r="AI86" s="34">
        <f>IF(AND(AI$5&gt;=$F86,AI$5&lt;=$G86),3,"")</f>
        <v/>
      </c>
      <c r="AJ86" s="34">
        <f>IF(AND(AJ$5&gt;=$F86,AJ$5&lt;=$G86),3,"")</f>
        <v/>
      </c>
      <c r="AK86" s="34">
        <f>IF(AND(AK$5&gt;=$F86,AK$5&lt;=$G86),3,"")</f>
        <v/>
      </c>
      <c r="AL86" s="34">
        <f>IF(AND(AL$5&gt;=$F86,AL$5&lt;=$G86),3,"")</f>
        <v/>
      </c>
      <c r="AM86" s="34">
        <f>IF(AND(AM$5&gt;=$F86,AM$5&lt;=$G86),3,"")</f>
        <v/>
      </c>
      <c r="AN86" s="34">
        <f>IF(AND(AN$5&gt;=$F86,AN$5&lt;=$G86),3,"")</f>
        <v/>
      </c>
      <c r="AO86" s="34">
        <f>IF(AND(AO$5&gt;=$F86,AO$5&lt;=$G86),3,"")</f>
        <v/>
      </c>
      <c r="AP86" s="34">
        <f>IF(AND(AP$5&gt;=$F86,AP$5&lt;=$G86),3,"")</f>
        <v/>
      </c>
      <c r="AQ86" s="34">
        <f>IF(AND(AQ$5&gt;=$F86,AQ$5&lt;=$G86),3,"")</f>
        <v/>
      </c>
      <c r="AR86" s="34">
        <f>IF(AND(AR$5&gt;=$F86,AR$5&lt;=$G86),3,"")</f>
        <v/>
      </c>
      <c r="AS86" s="34">
        <f>IF(AND(AS$5&gt;=$F86,AS$5&lt;=$G86),3,"")</f>
        <v/>
      </c>
      <c r="AT86" s="34">
        <f>IF(AND(AT$5&gt;=$F86,AT$5&lt;=$G86),3,"")</f>
        <v/>
      </c>
      <c r="AU86" s="34">
        <f>IF(AND(AU$5&gt;=$F86,AU$5&lt;=$G86),3,"")</f>
        <v/>
      </c>
      <c r="AV86" s="34">
        <f>IF(AND(AV$5&gt;=$F86,AV$5&lt;=$G86),3,"")</f>
        <v/>
      </c>
      <c r="AW86" s="34">
        <f>IF(AND(AW$5&gt;=$F86,AW$5&lt;=$G86),3,"")</f>
        <v/>
      </c>
      <c r="AX86" s="34">
        <f>IF(AND(AX$5&gt;=$F86,AX$5&lt;=$G86),3,"")</f>
        <v/>
      </c>
      <c r="AY86" s="34">
        <f>IF(AND(AY$5&gt;=$F86,AY$5&lt;=$G86),3,"")</f>
        <v/>
      </c>
      <c r="AZ86" s="34">
        <f>IF(AND(AZ$5&gt;=$F86,AZ$5&lt;=$G86),3,"")</f>
        <v/>
      </c>
      <c r="BA86" s="34">
        <f>IF(AND(BA$5&gt;=$F86,BA$5&lt;=$G86),3,"")</f>
        <v/>
      </c>
      <c r="BB86" s="34">
        <f>IF(AND(BB$5&gt;=$F86,BB$5&lt;=$G86),3,"")</f>
        <v/>
      </c>
      <c r="BC86" s="34">
        <f>IF(AND(BC$5&gt;=$F86,BC$5&lt;=$G86),3,"")</f>
        <v/>
      </c>
      <c r="BD86" s="34">
        <f>IF(AND(BD$5&gt;=$F86,BD$5&lt;=$G86),3,"")</f>
        <v/>
      </c>
      <c r="BE86" s="34">
        <f>IF(AND(BE$5&gt;=$F86,BE$5&lt;=$G86),3,"")</f>
        <v/>
      </c>
      <c r="BF86" s="34">
        <f>IF(AND(BF$5&gt;=$F86,BF$5&lt;=$G86),3,"")</f>
        <v/>
      </c>
      <c r="BG86" s="34">
        <f>IF(AND(BG$5&gt;=$F86,BG$5&lt;=$G86),3,"")</f>
        <v/>
      </c>
      <c r="BH86" s="34">
        <f>IF(AND(BH$5&gt;=$F86,BH$5&lt;=$G86),3,"")</f>
        <v/>
      </c>
      <c r="BI86" s="34">
        <f>IF(AND(BI$5&gt;=$F86,BI$5&lt;=$G86),3,"")</f>
        <v/>
      </c>
      <c r="BJ86" s="34">
        <f>IF(AND(BJ$5&gt;=$F86,BJ$5&lt;=$G86),3,"")</f>
        <v/>
      </c>
      <c r="BK86" s="34">
        <f>IF(AND(BK$5&gt;=$F86,BK$5&lt;=$G86),3,"")</f>
        <v/>
      </c>
      <c r="BL86" s="34">
        <f>IF(AND(BL$5&gt;=$F86,BL$5&lt;=$G86),3,"")</f>
        <v/>
      </c>
      <c r="BM86" s="34">
        <f>IF(AND(BM$5&gt;=$F86,BM$5&lt;=$G86),3,"")</f>
        <v/>
      </c>
      <c r="BN86" s="34">
        <f>IF(AND(BN$5&gt;=$F86,BN$5&lt;=$G86),3,"")</f>
        <v/>
      </c>
    </row>
    <row r="87" ht="14.25" customHeight="1" s="36">
      <c r="A87" s="13" t="inlineStr">
        <is>
          <t>3 Construcción</t>
        </is>
      </c>
      <c r="B87" s="13" t="inlineStr">
        <is>
          <t>3.4.9</t>
        </is>
      </c>
      <c r="C87" s="13" t="inlineStr">
        <is>
          <t>Devoluciones en terreno y control de envases (M8 Devoluciones y envases)</t>
        </is>
      </c>
      <c r="D87" s="13" t="inlineStr">
        <is>
          <t>D</t>
        </is>
      </c>
      <c r="E87" s="13" t="inlineStr">
        <is>
          <t>Desarrollo</t>
        </is>
      </c>
      <c r="F87" s="13" t="n">
        <v>5</v>
      </c>
      <c r="G87" s="13" t="n">
        <v>8</v>
      </c>
      <c r="H87" s="13">
        <f>G87-F87+1</f>
        <v/>
      </c>
      <c r="I87" s="31" t="n">
        <v>960</v>
      </c>
      <c r="J87" s="13" t="inlineStr">
        <is>
          <t>Con entregable (detalle por planificación gradual)</t>
        </is>
      </c>
      <c r="K87" s="34">
        <f>IF(AND(K$5&gt;=$F87,K$5&lt;=$G87),3,"")</f>
        <v/>
      </c>
      <c r="L87" s="34">
        <f>IF(AND(L$5&gt;=$F87,L$5&lt;=$G87),3,"")</f>
        <v/>
      </c>
      <c r="M87" s="34">
        <f>IF(AND(M$5&gt;=$F87,M$5&lt;=$G87),3,"")</f>
        <v/>
      </c>
      <c r="N87" s="34">
        <f>IF(AND(N$5&gt;=$F87,N$5&lt;=$G87),3,"")</f>
        <v/>
      </c>
      <c r="O87" s="34">
        <f>IF(AND(O$5&gt;=$F87,O$5&lt;=$G87),3,"")</f>
        <v/>
      </c>
      <c r="P87" s="34">
        <f>IF(AND(P$5&gt;=$F87,P$5&lt;=$G87),3,"")</f>
        <v/>
      </c>
      <c r="Q87" s="34">
        <f>IF(AND(Q$5&gt;=$F87,Q$5&lt;=$G87),3,"")</f>
        <v/>
      </c>
      <c r="R87" s="34">
        <f>IF(AND(R$5&gt;=$F87,R$5&lt;=$G87),3,"")</f>
        <v/>
      </c>
      <c r="S87" s="34">
        <f>IF(AND(S$5&gt;=$F87,S$5&lt;=$G87),3,"")</f>
        <v/>
      </c>
      <c r="T87" s="34">
        <f>IF(AND(T$5&gt;=$F87,T$5&lt;=$G87),3,"")</f>
        <v/>
      </c>
      <c r="U87" s="34">
        <f>IF(AND(U$5&gt;=$F87,U$5&lt;=$G87),3,"")</f>
        <v/>
      </c>
      <c r="V87" s="34">
        <f>IF(AND(V$5&gt;=$F87,V$5&lt;=$G87),3,"")</f>
        <v/>
      </c>
      <c r="W87" s="34">
        <f>IF(AND(W$5&gt;=$F87,W$5&lt;=$G87),3,"")</f>
        <v/>
      </c>
      <c r="X87" s="34">
        <f>IF(AND(X$5&gt;=$F87,X$5&lt;=$G87),3,"")</f>
        <v/>
      </c>
      <c r="Y87" s="34">
        <f>IF(AND(Y$5&gt;=$F87,Y$5&lt;=$G87),3,"")</f>
        <v/>
      </c>
      <c r="Z87" s="34">
        <f>IF(AND(Z$5&gt;=$F87,Z$5&lt;=$G87),3,"")</f>
        <v/>
      </c>
      <c r="AA87" s="34">
        <f>IF(AND(AA$5&gt;=$F87,AA$5&lt;=$G87),3,"")</f>
        <v/>
      </c>
      <c r="AB87" s="34">
        <f>IF(AND(AB$5&gt;=$F87,AB$5&lt;=$G87),3,"")</f>
        <v/>
      </c>
      <c r="AC87" s="34">
        <f>IF(AND(AC$5&gt;=$F87,AC$5&lt;=$G87),3,"")</f>
        <v/>
      </c>
      <c r="AD87" s="34">
        <f>IF(AND(AD$5&gt;=$F87,AD$5&lt;=$G87),3,"")</f>
        <v/>
      </c>
      <c r="AE87" s="34">
        <f>IF(AND(AE$5&gt;=$F87,AE$5&lt;=$G87),3,"")</f>
        <v/>
      </c>
      <c r="AF87" s="34">
        <f>IF(AND(AF$5&gt;=$F87,AF$5&lt;=$G87),3,"")</f>
        <v/>
      </c>
      <c r="AG87" s="34">
        <f>IF(AND(AG$5&gt;=$F87,AG$5&lt;=$G87),3,"")</f>
        <v/>
      </c>
      <c r="AH87" s="34">
        <f>IF(AND(AH$5&gt;=$F87,AH$5&lt;=$G87),3,"")</f>
        <v/>
      </c>
      <c r="AI87" s="34">
        <f>IF(AND(AI$5&gt;=$F87,AI$5&lt;=$G87),3,"")</f>
        <v/>
      </c>
      <c r="AJ87" s="34">
        <f>IF(AND(AJ$5&gt;=$F87,AJ$5&lt;=$G87),3,"")</f>
        <v/>
      </c>
      <c r="AK87" s="34">
        <f>IF(AND(AK$5&gt;=$F87,AK$5&lt;=$G87),3,"")</f>
        <v/>
      </c>
      <c r="AL87" s="34">
        <f>IF(AND(AL$5&gt;=$F87,AL$5&lt;=$G87),3,"")</f>
        <v/>
      </c>
      <c r="AM87" s="34">
        <f>IF(AND(AM$5&gt;=$F87,AM$5&lt;=$G87),3,"")</f>
        <v/>
      </c>
      <c r="AN87" s="34">
        <f>IF(AND(AN$5&gt;=$F87,AN$5&lt;=$G87),3,"")</f>
        <v/>
      </c>
      <c r="AO87" s="34">
        <f>IF(AND(AO$5&gt;=$F87,AO$5&lt;=$G87),3,"")</f>
        <v/>
      </c>
      <c r="AP87" s="34">
        <f>IF(AND(AP$5&gt;=$F87,AP$5&lt;=$G87),3,"")</f>
        <v/>
      </c>
      <c r="AQ87" s="34">
        <f>IF(AND(AQ$5&gt;=$F87,AQ$5&lt;=$G87),3,"")</f>
        <v/>
      </c>
      <c r="AR87" s="34">
        <f>IF(AND(AR$5&gt;=$F87,AR$5&lt;=$G87),3,"")</f>
        <v/>
      </c>
      <c r="AS87" s="34">
        <f>IF(AND(AS$5&gt;=$F87,AS$5&lt;=$G87),3,"")</f>
        <v/>
      </c>
      <c r="AT87" s="34">
        <f>IF(AND(AT$5&gt;=$F87,AT$5&lt;=$G87),3,"")</f>
        <v/>
      </c>
      <c r="AU87" s="34">
        <f>IF(AND(AU$5&gt;=$F87,AU$5&lt;=$G87),3,"")</f>
        <v/>
      </c>
      <c r="AV87" s="34">
        <f>IF(AND(AV$5&gt;=$F87,AV$5&lt;=$G87),3,"")</f>
        <v/>
      </c>
      <c r="AW87" s="34">
        <f>IF(AND(AW$5&gt;=$F87,AW$5&lt;=$G87),3,"")</f>
        <v/>
      </c>
      <c r="AX87" s="34">
        <f>IF(AND(AX$5&gt;=$F87,AX$5&lt;=$G87),3,"")</f>
        <v/>
      </c>
      <c r="AY87" s="34">
        <f>IF(AND(AY$5&gt;=$F87,AY$5&lt;=$G87),3,"")</f>
        <v/>
      </c>
      <c r="AZ87" s="34">
        <f>IF(AND(AZ$5&gt;=$F87,AZ$5&lt;=$G87),3,"")</f>
        <v/>
      </c>
      <c r="BA87" s="34">
        <f>IF(AND(BA$5&gt;=$F87,BA$5&lt;=$G87),3,"")</f>
        <v/>
      </c>
      <c r="BB87" s="34">
        <f>IF(AND(BB$5&gt;=$F87,BB$5&lt;=$G87),3,"")</f>
        <v/>
      </c>
      <c r="BC87" s="34">
        <f>IF(AND(BC$5&gt;=$F87,BC$5&lt;=$G87),3,"")</f>
        <v/>
      </c>
      <c r="BD87" s="34">
        <f>IF(AND(BD$5&gt;=$F87,BD$5&lt;=$G87),3,"")</f>
        <v/>
      </c>
      <c r="BE87" s="34">
        <f>IF(AND(BE$5&gt;=$F87,BE$5&lt;=$G87),3,"")</f>
        <v/>
      </c>
      <c r="BF87" s="34">
        <f>IF(AND(BF$5&gt;=$F87,BF$5&lt;=$G87),3,"")</f>
        <v/>
      </c>
      <c r="BG87" s="34">
        <f>IF(AND(BG$5&gt;=$F87,BG$5&lt;=$G87),3,"")</f>
        <v/>
      </c>
      <c r="BH87" s="34">
        <f>IF(AND(BH$5&gt;=$F87,BH$5&lt;=$G87),3,"")</f>
        <v/>
      </c>
      <c r="BI87" s="34">
        <f>IF(AND(BI$5&gt;=$F87,BI$5&lt;=$G87),3,"")</f>
        <v/>
      </c>
      <c r="BJ87" s="34">
        <f>IF(AND(BJ$5&gt;=$F87,BJ$5&lt;=$G87),3,"")</f>
        <v/>
      </c>
      <c r="BK87" s="34">
        <f>IF(AND(BK$5&gt;=$F87,BK$5&lt;=$G87),3,"")</f>
        <v/>
      </c>
      <c r="BL87" s="34">
        <f>IF(AND(BL$5&gt;=$F87,BL$5&lt;=$G87),3,"")</f>
        <v/>
      </c>
      <c r="BM87" s="34">
        <f>IF(AND(BM$5&gt;=$F87,BM$5&lt;=$G87),3,"")</f>
        <v/>
      </c>
      <c r="BN87" s="34">
        <f>IF(AND(BN$5&gt;=$F87,BN$5&lt;=$G87),3,"")</f>
        <v/>
      </c>
    </row>
    <row r="88" ht="14.25" customHeight="1" s="36">
      <c r="A88" s="13" t="inlineStr">
        <is>
          <t>3 Construcción</t>
        </is>
      </c>
      <c r="B88" s="13" t="inlineStr">
        <is>
          <t>3.4.10</t>
        </is>
      </c>
      <c r="C88" s="13" t="inlineStr">
        <is>
          <t>Cobro en ruta, rendición y conciliación (M7 Cobranza y rendición)</t>
        </is>
      </c>
      <c r="D88" s="13" t="inlineStr">
        <is>
          <t>D</t>
        </is>
      </c>
      <c r="E88" s="13" t="inlineStr">
        <is>
          <t>Desarrollo</t>
        </is>
      </c>
      <c r="F88" s="13" t="n">
        <v>5</v>
      </c>
      <c r="G88" s="13" t="n">
        <v>8</v>
      </c>
      <c r="H88" s="13">
        <f>G88-F88+1</f>
        <v/>
      </c>
      <c r="I88" s="31" t="n">
        <v>960</v>
      </c>
      <c r="J88" s="13" t="inlineStr">
        <is>
          <t>Con entregable (detalle por planificación gradual)</t>
        </is>
      </c>
      <c r="K88" s="34">
        <f>IF(AND(K$5&gt;=$F88,K$5&lt;=$G88),3,"")</f>
        <v/>
      </c>
      <c r="L88" s="34">
        <f>IF(AND(L$5&gt;=$F88,L$5&lt;=$G88),3,"")</f>
        <v/>
      </c>
      <c r="M88" s="34">
        <f>IF(AND(M$5&gt;=$F88,M$5&lt;=$G88),3,"")</f>
        <v/>
      </c>
      <c r="N88" s="34">
        <f>IF(AND(N$5&gt;=$F88,N$5&lt;=$G88),3,"")</f>
        <v/>
      </c>
      <c r="O88" s="34">
        <f>IF(AND(O$5&gt;=$F88,O$5&lt;=$G88),3,"")</f>
        <v/>
      </c>
      <c r="P88" s="34">
        <f>IF(AND(P$5&gt;=$F88,P$5&lt;=$G88),3,"")</f>
        <v/>
      </c>
      <c r="Q88" s="34">
        <f>IF(AND(Q$5&gt;=$F88,Q$5&lt;=$G88),3,"")</f>
        <v/>
      </c>
      <c r="R88" s="34">
        <f>IF(AND(R$5&gt;=$F88,R$5&lt;=$G88),3,"")</f>
        <v/>
      </c>
      <c r="S88" s="34">
        <f>IF(AND(S$5&gt;=$F88,S$5&lt;=$G88),3,"")</f>
        <v/>
      </c>
      <c r="T88" s="34">
        <f>IF(AND(T$5&gt;=$F88,T$5&lt;=$G88),3,"")</f>
        <v/>
      </c>
      <c r="U88" s="34">
        <f>IF(AND(U$5&gt;=$F88,U$5&lt;=$G88),3,"")</f>
        <v/>
      </c>
      <c r="V88" s="34">
        <f>IF(AND(V$5&gt;=$F88,V$5&lt;=$G88),3,"")</f>
        <v/>
      </c>
      <c r="W88" s="34">
        <f>IF(AND(W$5&gt;=$F88,W$5&lt;=$G88),3,"")</f>
        <v/>
      </c>
      <c r="X88" s="34">
        <f>IF(AND(X$5&gt;=$F88,X$5&lt;=$G88),3,"")</f>
        <v/>
      </c>
      <c r="Y88" s="34">
        <f>IF(AND(Y$5&gt;=$F88,Y$5&lt;=$G88),3,"")</f>
        <v/>
      </c>
      <c r="Z88" s="34">
        <f>IF(AND(Z$5&gt;=$F88,Z$5&lt;=$G88),3,"")</f>
        <v/>
      </c>
      <c r="AA88" s="34">
        <f>IF(AND(AA$5&gt;=$F88,AA$5&lt;=$G88),3,"")</f>
        <v/>
      </c>
      <c r="AB88" s="34">
        <f>IF(AND(AB$5&gt;=$F88,AB$5&lt;=$G88),3,"")</f>
        <v/>
      </c>
      <c r="AC88" s="34">
        <f>IF(AND(AC$5&gt;=$F88,AC$5&lt;=$G88),3,"")</f>
        <v/>
      </c>
      <c r="AD88" s="34">
        <f>IF(AND(AD$5&gt;=$F88,AD$5&lt;=$G88),3,"")</f>
        <v/>
      </c>
      <c r="AE88" s="34">
        <f>IF(AND(AE$5&gt;=$F88,AE$5&lt;=$G88),3,"")</f>
        <v/>
      </c>
      <c r="AF88" s="34">
        <f>IF(AND(AF$5&gt;=$F88,AF$5&lt;=$G88),3,"")</f>
        <v/>
      </c>
      <c r="AG88" s="34">
        <f>IF(AND(AG$5&gt;=$F88,AG$5&lt;=$G88),3,"")</f>
        <v/>
      </c>
      <c r="AH88" s="34">
        <f>IF(AND(AH$5&gt;=$F88,AH$5&lt;=$G88),3,"")</f>
        <v/>
      </c>
      <c r="AI88" s="34">
        <f>IF(AND(AI$5&gt;=$F88,AI$5&lt;=$G88),3,"")</f>
        <v/>
      </c>
      <c r="AJ88" s="34">
        <f>IF(AND(AJ$5&gt;=$F88,AJ$5&lt;=$G88),3,"")</f>
        <v/>
      </c>
      <c r="AK88" s="34">
        <f>IF(AND(AK$5&gt;=$F88,AK$5&lt;=$G88),3,"")</f>
        <v/>
      </c>
      <c r="AL88" s="34">
        <f>IF(AND(AL$5&gt;=$F88,AL$5&lt;=$G88),3,"")</f>
        <v/>
      </c>
      <c r="AM88" s="34">
        <f>IF(AND(AM$5&gt;=$F88,AM$5&lt;=$G88),3,"")</f>
        <v/>
      </c>
      <c r="AN88" s="34">
        <f>IF(AND(AN$5&gt;=$F88,AN$5&lt;=$G88),3,"")</f>
        <v/>
      </c>
      <c r="AO88" s="34">
        <f>IF(AND(AO$5&gt;=$F88,AO$5&lt;=$G88),3,"")</f>
        <v/>
      </c>
      <c r="AP88" s="34">
        <f>IF(AND(AP$5&gt;=$F88,AP$5&lt;=$G88),3,"")</f>
        <v/>
      </c>
      <c r="AQ88" s="34">
        <f>IF(AND(AQ$5&gt;=$F88,AQ$5&lt;=$G88),3,"")</f>
        <v/>
      </c>
      <c r="AR88" s="34">
        <f>IF(AND(AR$5&gt;=$F88,AR$5&lt;=$G88),3,"")</f>
        <v/>
      </c>
      <c r="AS88" s="34">
        <f>IF(AND(AS$5&gt;=$F88,AS$5&lt;=$G88),3,"")</f>
        <v/>
      </c>
      <c r="AT88" s="34">
        <f>IF(AND(AT$5&gt;=$F88,AT$5&lt;=$G88),3,"")</f>
        <v/>
      </c>
      <c r="AU88" s="34">
        <f>IF(AND(AU$5&gt;=$F88,AU$5&lt;=$G88),3,"")</f>
        <v/>
      </c>
      <c r="AV88" s="34">
        <f>IF(AND(AV$5&gt;=$F88,AV$5&lt;=$G88),3,"")</f>
        <v/>
      </c>
      <c r="AW88" s="34">
        <f>IF(AND(AW$5&gt;=$F88,AW$5&lt;=$G88),3,"")</f>
        <v/>
      </c>
      <c r="AX88" s="34">
        <f>IF(AND(AX$5&gt;=$F88,AX$5&lt;=$G88),3,"")</f>
        <v/>
      </c>
      <c r="AY88" s="34">
        <f>IF(AND(AY$5&gt;=$F88,AY$5&lt;=$G88),3,"")</f>
        <v/>
      </c>
      <c r="AZ88" s="34">
        <f>IF(AND(AZ$5&gt;=$F88,AZ$5&lt;=$G88),3,"")</f>
        <v/>
      </c>
      <c r="BA88" s="34">
        <f>IF(AND(BA$5&gt;=$F88,BA$5&lt;=$G88),3,"")</f>
        <v/>
      </c>
      <c r="BB88" s="34">
        <f>IF(AND(BB$5&gt;=$F88,BB$5&lt;=$G88),3,"")</f>
        <v/>
      </c>
      <c r="BC88" s="34">
        <f>IF(AND(BC$5&gt;=$F88,BC$5&lt;=$G88),3,"")</f>
        <v/>
      </c>
      <c r="BD88" s="34">
        <f>IF(AND(BD$5&gt;=$F88,BD$5&lt;=$G88),3,"")</f>
        <v/>
      </c>
      <c r="BE88" s="34">
        <f>IF(AND(BE$5&gt;=$F88,BE$5&lt;=$G88),3,"")</f>
        <v/>
      </c>
      <c r="BF88" s="34">
        <f>IF(AND(BF$5&gt;=$F88,BF$5&lt;=$G88),3,"")</f>
        <v/>
      </c>
      <c r="BG88" s="34">
        <f>IF(AND(BG$5&gt;=$F88,BG$5&lt;=$G88),3,"")</f>
        <v/>
      </c>
      <c r="BH88" s="34">
        <f>IF(AND(BH$5&gt;=$F88,BH$5&lt;=$G88),3,"")</f>
        <v/>
      </c>
      <c r="BI88" s="34">
        <f>IF(AND(BI$5&gt;=$F88,BI$5&lt;=$G88),3,"")</f>
        <v/>
      </c>
      <c r="BJ88" s="34">
        <f>IF(AND(BJ$5&gt;=$F88,BJ$5&lt;=$G88),3,"")</f>
        <v/>
      </c>
      <c r="BK88" s="34">
        <f>IF(AND(BK$5&gt;=$F88,BK$5&lt;=$G88),3,"")</f>
        <v/>
      </c>
      <c r="BL88" s="34">
        <f>IF(AND(BL$5&gt;=$F88,BL$5&lt;=$G88),3,"")</f>
        <v/>
      </c>
      <c r="BM88" s="34">
        <f>IF(AND(BM$5&gt;=$F88,BM$5&lt;=$G88),3,"")</f>
        <v/>
      </c>
      <c r="BN88" s="34">
        <f>IF(AND(BN$5&gt;=$F88,BN$5&lt;=$G88),3,"")</f>
        <v/>
      </c>
    </row>
    <row r="89" ht="14.25" customHeight="1" s="36">
      <c r="A89" s="13" t="inlineStr">
        <is>
          <t>3 Construcción</t>
        </is>
      </c>
      <c r="B89" s="13" t="inlineStr">
        <is>
          <t>3.4.11</t>
        </is>
      </c>
      <c r="C89" s="13" t="inlineStr">
        <is>
          <t>Indicadores operacionales y OTIF diario (M10 Analítica)</t>
        </is>
      </c>
      <c r="D89" s="13" t="inlineStr">
        <is>
          <t>D</t>
        </is>
      </c>
      <c r="E89" s="13" t="inlineStr">
        <is>
          <t>Datos</t>
        </is>
      </c>
      <c r="F89" s="13" t="n">
        <v>8</v>
      </c>
      <c r="G89" s="13" t="n">
        <v>8</v>
      </c>
      <c r="H89" s="13">
        <f>G89-F89+1</f>
        <v/>
      </c>
      <c r="I89" s="31" t="n">
        <v>960</v>
      </c>
      <c r="J89" s="13" t="inlineStr">
        <is>
          <t>Con entregable (detalle por planificación gradual)</t>
        </is>
      </c>
      <c r="K89" s="34">
        <f>IF(AND(K$5&gt;=$F89,K$5&lt;=$G89),3,"")</f>
        <v/>
      </c>
      <c r="L89" s="34">
        <f>IF(AND(L$5&gt;=$F89,L$5&lt;=$G89),3,"")</f>
        <v/>
      </c>
      <c r="M89" s="34">
        <f>IF(AND(M$5&gt;=$F89,M$5&lt;=$G89),3,"")</f>
        <v/>
      </c>
      <c r="N89" s="34">
        <f>IF(AND(N$5&gt;=$F89,N$5&lt;=$G89),3,"")</f>
        <v/>
      </c>
      <c r="O89" s="34">
        <f>IF(AND(O$5&gt;=$F89,O$5&lt;=$G89),3,"")</f>
        <v/>
      </c>
      <c r="P89" s="34">
        <f>IF(AND(P$5&gt;=$F89,P$5&lt;=$G89),3,"")</f>
        <v/>
      </c>
      <c r="Q89" s="34">
        <f>IF(AND(Q$5&gt;=$F89,Q$5&lt;=$G89),3,"")</f>
        <v/>
      </c>
      <c r="R89" s="34">
        <f>IF(AND(R$5&gt;=$F89,R$5&lt;=$G89),3,"")</f>
        <v/>
      </c>
      <c r="S89" s="34">
        <f>IF(AND(S$5&gt;=$F89,S$5&lt;=$G89),3,"")</f>
        <v/>
      </c>
      <c r="T89" s="34">
        <f>IF(AND(T$5&gt;=$F89,T$5&lt;=$G89),3,"")</f>
        <v/>
      </c>
      <c r="U89" s="34">
        <f>IF(AND(U$5&gt;=$F89,U$5&lt;=$G89),3,"")</f>
        <v/>
      </c>
      <c r="V89" s="34">
        <f>IF(AND(V$5&gt;=$F89,V$5&lt;=$G89),3,"")</f>
        <v/>
      </c>
      <c r="W89" s="34">
        <f>IF(AND(W$5&gt;=$F89,W$5&lt;=$G89),3,"")</f>
        <v/>
      </c>
      <c r="X89" s="34">
        <f>IF(AND(X$5&gt;=$F89,X$5&lt;=$G89),3,"")</f>
        <v/>
      </c>
      <c r="Y89" s="34">
        <f>IF(AND(Y$5&gt;=$F89,Y$5&lt;=$G89),3,"")</f>
        <v/>
      </c>
      <c r="Z89" s="34">
        <f>IF(AND(Z$5&gt;=$F89,Z$5&lt;=$G89),3,"")</f>
        <v/>
      </c>
      <c r="AA89" s="34">
        <f>IF(AND(AA$5&gt;=$F89,AA$5&lt;=$G89),3,"")</f>
        <v/>
      </c>
      <c r="AB89" s="34">
        <f>IF(AND(AB$5&gt;=$F89,AB$5&lt;=$G89),3,"")</f>
        <v/>
      </c>
      <c r="AC89" s="34">
        <f>IF(AND(AC$5&gt;=$F89,AC$5&lt;=$G89),3,"")</f>
        <v/>
      </c>
      <c r="AD89" s="34">
        <f>IF(AND(AD$5&gt;=$F89,AD$5&lt;=$G89),3,"")</f>
        <v/>
      </c>
      <c r="AE89" s="34">
        <f>IF(AND(AE$5&gt;=$F89,AE$5&lt;=$G89),3,"")</f>
        <v/>
      </c>
      <c r="AF89" s="34">
        <f>IF(AND(AF$5&gt;=$F89,AF$5&lt;=$G89),3,"")</f>
        <v/>
      </c>
      <c r="AG89" s="34">
        <f>IF(AND(AG$5&gt;=$F89,AG$5&lt;=$G89),3,"")</f>
        <v/>
      </c>
      <c r="AH89" s="34">
        <f>IF(AND(AH$5&gt;=$F89,AH$5&lt;=$G89),3,"")</f>
        <v/>
      </c>
      <c r="AI89" s="34">
        <f>IF(AND(AI$5&gt;=$F89,AI$5&lt;=$G89),3,"")</f>
        <v/>
      </c>
      <c r="AJ89" s="34">
        <f>IF(AND(AJ$5&gt;=$F89,AJ$5&lt;=$G89),3,"")</f>
        <v/>
      </c>
      <c r="AK89" s="34">
        <f>IF(AND(AK$5&gt;=$F89,AK$5&lt;=$G89),3,"")</f>
        <v/>
      </c>
      <c r="AL89" s="34">
        <f>IF(AND(AL$5&gt;=$F89,AL$5&lt;=$G89),3,"")</f>
        <v/>
      </c>
      <c r="AM89" s="34">
        <f>IF(AND(AM$5&gt;=$F89,AM$5&lt;=$G89),3,"")</f>
        <v/>
      </c>
      <c r="AN89" s="34">
        <f>IF(AND(AN$5&gt;=$F89,AN$5&lt;=$G89),3,"")</f>
        <v/>
      </c>
      <c r="AO89" s="34">
        <f>IF(AND(AO$5&gt;=$F89,AO$5&lt;=$G89),3,"")</f>
        <v/>
      </c>
      <c r="AP89" s="34">
        <f>IF(AND(AP$5&gt;=$F89,AP$5&lt;=$G89),3,"")</f>
        <v/>
      </c>
      <c r="AQ89" s="34">
        <f>IF(AND(AQ$5&gt;=$F89,AQ$5&lt;=$G89),3,"")</f>
        <v/>
      </c>
      <c r="AR89" s="34">
        <f>IF(AND(AR$5&gt;=$F89,AR$5&lt;=$G89),3,"")</f>
        <v/>
      </c>
      <c r="AS89" s="34">
        <f>IF(AND(AS$5&gt;=$F89,AS$5&lt;=$G89),3,"")</f>
        <v/>
      </c>
      <c r="AT89" s="34">
        <f>IF(AND(AT$5&gt;=$F89,AT$5&lt;=$G89),3,"")</f>
        <v/>
      </c>
      <c r="AU89" s="34">
        <f>IF(AND(AU$5&gt;=$F89,AU$5&lt;=$G89),3,"")</f>
        <v/>
      </c>
      <c r="AV89" s="34">
        <f>IF(AND(AV$5&gt;=$F89,AV$5&lt;=$G89),3,"")</f>
        <v/>
      </c>
      <c r="AW89" s="34">
        <f>IF(AND(AW$5&gt;=$F89,AW$5&lt;=$G89),3,"")</f>
        <v/>
      </c>
      <c r="AX89" s="34">
        <f>IF(AND(AX$5&gt;=$F89,AX$5&lt;=$G89),3,"")</f>
        <v/>
      </c>
      <c r="AY89" s="34">
        <f>IF(AND(AY$5&gt;=$F89,AY$5&lt;=$G89),3,"")</f>
        <v/>
      </c>
      <c r="AZ89" s="34">
        <f>IF(AND(AZ$5&gt;=$F89,AZ$5&lt;=$G89),3,"")</f>
        <v/>
      </c>
      <c r="BA89" s="34">
        <f>IF(AND(BA$5&gt;=$F89,BA$5&lt;=$G89),3,"")</f>
        <v/>
      </c>
      <c r="BB89" s="34">
        <f>IF(AND(BB$5&gt;=$F89,BB$5&lt;=$G89),3,"")</f>
        <v/>
      </c>
      <c r="BC89" s="34">
        <f>IF(AND(BC$5&gt;=$F89,BC$5&lt;=$G89),3,"")</f>
        <v/>
      </c>
      <c r="BD89" s="34">
        <f>IF(AND(BD$5&gt;=$F89,BD$5&lt;=$G89),3,"")</f>
        <v/>
      </c>
      <c r="BE89" s="34">
        <f>IF(AND(BE$5&gt;=$F89,BE$5&lt;=$G89),3,"")</f>
        <v/>
      </c>
      <c r="BF89" s="34">
        <f>IF(AND(BF$5&gt;=$F89,BF$5&lt;=$G89),3,"")</f>
        <v/>
      </c>
      <c r="BG89" s="34">
        <f>IF(AND(BG$5&gt;=$F89,BG$5&lt;=$G89),3,"")</f>
        <v/>
      </c>
      <c r="BH89" s="34">
        <f>IF(AND(BH$5&gt;=$F89,BH$5&lt;=$G89),3,"")</f>
        <v/>
      </c>
      <c r="BI89" s="34">
        <f>IF(AND(BI$5&gt;=$F89,BI$5&lt;=$G89),3,"")</f>
        <v/>
      </c>
      <c r="BJ89" s="34">
        <f>IF(AND(BJ$5&gt;=$F89,BJ$5&lt;=$G89),3,"")</f>
        <v/>
      </c>
      <c r="BK89" s="34">
        <f>IF(AND(BK$5&gt;=$F89,BK$5&lt;=$G89),3,"")</f>
        <v/>
      </c>
      <c r="BL89" s="34">
        <f>IF(AND(BL$5&gt;=$F89,BL$5&lt;=$G89),3,"")</f>
        <v/>
      </c>
      <c r="BM89" s="34">
        <f>IF(AND(BM$5&gt;=$F89,BM$5&lt;=$G89),3,"")</f>
        <v/>
      </c>
      <c r="BN89" s="34">
        <f>IF(AND(BN$5&gt;=$F89,BN$5&lt;=$G89),3,"")</f>
        <v/>
      </c>
    </row>
    <row r="90" ht="14.25" customHeight="1" s="36">
      <c r="A90" s="13" t="inlineStr">
        <is>
          <t>3 Construcción</t>
        </is>
      </c>
      <c r="B90" s="13" t="inlineStr">
        <is>
          <t>3.5.1</t>
        </is>
      </c>
      <c r="C90" s="13" t="inlineStr">
        <is>
          <t>Pedido electrónico y aviso de despacho para las cadenas, y portal de proveedores (M11 Canal moderno)</t>
        </is>
      </c>
      <c r="D90" s="13" t="inlineStr">
        <is>
          <t>D</t>
        </is>
      </c>
      <c r="E90" s="13" t="inlineStr">
        <is>
          <t>Desarrollo</t>
        </is>
      </c>
      <c r="F90" s="13" t="n">
        <v>15</v>
      </c>
      <c r="G90" s="13" t="n">
        <v>15</v>
      </c>
      <c r="H90" s="13">
        <f>G90-F90+1</f>
        <v/>
      </c>
      <c r="I90" s="31" t="n">
        <v>960</v>
      </c>
      <c r="J90" s="13" t="inlineStr">
        <is>
          <t>Con entregable (detalle por planificación gradual)</t>
        </is>
      </c>
      <c r="K90" s="34">
        <f>IF(AND(K$5&gt;=$F90,K$5&lt;=$G90),3,"")</f>
        <v/>
      </c>
      <c r="L90" s="34">
        <f>IF(AND(L$5&gt;=$F90,L$5&lt;=$G90),3,"")</f>
        <v/>
      </c>
      <c r="M90" s="34">
        <f>IF(AND(M$5&gt;=$F90,M$5&lt;=$G90),3,"")</f>
        <v/>
      </c>
      <c r="N90" s="34">
        <f>IF(AND(N$5&gt;=$F90,N$5&lt;=$G90),3,"")</f>
        <v/>
      </c>
      <c r="O90" s="34">
        <f>IF(AND(O$5&gt;=$F90,O$5&lt;=$G90),3,"")</f>
        <v/>
      </c>
      <c r="P90" s="34">
        <f>IF(AND(P$5&gt;=$F90,P$5&lt;=$G90),3,"")</f>
        <v/>
      </c>
      <c r="Q90" s="34">
        <f>IF(AND(Q$5&gt;=$F90,Q$5&lt;=$G90),3,"")</f>
        <v/>
      </c>
      <c r="R90" s="34">
        <f>IF(AND(R$5&gt;=$F90,R$5&lt;=$G90),3,"")</f>
        <v/>
      </c>
      <c r="S90" s="34">
        <f>IF(AND(S$5&gt;=$F90,S$5&lt;=$G90),3,"")</f>
        <v/>
      </c>
      <c r="T90" s="34">
        <f>IF(AND(T$5&gt;=$F90,T$5&lt;=$G90),3,"")</f>
        <v/>
      </c>
      <c r="U90" s="34">
        <f>IF(AND(U$5&gt;=$F90,U$5&lt;=$G90),3,"")</f>
        <v/>
      </c>
      <c r="V90" s="34">
        <f>IF(AND(V$5&gt;=$F90,V$5&lt;=$G90),3,"")</f>
        <v/>
      </c>
      <c r="W90" s="34">
        <f>IF(AND(W$5&gt;=$F90,W$5&lt;=$G90),3,"")</f>
        <v/>
      </c>
      <c r="X90" s="34">
        <f>IF(AND(X$5&gt;=$F90,X$5&lt;=$G90),3,"")</f>
        <v/>
      </c>
      <c r="Y90" s="34">
        <f>IF(AND(Y$5&gt;=$F90,Y$5&lt;=$G90),3,"")</f>
        <v/>
      </c>
      <c r="Z90" s="34">
        <f>IF(AND(Z$5&gt;=$F90,Z$5&lt;=$G90),3,"")</f>
        <v/>
      </c>
      <c r="AA90" s="34">
        <f>IF(AND(AA$5&gt;=$F90,AA$5&lt;=$G90),3,"")</f>
        <v/>
      </c>
      <c r="AB90" s="34">
        <f>IF(AND(AB$5&gt;=$F90,AB$5&lt;=$G90),3,"")</f>
        <v/>
      </c>
      <c r="AC90" s="34">
        <f>IF(AND(AC$5&gt;=$F90,AC$5&lt;=$G90),3,"")</f>
        <v/>
      </c>
      <c r="AD90" s="34">
        <f>IF(AND(AD$5&gt;=$F90,AD$5&lt;=$G90),3,"")</f>
        <v/>
      </c>
      <c r="AE90" s="34">
        <f>IF(AND(AE$5&gt;=$F90,AE$5&lt;=$G90),3,"")</f>
        <v/>
      </c>
      <c r="AF90" s="34">
        <f>IF(AND(AF$5&gt;=$F90,AF$5&lt;=$G90),3,"")</f>
        <v/>
      </c>
      <c r="AG90" s="34">
        <f>IF(AND(AG$5&gt;=$F90,AG$5&lt;=$G90),3,"")</f>
        <v/>
      </c>
      <c r="AH90" s="34">
        <f>IF(AND(AH$5&gt;=$F90,AH$5&lt;=$G90),3,"")</f>
        <v/>
      </c>
      <c r="AI90" s="34">
        <f>IF(AND(AI$5&gt;=$F90,AI$5&lt;=$G90),3,"")</f>
        <v/>
      </c>
      <c r="AJ90" s="34">
        <f>IF(AND(AJ$5&gt;=$F90,AJ$5&lt;=$G90),3,"")</f>
        <v/>
      </c>
      <c r="AK90" s="34">
        <f>IF(AND(AK$5&gt;=$F90,AK$5&lt;=$G90),3,"")</f>
        <v/>
      </c>
      <c r="AL90" s="34">
        <f>IF(AND(AL$5&gt;=$F90,AL$5&lt;=$G90),3,"")</f>
        <v/>
      </c>
      <c r="AM90" s="34">
        <f>IF(AND(AM$5&gt;=$F90,AM$5&lt;=$G90),3,"")</f>
        <v/>
      </c>
      <c r="AN90" s="34">
        <f>IF(AND(AN$5&gt;=$F90,AN$5&lt;=$G90),3,"")</f>
        <v/>
      </c>
      <c r="AO90" s="34">
        <f>IF(AND(AO$5&gt;=$F90,AO$5&lt;=$G90),3,"")</f>
        <v/>
      </c>
      <c r="AP90" s="34">
        <f>IF(AND(AP$5&gt;=$F90,AP$5&lt;=$G90),3,"")</f>
        <v/>
      </c>
      <c r="AQ90" s="34">
        <f>IF(AND(AQ$5&gt;=$F90,AQ$5&lt;=$G90),3,"")</f>
        <v/>
      </c>
      <c r="AR90" s="34">
        <f>IF(AND(AR$5&gt;=$F90,AR$5&lt;=$G90),3,"")</f>
        <v/>
      </c>
      <c r="AS90" s="34">
        <f>IF(AND(AS$5&gt;=$F90,AS$5&lt;=$G90),3,"")</f>
        <v/>
      </c>
      <c r="AT90" s="34">
        <f>IF(AND(AT$5&gt;=$F90,AT$5&lt;=$G90),3,"")</f>
        <v/>
      </c>
      <c r="AU90" s="34">
        <f>IF(AND(AU$5&gt;=$F90,AU$5&lt;=$G90),3,"")</f>
        <v/>
      </c>
      <c r="AV90" s="34">
        <f>IF(AND(AV$5&gt;=$F90,AV$5&lt;=$G90),3,"")</f>
        <v/>
      </c>
      <c r="AW90" s="34">
        <f>IF(AND(AW$5&gt;=$F90,AW$5&lt;=$G90),3,"")</f>
        <v/>
      </c>
      <c r="AX90" s="34">
        <f>IF(AND(AX$5&gt;=$F90,AX$5&lt;=$G90),3,"")</f>
        <v/>
      </c>
      <c r="AY90" s="34">
        <f>IF(AND(AY$5&gt;=$F90,AY$5&lt;=$G90),3,"")</f>
        <v/>
      </c>
      <c r="AZ90" s="34">
        <f>IF(AND(AZ$5&gt;=$F90,AZ$5&lt;=$G90),3,"")</f>
        <v/>
      </c>
      <c r="BA90" s="34">
        <f>IF(AND(BA$5&gt;=$F90,BA$5&lt;=$G90),3,"")</f>
        <v/>
      </c>
      <c r="BB90" s="34">
        <f>IF(AND(BB$5&gt;=$F90,BB$5&lt;=$G90),3,"")</f>
        <v/>
      </c>
      <c r="BC90" s="34">
        <f>IF(AND(BC$5&gt;=$F90,BC$5&lt;=$G90),3,"")</f>
        <v/>
      </c>
      <c r="BD90" s="34">
        <f>IF(AND(BD$5&gt;=$F90,BD$5&lt;=$G90),3,"")</f>
        <v/>
      </c>
      <c r="BE90" s="34">
        <f>IF(AND(BE$5&gt;=$F90,BE$5&lt;=$G90),3,"")</f>
        <v/>
      </c>
      <c r="BF90" s="34">
        <f>IF(AND(BF$5&gt;=$F90,BF$5&lt;=$G90),3,"")</f>
        <v/>
      </c>
      <c r="BG90" s="34">
        <f>IF(AND(BG$5&gt;=$F90,BG$5&lt;=$G90),3,"")</f>
        <v/>
      </c>
      <c r="BH90" s="34">
        <f>IF(AND(BH$5&gt;=$F90,BH$5&lt;=$G90),3,"")</f>
        <v/>
      </c>
      <c r="BI90" s="34">
        <f>IF(AND(BI$5&gt;=$F90,BI$5&lt;=$G90),3,"")</f>
        <v/>
      </c>
      <c r="BJ90" s="34">
        <f>IF(AND(BJ$5&gt;=$F90,BJ$5&lt;=$G90),3,"")</f>
        <v/>
      </c>
      <c r="BK90" s="34">
        <f>IF(AND(BK$5&gt;=$F90,BK$5&lt;=$G90),3,"")</f>
        <v/>
      </c>
      <c r="BL90" s="34">
        <f>IF(AND(BL$5&gt;=$F90,BL$5&lt;=$G90),3,"")</f>
        <v/>
      </c>
      <c r="BM90" s="34">
        <f>IF(AND(BM$5&gt;=$F90,BM$5&lt;=$G90),3,"")</f>
        <v/>
      </c>
      <c r="BN90" s="34">
        <f>IF(AND(BN$5&gt;=$F90,BN$5&lt;=$G90),3,"")</f>
        <v/>
      </c>
    </row>
    <row r="91" ht="14.25" customHeight="1" s="36">
      <c r="A91" s="13" t="inlineStr">
        <is>
          <t>3 Construcción</t>
        </is>
      </c>
      <c r="B91" s="13" t="inlineStr">
        <is>
          <t>3.5.2</t>
        </is>
      </c>
      <c r="C91" s="13" t="inlineStr">
        <is>
          <t>Portal web de clientes: cuenta, saldo, entregas y documentos</t>
        </is>
      </c>
      <c r="D91" s="13" t="inlineStr">
        <is>
          <t>D</t>
        </is>
      </c>
      <c r="E91" s="13" t="inlineStr">
        <is>
          <t>Desarrollo</t>
        </is>
      </c>
      <c r="F91" s="13" t="n">
        <v>15</v>
      </c>
      <c r="G91" s="13" t="n">
        <v>15</v>
      </c>
      <c r="H91" s="13">
        <f>G91-F91+1</f>
        <v/>
      </c>
      <c r="I91" s="31" t="n">
        <v>960</v>
      </c>
      <c r="J91" s="13" t="inlineStr">
        <is>
          <t>Con entregable (detalle por planificación gradual)</t>
        </is>
      </c>
      <c r="K91" s="34">
        <f>IF(AND(K$5&gt;=$F91,K$5&lt;=$G91),3,"")</f>
        <v/>
      </c>
      <c r="L91" s="34">
        <f>IF(AND(L$5&gt;=$F91,L$5&lt;=$G91),3,"")</f>
        <v/>
      </c>
      <c r="M91" s="34">
        <f>IF(AND(M$5&gt;=$F91,M$5&lt;=$G91),3,"")</f>
        <v/>
      </c>
      <c r="N91" s="34">
        <f>IF(AND(N$5&gt;=$F91,N$5&lt;=$G91),3,"")</f>
        <v/>
      </c>
      <c r="O91" s="34">
        <f>IF(AND(O$5&gt;=$F91,O$5&lt;=$G91),3,"")</f>
        <v/>
      </c>
      <c r="P91" s="34">
        <f>IF(AND(P$5&gt;=$F91,P$5&lt;=$G91),3,"")</f>
        <v/>
      </c>
      <c r="Q91" s="34">
        <f>IF(AND(Q$5&gt;=$F91,Q$5&lt;=$G91),3,"")</f>
        <v/>
      </c>
      <c r="R91" s="34">
        <f>IF(AND(R$5&gt;=$F91,R$5&lt;=$G91),3,"")</f>
        <v/>
      </c>
      <c r="S91" s="34">
        <f>IF(AND(S$5&gt;=$F91,S$5&lt;=$G91),3,"")</f>
        <v/>
      </c>
      <c r="T91" s="34">
        <f>IF(AND(T$5&gt;=$F91,T$5&lt;=$G91),3,"")</f>
        <v/>
      </c>
      <c r="U91" s="34">
        <f>IF(AND(U$5&gt;=$F91,U$5&lt;=$G91),3,"")</f>
        <v/>
      </c>
      <c r="V91" s="34">
        <f>IF(AND(V$5&gt;=$F91,V$5&lt;=$G91),3,"")</f>
        <v/>
      </c>
      <c r="W91" s="34">
        <f>IF(AND(W$5&gt;=$F91,W$5&lt;=$G91),3,"")</f>
        <v/>
      </c>
      <c r="X91" s="34">
        <f>IF(AND(X$5&gt;=$F91,X$5&lt;=$G91),3,"")</f>
        <v/>
      </c>
      <c r="Y91" s="34">
        <f>IF(AND(Y$5&gt;=$F91,Y$5&lt;=$G91),3,"")</f>
        <v/>
      </c>
      <c r="Z91" s="34">
        <f>IF(AND(Z$5&gt;=$F91,Z$5&lt;=$G91),3,"")</f>
        <v/>
      </c>
      <c r="AA91" s="34">
        <f>IF(AND(AA$5&gt;=$F91,AA$5&lt;=$G91),3,"")</f>
        <v/>
      </c>
      <c r="AB91" s="34">
        <f>IF(AND(AB$5&gt;=$F91,AB$5&lt;=$G91),3,"")</f>
        <v/>
      </c>
      <c r="AC91" s="34">
        <f>IF(AND(AC$5&gt;=$F91,AC$5&lt;=$G91),3,"")</f>
        <v/>
      </c>
      <c r="AD91" s="34">
        <f>IF(AND(AD$5&gt;=$F91,AD$5&lt;=$G91),3,"")</f>
        <v/>
      </c>
      <c r="AE91" s="34">
        <f>IF(AND(AE$5&gt;=$F91,AE$5&lt;=$G91),3,"")</f>
        <v/>
      </c>
      <c r="AF91" s="34">
        <f>IF(AND(AF$5&gt;=$F91,AF$5&lt;=$G91),3,"")</f>
        <v/>
      </c>
      <c r="AG91" s="34">
        <f>IF(AND(AG$5&gt;=$F91,AG$5&lt;=$G91),3,"")</f>
        <v/>
      </c>
      <c r="AH91" s="34">
        <f>IF(AND(AH$5&gt;=$F91,AH$5&lt;=$G91),3,"")</f>
        <v/>
      </c>
      <c r="AI91" s="34">
        <f>IF(AND(AI$5&gt;=$F91,AI$5&lt;=$G91),3,"")</f>
        <v/>
      </c>
      <c r="AJ91" s="34">
        <f>IF(AND(AJ$5&gt;=$F91,AJ$5&lt;=$G91),3,"")</f>
        <v/>
      </c>
      <c r="AK91" s="34">
        <f>IF(AND(AK$5&gt;=$F91,AK$5&lt;=$G91),3,"")</f>
        <v/>
      </c>
      <c r="AL91" s="34">
        <f>IF(AND(AL$5&gt;=$F91,AL$5&lt;=$G91),3,"")</f>
        <v/>
      </c>
      <c r="AM91" s="34">
        <f>IF(AND(AM$5&gt;=$F91,AM$5&lt;=$G91),3,"")</f>
        <v/>
      </c>
      <c r="AN91" s="34">
        <f>IF(AND(AN$5&gt;=$F91,AN$5&lt;=$G91),3,"")</f>
        <v/>
      </c>
      <c r="AO91" s="34">
        <f>IF(AND(AO$5&gt;=$F91,AO$5&lt;=$G91),3,"")</f>
        <v/>
      </c>
      <c r="AP91" s="34">
        <f>IF(AND(AP$5&gt;=$F91,AP$5&lt;=$G91),3,"")</f>
        <v/>
      </c>
      <c r="AQ91" s="34">
        <f>IF(AND(AQ$5&gt;=$F91,AQ$5&lt;=$G91),3,"")</f>
        <v/>
      </c>
      <c r="AR91" s="34">
        <f>IF(AND(AR$5&gt;=$F91,AR$5&lt;=$G91),3,"")</f>
        <v/>
      </c>
      <c r="AS91" s="34">
        <f>IF(AND(AS$5&gt;=$F91,AS$5&lt;=$G91),3,"")</f>
        <v/>
      </c>
      <c r="AT91" s="34">
        <f>IF(AND(AT$5&gt;=$F91,AT$5&lt;=$G91),3,"")</f>
        <v/>
      </c>
      <c r="AU91" s="34">
        <f>IF(AND(AU$5&gt;=$F91,AU$5&lt;=$G91),3,"")</f>
        <v/>
      </c>
      <c r="AV91" s="34">
        <f>IF(AND(AV$5&gt;=$F91,AV$5&lt;=$G91),3,"")</f>
        <v/>
      </c>
      <c r="AW91" s="34">
        <f>IF(AND(AW$5&gt;=$F91,AW$5&lt;=$G91),3,"")</f>
        <v/>
      </c>
      <c r="AX91" s="34">
        <f>IF(AND(AX$5&gt;=$F91,AX$5&lt;=$G91),3,"")</f>
        <v/>
      </c>
      <c r="AY91" s="34">
        <f>IF(AND(AY$5&gt;=$F91,AY$5&lt;=$G91),3,"")</f>
        <v/>
      </c>
      <c r="AZ91" s="34">
        <f>IF(AND(AZ$5&gt;=$F91,AZ$5&lt;=$G91),3,"")</f>
        <v/>
      </c>
      <c r="BA91" s="34">
        <f>IF(AND(BA$5&gt;=$F91,BA$5&lt;=$G91),3,"")</f>
        <v/>
      </c>
      <c r="BB91" s="34">
        <f>IF(AND(BB$5&gt;=$F91,BB$5&lt;=$G91),3,"")</f>
        <v/>
      </c>
      <c r="BC91" s="34">
        <f>IF(AND(BC$5&gt;=$F91,BC$5&lt;=$G91),3,"")</f>
        <v/>
      </c>
      <c r="BD91" s="34">
        <f>IF(AND(BD$5&gt;=$F91,BD$5&lt;=$G91),3,"")</f>
        <v/>
      </c>
      <c r="BE91" s="34">
        <f>IF(AND(BE$5&gt;=$F91,BE$5&lt;=$G91),3,"")</f>
        <v/>
      </c>
      <c r="BF91" s="34">
        <f>IF(AND(BF$5&gt;=$F91,BF$5&lt;=$G91),3,"")</f>
        <v/>
      </c>
      <c r="BG91" s="34">
        <f>IF(AND(BG$5&gt;=$F91,BG$5&lt;=$G91),3,"")</f>
        <v/>
      </c>
      <c r="BH91" s="34">
        <f>IF(AND(BH$5&gt;=$F91,BH$5&lt;=$G91),3,"")</f>
        <v/>
      </c>
      <c r="BI91" s="34">
        <f>IF(AND(BI$5&gt;=$F91,BI$5&lt;=$G91),3,"")</f>
        <v/>
      </c>
      <c r="BJ91" s="34">
        <f>IF(AND(BJ$5&gt;=$F91,BJ$5&lt;=$G91),3,"")</f>
        <v/>
      </c>
      <c r="BK91" s="34">
        <f>IF(AND(BK$5&gt;=$F91,BK$5&lt;=$G91),3,"")</f>
        <v/>
      </c>
      <c r="BL91" s="34">
        <f>IF(AND(BL$5&gt;=$F91,BL$5&lt;=$G91),3,"")</f>
        <v/>
      </c>
      <c r="BM91" s="34">
        <f>IF(AND(BM$5&gt;=$F91,BM$5&lt;=$G91),3,"")</f>
        <v/>
      </c>
      <c r="BN91" s="34">
        <f>IF(AND(BN$5&gt;=$F91,BN$5&lt;=$G91),3,"")</f>
        <v/>
      </c>
    </row>
    <row r="92" ht="14.25" customHeight="1" s="36">
      <c r="A92" s="13" t="inlineStr">
        <is>
          <t>3 Construcción</t>
        </is>
      </c>
      <c r="B92" s="13" t="inlineStr">
        <is>
          <t>3.5.3</t>
        </is>
      </c>
      <c r="C92" s="13" t="inlineStr">
        <is>
          <t>Portal web de transportistas: rutas asignadas del día siguiente</t>
        </is>
      </c>
      <c r="D92" s="13" t="inlineStr">
        <is>
          <t>D</t>
        </is>
      </c>
      <c r="E92" s="13" t="inlineStr">
        <is>
          <t>Desarrollo</t>
        </is>
      </c>
      <c r="F92" s="13" t="n">
        <v>15</v>
      </c>
      <c r="G92" s="13" t="n">
        <v>15</v>
      </c>
      <c r="H92" s="13">
        <f>G92-F92+1</f>
        <v/>
      </c>
      <c r="I92" s="31" t="n">
        <v>960</v>
      </c>
      <c r="J92" s="13" t="inlineStr">
        <is>
          <t>Con entregable (detalle por planificación gradual)</t>
        </is>
      </c>
      <c r="K92" s="34">
        <f>IF(AND(K$5&gt;=$F92,K$5&lt;=$G92),3,"")</f>
        <v/>
      </c>
      <c r="L92" s="34">
        <f>IF(AND(L$5&gt;=$F92,L$5&lt;=$G92),3,"")</f>
        <v/>
      </c>
      <c r="M92" s="34">
        <f>IF(AND(M$5&gt;=$F92,M$5&lt;=$G92),3,"")</f>
        <v/>
      </c>
      <c r="N92" s="34">
        <f>IF(AND(N$5&gt;=$F92,N$5&lt;=$G92),3,"")</f>
        <v/>
      </c>
      <c r="O92" s="34">
        <f>IF(AND(O$5&gt;=$F92,O$5&lt;=$G92),3,"")</f>
        <v/>
      </c>
      <c r="P92" s="34">
        <f>IF(AND(P$5&gt;=$F92,P$5&lt;=$G92),3,"")</f>
        <v/>
      </c>
      <c r="Q92" s="34">
        <f>IF(AND(Q$5&gt;=$F92,Q$5&lt;=$G92),3,"")</f>
        <v/>
      </c>
      <c r="R92" s="34">
        <f>IF(AND(R$5&gt;=$F92,R$5&lt;=$G92),3,"")</f>
        <v/>
      </c>
      <c r="S92" s="34">
        <f>IF(AND(S$5&gt;=$F92,S$5&lt;=$G92),3,"")</f>
        <v/>
      </c>
      <c r="T92" s="34">
        <f>IF(AND(T$5&gt;=$F92,T$5&lt;=$G92),3,"")</f>
        <v/>
      </c>
      <c r="U92" s="34">
        <f>IF(AND(U$5&gt;=$F92,U$5&lt;=$G92),3,"")</f>
        <v/>
      </c>
      <c r="V92" s="34">
        <f>IF(AND(V$5&gt;=$F92,V$5&lt;=$G92),3,"")</f>
        <v/>
      </c>
      <c r="W92" s="34">
        <f>IF(AND(W$5&gt;=$F92,W$5&lt;=$G92),3,"")</f>
        <v/>
      </c>
      <c r="X92" s="34">
        <f>IF(AND(X$5&gt;=$F92,X$5&lt;=$G92),3,"")</f>
        <v/>
      </c>
      <c r="Y92" s="34">
        <f>IF(AND(Y$5&gt;=$F92,Y$5&lt;=$G92),3,"")</f>
        <v/>
      </c>
      <c r="Z92" s="34">
        <f>IF(AND(Z$5&gt;=$F92,Z$5&lt;=$G92),3,"")</f>
        <v/>
      </c>
      <c r="AA92" s="34">
        <f>IF(AND(AA$5&gt;=$F92,AA$5&lt;=$G92),3,"")</f>
        <v/>
      </c>
      <c r="AB92" s="34">
        <f>IF(AND(AB$5&gt;=$F92,AB$5&lt;=$G92),3,"")</f>
        <v/>
      </c>
      <c r="AC92" s="34">
        <f>IF(AND(AC$5&gt;=$F92,AC$5&lt;=$G92),3,"")</f>
        <v/>
      </c>
      <c r="AD92" s="34">
        <f>IF(AND(AD$5&gt;=$F92,AD$5&lt;=$G92),3,"")</f>
        <v/>
      </c>
      <c r="AE92" s="34">
        <f>IF(AND(AE$5&gt;=$F92,AE$5&lt;=$G92),3,"")</f>
        <v/>
      </c>
      <c r="AF92" s="34">
        <f>IF(AND(AF$5&gt;=$F92,AF$5&lt;=$G92),3,"")</f>
        <v/>
      </c>
      <c r="AG92" s="34">
        <f>IF(AND(AG$5&gt;=$F92,AG$5&lt;=$G92),3,"")</f>
        <v/>
      </c>
      <c r="AH92" s="34">
        <f>IF(AND(AH$5&gt;=$F92,AH$5&lt;=$G92),3,"")</f>
        <v/>
      </c>
      <c r="AI92" s="34">
        <f>IF(AND(AI$5&gt;=$F92,AI$5&lt;=$G92),3,"")</f>
        <v/>
      </c>
      <c r="AJ92" s="34">
        <f>IF(AND(AJ$5&gt;=$F92,AJ$5&lt;=$G92),3,"")</f>
        <v/>
      </c>
      <c r="AK92" s="34">
        <f>IF(AND(AK$5&gt;=$F92,AK$5&lt;=$G92),3,"")</f>
        <v/>
      </c>
      <c r="AL92" s="34">
        <f>IF(AND(AL$5&gt;=$F92,AL$5&lt;=$G92),3,"")</f>
        <v/>
      </c>
      <c r="AM92" s="34">
        <f>IF(AND(AM$5&gt;=$F92,AM$5&lt;=$G92),3,"")</f>
        <v/>
      </c>
      <c r="AN92" s="34">
        <f>IF(AND(AN$5&gt;=$F92,AN$5&lt;=$G92),3,"")</f>
        <v/>
      </c>
      <c r="AO92" s="34">
        <f>IF(AND(AO$5&gt;=$F92,AO$5&lt;=$G92),3,"")</f>
        <v/>
      </c>
      <c r="AP92" s="34">
        <f>IF(AND(AP$5&gt;=$F92,AP$5&lt;=$G92),3,"")</f>
        <v/>
      </c>
      <c r="AQ92" s="34">
        <f>IF(AND(AQ$5&gt;=$F92,AQ$5&lt;=$G92),3,"")</f>
        <v/>
      </c>
      <c r="AR92" s="34">
        <f>IF(AND(AR$5&gt;=$F92,AR$5&lt;=$G92),3,"")</f>
        <v/>
      </c>
      <c r="AS92" s="34">
        <f>IF(AND(AS$5&gt;=$F92,AS$5&lt;=$G92),3,"")</f>
        <v/>
      </c>
      <c r="AT92" s="34">
        <f>IF(AND(AT$5&gt;=$F92,AT$5&lt;=$G92),3,"")</f>
        <v/>
      </c>
      <c r="AU92" s="34">
        <f>IF(AND(AU$5&gt;=$F92,AU$5&lt;=$G92),3,"")</f>
        <v/>
      </c>
      <c r="AV92" s="34">
        <f>IF(AND(AV$5&gt;=$F92,AV$5&lt;=$G92),3,"")</f>
        <v/>
      </c>
      <c r="AW92" s="34">
        <f>IF(AND(AW$5&gt;=$F92,AW$5&lt;=$G92),3,"")</f>
        <v/>
      </c>
      <c r="AX92" s="34">
        <f>IF(AND(AX$5&gt;=$F92,AX$5&lt;=$G92),3,"")</f>
        <v/>
      </c>
      <c r="AY92" s="34">
        <f>IF(AND(AY$5&gt;=$F92,AY$5&lt;=$G92),3,"")</f>
        <v/>
      </c>
      <c r="AZ92" s="34">
        <f>IF(AND(AZ$5&gt;=$F92,AZ$5&lt;=$G92),3,"")</f>
        <v/>
      </c>
      <c r="BA92" s="34">
        <f>IF(AND(BA$5&gt;=$F92,BA$5&lt;=$G92),3,"")</f>
        <v/>
      </c>
      <c r="BB92" s="34">
        <f>IF(AND(BB$5&gt;=$F92,BB$5&lt;=$G92),3,"")</f>
        <v/>
      </c>
      <c r="BC92" s="34">
        <f>IF(AND(BC$5&gt;=$F92,BC$5&lt;=$G92),3,"")</f>
        <v/>
      </c>
      <c r="BD92" s="34">
        <f>IF(AND(BD$5&gt;=$F92,BD$5&lt;=$G92),3,"")</f>
        <v/>
      </c>
      <c r="BE92" s="34">
        <f>IF(AND(BE$5&gt;=$F92,BE$5&lt;=$G92),3,"")</f>
        <v/>
      </c>
      <c r="BF92" s="34">
        <f>IF(AND(BF$5&gt;=$F92,BF$5&lt;=$G92),3,"")</f>
        <v/>
      </c>
      <c r="BG92" s="34">
        <f>IF(AND(BG$5&gt;=$F92,BG$5&lt;=$G92),3,"")</f>
        <v/>
      </c>
      <c r="BH92" s="34">
        <f>IF(AND(BH$5&gt;=$F92,BH$5&lt;=$G92),3,"")</f>
        <v/>
      </c>
      <c r="BI92" s="34">
        <f>IF(AND(BI$5&gt;=$F92,BI$5&lt;=$G92),3,"")</f>
        <v/>
      </c>
      <c r="BJ92" s="34">
        <f>IF(AND(BJ$5&gt;=$F92,BJ$5&lt;=$G92),3,"")</f>
        <v/>
      </c>
      <c r="BK92" s="34">
        <f>IF(AND(BK$5&gt;=$F92,BK$5&lt;=$G92),3,"")</f>
        <v/>
      </c>
      <c r="BL92" s="34">
        <f>IF(AND(BL$5&gt;=$F92,BL$5&lt;=$G92),3,"")</f>
        <v/>
      </c>
      <c r="BM92" s="34">
        <f>IF(AND(BM$5&gt;=$F92,BM$5&lt;=$G92),3,"")</f>
        <v/>
      </c>
      <c r="BN92" s="34">
        <f>IF(AND(BN$5&gt;=$F92,BN$5&lt;=$G92),3,"")</f>
        <v/>
      </c>
    </row>
    <row r="93" ht="14.25" customHeight="1" s="36">
      <c r="A93" s="13" t="inlineStr">
        <is>
          <t>3 Construcción</t>
        </is>
      </c>
      <c r="B93" s="13" t="inlineStr">
        <is>
          <t>3.5.4</t>
        </is>
      </c>
      <c r="C93" s="13" t="inlineStr">
        <is>
          <t>Costo de servir por cliente y por entrega (M10 Analítica)</t>
        </is>
      </c>
      <c r="D93" s="13" t="inlineStr">
        <is>
          <t>D</t>
        </is>
      </c>
      <c r="E93" s="13" t="inlineStr">
        <is>
          <t>Datos</t>
        </is>
      </c>
      <c r="F93" s="13" t="n">
        <v>15</v>
      </c>
      <c r="G93" s="13" t="n">
        <v>15</v>
      </c>
      <c r="H93" s="13">
        <f>G93-F93+1</f>
        <v/>
      </c>
      <c r="I93" s="31" t="n">
        <v>960</v>
      </c>
      <c r="J93" s="13" t="inlineStr">
        <is>
          <t>Con entregable (detalle por planificación gradual)</t>
        </is>
      </c>
      <c r="K93" s="34">
        <f>IF(AND(K$5&gt;=$F93,K$5&lt;=$G93),3,"")</f>
        <v/>
      </c>
      <c r="L93" s="34">
        <f>IF(AND(L$5&gt;=$F93,L$5&lt;=$G93),3,"")</f>
        <v/>
      </c>
      <c r="M93" s="34">
        <f>IF(AND(M$5&gt;=$F93,M$5&lt;=$G93),3,"")</f>
        <v/>
      </c>
      <c r="N93" s="34">
        <f>IF(AND(N$5&gt;=$F93,N$5&lt;=$G93),3,"")</f>
        <v/>
      </c>
      <c r="O93" s="34">
        <f>IF(AND(O$5&gt;=$F93,O$5&lt;=$G93),3,"")</f>
        <v/>
      </c>
      <c r="P93" s="34">
        <f>IF(AND(P$5&gt;=$F93,P$5&lt;=$G93),3,"")</f>
        <v/>
      </c>
      <c r="Q93" s="34">
        <f>IF(AND(Q$5&gt;=$F93,Q$5&lt;=$G93),3,"")</f>
        <v/>
      </c>
      <c r="R93" s="34">
        <f>IF(AND(R$5&gt;=$F93,R$5&lt;=$G93),3,"")</f>
        <v/>
      </c>
      <c r="S93" s="34">
        <f>IF(AND(S$5&gt;=$F93,S$5&lt;=$G93),3,"")</f>
        <v/>
      </c>
      <c r="T93" s="34">
        <f>IF(AND(T$5&gt;=$F93,T$5&lt;=$G93),3,"")</f>
        <v/>
      </c>
      <c r="U93" s="34">
        <f>IF(AND(U$5&gt;=$F93,U$5&lt;=$G93),3,"")</f>
        <v/>
      </c>
      <c r="V93" s="34">
        <f>IF(AND(V$5&gt;=$F93,V$5&lt;=$G93),3,"")</f>
        <v/>
      </c>
      <c r="W93" s="34">
        <f>IF(AND(W$5&gt;=$F93,W$5&lt;=$G93),3,"")</f>
        <v/>
      </c>
      <c r="X93" s="34">
        <f>IF(AND(X$5&gt;=$F93,X$5&lt;=$G93),3,"")</f>
        <v/>
      </c>
      <c r="Y93" s="34">
        <f>IF(AND(Y$5&gt;=$F93,Y$5&lt;=$G93),3,"")</f>
        <v/>
      </c>
      <c r="Z93" s="34">
        <f>IF(AND(Z$5&gt;=$F93,Z$5&lt;=$G93),3,"")</f>
        <v/>
      </c>
      <c r="AA93" s="34">
        <f>IF(AND(AA$5&gt;=$F93,AA$5&lt;=$G93),3,"")</f>
        <v/>
      </c>
      <c r="AB93" s="34">
        <f>IF(AND(AB$5&gt;=$F93,AB$5&lt;=$G93),3,"")</f>
        <v/>
      </c>
      <c r="AC93" s="34">
        <f>IF(AND(AC$5&gt;=$F93,AC$5&lt;=$G93),3,"")</f>
        <v/>
      </c>
      <c r="AD93" s="34">
        <f>IF(AND(AD$5&gt;=$F93,AD$5&lt;=$G93),3,"")</f>
        <v/>
      </c>
      <c r="AE93" s="34">
        <f>IF(AND(AE$5&gt;=$F93,AE$5&lt;=$G93),3,"")</f>
        <v/>
      </c>
      <c r="AF93" s="34">
        <f>IF(AND(AF$5&gt;=$F93,AF$5&lt;=$G93),3,"")</f>
        <v/>
      </c>
      <c r="AG93" s="34">
        <f>IF(AND(AG$5&gt;=$F93,AG$5&lt;=$G93),3,"")</f>
        <v/>
      </c>
      <c r="AH93" s="34">
        <f>IF(AND(AH$5&gt;=$F93,AH$5&lt;=$G93),3,"")</f>
        <v/>
      </c>
      <c r="AI93" s="34">
        <f>IF(AND(AI$5&gt;=$F93,AI$5&lt;=$G93),3,"")</f>
        <v/>
      </c>
      <c r="AJ93" s="34">
        <f>IF(AND(AJ$5&gt;=$F93,AJ$5&lt;=$G93),3,"")</f>
        <v/>
      </c>
      <c r="AK93" s="34">
        <f>IF(AND(AK$5&gt;=$F93,AK$5&lt;=$G93),3,"")</f>
        <v/>
      </c>
      <c r="AL93" s="34">
        <f>IF(AND(AL$5&gt;=$F93,AL$5&lt;=$G93),3,"")</f>
        <v/>
      </c>
      <c r="AM93" s="34">
        <f>IF(AND(AM$5&gt;=$F93,AM$5&lt;=$G93),3,"")</f>
        <v/>
      </c>
      <c r="AN93" s="34">
        <f>IF(AND(AN$5&gt;=$F93,AN$5&lt;=$G93),3,"")</f>
        <v/>
      </c>
      <c r="AO93" s="34">
        <f>IF(AND(AO$5&gt;=$F93,AO$5&lt;=$G93),3,"")</f>
        <v/>
      </c>
      <c r="AP93" s="34">
        <f>IF(AND(AP$5&gt;=$F93,AP$5&lt;=$G93),3,"")</f>
        <v/>
      </c>
      <c r="AQ93" s="34">
        <f>IF(AND(AQ$5&gt;=$F93,AQ$5&lt;=$G93),3,"")</f>
        <v/>
      </c>
      <c r="AR93" s="34">
        <f>IF(AND(AR$5&gt;=$F93,AR$5&lt;=$G93),3,"")</f>
        <v/>
      </c>
      <c r="AS93" s="34">
        <f>IF(AND(AS$5&gt;=$F93,AS$5&lt;=$G93),3,"")</f>
        <v/>
      </c>
      <c r="AT93" s="34">
        <f>IF(AND(AT$5&gt;=$F93,AT$5&lt;=$G93),3,"")</f>
        <v/>
      </c>
      <c r="AU93" s="34">
        <f>IF(AND(AU$5&gt;=$F93,AU$5&lt;=$G93),3,"")</f>
        <v/>
      </c>
      <c r="AV93" s="34">
        <f>IF(AND(AV$5&gt;=$F93,AV$5&lt;=$G93),3,"")</f>
        <v/>
      </c>
      <c r="AW93" s="34">
        <f>IF(AND(AW$5&gt;=$F93,AW$5&lt;=$G93),3,"")</f>
        <v/>
      </c>
      <c r="AX93" s="34">
        <f>IF(AND(AX$5&gt;=$F93,AX$5&lt;=$G93),3,"")</f>
        <v/>
      </c>
      <c r="AY93" s="34">
        <f>IF(AND(AY$5&gt;=$F93,AY$5&lt;=$G93),3,"")</f>
        <v/>
      </c>
      <c r="AZ93" s="34">
        <f>IF(AND(AZ$5&gt;=$F93,AZ$5&lt;=$G93),3,"")</f>
        <v/>
      </c>
      <c r="BA93" s="34">
        <f>IF(AND(BA$5&gt;=$F93,BA$5&lt;=$G93),3,"")</f>
        <v/>
      </c>
      <c r="BB93" s="34">
        <f>IF(AND(BB$5&gt;=$F93,BB$5&lt;=$G93),3,"")</f>
        <v/>
      </c>
      <c r="BC93" s="34">
        <f>IF(AND(BC$5&gt;=$F93,BC$5&lt;=$G93),3,"")</f>
        <v/>
      </c>
      <c r="BD93" s="34">
        <f>IF(AND(BD$5&gt;=$F93,BD$5&lt;=$G93),3,"")</f>
        <v/>
      </c>
      <c r="BE93" s="34">
        <f>IF(AND(BE$5&gt;=$F93,BE$5&lt;=$G93),3,"")</f>
        <v/>
      </c>
      <c r="BF93" s="34">
        <f>IF(AND(BF$5&gt;=$F93,BF$5&lt;=$G93),3,"")</f>
        <v/>
      </c>
      <c r="BG93" s="34">
        <f>IF(AND(BG$5&gt;=$F93,BG$5&lt;=$G93),3,"")</f>
        <v/>
      </c>
      <c r="BH93" s="34">
        <f>IF(AND(BH$5&gt;=$F93,BH$5&lt;=$G93),3,"")</f>
        <v/>
      </c>
      <c r="BI93" s="34">
        <f>IF(AND(BI$5&gt;=$F93,BI$5&lt;=$G93),3,"")</f>
        <v/>
      </c>
      <c r="BJ93" s="34">
        <f>IF(AND(BJ$5&gt;=$F93,BJ$5&lt;=$G93),3,"")</f>
        <v/>
      </c>
      <c r="BK93" s="34">
        <f>IF(AND(BK$5&gt;=$F93,BK$5&lt;=$G93),3,"")</f>
        <v/>
      </c>
      <c r="BL93" s="34">
        <f>IF(AND(BL$5&gt;=$F93,BL$5&lt;=$G93),3,"")</f>
        <v/>
      </c>
      <c r="BM93" s="34">
        <f>IF(AND(BM$5&gt;=$F93,BM$5&lt;=$G93),3,"")</f>
        <v/>
      </c>
      <c r="BN93" s="34">
        <f>IF(AND(BN$5&gt;=$F93,BN$5&lt;=$G93),3,"")</f>
        <v/>
      </c>
    </row>
    <row r="94" ht="14.25" customHeight="1" s="36">
      <c r="A94" s="13" t="inlineStr">
        <is>
          <t>3 Construcción</t>
        </is>
      </c>
      <c r="B94" s="13" t="inlineStr">
        <is>
          <t>3.6.1</t>
        </is>
      </c>
      <c r="C94" s="13" t="inlineStr">
        <is>
          <t>Intercambio de lote y trazabilidad con los proveedores</t>
        </is>
      </c>
      <c r="D94" s="13" t="inlineStr">
        <is>
          <t>I</t>
        </is>
      </c>
      <c r="E94" s="13" t="inlineStr">
        <is>
          <t>Datos</t>
        </is>
      </c>
      <c r="F94" s="13" t="n">
        <v>7</v>
      </c>
      <c r="G94" s="13" t="n">
        <v>8</v>
      </c>
      <c r="H94" s="13">
        <f>G94-F94+1</f>
        <v/>
      </c>
      <c r="I94" s="31" t="n">
        <v>480</v>
      </c>
      <c r="J94" s="13" t="inlineStr">
        <is>
          <t>Con entregable (detalle por planificación gradual)</t>
        </is>
      </c>
      <c r="K94" s="34">
        <f>IF(AND(K$5&gt;=$F94,K$5&lt;=$G94),3,"")</f>
        <v/>
      </c>
      <c r="L94" s="34">
        <f>IF(AND(L$5&gt;=$F94,L$5&lt;=$G94),3,"")</f>
        <v/>
      </c>
      <c r="M94" s="34">
        <f>IF(AND(M$5&gt;=$F94,M$5&lt;=$G94),3,"")</f>
        <v/>
      </c>
      <c r="N94" s="34">
        <f>IF(AND(N$5&gt;=$F94,N$5&lt;=$G94),3,"")</f>
        <v/>
      </c>
      <c r="O94" s="34">
        <f>IF(AND(O$5&gt;=$F94,O$5&lt;=$G94),3,"")</f>
        <v/>
      </c>
      <c r="P94" s="34">
        <f>IF(AND(P$5&gt;=$F94,P$5&lt;=$G94),3,"")</f>
        <v/>
      </c>
      <c r="Q94" s="34">
        <f>IF(AND(Q$5&gt;=$F94,Q$5&lt;=$G94),3,"")</f>
        <v/>
      </c>
      <c r="R94" s="34">
        <f>IF(AND(R$5&gt;=$F94,R$5&lt;=$G94),3,"")</f>
        <v/>
      </c>
      <c r="S94" s="34">
        <f>IF(AND(S$5&gt;=$F94,S$5&lt;=$G94),3,"")</f>
        <v/>
      </c>
      <c r="T94" s="34">
        <f>IF(AND(T$5&gt;=$F94,T$5&lt;=$G94),3,"")</f>
        <v/>
      </c>
      <c r="U94" s="34">
        <f>IF(AND(U$5&gt;=$F94,U$5&lt;=$G94),3,"")</f>
        <v/>
      </c>
      <c r="V94" s="34">
        <f>IF(AND(V$5&gt;=$F94,V$5&lt;=$G94),3,"")</f>
        <v/>
      </c>
      <c r="W94" s="34">
        <f>IF(AND(W$5&gt;=$F94,W$5&lt;=$G94),3,"")</f>
        <v/>
      </c>
      <c r="X94" s="34">
        <f>IF(AND(X$5&gt;=$F94,X$5&lt;=$G94),3,"")</f>
        <v/>
      </c>
      <c r="Y94" s="34">
        <f>IF(AND(Y$5&gt;=$F94,Y$5&lt;=$G94),3,"")</f>
        <v/>
      </c>
      <c r="Z94" s="34">
        <f>IF(AND(Z$5&gt;=$F94,Z$5&lt;=$G94),3,"")</f>
        <v/>
      </c>
      <c r="AA94" s="34">
        <f>IF(AND(AA$5&gt;=$F94,AA$5&lt;=$G94),3,"")</f>
        <v/>
      </c>
      <c r="AB94" s="34">
        <f>IF(AND(AB$5&gt;=$F94,AB$5&lt;=$G94),3,"")</f>
        <v/>
      </c>
      <c r="AC94" s="34">
        <f>IF(AND(AC$5&gt;=$F94,AC$5&lt;=$G94),3,"")</f>
        <v/>
      </c>
      <c r="AD94" s="34">
        <f>IF(AND(AD$5&gt;=$F94,AD$5&lt;=$G94),3,"")</f>
        <v/>
      </c>
      <c r="AE94" s="34">
        <f>IF(AND(AE$5&gt;=$F94,AE$5&lt;=$G94),3,"")</f>
        <v/>
      </c>
      <c r="AF94" s="34">
        <f>IF(AND(AF$5&gt;=$F94,AF$5&lt;=$G94),3,"")</f>
        <v/>
      </c>
      <c r="AG94" s="34">
        <f>IF(AND(AG$5&gt;=$F94,AG$5&lt;=$G94),3,"")</f>
        <v/>
      </c>
      <c r="AH94" s="34">
        <f>IF(AND(AH$5&gt;=$F94,AH$5&lt;=$G94),3,"")</f>
        <v/>
      </c>
      <c r="AI94" s="34">
        <f>IF(AND(AI$5&gt;=$F94,AI$5&lt;=$G94),3,"")</f>
        <v/>
      </c>
      <c r="AJ94" s="34">
        <f>IF(AND(AJ$5&gt;=$F94,AJ$5&lt;=$G94),3,"")</f>
        <v/>
      </c>
      <c r="AK94" s="34">
        <f>IF(AND(AK$5&gt;=$F94,AK$5&lt;=$G94),3,"")</f>
        <v/>
      </c>
      <c r="AL94" s="34">
        <f>IF(AND(AL$5&gt;=$F94,AL$5&lt;=$G94),3,"")</f>
        <v/>
      </c>
      <c r="AM94" s="34">
        <f>IF(AND(AM$5&gt;=$F94,AM$5&lt;=$G94),3,"")</f>
        <v/>
      </c>
      <c r="AN94" s="34">
        <f>IF(AND(AN$5&gt;=$F94,AN$5&lt;=$G94),3,"")</f>
        <v/>
      </c>
      <c r="AO94" s="34">
        <f>IF(AND(AO$5&gt;=$F94,AO$5&lt;=$G94),3,"")</f>
        <v/>
      </c>
      <c r="AP94" s="34">
        <f>IF(AND(AP$5&gt;=$F94,AP$5&lt;=$G94),3,"")</f>
        <v/>
      </c>
      <c r="AQ94" s="34">
        <f>IF(AND(AQ$5&gt;=$F94,AQ$5&lt;=$G94),3,"")</f>
        <v/>
      </c>
      <c r="AR94" s="34">
        <f>IF(AND(AR$5&gt;=$F94,AR$5&lt;=$G94),3,"")</f>
        <v/>
      </c>
      <c r="AS94" s="34">
        <f>IF(AND(AS$5&gt;=$F94,AS$5&lt;=$G94),3,"")</f>
        <v/>
      </c>
      <c r="AT94" s="34">
        <f>IF(AND(AT$5&gt;=$F94,AT$5&lt;=$G94),3,"")</f>
        <v/>
      </c>
      <c r="AU94" s="34">
        <f>IF(AND(AU$5&gt;=$F94,AU$5&lt;=$G94),3,"")</f>
        <v/>
      </c>
      <c r="AV94" s="34">
        <f>IF(AND(AV$5&gt;=$F94,AV$5&lt;=$G94),3,"")</f>
        <v/>
      </c>
      <c r="AW94" s="34">
        <f>IF(AND(AW$5&gt;=$F94,AW$5&lt;=$G94),3,"")</f>
        <v/>
      </c>
      <c r="AX94" s="34">
        <f>IF(AND(AX$5&gt;=$F94,AX$5&lt;=$G94),3,"")</f>
        <v/>
      </c>
      <c r="AY94" s="34">
        <f>IF(AND(AY$5&gt;=$F94,AY$5&lt;=$G94),3,"")</f>
        <v/>
      </c>
      <c r="AZ94" s="34">
        <f>IF(AND(AZ$5&gt;=$F94,AZ$5&lt;=$G94),3,"")</f>
        <v/>
      </c>
      <c r="BA94" s="34">
        <f>IF(AND(BA$5&gt;=$F94,BA$5&lt;=$G94),3,"")</f>
        <v/>
      </c>
      <c r="BB94" s="34">
        <f>IF(AND(BB$5&gt;=$F94,BB$5&lt;=$G94),3,"")</f>
        <v/>
      </c>
      <c r="BC94" s="34">
        <f>IF(AND(BC$5&gt;=$F94,BC$5&lt;=$G94),3,"")</f>
        <v/>
      </c>
      <c r="BD94" s="34">
        <f>IF(AND(BD$5&gt;=$F94,BD$5&lt;=$G94),3,"")</f>
        <v/>
      </c>
      <c r="BE94" s="34">
        <f>IF(AND(BE$5&gt;=$F94,BE$5&lt;=$G94),3,"")</f>
        <v/>
      </c>
      <c r="BF94" s="34">
        <f>IF(AND(BF$5&gt;=$F94,BF$5&lt;=$G94),3,"")</f>
        <v/>
      </c>
      <c r="BG94" s="34">
        <f>IF(AND(BG$5&gt;=$F94,BG$5&lt;=$G94),3,"")</f>
        <v/>
      </c>
      <c r="BH94" s="34">
        <f>IF(AND(BH$5&gt;=$F94,BH$5&lt;=$G94),3,"")</f>
        <v/>
      </c>
      <c r="BI94" s="34">
        <f>IF(AND(BI$5&gt;=$F94,BI$5&lt;=$G94),3,"")</f>
        <v/>
      </c>
      <c r="BJ94" s="34">
        <f>IF(AND(BJ$5&gt;=$F94,BJ$5&lt;=$G94),3,"")</f>
        <v/>
      </c>
      <c r="BK94" s="34">
        <f>IF(AND(BK$5&gt;=$F94,BK$5&lt;=$G94),3,"")</f>
        <v/>
      </c>
      <c r="BL94" s="34">
        <f>IF(AND(BL$5&gt;=$F94,BL$5&lt;=$G94),3,"")</f>
        <v/>
      </c>
      <c r="BM94" s="34">
        <f>IF(AND(BM$5&gt;=$F94,BM$5&lt;=$G94),3,"")</f>
        <v/>
      </c>
      <c r="BN94" s="34">
        <f>IF(AND(BN$5&gt;=$F94,BN$5&lt;=$G94),3,"")</f>
        <v/>
      </c>
    </row>
    <row r="95" ht="14.25" customHeight="1" s="36">
      <c r="A95" s="13" t="inlineStr">
        <is>
          <t>3 Construcción</t>
        </is>
      </c>
      <c r="B95" s="13" t="inlineStr">
        <is>
          <t>3.6.2</t>
        </is>
      </c>
      <c r="C95" s="13" t="inlineStr">
        <is>
          <t>Integración con la pasarela de pago para el cobro con tarjeta (INT-09)</t>
        </is>
      </c>
      <c r="D95" s="13" t="inlineStr">
        <is>
          <t>I</t>
        </is>
      </c>
      <c r="E95" s="13" t="inlineStr">
        <is>
          <t>Desarrollo</t>
        </is>
      </c>
      <c r="F95" s="13" t="n">
        <v>6</v>
      </c>
      <c r="G95" s="13" t="n">
        <v>7</v>
      </c>
      <c r="H95" s="13">
        <f>G95-F95+1</f>
        <v/>
      </c>
      <c r="I95" s="31" t="n">
        <v>480</v>
      </c>
      <c r="J95" s="13" t="inlineStr">
        <is>
          <t>Con entregable (detalle por planificación gradual)</t>
        </is>
      </c>
      <c r="K95" s="34">
        <f>IF(AND(K$5&gt;=$F95,K$5&lt;=$G95),3,"")</f>
        <v/>
      </c>
      <c r="L95" s="34">
        <f>IF(AND(L$5&gt;=$F95,L$5&lt;=$G95),3,"")</f>
        <v/>
      </c>
      <c r="M95" s="34">
        <f>IF(AND(M$5&gt;=$F95,M$5&lt;=$G95),3,"")</f>
        <v/>
      </c>
      <c r="N95" s="34">
        <f>IF(AND(N$5&gt;=$F95,N$5&lt;=$G95),3,"")</f>
        <v/>
      </c>
      <c r="O95" s="34">
        <f>IF(AND(O$5&gt;=$F95,O$5&lt;=$G95),3,"")</f>
        <v/>
      </c>
      <c r="P95" s="34">
        <f>IF(AND(P$5&gt;=$F95,P$5&lt;=$G95),3,"")</f>
        <v/>
      </c>
      <c r="Q95" s="34">
        <f>IF(AND(Q$5&gt;=$F95,Q$5&lt;=$G95),3,"")</f>
        <v/>
      </c>
      <c r="R95" s="34">
        <f>IF(AND(R$5&gt;=$F95,R$5&lt;=$G95),3,"")</f>
        <v/>
      </c>
      <c r="S95" s="34">
        <f>IF(AND(S$5&gt;=$F95,S$5&lt;=$G95),3,"")</f>
        <v/>
      </c>
      <c r="T95" s="34">
        <f>IF(AND(T$5&gt;=$F95,T$5&lt;=$G95),3,"")</f>
        <v/>
      </c>
      <c r="U95" s="34">
        <f>IF(AND(U$5&gt;=$F95,U$5&lt;=$G95),3,"")</f>
        <v/>
      </c>
      <c r="V95" s="34">
        <f>IF(AND(V$5&gt;=$F95,V$5&lt;=$G95),3,"")</f>
        <v/>
      </c>
      <c r="W95" s="34">
        <f>IF(AND(W$5&gt;=$F95,W$5&lt;=$G95),3,"")</f>
        <v/>
      </c>
      <c r="X95" s="34">
        <f>IF(AND(X$5&gt;=$F95,X$5&lt;=$G95),3,"")</f>
        <v/>
      </c>
      <c r="Y95" s="34">
        <f>IF(AND(Y$5&gt;=$F95,Y$5&lt;=$G95),3,"")</f>
        <v/>
      </c>
      <c r="Z95" s="34">
        <f>IF(AND(Z$5&gt;=$F95,Z$5&lt;=$G95),3,"")</f>
        <v/>
      </c>
      <c r="AA95" s="34">
        <f>IF(AND(AA$5&gt;=$F95,AA$5&lt;=$G95),3,"")</f>
        <v/>
      </c>
      <c r="AB95" s="34">
        <f>IF(AND(AB$5&gt;=$F95,AB$5&lt;=$G95),3,"")</f>
        <v/>
      </c>
      <c r="AC95" s="34">
        <f>IF(AND(AC$5&gt;=$F95,AC$5&lt;=$G95),3,"")</f>
        <v/>
      </c>
      <c r="AD95" s="34">
        <f>IF(AND(AD$5&gt;=$F95,AD$5&lt;=$G95),3,"")</f>
        <v/>
      </c>
      <c r="AE95" s="34">
        <f>IF(AND(AE$5&gt;=$F95,AE$5&lt;=$G95),3,"")</f>
        <v/>
      </c>
      <c r="AF95" s="34">
        <f>IF(AND(AF$5&gt;=$F95,AF$5&lt;=$G95),3,"")</f>
        <v/>
      </c>
      <c r="AG95" s="34">
        <f>IF(AND(AG$5&gt;=$F95,AG$5&lt;=$G95),3,"")</f>
        <v/>
      </c>
      <c r="AH95" s="34">
        <f>IF(AND(AH$5&gt;=$F95,AH$5&lt;=$G95),3,"")</f>
        <v/>
      </c>
      <c r="AI95" s="34">
        <f>IF(AND(AI$5&gt;=$F95,AI$5&lt;=$G95),3,"")</f>
        <v/>
      </c>
      <c r="AJ95" s="34">
        <f>IF(AND(AJ$5&gt;=$F95,AJ$5&lt;=$G95),3,"")</f>
        <v/>
      </c>
      <c r="AK95" s="34">
        <f>IF(AND(AK$5&gt;=$F95,AK$5&lt;=$G95),3,"")</f>
        <v/>
      </c>
      <c r="AL95" s="34">
        <f>IF(AND(AL$5&gt;=$F95,AL$5&lt;=$G95),3,"")</f>
        <v/>
      </c>
      <c r="AM95" s="34">
        <f>IF(AND(AM$5&gt;=$F95,AM$5&lt;=$G95),3,"")</f>
        <v/>
      </c>
      <c r="AN95" s="34">
        <f>IF(AND(AN$5&gt;=$F95,AN$5&lt;=$G95),3,"")</f>
        <v/>
      </c>
      <c r="AO95" s="34">
        <f>IF(AND(AO$5&gt;=$F95,AO$5&lt;=$G95),3,"")</f>
        <v/>
      </c>
      <c r="AP95" s="34">
        <f>IF(AND(AP$5&gt;=$F95,AP$5&lt;=$G95),3,"")</f>
        <v/>
      </c>
      <c r="AQ95" s="34">
        <f>IF(AND(AQ$5&gt;=$F95,AQ$5&lt;=$G95),3,"")</f>
        <v/>
      </c>
      <c r="AR95" s="34">
        <f>IF(AND(AR$5&gt;=$F95,AR$5&lt;=$G95),3,"")</f>
        <v/>
      </c>
      <c r="AS95" s="34">
        <f>IF(AND(AS$5&gt;=$F95,AS$5&lt;=$G95),3,"")</f>
        <v/>
      </c>
      <c r="AT95" s="34">
        <f>IF(AND(AT$5&gt;=$F95,AT$5&lt;=$G95),3,"")</f>
        <v/>
      </c>
      <c r="AU95" s="34">
        <f>IF(AND(AU$5&gt;=$F95,AU$5&lt;=$G95),3,"")</f>
        <v/>
      </c>
      <c r="AV95" s="34">
        <f>IF(AND(AV$5&gt;=$F95,AV$5&lt;=$G95),3,"")</f>
        <v/>
      </c>
      <c r="AW95" s="34">
        <f>IF(AND(AW$5&gt;=$F95,AW$5&lt;=$G95),3,"")</f>
        <v/>
      </c>
      <c r="AX95" s="34">
        <f>IF(AND(AX$5&gt;=$F95,AX$5&lt;=$G95),3,"")</f>
        <v/>
      </c>
      <c r="AY95" s="34">
        <f>IF(AND(AY$5&gt;=$F95,AY$5&lt;=$G95),3,"")</f>
        <v/>
      </c>
      <c r="AZ95" s="34">
        <f>IF(AND(AZ$5&gt;=$F95,AZ$5&lt;=$G95),3,"")</f>
        <v/>
      </c>
      <c r="BA95" s="34">
        <f>IF(AND(BA$5&gt;=$F95,BA$5&lt;=$G95),3,"")</f>
        <v/>
      </c>
      <c r="BB95" s="34">
        <f>IF(AND(BB$5&gt;=$F95,BB$5&lt;=$G95),3,"")</f>
        <v/>
      </c>
      <c r="BC95" s="34">
        <f>IF(AND(BC$5&gt;=$F95,BC$5&lt;=$G95),3,"")</f>
        <v/>
      </c>
      <c r="BD95" s="34">
        <f>IF(AND(BD$5&gt;=$F95,BD$5&lt;=$G95),3,"")</f>
        <v/>
      </c>
      <c r="BE95" s="34">
        <f>IF(AND(BE$5&gt;=$F95,BE$5&lt;=$G95),3,"")</f>
        <v/>
      </c>
      <c r="BF95" s="34">
        <f>IF(AND(BF$5&gt;=$F95,BF$5&lt;=$G95),3,"")</f>
        <v/>
      </c>
      <c r="BG95" s="34">
        <f>IF(AND(BG$5&gt;=$F95,BG$5&lt;=$G95),3,"")</f>
        <v/>
      </c>
      <c r="BH95" s="34">
        <f>IF(AND(BH$5&gt;=$F95,BH$5&lt;=$G95),3,"")</f>
        <v/>
      </c>
      <c r="BI95" s="34">
        <f>IF(AND(BI$5&gt;=$F95,BI$5&lt;=$G95),3,"")</f>
        <v/>
      </c>
      <c r="BJ95" s="34">
        <f>IF(AND(BJ$5&gt;=$F95,BJ$5&lt;=$G95),3,"")</f>
        <v/>
      </c>
      <c r="BK95" s="34">
        <f>IF(AND(BK$5&gt;=$F95,BK$5&lt;=$G95),3,"")</f>
        <v/>
      </c>
      <c r="BL95" s="34">
        <f>IF(AND(BL$5&gt;=$F95,BL$5&lt;=$G95),3,"")</f>
        <v/>
      </c>
      <c r="BM95" s="34">
        <f>IF(AND(BM$5&gt;=$F95,BM$5&lt;=$G95),3,"")</f>
        <v/>
      </c>
      <c r="BN95" s="34">
        <f>IF(AND(BN$5&gt;=$F95,BN$5&lt;=$G95),3,"")</f>
        <v/>
      </c>
    </row>
    <row r="96" ht="14.25" customHeight="1" s="36">
      <c r="A96" s="13" t="inlineStr">
        <is>
          <t>3 Construcción</t>
        </is>
      </c>
      <c r="B96" s="13" t="inlineStr">
        <is>
          <t>3.6.3</t>
        </is>
      </c>
      <c r="C96" s="13" t="inlineStr">
        <is>
          <t>Integración con el servicio de mapas y geocodificación (INT-10)</t>
        </is>
      </c>
      <c r="D96" s="13" t="inlineStr">
        <is>
          <t>I</t>
        </is>
      </c>
      <c r="E96" s="13" t="inlineStr">
        <is>
          <t>Desarrollo</t>
        </is>
      </c>
      <c r="F96" s="13" t="n">
        <v>6</v>
      </c>
      <c r="G96" s="13" t="n">
        <v>7</v>
      </c>
      <c r="H96" s="13">
        <f>G96-F96+1</f>
        <v/>
      </c>
      <c r="I96" s="31" t="n">
        <v>480</v>
      </c>
      <c r="J96" s="13" t="inlineStr">
        <is>
          <t>Con entregable (detalle por planificación gradual)</t>
        </is>
      </c>
      <c r="K96" s="34">
        <f>IF(AND(K$5&gt;=$F96,K$5&lt;=$G96),3,"")</f>
        <v/>
      </c>
      <c r="L96" s="34">
        <f>IF(AND(L$5&gt;=$F96,L$5&lt;=$G96),3,"")</f>
        <v/>
      </c>
      <c r="M96" s="34">
        <f>IF(AND(M$5&gt;=$F96,M$5&lt;=$G96),3,"")</f>
        <v/>
      </c>
      <c r="N96" s="34">
        <f>IF(AND(N$5&gt;=$F96,N$5&lt;=$G96),3,"")</f>
        <v/>
      </c>
      <c r="O96" s="34">
        <f>IF(AND(O$5&gt;=$F96,O$5&lt;=$G96),3,"")</f>
        <v/>
      </c>
      <c r="P96" s="34">
        <f>IF(AND(P$5&gt;=$F96,P$5&lt;=$G96),3,"")</f>
        <v/>
      </c>
      <c r="Q96" s="34">
        <f>IF(AND(Q$5&gt;=$F96,Q$5&lt;=$G96),3,"")</f>
        <v/>
      </c>
      <c r="R96" s="34">
        <f>IF(AND(R$5&gt;=$F96,R$5&lt;=$G96),3,"")</f>
        <v/>
      </c>
      <c r="S96" s="34">
        <f>IF(AND(S$5&gt;=$F96,S$5&lt;=$G96),3,"")</f>
        <v/>
      </c>
      <c r="T96" s="34">
        <f>IF(AND(T$5&gt;=$F96,T$5&lt;=$G96),3,"")</f>
        <v/>
      </c>
      <c r="U96" s="34">
        <f>IF(AND(U$5&gt;=$F96,U$5&lt;=$G96),3,"")</f>
        <v/>
      </c>
      <c r="V96" s="34">
        <f>IF(AND(V$5&gt;=$F96,V$5&lt;=$G96),3,"")</f>
        <v/>
      </c>
      <c r="W96" s="34">
        <f>IF(AND(W$5&gt;=$F96,W$5&lt;=$G96),3,"")</f>
        <v/>
      </c>
      <c r="X96" s="34">
        <f>IF(AND(X$5&gt;=$F96,X$5&lt;=$G96),3,"")</f>
        <v/>
      </c>
      <c r="Y96" s="34">
        <f>IF(AND(Y$5&gt;=$F96,Y$5&lt;=$G96),3,"")</f>
        <v/>
      </c>
      <c r="Z96" s="34">
        <f>IF(AND(Z$5&gt;=$F96,Z$5&lt;=$G96),3,"")</f>
        <v/>
      </c>
      <c r="AA96" s="34">
        <f>IF(AND(AA$5&gt;=$F96,AA$5&lt;=$G96),3,"")</f>
        <v/>
      </c>
      <c r="AB96" s="34">
        <f>IF(AND(AB$5&gt;=$F96,AB$5&lt;=$G96),3,"")</f>
        <v/>
      </c>
      <c r="AC96" s="34">
        <f>IF(AND(AC$5&gt;=$F96,AC$5&lt;=$G96),3,"")</f>
        <v/>
      </c>
      <c r="AD96" s="34">
        <f>IF(AND(AD$5&gt;=$F96,AD$5&lt;=$G96),3,"")</f>
        <v/>
      </c>
      <c r="AE96" s="34">
        <f>IF(AND(AE$5&gt;=$F96,AE$5&lt;=$G96),3,"")</f>
        <v/>
      </c>
      <c r="AF96" s="34">
        <f>IF(AND(AF$5&gt;=$F96,AF$5&lt;=$G96),3,"")</f>
        <v/>
      </c>
      <c r="AG96" s="34">
        <f>IF(AND(AG$5&gt;=$F96,AG$5&lt;=$G96),3,"")</f>
        <v/>
      </c>
      <c r="AH96" s="34">
        <f>IF(AND(AH$5&gt;=$F96,AH$5&lt;=$G96),3,"")</f>
        <v/>
      </c>
      <c r="AI96" s="34">
        <f>IF(AND(AI$5&gt;=$F96,AI$5&lt;=$G96),3,"")</f>
        <v/>
      </c>
      <c r="AJ96" s="34">
        <f>IF(AND(AJ$5&gt;=$F96,AJ$5&lt;=$G96),3,"")</f>
        <v/>
      </c>
      <c r="AK96" s="34">
        <f>IF(AND(AK$5&gt;=$F96,AK$5&lt;=$G96),3,"")</f>
        <v/>
      </c>
      <c r="AL96" s="34">
        <f>IF(AND(AL$5&gt;=$F96,AL$5&lt;=$G96),3,"")</f>
        <v/>
      </c>
      <c r="AM96" s="34">
        <f>IF(AND(AM$5&gt;=$F96,AM$5&lt;=$G96),3,"")</f>
        <v/>
      </c>
      <c r="AN96" s="34">
        <f>IF(AND(AN$5&gt;=$F96,AN$5&lt;=$G96),3,"")</f>
        <v/>
      </c>
      <c r="AO96" s="34">
        <f>IF(AND(AO$5&gt;=$F96,AO$5&lt;=$G96),3,"")</f>
        <v/>
      </c>
      <c r="AP96" s="34">
        <f>IF(AND(AP$5&gt;=$F96,AP$5&lt;=$G96),3,"")</f>
        <v/>
      </c>
      <c r="AQ96" s="34">
        <f>IF(AND(AQ$5&gt;=$F96,AQ$5&lt;=$G96),3,"")</f>
        <v/>
      </c>
      <c r="AR96" s="34">
        <f>IF(AND(AR$5&gt;=$F96,AR$5&lt;=$G96),3,"")</f>
        <v/>
      </c>
      <c r="AS96" s="34">
        <f>IF(AND(AS$5&gt;=$F96,AS$5&lt;=$G96),3,"")</f>
        <v/>
      </c>
      <c r="AT96" s="34">
        <f>IF(AND(AT$5&gt;=$F96,AT$5&lt;=$G96),3,"")</f>
        <v/>
      </c>
      <c r="AU96" s="34">
        <f>IF(AND(AU$5&gt;=$F96,AU$5&lt;=$G96),3,"")</f>
        <v/>
      </c>
      <c r="AV96" s="34">
        <f>IF(AND(AV$5&gt;=$F96,AV$5&lt;=$G96),3,"")</f>
        <v/>
      </c>
      <c r="AW96" s="34">
        <f>IF(AND(AW$5&gt;=$F96,AW$5&lt;=$G96),3,"")</f>
        <v/>
      </c>
      <c r="AX96" s="34">
        <f>IF(AND(AX$5&gt;=$F96,AX$5&lt;=$G96),3,"")</f>
        <v/>
      </c>
      <c r="AY96" s="34">
        <f>IF(AND(AY$5&gt;=$F96,AY$5&lt;=$G96),3,"")</f>
        <v/>
      </c>
      <c r="AZ96" s="34">
        <f>IF(AND(AZ$5&gt;=$F96,AZ$5&lt;=$G96),3,"")</f>
        <v/>
      </c>
      <c r="BA96" s="34">
        <f>IF(AND(BA$5&gt;=$F96,BA$5&lt;=$G96),3,"")</f>
        <v/>
      </c>
      <c r="BB96" s="34">
        <f>IF(AND(BB$5&gt;=$F96,BB$5&lt;=$G96),3,"")</f>
        <v/>
      </c>
      <c r="BC96" s="34">
        <f>IF(AND(BC$5&gt;=$F96,BC$5&lt;=$G96),3,"")</f>
        <v/>
      </c>
      <c r="BD96" s="34">
        <f>IF(AND(BD$5&gt;=$F96,BD$5&lt;=$G96),3,"")</f>
        <v/>
      </c>
      <c r="BE96" s="34">
        <f>IF(AND(BE$5&gt;=$F96,BE$5&lt;=$G96),3,"")</f>
        <v/>
      </c>
      <c r="BF96" s="34">
        <f>IF(AND(BF$5&gt;=$F96,BF$5&lt;=$G96),3,"")</f>
        <v/>
      </c>
      <c r="BG96" s="34">
        <f>IF(AND(BG$5&gt;=$F96,BG$5&lt;=$G96),3,"")</f>
        <v/>
      </c>
      <c r="BH96" s="34">
        <f>IF(AND(BH$5&gt;=$F96,BH$5&lt;=$G96),3,"")</f>
        <v/>
      </c>
      <c r="BI96" s="34">
        <f>IF(AND(BI$5&gt;=$F96,BI$5&lt;=$G96),3,"")</f>
        <v/>
      </c>
      <c r="BJ96" s="34">
        <f>IF(AND(BJ$5&gt;=$F96,BJ$5&lt;=$G96),3,"")</f>
        <v/>
      </c>
      <c r="BK96" s="34">
        <f>IF(AND(BK$5&gt;=$F96,BK$5&lt;=$G96),3,"")</f>
        <v/>
      </c>
      <c r="BL96" s="34">
        <f>IF(AND(BL$5&gt;=$F96,BL$5&lt;=$G96),3,"")</f>
        <v/>
      </c>
      <c r="BM96" s="34">
        <f>IF(AND(BM$5&gt;=$F96,BM$5&lt;=$G96),3,"")</f>
        <v/>
      </c>
      <c r="BN96" s="34">
        <f>IF(AND(BN$5&gt;=$F96,BN$5&lt;=$G96),3,"")</f>
        <v/>
      </c>
    </row>
    <row r="97" ht="14.25" customHeight="1" s="36">
      <c r="A97" s="13" t="inlineStr">
        <is>
          <t>3 Construcción</t>
        </is>
      </c>
      <c r="B97" s="13" t="inlineStr">
        <is>
          <t>3.6.4</t>
        </is>
      </c>
      <c r="C97" s="13" t="inlineStr">
        <is>
          <t>Integración con el servicio de avisos al cliente (INT-11)</t>
        </is>
      </c>
      <c r="D97" s="13" t="inlineStr">
        <is>
          <t>I</t>
        </is>
      </c>
      <c r="E97" s="13" t="inlineStr">
        <is>
          <t>Desarrollo</t>
        </is>
      </c>
      <c r="F97" s="13" t="n">
        <v>6</v>
      </c>
      <c r="G97" s="13" t="n">
        <v>7</v>
      </c>
      <c r="H97" s="13">
        <f>G97-F97+1</f>
        <v/>
      </c>
      <c r="I97" s="31" t="n">
        <v>480</v>
      </c>
      <c r="J97" s="13" t="inlineStr">
        <is>
          <t>Con entregable (detalle por planificación gradual)</t>
        </is>
      </c>
      <c r="K97" s="34">
        <f>IF(AND(K$5&gt;=$F97,K$5&lt;=$G97),3,"")</f>
        <v/>
      </c>
      <c r="L97" s="34">
        <f>IF(AND(L$5&gt;=$F97,L$5&lt;=$G97),3,"")</f>
        <v/>
      </c>
      <c r="M97" s="34">
        <f>IF(AND(M$5&gt;=$F97,M$5&lt;=$G97),3,"")</f>
        <v/>
      </c>
      <c r="N97" s="34">
        <f>IF(AND(N$5&gt;=$F97,N$5&lt;=$G97),3,"")</f>
        <v/>
      </c>
      <c r="O97" s="34">
        <f>IF(AND(O$5&gt;=$F97,O$5&lt;=$G97),3,"")</f>
        <v/>
      </c>
      <c r="P97" s="34">
        <f>IF(AND(P$5&gt;=$F97,P$5&lt;=$G97),3,"")</f>
        <v/>
      </c>
      <c r="Q97" s="34">
        <f>IF(AND(Q$5&gt;=$F97,Q$5&lt;=$G97),3,"")</f>
        <v/>
      </c>
      <c r="R97" s="34">
        <f>IF(AND(R$5&gt;=$F97,R$5&lt;=$G97),3,"")</f>
        <v/>
      </c>
      <c r="S97" s="34">
        <f>IF(AND(S$5&gt;=$F97,S$5&lt;=$G97),3,"")</f>
        <v/>
      </c>
      <c r="T97" s="34">
        <f>IF(AND(T$5&gt;=$F97,T$5&lt;=$G97),3,"")</f>
        <v/>
      </c>
      <c r="U97" s="34">
        <f>IF(AND(U$5&gt;=$F97,U$5&lt;=$G97),3,"")</f>
        <v/>
      </c>
      <c r="V97" s="34">
        <f>IF(AND(V$5&gt;=$F97,V$5&lt;=$G97),3,"")</f>
        <v/>
      </c>
      <c r="W97" s="34">
        <f>IF(AND(W$5&gt;=$F97,W$5&lt;=$G97),3,"")</f>
        <v/>
      </c>
      <c r="X97" s="34">
        <f>IF(AND(X$5&gt;=$F97,X$5&lt;=$G97),3,"")</f>
        <v/>
      </c>
      <c r="Y97" s="34">
        <f>IF(AND(Y$5&gt;=$F97,Y$5&lt;=$G97),3,"")</f>
        <v/>
      </c>
      <c r="Z97" s="34">
        <f>IF(AND(Z$5&gt;=$F97,Z$5&lt;=$G97),3,"")</f>
        <v/>
      </c>
      <c r="AA97" s="34">
        <f>IF(AND(AA$5&gt;=$F97,AA$5&lt;=$G97),3,"")</f>
        <v/>
      </c>
      <c r="AB97" s="34">
        <f>IF(AND(AB$5&gt;=$F97,AB$5&lt;=$G97),3,"")</f>
        <v/>
      </c>
      <c r="AC97" s="34">
        <f>IF(AND(AC$5&gt;=$F97,AC$5&lt;=$G97),3,"")</f>
        <v/>
      </c>
      <c r="AD97" s="34">
        <f>IF(AND(AD$5&gt;=$F97,AD$5&lt;=$G97),3,"")</f>
        <v/>
      </c>
      <c r="AE97" s="34">
        <f>IF(AND(AE$5&gt;=$F97,AE$5&lt;=$G97),3,"")</f>
        <v/>
      </c>
      <c r="AF97" s="34">
        <f>IF(AND(AF$5&gt;=$F97,AF$5&lt;=$G97),3,"")</f>
        <v/>
      </c>
      <c r="AG97" s="34">
        <f>IF(AND(AG$5&gt;=$F97,AG$5&lt;=$G97),3,"")</f>
        <v/>
      </c>
      <c r="AH97" s="34">
        <f>IF(AND(AH$5&gt;=$F97,AH$5&lt;=$G97),3,"")</f>
        <v/>
      </c>
      <c r="AI97" s="34">
        <f>IF(AND(AI$5&gt;=$F97,AI$5&lt;=$G97),3,"")</f>
        <v/>
      </c>
      <c r="AJ97" s="34">
        <f>IF(AND(AJ$5&gt;=$F97,AJ$5&lt;=$G97),3,"")</f>
        <v/>
      </c>
      <c r="AK97" s="34">
        <f>IF(AND(AK$5&gt;=$F97,AK$5&lt;=$G97),3,"")</f>
        <v/>
      </c>
      <c r="AL97" s="34">
        <f>IF(AND(AL$5&gt;=$F97,AL$5&lt;=$G97),3,"")</f>
        <v/>
      </c>
      <c r="AM97" s="34">
        <f>IF(AND(AM$5&gt;=$F97,AM$5&lt;=$G97),3,"")</f>
        <v/>
      </c>
      <c r="AN97" s="34">
        <f>IF(AND(AN$5&gt;=$F97,AN$5&lt;=$G97),3,"")</f>
        <v/>
      </c>
      <c r="AO97" s="34">
        <f>IF(AND(AO$5&gt;=$F97,AO$5&lt;=$G97),3,"")</f>
        <v/>
      </c>
      <c r="AP97" s="34">
        <f>IF(AND(AP$5&gt;=$F97,AP$5&lt;=$G97),3,"")</f>
        <v/>
      </c>
      <c r="AQ97" s="34">
        <f>IF(AND(AQ$5&gt;=$F97,AQ$5&lt;=$G97),3,"")</f>
        <v/>
      </c>
      <c r="AR97" s="34">
        <f>IF(AND(AR$5&gt;=$F97,AR$5&lt;=$G97),3,"")</f>
        <v/>
      </c>
      <c r="AS97" s="34">
        <f>IF(AND(AS$5&gt;=$F97,AS$5&lt;=$G97),3,"")</f>
        <v/>
      </c>
      <c r="AT97" s="34">
        <f>IF(AND(AT$5&gt;=$F97,AT$5&lt;=$G97),3,"")</f>
        <v/>
      </c>
      <c r="AU97" s="34">
        <f>IF(AND(AU$5&gt;=$F97,AU$5&lt;=$G97),3,"")</f>
        <v/>
      </c>
      <c r="AV97" s="34">
        <f>IF(AND(AV$5&gt;=$F97,AV$5&lt;=$G97),3,"")</f>
        <v/>
      </c>
      <c r="AW97" s="34">
        <f>IF(AND(AW$5&gt;=$F97,AW$5&lt;=$G97),3,"")</f>
        <v/>
      </c>
      <c r="AX97" s="34">
        <f>IF(AND(AX$5&gt;=$F97,AX$5&lt;=$G97),3,"")</f>
        <v/>
      </c>
      <c r="AY97" s="34">
        <f>IF(AND(AY$5&gt;=$F97,AY$5&lt;=$G97),3,"")</f>
        <v/>
      </c>
      <c r="AZ97" s="34">
        <f>IF(AND(AZ$5&gt;=$F97,AZ$5&lt;=$G97),3,"")</f>
        <v/>
      </c>
      <c r="BA97" s="34">
        <f>IF(AND(BA$5&gt;=$F97,BA$5&lt;=$G97),3,"")</f>
        <v/>
      </c>
      <c r="BB97" s="34">
        <f>IF(AND(BB$5&gt;=$F97,BB$5&lt;=$G97),3,"")</f>
        <v/>
      </c>
      <c r="BC97" s="34">
        <f>IF(AND(BC$5&gt;=$F97,BC$5&lt;=$G97),3,"")</f>
        <v/>
      </c>
      <c r="BD97" s="34">
        <f>IF(AND(BD$5&gt;=$F97,BD$5&lt;=$G97),3,"")</f>
        <v/>
      </c>
      <c r="BE97" s="34">
        <f>IF(AND(BE$5&gt;=$F97,BE$5&lt;=$G97),3,"")</f>
        <v/>
      </c>
      <c r="BF97" s="34">
        <f>IF(AND(BF$5&gt;=$F97,BF$5&lt;=$G97),3,"")</f>
        <v/>
      </c>
      <c r="BG97" s="34">
        <f>IF(AND(BG$5&gt;=$F97,BG$5&lt;=$G97),3,"")</f>
        <v/>
      </c>
      <c r="BH97" s="34">
        <f>IF(AND(BH$5&gt;=$F97,BH$5&lt;=$G97),3,"")</f>
        <v/>
      </c>
      <c r="BI97" s="34">
        <f>IF(AND(BI$5&gt;=$F97,BI$5&lt;=$G97),3,"")</f>
        <v/>
      </c>
      <c r="BJ97" s="34">
        <f>IF(AND(BJ$5&gt;=$F97,BJ$5&lt;=$G97),3,"")</f>
        <v/>
      </c>
      <c r="BK97" s="34">
        <f>IF(AND(BK$5&gt;=$F97,BK$5&lt;=$G97),3,"")</f>
        <v/>
      </c>
      <c r="BL97" s="34">
        <f>IF(AND(BL$5&gt;=$F97,BL$5&lt;=$G97),3,"")</f>
        <v/>
      </c>
      <c r="BM97" s="34">
        <f>IF(AND(BM$5&gt;=$F97,BM$5&lt;=$G97),3,"")</f>
        <v/>
      </c>
      <c r="BN97" s="34">
        <f>IF(AND(BN$5&gt;=$F97,BN$5&lt;=$G97),3,"")</f>
        <v/>
      </c>
    </row>
    <row r="98" ht="14.25" customHeight="1" s="36">
      <c r="A98" s="13" t="inlineStr">
        <is>
          <t>3 Construcción</t>
        </is>
      </c>
      <c r="B98" s="13" t="inlineStr">
        <is>
          <t>3.6.5</t>
        </is>
      </c>
      <c r="C98" s="13" t="inlineStr">
        <is>
          <t>Intercambio electrónico con la principal cadena, con sus pruebas aprobadas (INT-08)</t>
        </is>
      </c>
      <c r="D98" s="13" t="inlineStr">
        <is>
          <t>I</t>
        </is>
      </c>
      <c r="E98" s="13" t="inlineStr">
        <is>
          <t>Desarrollo</t>
        </is>
      </c>
      <c r="F98" s="13" t="n">
        <v>13</v>
      </c>
      <c r="G98" s="13" t="n">
        <v>18</v>
      </c>
      <c r="H98" s="13">
        <f>G98-F98+1</f>
        <v/>
      </c>
      <c r="I98" s="31" t="n">
        <v>480</v>
      </c>
      <c r="J98" s="13" t="inlineStr">
        <is>
          <t>Con entregable (detalle por planificación gradual)</t>
        </is>
      </c>
      <c r="K98" s="34">
        <f>IF(AND(K$5&gt;=$F98,K$5&lt;=$G98),3,"")</f>
        <v/>
      </c>
      <c r="L98" s="34">
        <f>IF(AND(L$5&gt;=$F98,L$5&lt;=$G98),3,"")</f>
        <v/>
      </c>
      <c r="M98" s="34">
        <f>IF(AND(M$5&gt;=$F98,M$5&lt;=$G98),3,"")</f>
        <v/>
      </c>
      <c r="N98" s="34">
        <f>IF(AND(N$5&gt;=$F98,N$5&lt;=$G98),3,"")</f>
        <v/>
      </c>
      <c r="O98" s="34">
        <f>IF(AND(O$5&gt;=$F98,O$5&lt;=$G98),3,"")</f>
        <v/>
      </c>
      <c r="P98" s="34">
        <f>IF(AND(P$5&gt;=$F98,P$5&lt;=$G98),3,"")</f>
        <v/>
      </c>
      <c r="Q98" s="34">
        <f>IF(AND(Q$5&gt;=$F98,Q$5&lt;=$G98),3,"")</f>
        <v/>
      </c>
      <c r="R98" s="34">
        <f>IF(AND(R$5&gt;=$F98,R$5&lt;=$G98),3,"")</f>
        <v/>
      </c>
      <c r="S98" s="34">
        <f>IF(AND(S$5&gt;=$F98,S$5&lt;=$G98),3,"")</f>
        <v/>
      </c>
      <c r="T98" s="34">
        <f>IF(AND(T$5&gt;=$F98,T$5&lt;=$G98),3,"")</f>
        <v/>
      </c>
      <c r="U98" s="34">
        <f>IF(AND(U$5&gt;=$F98,U$5&lt;=$G98),3,"")</f>
        <v/>
      </c>
      <c r="V98" s="34">
        <f>IF(AND(V$5&gt;=$F98,V$5&lt;=$G98),3,"")</f>
        <v/>
      </c>
      <c r="W98" s="34">
        <f>IF(AND(W$5&gt;=$F98,W$5&lt;=$G98),3,"")</f>
        <v/>
      </c>
      <c r="X98" s="34">
        <f>IF(AND(X$5&gt;=$F98,X$5&lt;=$G98),3,"")</f>
        <v/>
      </c>
      <c r="Y98" s="34">
        <f>IF(AND(Y$5&gt;=$F98,Y$5&lt;=$G98),3,"")</f>
        <v/>
      </c>
      <c r="Z98" s="34">
        <f>IF(AND(Z$5&gt;=$F98,Z$5&lt;=$G98),3,"")</f>
        <v/>
      </c>
      <c r="AA98" s="34">
        <f>IF(AND(AA$5&gt;=$F98,AA$5&lt;=$G98),3,"")</f>
        <v/>
      </c>
      <c r="AB98" s="34">
        <f>IF(AND(AB$5&gt;=$F98,AB$5&lt;=$G98),3,"")</f>
        <v/>
      </c>
      <c r="AC98" s="34">
        <f>IF(AND(AC$5&gt;=$F98,AC$5&lt;=$G98),3,"")</f>
        <v/>
      </c>
      <c r="AD98" s="34">
        <f>IF(AND(AD$5&gt;=$F98,AD$5&lt;=$G98),3,"")</f>
        <v/>
      </c>
      <c r="AE98" s="34">
        <f>IF(AND(AE$5&gt;=$F98,AE$5&lt;=$G98),3,"")</f>
        <v/>
      </c>
      <c r="AF98" s="34">
        <f>IF(AND(AF$5&gt;=$F98,AF$5&lt;=$G98),3,"")</f>
        <v/>
      </c>
      <c r="AG98" s="34">
        <f>IF(AND(AG$5&gt;=$F98,AG$5&lt;=$G98),3,"")</f>
        <v/>
      </c>
      <c r="AH98" s="34">
        <f>IF(AND(AH$5&gt;=$F98,AH$5&lt;=$G98),3,"")</f>
        <v/>
      </c>
      <c r="AI98" s="34">
        <f>IF(AND(AI$5&gt;=$F98,AI$5&lt;=$G98),3,"")</f>
        <v/>
      </c>
      <c r="AJ98" s="34">
        <f>IF(AND(AJ$5&gt;=$F98,AJ$5&lt;=$G98),3,"")</f>
        <v/>
      </c>
      <c r="AK98" s="34">
        <f>IF(AND(AK$5&gt;=$F98,AK$5&lt;=$G98),3,"")</f>
        <v/>
      </c>
      <c r="AL98" s="34">
        <f>IF(AND(AL$5&gt;=$F98,AL$5&lt;=$G98),3,"")</f>
        <v/>
      </c>
      <c r="AM98" s="34">
        <f>IF(AND(AM$5&gt;=$F98,AM$5&lt;=$G98),3,"")</f>
        <v/>
      </c>
      <c r="AN98" s="34">
        <f>IF(AND(AN$5&gt;=$F98,AN$5&lt;=$G98),3,"")</f>
        <v/>
      </c>
      <c r="AO98" s="34">
        <f>IF(AND(AO$5&gt;=$F98,AO$5&lt;=$G98),3,"")</f>
        <v/>
      </c>
      <c r="AP98" s="34">
        <f>IF(AND(AP$5&gt;=$F98,AP$5&lt;=$G98),3,"")</f>
        <v/>
      </c>
      <c r="AQ98" s="34">
        <f>IF(AND(AQ$5&gt;=$F98,AQ$5&lt;=$G98),3,"")</f>
        <v/>
      </c>
      <c r="AR98" s="34">
        <f>IF(AND(AR$5&gt;=$F98,AR$5&lt;=$G98),3,"")</f>
        <v/>
      </c>
      <c r="AS98" s="34">
        <f>IF(AND(AS$5&gt;=$F98,AS$5&lt;=$G98),3,"")</f>
        <v/>
      </c>
      <c r="AT98" s="34">
        <f>IF(AND(AT$5&gt;=$F98,AT$5&lt;=$G98),3,"")</f>
        <v/>
      </c>
      <c r="AU98" s="34">
        <f>IF(AND(AU$5&gt;=$F98,AU$5&lt;=$G98),3,"")</f>
        <v/>
      </c>
      <c r="AV98" s="34">
        <f>IF(AND(AV$5&gt;=$F98,AV$5&lt;=$G98),3,"")</f>
        <v/>
      </c>
      <c r="AW98" s="34">
        <f>IF(AND(AW$5&gt;=$F98,AW$5&lt;=$G98),3,"")</f>
        <v/>
      </c>
      <c r="AX98" s="34">
        <f>IF(AND(AX$5&gt;=$F98,AX$5&lt;=$G98),3,"")</f>
        <v/>
      </c>
      <c r="AY98" s="34">
        <f>IF(AND(AY$5&gt;=$F98,AY$5&lt;=$G98),3,"")</f>
        <v/>
      </c>
      <c r="AZ98" s="34">
        <f>IF(AND(AZ$5&gt;=$F98,AZ$5&lt;=$G98),3,"")</f>
        <v/>
      </c>
      <c r="BA98" s="34">
        <f>IF(AND(BA$5&gt;=$F98,BA$5&lt;=$G98),3,"")</f>
        <v/>
      </c>
      <c r="BB98" s="34">
        <f>IF(AND(BB$5&gt;=$F98,BB$5&lt;=$G98),3,"")</f>
        <v/>
      </c>
      <c r="BC98" s="34">
        <f>IF(AND(BC$5&gt;=$F98,BC$5&lt;=$G98),3,"")</f>
        <v/>
      </c>
      <c r="BD98" s="34">
        <f>IF(AND(BD$5&gt;=$F98,BD$5&lt;=$G98),3,"")</f>
        <v/>
      </c>
      <c r="BE98" s="34">
        <f>IF(AND(BE$5&gt;=$F98,BE$5&lt;=$G98),3,"")</f>
        <v/>
      </c>
      <c r="BF98" s="34">
        <f>IF(AND(BF$5&gt;=$F98,BF$5&lt;=$G98),3,"")</f>
        <v/>
      </c>
      <c r="BG98" s="34">
        <f>IF(AND(BG$5&gt;=$F98,BG$5&lt;=$G98),3,"")</f>
        <v/>
      </c>
      <c r="BH98" s="34">
        <f>IF(AND(BH$5&gt;=$F98,BH$5&lt;=$G98),3,"")</f>
        <v/>
      </c>
      <c r="BI98" s="34">
        <f>IF(AND(BI$5&gt;=$F98,BI$5&lt;=$G98),3,"")</f>
        <v/>
      </c>
      <c r="BJ98" s="34">
        <f>IF(AND(BJ$5&gt;=$F98,BJ$5&lt;=$G98),3,"")</f>
        <v/>
      </c>
      <c r="BK98" s="34">
        <f>IF(AND(BK$5&gt;=$F98,BK$5&lt;=$G98),3,"")</f>
        <v/>
      </c>
      <c r="BL98" s="34">
        <f>IF(AND(BL$5&gt;=$F98,BL$5&lt;=$G98),3,"")</f>
        <v/>
      </c>
      <c r="BM98" s="34">
        <f>IF(AND(BM$5&gt;=$F98,BM$5&lt;=$G98),3,"")</f>
        <v/>
      </c>
      <c r="BN98" s="34">
        <f>IF(AND(BN$5&gt;=$F98,BN$5&lt;=$G98),3,"")</f>
        <v/>
      </c>
    </row>
    <row r="99" ht="14.25" customHeight="1" s="36">
      <c r="A99" s="13" t="inlineStr">
        <is>
          <t>3 Construcción</t>
        </is>
      </c>
      <c r="B99" s="13" t="inlineStr">
        <is>
          <t>3.6.6</t>
        </is>
      </c>
      <c r="C99" s="13" t="inlineStr">
        <is>
          <t>Incorporación de las demás cadenas al intercambio electrónico (INT-08)</t>
        </is>
      </c>
      <c r="D99" s="13" t="inlineStr">
        <is>
          <t>I</t>
        </is>
      </c>
      <c r="E99" s="13" t="inlineStr">
        <is>
          <t>Desarrollo</t>
        </is>
      </c>
      <c r="F99" s="13" t="n">
        <v>17</v>
      </c>
      <c r="G99" s="13" t="n">
        <v>19</v>
      </c>
      <c r="H99" s="13">
        <f>G99-F99+1</f>
        <v/>
      </c>
      <c r="I99" s="31" t="n">
        <v>480</v>
      </c>
      <c r="J99" s="13" t="inlineStr">
        <is>
          <t>Con entregable (detalle por planificación gradual)</t>
        </is>
      </c>
      <c r="K99" s="34">
        <f>IF(AND(K$5&gt;=$F99,K$5&lt;=$G99),3,"")</f>
        <v/>
      </c>
      <c r="L99" s="34">
        <f>IF(AND(L$5&gt;=$F99,L$5&lt;=$G99),3,"")</f>
        <v/>
      </c>
      <c r="M99" s="34">
        <f>IF(AND(M$5&gt;=$F99,M$5&lt;=$G99),3,"")</f>
        <v/>
      </c>
      <c r="N99" s="34">
        <f>IF(AND(N$5&gt;=$F99,N$5&lt;=$G99),3,"")</f>
        <v/>
      </c>
      <c r="O99" s="34">
        <f>IF(AND(O$5&gt;=$F99,O$5&lt;=$G99),3,"")</f>
        <v/>
      </c>
      <c r="P99" s="34">
        <f>IF(AND(P$5&gt;=$F99,P$5&lt;=$G99),3,"")</f>
        <v/>
      </c>
      <c r="Q99" s="34">
        <f>IF(AND(Q$5&gt;=$F99,Q$5&lt;=$G99),3,"")</f>
        <v/>
      </c>
      <c r="R99" s="34">
        <f>IF(AND(R$5&gt;=$F99,R$5&lt;=$G99),3,"")</f>
        <v/>
      </c>
      <c r="S99" s="34">
        <f>IF(AND(S$5&gt;=$F99,S$5&lt;=$G99),3,"")</f>
        <v/>
      </c>
      <c r="T99" s="34">
        <f>IF(AND(T$5&gt;=$F99,T$5&lt;=$G99),3,"")</f>
        <v/>
      </c>
      <c r="U99" s="34">
        <f>IF(AND(U$5&gt;=$F99,U$5&lt;=$G99),3,"")</f>
        <v/>
      </c>
      <c r="V99" s="34">
        <f>IF(AND(V$5&gt;=$F99,V$5&lt;=$G99),3,"")</f>
        <v/>
      </c>
      <c r="W99" s="34">
        <f>IF(AND(W$5&gt;=$F99,W$5&lt;=$G99),3,"")</f>
        <v/>
      </c>
      <c r="X99" s="34">
        <f>IF(AND(X$5&gt;=$F99,X$5&lt;=$G99),3,"")</f>
        <v/>
      </c>
      <c r="Y99" s="34">
        <f>IF(AND(Y$5&gt;=$F99,Y$5&lt;=$G99),3,"")</f>
        <v/>
      </c>
      <c r="Z99" s="34">
        <f>IF(AND(Z$5&gt;=$F99,Z$5&lt;=$G99),3,"")</f>
        <v/>
      </c>
      <c r="AA99" s="34">
        <f>IF(AND(AA$5&gt;=$F99,AA$5&lt;=$G99),3,"")</f>
        <v/>
      </c>
      <c r="AB99" s="34">
        <f>IF(AND(AB$5&gt;=$F99,AB$5&lt;=$G99),3,"")</f>
        <v/>
      </c>
      <c r="AC99" s="34">
        <f>IF(AND(AC$5&gt;=$F99,AC$5&lt;=$G99),3,"")</f>
        <v/>
      </c>
      <c r="AD99" s="34">
        <f>IF(AND(AD$5&gt;=$F99,AD$5&lt;=$G99),3,"")</f>
        <v/>
      </c>
      <c r="AE99" s="34">
        <f>IF(AND(AE$5&gt;=$F99,AE$5&lt;=$G99),3,"")</f>
        <v/>
      </c>
      <c r="AF99" s="34">
        <f>IF(AND(AF$5&gt;=$F99,AF$5&lt;=$G99),3,"")</f>
        <v/>
      </c>
      <c r="AG99" s="34">
        <f>IF(AND(AG$5&gt;=$F99,AG$5&lt;=$G99),3,"")</f>
        <v/>
      </c>
      <c r="AH99" s="34">
        <f>IF(AND(AH$5&gt;=$F99,AH$5&lt;=$G99),3,"")</f>
        <v/>
      </c>
      <c r="AI99" s="34">
        <f>IF(AND(AI$5&gt;=$F99,AI$5&lt;=$G99),3,"")</f>
        <v/>
      </c>
      <c r="AJ99" s="34">
        <f>IF(AND(AJ$5&gt;=$F99,AJ$5&lt;=$G99),3,"")</f>
        <v/>
      </c>
      <c r="AK99" s="34">
        <f>IF(AND(AK$5&gt;=$F99,AK$5&lt;=$G99),3,"")</f>
        <v/>
      </c>
      <c r="AL99" s="34">
        <f>IF(AND(AL$5&gt;=$F99,AL$5&lt;=$G99),3,"")</f>
        <v/>
      </c>
      <c r="AM99" s="34">
        <f>IF(AND(AM$5&gt;=$F99,AM$5&lt;=$G99),3,"")</f>
        <v/>
      </c>
      <c r="AN99" s="34">
        <f>IF(AND(AN$5&gt;=$F99,AN$5&lt;=$G99),3,"")</f>
        <v/>
      </c>
      <c r="AO99" s="34">
        <f>IF(AND(AO$5&gt;=$F99,AO$5&lt;=$G99),3,"")</f>
        <v/>
      </c>
      <c r="AP99" s="34">
        <f>IF(AND(AP$5&gt;=$F99,AP$5&lt;=$G99),3,"")</f>
        <v/>
      </c>
      <c r="AQ99" s="34">
        <f>IF(AND(AQ$5&gt;=$F99,AQ$5&lt;=$G99),3,"")</f>
        <v/>
      </c>
      <c r="AR99" s="34">
        <f>IF(AND(AR$5&gt;=$F99,AR$5&lt;=$G99),3,"")</f>
        <v/>
      </c>
      <c r="AS99" s="34">
        <f>IF(AND(AS$5&gt;=$F99,AS$5&lt;=$G99),3,"")</f>
        <v/>
      </c>
      <c r="AT99" s="34">
        <f>IF(AND(AT$5&gt;=$F99,AT$5&lt;=$G99),3,"")</f>
        <v/>
      </c>
      <c r="AU99" s="34">
        <f>IF(AND(AU$5&gt;=$F99,AU$5&lt;=$G99),3,"")</f>
        <v/>
      </c>
      <c r="AV99" s="34">
        <f>IF(AND(AV$5&gt;=$F99,AV$5&lt;=$G99),3,"")</f>
        <v/>
      </c>
      <c r="AW99" s="34">
        <f>IF(AND(AW$5&gt;=$F99,AW$5&lt;=$G99),3,"")</f>
        <v/>
      </c>
      <c r="AX99" s="34">
        <f>IF(AND(AX$5&gt;=$F99,AX$5&lt;=$G99),3,"")</f>
        <v/>
      </c>
      <c r="AY99" s="34">
        <f>IF(AND(AY$5&gt;=$F99,AY$5&lt;=$G99),3,"")</f>
        <v/>
      </c>
      <c r="AZ99" s="34">
        <f>IF(AND(AZ$5&gt;=$F99,AZ$5&lt;=$G99),3,"")</f>
        <v/>
      </c>
      <c r="BA99" s="34">
        <f>IF(AND(BA$5&gt;=$F99,BA$5&lt;=$G99),3,"")</f>
        <v/>
      </c>
      <c r="BB99" s="34">
        <f>IF(AND(BB$5&gt;=$F99,BB$5&lt;=$G99),3,"")</f>
        <v/>
      </c>
      <c r="BC99" s="34">
        <f>IF(AND(BC$5&gt;=$F99,BC$5&lt;=$G99),3,"")</f>
        <v/>
      </c>
      <c r="BD99" s="34">
        <f>IF(AND(BD$5&gt;=$F99,BD$5&lt;=$G99),3,"")</f>
        <v/>
      </c>
      <c r="BE99" s="34">
        <f>IF(AND(BE$5&gt;=$F99,BE$5&lt;=$G99),3,"")</f>
        <v/>
      </c>
      <c r="BF99" s="34">
        <f>IF(AND(BF$5&gt;=$F99,BF$5&lt;=$G99),3,"")</f>
        <v/>
      </c>
      <c r="BG99" s="34">
        <f>IF(AND(BG$5&gt;=$F99,BG$5&lt;=$G99),3,"")</f>
        <v/>
      </c>
      <c r="BH99" s="34">
        <f>IF(AND(BH$5&gt;=$F99,BH$5&lt;=$G99),3,"")</f>
        <v/>
      </c>
      <c r="BI99" s="34">
        <f>IF(AND(BI$5&gt;=$F99,BI$5&lt;=$G99),3,"")</f>
        <v/>
      </c>
      <c r="BJ99" s="34">
        <f>IF(AND(BJ$5&gt;=$F99,BJ$5&lt;=$G99),3,"")</f>
        <v/>
      </c>
      <c r="BK99" s="34">
        <f>IF(AND(BK$5&gt;=$F99,BK$5&lt;=$G99),3,"")</f>
        <v/>
      </c>
      <c r="BL99" s="34">
        <f>IF(AND(BL$5&gt;=$F99,BL$5&lt;=$G99),3,"")</f>
        <v/>
      </c>
      <c r="BM99" s="34">
        <f>IF(AND(BM$5&gt;=$F99,BM$5&lt;=$G99),3,"")</f>
        <v/>
      </c>
      <c r="BN99" s="34">
        <f>IF(AND(BN$5&gt;=$F99,BN$5&lt;=$G99),3,"")</f>
        <v/>
      </c>
    </row>
    <row r="100" ht="14.25" customHeight="1" s="36">
      <c r="A100" s="13" t="inlineStr">
        <is>
          <t>3 Construcción</t>
        </is>
      </c>
      <c r="B100" s="13" t="inlineStr">
        <is>
          <t>3.7.1</t>
        </is>
      </c>
      <c r="C100" s="13" t="inlineStr">
        <is>
          <t>Informe de perfilamiento y datos saneados</t>
        </is>
      </c>
      <c r="D100" s="13" t="inlineStr">
        <is>
          <t>I</t>
        </is>
      </c>
      <c r="E100" s="13" t="inlineStr">
        <is>
          <t>Datos</t>
        </is>
      </c>
      <c r="F100" s="13" t="n">
        <v>7</v>
      </c>
      <c r="G100" s="13" t="n">
        <v>9</v>
      </c>
      <c r="H100" s="13">
        <f>G100-F100+1</f>
        <v/>
      </c>
      <c r="I100" s="31" t="n">
        <v>480</v>
      </c>
      <c r="J100" s="13" t="inlineStr">
        <is>
          <t>Con entregable (detalle por planificación gradual)</t>
        </is>
      </c>
      <c r="K100" s="34">
        <f>IF(AND(K$5&gt;=$F100,K$5&lt;=$G100),3,"")</f>
        <v/>
      </c>
      <c r="L100" s="34">
        <f>IF(AND(L$5&gt;=$F100,L$5&lt;=$G100),3,"")</f>
        <v/>
      </c>
      <c r="M100" s="34">
        <f>IF(AND(M$5&gt;=$F100,M$5&lt;=$G100),3,"")</f>
        <v/>
      </c>
      <c r="N100" s="34">
        <f>IF(AND(N$5&gt;=$F100,N$5&lt;=$G100),3,"")</f>
        <v/>
      </c>
      <c r="O100" s="34">
        <f>IF(AND(O$5&gt;=$F100,O$5&lt;=$G100),3,"")</f>
        <v/>
      </c>
      <c r="P100" s="34">
        <f>IF(AND(P$5&gt;=$F100,P$5&lt;=$G100),3,"")</f>
        <v/>
      </c>
      <c r="Q100" s="34">
        <f>IF(AND(Q$5&gt;=$F100,Q$5&lt;=$G100),3,"")</f>
        <v/>
      </c>
      <c r="R100" s="34">
        <f>IF(AND(R$5&gt;=$F100,R$5&lt;=$G100),3,"")</f>
        <v/>
      </c>
      <c r="S100" s="34">
        <f>IF(AND(S$5&gt;=$F100,S$5&lt;=$G100),3,"")</f>
        <v/>
      </c>
      <c r="T100" s="34">
        <f>IF(AND(T$5&gt;=$F100,T$5&lt;=$G100),3,"")</f>
        <v/>
      </c>
      <c r="U100" s="34">
        <f>IF(AND(U$5&gt;=$F100,U$5&lt;=$G100),3,"")</f>
        <v/>
      </c>
      <c r="V100" s="34">
        <f>IF(AND(V$5&gt;=$F100,V$5&lt;=$G100),3,"")</f>
        <v/>
      </c>
      <c r="W100" s="34">
        <f>IF(AND(W$5&gt;=$F100,W$5&lt;=$G100),3,"")</f>
        <v/>
      </c>
      <c r="X100" s="34">
        <f>IF(AND(X$5&gt;=$F100,X$5&lt;=$G100),3,"")</f>
        <v/>
      </c>
      <c r="Y100" s="34">
        <f>IF(AND(Y$5&gt;=$F100,Y$5&lt;=$G100),3,"")</f>
        <v/>
      </c>
      <c r="Z100" s="34">
        <f>IF(AND(Z$5&gt;=$F100,Z$5&lt;=$G100),3,"")</f>
        <v/>
      </c>
      <c r="AA100" s="34">
        <f>IF(AND(AA$5&gt;=$F100,AA$5&lt;=$G100),3,"")</f>
        <v/>
      </c>
      <c r="AB100" s="34">
        <f>IF(AND(AB$5&gt;=$F100,AB$5&lt;=$G100),3,"")</f>
        <v/>
      </c>
      <c r="AC100" s="34">
        <f>IF(AND(AC$5&gt;=$F100,AC$5&lt;=$G100),3,"")</f>
        <v/>
      </c>
      <c r="AD100" s="34">
        <f>IF(AND(AD$5&gt;=$F100,AD$5&lt;=$G100),3,"")</f>
        <v/>
      </c>
      <c r="AE100" s="34">
        <f>IF(AND(AE$5&gt;=$F100,AE$5&lt;=$G100),3,"")</f>
        <v/>
      </c>
      <c r="AF100" s="34">
        <f>IF(AND(AF$5&gt;=$F100,AF$5&lt;=$G100),3,"")</f>
        <v/>
      </c>
      <c r="AG100" s="34">
        <f>IF(AND(AG$5&gt;=$F100,AG$5&lt;=$G100),3,"")</f>
        <v/>
      </c>
      <c r="AH100" s="34">
        <f>IF(AND(AH$5&gt;=$F100,AH$5&lt;=$G100),3,"")</f>
        <v/>
      </c>
      <c r="AI100" s="34">
        <f>IF(AND(AI$5&gt;=$F100,AI$5&lt;=$G100),3,"")</f>
        <v/>
      </c>
      <c r="AJ100" s="34">
        <f>IF(AND(AJ$5&gt;=$F100,AJ$5&lt;=$G100),3,"")</f>
        <v/>
      </c>
      <c r="AK100" s="34">
        <f>IF(AND(AK$5&gt;=$F100,AK$5&lt;=$G100),3,"")</f>
        <v/>
      </c>
      <c r="AL100" s="34">
        <f>IF(AND(AL$5&gt;=$F100,AL$5&lt;=$G100),3,"")</f>
        <v/>
      </c>
      <c r="AM100" s="34">
        <f>IF(AND(AM$5&gt;=$F100,AM$5&lt;=$G100),3,"")</f>
        <v/>
      </c>
      <c r="AN100" s="34">
        <f>IF(AND(AN$5&gt;=$F100,AN$5&lt;=$G100),3,"")</f>
        <v/>
      </c>
      <c r="AO100" s="34">
        <f>IF(AND(AO$5&gt;=$F100,AO$5&lt;=$G100),3,"")</f>
        <v/>
      </c>
      <c r="AP100" s="34">
        <f>IF(AND(AP$5&gt;=$F100,AP$5&lt;=$G100),3,"")</f>
        <v/>
      </c>
      <c r="AQ100" s="34">
        <f>IF(AND(AQ$5&gt;=$F100,AQ$5&lt;=$G100),3,"")</f>
        <v/>
      </c>
      <c r="AR100" s="34">
        <f>IF(AND(AR$5&gt;=$F100,AR$5&lt;=$G100),3,"")</f>
        <v/>
      </c>
      <c r="AS100" s="34">
        <f>IF(AND(AS$5&gt;=$F100,AS$5&lt;=$G100),3,"")</f>
        <v/>
      </c>
      <c r="AT100" s="34">
        <f>IF(AND(AT$5&gt;=$F100,AT$5&lt;=$G100),3,"")</f>
        <v/>
      </c>
      <c r="AU100" s="34">
        <f>IF(AND(AU$5&gt;=$F100,AU$5&lt;=$G100),3,"")</f>
        <v/>
      </c>
      <c r="AV100" s="34">
        <f>IF(AND(AV$5&gt;=$F100,AV$5&lt;=$G100),3,"")</f>
        <v/>
      </c>
      <c r="AW100" s="34">
        <f>IF(AND(AW$5&gt;=$F100,AW$5&lt;=$G100),3,"")</f>
        <v/>
      </c>
      <c r="AX100" s="34">
        <f>IF(AND(AX$5&gt;=$F100,AX$5&lt;=$G100),3,"")</f>
        <v/>
      </c>
      <c r="AY100" s="34">
        <f>IF(AND(AY$5&gt;=$F100,AY$5&lt;=$G100),3,"")</f>
        <v/>
      </c>
      <c r="AZ100" s="34">
        <f>IF(AND(AZ$5&gt;=$F100,AZ$5&lt;=$G100),3,"")</f>
        <v/>
      </c>
      <c r="BA100" s="34">
        <f>IF(AND(BA$5&gt;=$F100,BA$5&lt;=$G100),3,"")</f>
        <v/>
      </c>
      <c r="BB100" s="34">
        <f>IF(AND(BB$5&gt;=$F100,BB$5&lt;=$G100),3,"")</f>
        <v/>
      </c>
      <c r="BC100" s="34">
        <f>IF(AND(BC$5&gt;=$F100,BC$5&lt;=$G100),3,"")</f>
        <v/>
      </c>
      <c r="BD100" s="34">
        <f>IF(AND(BD$5&gt;=$F100,BD$5&lt;=$G100),3,"")</f>
        <v/>
      </c>
      <c r="BE100" s="34">
        <f>IF(AND(BE$5&gt;=$F100,BE$5&lt;=$G100),3,"")</f>
        <v/>
      </c>
      <c r="BF100" s="34">
        <f>IF(AND(BF$5&gt;=$F100,BF$5&lt;=$G100),3,"")</f>
        <v/>
      </c>
      <c r="BG100" s="34">
        <f>IF(AND(BG$5&gt;=$F100,BG$5&lt;=$G100),3,"")</f>
        <v/>
      </c>
      <c r="BH100" s="34">
        <f>IF(AND(BH$5&gt;=$F100,BH$5&lt;=$G100),3,"")</f>
        <v/>
      </c>
      <c r="BI100" s="34">
        <f>IF(AND(BI$5&gt;=$F100,BI$5&lt;=$G100),3,"")</f>
        <v/>
      </c>
      <c r="BJ100" s="34">
        <f>IF(AND(BJ$5&gt;=$F100,BJ$5&lt;=$G100),3,"")</f>
        <v/>
      </c>
      <c r="BK100" s="34">
        <f>IF(AND(BK$5&gt;=$F100,BK$5&lt;=$G100),3,"")</f>
        <v/>
      </c>
      <c r="BL100" s="34">
        <f>IF(AND(BL$5&gt;=$F100,BL$5&lt;=$G100),3,"")</f>
        <v/>
      </c>
      <c r="BM100" s="34">
        <f>IF(AND(BM$5&gt;=$F100,BM$5&lt;=$G100),3,"")</f>
        <v/>
      </c>
      <c r="BN100" s="34">
        <f>IF(AND(BN$5&gt;=$F100,BN$5&lt;=$G100),3,"")</f>
        <v/>
      </c>
    </row>
    <row r="101" ht="14.25" customHeight="1" s="36">
      <c r="A101" s="13" t="inlineStr">
        <is>
          <t>3 Construcción</t>
        </is>
      </c>
      <c r="B101" s="13" t="inlineStr">
        <is>
          <t>3.7.2</t>
        </is>
      </c>
      <c r="C101" s="13" t="inlineStr">
        <is>
          <t>Datos maestros cargados: 8.400 SKU, clientes e instalaciones</t>
        </is>
      </c>
      <c r="D101" s="13" t="inlineStr">
        <is>
          <t>I</t>
        </is>
      </c>
      <c r="E101" s="13" t="inlineStr">
        <is>
          <t>Datos</t>
        </is>
      </c>
      <c r="F101" s="13" t="n">
        <v>9</v>
      </c>
      <c r="G101" s="13" t="n">
        <v>10</v>
      </c>
      <c r="H101" s="13">
        <f>G101-F101+1</f>
        <v/>
      </c>
      <c r="I101" s="31" t="n">
        <v>480</v>
      </c>
      <c r="J101" s="13" t="inlineStr">
        <is>
          <t>Con entregable (detalle por planificación gradual)</t>
        </is>
      </c>
      <c r="K101" s="34">
        <f>IF(AND(K$5&gt;=$F101,K$5&lt;=$G101),3,"")</f>
        <v/>
      </c>
      <c r="L101" s="34">
        <f>IF(AND(L$5&gt;=$F101,L$5&lt;=$G101),3,"")</f>
        <v/>
      </c>
      <c r="M101" s="34">
        <f>IF(AND(M$5&gt;=$F101,M$5&lt;=$G101),3,"")</f>
        <v/>
      </c>
      <c r="N101" s="34">
        <f>IF(AND(N$5&gt;=$F101,N$5&lt;=$G101),3,"")</f>
        <v/>
      </c>
      <c r="O101" s="34">
        <f>IF(AND(O$5&gt;=$F101,O$5&lt;=$G101),3,"")</f>
        <v/>
      </c>
      <c r="P101" s="34">
        <f>IF(AND(P$5&gt;=$F101,P$5&lt;=$G101),3,"")</f>
        <v/>
      </c>
      <c r="Q101" s="34">
        <f>IF(AND(Q$5&gt;=$F101,Q$5&lt;=$G101),3,"")</f>
        <v/>
      </c>
      <c r="R101" s="34">
        <f>IF(AND(R$5&gt;=$F101,R$5&lt;=$G101),3,"")</f>
        <v/>
      </c>
      <c r="S101" s="34">
        <f>IF(AND(S$5&gt;=$F101,S$5&lt;=$G101),3,"")</f>
        <v/>
      </c>
      <c r="T101" s="34">
        <f>IF(AND(T$5&gt;=$F101,T$5&lt;=$G101),3,"")</f>
        <v/>
      </c>
      <c r="U101" s="34">
        <f>IF(AND(U$5&gt;=$F101,U$5&lt;=$G101),3,"")</f>
        <v/>
      </c>
      <c r="V101" s="34">
        <f>IF(AND(V$5&gt;=$F101,V$5&lt;=$G101),3,"")</f>
        <v/>
      </c>
      <c r="W101" s="34">
        <f>IF(AND(W$5&gt;=$F101,W$5&lt;=$G101),3,"")</f>
        <v/>
      </c>
      <c r="X101" s="34">
        <f>IF(AND(X$5&gt;=$F101,X$5&lt;=$G101),3,"")</f>
        <v/>
      </c>
      <c r="Y101" s="34">
        <f>IF(AND(Y$5&gt;=$F101,Y$5&lt;=$G101),3,"")</f>
        <v/>
      </c>
      <c r="Z101" s="34">
        <f>IF(AND(Z$5&gt;=$F101,Z$5&lt;=$G101),3,"")</f>
        <v/>
      </c>
      <c r="AA101" s="34">
        <f>IF(AND(AA$5&gt;=$F101,AA$5&lt;=$G101),3,"")</f>
        <v/>
      </c>
      <c r="AB101" s="34">
        <f>IF(AND(AB$5&gt;=$F101,AB$5&lt;=$G101),3,"")</f>
        <v/>
      </c>
      <c r="AC101" s="34">
        <f>IF(AND(AC$5&gt;=$F101,AC$5&lt;=$G101),3,"")</f>
        <v/>
      </c>
      <c r="AD101" s="34">
        <f>IF(AND(AD$5&gt;=$F101,AD$5&lt;=$G101),3,"")</f>
        <v/>
      </c>
      <c r="AE101" s="34">
        <f>IF(AND(AE$5&gt;=$F101,AE$5&lt;=$G101),3,"")</f>
        <v/>
      </c>
      <c r="AF101" s="34">
        <f>IF(AND(AF$5&gt;=$F101,AF$5&lt;=$G101),3,"")</f>
        <v/>
      </c>
      <c r="AG101" s="34">
        <f>IF(AND(AG$5&gt;=$F101,AG$5&lt;=$G101),3,"")</f>
        <v/>
      </c>
      <c r="AH101" s="34">
        <f>IF(AND(AH$5&gt;=$F101,AH$5&lt;=$G101),3,"")</f>
        <v/>
      </c>
      <c r="AI101" s="34">
        <f>IF(AND(AI$5&gt;=$F101,AI$5&lt;=$G101),3,"")</f>
        <v/>
      </c>
      <c r="AJ101" s="34">
        <f>IF(AND(AJ$5&gt;=$F101,AJ$5&lt;=$G101),3,"")</f>
        <v/>
      </c>
      <c r="AK101" s="34">
        <f>IF(AND(AK$5&gt;=$F101,AK$5&lt;=$G101),3,"")</f>
        <v/>
      </c>
      <c r="AL101" s="34">
        <f>IF(AND(AL$5&gt;=$F101,AL$5&lt;=$G101),3,"")</f>
        <v/>
      </c>
      <c r="AM101" s="34">
        <f>IF(AND(AM$5&gt;=$F101,AM$5&lt;=$G101),3,"")</f>
        <v/>
      </c>
      <c r="AN101" s="34">
        <f>IF(AND(AN$5&gt;=$F101,AN$5&lt;=$G101),3,"")</f>
        <v/>
      </c>
      <c r="AO101" s="34">
        <f>IF(AND(AO$5&gt;=$F101,AO$5&lt;=$G101),3,"")</f>
        <v/>
      </c>
      <c r="AP101" s="34">
        <f>IF(AND(AP$5&gt;=$F101,AP$5&lt;=$G101),3,"")</f>
        <v/>
      </c>
      <c r="AQ101" s="34">
        <f>IF(AND(AQ$5&gt;=$F101,AQ$5&lt;=$G101),3,"")</f>
        <v/>
      </c>
      <c r="AR101" s="34">
        <f>IF(AND(AR$5&gt;=$F101,AR$5&lt;=$G101),3,"")</f>
        <v/>
      </c>
      <c r="AS101" s="34">
        <f>IF(AND(AS$5&gt;=$F101,AS$5&lt;=$G101),3,"")</f>
        <v/>
      </c>
      <c r="AT101" s="34">
        <f>IF(AND(AT$5&gt;=$F101,AT$5&lt;=$G101),3,"")</f>
        <v/>
      </c>
      <c r="AU101" s="34">
        <f>IF(AND(AU$5&gt;=$F101,AU$5&lt;=$G101),3,"")</f>
        <v/>
      </c>
      <c r="AV101" s="34">
        <f>IF(AND(AV$5&gt;=$F101,AV$5&lt;=$G101),3,"")</f>
        <v/>
      </c>
      <c r="AW101" s="34">
        <f>IF(AND(AW$5&gt;=$F101,AW$5&lt;=$G101),3,"")</f>
        <v/>
      </c>
      <c r="AX101" s="34">
        <f>IF(AND(AX$5&gt;=$F101,AX$5&lt;=$G101),3,"")</f>
        <v/>
      </c>
      <c r="AY101" s="34">
        <f>IF(AND(AY$5&gt;=$F101,AY$5&lt;=$G101),3,"")</f>
        <v/>
      </c>
      <c r="AZ101" s="34">
        <f>IF(AND(AZ$5&gt;=$F101,AZ$5&lt;=$G101),3,"")</f>
        <v/>
      </c>
      <c r="BA101" s="34">
        <f>IF(AND(BA$5&gt;=$F101,BA$5&lt;=$G101),3,"")</f>
        <v/>
      </c>
      <c r="BB101" s="34">
        <f>IF(AND(BB$5&gt;=$F101,BB$5&lt;=$G101),3,"")</f>
        <v/>
      </c>
      <c r="BC101" s="34">
        <f>IF(AND(BC$5&gt;=$F101,BC$5&lt;=$G101),3,"")</f>
        <v/>
      </c>
      <c r="BD101" s="34">
        <f>IF(AND(BD$5&gt;=$F101,BD$5&lt;=$G101),3,"")</f>
        <v/>
      </c>
      <c r="BE101" s="34">
        <f>IF(AND(BE$5&gt;=$F101,BE$5&lt;=$G101),3,"")</f>
        <v/>
      </c>
      <c r="BF101" s="34">
        <f>IF(AND(BF$5&gt;=$F101,BF$5&lt;=$G101),3,"")</f>
        <v/>
      </c>
      <c r="BG101" s="34">
        <f>IF(AND(BG$5&gt;=$F101,BG$5&lt;=$G101),3,"")</f>
        <v/>
      </c>
      <c r="BH101" s="34">
        <f>IF(AND(BH$5&gt;=$F101,BH$5&lt;=$G101),3,"")</f>
        <v/>
      </c>
      <c r="BI101" s="34">
        <f>IF(AND(BI$5&gt;=$F101,BI$5&lt;=$G101),3,"")</f>
        <v/>
      </c>
      <c r="BJ101" s="34">
        <f>IF(AND(BJ$5&gt;=$F101,BJ$5&lt;=$G101),3,"")</f>
        <v/>
      </c>
      <c r="BK101" s="34">
        <f>IF(AND(BK$5&gt;=$F101,BK$5&lt;=$G101),3,"")</f>
        <v/>
      </c>
      <c r="BL101" s="34">
        <f>IF(AND(BL$5&gt;=$F101,BL$5&lt;=$G101),3,"")</f>
        <v/>
      </c>
      <c r="BM101" s="34">
        <f>IF(AND(BM$5&gt;=$F101,BM$5&lt;=$G101),3,"")</f>
        <v/>
      </c>
      <c r="BN101" s="34">
        <f>IF(AND(BN$5&gt;=$F101,BN$5&lt;=$G101),3,"")</f>
        <v/>
      </c>
    </row>
    <row r="102" ht="14.25" customHeight="1" s="36">
      <c r="A102" s="13" t="inlineStr">
        <is>
          <t>3 Construcción</t>
        </is>
      </c>
      <c r="B102" s="13" t="inlineStr">
        <is>
          <t>3.7.3</t>
        </is>
      </c>
      <c r="C102" s="13" t="inlineStr">
        <is>
          <t>Saldos migrados desde el WMS de Talca</t>
        </is>
      </c>
      <c r="D102" s="13" t="inlineStr">
        <is>
          <t>I</t>
        </is>
      </c>
      <c r="E102" s="13" t="inlineStr">
        <is>
          <t>Datos</t>
        </is>
      </c>
      <c r="F102" s="13" t="n">
        <v>11</v>
      </c>
      <c r="G102" s="13" t="n">
        <v>11</v>
      </c>
      <c r="H102" s="13">
        <f>G102-F102+1</f>
        <v/>
      </c>
      <c r="I102" s="31" t="n">
        <v>480</v>
      </c>
      <c r="J102" s="13" t="inlineStr">
        <is>
          <t>Con entregable (detalle por planificación gradual)</t>
        </is>
      </c>
      <c r="K102" s="34">
        <f>IF(AND(K$5&gt;=$F102,K$5&lt;=$G102),3,"")</f>
        <v/>
      </c>
      <c r="L102" s="34">
        <f>IF(AND(L$5&gt;=$F102,L$5&lt;=$G102),3,"")</f>
        <v/>
      </c>
      <c r="M102" s="34">
        <f>IF(AND(M$5&gt;=$F102,M$5&lt;=$G102),3,"")</f>
        <v/>
      </c>
      <c r="N102" s="34">
        <f>IF(AND(N$5&gt;=$F102,N$5&lt;=$G102),3,"")</f>
        <v/>
      </c>
      <c r="O102" s="34">
        <f>IF(AND(O$5&gt;=$F102,O$5&lt;=$G102),3,"")</f>
        <v/>
      </c>
      <c r="P102" s="34">
        <f>IF(AND(P$5&gt;=$F102,P$5&lt;=$G102),3,"")</f>
        <v/>
      </c>
      <c r="Q102" s="34">
        <f>IF(AND(Q$5&gt;=$F102,Q$5&lt;=$G102),3,"")</f>
        <v/>
      </c>
      <c r="R102" s="34">
        <f>IF(AND(R$5&gt;=$F102,R$5&lt;=$G102),3,"")</f>
        <v/>
      </c>
      <c r="S102" s="34">
        <f>IF(AND(S$5&gt;=$F102,S$5&lt;=$G102),3,"")</f>
        <v/>
      </c>
      <c r="T102" s="34">
        <f>IF(AND(T$5&gt;=$F102,T$5&lt;=$G102),3,"")</f>
        <v/>
      </c>
      <c r="U102" s="34">
        <f>IF(AND(U$5&gt;=$F102,U$5&lt;=$G102),3,"")</f>
        <v/>
      </c>
      <c r="V102" s="34">
        <f>IF(AND(V$5&gt;=$F102,V$5&lt;=$G102),3,"")</f>
        <v/>
      </c>
      <c r="W102" s="34">
        <f>IF(AND(W$5&gt;=$F102,W$5&lt;=$G102),3,"")</f>
        <v/>
      </c>
      <c r="X102" s="34">
        <f>IF(AND(X$5&gt;=$F102,X$5&lt;=$G102),3,"")</f>
        <v/>
      </c>
      <c r="Y102" s="34">
        <f>IF(AND(Y$5&gt;=$F102,Y$5&lt;=$G102),3,"")</f>
        <v/>
      </c>
      <c r="Z102" s="34">
        <f>IF(AND(Z$5&gt;=$F102,Z$5&lt;=$G102),3,"")</f>
        <v/>
      </c>
      <c r="AA102" s="34">
        <f>IF(AND(AA$5&gt;=$F102,AA$5&lt;=$G102),3,"")</f>
        <v/>
      </c>
      <c r="AB102" s="34">
        <f>IF(AND(AB$5&gt;=$F102,AB$5&lt;=$G102),3,"")</f>
        <v/>
      </c>
      <c r="AC102" s="34">
        <f>IF(AND(AC$5&gt;=$F102,AC$5&lt;=$G102),3,"")</f>
        <v/>
      </c>
      <c r="AD102" s="34">
        <f>IF(AND(AD$5&gt;=$F102,AD$5&lt;=$G102),3,"")</f>
        <v/>
      </c>
      <c r="AE102" s="34">
        <f>IF(AND(AE$5&gt;=$F102,AE$5&lt;=$G102),3,"")</f>
        <v/>
      </c>
      <c r="AF102" s="34">
        <f>IF(AND(AF$5&gt;=$F102,AF$5&lt;=$G102),3,"")</f>
        <v/>
      </c>
      <c r="AG102" s="34">
        <f>IF(AND(AG$5&gt;=$F102,AG$5&lt;=$G102),3,"")</f>
        <v/>
      </c>
      <c r="AH102" s="34">
        <f>IF(AND(AH$5&gt;=$F102,AH$5&lt;=$G102),3,"")</f>
        <v/>
      </c>
      <c r="AI102" s="34">
        <f>IF(AND(AI$5&gt;=$F102,AI$5&lt;=$G102),3,"")</f>
        <v/>
      </c>
      <c r="AJ102" s="34">
        <f>IF(AND(AJ$5&gt;=$F102,AJ$5&lt;=$G102),3,"")</f>
        <v/>
      </c>
      <c r="AK102" s="34">
        <f>IF(AND(AK$5&gt;=$F102,AK$5&lt;=$G102),3,"")</f>
        <v/>
      </c>
      <c r="AL102" s="34">
        <f>IF(AND(AL$5&gt;=$F102,AL$5&lt;=$G102),3,"")</f>
        <v/>
      </c>
      <c r="AM102" s="34">
        <f>IF(AND(AM$5&gt;=$F102,AM$5&lt;=$G102),3,"")</f>
        <v/>
      </c>
      <c r="AN102" s="34">
        <f>IF(AND(AN$5&gt;=$F102,AN$5&lt;=$G102),3,"")</f>
        <v/>
      </c>
      <c r="AO102" s="34">
        <f>IF(AND(AO$5&gt;=$F102,AO$5&lt;=$G102),3,"")</f>
        <v/>
      </c>
      <c r="AP102" s="34">
        <f>IF(AND(AP$5&gt;=$F102,AP$5&lt;=$G102),3,"")</f>
        <v/>
      </c>
      <c r="AQ102" s="34">
        <f>IF(AND(AQ$5&gt;=$F102,AQ$5&lt;=$G102),3,"")</f>
        <v/>
      </c>
      <c r="AR102" s="34">
        <f>IF(AND(AR$5&gt;=$F102,AR$5&lt;=$G102),3,"")</f>
        <v/>
      </c>
      <c r="AS102" s="34">
        <f>IF(AND(AS$5&gt;=$F102,AS$5&lt;=$G102),3,"")</f>
        <v/>
      </c>
      <c r="AT102" s="34">
        <f>IF(AND(AT$5&gt;=$F102,AT$5&lt;=$G102),3,"")</f>
        <v/>
      </c>
      <c r="AU102" s="34">
        <f>IF(AND(AU$5&gt;=$F102,AU$5&lt;=$G102),3,"")</f>
        <v/>
      </c>
      <c r="AV102" s="34">
        <f>IF(AND(AV$5&gt;=$F102,AV$5&lt;=$G102),3,"")</f>
        <v/>
      </c>
      <c r="AW102" s="34">
        <f>IF(AND(AW$5&gt;=$F102,AW$5&lt;=$G102),3,"")</f>
        <v/>
      </c>
      <c r="AX102" s="34">
        <f>IF(AND(AX$5&gt;=$F102,AX$5&lt;=$G102),3,"")</f>
        <v/>
      </c>
      <c r="AY102" s="34">
        <f>IF(AND(AY$5&gt;=$F102,AY$5&lt;=$G102),3,"")</f>
        <v/>
      </c>
      <c r="AZ102" s="34">
        <f>IF(AND(AZ$5&gt;=$F102,AZ$5&lt;=$G102),3,"")</f>
        <v/>
      </c>
      <c r="BA102" s="34">
        <f>IF(AND(BA$5&gt;=$F102,BA$5&lt;=$G102),3,"")</f>
        <v/>
      </c>
      <c r="BB102" s="34">
        <f>IF(AND(BB$5&gt;=$F102,BB$5&lt;=$G102),3,"")</f>
        <v/>
      </c>
      <c r="BC102" s="34">
        <f>IF(AND(BC$5&gt;=$F102,BC$5&lt;=$G102),3,"")</f>
        <v/>
      </c>
      <c r="BD102" s="34">
        <f>IF(AND(BD$5&gt;=$F102,BD$5&lt;=$G102),3,"")</f>
        <v/>
      </c>
      <c r="BE102" s="34">
        <f>IF(AND(BE$5&gt;=$F102,BE$5&lt;=$G102),3,"")</f>
        <v/>
      </c>
      <c r="BF102" s="34">
        <f>IF(AND(BF$5&gt;=$F102,BF$5&lt;=$G102),3,"")</f>
        <v/>
      </c>
      <c r="BG102" s="34">
        <f>IF(AND(BG$5&gt;=$F102,BG$5&lt;=$G102),3,"")</f>
        <v/>
      </c>
      <c r="BH102" s="34">
        <f>IF(AND(BH$5&gt;=$F102,BH$5&lt;=$G102),3,"")</f>
        <v/>
      </c>
      <c r="BI102" s="34">
        <f>IF(AND(BI$5&gt;=$F102,BI$5&lt;=$G102),3,"")</f>
        <v/>
      </c>
      <c r="BJ102" s="34">
        <f>IF(AND(BJ$5&gt;=$F102,BJ$5&lt;=$G102),3,"")</f>
        <v/>
      </c>
      <c r="BK102" s="34">
        <f>IF(AND(BK$5&gt;=$F102,BK$5&lt;=$G102),3,"")</f>
        <v/>
      </c>
      <c r="BL102" s="34">
        <f>IF(AND(BL$5&gt;=$F102,BL$5&lt;=$G102),3,"")</f>
        <v/>
      </c>
      <c r="BM102" s="34">
        <f>IF(AND(BM$5&gt;=$F102,BM$5&lt;=$G102),3,"")</f>
        <v/>
      </c>
      <c r="BN102" s="34">
        <f>IF(AND(BN$5&gt;=$F102,BN$5&lt;=$G102),3,"")</f>
        <v/>
      </c>
    </row>
    <row r="103" ht="14.25" customHeight="1" s="36">
      <c r="A103" s="13" t="inlineStr">
        <is>
          <t>3 Construcción</t>
        </is>
      </c>
      <c r="B103" s="13" t="inlineStr">
        <is>
          <t>3.7.4</t>
        </is>
      </c>
      <c r="C103" s="13" t="inlineStr">
        <is>
          <t>Saldos cargados en Concepción desde el conteo físico</t>
        </is>
      </c>
      <c r="D103" s="13" t="inlineStr">
        <is>
          <t>I</t>
        </is>
      </c>
      <c r="E103" s="13" t="inlineStr">
        <is>
          <t>Datos</t>
        </is>
      </c>
      <c r="F103" s="13" t="n">
        <v>11</v>
      </c>
      <c r="G103" s="13" t="n">
        <v>11</v>
      </c>
      <c r="H103" s="13">
        <f>G103-F103+1</f>
        <v/>
      </c>
      <c r="I103" s="31" t="n">
        <v>480</v>
      </c>
      <c r="J103" s="13" t="inlineStr">
        <is>
          <t>Con entregable (detalle por planificación gradual)</t>
        </is>
      </c>
      <c r="K103" s="34">
        <f>IF(AND(K$5&gt;=$F103,K$5&lt;=$G103),3,"")</f>
        <v/>
      </c>
      <c r="L103" s="34">
        <f>IF(AND(L$5&gt;=$F103,L$5&lt;=$G103),3,"")</f>
        <v/>
      </c>
      <c r="M103" s="34">
        <f>IF(AND(M$5&gt;=$F103,M$5&lt;=$G103),3,"")</f>
        <v/>
      </c>
      <c r="N103" s="34">
        <f>IF(AND(N$5&gt;=$F103,N$5&lt;=$G103),3,"")</f>
        <v/>
      </c>
      <c r="O103" s="34">
        <f>IF(AND(O$5&gt;=$F103,O$5&lt;=$G103),3,"")</f>
        <v/>
      </c>
      <c r="P103" s="34">
        <f>IF(AND(P$5&gt;=$F103,P$5&lt;=$G103),3,"")</f>
        <v/>
      </c>
      <c r="Q103" s="34">
        <f>IF(AND(Q$5&gt;=$F103,Q$5&lt;=$G103),3,"")</f>
        <v/>
      </c>
      <c r="R103" s="34">
        <f>IF(AND(R$5&gt;=$F103,R$5&lt;=$G103),3,"")</f>
        <v/>
      </c>
      <c r="S103" s="34">
        <f>IF(AND(S$5&gt;=$F103,S$5&lt;=$G103),3,"")</f>
        <v/>
      </c>
      <c r="T103" s="34">
        <f>IF(AND(T$5&gt;=$F103,T$5&lt;=$G103),3,"")</f>
        <v/>
      </c>
      <c r="U103" s="34">
        <f>IF(AND(U$5&gt;=$F103,U$5&lt;=$G103),3,"")</f>
        <v/>
      </c>
      <c r="V103" s="34">
        <f>IF(AND(V$5&gt;=$F103,V$5&lt;=$G103),3,"")</f>
        <v/>
      </c>
      <c r="W103" s="34">
        <f>IF(AND(W$5&gt;=$F103,W$5&lt;=$G103),3,"")</f>
        <v/>
      </c>
      <c r="X103" s="34">
        <f>IF(AND(X$5&gt;=$F103,X$5&lt;=$G103),3,"")</f>
        <v/>
      </c>
      <c r="Y103" s="34">
        <f>IF(AND(Y$5&gt;=$F103,Y$5&lt;=$G103),3,"")</f>
        <v/>
      </c>
      <c r="Z103" s="34">
        <f>IF(AND(Z$5&gt;=$F103,Z$5&lt;=$G103),3,"")</f>
        <v/>
      </c>
      <c r="AA103" s="34">
        <f>IF(AND(AA$5&gt;=$F103,AA$5&lt;=$G103),3,"")</f>
        <v/>
      </c>
      <c r="AB103" s="34">
        <f>IF(AND(AB$5&gt;=$F103,AB$5&lt;=$G103),3,"")</f>
        <v/>
      </c>
      <c r="AC103" s="34">
        <f>IF(AND(AC$5&gt;=$F103,AC$5&lt;=$G103),3,"")</f>
        <v/>
      </c>
      <c r="AD103" s="34">
        <f>IF(AND(AD$5&gt;=$F103,AD$5&lt;=$G103),3,"")</f>
        <v/>
      </c>
      <c r="AE103" s="34">
        <f>IF(AND(AE$5&gt;=$F103,AE$5&lt;=$G103),3,"")</f>
        <v/>
      </c>
      <c r="AF103" s="34">
        <f>IF(AND(AF$5&gt;=$F103,AF$5&lt;=$G103),3,"")</f>
        <v/>
      </c>
      <c r="AG103" s="34">
        <f>IF(AND(AG$5&gt;=$F103,AG$5&lt;=$G103),3,"")</f>
        <v/>
      </c>
      <c r="AH103" s="34">
        <f>IF(AND(AH$5&gt;=$F103,AH$5&lt;=$G103),3,"")</f>
        <v/>
      </c>
      <c r="AI103" s="34">
        <f>IF(AND(AI$5&gt;=$F103,AI$5&lt;=$G103),3,"")</f>
        <v/>
      </c>
      <c r="AJ103" s="34">
        <f>IF(AND(AJ$5&gt;=$F103,AJ$5&lt;=$G103),3,"")</f>
        <v/>
      </c>
      <c r="AK103" s="34">
        <f>IF(AND(AK$5&gt;=$F103,AK$5&lt;=$G103),3,"")</f>
        <v/>
      </c>
      <c r="AL103" s="34">
        <f>IF(AND(AL$5&gt;=$F103,AL$5&lt;=$G103),3,"")</f>
        <v/>
      </c>
      <c r="AM103" s="34">
        <f>IF(AND(AM$5&gt;=$F103,AM$5&lt;=$G103),3,"")</f>
        <v/>
      </c>
      <c r="AN103" s="34">
        <f>IF(AND(AN$5&gt;=$F103,AN$5&lt;=$G103),3,"")</f>
        <v/>
      </c>
      <c r="AO103" s="34">
        <f>IF(AND(AO$5&gt;=$F103,AO$5&lt;=$G103),3,"")</f>
        <v/>
      </c>
      <c r="AP103" s="34">
        <f>IF(AND(AP$5&gt;=$F103,AP$5&lt;=$G103),3,"")</f>
        <v/>
      </c>
      <c r="AQ103" s="34">
        <f>IF(AND(AQ$5&gt;=$F103,AQ$5&lt;=$G103),3,"")</f>
        <v/>
      </c>
      <c r="AR103" s="34">
        <f>IF(AND(AR$5&gt;=$F103,AR$5&lt;=$G103),3,"")</f>
        <v/>
      </c>
      <c r="AS103" s="34">
        <f>IF(AND(AS$5&gt;=$F103,AS$5&lt;=$G103),3,"")</f>
        <v/>
      </c>
      <c r="AT103" s="34">
        <f>IF(AND(AT$5&gt;=$F103,AT$5&lt;=$G103),3,"")</f>
        <v/>
      </c>
      <c r="AU103" s="34">
        <f>IF(AND(AU$5&gt;=$F103,AU$5&lt;=$G103),3,"")</f>
        <v/>
      </c>
      <c r="AV103" s="34">
        <f>IF(AND(AV$5&gt;=$F103,AV$5&lt;=$G103),3,"")</f>
        <v/>
      </c>
      <c r="AW103" s="34">
        <f>IF(AND(AW$5&gt;=$F103,AW$5&lt;=$G103),3,"")</f>
        <v/>
      </c>
      <c r="AX103" s="34">
        <f>IF(AND(AX$5&gt;=$F103,AX$5&lt;=$G103),3,"")</f>
        <v/>
      </c>
      <c r="AY103" s="34">
        <f>IF(AND(AY$5&gt;=$F103,AY$5&lt;=$G103),3,"")</f>
        <v/>
      </c>
      <c r="AZ103" s="34">
        <f>IF(AND(AZ$5&gt;=$F103,AZ$5&lt;=$G103),3,"")</f>
        <v/>
      </c>
      <c r="BA103" s="34">
        <f>IF(AND(BA$5&gt;=$F103,BA$5&lt;=$G103),3,"")</f>
        <v/>
      </c>
      <c r="BB103" s="34">
        <f>IF(AND(BB$5&gt;=$F103,BB$5&lt;=$G103),3,"")</f>
        <v/>
      </c>
      <c r="BC103" s="34">
        <f>IF(AND(BC$5&gt;=$F103,BC$5&lt;=$G103),3,"")</f>
        <v/>
      </c>
      <c r="BD103" s="34">
        <f>IF(AND(BD$5&gt;=$F103,BD$5&lt;=$G103),3,"")</f>
        <v/>
      </c>
      <c r="BE103" s="34">
        <f>IF(AND(BE$5&gt;=$F103,BE$5&lt;=$G103),3,"")</f>
        <v/>
      </c>
      <c r="BF103" s="34">
        <f>IF(AND(BF$5&gt;=$F103,BF$5&lt;=$G103),3,"")</f>
        <v/>
      </c>
      <c r="BG103" s="34">
        <f>IF(AND(BG$5&gt;=$F103,BG$5&lt;=$G103),3,"")</f>
        <v/>
      </c>
      <c r="BH103" s="34">
        <f>IF(AND(BH$5&gt;=$F103,BH$5&lt;=$G103),3,"")</f>
        <v/>
      </c>
      <c r="BI103" s="34">
        <f>IF(AND(BI$5&gt;=$F103,BI$5&lt;=$G103),3,"")</f>
        <v/>
      </c>
      <c r="BJ103" s="34">
        <f>IF(AND(BJ$5&gt;=$F103,BJ$5&lt;=$G103),3,"")</f>
        <v/>
      </c>
      <c r="BK103" s="34">
        <f>IF(AND(BK$5&gt;=$F103,BK$5&lt;=$G103),3,"")</f>
        <v/>
      </c>
      <c r="BL103" s="34">
        <f>IF(AND(BL$5&gt;=$F103,BL$5&lt;=$G103),3,"")</f>
        <v/>
      </c>
      <c r="BM103" s="34">
        <f>IF(AND(BM$5&gt;=$F103,BM$5&lt;=$G103),3,"")</f>
        <v/>
      </c>
      <c r="BN103" s="34">
        <f>IF(AND(BN$5&gt;=$F103,BN$5&lt;=$G103),3,"")</f>
        <v/>
      </c>
    </row>
    <row r="104" ht="14.25" customHeight="1" s="36">
      <c r="A104" s="13" t="inlineStr">
        <is>
          <t>3 Construcción</t>
        </is>
      </c>
      <c r="B104" s="13" t="inlineStr">
        <is>
          <t>3.7.5</t>
        </is>
      </c>
      <c r="C104" s="13" t="inlineStr">
        <is>
          <t>Acta de conciliación y corte fuera de las ventanas de congelamiento</t>
        </is>
      </c>
      <c r="D104" s="13" t="inlineStr">
        <is>
          <t>I</t>
        </is>
      </c>
      <c r="E104" s="13" t="inlineStr">
        <is>
          <t>Datos</t>
        </is>
      </c>
      <c r="F104" s="13" t="n">
        <v>12</v>
      </c>
      <c r="G104" s="13" t="n">
        <v>12</v>
      </c>
      <c r="H104" s="13">
        <f>G104-F104+1</f>
        <v/>
      </c>
      <c r="I104" s="31" t="n">
        <v>480</v>
      </c>
      <c r="J104" s="13" t="inlineStr">
        <is>
          <t>Con entregable (detalle por planificación gradual)</t>
        </is>
      </c>
      <c r="K104" s="34">
        <f>IF(AND(K$5&gt;=$F104,K$5&lt;=$G104),3,"")</f>
        <v/>
      </c>
      <c r="L104" s="34">
        <f>IF(AND(L$5&gt;=$F104,L$5&lt;=$G104),3,"")</f>
        <v/>
      </c>
      <c r="M104" s="34">
        <f>IF(AND(M$5&gt;=$F104,M$5&lt;=$G104),3,"")</f>
        <v/>
      </c>
      <c r="N104" s="34">
        <f>IF(AND(N$5&gt;=$F104,N$5&lt;=$G104),3,"")</f>
        <v/>
      </c>
      <c r="O104" s="34">
        <f>IF(AND(O$5&gt;=$F104,O$5&lt;=$G104),3,"")</f>
        <v/>
      </c>
      <c r="P104" s="34">
        <f>IF(AND(P$5&gt;=$F104,P$5&lt;=$G104),3,"")</f>
        <v/>
      </c>
      <c r="Q104" s="34">
        <f>IF(AND(Q$5&gt;=$F104,Q$5&lt;=$G104),3,"")</f>
        <v/>
      </c>
      <c r="R104" s="34">
        <f>IF(AND(R$5&gt;=$F104,R$5&lt;=$G104),3,"")</f>
        <v/>
      </c>
      <c r="S104" s="34">
        <f>IF(AND(S$5&gt;=$F104,S$5&lt;=$G104),3,"")</f>
        <v/>
      </c>
      <c r="T104" s="34">
        <f>IF(AND(T$5&gt;=$F104,T$5&lt;=$G104),3,"")</f>
        <v/>
      </c>
      <c r="U104" s="34">
        <f>IF(AND(U$5&gt;=$F104,U$5&lt;=$G104),3,"")</f>
        <v/>
      </c>
      <c r="V104" s="34">
        <f>IF(AND(V$5&gt;=$F104,V$5&lt;=$G104),3,"")</f>
        <v/>
      </c>
      <c r="W104" s="34">
        <f>IF(AND(W$5&gt;=$F104,W$5&lt;=$G104),3,"")</f>
        <v/>
      </c>
      <c r="X104" s="34">
        <f>IF(AND(X$5&gt;=$F104,X$5&lt;=$G104),3,"")</f>
        <v/>
      </c>
      <c r="Y104" s="34">
        <f>IF(AND(Y$5&gt;=$F104,Y$5&lt;=$G104),3,"")</f>
        <v/>
      </c>
      <c r="Z104" s="34">
        <f>IF(AND(Z$5&gt;=$F104,Z$5&lt;=$G104),3,"")</f>
        <v/>
      </c>
      <c r="AA104" s="34">
        <f>IF(AND(AA$5&gt;=$F104,AA$5&lt;=$G104),3,"")</f>
        <v/>
      </c>
      <c r="AB104" s="34">
        <f>IF(AND(AB$5&gt;=$F104,AB$5&lt;=$G104),3,"")</f>
        <v/>
      </c>
      <c r="AC104" s="34">
        <f>IF(AND(AC$5&gt;=$F104,AC$5&lt;=$G104),3,"")</f>
        <v/>
      </c>
      <c r="AD104" s="34">
        <f>IF(AND(AD$5&gt;=$F104,AD$5&lt;=$G104),3,"")</f>
        <v/>
      </c>
      <c r="AE104" s="34">
        <f>IF(AND(AE$5&gt;=$F104,AE$5&lt;=$G104),3,"")</f>
        <v/>
      </c>
      <c r="AF104" s="34">
        <f>IF(AND(AF$5&gt;=$F104,AF$5&lt;=$G104),3,"")</f>
        <v/>
      </c>
      <c r="AG104" s="34">
        <f>IF(AND(AG$5&gt;=$F104,AG$5&lt;=$G104),3,"")</f>
        <v/>
      </c>
      <c r="AH104" s="34">
        <f>IF(AND(AH$5&gt;=$F104,AH$5&lt;=$G104),3,"")</f>
        <v/>
      </c>
      <c r="AI104" s="34">
        <f>IF(AND(AI$5&gt;=$F104,AI$5&lt;=$G104),3,"")</f>
        <v/>
      </c>
      <c r="AJ104" s="34">
        <f>IF(AND(AJ$5&gt;=$F104,AJ$5&lt;=$G104),3,"")</f>
        <v/>
      </c>
      <c r="AK104" s="34">
        <f>IF(AND(AK$5&gt;=$F104,AK$5&lt;=$G104),3,"")</f>
        <v/>
      </c>
      <c r="AL104" s="34">
        <f>IF(AND(AL$5&gt;=$F104,AL$5&lt;=$G104),3,"")</f>
        <v/>
      </c>
      <c r="AM104" s="34">
        <f>IF(AND(AM$5&gt;=$F104,AM$5&lt;=$G104),3,"")</f>
        <v/>
      </c>
      <c r="AN104" s="34">
        <f>IF(AND(AN$5&gt;=$F104,AN$5&lt;=$G104),3,"")</f>
        <v/>
      </c>
      <c r="AO104" s="34">
        <f>IF(AND(AO$5&gt;=$F104,AO$5&lt;=$G104),3,"")</f>
        <v/>
      </c>
      <c r="AP104" s="34">
        <f>IF(AND(AP$5&gt;=$F104,AP$5&lt;=$G104),3,"")</f>
        <v/>
      </c>
      <c r="AQ104" s="34">
        <f>IF(AND(AQ$5&gt;=$F104,AQ$5&lt;=$G104),3,"")</f>
        <v/>
      </c>
      <c r="AR104" s="34">
        <f>IF(AND(AR$5&gt;=$F104,AR$5&lt;=$G104),3,"")</f>
        <v/>
      </c>
      <c r="AS104" s="34">
        <f>IF(AND(AS$5&gt;=$F104,AS$5&lt;=$G104),3,"")</f>
        <v/>
      </c>
      <c r="AT104" s="34">
        <f>IF(AND(AT$5&gt;=$F104,AT$5&lt;=$G104),3,"")</f>
        <v/>
      </c>
      <c r="AU104" s="34">
        <f>IF(AND(AU$5&gt;=$F104,AU$5&lt;=$G104),3,"")</f>
        <v/>
      </c>
      <c r="AV104" s="34">
        <f>IF(AND(AV$5&gt;=$F104,AV$5&lt;=$G104),3,"")</f>
        <v/>
      </c>
      <c r="AW104" s="34">
        <f>IF(AND(AW$5&gt;=$F104,AW$5&lt;=$G104),3,"")</f>
        <v/>
      </c>
      <c r="AX104" s="34">
        <f>IF(AND(AX$5&gt;=$F104,AX$5&lt;=$G104),3,"")</f>
        <v/>
      </c>
      <c r="AY104" s="34">
        <f>IF(AND(AY$5&gt;=$F104,AY$5&lt;=$G104),3,"")</f>
        <v/>
      </c>
      <c r="AZ104" s="34">
        <f>IF(AND(AZ$5&gt;=$F104,AZ$5&lt;=$G104),3,"")</f>
        <v/>
      </c>
      <c r="BA104" s="34">
        <f>IF(AND(BA$5&gt;=$F104,BA$5&lt;=$G104),3,"")</f>
        <v/>
      </c>
      <c r="BB104" s="34">
        <f>IF(AND(BB$5&gt;=$F104,BB$5&lt;=$G104),3,"")</f>
        <v/>
      </c>
      <c r="BC104" s="34">
        <f>IF(AND(BC$5&gt;=$F104,BC$5&lt;=$G104),3,"")</f>
        <v/>
      </c>
      <c r="BD104" s="34">
        <f>IF(AND(BD$5&gt;=$F104,BD$5&lt;=$G104),3,"")</f>
        <v/>
      </c>
      <c r="BE104" s="34">
        <f>IF(AND(BE$5&gt;=$F104,BE$5&lt;=$G104),3,"")</f>
        <v/>
      </c>
      <c r="BF104" s="34">
        <f>IF(AND(BF$5&gt;=$F104,BF$5&lt;=$G104),3,"")</f>
        <v/>
      </c>
      <c r="BG104" s="34">
        <f>IF(AND(BG$5&gt;=$F104,BG$5&lt;=$G104),3,"")</f>
        <v/>
      </c>
      <c r="BH104" s="34">
        <f>IF(AND(BH$5&gt;=$F104,BH$5&lt;=$G104),3,"")</f>
        <v/>
      </c>
      <c r="BI104" s="34">
        <f>IF(AND(BI$5&gt;=$F104,BI$5&lt;=$G104),3,"")</f>
        <v/>
      </c>
      <c r="BJ104" s="34">
        <f>IF(AND(BJ$5&gt;=$F104,BJ$5&lt;=$G104),3,"")</f>
        <v/>
      </c>
      <c r="BK104" s="34">
        <f>IF(AND(BK$5&gt;=$F104,BK$5&lt;=$G104),3,"")</f>
        <v/>
      </c>
      <c r="BL104" s="34">
        <f>IF(AND(BL$5&gt;=$F104,BL$5&lt;=$G104),3,"")</f>
        <v/>
      </c>
      <c r="BM104" s="34">
        <f>IF(AND(BM$5&gt;=$F104,BM$5&lt;=$G104),3,"")</f>
        <v/>
      </c>
      <c r="BN104" s="34">
        <f>IF(AND(BN$5&gt;=$F104,BN$5&lt;=$G104),3,"")</f>
        <v/>
      </c>
    </row>
    <row r="105" ht="14.25" customHeight="1" s="36">
      <c r="A105" s="13" t="inlineStr">
        <is>
          <t>3 Construcción</t>
        </is>
      </c>
      <c r="B105" s="13" t="inlineStr">
        <is>
          <t>3.8.1</t>
        </is>
      </c>
      <c r="C105" s="13" t="inlineStr">
        <is>
          <t>Pruebas de integración, regresión e idempotencia en QA (H4)</t>
        </is>
      </c>
      <c r="D105" s="13" t="inlineStr">
        <is>
          <t>V</t>
        </is>
      </c>
      <c r="E105" s="13" t="inlineStr">
        <is>
          <t>Calidad y pruebas</t>
        </is>
      </c>
      <c r="F105" s="13" t="n">
        <v>9</v>
      </c>
      <c r="G105" s="13" t="n">
        <v>9</v>
      </c>
      <c r="H105" s="13">
        <f>G105-F105+1</f>
        <v/>
      </c>
      <c r="I105" s="31" t="n">
        <v>160</v>
      </c>
      <c r="J105" s="13" t="inlineStr">
        <is>
          <t>Con entregable (detalle por planificación gradual)</t>
        </is>
      </c>
      <c r="K105" s="34">
        <f>IF(AND(K$5&gt;=$F105,K$5&lt;=$G105),3,"")</f>
        <v/>
      </c>
      <c r="L105" s="34">
        <f>IF(AND(L$5&gt;=$F105,L$5&lt;=$G105),3,"")</f>
        <v/>
      </c>
      <c r="M105" s="34">
        <f>IF(AND(M$5&gt;=$F105,M$5&lt;=$G105),3,"")</f>
        <v/>
      </c>
      <c r="N105" s="34">
        <f>IF(AND(N$5&gt;=$F105,N$5&lt;=$G105),3,"")</f>
        <v/>
      </c>
      <c r="O105" s="34">
        <f>IF(AND(O$5&gt;=$F105,O$5&lt;=$G105),3,"")</f>
        <v/>
      </c>
      <c r="P105" s="34">
        <f>IF(AND(P$5&gt;=$F105,P$5&lt;=$G105),3,"")</f>
        <v/>
      </c>
      <c r="Q105" s="34">
        <f>IF(AND(Q$5&gt;=$F105,Q$5&lt;=$G105),3,"")</f>
        <v/>
      </c>
      <c r="R105" s="34">
        <f>IF(AND(R$5&gt;=$F105,R$5&lt;=$G105),3,"")</f>
        <v/>
      </c>
      <c r="S105" s="34">
        <f>IF(AND(S$5&gt;=$F105,S$5&lt;=$G105),3,"")</f>
        <v/>
      </c>
      <c r="T105" s="34">
        <f>IF(AND(T$5&gt;=$F105,T$5&lt;=$G105),3,"")</f>
        <v/>
      </c>
      <c r="U105" s="34">
        <f>IF(AND(U$5&gt;=$F105,U$5&lt;=$G105),3,"")</f>
        <v/>
      </c>
      <c r="V105" s="34">
        <f>IF(AND(V$5&gt;=$F105,V$5&lt;=$G105),3,"")</f>
        <v/>
      </c>
      <c r="W105" s="34">
        <f>IF(AND(W$5&gt;=$F105,W$5&lt;=$G105),3,"")</f>
        <v/>
      </c>
      <c r="X105" s="34">
        <f>IF(AND(X$5&gt;=$F105,X$5&lt;=$G105),3,"")</f>
        <v/>
      </c>
      <c r="Y105" s="34">
        <f>IF(AND(Y$5&gt;=$F105,Y$5&lt;=$G105),3,"")</f>
        <v/>
      </c>
      <c r="Z105" s="34">
        <f>IF(AND(Z$5&gt;=$F105,Z$5&lt;=$G105),3,"")</f>
        <v/>
      </c>
      <c r="AA105" s="34">
        <f>IF(AND(AA$5&gt;=$F105,AA$5&lt;=$G105),3,"")</f>
        <v/>
      </c>
      <c r="AB105" s="34">
        <f>IF(AND(AB$5&gt;=$F105,AB$5&lt;=$G105),3,"")</f>
        <v/>
      </c>
      <c r="AC105" s="34">
        <f>IF(AND(AC$5&gt;=$F105,AC$5&lt;=$G105),3,"")</f>
        <v/>
      </c>
      <c r="AD105" s="34">
        <f>IF(AND(AD$5&gt;=$F105,AD$5&lt;=$G105),3,"")</f>
        <v/>
      </c>
      <c r="AE105" s="34">
        <f>IF(AND(AE$5&gt;=$F105,AE$5&lt;=$G105),3,"")</f>
        <v/>
      </c>
      <c r="AF105" s="34">
        <f>IF(AND(AF$5&gt;=$F105,AF$5&lt;=$G105),3,"")</f>
        <v/>
      </c>
      <c r="AG105" s="34">
        <f>IF(AND(AG$5&gt;=$F105,AG$5&lt;=$G105),3,"")</f>
        <v/>
      </c>
      <c r="AH105" s="34">
        <f>IF(AND(AH$5&gt;=$F105,AH$5&lt;=$G105),3,"")</f>
        <v/>
      </c>
      <c r="AI105" s="34">
        <f>IF(AND(AI$5&gt;=$F105,AI$5&lt;=$G105),3,"")</f>
        <v/>
      </c>
      <c r="AJ105" s="34">
        <f>IF(AND(AJ$5&gt;=$F105,AJ$5&lt;=$G105),3,"")</f>
        <v/>
      </c>
      <c r="AK105" s="34">
        <f>IF(AND(AK$5&gt;=$F105,AK$5&lt;=$G105),3,"")</f>
        <v/>
      </c>
      <c r="AL105" s="34">
        <f>IF(AND(AL$5&gt;=$F105,AL$5&lt;=$G105),3,"")</f>
        <v/>
      </c>
      <c r="AM105" s="34">
        <f>IF(AND(AM$5&gt;=$F105,AM$5&lt;=$G105),3,"")</f>
        <v/>
      </c>
      <c r="AN105" s="34">
        <f>IF(AND(AN$5&gt;=$F105,AN$5&lt;=$G105),3,"")</f>
        <v/>
      </c>
      <c r="AO105" s="34">
        <f>IF(AND(AO$5&gt;=$F105,AO$5&lt;=$G105),3,"")</f>
        <v/>
      </c>
      <c r="AP105" s="34">
        <f>IF(AND(AP$5&gt;=$F105,AP$5&lt;=$G105),3,"")</f>
        <v/>
      </c>
      <c r="AQ105" s="34">
        <f>IF(AND(AQ$5&gt;=$F105,AQ$5&lt;=$G105),3,"")</f>
        <v/>
      </c>
      <c r="AR105" s="34">
        <f>IF(AND(AR$5&gt;=$F105,AR$5&lt;=$G105),3,"")</f>
        <v/>
      </c>
      <c r="AS105" s="34">
        <f>IF(AND(AS$5&gt;=$F105,AS$5&lt;=$G105),3,"")</f>
        <v/>
      </c>
      <c r="AT105" s="34">
        <f>IF(AND(AT$5&gt;=$F105,AT$5&lt;=$G105),3,"")</f>
        <v/>
      </c>
      <c r="AU105" s="34">
        <f>IF(AND(AU$5&gt;=$F105,AU$5&lt;=$G105),3,"")</f>
        <v/>
      </c>
      <c r="AV105" s="34">
        <f>IF(AND(AV$5&gt;=$F105,AV$5&lt;=$G105),3,"")</f>
        <v/>
      </c>
      <c r="AW105" s="34">
        <f>IF(AND(AW$5&gt;=$F105,AW$5&lt;=$G105),3,"")</f>
        <v/>
      </c>
      <c r="AX105" s="34">
        <f>IF(AND(AX$5&gt;=$F105,AX$5&lt;=$G105),3,"")</f>
        <v/>
      </c>
      <c r="AY105" s="34">
        <f>IF(AND(AY$5&gt;=$F105,AY$5&lt;=$G105),3,"")</f>
        <v/>
      </c>
      <c r="AZ105" s="34">
        <f>IF(AND(AZ$5&gt;=$F105,AZ$5&lt;=$G105),3,"")</f>
        <v/>
      </c>
      <c r="BA105" s="34">
        <f>IF(AND(BA$5&gt;=$F105,BA$5&lt;=$G105),3,"")</f>
        <v/>
      </c>
      <c r="BB105" s="34">
        <f>IF(AND(BB$5&gt;=$F105,BB$5&lt;=$G105),3,"")</f>
        <v/>
      </c>
      <c r="BC105" s="34">
        <f>IF(AND(BC$5&gt;=$F105,BC$5&lt;=$G105),3,"")</f>
        <v/>
      </c>
      <c r="BD105" s="34">
        <f>IF(AND(BD$5&gt;=$F105,BD$5&lt;=$G105),3,"")</f>
        <v/>
      </c>
      <c r="BE105" s="34">
        <f>IF(AND(BE$5&gt;=$F105,BE$5&lt;=$G105),3,"")</f>
        <v/>
      </c>
      <c r="BF105" s="34">
        <f>IF(AND(BF$5&gt;=$F105,BF$5&lt;=$G105),3,"")</f>
        <v/>
      </c>
      <c r="BG105" s="34">
        <f>IF(AND(BG$5&gt;=$F105,BG$5&lt;=$G105),3,"")</f>
        <v/>
      </c>
      <c r="BH105" s="34">
        <f>IF(AND(BH$5&gt;=$F105,BH$5&lt;=$G105),3,"")</f>
        <v/>
      </c>
      <c r="BI105" s="34">
        <f>IF(AND(BI$5&gt;=$F105,BI$5&lt;=$G105),3,"")</f>
        <v/>
      </c>
      <c r="BJ105" s="34">
        <f>IF(AND(BJ$5&gt;=$F105,BJ$5&lt;=$G105),3,"")</f>
        <v/>
      </c>
      <c r="BK105" s="34">
        <f>IF(AND(BK$5&gt;=$F105,BK$5&lt;=$G105),3,"")</f>
        <v/>
      </c>
      <c r="BL105" s="34">
        <f>IF(AND(BL$5&gt;=$F105,BL$5&lt;=$G105),3,"")</f>
        <v/>
      </c>
      <c r="BM105" s="34">
        <f>IF(AND(BM$5&gt;=$F105,BM$5&lt;=$G105),3,"")</f>
        <v/>
      </c>
      <c r="BN105" s="34">
        <f>IF(AND(BN$5&gt;=$F105,BN$5&lt;=$G105),3,"")</f>
        <v/>
      </c>
    </row>
    <row r="106" ht="14.25" customHeight="1" s="36">
      <c r="A106" s="13" t="inlineStr">
        <is>
          <t>3 Construcción</t>
        </is>
      </c>
      <c r="B106" s="13" t="inlineStr">
        <is>
          <t>3.8.2</t>
        </is>
      </c>
      <c r="C106" s="13" t="inlineStr">
        <is>
          <t>Pruebas de aceptación y de accesibilidad con preventistas, conductores y bodega</t>
        </is>
      </c>
      <c r="D106" s="13" t="inlineStr">
        <is>
          <t>V</t>
        </is>
      </c>
      <c r="E106" s="13" t="inlineStr">
        <is>
          <t>Calidad y pruebas</t>
        </is>
      </c>
      <c r="F106" s="13" t="n">
        <v>9</v>
      </c>
      <c r="G106" s="13" t="n">
        <v>10</v>
      </c>
      <c r="H106" s="13">
        <f>G106-F106+1</f>
        <v/>
      </c>
      <c r="I106" s="31" t="n">
        <v>320</v>
      </c>
      <c r="J106" s="13" t="inlineStr">
        <is>
          <t>Con entregable (detalle por planificación gradual)</t>
        </is>
      </c>
      <c r="K106" s="34">
        <f>IF(AND(K$5&gt;=$F106,K$5&lt;=$G106),3,"")</f>
        <v/>
      </c>
      <c r="L106" s="34">
        <f>IF(AND(L$5&gt;=$F106,L$5&lt;=$G106),3,"")</f>
        <v/>
      </c>
      <c r="M106" s="34">
        <f>IF(AND(M$5&gt;=$F106,M$5&lt;=$G106),3,"")</f>
        <v/>
      </c>
      <c r="N106" s="34">
        <f>IF(AND(N$5&gt;=$F106,N$5&lt;=$G106),3,"")</f>
        <v/>
      </c>
      <c r="O106" s="34">
        <f>IF(AND(O$5&gt;=$F106,O$5&lt;=$G106),3,"")</f>
        <v/>
      </c>
      <c r="P106" s="34">
        <f>IF(AND(P$5&gt;=$F106,P$5&lt;=$G106),3,"")</f>
        <v/>
      </c>
      <c r="Q106" s="34">
        <f>IF(AND(Q$5&gt;=$F106,Q$5&lt;=$G106),3,"")</f>
        <v/>
      </c>
      <c r="R106" s="34">
        <f>IF(AND(R$5&gt;=$F106,R$5&lt;=$G106),3,"")</f>
        <v/>
      </c>
      <c r="S106" s="34">
        <f>IF(AND(S$5&gt;=$F106,S$5&lt;=$G106),3,"")</f>
        <v/>
      </c>
      <c r="T106" s="34">
        <f>IF(AND(T$5&gt;=$F106,T$5&lt;=$G106),3,"")</f>
        <v/>
      </c>
      <c r="U106" s="34">
        <f>IF(AND(U$5&gt;=$F106,U$5&lt;=$G106),3,"")</f>
        <v/>
      </c>
      <c r="V106" s="34">
        <f>IF(AND(V$5&gt;=$F106,V$5&lt;=$G106),3,"")</f>
        <v/>
      </c>
      <c r="W106" s="34">
        <f>IF(AND(W$5&gt;=$F106,W$5&lt;=$G106),3,"")</f>
        <v/>
      </c>
      <c r="X106" s="34">
        <f>IF(AND(X$5&gt;=$F106,X$5&lt;=$G106),3,"")</f>
        <v/>
      </c>
      <c r="Y106" s="34">
        <f>IF(AND(Y$5&gt;=$F106,Y$5&lt;=$G106),3,"")</f>
        <v/>
      </c>
      <c r="Z106" s="34">
        <f>IF(AND(Z$5&gt;=$F106,Z$5&lt;=$G106),3,"")</f>
        <v/>
      </c>
      <c r="AA106" s="34">
        <f>IF(AND(AA$5&gt;=$F106,AA$5&lt;=$G106),3,"")</f>
        <v/>
      </c>
      <c r="AB106" s="34">
        <f>IF(AND(AB$5&gt;=$F106,AB$5&lt;=$G106),3,"")</f>
        <v/>
      </c>
      <c r="AC106" s="34">
        <f>IF(AND(AC$5&gt;=$F106,AC$5&lt;=$G106),3,"")</f>
        <v/>
      </c>
      <c r="AD106" s="34">
        <f>IF(AND(AD$5&gt;=$F106,AD$5&lt;=$G106),3,"")</f>
        <v/>
      </c>
      <c r="AE106" s="34">
        <f>IF(AND(AE$5&gt;=$F106,AE$5&lt;=$G106),3,"")</f>
        <v/>
      </c>
      <c r="AF106" s="34">
        <f>IF(AND(AF$5&gt;=$F106,AF$5&lt;=$G106),3,"")</f>
        <v/>
      </c>
      <c r="AG106" s="34">
        <f>IF(AND(AG$5&gt;=$F106,AG$5&lt;=$G106),3,"")</f>
        <v/>
      </c>
      <c r="AH106" s="34">
        <f>IF(AND(AH$5&gt;=$F106,AH$5&lt;=$G106),3,"")</f>
        <v/>
      </c>
      <c r="AI106" s="34">
        <f>IF(AND(AI$5&gt;=$F106,AI$5&lt;=$G106),3,"")</f>
        <v/>
      </c>
      <c r="AJ106" s="34">
        <f>IF(AND(AJ$5&gt;=$F106,AJ$5&lt;=$G106),3,"")</f>
        <v/>
      </c>
      <c r="AK106" s="34">
        <f>IF(AND(AK$5&gt;=$F106,AK$5&lt;=$G106),3,"")</f>
        <v/>
      </c>
      <c r="AL106" s="34">
        <f>IF(AND(AL$5&gt;=$F106,AL$5&lt;=$G106),3,"")</f>
        <v/>
      </c>
      <c r="AM106" s="34">
        <f>IF(AND(AM$5&gt;=$F106,AM$5&lt;=$G106),3,"")</f>
        <v/>
      </c>
      <c r="AN106" s="34">
        <f>IF(AND(AN$5&gt;=$F106,AN$5&lt;=$G106),3,"")</f>
        <v/>
      </c>
      <c r="AO106" s="34">
        <f>IF(AND(AO$5&gt;=$F106,AO$5&lt;=$G106),3,"")</f>
        <v/>
      </c>
      <c r="AP106" s="34">
        <f>IF(AND(AP$5&gt;=$F106,AP$5&lt;=$G106),3,"")</f>
        <v/>
      </c>
      <c r="AQ106" s="34">
        <f>IF(AND(AQ$5&gt;=$F106,AQ$5&lt;=$G106),3,"")</f>
        <v/>
      </c>
      <c r="AR106" s="34">
        <f>IF(AND(AR$5&gt;=$F106,AR$5&lt;=$G106),3,"")</f>
        <v/>
      </c>
      <c r="AS106" s="34">
        <f>IF(AND(AS$5&gt;=$F106,AS$5&lt;=$G106),3,"")</f>
        <v/>
      </c>
      <c r="AT106" s="34">
        <f>IF(AND(AT$5&gt;=$F106,AT$5&lt;=$G106),3,"")</f>
        <v/>
      </c>
      <c r="AU106" s="34">
        <f>IF(AND(AU$5&gt;=$F106,AU$5&lt;=$G106),3,"")</f>
        <v/>
      </c>
      <c r="AV106" s="34">
        <f>IF(AND(AV$5&gt;=$F106,AV$5&lt;=$G106),3,"")</f>
        <v/>
      </c>
      <c r="AW106" s="34">
        <f>IF(AND(AW$5&gt;=$F106,AW$5&lt;=$G106),3,"")</f>
        <v/>
      </c>
      <c r="AX106" s="34">
        <f>IF(AND(AX$5&gt;=$F106,AX$5&lt;=$G106),3,"")</f>
        <v/>
      </c>
      <c r="AY106" s="34">
        <f>IF(AND(AY$5&gt;=$F106,AY$5&lt;=$G106),3,"")</f>
        <v/>
      </c>
      <c r="AZ106" s="34">
        <f>IF(AND(AZ$5&gt;=$F106,AZ$5&lt;=$G106),3,"")</f>
        <v/>
      </c>
      <c r="BA106" s="34">
        <f>IF(AND(BA$5&gt;=$F106,BA$5&lt;=$G106),3,"")</f>
        <v/>
      </c>
      <c r="BB106" s="34">
        <f>IF(AND(BB$5&gt;=$F106,BB$5&lt;=$G106),3,"")</f>
        <v/>
      </c>
      <c r="BC106" s="34">
        <f>IF(AND(BC$5&gt;=$F106,BC$5&lt;=$G106),3,"")</f>
        <v/>
      </c>
      <c r="BD106" s="34">
        <f>IF(AND(BD$5&gt;=$F106,BD$5&lt;=$G106),3,"")</f>
        <v/>
      </c>
      <c r="BE106" s="34">
        <f>IF(AND(BE$5&gt;=$F106,BE$5&lt;=$G106),3,"")</f>
        <v/>
      </c>
      <c r="BF106" s="34">
        <f>IF(AND(BF$5&gt;=$F106,BF$5&lt;=$G106),3,"")</f>
        <v/>
      </c>
      <c r="BG106" s="34">
        <f>IF(AND(BG$5&gt;=$F106,BG$5&lt;=$G106),3,"")</f>
        <v/>
      </c>
      <c r="BH106" s="34">
        <f>IF(AND(BH$5&gt;=$F106,BH$5&lt;=$G106),3,"")</f>
        <v/>
      </c>
      <c r="BI106" s="34">
        <f>IF(AND(BI$5&gt;=$F106,BI$5&lt;=$G106),3,"")</f>
        <v/>
      </c>
      <c r="BJ106" s="34">
        <f>IF(AND(BJ$5&gt;=$F106,BJ$5&lt;=$G106),3,"")</f>
        <v/>
      </c>
      <c r="BK106" s="34">
        <f>IF(AND(BK$5&gt;=$F106,BK$5&lt;=$G106),3,"")</f>
        <v/>
      </c>
      <c r="BL106" s="34">
        <f>IF(AND(BL$5&gt;=$F106,BL$5&lt;=$G106),3,"")</f>
        <v/>
      </c>
      <c r="BM106" s="34">
        <f>IF(AND(BM$5&gt;=$F106,BM$5&lt;=$G106),3,"")</f>
        <v/>
      </c>
      <c r="BN106" s="34">
        <f>IF(AND(BN$5&gt;=$F106,BN$5&lt;=$G106),3,"")</f>
        <v/>
      </c>
    </row>
    <row r="107" ht="14.25" customHeight="1" s="36">
      <c r="A107" s="13" t="inlineStr">
        <is>
          <t>3 Construcción</t>
        </is>
      </c>
      <c r="B107" s="13" t="inlineStr">
        <is>
          <t>3.8.3</t>
        </is>
      </c>
      <c r="C107" s="13" t="inlineStr">
        <is>
          <t>Pruebas del perfil operacional: sin señal, sin enlace y a −22 °C con guantes</t>
        </is>
      </c>
      <c r="D107" s="13" t="inlineStr">
        <is>
          <t>V</t>
        </is>
      </c>
      <c r="E107" s="13" t="inlineStr">
        <is>
          <t>Calidad y pruebas</t>
        </is>
      </c>
      <c r="F107" s="13" t="n">
        <v>9</v>
      </c>
      <c r="G107" s="13" t="n">
        <v>10</v>
      </c>
      <c r="H107" s="13">
        <f>G107-F107+1</f>
        <v/>
      </c>
      <c r="I107" s="31" t="n">
        <v>320</v>
      </c>
      <c r="J107" s="13" t="inlineStr">
        <is>
          <t>Con entregable (detalle por planificación gradual)</t>
        </is>
      </c>
      <c r="K107" s="34">
        <f>IF(AND(K$5&gt;=$F107,K$5&lt;=$G107),3,"")</f>
        <v/>
      </c>
      <c r="L107" s="34">
        <f>IF(AND(L$5&gt;=$F107,L$5&lt;=$G107),3,"")</f>
        <v/>
      </c>
      <c r="M107" s="34">
        <f>IF(AND(M$5&gt;=$F107,M$5&lt;=$G107),3,"")</f>
        <v/>
      </c>
      <c r="N107" s="34">
        <f>IF(AND(N$5&gt;=$F107,N$5&lt;=$G107),3,"")</f>
        <v/>
      </c>
      <c r="O107" s="34">
        <f>IF(AND(O$5&gt;=$F107,O$5&lt;=$G107),3,"")</f>
        <v/>
      </c>
      <c r="P107" s="34">
        <f>IF(AND(P$5&gt;=$F107,P$5&lt;=$G107),3,"")</f>
        <v/>
      </c>
      <c r="Q107" s="34">
        <f>IF(AND(Q$5&gt;=$F107,Q$5&lt;=$G107),3,"")</f>
        <v/>
      </c>
      <c r="R107" s="34">
        <f>IF(AND(R$5&gt;=$F107,R$5&lt;=$G107),3,"")</f>
        <v/>
      </c>
      <c r="S107" s="34">
        <f>IF(AND(S$5&gt;=$F107,S$5&lt;=$G107),3,"")</f>
        <v/>
      </c>
      <c r="T107" s="34">
        <f>IF(AND(T$5&gt;=$F107,T$5&lt;=$G107),3,"")</f>
        <v/>
      </c>
      <c r="U107" s="34">
        <f>IF(AND(U$5&gt;=$F107,U$5&lt;=$G107),3,"")</f>
        <v/>
      </c>
      <c r="V107" s="34">
        <f>IF(AND(V$5&gt;=$F107,V$5&lt;=$G107),3,"")</f>
        <v/>
      </c>
      <c r="W107" s="34">
        <f>IF(AND(W$5&gt;=$F107,W$5&lt;=$G107),3,"")</f>
        <v/>
      </c>
      <c r="X107" s="34">
        <f>IF(AND(X$5&gt;=$F107,X$5&lt;=$G107),3,"")</f>
        <v/>
      </c>
      <c r="Y107" s="34">
        <f>IF(AND(Y$5&gt;=$F107,Y$5&lt;=$G107),3,"")</f>
        <v/>
      </c>
      <c r="Z107" s="34">
        <f>IF(AND(Z$5&gt;=$F107,Z$5&lt;=$G107),3,"")</f>
        <v/>
      </c>
      <c r="AA107" s="34">
        <f>IF(AND(AA$5&gt;=$F107,AA$5&lt;=$G107),3,"")</f>
        <v/>
      </c>
      <c r="AB107" s="34">
        <f>IF(AND(AB$5&gt;=$F107,AB$5&lt;=$G107),3,"")</f>
        <v/>
      </c>
      <c r="AC107" s="34">
        <f>IF(AND(AC$5&gt;=$F107,AC$5&lt;=$G107),3,"")</f>
        <v/>
      </c>
      <c r="AD107" s="34">
        <f>IF(AND(AD$5&gt;=$F107,AD$5&lt;=$G107),3,"")</f>
        <v/>
      </c>
      <c r="AE107" s="34">
        <f>IF(AND(AE$5&gt;=$F107,AE$5&lt;=$G107),3,"")</f>
        <v/>
      </c>
      <c r="AF107" s="34">
        <f>IF(AND(AF$5&gt;=$F107,AF$5&lt;=$G107),3,"")</f>
        <v/>
      </c>
      <c r="AG107" s="34">
        <f>IF(AND(AG$5&gt;=$F107,AG$5&lt;=$G107),3,"")</f>
        <v/>
      </c>
      <c r="AH107" s="34">
        <f>IF(AND(AH$5&gt;=$F107,AH$5&lt;=$G107),3,"")</f>
        <v/>
      </c>
      <c r="AI107" s="34">
        <f>IF(AND(AI$5&gt;=$F107,AI$5&lt;=$G107),3,"")</f>
        <v/>
      </c>
      <c r="AJ107" s="34">
        <f>IF(AND(AJ$5&gt;=$F107,AJ$5&lt;=$G107),3,"")</f>
        <v/>
      </c>
      <c r="AK107" s="34">
        <f>IF(AND(AK$5&gt;=$F107,AK$5&lt;=$G107),3,"")</f>
        <v/>
      </c>
      <c r="AL107" s="34">
        <f>IF(AND(AL$5&gt;=$F107,AL$5&lt;=$G107),3,"")</f>
        <v/>
      </c>
      <c r="AM107" s="34">
        <f>IF(AND(AM$5&gt;=$F107,AM$5&lt;=$G107),3,"")</f>
        <v/>
      </c>
      <c r="AN107" s="34">
        <f>IF(AND(AN$5&gt;=$F107,AN$5&lt;=$G107),3,"")</f>
        <v/>
      </c>
      <c r="AO107" s="34">
        <f>IF(AND(AO$5&gt;=$F107,AO$5&lt;=$G107),3,"")</f>
        <v/>
      </c>
      <c r="AP107" s="34">
        <f>IF(AND(AP$5&gt;=$F107,AP$5&lt;=$G107),3,"")</f>
        <v/>
      </c>
      <c r="AQ107" s="34">
        <f>IF(AND(AQ$5&gt;=$F107,AQ$5&lt;=$G107),3,"")</f>
        <v/>
      </c>
      <c r="AR107" s="34">
        <f>IF(AND(AR$5&gt;=$F107,AR$5&lt;=$G107),3,"")</f>
        <v/>
      </c>
      <c r="AS107" s="34">
        <f>IF(AND(AS$5&gt;=$F107,AS$5&lt;=$G107),3,"")</f>
        <v/>
      </c>
      <c r="AT107" s="34">
        <f>IF(AND(AT$5&gt;=$F107,AT$5&lt;=$G107),3,"")</f>
        <v/>
      </c>
      <c r="AU107" s="34">
        <f>IF(AND(AU$5&gt;=$F107,AU$5&lt;=$G107),3,"")</f>
        <v/>
      </c>
      <c r="AV107" s="34">
        <f>IF(AND(AV$5&gt;=$F107,AV$5&lt;=$G107),3,"")</f>
        <v/>
      </c>
      <c r="AW107" s="34">
        <f>IF(AND(AW$5&gt;=$F107,AW$5&lt;=$G107),3,"")</f>
        <v/>
      </c>
      <c r="AX107" s="34">
        <f>IF(AND(AX$5&gt;=$F107,AX$5&lt;=$G107),3,"")</f>
        <v/>
      </c>
      <c r="AY107" s="34">
        <f>IF(AND(AY$5&gt;=$F107,AY$5&lt;=$G107),3,"")</f>
        <v/>
      </c>
      <c r="AZ107" s="34">
        <f>IF(AND(AZ$5&gt;=$F107,AZ$5&lt;=$G107),3,"")</f>
        <v/>
      </c>
      <c r="BA107" s="34">
        <f>IF(AND(BA$5&gt;=$F107,BA$5&lt;=$G107),3,"")</f>
        <v/>
      </c>
      <c r="BB107" s="34">
        <f>IF(AND(BB$5&gt;=$F107,BB$5&lt;=$G107),3,"")</f>
        <v/>
      </c>
      <c r="BC107" s="34">
        <f>IF(AND(BC$5&gt;=$F107,BC$5&lt;=$G107),3,"")</f>
        <v/>
      </c>
      <c r="BD107" s="34">
        <f>IF(AND(BD$5&gt;=$F107,BD$5&lt;=$G107),3,"")</f>
        <v/>
      </c>
      <c r="BE107" s="34">
        <f>IF(AND(BE$5&gt;=$F107,BE$5&lt;=$G107),3,"")</f>
        <v/>
      </c>
      <c r="BF107" s="34">
        <f>IF(AND(BF$5&gt;=$F107,BF$5&lt;=$G107),3,"")</f>
        <v/>
      </c>
      <c r="BG107" s="34">
        <f>IF(AND(BG$5&gt;=$F107,BG$5&lt;=$G107),3,"")</f>
        <v/>
      </c>
      <c r="BH107" s="34">
        <f>IF(AND(BH$5&gt;=$F107,BH$5&lt;=$G107),3,"")</f>
        <v/>
      </c>
      <c r="BI107" s="34">
        <f>IF(AND(BI$5&gt;=$F107,BI$5&lt;=$G107),3,"")</f>
        <v/>
      </c>
      <c r="BJ107" s="34">
        <f>IF(AND(BJ$5&gt;=$F107,BJ$5&lt;=$G107),3,"")</f>
        <v/>
      </c>
      <c r="BK107" s="34">
        <f>IF(AND(BK$5&gt;=$F107,BK$5&lt;=$G107),3,"")</f>
        <v/>
      </c>
      <c r="BL107" s="34">
        <f>IF(AND(BL$5&gt;=$F107,BL$5&lt;=$G107),3,"")</f>
        <v/>
      </c>
      <c r="BM107" s="34">
        <f>IF(AND(BM$5&gt;=$F107,BM$5&lt;=$G107),3,"")</f>
        <v/>
      </c>
      <c r="BN107" s="34">
        <f>IF(AND(BN$5&gt;=$F107,BN$5&lt;=$G107),3,"")</f>
        <v/>
      </c>
    </row>
    <row r="108" ht="14.25" customHeight="1" s="36">
      <c r="A108" s="13" t="inlineStr">
        <is>
          <t>3 Construcción</t>
        </is>
      </c>
      <c r="B108" s="13" t="inlineStr">
        <is>
          <t>3.8.4</t>
        </is>
      </c>
      <c r="C108" s="13" t="inlineStr">
        <is>
          <t>Pruebas de carga con el peak de septiembre y de resiliencia</t>
        </is>
      </c>
      <c r="D108" s="13" t="inlineStr">
        <is>
          <t>V</t>
        </is>
      </c>
      <c r="E108" s="13" t="inlineStr">
        <is>
          <t>Calidad y pruebas</t>
        </is>
      </c>
      <c r="F108" s="13" t="n">
        <v>9</v>
      </c>
      <c r="G108" s="13" t="n">
        <v>10</v>
      </c>
      <c r="H108" s="13">
        <f>G108-F108+1</f>
        <v/>
      </c>
      <c r="I108" s="31" t="n">
        <v>320</v>
      </c>
      <c r="J108" s="13" t="inlineStr">
        <is>
          <t>Con entregable (detalle por planificación gradual)</t>
        </is>
      </c>
      <c r="K108" s="34">
        <f>IF(AND(K$5&gt;=$F108,K$5&lt;=$G108),3,"")</f>
        <v/>
      </c>
      <c r="L108" s="34">
        <f>IF(AND(L$5&gt;=$F108,L$5&lt;=$G108),3,"")</f>
        <v/>
      </c>
      <c r="M108" s="34">
        <f>IF(AND(M$5&gt;=$F108,M$5&lt;=$G108),3,"")</f>
        <v/>
      </c>
      <c r="N108" s="34">
        <f>IF(AND(N$5&gt;=$F108,N$5&lt;=$G108),3,"")</f>
        <v/>
      </c>
      <c r="O108" s="34">
        <f>IF(AND(O$5&gt;=$F108,O$5&lt;=$G108),3,"")</f>
        <v/>
      </c>
      <c r="P108" s="34">
        <f>IF(AND(P$5&gt;=$F108,P$5&lt;=$G108),3,"")</f>
        <v/>
      </c>
      <c r="Q108" s="34">
        <f>IF(AND(Q$5&gt;=$F108,Q$5&lt;=$G108),3,"")</f>
        <v/>
      </c>
      <c r="R108" s="34">
        <f>IF(AND(R$5&gt;=$F108,R$5&lt;=$G108),3,"")</f>
        <v/>
      </c>
      <c r="S108" s="34">
        <f>IF(AND(S$5&gt;=$F108,S$5&lt;=$G108),3,"")</f>
        <v/>
      </c>
      <c r="T108" s="34">
        <f>IF(AND(T$5&gt;=$F108,T$5&lt;=$G108),3,"")</f>
        <v/>
      </c>
      <c r="U108" s="34">
        <f>IF(AND(U$5&gt;=$F108,U$5&lt;=$G108),3,"")</f>
        <v/>
      </c>
      <c r="V108" s="34">
        <f>IF(AND(V$5&gt;=$F108,V$5&lt;=$G108),3,"")</f>
        <v/>
      </c>
      <c r="W108" s="34">
        <f>IF(AND(W$5&gt;=$F108,W$5&lt;=$G108),3,"")</f>
        <v/>
      </c>
      <c r="X108" s="34">
        <f>IF(AND(X$5&gt;=$F108,X$5&lt;=$G108),3,"")</f>
        <v/>
      </c>
      <c r="Y108" s="34">
        <f>IF(AND(Y$5&gt;=$F108,Y$5&lt;=$G108),3,"")</f>
        <v/>
      </c>
      <c r="Z108" s="34">
        <f>IF(AND(Z$5&gt;=$F108,Z$5&lt;=$G108),3,"")</f>
        <v/>
      </c>
      <c r="AA108" s="34">
        <f>IF(AND(AA$5&gt;=$F108,AA$5&lt;=$G108),3,"")</f>
        <v/>
      </c>
      <c r="AB108" s="34">
        <f>IF(AND(AB$5&gt;=$F108,AB$5&lt;=$G108),3,"")</f>
        <v/>
      </c>
      <c r="AC108" s="34">
        <f>IF(AND(AC$5&gt;=$F108,AC$5&lt;=$G108),3,"")</f>
        <v/>
      </c>
      <c r="AD108" s="34">
        <f>IF(AND(AD$5&gt;=$F108,AD$5&lt;=$G108),3,"")</f>
        <v/>
      </c>
      <c r="AE108" s="34">
        <f>IF(AND(AE$5&gt;=$F108,AE$5&lt;=$G108),3,"")</f>
        <v/>
      </c>
      <c r="AF108" s="34">
        <f>IF(AND(AF$5&gt;=$F108,AF$5&lt;=$G108),3,"")</f>
        <v/>
      </c>
      <c r="AG108" s="34">
        <f>IF(AND(AG$5&gt;=$F108,AG$5&lt;=$G108),3,"")</f>
        <v/>
      </c>
      <c r="AH108" s="34">
        <f>IF(AND(AH$5&gt;=$F108,AH$5&lt;=$G108),3,"")</f>
        <v/>
      </c>
      <c r="AI108" s="34">
        <f>IF(AND(AI$5&gt;=$F108,AI$5&lt;=$G108),3,"")</f>
        <v/>
      </c>
      <c r="AJ108" s="34">
        <f>IF(AND(AJ$5&gt;=$F108,AJ$5&lt;=$G108),3,"")</f>
        <v/>
      </c>
      <c r="AK108" s="34">
        <f>IF(AND(AK$5&gt;=$F108,AK$5&lt;=$G108),3,"")</f>
        <v/>
      </c>
      <c r="AL108" s="34">
        <f>IF(AND(AL$5&gt;=$F108,AL$5&lt;=$G108),3,"")</f>
        <v/>
      </c>
      <c r="AM108" s="34">
        <f>IF(AND(AM$5&gt;=$F108,AM$5&lt;=$G108),3,"")</f>
        <v/>
      </c>
      <c r="AN108" s="34">
        <f>IF(AND(AN$5&gt;=$F108,AN$5&lt;=$G108),3,"")</f>
        <v/>
      </c>
      <c r="AO108" s="34">
        <f>IF(AND(AO$5&gt;=$F108,AO$5&lt;=$G108),3,"")</f>
        <v/>
      </c>
      <c r="AP108" s="34">
        <f>IF(AND(AP$5&gt;=$F108,AP$5&lt;=$G108),3,"")</f>
        <v/>
      </c>
      <c r="AQ108" s="34">
        <f>IF(AND(AQ$5&gt;=$F108,AQ$5&lt;=$G108),3,"")</f>
        <v/>
      </c>
      <c r="AR108" s="34">
        <f>IF(AND(AR$5&gt;=$F108,AR$5&lt;=$G108),3,"")</f>
        <v/>
      </c>
      <c r="AS108" s="34">
        <f>IF(AND(AS$5&gt;=$F108,AS$5&lt;=$G108),3,"")</f>
        <v/>
      </c>
      <c r="AT108" s="34">
        <f>IF(AND(AT$5&gt;=$F108,AT$5&lt;=$G108),3,"")</f>
        <v/>
      </c>
      <c r="AU108" s="34">
        <f>IF(AND(AU$5&gt;=$F108,AU$5&lt;=$G108),3,"")</f>
        <v/>
      </c>
      <c r="AV108" s="34">
        <f>IF(AND(AV$5&gt;=$F108,AV$5&lt;=$G108),3,"")</f>
        <v/>
      </c>
      <c r="AW108" s="34">
        <f>IF(AND(AW$5&gt;=$F108,AW$5&lt;=$G108),3,"")</f>
        <v/>
      </c>
      <c r="AX108" s="34">
        <f>IF(AND(AX$5&gt;=$F108,AX$5&lt;=$G108),3,"")</f>
        <v/>
      </c>
      <c r="AY108" s="34">
        <f>IF(AND(AY$5&gt;=$F108,AY$5&lt;=$G108),3,"")</f>
        <v/>
      </c>
      <c r="AZ108" s="34">
        <f>IF(AND(AZ$5&gt;=$F108,AZ$5&lt;=$G108),3,"")</f>
        <v/>
      </c>
      <c r="BA108" s="34">
        <f>IF(AND(BA$5&gt;=$F108,BA$5&lt;=$G108),3,"")</f>
        <v/>
      </c>
      <c r="BB108" s="34">
        <f>IF(AND(BB$5&gt;=$F108,BB$5&lt;=$G108),3,"")</f>
        <v/>
      </c>
      <c r="BC108" s="34">
        <f>IF(AND(BC$5&gt;=$F108,BC$5&lt;=$G108),3,"")</f>
        <v/>
      </c>
      <c r="BD108" s="34">
        <f>IF(AND(BD$5&gt;=$F108,BD$5&lt;=$G108),3,"")</f>
        <v/>
      </c>
      <c r="BE108" s="34">
        <f>IF(AND(BE$5&gt;=$F108,BE$5&lt;=$G108),3,"")</f>
        <v/>
      </c>
      <c r="BF108" s="34">
        <f>IF(AND(BF$5&gt;=$F108,BF$5&lt;=$G108),3,"")</f>
        <v/>
      </c>
      <c r="BG108" s="34">
        <f>IF(AND(BG$5&gt;=$F108,BG$5&lt;=$G108),3,"")</f>
        <v/>
      </c>
      <c r="BH108" s="34">
        <f>IF(AND(BH$5&gt;=$F108,BH$5&lt;=$G108),3,"")</f>
        <v/>
      </c>
      <c r="BI108" s="34">
        <f>IF(AND(BI$5&gt;=$F108,BI$5&lt;=$G108),3,"")</f>
        <v/>
      </c>
      <c r="BJ108" s="34">
        <f>IF(AND(BJ$5&gt;=$F108,BJ$5&lt;=$G108),3,"")</f>
        <v/>
      </c>
      <c r="BK108" s="34">
        <f>IF(AND(BK$5&gt;=$F108,BK$5&lt;=$G108),3,"")</f>
        <v/>
      </c>
      <c r="BL108" s="34">
        <f>IF(AND(BL$5&gt;=$F108,BL$5&lt;=$G108),3,"")</f>
        <v/>
      </c>
      <c r="BM108" s="34">
        <f>IF(AND(BM$5&gt;=$F108,BM$5&lt;=$G108),3,"")</f>
        <v/>
      </c>
      <c r="BN108" s="34">
        <f>IF(AND(BN$5&gt;=$F108,BN$5&lt;=$G108),3,"")</f>
        <v/>
      </c>
    </row>
    <row r="109" ht="14.25" customHeight="1" s="36">
      <c r="A109" s="13" t="inlineStr">
        <is>
          <t>3 Construcción</t>
        </is>
      </c>
      <c r="B109" s="13" t="inlineStr">
        <is>
          <t>3.8.5</t>
        </is>
      </c>
      <c r="C109" s="13" t="inlineStr">
        <is>
          <t>Prueba de recuperación ante desastres con conmutación real</t>
        </is>
      </c>
      <c r="D109" s="13" t="inlineStr">
        <is>
          <t>V</t>
        </is>
      </c>
      <c r="E109" s="13" t="inlineStr">
        <is>
          <t>Calidad y pruebas</t>
        </is>
      </c>
      <c r="F109" s="13" t="n">
        <v>9</v>
      </c>
      <c r="G109" s="13" t="n">
        <v>10</v>
      </c>
      <c r="H109" s="13">
        <f>G109-F109+1</f>
        <v/>
      </c>
      <c r="I109" s="31" t="n">
        <v>320</v>
      </c>
      <c r="J109" s="13" t="inlineStr">
        <is>
          <t>Con entregable (detalle por planificación gradual)</t>
        </is>
      </c>
      <c r="K109" s="34">
        <f>IF(AND(K$5&gt;=$F109,K$5&lt;=$G109),3,"")</f>
        <v/>
      </c>
      <c r="L109" s="34">
        <f>IF(AND(L$5&gt;=$F109,L$5&lt;=$G109),3,"")</f>
        <v/>
      </c>
      <c r="M109" s="34">
        <f>IF(AND(M$5&gt;=$F109,M$5&lt;=$G109),3,"")</f>
        <v/>
      </c>
      <c r="N109" s="34">
        <f>IF(AND(N$5&gt;=$F109,N$5&lt;=$G109),3,"")</f>
        <v/>
      </c>
      <c r="O109" s="34">
        <f>IF(AND(O$5&gt;=$F109,O$5&lt;=$G109),3,"")</f>
        <v/>
      </c>
      <c r="P109" s="34">
        <f>IF(AND(P$5&gt;=$F109,P$5&lt;=$G109),3,"")</f>
        <v/>
      </c>
      <c r="Q109" s="34">
        <f>IF(AND(Q$5&gt;=$F109,Q$5&lt;=$G109),3,"")</f>
        <v/>
      </c>
      <c r="R109" s="34">
        <f>IF(AND(R$5&gt;=$F109,R$5&lt;=$G109),3,"")</f>
        <v/>
      </c>
      <c r="S109" s="34">
        <f>IF(AND(S$5&gt;=$F109,S$5&lt;=$G109),3,"")</f>
        <v/>
      </c>
      <c r="T109" s="34">
        <f>IF(AND(T$5&gt;=$F109,T$5&lt;=$G109),3,"")</f>
        <v/>
      </c>
      <c r="U109" s="34">
        <f>IF(AND(U$5&gt;=$F109,U$5&lt;=$G109),3,"")</f>
        <v/>
      </c>
      <c r="V109" s="34">
        <f>IF(AND(V$5&gt;=$F109,V$5&lt;=$G109),3,"")</f>
        <v/>
      </c>
      <c r="W109" s="34">
        <f>IF(AND(W$5&gt;=$F109,W$5&lt;=$G109),3,"")</f>
        <v/>
      </c>
      <c r="X109" s="34">
        <f>IF(AND(X$5&gt;=$F109,X$5&lt;=$G109),3,"")</f>
        <v/>
      </c>
      <c r="Y109" s="34">
        <f>IF(AND(Y$5&gt;=$F109,Y$5&lt;=$G109),3,"")</f>
        <v/>
      </c>
      <c r="Z109" s="34">
        <f>IF(AND(Z$5&gt;=$F109,Z$5&lt;=$G109),3,"")</f>
        <v/>
      </c>
      <c r="AA109" s="34">
        <f>IF(AND(AA$5&gt;=$F109,AA$5&lt;=$G109),3,"")</f>
        <v/>
      </c>
      <c r="AB109" s="34">
        <f>IF(AND(AB$5&gt;=$F109,AB$5&lt;=$G109),3,"")</f>
        <v/>
      </c>
      <c r="AC109" s="34">
        <f>IF(AND(AC$5&gt;=$F109,AC$5&lt;=$G109),3,"")</f>
        <v/>
      </c>
      <c r="AD109" s="34">
        <f>IF(AND(AD$5&gt;=$F109,AD$5&lt;=$G109),3,"")</f>
        <v/>
      </c>
      <c r="AE109" s="34">
        <f>IF(AND(AE$5&gt;=$F109,AE$5&lt;=$G109),3,"")</f>
        <v/>
      </c>
      <c r="AF109" s="34">
        <f>IF(AND(AF$5&gt;=$F109,AF$5&lt;=$G109),3,"")</f>
        <v/>
      </c>
      <c r="AG109" s="34">
        <f>IF(AND(AG$5&gt;=$F109,AG$5&lt;=$G109),3,"")</f>
        <v/>
      </c>
      <c r="AH109" s="34">
        <f>IF(AND(AH$5&gt;=$F109,AH$5&lt;=$G109),3,"")</f>
        <v/>
      </c>
      <c r="AI109" s="34">
        <f>IF(AND(AI$5&gt;=$F109,AI$5&lt;=$G109),3,"")</f>
        <v/>
      </c>
      <c r="AJ109" s="34">
        <f>IF(AND(AJ$5&gt;=$F109,AJ$5&lt;=$G109),3,"")</f>
        <v/>
      </c>
      <c r="AK109" s="34">
        <f>IF(AND(AK$5&gt;=$F109,AK$5&lt;=$G109),3,"")</f>
        <v/>
      </c>
      <c r="AL109" s="34">
        <f>IF(AND(AL$5&gt;=$F109,AL$5&lt;=$G109),3,"")</f>
        <v/>
      </c>
      <c r="AM109" s="34">
        <f>IF(AND(AM$5&gt;=$F109,AM$5&lt;=$G109),3,"")</f>
        <v/>
      </c>
      <c r="AN109" s="34">
        <f>IF(AND(AN$5&gt;=$F109,AN$5&lt;=$G109),3,"")</f>
        <v/>
      </c>
      <c r="AO109" s="34">
        <f>IF(AND(AO$5&gt;=$F109,AO$5&lt;=$G109),3,"")</f>
        <v/>
      </c>
      <c r="AP109" s="34">
        <f>IF(AND(AP$5&gt;=$F109,AP$5&lt;=$G109),3,"")</f>
        <v/>
      </c>
      <c r="AQ109" s="34">
        <f>IF(AND(AQ$5&gt;=$F109,AQ$5&lt;=$G109),3,"")</f>
        <v/>
      </c>
      <c r="AR109" s="34">
        <f>IF(AND(AR$5&gt;=$F109,AR$5&lt;=$G109),3,"")</f>
        <v/>
      </c>
      <c r="AS109" s="34">
        <f>IF(AND(AS$5&gt;=$F109,AS$5&lt;=$G109),3,"")</f>
        <v/>
      </c>
      <c r="AT109" s="34">
        <f>IF(AND(AT$5&gt;=$F109,AT$5&lt;=$G109),3,"")</f>
        <v/>
      </c>
      <c r="AU109" s="34">
        <f>IF(AND(AU$5&gt;=$F109,AU$5&lt;=$G109),3,"")</f>
        <v/>
      </c>
      <c r="AV109" s="34">
        <f>IF(AND(AV$5&gt;=$F109,AV$5&lt;=$G109),3,"")</f>
        <v/>
      </c>
      <c r="AW109" s="34">
        <f>IF(AND(AW$5&gt;=$F109,AW$5&lt;=$G109),3,"")</f>
        <v/>
      </c>
      <c r="AX109" s="34">
        <f>IF(AND(AX$5&gt;=$F109,AX$5&lt;=$G109),3,"")</f>
        <v/>
      </c>
      <c r="AY109" s="34">
        <f>IF(AND(AY$5&gt;=$F109,AY$5&lt;=$G109),3,"")</f>
        <v/>
      </c>
      <c r="AZ109" s="34">
        <f>IF(AND(AZ$5&gt;=$F109,AZ$5&lt;=$G109),3,"")</f>
        <v/>
      </c>
      <c r="BA109" s="34">
        <f>IF(AND(BA$5&gt;=$F109,BA$5&lt;=$G109),3,"")</f>
        <v/>
      </c>
      <c r="BB109" s="34">
        <f>IF(AND(BB$5&gt;=$F109,BB$5&lt;=$G109),3,"")</f>
        <v/>
      </c>
      <c r="BC109" s="34">
        <f>IF(AND(BC$5&gt;=$F109,BC$5&lt;=$G109),3,"")</f>
        <v/>
      </c>
      <c r="BD109" s="34">
        <f>IF(AND(BD$5&gt;=$F109,BD$5&lt;=$G109),3,"")</f>
        <v/>
      </c>
      <c r="BE109" s="34">
        <f>IF(AND(BE$5&gt;=$F109,BE$5&lt;=$G109),3,"")</f>
        <v/>
      </c>
      <c r="BF109" s="34">
        <f>IF(AND(BF$5&gt;=$F109,BF$5&lt;=$G109),3,"")</f>
        <v/>
      </c>
      <c r="BG109" s="34">
        <f>IF(AND(BG$5&gt;=$F109,BG$5&lt;=$G109),3,"")</f>
        <v/>
      </c>
      <c r="BH109" s="34">
        <f>IF(AND(BH$5&gt;=$F109,BH$5&lt;=$G109),3,"")</f>
        <v/>
      </c>
      <c r="BI109" s="34">
        <f>IF(AND(BI$5&gt;=$F109,BI$5&lt;=$G109),3,"")</f>
        <v/>
      </c>
      <c r="BJ109" s="34">
        <f>IF(AND(BJ$5&gt;=$F109,BJ$5&lt;=$G109),3,"")</f>
        <v/>
      </c>
      <c r="BK109" s="34">
        <f>IF(AND(BK$5&gt;=$F109,BK$5&lt;=$G109),3,"")</f>
        <v/>
      </c>
      <c r="BL109" s="34">
        <f>IF(AND(BL$5&gt;=$F109,BL$5&lt;=$G109),3,"")</f>
        <v/>
      </c>
      <c r="BM109" s="34">
        <f>IF(AND(BM$5&gt;=$F109,BM$5&lt;=$G109),3,"")</f>
        <v/>
      </c>
      <c r="BN109" s="34">
        <f>IF(AND(BN$5&gt;=$F109,BN$5&lt;=$G109),3,"")</f>
        <v/>
      </c>
    </row>
    <row r="110" ht="14.25" customHeight="1" s="36">
      <c r="A110" s="13" t="inlineStr">
        <is>
          <t>3 Construcción</t>
        </is>
      </c>
      <c r="B110" s="13" t="inlineStr">
        <is>
          <t>3.8.6</t>
        </is>
      </c>
      <c r="C110" s="13" t="inlineStr">
        <is>
          <t>Prueba de seguridad ofensiva de la Etapa 1, por un tercero independiente</t>
        </is>
      </c>
      <c r="D110" s="13" t="inlineStr">
        <is>
          <t>V</t>
        </is>
      </c>
      <c r="E110" s="13" t="inlineStr">
        <is>
          <t>Seguridad</t>
        </is>
      </c>
      <c r="F110" s="13" t="n">
        <v>9</v>
      </c>
      <c r="G110" s="13" t="n">
        <v>9</v>
      </c>
      <c r="H110" s="13">
        <f>G110-F110+1</f>
        <v/>
      </c>
      <c r="I110" s="31" t="n">
        <v>160</v>
      </c>
      <c r="J110" s="13" t="inlineStr">
        <is>
          <t>Con entregable (detalle por planificación gradual)</t>
        </is>
      </c>
      <c r="K110" s="34">
        <f>IF(AND(K$5&gt;=$F110,K$5&lt;=$G110),3,"")</f>
        <v/>
      </c>
      <c r="L110" s="34">
        <f>IF(AND(L$5&gt;=$F110,L$5&lt;=$G110),3,"")</f>
        <v/>
      </c>
      <c r="M110" s="34">
        <f>IF(AND(M$5&gt;=$F110,M$5&lt;=$G110),3,"")</f>
        <v/>
      </c>
      <c r="N110" s="34">
        <f>IF(AND(N$5&gt;=$F110,N$5&lt;=$G110),3,"")</f>
        <v/>
      </c>
      <c r="O110" s="34">
        <f>IF(AND(O$5&gt;=$F110,O$5&lt;=$G110),3,"")</f>
        <v/>
      </c>
      <c r="P110" s="34">
        <f>IF(AND(P$5&gt;=$F110,P$5&lt;=$G110),3,"")</f>
        <v/>
      </c>
      <c r="Q110" s="34">
        <f>IF(AND(Q$5&gt;=$F110,Q$5&lt;=$G110),3,"")</f>
        <v/>
      </c>
      <c r="R110" s="34">
        <f>IF(AND(R$5&gt;=$F110,R$5&lt;=$G110),3,"")</f>
        <v/>
      </c>
      <c r="S110" s="34">
        <f>IF(AND(S$5&gt;=$F110,S$5&lt;=$G110),3,"")</f>
        <v/>
      </c>
      <c r="T110" s="34">
        <f>IF(AND(T$5&gt;=$F110,T$5&lt;=$G110),3,"")</f>
        <v/>
      </c>
      <c r="U110" s="34">
        <f>IF(AND(U$5&gt;=$F110,U$5&lt;=$G110),3,"")</f>
        <v/>
      </c>
      <c r="V110" s="34">
        <f>IF(AND(V$5&gt;=$F110,V$5&lt;=$G110),3,"")</f>
        <v/>
      </c>
      <c r="W110" s="34">
        <f>IF(AND(W$5&gt;=$F110,W$5&lt;=$G110),3,"")</f>
        <v/>
      </c>
      <c r="X110" s="34">
        <f>IF(AND(X$5&gt;=$F110,X$5&lt;=$G110),3,"")</f>
        <v/>
      </c>
      <c r="Y110" s="34">
        <f>IF(AND(Y$5&gt;=$F110,Y$5&lt;=$G110),3,"")</f>
        <v/>
      </c>
      <c r="Z110" s="34">
        <f>IF(AND(Z$5&gt;=$F110,Z$5&lt;=$G110),3,"")</f>
        <v/>
      </c>
      <c r="AA110" s="34">
        <f>IF(AND(AA$5&gt;=$F110,AA$5&lt;=$G110),3,"")</f>
        <v/>
      </c>
      <c r="AB110" s="34">
        <f>IF(AND(AB$5&gt;=$F110,AB$5&lt;=$G110),3,"")</f>
        <v/>
      </c>
      <c r="AC110" s="34">
        <f>IF(AND(AC$5&gt;=$F110,AC$5&lt;=$G110),3,"")</f>
        <v/>
      </c>
      <c r="AD110" s="34">
        <f>IF(AND(AD$5&gt;=$F110,AD$5&lt;=$G110),3,"")</f>
        <v/>
      </c>
      <c r="AE110" s="34">
        <f>IF(AND(AE$5&gt;=$F110,AE$5&lt;=$G110),3,"")</f>
        <v/>
      </c>
      <c r="AF110" s="34">
        <f>IF(AND(AF$5&gt;=$F110,AF$5&lt;=$G110),3,"")</f>
        <v/>
      </c>
      <c r="AG110" s="34">
        <f>IF(AND(AG$5&gt;=$F110,AG$5&lt;=$G110),3,"")</f>
        <v/>
      </c>
      <c r="AH110" s="34">
        <f>IF(AND(AH$5&gt;=$F110,AH$5&lt;=$G110),3,"")</f>
        <v/>
      </c>
      <c r="AI110" s="34">
        <f>IF(AND(AI$5&gt;=$F110,AI$5&lt;=$G110),3,"")</f>
        <v/>
      </c>
      <c r="AJ110" s="34">
        <f>IF(AND(AJ$5&gt;=$F110,AJ$5&lt;=$G110),3,"")</f>
        <v/>
      </c>
      <c r="AK110" s="34">
        <f>IF(AND(AK$5&gt;=$F110,AK$5&lt;=$G110),3,"")</f>
        <v/>
      </c>
      <c r="AL110" s="34">
        <f>IF(AND(AL$5&gt;=$F110,AL$5&lt;=$G110),3,"")</f>
        <v/>
      </c>
      <c r="AM110" s="34">
        <f>IF(AND(AM$5&gt;=$F110,AM$5&lt;=$G110),3,"")</f>
        <v/>
      </c>
      <c r="AN110" s="34">
        <f>IF(AND(AN$5&gt;=$F110,AN$5&lt;=$G110),3,"")</f>
        <v/>
      </c>
      <c r="AO110" s="34">
        <f>IF(AND(AO$5&gt;=$F110,AO$5&lt;=$G110),3,"")</f>
        <v/>
      </c>
      <c r="AP110" s="34">
        <f>IF(AND(AP$5&gt;=$F110,AP$5&lt;=$G110),3,"")</f>
        <v/>
      </c>
      <c r="AQ110" s="34">
        <f>IF(AND(AQ$5&gt;=$F110,AQ$5&lt;=$G110),3,"")</f>
        <v/>
      </c>
      <c r="AR110" s="34">
        <f>IF(AND(AR$5&gt;=$F110,AR$5&lt;=$G110),3,"")</f>
        <v/>
      </c>
      <c r="AS110" s="34">
        <f>IF(AND(AS$5&gt;=$F110,AS$5&lt;=$G110),3,"")</f>
        <v/>
      </c>
      <c r="AT110" s="34">
        <f>IF(AND(AT$5&gt;=$F110,AT$5&lt;=$G110),3,"")</f>
        <v/>
      </c>
      <c r="AU110" s="34">
        <f>IF(AND(AU$5&gt;=$F110,AU$5&lt;=$G110),3,"")</f>
        <v/>
      </c>
      <c r="AV110" s="34">
        <f>IF(AND(AV$5&gt;=$F110,AV$5&lt;=$G110),3,"")</f>
        <v/>
      </c>
      <c r="AW110" s="34">
        <f>IF(AND(AW$5&gt;=$F110,AW$5&lt;=$G110),3,"")</f>
        <v/>
      </c>
      <c r="AX110" s="34">
        <f>IF(AND(AX$5&gt;=$F110,AX$5&lt;=$G110),3,"")</f>
        <v/>
      </c>
      <c r="AY110" s="34">
        <f>IF(AND(AY$5&gt;=$F110,AY$5&lt;=$G110),3,"")</f>
        <v/>
      </c>
      <c r="AZ110" s="34">
        <f>IF(AND(AZ$5&gt;=$F110,AZ$5&lt;=$G110),3,"")</f>
        <v/>
      </c>
      <c r="BA110" s="34">
        <f>IF(AND(BA$5&gt;=$F110,BA$5&lt;=$G110),3,"")</f>
        <v/>
      </c>
      <c r="BB110" s="34">
        <f>IF(AND(BB$5&gt;=$F110,BB$5&lt;=$G110),3,"")</f>
        <v/>
      </c>
      <c r="BC110" s="34">
        <f>IF(AND(BC$5&gt;=$F110,BC$5&lt;=$G110),3,"")</f>
        <v/>
      </c>
      <c r="BD110" s="34">
        <f>IF(AND(BD$5&gt;=$F110,BD$5&lt;=$G110),3,"")</f>
        <v/>
      </c>
      <c r="BE110" s="34">
        <f>IF(AND(BE$5&gt;=$F110,BE$5&lt;=$G110),3,"")</f>
        <v/>
      </c>
      <c r="BF110" s="34">
        <f>IF(AND(BF$5&gt;=$F110,BF$5&lt;=$G110),3,"")</f>
        <v/>
      </c>
      <c r="BG110" s="34">
        <f>IF(AND(BG$5&gt;=$F110,BG$5&lt;=$G110),3,"")</f>
        <v/>
      </c>
      <c r="BH110" s="34">
        <f>IF(AND(BH$5&gt;=$F110,BH$5&lt;=$G110),3,"")</f>
        <v/>
      </c>
      <c r="BI110" s="34">
        <f>IF(AND(BI$5&gt;=$F110,BI$5&lt;=$G110),3,"")</f>
        <v/>
      </c>
      <c r="BJ110" s="34">
        <f>IF(AND(BJ$5&gt;=$F110,BJ$5&lt;=$G110),3,"")</f>
        <v/>
      </c>
      <c r="BK110" s="34">
        <f>IF(AND(BK$5&gt;=$F110,BK$5&lt;=$G110),3,"")</f>
        <v/>
      </c>
      <c r="BL110" s="34">
        <f>IF(AND(BL$5&gt;=$F110,BL$5&lt;=$G110),3,"")</f>
        <v/>
      </c>
      <c r="BM110" s="34">
        <f>IF(AND(BM$5&gt;=$F110,BM$5&lt;=$G110),3,"")</f>
        <v/>
      </c>
      <c r="BN110" s="34">
        <f>IF(AND(BN$5&gt;=$F110,BN$5&lt;=$G110),3,"")</f>
        <v/>
      </c>
    </row>
    <row r="111" ht="14.25" customHeight="1" s="36">
      <c r="A111" s="13" t="inlineStr">
        <is>
          <t>3 Construcción</t>
        </is>
      </c>
      <c r="B111" s="13" t="inlineStr">
        <is>
          <t>3.8.7</t>
        </is>
      </c>
      <c r="C111" s="13" t="inlineStr">
        <is>
          <t>Acta de certificación de la Etapa 1 (H5)</t>
        </is>
      </c>
      <c r="D111" s="13" t="inlineStr">
        <is>
          <t>V</t>
        </is>
      </c>
      <c r="E111" s="13" t="inlineStr">
        <is>
          <t>Calidad y pruebas</t>
        </is>
      </c>
      <c r="F111" s="13" t="n">
        <v>10</v>
      </c>
      <c r="G111" s="13" t="n">
        <v>10</v>
      </c>
      <c r="H111" s="13">
        <f>G111-F111+1</f>
        <v/>
      </c>
      <c r="I111" s="31" t="n">
        <v>160</v>
      </c>
      <c r="J111" s="13" t="inlineStr">
        <is>
          <t>Con entregable (detalle por planificación gradual)</t>
        </is>
      </c>
      <c r="K111" s="34">
        <f>IF(AND(K$5&gt;=$F111,K$5&lt;=$G111),3,"")</f>
        <v/>
      </c>
      <c r="L111" s="34">
        <f>IF(AND(L$5&gt;=$F111,L$5&lt;=$G111),3,"")</f>
        <v/>
      </c>
      <c r="M111" s="34">
        <f>IF(AND(M$5&gt;=$F111,M$5&lt;=$G111),3,"")</f>
        <v/>
      </c>
      <c r="N111" s="34">
        <f>IF(AND(N$5&gt;=$F111,N$5&lt;=$G111),3,"")</f>
        <v/>
      </c>
      <c r="O111" s="34">
        <f>IF(AND(O$5&gt;=$F111,O$5&lt;=$G111),3,"")</f>
        <v/>
      </c>
      <c r="P111" s="34">
        <f>IF(AND(P$5&gt;=$F111,P$5&lt;=$G111),3,"")</f>
        <v/>
      </c>
      <c r="Q111" s="34">
        <f>IF(AND(Q$5&gt;=$F111,Q$5&lt;=$G111),3,"")</f>
        <v/>
      </c>
      <c r="R111" s="34">
        <f>IF(AND(R$5&gt;=$F111,R$5&lt;=$G111),3,"")</f>
        <v/>
      </c>
      <c r="S111" s="34">
        <f>IF(AND(S$5&gt;=$F111,S$5&lt;=$G111),3,"")</f>
        <v/>
      </c>
      <c r="T111" s="34">
        <f>IF(AND(T$5&gt;=$F111,T$5&lt;=$G111),3,"")</f>
        <v/>
      </c>
      <c r="U111" s="34">
        <f>IF(AND(U$5&gt;=$F111,U$5&lt;=$G111),3,"")</f>
        <v/>
      </c>
      <c r="V111" s="34">
        <f>IF(AND(V$5&gt;=$F111,V$5&lt;=$G111),3,"")</f>
        <v/>
      </c>
      <c r="W111" s="34">
        <f>IF(AND(W$5&gt;=$F111,W$5&lt;=$G111),3,"")</f>
        <v/>
      </c>
      <c r="X111" s="34">
        <f>IF(AND(X$5&gt;=$F111,X$5&lt;=$G111),3,"")</f>
        <v/>
      </c>
      <c r="Y111" s="34">
        <f>IF(AND(Y$5&gt;=$F111,Y$5&lt;=$G111),3,"")</f>
        <v/>
      </c>
      <c r="Z111" s="34">
        <f>IF(AND(Z$5&gt;=$F111,Z$5&lt;=$G111),3,"")</f>
        <v/>
      </c>
      <c r="AA111" s="34">
        <f>IF(AND(AA$5&gt;=$F111,AA$5&lt;=$G111),3,"")</f>
        <v/>
      </c>
      <c r="AB111" s="34">
        <f>IF(AND(AB$5&gt;=$F111,AB$5&lt;=$G111),3,"")</f>
        <v/>
      </c>
      <c r="AC111" s="34">
        <f>IF(AND(AC$5&gt;=$F111,AC$5&lt;=$G111),3,"")</f>
        <v/>
      </c>
      <c r="AD111" s="34">
        <f>IF(AND(AD$5&gt;=$F111,AD$5&lt;=$G111),3,"")</f>
        <v/>
      </c>
      <c r="AE111" s="34">
        <f>IF(AND(AE$5&gt;=$F111,AE$5&lt;=$G111),3,"")</f>
        <v/>
      </c>
      <c r="AF111" s="34">
        <f>IF(AND(AF$5&gt;=$F111,AF$5&lt;=$G111),3,"")</f>
        <v/>
      </c>
      <c r="AG111" s="34">
        <f>IF(AND(AG$5&gt;=$F111,AG$5&lt;=$G111),3,"")</f>
        <v/>
      </c>
      <c r="AH111" s="34">
        <f>IF(AND(AH$5&gt;=$F111,AH$5&lt;=$G111),3,"")</f>
        <v/>
      </c>
      <c r="AI111" s="34">
        <f>IF(AND(AI$5&gt;=$F111,AI$5&lt;=$G111),3,"")</f>
        <v/>
      </c>
      <c r="AJ111" s="34">
        <f>IF(AND(AJ$5&gt;=$F111,AJ$5&lt;=$G111),3,"")</f>
        <v/>
      </c>
      <c r="AK111" s="34">
        <f>IF(AND(AK$5&gt;=$F111,AK$5&lt;=$G111),3,"")</f>
        <v/>
      </c>
      <c r="AL111" s="34">
        <f>IF(AND(AL$5&gt;=$F111,AL$5&lt;=$G111),3,"")</f>
        <v/>
      </c>
      <c r="AM111" s="34">
        <f>IF(AND(AM$5&gt;=$F111,AM$5&lt;=$G111),3,"")</f>
        <v/>
      </c>
      <c r="AN111" s="34">
        <f>IF(AND(AN$5&gt;=$F111,AN$5&lt;=$G111),3,"")</f>
        <v/>
      </c>
      <c r="AO111" s="34">
        <f>IF(AND(AO$5&gt;=$F111,AO$5&lt;=$G111),3,"")</f>
        <v/>
      </c>
      <c r="AP111" s="34">
        <f>IF(AND(AP$5&gt;=$F111,AP$5&lt;=$G111),3,"")</f>
        <v/>
      </c>
      <c r="AQ111" s="34">
        <f>IF(AND(AQ$5&gt;=$F111,AQ$5&lt;=$G111),3,"")</f>
        <v/>
      </c>
      <c r="AR111" s="34">
        <f>IF(AND(AR$5&gt;=$F111,AR$5&lt;=$G111),3,"")</f>
        <v/>
      </c>
      <c r="AS111" s="34">
        <f>IF(AND(AS$5&gt;=$F111,AS$5&lt;=$G111),3,"")</f>
        <v/>
      </c>
      <c r="AT111" s="34">
        <f>IF(AND(AT$5&gt;=$F111,AT$5&lt;=$G111),3,"")</f>
        <v/>
      </c>
      <c r="AU111" s="34">
        <f>IF(AND(AU$5&gt;=$F111,AU$5&lt;=$G111),3,"")</f>
        <v/>
      </c>
      <c r="AV111" s="34">
        <f>IF(AND(AV$5&gt;=$F111,AV$5&lt;=$G111),3,"")</f>
        <v/>
      </c>
      <c r="AW111" s="34">
        <f>IF(AND(AW$5&gt;=$F111,AW$5&lt;=$G111),3,"")</f>
        <v/>
      </c>
      <c r="AX111" s="34">
        <f>IF(AND(AX$5&gt;=$F111,AX$5&lt;=$G111),3,"")</f>
        <v/>
      </c>
      <c r="AY111" s="34">
        <f>IF(AND(AY$5&gt;=$F111,AY$5&lt;=$G111),3,"")</f>
        <v/>
      </c>
      <c r="AZ111" s="34">
        <f>IF(AND(AZ$5&gt;=$F111,AZ$5&lt;=$G111),3,"")</f>
        <v/>
      </c>
      <c r="BA111" s="34">
        <f>IF(AND(BA$5&gt;=$F111,BA$5&lt;=$G111),3,"")</f>
        <v/>
      </c>
      <c r="BB111" s="34">
        <f>IF(AND(BB$5&gt;=$F111,BB$5&lt;=$G111),3,"")</f>
        <v/>
      </c>
      <c r="BC111" s="34">
        <f>IF(AND(BC$5&gt;=$F111,BC$5&lt;=$G111),3,"")</f>
        <v/>
      </c>
      <c r="BD111" s="34">
        <f>IF(AND(BD$5&gt;=$F111,BD$5&lt;=$G111),3,"")</f>
        <v/>
      </c>
      <c r="BE111" s="34">
        <f>IF(AND(BE$5&gt;=$F111,BE$5&lt;=$G111),3,"")</f>
        <v/>
      </c>
      <c r="BF111" s="34">
        <f>IF(AND(BF$5&gt;=$F111,BF$5&lt;=$G111),3,"")</f>
        <v/>
      </c>
      <c r="BG111" s="34">
        <f>IF(AND(BG$5&gt;=$F111,BG$5&lt;=$G111),3,"")</f>
        <v/>
      </c>
      <c r="BH111" s="34">
        <f>IF(AND(BH$5&gt;=$F111,BH$5&lt;=$G111),3,"")</f>
        <v/>
      </c>
      <c r="BI111" s="34">
        <f>IF(AND(BI$5&gt;=$F111,BI$5&lt;=$G111),3,"")</f>
        <v/>
      </c>
      <c r="BJ111" s="34">
        <f>IF(AND(BJ$5&gt;=$F111,BJ$5&lt;=$G111),3,"")</f>
        <v/>
      </c>
      <c r="BK111" s="34">
        <f>IF(AND(BK$5&gt;=$F111,BK$5&lt;=$G111),3,"")</f>
        <v/>
      </c>
      <c r="BL111" s="34">
        <f>IF(AND(BL$5&gt;=$F111,BL$5&lt;=$G111),3,"")</f>
        <v/>
      </c>
      <c r="BM111" s="34">
        <f>IF(AND(BM$5&gt;=$F111,BM$5&lt;=$G111),3,"")</f>
        <v/>
      </c>
      <c r="BN111" s="34">
        <f>IF(AND(BN$5&gt;=$F111,BN$5&lt;=$G111),3,"")</f>
        <v/>
      </c>
    </row>
    <row r="112" ht="14.25" customHeight="1" s="36">
      <c r="A112" s="13" t="inlineStr">
        <is>
          <t>3 Construcción</t>
        </is>
      </c>
      <c r="B112" s="13" t="inlineStr">
        <is>
          <t>3.8.8</t>
        </is>
      </c>
      <c r="C112" s="13" t="inlineStr">
        <is>
          <t>Demostración en Preproducción del despliegue sin interrupción de la Etapa 1</t>
        </is>
      </c>
      <c r="D112" s="13" t="inlineStr">
        <is>
          <t>V</t>
        </is>
      </c>
      <c r="E112" s="13" t="inlineStr">
        <is>
          <t>Operación / SRE</t>
        </is>
      </c>
      <c r="F112" s="13" t="n">
        <v>9</v>
      </c>
      <c r="G112" s="13" t="n">
        <v>10</v>
      </c>
      <c r="H112" s="13">
        <f>G112-F112+1</f>
        <v/>
      </c>
      <c r="I112" s="31" t="n">
        <v>320</v>
      </c>
      <c r="J112" s="13" t="inlineStr">
        <is>
          <t>Con entregable (detalle por planificación gradual)</t>
        </is>
      </c>
      <c r="K112" s="34">
        <f>IF(AND(K$5&gt;=$F112,K$5&lt;=$G112),3,"")</f>
        <v/>
      </c>
      <c r="L112" s="34">
        <f>IF(AND(L$5&gt;=$F112,L$5&lt;=$G112),3,"")</f>
        <v/>
      </c>
      <c r="M112" s="34">
        <f>IF(AND(M$5&gt;=$F112,M$5&lt;=$G112),3,"")</f>
        <v/>
      </c>
      <c r="N112" s="34">
        <f>IF(AND(N$5&gt;=$F112,N$5&lt;=$G112),3,"")</f>
        <v/>
      </c>
      <c r="O112" s="34">
        <f>IF(AND(O$5&gt;=$F112,O$5&lt;=$G112),3,"")</f>
        <v/>
      </c>
      <c r="P112" s="34">
        <f>IF(AND(P$5&gt;=$F112,P$5&lt;=$G112),3,"")</f>
        <v/>
      </c>
      <c r="Q112" s="34">
        <f>IF(AND(Q$5&gt;=$F112,Q$5&lt;=$G112),3,"")</f>
        <v/>
      </c>
      <c r="R112" s="34">
        <f>IF(AND(R$5&gt;=$F112,R$5&lt;=$G112),3,"")</f>
        <v/>
      </c>
      <c r="S112" s="34">
        <f>IF(AND(S$5&gt;=$F112,S$5&lt;=$G112),3,"")</f>
        <v/>
      </c>
      <c r="T112" s="34">
        <f>IF(AND(T$5&gt;=$F112,T$5&lt;=$G112),3,"")</f>
        <v/>
      </c>
      <c r="U112" s="34">
        <f>IF(AND(U$5&gt;=$F112,U$5&lt;=$G112),3,"")</f>
        <v/>
      </c>
      <c r="V112" s="34">
        <f>IF(AND(V$5&gt;=$F112,V$5&lt;=$G112),3,"")</f>
        <v/>
      </c>
      <c r="W112" s="34">
        <f>IF(AND(W$5&gt;=$F112,W$5&lt;=$G112),3,"")</f>
        <v/>
      </c>
      <c r="X112" s="34">
        <f>IF(AND(X$5&gt;=$F112,X$5&lt;=$G112),3,"")</f>
        <v/>
      </c>
      <c r="Y112" s="34">
        <f>IF(AND(Y$5&gt;=$F112,Y$5&lt;=$G112),3,"")</f>
        <v/>
      </c>
      <c r="Z112" s="34">
        <f>IF(AND(Z$5&gt;=$F112,Z$5&lt;=$G112),3,"")</f>
        <v/>
      </c>
      <c r="AA112" s="34">
        <f>IF(AND(AA$5&gt;=$F112,AA$5&lt;=$G112),3,"")</f>
        <v/>
      </c>
      <c r="AB112" s="34">
        <f>IF(AND(AB$5&gt;=$F112,AB$5&lt;=$G112),3,"")</f>
        <v/>
      </c>
      <c r="AC112" s="34">
        <f>IF(AND(AC$5&gt;=$F112,AC$5&lt;=$G112),3,"")</f>
        <v/>
      </c>
      <c r="AD112" s="34">
        <f>IF(AND(AD$5&gt;=$F112,AD$5&lt;=$G112),3,"")</f>
        <v/>
      </c>
      <c r="AE112" s="34">
        <f>IF(AND(AE$5&gt;=$F112,AE$5&lt;=$G112),3,"")</f>
        <v/>
      </c>
      <c r="AF112" s="34">
        <f>IF(AND(AF$5&gt;=$F112,AF$5&lt;=$G112),3,"")</f>
        <v/>
      </c>
      <c r="AG112" s="34">
        <f>IF(AND(AG$5&gt;=$F112,AG$5&lt;=$G112),3,"")</f>
        <v/>
      </c>
      <c r="AH112" s="34">
        <f>IF(AND(AH$5&gt;=$F112,AH$5&lt;=$G112),3,"")</f>
        <v/>
      </c>
      <c r="AI112" s="34">
        <f>IF(AND(AI$5&gt;=$F112,AI$5&lt;=$G112),3,"")</f>
        <v/>
      </c>
      <c r="AJ112" s="34">
        <f>IF(AND(AJ$5&gt;=$F112,AJ$5&lt;=$G112),3,"")</f>
        <v/>
      </c>
      <c r="AK112" s="34">
        <f>IF(AND(AK$5&gt;=$F112,AK$5&lt;=$G112),3,"")</f>
        <v/>
      </c>
      <c r="AL112" s="34">
        <f>IF(AND(AL$5&gt;=$F112,AL$5&lt;=$G112),3,"")</f>
        <v/>
      </c>
      <c r="AM112" s="34">
        <f>IF(AND(AM$5&gt;=$F112,AM$5&lt;=$G112),3,"")</f>
        <v/>
      </c>
      <c r="AN112" s="34">
        <f>IF(AND(AN$5&gt;=$F112,AN$5&lt;=$G112),3,"")</f>
        <v/>
      </c>
      <c r="AO112" s="34">
        <f>IF(AND(AO$5&gt;=$F112,AO$5&lt;=$G112),3,"")</f>
        <v/>
      </c>
      <c r="AP112" s="34">
        <f>IF(AND(AP$5&gt;=$F112,AP$5&lt;=$G112),3,"")</f>
        <v/>
      </c>
      <c r="AQ112" s="34">
        <f>IF(AND(AQ$5&gt;=$F112,AQ$5&lt;=$G112),3,"")</f>
        <v/>
      </c>
      <c r="AR112" s="34">
        <f>IF(AND(AR$5&gt;=$F112,AR$5&lt;=$G112),3,"")</f>
        <v/>
      </c>
      <c r="AS112" s="34">
        <f>IF(AND(AS$5&gt;=$F112,AS$5&lt;=$G112),3,"")</f>
        <v/>
      </c>
      <c r="AT112" s="34">
        <f>IF(AND(AT$5&gt;=$F112,AT$5&lt;=$G112),3,"")</f>
        <v/>
      </c>
      <c r="AU112" s="34">
        <f>IF(AND(AU$5&gt;=$F112,AU$5&lt;=$G112),3,"")</f>
        <v/>
      </c>
      <c r="AV112" s="34">
        <f>IF(AND(AV$5&gt;=$F112,AV$5&lt;=$G112),3,"")</f>
        <v/>
      </c>
      <c r="AW112" s="34">
        <f>IF(AND(AW$5&gt;=$F112,AW$5&lt;=$G112),3,"")</f>
        <v/>
      </c>
      <c r="AX112" s="34">
        <f>IF(AND(AX$5&gt;=$F112,AX$5&lt;=$G112),3,"")</f>
        <v/>
      </c>
      <c r="AY112" s="34">
        <f>IF(AND(AY$5&gt;=$F112,AY$5&lt;=$G112),3,"")</f>
        <v/>
      </c>
      <c r="AZ112" s="34">
        <f>IF(AND(AZ$5&gt;=$F112,AZ$5&lt;=$G112),3,"")</f>
        <v/>
      </c>
      <c r="BA112" s="34">
        <f>IF(AND(BA$5&gt;=$F112,BA$5&lt;=$G112),3,"")</f>
        <v/>
      </c>
      <c r="BB112" s="34">
        <f>IF(AND(BB$5&gt;=$F112,BB$5&lt;=$G112),3,"")</f>
        <v/>
      </c>
      <c r="BC112" s="34">
        <f>IF(AND(BC$5&gt;=$F112,BC$5&lt;=$G112),3,"")</f>
        <v/>
      </c>
      <c r="BD112" s="34">
        <f>IF(AND(BD$5&gt;=$F112,BD$5&lt;=$G112),3,"")</f>
        <v/>
      </c>
      <c r="BE112" s="34">
        <f>IF(AND(BE$5&gt;=$F112,BE$5&lt;=$G112),3,"")</f>
        <v/>
      </c>
      <c r="BF112" s="34">
        <f>IF(AND(BF$5&gt;=$F112,BF$5&lt;=$G112),3,"")</f>
        <v/>
      </c>
      <c r="BG112" s="34">
        <f>IF(AND(BG$5&gt;=$F112,BG$5&lt;=$G112),3,"")</f>
        <v/>
      </c>
      <c r="BH112" s="34">
        <f>IF(AND(BH$5&gt;=$F112,BH$5&lt;=$G112),3,"")</f>
        <v/>
      </c>
      <c r="BI112" s="34">
        <f>IF(AND(BI$5&gt;=$F112,BI$5&lt;=$G112),3,"")</f>
        <v/>
      </c>
      <c r="BJ112" s="34">
        <f>IF(AND(BJ$5&gt;=$F112,BJ$5&lt;=$G112),3,"")</f>
        <v/>
      </c>
      <c r="BK112" s="34">
        <f>IF(AND(BK$5&gt;=$F112,BK$5&lt;=$G112),3,"")</f>
        <v/>
      </c>
      <c r="BL112" s="34">
        <f>IF(AND(BL$5&gt;=$F112,BL$5&lt;=$G112),3,"")</f>
        <v/>
      </c>
      <c r="BM112" s="34">
        <f>IF(AND(BM$5&gt;=$F112,BM$5&lt;=$G112),3,"")</f>
        <v/>
      </c>
      <c r="BN112" s="34">
        <f>IF(AND(BN$5&gt;=$F112,BN$5&lt;=$G112),3,"")</f>
        <v/>
      </c>
    </row>
    <row r="113" ht="14.25" customHeight="1" s="36">
      <c r="A113" s="13" t="inlineStr">
        <is>
          <t>3 Construcción</t>
        </is>
      </c>
      <c r="B113" s="13" t="inlineStr">
        <is>
          <t>3.9.1</t>
        </is>
      </c>
      <c r="C113" s="13" t="inlineStr">
        <is>
          <t>Pruebas de integración y regresión sin afectar la Etapa 1 en producción (H9)</t>
        </is>
      </c>
      <c r="D113" s="13" t="inlineStr">
        <is>
          <t>V</t>
        </is>
      </c>
      <c r="E113" s="13" t="inlineStr">
        <is>
          <t>Calidad y pruebas</t>
        </is>
      </c>
      <c r="F113" s="13" t="n">
        <v>16</v>
      </c>
      <c r="G113" s="13" t="n">
        <v>16</v>
      </c>
      <c r="H113" s="13">
        <f>G113-F113+1</f>
        <v/>
      </c>
      <c r="I113" s="31" t="n">
        <v>160</v>
      </c>
      <c r="J113" s="13" t="inlineStr">
        <is>
          <t>Con entregable (detalle por planificación gradual)</t>
        </is>
      </c>
      <c r="K113" s="34">
        <f>IF(AND(K$5&gt;=$F113,K$5&lt;=$G113),3,"")</f>
        <v/>
      </c>
      <c r="L113" s="34">
        <f>IF(AND(L$5&gt;=$F113,L$5&lt;=$G113),3,"")</f>
        <v/>
      </c>
      <c r="M113" s="34">
        <f>IF(AND(M$5&gt;=$F113,M$5&lt;=$G113),3,"")</f>
        <v/>
      </c>
      <c r="N113" s="34">
        <f>IF(AND(N$5&gt;=$F113,N$5&lt;=$G113),3,"")</f>
        <v/>
      </c>
      <c r="O113" s="34">
        <f>IF(AND(O$5&gt;=$F113,O$5&lt;=$G113),3,"")</f>
        <v/>
      </c>
      <c r="P113" s="34">
        <f>IF(AND(P$5&gt;=$F113,P$5&lt;=$G113),3,"")</f>
        <v/>
      </c>
      <c r="Q113" s="34">
        <f>IF(AND(Q$5&gt;=$F113,Q$5&lt;=$G113),3,"")</f>
        <v/>
      </c>
      <c r="R113" s="34">
        <f>IF(AND(R$5&gt;=$F113,R$5&lt;=$G113),3,"")</f>
        <v/>
      </c>
      <c r="S113" s="34">
        <f>IF(AND(S$5&gt;=$F113,S$5&lt;=$G113),3,"")</f>
        <v/>
      </c>
      <c r="T113" s="34">
        <f>IF(AND(T$5&gt;=$F113,T$5&lt;=$G113),3,"")</f>
        <v/>
      </c>
      <c r="U113" s="34">
        <f>IF(AND(U$5&gt;=$F113,U$5&lt;=$G113),3,"")</f>
        <v/>
      </c>
      <c r="V113" s="34">
        <f>IF(AND(V$5&gt;=$F113,V$5&lt;=$G113),3,"")</f>
        <v/>
      </c>
      <c r="W113" s="34">
        <f>IF(AND(W$5&gt;=$F113,W$5&lt;=$G113),3,"")</f>
        <v/>
      </c>
      <c r="X113" s="34">
        <f>IF(AND(X$5&gt;=$F113,X$5&lt;=$G113),3,"")</f>
        <v/>
      </c>
      <c r="Y113" s="34">
        <f>IF(AND(Y$5&gt;=$F113,Y$5&lt;=$G113),3,"")</f>
        <v/>
      </c>
      <c r="Z113" s="34">
        <f>IF(AND(Z$5&gt;=$F113,Z$5&lt;=$G113),3,"")</f>
        <v/>
      </c>
      <c r="AA113" s="34">
        <f>IF(AND(AA$5&gt;=$F113,AA$5&lt;=$G113),3,"")</f>
        <v/>
      </c>
      <c r="AB113" s="34">
        <f>IF(AND(AB$5&gt;=$F113,AB$5&lt;=$G113),3,"")</f>
        <v/>
      </c>
      <c r="AC113" s="34">
        <f>IF(AND(AC$5&gt;=$F113,AC$5&lt;=$G113),3,"")</f>
        <v/>
      </c>
      <c r="AD113" s="34">
        <f>IF(AND(AD$5&gt;=$F113,AD$5&lt;=$G113),3,"")</f>
        <v/>
      </c>
      <c r="AE113" s="34">
        <f>IF(AND(AE$5&gt;=$F113,AE$5&lt;=$G113),3,"")</f>
        <v/>
      </c>
      <c r="AF113" s="34">
        <f>IF(AND(AF$5&gt;=$F113,AF$5&lt;=$G113),3,"")</f>
        <v/>
      </c>
      <c r="AG113" s="34">
        <f>IF(AND(AG$5&gt;=$F113,AG$5&lt;=$G113),3,"")</f>
        <v/>
      </c>
      <c r="AH113" s="34">
        <f>IF(AND(AH$5&gt;=$F113,AH$5&lt;=$G113),3,"")</f>
        <v/>
      </c>
      <c r="AI113" s="34">
        <f>IF(AND(AI$5&gt;=$F113,AI$5&lt;=$G113),3,"")</f>
        <v/>
      </c>
      <c r="AJ113" s="34">
        <f>IF(AND(AJ$5&gt;=$F113,AJ$5&lt;=$G113),3,"")</f>
        <v/>
      </c>
      <c r="AK113" s="34">
        <f>IF(AND(AK$5&gt;=$F113,AK$5&lt;=$G113),3,"")</f>
        <v/>
      </c>
      <c r="AL113" s="34">
        <f>IF(AND(AL$5&gt;=$F113,AL$5&lt;=$G113),3,"")</f>
        <v/>
      </c>
      <c r="AM113" s="34">
        <f>IF(AND(AM$5&gt;=$F113,AM$5&lt;=$G113),3,"")</f>
        <v/>
      </c>
      <c r="AN113" s="34">
        <f>IF(AND(AN$5&gt;=$F113,AN$5&lt;=$G113),3,"")</f>
        <v/>
      </c>
      <c r="AO113" s="34">
        <f>IF(AND(AO$5&gt;=$F113,AO$5&lt;=$G113),3,"")</f>
        <v/>
      </c>
      <c r="AP113" s="34">
        <f>IF(AND(AP$5&gt;=$F113,AP$5&lt;=$G113),3,"")</f>
        <v/>
      </c>
      <c r="AQ113" s="34">
        <f>IF(AND(AQ$5&gt;=$F113,AQ$5&lt;=$G113),3,"")</f>
        <v/>
      </c>
      <c r="AR113" s="34">
        <f>IF(AND(AR$5&gt;=$F113,AR$5&lt;=$G113),3,"")</f>
        <v/>
      </c>
      <c r="AS113" s="34">
        <f>IF(AND(AS$5&gt;=$F113,AS$5&lt;=$G113),3,"")</f>
        <v/>
      </c>
      <c r="AT113" s="34">
        <f>IF(AND(AT$5&gt;=$F113,AT$5&lt;=$G113),3,"")</f>
        <v/>
      </c>
      <c r="AU113" s="34">
        <f>IF(AND(AU$5&gt;=$F113,AU$5&lt;=$G113),3,"")</f>
        <v/>
      </c>
      <c r="AV113" s="34">
        <f>IF(AND(AV$5&gt;=$F113,AV$5&lt;=$G113),3,"")</f>
        <v/>
      </c>
      <c r="AW113" s="34">
        <f>IF(AND(AW$5&gt;=$F113,AW$5&lt;=$G113),3,"")</f>
        <v/>
      </c>
      <c r="AX113" s="34">
        <f>IF(AND(AX$5&gt;=$F113,AX$5&lt;=$G113),3,"")</f>
        <v/>
      </c>
      <c r="AY113" s="34">
        <f>IF(AND(AY$5&gt;=$F113,AY$5&lt;=$G113),3,"")</f>
        <v/>
      </c>
      <c r="AZ113" s="34">
        <f>IF(AND(AZ$5&gt;=$F113,AZ$5&lt;=$G113),3,"")</f>
        <v/>
      </c>
      <c r="BA113" s="34">
        <f>IF(AND(BA$5&gt;=$F113,BA$5&lt;=$G113),3,"")</f>
        <v/>
      </c>
      <c r="BB113" s="34">
        <f>IF(AND(BB$5&gt;=$F113,BB$5&lt;=$G113),3,"")</f>
        <v/>
      </c>
      <c r="BC113" s="34">
        <f>IF(AND(BC$5&gt;=$F113,BC$5&lt;=$G113),3,"")</f>
        <v/>
      </c>
      <c r="BD113" s="34">
        <f>IF(AND(BD$5&gt;=$F113,BD$5&lt;=$G113),3,"")</f>
        <v/>
      </c>
      <c r="BE113" s="34">
        <f>IF(AND(BE$5&gt;=$F113,BE$5&lt;=$G113),3,"")</f>
        <v/>
      </c>
      <c r="BF113" s="34">
        <f>IF(AND(BF$5&gt;=$F113,BF$5&lt;=$G113),3,"")</f>
        <v/>
      </c>
      <c r="BG113" s="34">
        <f>IF(AND(BG$5&gt;=$F113,BG$5&lt;=$G113),3,"")</f>
        <v/>
      </c>
      <c r="BH113" s="34">
        <f>IF(AND(BH$5&gt;=$F113,BH$5&lt;=$G113),3,"")</f>
        <v/>
      </c>
      <c r="BI113" s="34">
        <f>IF(AND(BI$5&gt;=$F113,BI$5&lt;=$G113),3,"")</f>
        <v/>
      </c>
      <c r="BJ113" s="34">
        <f>IF(AND(BJ$5&gt;=$F113,BJ$5&lt;=$G113),3,"")</f>
        <v/>
      </c>
      <c r="BK113" s="34">
        <f>IF(AND(BK$5&gt;=$F113,BK$5&lt;=$G113),3,"")</f>
        <v/>
      </c>
      <c r="BL113" s="34">
        <f>IF(AND(BL$5&gt;=$F113,BL$5&lt;=$G113),3,"")</f>
        <v/>
      </c>
      <c r="BM113" s="34">
        <f>IF(AND(BM$5&gt;=$F113,BM$5&lt;=$G113),3,"")</f>
        <v/>
      </c>
      <c r="BN113" s="34">
        <f>IF(AND(BN$5&gt;=$F113,BN$5&lt;=$G113),3,"")</f>
        <v/>
      </c>
    </row>
    <row r="114" ht="14.25" customHeight="1" s="36">
      <c r="A114" s="13" t="inlineStr">
        <is>
          <t>3 Construcción</t>
        </is>
      </c>
      <c r="B114" s="13" t="inlineStr">
        <is>
          <t>3.9.2</t>
        </is>
      </c>
      <c r="C114" s="13" t="inlineStr">
        <is>
          <t>Pruebas de aceptación y de accesibilidad con cadenas, transportistas, Comercial y Finanzas</t>
        </is>
      </c>
      <c r="D114" s="13" t="inlineStr">
        <is>
          <t>V</t>
        </is>
      </c>
      <c r="E114" s="13" t="inlineStr">
        <is>
          <t>Calidad y pruebas</t>
        </is>
      </c>
      <c r="F114" s="13" t="n">
        <v>16</v>
      </c>
      <c r="G114" s="13" t="n">
        <v>16</v>
      </c>
      <c r="H114" s="13">
        <f>G114-F114+1</f>
        <v/>
      </c>
      <c r="I114" s="31" t="n">
        <v>320</v>
      </c>
      <c r="J114" s="13" t="inlineStr">
        <is>
          <t>Con entregable (detalle por planificación gradual)</t>
        </is>
      </c>
      <c r="K114" s="34">
        <f>IF(AND(K$5&gt;=$F114,K$5&lt;=$G114),3,"")</f>
        <v/>
      </c>
      <c r="L114" s="34">
        <f>IF(AND(L$5&gt;=$F114,L$5&lt;=$G114),3,"")</f>
        <v/>
      </c>
      <c r="M114" s="34">
        <f>IF(AND(M$5&gt;=$F114,M$5&lt;=$G114),3,"")</f>
        <v/>
      </c>
      <c r="N114" s="34">
        <f>IF(AND(N$5&gt;=$F114,N$5&lt;=$G114),3,"")</f>
        <v/>
      </c>
      <c r="O114" s="34">
        <f>IF(AND(O$5&gt;=$F114,O$5&lt;=$G114),3,"")</f>
        <v/>
      </c>
      <c r="P114" s="34">
        <f>IF(AND(P$5&gt;=$F114,P$5&lt;=$G114),3,"")</f>
        <v/>
      </c>
      <c r="Q114" s="34">
        <f>IF(AND(Q$5&gt;=$F114,Q$5&lt;=$G114),3,"")</f>
        <v/>
      </c>
      <c r="R114" s="34">
        <f>IF(AND(R$5&gt;=$F114,R$5&lt;=$G114),3,"")</f>
        <v/>
      </c>
      <c r="S114" s="34">
        <f>IF(AND(S$5&gt;=$F114,S$5&lt;=$G114),3,"")</f>
        <v/>
      </c>
      <c r="T114" s="34">
        <f>IF(AND(T$5&gt;=$F114,T$5&lt;=$G114),3,"")</f>
        <v/>
      </c>
      <c r="U114" s="34">
        <f>IF(AND(U$5&gt;=$F114,U$5&lt;=$G114),3,"")</f>
        <v/>
      </c>
      <c r="V114" s="34">
        <f>IF(AND(V$5&gt;=$F114,V$5&lt;=$G114),3,"")</f>
        <v/>
      </c>
      <c r="W114" s="34">
        <f>IF(AND(W$5&gt;=$F114,W$5&lt;=$G114),3,"")</f>
        <v/>
      </c>
      <c r="X114" s="34">
        <f>IF(AND(X$5&gt;=$F114,X$5&lt;=$G114),3,"")</f>
        <v/>
      </c>
      <c r="Y114" s="34">
        <f>IF(AND(Y$5&gt;=$F114,Y$5&lt;=$G114),3,"")</f>
        <v/>
      </c>
      <c r="Z114" s="34">
        <f>IF(AND(Z$5&gt;=$F114,Z$5&lt;=$G114),3,"")</f>
        <v/>
      </c>
      <c r="AA114" s="34">
        <f>IF(AND(AA$5&gt;=$F114,AA$5&lt;=$G114),3,"")</f>
        <v/>
      </c>
      <c r="AB114" s="34">
        <f>IF(AND(AB$5&gt;=$F114,AB$5&lt;=$G114),3,"")</f>
        <v/>
      </c>
      <c r="AC114" s="34">
        <f>IF(AND(AC$5&gt;=$F114,AC$5&lt;=$G114),3,"")</f>
        <v/>
      </c>
      <c r="AD114" s="34">
        <f>IF(AND(AD$5&gt;=$F114,AD$5&lt;=$G114),3,"")</f>
        <v/>
      </c>
      <c r="AE114" s="34">
        <f>IF(AND(AE$5&gt;=$F114,AE$5&lt;=$G114),3,"")</f>
        <v/>
      </c>
      <c r="AF114" s="34">
        <f>IF(AND(AF$5&gt;=$F114,AF$5&lt;=$G114),3,"")</f>
        <v/>
      </c>
      <c r="AG114" s="34">
        <f>IF(AND(AG$5&gt;=$F114,AG$5&lt;=$G114),3,"")</f>
        <v/>
      </c>
      <c r="AH114" s="34">
        <f>IF(AND(AH$5&gt;=$F114,AH$5&lt;=$G114),3,"")</f>
        <v/>
      </c>
      <c r="AI114" s="34">
        <f>IF(AND(AI$5&gt;=$F114,AI$5&lt;=$G114),3,"")</f>
        <v/>
      </c>
      <c r="AJ114" s="34">
        <f>IF(AND(AJ$5&gt;=$F114,AJ$5&lt;=$G114),3,"")</f>
        <v/>
      </c>
      <c r="AK114" s="34">
        <f>IF(AND(AK$5&gt;=$F114,AK$5&lt;=$G114),3,"")</f>
        <v/>
      </c>
      <c r="AL114" s="34">
        <f>IF(AND(AL$5&gt;=$F114,AL$5&lt;=$G114),3,"")</f>
        <v/>
      </c>
      <c r="AM114" s="34">
        <f>IF(AND(AM$5&gt;=$F114,AM$5&lt;=$G114),3,"")</f>
        <v/>
      </c>
      <c r="AN114" s="34">
        <f>IF(AND(AN$5&gt;=$F114,AN$5&lt;=$G114),3,"")</f>
        <v/>
      </c>
      <c r="AO114" s="34">
        <f>IF(AND(AO$5&gt;=$F114,AO$5&lt;=$G114),3,"")</f>
        <v/>
      </c>
      <c r="AP114" s="34">
        <f>IF(AND(AP$5&gt;=$F114,AP$5&lt;=$G114),3,"")</f>
        <v/>
      </c>
      <c r="AQ114" s="34">
        <f>IF(AND(AQ$5&gt;=$F114,AQ$5&lt;=$G114),3,"")</f>
        <v/>
      </c>
      <c r="AR114" s="34">
        <f>IF(AND(AR$5&gt;=$F114,AR$5&lt;=$G114),3,"")</f>
        <v/>
      </c>
      <c r="AS114" s="34">
        <f>IF(AND(AS$5&gt;=$F114,AS$5&lt;=$G114),3,"")</f>
        <v/>
      </c>
      <c r="AT114" s="34">
        <f>IF(AND(AT$5&gt;=$F114,AT$5&lt;=$G114),3,"")</f>
        <v/>
      </c>
      <c r="AU114" s="34">
        <f>IF(AND(AU$5&gt;=$F114,AU$5&lt;=$G114),3,"")</f>
        <v/>
      </c>
      <c r="AV114" s="34">
        <f>IF(AND(AV$5&gt;=$F114,AV$5&lt;=$G114),3,"")</f>
        <v/>
      </c>
      <c r="AW114" s="34">
        <f>IF(AND(AW$5&gt;=$F114,AW$5&lt;=$G114),3,"")</f>
        <v/>
      </c>
      <c r="AX114" s="34">
        <f>IF(AND(AX$5&gt;=$F114,AX$5&lt;=$G114),3,"")</f>
        <v/>
      </c>
      <c r="AY114" s="34">
        <f>IF(AND(AY$5&gt;=$F114,AY$5&lt;=$G114),3,"")</f>
        <v/>
      </c>
      <c r="AZ114" s="34">
        <f>IF(AND(AZ$5&gt;=$F114,AZ$5&lt;=$G114),3,"")</f>
        <v/>
      </c>
      <c r="BA114" s="34">
        <f>IF(AND(BA$5&gt;=$F114,BA$5&lt;=$G114),3,"")</f>
        <v/>
      </c>
      <c r="BB114" s="34">
        <f>IF(AND(BB$5&gt;=$F114,BB$5&lt;=$G114),3,"")</f>
        <v/>
      </c>
      <c r="BC114" s="34">
        <f>IF(AND(BC$5&gt;=$F114,BC$5&lt;=$G114),3,"")</f>
        <v/>
      </c>
      <c r="BD114" s="34">
        <f>IF(AND(BD$5&gt;=$F114,BD$5&lt;=$G114),3,"")</f>
        <v/>
      </c>
      <c r="BE114" s="34">
        <f>IF(AND(BE$5&gt;=$F114,BE$5&lt;=$G114),3,"")</f>
        <v/>
      </c>
      <c r="BF114" s="34">
        <f>IF(AND(BF$5&gt;=$F114,BF$5&lt;=$G114),3,"")</f>
        <v/>
      </c>
      <c r="BG114" s="34">
        <f>IF(AND(BG$5&gt;=$F114,BG$5&lt;=$G114),3,"")</f>
        <v/>
      </c>
      <c r="BH114" s="34">
        <f>IF(AND(BH$5&gt;=$F114,BH$5&lt;=$G114),3,"")</f>
        <v/>
      </c>
      <c r="BI114" s="34">
        <f>IF(AND(BI$5&gt;=$F114,BI$5&lt;=$G114),3,"")</f>
        <v/>
      </c>
      <c r="BJ114" s="34">
        <f>IF(AND(BJ$5&gt;=$F114,BJ$5&lt;=$G114),3,"")</f>
        <v/>
      </c>
      <c r="BK114" s="34">
        <f>IF(AND(BK$5&gt;=$F114,BK$5&lt;=$G114),3,"")</f>
        <v/>
      </c>
      <c r="BL114" s="34">
        <f>IF(AND(BL$5&gt;=$F114,BL$5&lt;=$G114),3,"")</f>
        <v/>
      </c>
      <c r="BM114" s="34">
        <f>IF(AND(BM$5&gt;=$F114,BM$5&lt;=$G114),3,"")</f>
        <v/>
      </c>
      <c r="BN114" s="34">
        <f>IF(AND(BN$5&gt;=$F114,BN$5&lt;=$G114),3,"")</f>
        <v/>
      </c>
    </row>
    <row r="115" ht="14.25" customHeight="1" s="36">
      <c r="A115" s="13" t="inlineStr">
        <is>
          <t>3 Construcción</t>
        </is>
      </c>
      <c r="B115" s="13" t="inlineStr">
        <is>
          <t>3.9.3</t>
        </is>
      </c>
      <c r="C115" s="13" t="inlineStr">
        <is>
          <t>Pruebas de carga con ambas etapas activas y de resiliencia</t>
        </is>
      </c>
      <c r="D115" s="13" t="inlineStr">
        <is>
          <t>V</t>
        </is>
      </c>
      <c r="E115" s="13" t="inlineStr">
        <is>
          <t>Calidad y pruebas</t>
        </is>
      </c>
      <c r="F115" s="13" t="n">
        <v>16</v>
      </c>
      <c r="G115" s="13" t="n">
        <v>16</v>
      </c>
      <c r="H115" s="13">
        <f>G115-F115+1</f>
        <v/>
      </c>
      <c r="I115" s="31" t="n">
        <v>320</v>
      </c>
      <c r="J115" s="13" t="inlineStr">
        <is>
          <t>Con entregable (detalle por planificación gradual)</t>
        </is>
      </c>
      <c r="K115" s="34">
        <f>IF(AND(K$5&gt;=$F115,K$5&lt;=$G115),3,"")</f>
        <v/>
      </c>
      <c r="L115" s="34">
        <f>IF(AND(L$5&gt;=$F115,L$5&lt;=$G115),3,"")</f>
        <v/>
      </c>
      <c r="M115" s="34">
        <f>IF(AND(M$5&gt;=$F115,M$5&lt;=$G115),3,"")</f>
        <v/>
      </c>
      <c r="N115" s="34">
        <f>IF(AND(N$5&gt;=$F115,N$5&lt;=$G115),3,"")</f>
        <v/>
      </c>
      <c r="O115" s="34">
        <f>IF(AND(O$5&gt;=$F115,O$5&lt;=$G115),3,"")</f>
        <v/>
      </c>
      <c r="P115" s="34">
        <f>IF(AND(P$5&gt;=$F115,P$5&lt;=$G115),3,"")</f>
        <v/>
      </c>
      <c r="Q115" s="34">
        <f>IF(AND(Q$5&gt;=$F115,Q$5&lt;=$G115),3,"")</f>
        <v/>
      </c>
      <c r="R115" s="34">
        <f>IF(AND(R$5&gt;=$F115,R$5&lt;=$G115),3,"")</f>
        <v/>
      </c>
      <c r="S115" s="34">
        <f>IF(AND(S$5&gt;=$F115,S$5&lt;=$G115),3,"")</f>
        <v/>
      </c>
      <c r="T115" s="34">
        <f>IF(AND(T$5&gt;=$F115,T$5&lt;=$G115),3,"")</f>
        <v/>
      </c>
      <c r="U115" s="34">
        <f>IF(AND(U$5&gt;=$F115,U$5&lt;=$G115),3,"")</f>
        <v/>
      </c>
      <c r="V115" s="34">
        <f>IF(AND(V$5&gt;=$F115,V$5&lt;=$G115),3,"")</f>
        <v/>
      </c>
      <c r="W115" s="34">
        <f>IF(AND(W$5&gt;=$F115,W$5&lt;=$G115),3,"")</f>
        <v/>
      </c>
      <c r="X115" s="34">
        <f>IF(AND(X$5&gt;=$F115,X$5&lt;=$G115),3,"")</f>
        <v/>
      </c>
      <c r="Y115" s="34">
        <f>IF(AND(Y$5&gt;=$F115,Y$5&lt;=$G115),3,"")</f>
        <v/>
      </c>
      <c r="Z115" s="34">
        <f>IF(AND(Z$5&gt;=$F115,Z$5&lt;=$G115),3,"")</f>
        <v/>
      </c>
      <c r="AA115" s="34">
        <f>IF(AND(AA$5&gt;=$F115,AA$5&lt;=$G115),3,"")</f>
        <v/>
      </c>
      <c r="AB115" s="34">
        <f>IF(AND(AB$5&gt;=$F115,AB$5&lt;=$G115),3,"")</f>
        <v/>
      </c>
      <c r="AC115" s="34">
        <f>IF(AND(AC$5&gt;=$F115,AC$5&lt;=$G115),3,"")</f>
        <v/>
      </c>
      <c r="AD115" s="34">
        <f>IF(AND(AD$5&gt;=$F115,AD$5&lt;=$G115),3,"")</f>
        <v/>
      </c>
      <c r="AE115" s="34">
        <f>IF(AND(AE$5&gt;=$F115,AE$5&lt;=$G115),3,"")</f>
        <v/>
      </c>
      <c r="AF115" s="34">
        <f>IF(AND(AF$5&gt;=$F115,AF$5&lt;=$G115),3,"")</f>
        <v/>
      </c>
      <c r="AG115" s="34">
        <f>IF(AND(AG$5&gt;=$F115,AG$5&lt;=$G115),3,"")</f>
        <v/>
      </c>
      <c r="AH115" s="34">
        <f>IF(AND(AH$5&gt;=$F115,AH$5&lt;=$G115),3,"")</f>
        <v/>
      </c>
      <c r="AI115" s="34">
        <f>IF(AND(AI$5&gt;=$F115,AI$5&lt;=$G115),3,"")</f>
        <v/>
      </c>
      <c r="AJ115" s="34">
        <f>IF(AND(AJ$5&gt;=$F115,AJ$5&lt;=$G115),3,"")</f>
        <v/>
      </c>
      <c r="AK115" s="34">
        <f>IF(AND(AK$5&gt;=$F115,AK$5&lt;=$G115),3,"")</f>
        <v/>
      </c>
      <c r="AL115" s="34">
        <f>IF(AND(AL$5&gt;=$F115,AL$5&lt;=$G115),3,"")</f>
        <v/>
      </c>
      <c r="AM115" s="34">
        <f>IF(AND(AM$5&gt;=$F115,AM$5&lt;=$G115),3,"")</f>
        <v/>
      </c>
      <c r="AN115" s="34">
        <f>IF(AND(AN$5&gt;=$F115,AN$5&lt;=$G115),3,"")</f>
        <v/>
      </c>
      <c r="AO115" s="34">
        <f>IF(AND(AO$5&gt;=$F115,AO$5&lt;=$G115),3,"")</f>
        <v/>
      </c>
      <c r="AP115" s="34">
        <f>IF(AND(AP$5&gt;=$F115,AP$5&lt;=$G115),3,"")</f>
        <v/>
      </c>
      <c r="AQ115" s="34">
        <f>IF(AND(AQ$5&gt;=$F115,AQ$5&lt;=$G115),3,"")</f>
        <v/>
      </c>
      <c r="AR115" s="34">
        <f>IF(AND(AR$5&gt;=$F115,AR$5&lt;=$G115),3,"")</f>
        <v/>
      </c>
      <c r="AS115" s="34">
        <f>IF(AND(AS$5&gt;=$F115,AS$5&lt;=$G115),3,"")</f>
        <v/>
      </c>
      <c r="AT115" s="34">
        <f>IF(AND(AT$5&gt;=$F115,AT$5&lt;=$G115),3,"")</f>
        <v/>
      </c>
      <c r="AU115" s="34">
        <f>IF(AND(AU$5&gt;=$F115,AU$5&lt;=$G115),3,"")</f>
        <v/>
      </c>
      <c r="AV115" s="34">
        <f>IF(AND(AV$5&gt;=$F115,AV$5&lt;=$G115),3,"")</f>
        <v/>
      </c>
      <c r="AW115" s="34">
        <f>IF(AND(AW$5&gt;=$F115,AW$5&lt;=$G115),3,"")</f>
        <v/>
      </c>
      <c r="AX115" s="34">
        <f>IF(AND(AX$5&gt;=$F115,AX$5&lt;=$G115),3,"")</f>
        <v/>
      </c>
      <c r="AY115" s="34">
        <f>IF(AND(AY$5&gt;=$F115,AY$5&lt;=$G115),3,"")</f>
        <v/>
      </c>
      <c r="AZ115" s="34">
        <f>IF(AND(AZ$5&gt;=$F115,AZ$5&lt;=$G115),3,"")</f>
        <v/>
      </c>
      <c r="BA115" s="34">
        <f>IF(AND(BA$5&gt;=$F115,BA$5&lt;=$G115),3,"")</f>
        <v/>
      </c>
      <c r="BB115" s="34">
        <f>IF(AND(BB$5&gt;=$F115,BB$5&lt;=$G115),3,"")</f>
        <v/>
      </c>
      <c r="BC115" s="34">
        <f>IF(AND(BC$5&gt;=$F115,BC$5&lt;=$G115),3,"")</f>
        <v/>
      </c>
      <c r="BD115" s="34">
        <f>IF(AND(BD$5&gt;=$F115,BD$5&lt;=$G115),3,"")</f>
        <v/>
      </c>
      <c r="BE115" s="34">
        <f>IF(AND(BE$5&gt;=$F115,BE$5&lt;=$G115),3,"")</f>
        <v/>
      </c>
      <c r="BF115" s="34">
        <f>IF(AND(BF$5&gt;=$F115,BF$5&lt;=$G115),3,"")</f>
        <v/>
      </c>
      <c r="BG115" s="34">
        <f>IF(AND(BG$5&gt;=$F115,BG$5&lt;=$G115),3,"")</f>
        <v/>
      </c>
      <c r="BH115" s="34">
        <f>IF(AND(BH$5&gt;=$F115,BH$5&lt;=$G115),3,"")</f>
        <v/>
      </c>
      <c r="BI115" s="34">
        <f>IF(AND(BI$5&gt;=$F115,BI$5&lt;=$G115),3,"")</f>
        <v/>
      </c>
      <c r="BJ115" s="34">
        <f>IF(AND(BJ$5&gt;=$F115,BJ$5&lt;=$G115),3,"")</f>
        <v/>
      </c>
      <c r="BK115" s="34">
        <f>IF(AND(BK$5&gt;=$F115,BK$5&lt;=$G115),3,"")</f>
        <v/>
      </c>
      <c r="BL115" s="34">
        <f>IF(AND(BL$5&gt;=$F115,BL$5&lt;=$G115),3,"")</f>
        <v/>
      </c>
      <c r="BM115" s="34">
        <f>IF(AND(BM$5&gt;=$F115,BM$5&lt;=$G115),3,"")</f>
        <v/>
      </c>
      <c r="BN115" s="34">
        <f>IF(AND(BN$5&gt;=$F115,BN$5&lt;=$G115),3,"")</f>
        <v/>
      </c>
    </row>
    <row r="116" ht="14.25" customHeight="1" s="36">
      <c r="A116" s="13" t="inlineStr">
        <is>
          <t>3 Construcción</t>
        </is>
      </c>
      <c r="B116" s="13" t="inlineStr">
        <is>
          <t>3.9.4</t>
        </is>
      </c>
      <c r="C116" s="13" t="inlineStr">
        <is>
          <t>Prueba de recuperación ante desastres con ambas etapas</t>
        </is>
      </c>
      <c r="D116" s="13" t="inlineStr">
        <is>
          <t>V</t>
        </is>
      </c>
      <c r="E116" s="13" t="inlineStr">
        <is>
          <t>Calidad y pruebas</t>
        </is>
      </c>
      <c r="F116" s="13" t="n">
        <v>16</v>
      </c>
      <c r="G116" s="13" t="n">
        <v>16</v>
      </c>
      <c r="H116" s="13">
        <f>G116-F116+1</f>
        <v/>
      </c>
      <c r="I116" s="31" t="n">
        <v>320</v>
      </c>
      <c r="J116" s="13" t="inlineStr">
        <is>
          <t>Con entregable (detalle por planificación gradual)</t>
        </is>
      </c>
      <c r="K116" s="34">
        <f>IF(AND(K$5&gt;=$F116,K$5&lt;=$G116),3,"")</f>
        <v/>
      </c>
      <c r="L116" s="34">
        <f>IF(AND(L$5&gt;=$F116,L$5&lt;=$G116),3,"")</f>
        <v/>
      </c>
      <c r="M116" s="34">
        <f>IF(AND(M$5&gt;=$F116,M$5&lt;=$G116),3,"")</f>
        <v/>
      </c>
      <c r="N116" s="34">
        <f>IF(AND(N$5&gt;=$F116,N$5&lt;=$G116),3,"")</f>
        <v/>
      </c>
      <c r="O116" s="34">
        <f>IF(AND(O$5&gt;=$F116,O$5&lt;=$G116),3,"")</f>
        <v/>
      </c>
      <c r="P116" s="34">
        <f>IF(AND(P$5&gt;=$F116,P$5&lt;=$G116),3,"")</f>
        <v/>
      </c>
      <c r="Q116" s="34">
        <f>IF(AND(Q$5&gt;=$F116,Q$5&lt;=$G116),3,"")</f>
        <v/>
      </c>
      <c r="R116" s="34">
        <f>IF(AND(R$5&gt;=$F116,R$5&lt;=$G116),3,"")</f>
        <v/>
      </c>
      <c r="S116" s="34">
        <f>IF(AND(S$5&gt;=$F116,S$5&lt;=$G116),3,"")</f>
        <v/>
      </c>
      <c r="T116" s="34">
        <f>IF(AND(T$5&gt;=$F116,T$5&lt;=$G116),3,"")</f>
        <v/>
      </c>
      <c r="U116" s="34">
        <f>IF(AND(U$5&gt;=$F116,U$5&lt;=$G116),3,"")</f>
        <v/>
      </c>
      <c r="V116" s="34">
        <f>IF(AND(V$5&gt;=$F116,V$5&lt;=$G116),3,"")</f>
        <v/>
      </c>
      <c r="W116" s="34">
        <f>IF(AND(W$5&gt;=$F116,W$5&lt;=$G116),3,"")</f>
        <v/>
      </c>
      <c r="X116" s="34">
        <f>IF(AND(X$5&gt;=$F116,X$5&lt;=$G116),3,"")</f>
        <v/>
      </c>
      <c r="Y116" s="34">
        <f>IF(AND(Y$5&gt;=$F116,Y$5&lt;=$G116),3,"")</f>
        <v/>
      </c>
      <c r="Z116" s="34">
        <f>IF(AND(Z$5&gt;=$F116,Z$5&lt;=$G116),3,"")</f>
        <v/>
      </c>
      <c r="AA116" s="34">
        <f>IF(AND(AA$5&gt;=$F116,AA$5&lt;=$G116),3,"")</f>
        <v/>
      </c>
      <c r="AB116" s="34">
        <f>IF(AND(AB$5&gt;=$F116,AB$5&lt;=$G116),3,"")</f>
        <v/>
      </c>
      <c r="AC116" s="34">
        <f>IF(AND(AC$5&gt;=$F116,AC$5&lt;=$G116),3,"")</f>
        <v/>
      </c>
      <c r="AD116" s="34">
        <f>IF(AND(AD$5&gt;=$F116,AD$5&lt;=$G116),3,"")</f>
        <v/>
      </c>
      <c r="AE116" s="34">
        <f>IF(AND(AE$5&gt;=$F116,AE$5&lt;=$G116),3,"")</f>
        <v/>
      </c>
      <c r="AF116" s="34">
        <f>IF(AND(AF$5&gt;=$F116,AF$5&lt;=$G116),3,"")</f>
        <v/>
      </c>
      <c r="AG116" s="34">
        <f>IF(AND(AG$5&gt;=$F116,AG$5&lt;=$G116),3,"")</f>
        <v/>
      </c>
      <c r="AH116" s="34">
        <f>IF(AND(AH$5&gt;=$F116,AH$5&lt;=$G116),3,"")</f>
        <v/>
      </c>
      <c r="AI116" s="34">
        <f>IF(AND(AI$5&gt;=$F116,AI$5&lt;=$G116),3,"")</f>
        <v/>
      </c>
      <c r="AJ116" s="34">
        <f>IF(AND(AJ$5&gt;=$F116,AJ$5&lt;=$G116),3,"")</f>
        <v/>
      </c>
      <c r="AK116" s="34">
        <f>IF(AND(AK$5&gt;=$F116,AK$5&lt;=$G116),3,"")</f>
        <v/>
      </c>
      <c r="AL116" s="34">
        <f>IF(AND(AL$5&gt;=$F116,AL$5&lt;=$G116),3,"")</f>
        <v/>
      </c>
      <c r="AM116" s="34">
        <f>IF(AND(AM$5&gt;=$F116,AM$5&lt;=$G116),3,"")</f>
        <v/>
      </c>
      <c r="AN116" s="34">
        <f>IF(AND(AN$5&gt;=$F116,AN$5&lt;=$G116),3,"")</f>
        <v/>
      </c>
      <c r="AO116" s="34">
        <f>IF(AND(AO$5&gt;=$F116,AO$5&lt;=$G116),3,"")</f>
        <v/>
      </c>
      <c r="AP116" s="34">
        <f>IF(AND(AP$5&gt;=$F116,AP$5&lt;=$G116),3,"")</f>
        <v/>
      </c>
      <c r="AQ116" s="34">
        <f>IF(AND(AQ$5&gt;=$F116,AQ$5&lt;=$G116),3,"")</f>
        <v/>
      </c>
      <c r="AR116" s="34">
        <f>IF(AND(AR$5&gt;=$F116,AR$5&lt;=$G116),3,"")</f>
        <v/>
      </c>
      <c r="AS116" s="34">
        <f>IF(AND(AS$5&gt;=$F116,AS$5&lt;=$G116),3,"")</f>
        <v/>
      </c>
      <c r="AT116" s="34">
        <f>IF(AND(AT$5&gt;=$F116,AT$5&lt;=$G116),3,"")</f>
        <v/>
      </c>
      <c r="AU116" s="34">
        <f>IF(AND(AU$5&gt;=$F116,AU$5&lt;=$G116),3,"")</f>
        <v/>
      </c>
      <c r="AV116" s="34">
        <f>IF(AND(AV$5&gt;=$F116,AV$5&lt;=$G116),3,"")</f>
        <v/>
      </c>
      <c r="AW116" s="34">
        <f>IF(AND(AW$5&gt;=$F116,AW$5&lt;=$G116),3,"")</f>
        <v/>
      </c>
      <c r="AX116" s="34">
        <f>IF(AND(AX$5&gt;=$F116,AX$5&lt;=$G116),3,"")</f>
        <v/>
      </c>
      <c r="AY116" s="34">
        <f>IF(AND(AY$5&gt;=$F116,AY$5&lt;=$G116),3,"")</f>
        <v/>
      </c>
      <c r="AZ116" s="34">
        <f>IF(AND(AZ$5&gt;=$F116,AZ$5&lt;=$G116),3,"")</f>
        <v/>
      </c>
      <c r="BA116" s="34">
        <f>IF(AND(BA$5&gt;=$F116,BA$5&lt;=$G116),3,"")</f>
        <v/>
      </c>
      <c r="BB116" s="34">
        <f>IF(AND(BB$5&gt;=$F116,BB$5&lt;=$G116),3,"")</f>
        <v/>
      </c>
      <c r="BC116" s="34">
        <f>IF(AND(BC$5&gt;=$F116,BC$5&lt;=$G116),3,"")</f>
        <v/>
      </c>
      <c r="BD116" s="34">
        <f>IF(AND(BD$5&gt;=$F116,BD$5&lt;=$G116),3,"")</f>
        <v/>
      </c>
      <c r="BE116" s="34">
        <f>IF(AND(BE$5&gt;=$F116,BE$5&lt;=$G116),3,"")</f>
        <v/>
      </c>
      <c r="BF116" s="34">
        <f>IF(AND(BF$5&gt;=$F116,BF$5&lt;=$G116),3,"")</f>
        <v/>
      </c>
      <c r="BG116" s="34">
        <f>IF(AND(BG$5&gt;=$F116,BG$5&lt;=$G116),3,"")</f>
        <v/>
      </c>
      <c r="BH116" s="34">
        <f>IF(AND(BH$5&gt;=$F116,BH$5&lt;=$G116),3,"")</f>
        <v/>
      </c>
      <c r="BI116" s="34">
        <f>IF(AND(BI$5&gt;=$F116,BI$5&lt;=$G116),3,"")</f>
        <v/>
      </c>
      <c r="BJ116" s="34">
        <f>IF(AND(BJ$5&gt;=$F116,BJ$5&lt;=$G116),3,"")</f>
        <v/>
      </c>
      <c r="BK116" s="34">
        <f>IF(AND(BK$5&gt;=$F116,BK$5&lt;=$G116),3,"")</f>
        <v/>
      </c>
      <c r="BL116" s="34">
        <f>IF(AND(BL$5&gt;=$F116,BL$5&lt;=$G116),3,"")</f>
        <v/>
      </c>
      <c r="BM116" s="34">
        <f>IF(AND(BM$5&gt;=$F116,BM$5&lt;=$G116),3,"")</f>
        <v/>
      </c>
      <c r="BN116" s="34">
        <f>IF(AND(BN$5&gt;=$F116,BN$5&lt;=$G116),3,"")</f>
        <v/>
      </c>
    </row>
    <row r="117" ht="14.25" customHeight="1" s="36">
      <c r="A117" s="13" t="inlineStr">
        <is>
          <t>3 Construcción</t>
        </is>
      </c>
      <c r="B117" s="13" t="inlineStr">
        <is>
          <t>3.9.5</t>
        </is>
      </c>
      <c r="C117" s="13" t="inlineStr">
        <is>
          <t>Prueba de seguridad ofensiva de la Etapa 2, por un tercero independiente</t>
        </is>
      </c>
      <c r="D117" s="13" t="inlineStr">
        <is>
          <t>V</t>
        </is>
      </c>
      <c r="E117" s="13" t="inlineStr">
        <is>
          <t>Seguridad</t>
        </is>
      </c>
      <c r="F117" s="13" t="n">
        <v>16</v>
      </c>
      <c r="G117" s="13" t="n">
        <v>16</v>
      </c>
      <c r="H117" s="13">
        <f>G117-F117+1</f>
        <v/>
      </c>
      <c r="I117" s="31" t="n">
        <v>320</v>
      </c>
      <c r="J117" s="13" t="inlineStr">
        <is>
          <t>Con entregable (detalle por planificación gradual)</t>
        </is>
      </c>
      <c r="K117" s="34">
        <f>IF(AND(K$5&gt;=$F117,K$5&lt;=$G117),3,"")</f>
        <v/>
      </c>
      <c r="L117" s="34">
        <f>IF(AND(L$5&gt;=$F117,L$5&lt;=$G117),3,"")</f>
        <v/>
      </c>
      <c r="M117" s="34">
        <f>IF(AND(M$5&gt;=$F117,M$5&lt;=$G117),3,"")</f>
        <v/>
      </c>
      <c r="N117" s="34">
        <f>IF(AND(N$5&gt;=$F117,N$5&lt;=$G117),3,"")</f>
        <v/>
      </c>
      <c r="O117" s="34">
        <f>IF(AND(O$5&gt;=$F117,O$5&lt;=$G117),3,"")</f>
        <v/>
      </c>
      <c r="P117" s="34">
        <f>IF(AND(P$5&gt;=$F117,P$5&lt;=$G117),3,"")</f>
        <v/>
      </c>
      <c r="Q117" s="34">
        <f>IF(AND(Q$5&gt;=$F117,Q$5&lt;=$G117),3,"")</f>
        <v/>
      </c>
      <c r="R117" s="34">
        <f>IF(AND(R$5&gt;=$F117,R$5&lt;=$G117),3,"")</f>
        <v/>
      </c>
      <c r="S117" s="34">
        <f>IF(AND(S$5&gt;=$F117,S$5&lt;=$G117),3,"")</f>
        <v/>
      </c>
      <c r="T117" s="34">
        <f>IF(AND(T$5&gt;=$F117,T$5&lt;=$G117),3,"")</f>
        <v/>
      </c>
      <c r="U117" s="34">
        <f>IF(AND(U$5&gt;=$F117,U$5&lt;=$G117),3,"")</f>
        <v/>
      </c>
      <c r="V117" s="34">
        <f>IF(AND(V$5&gt;=$F117,V$5&lt;=$G117),3,"")</f>
        <v/>
      </c>
      <c r="W117" s="34">
        <f>IF(AND(W$5&gt;=$F117,W$5&lt;=$G117),3,"")</f>
        <v/>
      </c>
      <c r="X117" s="34">
        <f>IF(AND(X$5&gt;=$F117,X$5&lt;=$G117),3,"")</f>
        <v/>
      </c>
      <c r="Y117" s="34">
        <f>IF(AND(Y$5&gt;=$F117,Y$5&lt;=$G117),3,"")</f>
        <v/>
      </c>
      <c r="Z117" s="34">
        <f>IF(AND(Z$5&gt;=$F117,Z$5&lt;=$G117),3,"")</f>
        <v/>
      </c>
      <c r="AA117" s="34">
        <f>IF(AND(AA$5&gt;=$F117,AA$5&lt;=$G117),3,"")</f>
        <v/>
      </c>
      <c r="AB117" s="34">
        <f>IF(AND(AB$5&gt;=$F117,AB$5&lt;=$G117),3,"")</f>
        <v/>
      </c>
      <c r="AC117" s="34">
        <f>IF(AND(AC$5&gt;=$F117,AC$5&lt;=$G117),3,"")</f>
        <v/>
      </c>
      <c r="AD117" s="34">
        <f>IF(AND(AD$5&gt;=$F117,AD$5&lt;=$G117),3,"")</f>
        <v/>
      </c>
      <c r="AE117" s="34">
        <f>IF(AND(AE$5&gt;=$F117,AE$5&lt;=$G117),3,"")</f>
        <v/>
      </c>
      <c r="AF117" s="34">
        <f>IF(AND(AF$5&gt;=$F117,AF$5&lt;=$G117),3,"")</f>
        <v/>
      </c>
      <c r="AG117" s="34">
        <f>IF(AND(AG$5&gt;=$F117,AG$5&lt;=$G117),3,"")</f>
        <v/>
      </c>
      <c r="AH117" s="34">
        <f>IF(AND(AH$5&gt;=$F117,AH$5&lt;=$G117),3,"")</f>
        <v/>
      </c>
      <c r="AI117" s="34">
        <f>IF(AND(AI$5&gt;=$F117,AI$5&lt;=$G117),3,"")</f>
        <v/>
      </c>
      <c r="AJ117" s="34">
        <f>IF(AND(AJ$5&gt;=$F117,AJ$5&lt;=$G117),3,"")</f>
        <v/>
      </c>
      <c r="AK117" s="34">
        <f>IF(AND(AK$5&gt;=$F117,AK$5&lt;=$G117),3,"")</f>
        <v/>
      </c>
      <c r="AL117" s="34">
        <f>IF(AND(AL$5&gt;=$F117,AL$5&lt;=$G117),3,"")</f>
        <v/>
      </c>
      <c r="AM117" s="34">
        <f>IF(AND(AM$5&gt;=$F117,AM$5&lt;=$G117),3,"")</f>
        <v/>
      </c>
      <c r="AN117" s="34">
        <f>IF(AND(AN$5&gt;=$F117,AN$5&lt;=$G117),3,"")</f>
        <v/>
      </c>
      <c r="AO117" s="34">
        <f>IF(AND(AO$5&gt;=$F117,AO$5&lt;=$G117),3,"")</f>
        <v/>
      </c>
      <c r="AP117" s="34">
        <f>IF(AND(AP$5&gt;=$F117,AP$5&lt;=$G117),3,"")</f>
        <v/>
      </c>
      <c r="AQ117" s="34">
        <f>IF(AND(AQ$5&gt;=$F117,AQ$5&lt;=$G117),3,"")</f>
        <v/>
      </c>
      <c r="AR117" s="34">
        <f>IF(AND(AR$5&gt;=$F117,AR$5&lt;=$G117),3,"")</f>
        <v/>
      </c>
      <c r="AS117" s="34">
        <f>IF(AND(AS$5&gt;=$F117,AS$5&lt;=$G117),3,"")</f>
        <v/>
      </c>
      <c r="AT117" s="34">
        <f>IF(AND(AT$5&gt;=$F117,AT$5&lt;=$G117),3,"")</f>
        <v/>
      </c>
      <c r="AU117" s="34">
        <f>IF(AND(AU$5&gt;=$F117,AU$5&lt;=$G117),3,"")</f>
        <v/>
      </c>
      <c r="AV117" s="34">
        <f>IF(AND(AV$5&gt;=$F117,AV$5&lt;=$G117),3,"")</f>
        <v/>
      </c>
      <c r="AW117" s="34">
        <f>IF(AND(AW$5&gt;=$F117,AW$5&lt;=$G117),3,"")</f>
        <v/>
      </c>
      <c r="AX117" s="34">
        <f>IF(AND(AX$5&gt;=$F117,AX$5&lt;=$G117),3,"")</f>
        <v/>
      </c>
      <c r="AY117" s="34">
        <f>IF(AND(AY$5&gt;=$F117,AY$5&lt;=$G117),3,"")</f>
        <v/>
      </c>
      <c r="AZ117" s="34">
        <f>IF(AND(AZ$5&gt;=$F117,AZ$5&lt;=$G117),3,"")</f>
        <v/>
      </c>
      <c r="BA117" s="34">
        <f>IF(AND(BA$5&gt;=$F117,BA$5&lt;=$G117),3,"")</f>
        <v/>
      </c>
      <c r="BB117" s="34">
        <f>IF(AND(BB$5&gt;=$F117,BB$5&lt;=$G117),3,"")</f>
        <v/>
      </c>
      <c r="BC117" s="34">
        <f>IF(AND(BC$5&gt;=$F117,BC$5&lt;=$G117),3,"")</f>
        <v/>
      </c>
      <c r="BD117" s="34">
        <f>IF(AND(BD$5&gt;=$F117,BD$5&lt;=$G117),3,"")</f>
        <v/>
      </c>
      <c r="BE117" s="34">
        <f>IF(AND(BE$5&gt;=$F117,BE$5&lt;=$G117),3,"")</f>
        <v/>
      </c>
      <c r="BF117" s="34">
        <f>IF(AND(BF$5&gt;=$F117,BF$5&lt;=$G117),3,"")</f>
        <v/>
      </c>
      <c r="BG117" s="34">
        <f>IF(AND(BG$5&gt;=$F117,BG$5&lt;=$G117),3,"")</f>
        <v/>
      </c>
      <c r="BH117" s="34">
        <f>IF(AND(BH$5&gt;=$F117,BH$5&lt;=$G117),3,"")</f>
        <v/>
      </c>
      <c r="BI117" s="34">
        <f>IF(AND(BI$5&gt;=$F117,BI$5&lt;=$G117),3,"")</f>
        <v/>
      </c>
      <c r="BJ117" s="34">
        <f>IF(AND(BJ$5&gt;=$F117,BJ$5&lt;=$G117),3,"")</f>
        <v/>
      </c>
      <c r="BK117" s="34">
        <f>IF(AND(BK$5&gt;=$F117,BK$5&lt;=$G117),3,"")</f>
        <v/>
      </c>
      <c r="BL117" s="34">
        <f>IF(AND(BL$5&gt;=$F117,BL$5&lt;=$G117),3,"")</f>
        <v/>
      </c>
      <c r="BM117" s="34">
        <f>IF(AND(BM$5&gt;=$F117,BM$5&lt;=$G117),3,"")</f>
        <v/>
      </c>
      <c r="BN117" s="34">
        <f>IF(AND(BN$5&gt;=$F117,BN$5&lt;=$G117),3,"")</f>
        <v/>
      </c>
    </row>
    <row r="118" ht="14.25" customHeight="1" s="36">
      <c r="A118" s="13" t="inlineStr">
        <is>
          <t>3 Construcción</t>
        </is>
      </c>
      <c r="B118" s="13" t="inlineStr">
        <is>
          <t>3.9.6</t>
        </is>
      </c>
      <c r="C118" s="13" t="inlineStr">
        <is>
          <t>Acta de certificación de la Etapa 2 y cierre del desarrollo (H10)</t>
        </is>
      </c>
      <c r="D118" s="13" t="inlineStr">
        <is>
          <t>V</t>
        </is>
      </c>
      <c r="E118" s="13" t="inlineStr">
        <is>
          <t>Calidad y pruebas</t>
        </is>
      </c>
      <c r="F118" s="13" t="n">
        <v>16</v>
      </c>
      <c r="G118" s="13" t="n">
        <v>17</v>
      </c>
      <c r="H118" s="13">
        <f>G118-F118+1</f>
        <v/>
      </c>
      <c r="I118" s="31" t="n">
        <v>160</v>
      </c>
      <c r="J118" s="13" t="inlineStr">
        <is>
          <t>Con entregable (detalle por planificación gradual)</t>
        </is>
      </c>
      <c r="K118" s="34">
        <f>IF(AND(K$5&gt;=$F118,K$5&lt;=$G118),3,"")</f>
        <v/>
      </c>
      <c r="L118" s="34">
        <f>IF(AND(L$5&gt;=$F118,L$5&lt;=$G118),3,"")</f>
        <v/>
      </c>
      <c r="M118" s="34">
        <f>IF(AND(M$5&gt;=$F118,M$5&lt;=$G118),3,"")</f>
        <v/>
      </c>
      <c r="N118" s="34">
        <f>IF(AND(N$5&gt;=$F118,N$5&lt;=$G118),3,"")</f>
        <v/>
      </c>
      <c r="O118" s="34">
        <f>IF(AND(O$5&gt;=$F118,O$5&lt;=$G118),3,"")</f>
        <v/>
      </c>
      <c r="P118" s="34">
        <f>IF(AND(P$5&gt;=$F118,P$5&lt;=$G118),3,"")</f>
        <v/>
      </c>
      <c r="Q118" s="34">
        <f>IF(AND(Q$5&gt;=$F118,Q$5&lt;=$G118),3,"")</f>
        <v/>
      </c>
      <c r="R118" s="34">
        <f>IF(AND(R$5&gt;=$F118,R$5&lt;=$G118),3,"")</f>
        <v/>
      </c>
      <c r="S118" s="34">
        <f>IF(AND(S$5&gt;=$F118,S$5&lt;=$G118),3,"")</f>
        <v/>
      </c>
      <c r="T118" s="34">
        <f>IF(AND(T$5&gt;=$F118,T$5&lt;=$G118),3,"")</f>
        <v/>
      </c>
      <c r="U118" s="34">
        <f>IF(AND(U$5&gt;=$F118,U$5&lt;=$G118),3,"")</f>
        <v/>
      </c>
      <c r="V118" s="34">
        <f>IF(AND(V$5&gt;=$F118,V$5&lt;=$G118),3,"")</f>
        <v/>
      </c>
      <c r="W118" s="34">
        <f>IF(AND(W$5&gt;=$F118,W$5&lt;=$G118),3,"")</f>
        <v/>
      </c>
      <c r="X118" s="34">
        <f>IF(AND(X$5&gt;=$F118,X$5&lt;=$G118),3,"")</f>
        <v/>
      </c>
      <c r="Y118" s="34">
        <f>IF(AND(Y$5&gt;=$F118,Y$5&lt;=$G118),3,"")</f>
        <v/>
      </c>
      <c r="Z118" s="34">
        <f>IF(AND(Z$5&gt;=$F118,Z$5&lt;=$G118),3,"")</f>
        <v/>
      </c>
      <c r="AA118" s="34">
        <f>IF(AND(AA$5&gt;=$F118,AA$5&lt;=$G118),3,"")</f>
        <v/>
      </c>
      <c r="AB118" s="34">
        <f>IF(AND(AB$5&gt;=$F118,AB$5&lt;=$G118),3,"")</f>
        <v/>
      </c>
      <c r="AC118" s="34">
        <f>IF(AND(AC$5&gt;=$F118,AC$5&lt;=$G118),3,"")</f>
        <v/>
      </c>
      <c r="AD118" s="34">
        <f>IF(AND(AD$5&gt;=$F118,AD$5&lt;=$G118),3,"")</f>
        <v/>
      </c>
      <c r="AE118" s="34">
        <f>IF(AND(AE$5&gt;=$F118,AE$5&lt;=$G118),3,"")</f>
        <v/>
      </c>
      <c r="AF118" s="34">
        <f>IF(AND(AF$5&gt;=$F118,AF$5&lt;=$G118),3,"")</f>
        <v/>
      </c>
      <c r="AG118" s="34">
        <f>IF(AND(AG$5&gt;=$F118,AG$5&lt;=$G118),3,"")</f>
        <v/>
      </c>
      <c r="AH118" s="34">
        <f>IF(AND(AH$5&gt;=$F118,AH$5&lt;=$G118),3,"")</f>
        <v/>
      </c>
      <c r="AI118" s="34">
        <f>IF(AND(AI$5&gt;=$F118,AI$5&lt;=$G118),3,"")</f>
        <v/>
      </c>
      <c r="AJ118" s="34">
        <f>IF(AND(AJ$5&gt;=$F118,AJ$5&lt;=$G118),3,"")</f>
        <v/>
      </c>
      <c r="AK118" s="34">
        <f>IF(AND(AK$5&gt;=$F118,AK$5&lt;=$G118),3,"")</f>
        <v/>
      </c>
      <c r="AL118" s="34">
        <f>IF(AND(AL$5&gt;=$F118,AL$5&lt;=$G118),3,"")</f>
        <v/>
      </c>
      <c r="AM118" s="34">
        <f>IF(AND(AM$5&gt;=$F118,AM$5&lt;=$G118),3,"")</f>
        <v/>
      </c>
      <c r="AN118" s="34">
        <f>IF(AND(AN$5&gt;=$F118,AN$5&lt;=$G118),3,"")</f>
        <v/>
      </c>
      <c r="AO118" s="34">
        <f>IF(AND(AO$5&gt;=$F118,AO$5&lt;=$G118),3,"")</f>
        <v/>
      </c>
      <c r="AP118" s="34">
        <f>IF(AND(AP$5&gt;=$F118,AP$5&lt;=$G118),3,"")</f>
        <v/>
      </c>
      <c r="AQ118" s="34">
        <f>IF(AND(AQ$5&gt;=$F118,AQ$5&lt;=$G118),3,"")</f>
        <v/>
      </c>
      <c r="AR118" s="34">
        <f>IF(AND(AR$5&gt;=$F118,AR$5&lt;=$G118),3,"")</f>
        <v/>
      </c>
      <c r="AS118" s="34">
        <f>IF(AND(AS$5&gt;=$F118,AS$5&lt;=$G118),3,"")</f>
        <v/>
      </c>
      <c r="AT118" s="34">
        <f>IF(AND(AT$5&gt;=$F118,AT$5&lt;=$G118),3,"")</f>
        <v/>
      </c>
      <c r="AU118" s="34">
        <f>IF(AND(AU$5&gt;=$F118,AU$5&lt;=$G118),3,"")</f>
        <v/>
      </c>
      <c r="AV118" s="34">
        <f>IF(AND(AV$5&gt;=$F118,AV$5&lt;=$G118),3,"")</f>
        <v/>
      </c>
      <c r="AW118" s="34">
        <f>IF(AND(AW$5&gt;=$F118,AW$5&lt;=$G118),3,"")</f>
        <v/>
      </c>
      <c r="AX118" s="34">
        <f>IF(AND(AX$5&gt;=$F118,AX$5&lt;=$G118),3,"")</f>
        <v/>
      </c>
      <c r="AY118" s="34">
        <f>IF(AND(AY$5&gt;=$F118,AY$5&lt;=$G118),3,"")</f>
        <v/>
      </c>
      <c r="AZ118" s="34">
        <f>IF(AND(AZ$5&gt;=$F118,AZ$5&lt;=$G118),3,"")</f>
        <v/>
      </c>
      <c r="BA118" s="34">
        <f>IF(AND(BA$5&gt;=$F118,BA$5&lt;=$G118),3,"")</f>
        <v/>
      </c>
      <c r="BB118" s="34">
        <f>IF(AND(BB$5&gt;=$F118,BB$5&lt;=$G118),3,"")</f>
        <v/>
      </c>
      <c r="BC118" s="34">
        <f>IF(AND(BC$5&gt;=$F118,BC$5&lt;=$G118),3,"")</f>
        <v/>
      </c>
      <c r="BD118" s="34">
        <f>IF(AND(BD$5&gt;=$F118,BD$5&lt;=$G118),3,"")</f>
        <v/>
      </c>
      <c r="BE118" s="34">
        <f>IF(AND(BE$5&gt;=$F118,BE$5&lt;=$G118),3,"")</f>
        <v/>
      </c>
      <c r="BF118" s="34">
        <f>IF(AND(BF$5&gt;=$F118,BF$5&lt;=$G118),3,"")</f>
        <v/>
      </c>
      <c r="BG118" s="34">
        <f>IF(AND(BG$5&gt;=$F118,BG$5&lt;=$G118),3,"")</f>
        <v/>
      </c>
      <c r="BH118" s="34">
        <f>IF(AND(BH$5&gt;=$F118,BH$5&lt;=$G118),3,"")</f>
        <v/>
      </c>
      <c r="BI118" s="34">
        <f>IF(AND(BI$5&gt;=$F118,BI$5&lt;=$G118),3,"")</f>
        <v/>
      </c>
      <c r="BJ118" s="34">
        <f>IF(AND(BJ$5&gt;=$F118,BJ$5&lt;=$G118),3,"")</f>
        <v/>
      </c>
      <c r="BK118" s="34">
        <f>IF(AND(BK$5&gt;=$F118,BK$5&lt;=$G118),3,"")</f>
        <v/>
      </c>
      <c r="BL118" s="34">
        <f>IF(AND(BL$5&gt;=$F118,BL$5&lt;=$G118),3,"")</f>
        <v/>
      </c>
      <c r="BM118" s="34">
        <f>IF(AND(BM$5&gt;=$F118,BM$5&lt;=$G118),3,"")</f>
        <v/>
      </c>
      <c r="BN118" s="34">
        <f>IF(AND(BN$5&gt;=$F118,BN$5&lt;=$G118),3,"")</f>
        <v/>
      </c>
    </row>
    <row r="119" ht="14.25" customHeight="1" s="36">
      <c r="A119" s="13" t="inlineStr">
        <is>
          <t>3 Construcción</t>
        </is>
      </c>
      <c r="B119" s="13" t="inlineStr">
        <is>
          <t>3.9.7</t>
        </is>
      </c>
      <c r="C119" s="13" t="inlineStr">
        <is>
          <t>Demostración en Preproducción del despliegue sin interrupción de la Etapa 2</t>
        </is>
      </c>
      <c r="D119" s="13" t="inlineStr">
        <is>
          <t>V</t>
        </is>
      </c>
      <c r="E119" s="13" t="inlineStr">
        <is>
          <t>Operación / SRE</t>
        </is>
      </c>
      <c r="F119" s="13" t="n">
        <v>16</v>
      </c>
      <c r="G119" s="13" t="n">
        <v>16</v>
      </c>
      <c r="H119" s="13">
        <f>G119-F119+1</f>
        <v/>
      </c>
      <c r="I119" s="31" t="n">
        <v>160</v>
      </c>
      <c r="J119" s="13" t="inlineStr">
        <is>
          <t>Con entregable (detalle por planificación gradual)</t>
        </is>
      </c>
      <c r="K119" s="34">
        <f>IF(AND(K$5&gt;=$F119,K$5&lt;=$G119),3,"")</f>
        <v/>
      </c>
      <c r="L119" s="34">
        <f>IF(AND(L$5&gt;=$F119,L$5&lt;=$G119),3,"")</f>
        <v/>
      </c>
      <c r="M119" s="34">
        <f>IF(AND(M$5&gt;=$F119,M$5&lt;=$G119),3,"")</f>
        <v/>
      </c>
      <c r="N119" s="34">
        <f>IF(AND(N$5&gt;=$F119,N$5&lt;=$G119),3,"")</f>
        <v/>
      </c>
      <c r="O119" s="34">
        <f>IF(AND(O$5&gt;=$F119,O$5&lt;=$G119),3,"")</f>
        <v/>
      </c>
      <c r="P119" s="34">
        <f>IF(AND(P$5&gt;=$F119,P$5&lt;=$G119),3,"")</f>
        <v/>
      </c>
      <c r="Q119" s="34">
        <f>IF(AND(Q$5&gt;=$F119,Q$5&lt;=$G119),3,"")</f>
        <v/>
      </c>
      <c r="R119" s="34">
        <f>IF(AND(R$5&gt;=$F119,R$5&lt;=$G119),3,"")</f>
        <v/>
      </c>
      <c r="S119" s="34">
        <f>IF(AND(S$5&gt;=$F119,S$5&lt;=$G119),3,"")</f>
        <v/>
      </c>
      <c r="T119" s="34">
        <f>IF(AND(T$5&gt;=$F119,T$5&lt;=$G119),3,"")</f>
        <v/>
      </c>
      <c r="U119" s="34">
        <f>IF(AND(U$5&gt;=$F119,U$5&lt;=$G119),3,"")</f>
        <v/>
      </c>
      <c r="V119" s="34">
        <f>IF(AND(V$5&gt;=$F119,V$5&lt;=$G119),3,"")</f>
        <v/>
      </c>
      <c r="W119" s="34">
        <f>IF(AND(W$5&gt;=$F119,W$5&lt;=$G119),3,"")</f>
        <v/>
      </c>
      <c r="X119" s="34">
        <f>IF(AND(X$5&gt;=$F119,X$5&lt;=$G119),3,"")</f>
        <v/>
      </c>
      <c r="Y119" s="34">
        <f>IF(AND(Y$5&gt;=$F119,Y$5&lt;=$G119),3,"")</f>
        <v/>
      </c>
      <c r="Z119" s="34">
        <f>IF(AND(Z$5&gt;=$F119,Z$5&lt;=$G119),3,"")</f>
        <v/>
      </c>
      <c r="AA119" s="34">
        <f>IF(AND(AA$5&gt;=$F119,AA$5&lt;=$G119),3,"")</f>
        <v/>
      </c>
      <c r="AB119" s="34">
        <f>IF(AND(AB$5&gt;=$F119,AB$5&lt;=$G119),3,"")</f>
        <v/>
      </c>
      <c r="AC119" s="34">
        <f>IF(AND(AC$5&gt;=$F119,AC$5&lt;=$G119),3,"")</f>
        <v/>
      </c>
      <c r="AD119" s="34">
        <f>IF(AND(AD$5&gt;=$F119,AD$5&lt;=$G119),3,"")</f>
        <v/>
      </c>
      <c r="AE119" s="34">
        <f>IF(AND(AE$5&gt;=$F119,AE$5&lt;=$G119),3,"")</f>
        <v/>
      </c>
      <c r="AF119" s="34">
        <f>IF(AND(AF$5&gt;=$F119,AF$5&lt;=$G119),3,"")</f>
        <v/>
      </c>
      <c r="AG119" s="34">
        <f>IF(AND(AG$5&gt;=$F119,AG$5&lt;=$G119),3,"")</f>
        <v/>
      </c>
      <c r="AH119" s="34">
        <f>IF(AND(AH$5&gt;=$F119,AH$5&lt;=$G119),3,"")</f>
        <v/>
      </c>
      <c r="AI119" s="34">
        <f>IF(AND(AI$5&gt;=$F119,AI$5&lt;=$G119),3,"")</f>
        <v/>
      </c>
      <c r="AJ119" s="34">
        <f>IF(AND(AJ$5&gt;=$F119,AJ$5&lt;=$G119),3,"")</f>
        <v/>
      </c>
      <c r="AK119" s="34">
        <f>IF(AND(AK$5&gt;=$F119,AK$5&lt;=$G119),3,"")</f>
        <v/>
      </c>
      <c r="AL119" s="34">
        <f>IF(AND(AL$5&gt;=$F119,AL$5&lt;=$G119),3,"")</f>
        <v/>
      </c>
      <c r="AM119" s="34">
        <f>IF(AND(AM$5&gt;=$F119,AM$5&lt;=$G119),3,"")</f>
        <v/>
      </c>
      <c r="AN119" s="34">
        <f>IF(AND(AN$5&gt;=$F119,AN$5&lt;=$G119),3,"")</f>
        <v/>
      </c>
      <c r="AO119" s="34">
        <f>IF(AND(AO$5&gt;=$F119,AO$5&lt;=$G119),3,"")</f>
        <v/>
      </c>
      <c r="AP119" s="34">
        <f>IF(AND(AP$5&gt;=$F119,AP$5&lt;=$G119),3,"")</f>
        <v/>
      </c>
      <c r="AQ119" s="34">
        <f>IF(AND(AQ$5&gt;=$F119,AQ$5&lt;=$G119),3,"")</f>
        <v/>
      </c>
      <c r="AR119" s="34">
        <f>IF(AND(AR$5&gt;=$F119,AR$5&lt;=$G119),3,"")</f>
        <v/>
      </c>
      <c r="AS119" s="34">
        <f>IF(AND(AS$5&gt;=$F119,AS$5&lt;=$G119),3,"")</f>
        <v/>
      </c>
      <c r="AT119" s="34">
        <f>IF(AND(AT$5&gt;=$F119,AT$5&lt;=$G119),3,"")</f>
        <v/>
      </c>
      <c r="AU119" s="34">
        <f>IF(AND(AU$5&gt;=$F119,AU$5&lt;=$G119),3,"")</f>
        <v/>
      </c>
      <c r="AV119" s="34">
        <f>IF(AND(AV$5&gt;=$F119,AV$5&lt;=$G119),3,"")</f>
        <v/>
      </c>
      <c r="AW119" s="34">
        <f>IF(AND(AW$5&gt;=$F119,AW$5&lt;=$G119),3,"")</f>
        <v/>
      </c>
      <c r="AX119" s="34">
        <f>IF(AND(AX$5&gt;=$F119,AX$5&lt;=$G119),3,"")</f>
        <v/>
      </c>
      <c r="AY119" s="34">
        <f>IF(AND(AY$5&gt;=$F119,AY$5&lt;=$G119),3,"")</f>
        <v/>
      </c>
      <c r="AZ119" s="34">
        <f>IF(AND(AZ$5&gt;=$F119,AZ$5&lt;=$G119),3,"")</f>
        <v/>
      </c>
      <c r="BA119" s="34">
        <f>IF(AND(BA$5&gt;=$F119,BA$5&lt;=$G119),3,"")</f>
        <v/>
      </c>
      <c r="BB119" s="34">
        <f>IF(AND(BB$5&gt;=$F119,BB$5&lt;=$G119),3,"")</f>
        <v/>
      </c>
      <c r="BC119" s="34">
        <f>IF(AND(BC$5&gt;=$F119,BC$5&lt;=$G119),3,"")</f>
        <v/>
      </c>
      <c r="BD119" s="34">
        <f>IF(AND(BD$5&gt;=$F119,BD$5&lt;=$G119),3,"")</f>
        <v/>
      </c>
      <c r="BE119" s="34">
        <f>IF(AND(BE$5&gt;=$F119,BE$5&lt;=$G119),3,"")</f>
        <v/>
      </c>
      <c r="BF119" s="34">
        <f>IF(AND(BF$5&gt;=$F119,BF$5&lt;=$G119),3,"")</f>
        <v/>
      </c>
      <c r="BG119" s="34">
        <f>IF(AND(BG$5&gt;=$F119,BG$5&lt;=$G119),3,"")</f>
        <v/>
      </c>
      <c r="BH119" s="34">
        <f>IF(AND(BH$5&gt;=$F119,BH$5&lt;=$G119),3,"")</f>
        <v/>
      </c>
      <c r="BI119" s="34">
        <f>IF(AND(BI$5&gt;=$F119,BI$5&lt;=$G119),3,"")</f>
        <v/>
      </c>
      <c r="BJ119" s="34">
        <f>IF(AND(BJ$5&gt;=$F119,BJ$5&lt;=$G119),3,"")</f>
        <v/>
      </c>
      <c r="BK119" s="34">
        <f>IF(AND(BK$5&gt;=$F119,BK$5&lt;=$G119),3,"")</f>
        <v/>
      </c>
      <c r="BL119" s="34">
        <f>IF(AND(BL$5&gt;=$F119,BL$5&lt;=$G119),3,"")</f>
        <v/>
      </c>
      <c r="BM119" s="34">
        <f>IF(AND(BM$5&gt;=$F119,BM$5&lt;=$G119),3,"")</f>
        <v/>
      </c>
      <c r="BN119" s="34">
        <f>IF(AND(BN$5&gt;=$F119,BN$5&lt;=$G119),3,"")</f>
        <v/>
      </c>
    </row>
    <row r="120" ht="14.25" customHeight="1" s="36">
      <c r="A120" s="13" t="inlineStr">
        <is>
          <t>3 Construcción</t>
        </is>
      </c>
      <c r="B120" s="13" t="inlineStr">
        <is>
          <t>3.10.1.1</t>
        </is>
      </c>
      <c r="C120" s="13" t="inlineStr">
        <is>
          <t>Documento de catálogo de acciones y protocolo del piloto (INN-01.P1)</t>
        </is>
      </c>
      <c r="D120" s="13" t="inlineStr">
        <is>
          <t>E</t>
        </is>
      </c>
      <c r="E120" s="13" t="inlineStr">
        <is>
          <t>Datos</t>
        </is>
      </c>
      <c r="F120" s="13" t="n">
        <v>7</v>
      </c>
      <c r="G120" s="13" t="n">
        <v>9</v>
      </c>
      <c r="H120" s="13">
        <f>G120-F120+1</f>
        <v/>
      </c>
      <c r="I120" s="31" t="n">
        <v>240</v>
      </c>
      <c r="J120" s="13" t="inlineStr">
        <is>
          <t>Con entregable (detalle por planificación gradual)</t>
        </is>
      </c>
      <c r="K120" s="34">
        <f>IF(AND(K$5&gt;=$F120,K$5&lt;=$G120),3,"")</f>
        <v/>
      </c>
      <c r="L120" s="34">
        <f>IF(AND(L$5&gt;=$F120,L$5&lt;=$G120),3,"")</f>
        <v/>
      </c>
      <c r="M120" s="34">
        <f>IF(AND(M$5&gt;=$F120,M$5&lt;=$G120),3,"")</f>
        <v/>
      </c>
      <c r="N120" s="34">
        <f>IF(AND(N$5&gt;=$F120,N$5&lt;=$G120),3,"")</f>
        <v/>
      </c>
      <c r="O120" s="34">
        <f>IF(AND(O$5&gt;=$F120,O$5&lt;=$G120),3,"")</f>
        <v/>
      </c>
      <c r="P120" s="34">
        <f>IF(AND(P$5&gt;=$F120,P$5&lt;=$G120),3,"")</f>
        <v/>
      </c>
      <c r="Q120" s="34">
        <f>IF(AND(Q$5&gt;=$F120,Q$5&lt;=$G120),3,"")</f>
        <v/>
      </c>
      <c r="R120" s="34">
        <f>IF(AND(R$5&gt;=$F120,R$5&lt;=$G120),3,"")</f>
        <v/>
      </c>
      <c r="S120" s="34">
        <f>IF(AND(S$5&gt;=$F120,S$5&lt;=$G120),3,"")</f>
        <v/>
      </c>
      <c r="T120" s="34">
        <f>IF(AND(T$5&gt;=$F120,T$5&lt;=$G120),3,"")</f>
        <v/>
      </c>
      <c r="U120" s="34">
        <f>IF(AND(U$5&gt;=$F120,U$5&lt;=$G120),3,"")</f>
        <v/>
      </c>
      <c r="V120" s="34">
        <f>IF(AND(V$5&gt;=$F120,V$5&lt;=$G120),3,"")</f>
        <v/>
      </c>
      <c r="W120" s="34">
        <f>IF(AND(W$5&gt;=$F120,W$5&lt;=$G120),3,"")</f>
        <v/>
      </c>
      <c r="X120" s="34">
        <f>IF(AND(X$5&gt;=$F120,X$5&lt;=$G120),3,"")</f>
        <v/>
      </c>
      <c r="Y120" s="34">
        <f>IF(AND(Y$5&gt;=$F120,Y$5&lt;=$G120),3,"")</f>
        <v/>
      </c>
      <c r="Z120" s="34">
        <f>IF(AND(Z$5&gt;=$F120,Z$5&lt;=$G120),3,"")</f>
        <v/>
      </c>
      <c r="AA120" s="34">
        <f>IF(AND(AA$5&gt;=$F120,AA$5&lt;=$G120),3,"")</f>
        <v/>
      </c>
      <c r="AB120" s="34">
        <f>IF(AND(AB$5&gt;=$F120,AB$5&lt;=$G120),3,"")</f>
        <v/>
      </c>
      <c r="AC120" s="34">
        <f>IF(AND(AC$5&gt;=$F120,AC$5&lt;=$G120),3,"")</f>
        <v/>
      </c>
      <c r="AD120" s="34">
        <f>IF(AND(AD$5&gt;=$F120,AD$5&lt;=$G120),3,"")</f>
        <v/>
      </c>
      <c r="AE120" s="34">
        <f>IF(AND(AE$5&gt;=$F120,AE$5&lt;=$G120),3,"")</f>
        <v/>
      </c>
      <c r="AF120" s="34">
        <f>IF(AND(AF$5&gt;=$F120,AF$5&lt;=$G120),3,"")</f>
        <v/>
      </c>
      <c r="AG120" s="34">
        <f>IF(AND(AG$5&gt;=$F120,AG$5&lt;=$G120),3,"")</f>
        <v/>
      </c>
      <c r="AH120" s="34">
        <f>IF(AND(AH$5&gt;=$F120,AH$5&lt;=$G120),3,"")</f>
        <v/>
      </c>
      <c r="AI120" s="34">
        <f>IF(AND(AI$5&gt;=$F120,AI$5&lt;=$G120),3,"")</f>
        <v/>
      </c>
      <c r="AJ120" s="34">
        <f>IF(AND(AJ$5&gt;=$F120,AJ$5&lt;=$G120),3,"")</f>
        <v/>
      </c>
      <c r="AK120" s="34">
        <f>IF(AND(AK$5&gt;=$F120,AK$5&lt;=$G120),3,"")</f>
        <v/>
      </c>
      <c r="AL120" s="34">
        <f>IF(AND(AL$5&gt;=$F120,AL$5&lt;=$G120),3,"")</f>
        <v/>
      </c>
      <c r="AM120" s="34">
        <f>IF(AND(AM$5&gt;=$F120,AM$5&lt;=$G120),3,"")</f>
        <v/>
      </c>
      <c r="AN120" s="34">
        <f>IF(AND(AN$5&gt;=$F120,AN$5&lt;=$G120),3,"")</f>
        <v/>
      </c>
      <c r="AO120" s="34">
        <f>IF(AND(AO$5&gt;=$F120,AO$5&lt;=$G120),3,"")</f>
        <v/>
      </c>
      <c r="AP120" s="34">
        <f>IF(AND(AP$5&gt;=$F120,AP$5&lt;=$G120),3,"")</f>
        <v/>
      </c>
      <c r="AQ120" s="34">
        <f>IF(AND(AQ$5&gt;=$F120,AQ$5&lt;=$G120),3,"")</f>
        <v/>
      </c>
      <c r="AR120" s="34">
        <f>IF(AND(AR$5&gt;=$F120,AR$5&lt;=$G120),3,"")</f>
        <v/>
      </c>
      <c r="AS120" s="34">
        <f>IF(AND(AS$5&gt;=$F120,AS$5&lt;=$G120),3,"")</f>
        <v/>
      </c>
      <c r="AT120" s="34">
        <f>IF(AND(AT$5&gt;=$F120,AT$5&lt;=$G120),3,"")</f>
        <v/>
      </c>
      <c r="AU120" s="34">
        <f>IF(AND(AU$5&gt;=$F120,AU$5&lt;=$G120),3,"")</f>
        <v/>
      </c>
      <c r="AV120" s="34">
        <f>IF(AND(AV$5&gt;=$F120,AV$5&lt;=$G120),3,"")</f>
        <v/>
      </c>
      <c r="AW120" s="34">
        <f>IF(AND(AW$5&gt;=$F120,AW$5&lt;=$G120),3,"")</f>
        <v/>
      </c>
      <c r="AX120" s="34">
        <f>IF(AND(AX$5&gt;=$F120,AX$5&lt;=$G120),3,"")</f>
        <v/>
      </c>
      <c r="AY120" s="34">
        <f>IF(AND(AY$5&gt;=$F120,AY$5&lt;=$G120),3,"")</f>
        <v/>
      </c>
      <c r="AZ120" s="34">
        <f>IF(AND(AZ$5&gt;=$F120,AZ$5&lt;=$G120),3,"")</f>
        <v/>
      </c>
      <c r="BA120" s="34">
        <f>IF(AND(BA$5&gt;=$F120,BA$5&lt;=$G120),3,"")</f>
        <v/>
      </c>
      <c r="BB120" s="34">
        <f>IF(AND(BB$5&gt;=$F120,BB$5&lt;=$G120),3,"")</f>
        <v/>
      </c>
      <c r="BC120" s="34">
        <f>IF(AND(BC$5&gt;=$F120,BC$5&lt;=$G120),3,"")</f>
        <v/>
      </c>
      <c r="BD120" s="34">
        <f>IF(AND(BD$5&gt;=$F120,BD$5&lt;=$G120),3,"")</f>
        <v/>
      </c>
      <c r="BE120" s="34">
        <f>IF(AND(BE$5&gt;=$F120,BE$5&lt;=$G120),3,"")</f>
        <v/>
      </c>
      <c r="BF120" s="34">
        <f>IF(AND(BF$5&gt;=$F120,BF$5&lt;=$G120),3,"")</f>
        <v/>
      </c>
      <c r="BG120" s="34">
        <f>IF(AND(BG$5&gt;=$F120,BG$5&lt;=$G120),3,"")</f>
        <v/>
      </c>
      <c r="BH120" s="34">
        <f>IF(AND(BH$5&gt;=$F120,BH$5&lt;=$G120),3,"")</f>
        <v/>
      </c>
      <c r="BI120" s="34">
        <f>IF(AND(BI$5&gt;=$F120,BI$5&lt;=$G120),3,"")</f>
        <v/>
      </c>
      <c r="BJ120" s="34">
        <f>IF(AND(BJ$5&gt;=$F120,BJ$5&lt;=$G120),3,"")</f>
        <v/>
      </c>
      <c r="BK120" s="34">
        <f>IF(AND(BK$5&gt;=$F120,BK$5&lt;=$G120),3,"")</f>
        <v/>
      </c>
      <c r="BL120" s="34">
        <f>IF(AND(BL$5&gt;=$F120,BL$5&lt;=$G120),3,"")</f>
        <v/>
      </c>
      <c r="BM120" s="34">
        <f>IF(AND(BM$5&gt;=$F120,BM$5&lt;=$G120),3,"")</f>
        <v/>
      </c>
      <c r="BN120" s="34">
        <f>IF(AND(BN$5&gt;=$F120,BN$5&lt;=$G120),3,"")</f>
        <v/>
      </c>
    </row>
    <row r="121" ht="14.25" customHeight="1" s="36">
      <c r="A121" s="13" t="inlineStr">
        <is>
          <t>3 Construcción</t>
        </is>
      </c>
      <c r="B121" s="13" t="inlineStr">
        <is>
          <t>3.10.1.2</t>
        </is>
      </c>
      <c r="C121" s="13" t="inlineStr">
        <is>
          <t>Estimador de saldo y ritmo de reposición (INN-01.P2)</t>
        </is>
      </c>
      <c r="D121" s="13" t="inlineStr">
        <is>
          <t>E</t>
        </is>
      </c>
      <c r="E121" s="13" t="inlineStr">
        <is>
          <t>Datos</t>
        </is>
      </c>
      <c r="F121" s="13" t="n">
        <v>9</v>
      </c>
      <c r="G121" s="13" t="n">
        <v>10</v>
      </c>
      <c r="H121" s="13">
        <f>G121-F121+1</f>
        <v/>
      </c>
      <c r="I121" s="31" t="n">
        <v>240</v>
      </c>
      <c r="J121" s="13" t="inlineStr">
        <is>
          <t>Con entregable (detalle por planificación gradual)</t>
        </is>
      </c>
      <c r="K121" s="34">
        <f>IF(AND(K$5&gt;=$F121,K$5&lt;=$G121),3,"")</f>
        <v/>
      </c>
      <c r="L121" s="34">
        <f>IF(AND(L$5&gt;=$F121,L$5&lt;=$G121),3,"")</f>
        <v/>
      </c>
      <c r="M121" s="34">
        <f>IF(AND(M$5&gt;=$F121,M$5&lt;=$G121),3,"")</f>
        <v/>
      </c>
      <c r="N121" s="34">
        <f>IF(AND(N$5&gt;=$F121,N$5&lt;=$G121),3,"")</f>
        <v/>
      </c>
      <c r="O121" s="34">
        <f>IF(AND(O$5&gt;=$F121,O$5&lt;=$G121),3,"")</f>
        <v/>
      </c>
      <c r="P121" s="34">
        <f>IF(AND(P$5&gt;=$F121,P$5&lt;=$G121),3,"")</f>
        <v/>
      </c>
      <c r="Q121" s="34">
        <f>IF(AND(Q$5&gt;=$F121,Q$5&lt;=$G121),3,"")</f>
        <v/>
      </c>
      <c r="R121" s="34">
        <f>IF(AND(R$5&gt;=$F121,R$5&lt;=$G121),3,"")</f>
        <v/>
      </c>
      <c r="S121" s="34">
        <f>IF(AND(S$5&gt;=$F121,S$5&lt;=$G121),3,"")</f>
        <v/>
      </c>
      <c r="T121" s="34">
        <f>IF(AND(T$5&gt;=$F121,T$5&lt;=$G121),3,"")</f>
        <v/>
      </c>
      <c r="U121" s="34">
        <f>IF(AND(U$5&gt;=$F121,U$5&lt;=$G121),3,"")</f>
        <v/>
      </c>
      <c r="V121" s="34">
        <f>IF(AND(V$5&gt;=$F121,V$5&lt;=$G121),3,"")</f>
        <v/>
      </c>
      <c r="W121" s="34">
        <f>IF(AND(W$5&gt;=$F121,W$5&lt;=$G121),3,"")</f>
        <v/>
      </c>
      <c r="X121" s="34">
        <f>IF(AND(X$5&gt;=$F121,X$5&lt;=$G121),3,"")</f>
        <v/>
      </c>
      <c r="Y121" s="34">
        <f>IF(AND(Y$5&gt;=$F121,Y$5&lt;=$G121),3,"")</f>
        <v/>
      </c>
      <c r="Z121" s="34">
        <f>IF(AND(Z$5&gt;=$F121,Z$5&lt;=$G121),3,"")</f>
        <v/>
      </c>
      <c r="AA121" s="34">
        <f>IF(AND(AA$5&gt;=$F121,AA$5&lt;=$G121),3,"")</f>
        <v/>
      </c>
      <c r="AB121" s="34">
        <f>IF(AND(AB$5&gt;=$F121,AB$5&lt;=$G121),3,"")</f>
        <v/>
      </c>
      <c r="AC121" s="34">
        <f>IF(AND(AC$5&gt;=$F121,AC$5&lt;=$G121),3,"")</f>
        <v/>
      </c>
      <c r="AD121" s="34">
        <f>IF(AND(AD$5&gt;=$F121,AD$5&lt;=$G121),3,"")</f>
        <v/>
      </c>
      <c r="AE121" s="34">
        <f>IF(AND(AE$5&gt;=$F121,AE$5&lt;=$G121),3,"")</f>
        <v/>
      </c>
      <c r="AF121" s="34">
        <f>IF(AND(AF$5&gt;=$F121,AF$5&lt;=$G121),3,"")</f>
        <v/>
      </c>
      <c r="AG121" s="34">
        <f>IF(AND(AG$5&gt;=$F121,AG$5&lt;=$G121),3,"")</f>
        <v/>
      </c>
      <c r="AH121" s="34">
        <f>IF(AND(AH$5&gt;=$F121,AH$5&lt;=$G121),3,"")</f>
        <v/>
      </c>
      <c r="AI121" s="34">
        <f>IF(AND(AI$5&gt;=$F121,AI$5&lt;=$G121),3,"")</f>
        <v/>
      </c>
      <c r="AJ121" s="34">
        <f>IF(AND(AJ$5&gt;=$F121,AJ$5&lt;=$G121),3,"")</f>
        <v/>
      </c>
      <c r="AK121" s="34">
        <f>IF(AND(AK$5&gt;=$F121,AK$5&lt;=$G121),3,"")</f>
        <v/>
      </c>
      <c r="AL121" s="34">
        <f>IF(AND(AL$5&gt;=$F121,AL$5&lt;=$G121),3,"")</f>
        <v/>
      </c>
      <c r="AM121" s="34">
        <f>IF(AND(AM$5&gt;=$F121,AM$5&lt;=$G121),3,"")</f>
        <v/>
      </c>
      <c r="AN121" s="34">
        <f>IF(AND(AN$5&gt;=$F121,AN$5&lt;=$G121),3,"")</f>
        <v/>
      </c>
      <c r="AO121" s="34">
        <f>IF(AND(AO$5&gt;=$F121,AO$5&lt;=$G121),3,"")</f>
        <v/>
      </c>
      <c r="AP121" s="34">
        <f>IF(AND(AP$5&gt;=$F121,AP$5&lt;=$G121),3,"")</f>
        <v/>
      </c>
      <c r="AQ121" s="34">
        <f>IF(AND(AQ$5&gt;=$F121,AQ$5&lt;=$G121),3,"")</f>
        <v/>
      </c>
      <c r="AR121" s="34">
        <f>IF(AND(AR$5&gt;=$F121,AR$5&lt;=$G121),3,"")</f>
        <v/>
      </c>
      <c r="AS121" s="34">
        <f>IF(AND(AS$5&gt;=$F121,AS$5&lt;=$G121),3,"")</f>
        <v/>
      </c>
      <c r="AT121" s="34">
        <f>IF(AND(AT$5&gt;=$F121,AT$5&lt;=$G121),3,"")</f>
        <v/>
      </c>
      <c r="AU121" s="34">
        <f>IF(AND(AU$5&gt;=$F121,AU$5&lt;=$G121),3,"")</f>
        <v/>
      </c>
      <c r="AV121" s="34">
        <f>IF(AND(AV$5&gt;=$F121,AV$5&lt;=$G121),3,"")</f>
        <v/>
      </c>
      <c r="AW121" s="34">
        <f>IF(AND(AW$5&gt;=$F121,AW$5&lt;=$G121),3,"")</f>
        <v/>
      </c>
      <c r="AX121" s="34">
        <f>IF(AND(AX$5&gt;=$F121,AX$5&lt;=$G121),3,"")</f>
        <v/>
      </c>
      <c r="AY121" s="34">
        <f>IF(AND(AY$5&gt;=$F121,AY$5&lt;=$G121),3,"")</f>
        <v/>
      </c>
      <c r="AZ121" s="34">
        <f>IF(AND(AZ$5&gt;=$F121,AZ$5&lt;=$G121),3,"")</f>
        <v/>
      </c>
      <c r="BA121" s="34">
        <f>IF(AND(BA$5&gt;=$F121,BA$5&lt;=$G121),3,"")</f>
        <v/>
      </c>
      <c r="BB121" s="34">
        <f>IF(AND(BB$5&gt;=$F121,BB$5&lt;=$G121),3,"")</f>
        <v/>
      </c>
      <c r="BC121" s="34">
        <f>IF(AND(BC$5&gt;=$F121,BC$5&lt;=$G121),3,"")</f>
        <v/>
      </c>
      <c r="BD121" s="34">
        <f>IF(AND(BD$5&gt;=$F121,BD$5&lt;=$G121),3,"")</f>
        <v/>
      </c>
      <c r="BE121" s="34">
        <f>IF(AND(BE$5&gt;=$F121,BE$5&lt;=$G121),3,"")</f>
        <v/>
      </c>
      <c r="BF121" s="34">
        <f>IF(AND(BF$5&gt;=$F121,BF$5&lt;=$G121),3,"")</f>
        <v/>
      </c>
      <c r="BG121" s="34">
        <f>IF(AND(BG$5&gt;=$F121,BG$5&lt;=$G121),3,"")</f>
        <v/>
      </c>
      <c r="BH121" s="34">
        <f>IF(AND(BH$5&gt;=$F121,BH$5&lt;=$G121),3,"")</f>
        <v/>
      </c>
      <c r="BI121" s="34">
        <f>IF(AND(BI$5&gt;=$F121,BI$5&lt;=$G121),3,"")</f>
        <v/>
      </c>
      <c r="BJ121" s="34">
        <f>IF(AND(BJ$5&gt;=$F121,BJ$5&lt;=$G121),3,"")</f>
        <v/>
      </c>
      <c r="BK121" s="34">
        <f>IF(AND(BK$5&gt;=$F121,BK$5&lt;=$G121),3,"")</f>
        <v/>
      </c>
      <c r="BL121" s="34">
        <f>IF(AND(BL$5&gt;=$F121,BL$5&lt;=$G121),3,"")</f>
        <v/>
      </c>
      <c r="BM121" s="34">
        <f>IF(AND(BM$5&gt;=$F121,BM$5&lt;=$G121),3,"")</f>
        <v/>
      </c>
      <c r="BN121" s="34">
        <f>IF(AND(BN$5&gt;=$F121,BN$5&lt;=$G121),3,"")</f>
        <v/>
      </c>
    </row>
    <row r="122" ht="14.25" customHeight="1" s="36">
      <c r="A122" s="13" t="inlineStr">
        <is>
          <t>3 Construcción</t>
        </is>
      </c>
      <c r="B122" s="13" t="inlineStr">
        <is>
          <t>3.10.1.3</t>
        </is>
      </c>
      <c r="C122" s="13" t="inlineStr">
        <is>
          <t>Función de lista sin conexión en la aplicación de preventa (INN-01.P3)</t>
        </is>
      </c>
      <c r="D122" s="13" t="inlineStr">
        <is>
          <t>E</t>
        </is>
      </c>
      <c r="E122" s="13" t="inlineStr">
        <is>
          <t>Datos</t>
        </is>
      </c>
      <c r="F122" s="13" t="n">
        <v>9</v>
      </c>
      <c r="G122" s="13" t="n">
        <v>10</v>
      </c>
      <c r="H122" s="13">
        <f>G122-F122+1</f>
        <v/>
      </c>
      <c r="I122" s="31" t="n">
        <v>240</v>
      </c>
      <c r="J122" s="13" t="inlineStr">
        <is>
          <t>Con entregable (detalle por planificación gradual)</t>
        </is>
      </c>
      <c r="K122" s="34">
        <f>IF(AND(K$5&gt;=$F122,K$5&lt;=$G122),3,"")</f>
        <v/>
      </c>
      <c r="L122" s="34">
        <f>IF(AND(L$5&gt;=$F122,L$5&lt;=$G122),3,"")</f>
        <v/>
      </c>
      <c r="M122" s="34">
        <f>IF(AND(M$5&gt;=$F122,M$5&lt;=$G122),3,"")</f>
        <v/>
      </c>
      <c r="N122" s="34">
        <f>IF(AND(N$5&gt;=$F122,N$5&lt;=$G122),3,"")</f>
        <v/>
      </c>
      <c r="O122" s="34">
        <f>IF(AND(O$5&gt;=$F122,O$5&lt;=$G122),3,"")</f>
        <v/>
      </c>
      <c r="P122" s="34">
        <f>IF(AND(P$5&gt;=$F122,P$5&lt;=$G122),3,"")</f>
        <v/>
      </c>
      <c r="Q122" s="34">
        <f>IF(AND(Q$5&gt;=$F122,Q$5&lt;=$G122),3,"")</f>
        <v/>
      </c>
      <c r="R122" s="34">
        <f>IF(AND(R$5&gt;=$F122,R$5&lt;=$G122),3,"")</f>
        <v/>
      </c>
      <c r="S122" s="34">
        <f>IF(AND(S$5&gt;=$F122,S$5&lt;=$G122),3,"")</f>
        <v/>
      </c>
      <c r="T122" s="34">
        <f>IF(AND(T$5&gt;=$F122,T$5&lt;=$G122),3,"")</f>
        <v/>
      </c>
      <c r="U122" s="34">
        <f>IF(AND(U$5&gt;=$F122,U$5&lt;=$G122),3,"")</f>
        <v/>
      </c>
      <c r="V122" s="34">
        <f>IF(AND(V$5&gt;=$F122,V$5&lt;=$G122),3,"")</f>
        <v/>
      </c>
      <c r="W122" s="34">
        <f>IF(AND(W$5&gt;=$F122,W$5&lt;=$G122),3,"")</f>
        <v/>
      </c>
      <c r="X122" s="34">
        <f>IF(AND(X$5&gt;=$F122,X$5&lt;=$G122),3,"")</f>
        <v/>
      </c>
      <c r="Y122" s="34">
        <f>IF(AND(Y$5&gt;=$F122,Y$5&lt;=$G122),3,"")</f>
        <v/>
      </c>
      <c r="Z122" s="34">
        <f>IF(AND(Z$5&gt;=$F122,Z$5&lt;=$G122),3,"")</f>
        <v/>
      </c>
      <c r="AA122" s="34">
        <f>IF(AND(AA$5&gt;=$F122,AA$5&lt;=$G122),3,"")</f>
        <v/>
      </c>
      <c r="AB122" s="34">
        <f>IF(AND(AB$5&gt;=$F122,AB$5&lt;=$G122),3,"")</f>
        <v/>
      </c>
      <c r="AC122" s="34">
        <f>IF(AND(AC$5&gt;=$F122,AC$5&lt;=$G122),3,"")</f>
        <v/>
      </c>
      <c r="AD122" s="34">
        <f>IF(AND(AD$5&gt;=$F122,AD$5&lt;=$G122),3,"")</f>
        <v/>
      </c>
      <c r="AE122" s="34">
        <f>IF(AND(AE$5&gt;=$F122,AE$5&lt;=$G122),3,"")</f>
        <v/>
      </c>
      <c r="AF122" s="34">
        <f>IF(AND(AF$5&gt;=$F122,AF$5&lt;=$G122),3,"")</f>
        <v/>
      </c>
      <c r="AG122" s="34">
        <f>IF(AND(AG$5&gt;=$F122,AG$5&lt;=$G122),3,"")</f>
        <v/>
      </c>
      <c r="AH122" s="34">
        <f>IF(AND(AH$5&gt;=$F122,AH$5&lt;=$G122),3,"")</f>
        <v/>
      </c>
      <c r="AI122" s="34">
        <f>IF(AND(AI$5&gt;=$F122,AI$5&lt;=$G122),3,"")</f>
        <v/>
      </c>
      <c r="AJ122" s="34">
        <f>IF(AND(AJ$5&gt;=$F122,AJ$5&lt;=$G122),3,"")</f>
        <v/>
      </c>
      <c r="AK122" s="34">
        <f>IF(AND(AK$5&gt;=$F122,AK$5&lt;=$G122),3,"")</f>
        <v/>
      </c>
      <c r="AL122" s="34">
        <f>IF(AND(AL$5&gt;=$F122,AL$5&lt;=$G122),3,"")</f>
        <v/>
      </c>
      <c r="AM122" s="34">
        <f>IF(AND(AM$5&gt;=$F122,AM$5&lt;=$G122),3,"")</f>
        <v/>
      </c>
      <c r="AN122" s="34">
        <f>IF(AND(AN$5&gt;=$F122,AN$5&lt;=$G122),3,"")</f>
        <v/>
      </c>
      <c r="AO122" s="34">
        <f>IF(AND(AO$5&gt;=$F122,AO$5&lt;=$G122),3,"")</f>
        <v/>
      </c>
      <c r="AP122" s="34">
        <f>IF(AND(AP$5&gt;=$F122,AP$5&lt;=$G122),3,"")</f>
        <v/>
      </c>
      <c r="AQ122" s="34">
        <f>IF(AND(AQ$5&gt;=$F122,AQ$5&lt;=$G122),3,"")</f>
        <v/>
      </c>
      <c r="AR122" s="34">
        <f>IF(AND(AR$5&gt;=$F122,AR$5&lt;=$G122),3,"")</f>
        <v/>
      </c>
      <c r="AS122" s="34">
        <f>IF(AND(AS$5&gt;=$F122,AS$5&lt;=$G122),3,"")</f>
        <v/>
      </c>
      <c r="AT122" s="34">
        <f>IF(AND(AT$5&gt;=$F122,AT$5&lt;=$G122),3,"")</f>
        <v/>
      </c>
      <c r="AU122" s="34">
        <f>IF(AND(AU$5&gt;=$F122,AU$5&lt;=$G122),3,"")</f>
        <v/>
      </c>
      <c r="AV122" s="34">
        <f>IF(AND(AV$5&gt;=$F122,AV$5&lt;=$G122),3,"")</f>
        <v/>
      </c>
      <c r="AW122" s="34">
        <f>IF(AND(AW$5&gt;=$F122,AW$5&lt;=$G122),3,"")</f>
        <v/>
      </c>
      <c r="AX122" s="34">
        <f>IF(AND(AX$5&gt;=$F122,AX$5&lt;=$G122),3,"")</f>
        <v/>
      </c>
      <c r="AY122" s="34">
        <f>IF(AND(AY$5&gt;=$F122,AY$5&lt;=$G122),3,"")</f>
        <v/>
      </c>
      <c r="AZ122" s="34">
        <f>IF(AND(AZ$5&gt;=$F122,AZ$5&lt;=$G122),3,"")</f>
        <v/>
      </c>
      <c r="BA122" s="34">
        <f>IF(AND(BA$5&gt;=$F122,BA$5&lt;=$G122),3,"")</f>
        <v/>
      </c>
      <c r="BB122" s="34">
        <f>IF(AND(BB$5&gt;=$F122,BB$5&lt;=$G122),3,"")</f>
        <v/>
      </c>
      <c r="BC122" s="34">
        <f>IF(AND(BC$5&gt;=$F122,BC$5&lt;=$G122),3,"")</f>
        <v/>
      </c>
      <c r="BD122" s="34">
        <f>IF(AND(BD$5&gt;=$F122,BD$5&lt;=$G122),3,"")</f>
        <v/>
      </c>
      <c r="BE122" s="34">
        <f>IF(AND(BE$5&gt;=$F122,BE$5&lt;=$G122),3,"")</f>
        <v/>
      </c>
      <c r="BF122" s="34">
        <f>IF(AND(BF$5&gt;=$F122,BF$5&lt;=$G122),3,"")</f>
        <v/>
      </c>
      <c r="BG122" s="34">
        <f>IF(AND(BG$5&gt;=$F122,BG$5&lt;=$G122),3,"")</f>
        <v/>
      </c>
      <c r="BH122" s="34">
        <f>IF(AND(BH$5&gt;=$F122,BH$5&lt;=$G122),3,"")</f>
        <v/>
      </c>
      <c r="BI122" s="34">
        <f>IF(AND(BI$5&gt;=$F122,BI$5&lt;=$G122),3,"")</f>
        <v/>
      </c>
      <c r="BJ122" s="34">
        <f>IF(AND(BJ$5&gt;=$F122,BJ$5&lt;=$G122),3,"")</f>
        <v/>
      </c>
      <c r="BK122" s="34">
        <f>IF(AND(BK$5&gt;=$F122,BK$5&lt;=$G122),3,"")</f>
        <v/>
      </c>
      <c r="BL122" s="34">
        <f>IF(AND(BL$5&gt;=$F122,BL$5&lt;=$G122),3,"")</f>
        <v/>
      </c>
      <c r="BM122" s="34">
        <f>IF(AND(BM$5&gt;=$F122,BM$5&lt;=$G122),3,"")</f>
        <v/>
      </c>
      <c r="BN122" s="34">
        <f>IF(AND(BN$5&gt;=$F122,BN$5&lt;=$G122),3,"")</f>
        <v/>
      </c>
    </row>
    <row r="123" ht="14.25" customHeight="1" s="36">
      <c r="A123" s="13" t="inlineStr">
        <is>
          <t>3 Construcción</t>
        </is>
      </c>
      <c r="B123" s="13" t="inlineStr">
        <is>
          <t>3.10.1.4</t>
        </is>
      </c>
      <c r="C123" s="13" t="inlineStr">
        <is>
          <t>Informe del piloto en marcha blanca y habilitación (INN-01.P4)</t>
        </is>
      </c>
      <c r="D123" s="13" t="inlineStr">
        <is>
          <t>E</t>
        </is>
      </c>
      <c r="E123" s="13" t="inlineStr">
        <is>
          <t>Datos</t>
        </is>
      </c>
      <c r="F123" s="13" t="n">
        <v>11</v>
      </c>
      <c r="G123" s="13" t="n">
        <v>15</v>
      </c>
      <c r="H123" s="13">
        <f>G123-F123+1</f>
        <v/>
      </c>
      <c r="I123" s="31" t="n">
        <v>240</v>
      </c>
      <c r="J123" s="13" t="inlineStr">
        <is>
          <t>Con entregable (detalle por planificación gradual)</t>
        </is>
      </c>
      <c r="K123" s="34">
        <f>IF(AND(K$5&gt;=$F123,K$5&lt;=$G123),3,"")</f>
        <v/>
      </c>
      <c r="L123" s="34">
        <f>IF(AND(L$5&gt;=$F123,L$5&lt;=$G123),3,"")</f>
        <v/>
      </c>
      <c r="M123" s="34">
        <f>IF(AND(M$5&gt;=$F123,M$5&lt;=$G123),3,"")</f>
        <v/>
      </c>
      <c r="N123" s="34">
        <f>IF(AND(N$5&gt;=$F123,N$5&lt;=$G123),3,"")</f>
        <v/>
      </c>
      <c r="O123" s="34">
        <f>IF(AND(O$5&gt;=$F123,O$5&lt;=$G123),3,"")</f>
        <v/>
      </c>
      <c r="P123" s="34">
        <f>IF(AND(P$5&gt;=$F123,P$5&lt;=$G123),3,"")</f>
        <v/>
      </c>
      <c r="Q123" s="34">
        <f>IF(AND(Q$5&gt;=$F123,Q$5&lt;=$G123),3,"")</f>
        <v/>
      </c>
      <c r="R123" s="34">
        <f>IF(AND(R$5&gt;=$F123,R$5&lt;=$G123),3,"")</f>
        <v/>
      </c>
      <c r="S123" s="34">
        <f>IF(AND(S$5&gt;=$F123,S$5&lt;=$G123),3,"")</f>
        <v/>
      </c>
      <c r="T123" s="34">
        <f>IF(AND(T$5&gt;=$F123,T$5&lt;=$G123),3,"")</f>
        <v/>
      </c>
      <c r="U123" s="34">
        <f>IF(AND(U$5&gt;=$F123,U$5&lt;=$G123),3,"")</f>
        <v/>
      </c>
      <c r="V123" s="34">
        <f>IF(AND(V$5&gt;=$F123,V$5&lt;=$G123),3,"")</f>
        <v/>
      </c>
      <c r="W123" s="34">
        <f>IF(AND(W$5&gt;=$F123,W$5&lt;=$G123),3,"")</f>
        <v/>
      </c>
      <c r="X123" s="34">
        <f>IF(AND(X$5&gt;=$F123,X$5&lt;=$G123),3,"")</f>
        <v/>
      </c>
      <c r="Y123" s="34">
        <f>IF(AND(Y$5&gt;=$F123,Y$5&lt;=$G123),3,"")</f>
        <v/>
      </c>
      <c r="Z123" s="34">
        <f>IF(AND(Z$5&gt;=$F123,Z$5&lt;=$G123),3,"")</f>
        <v/>
      </c>
      <c r="AA123" s="34">
        <f>IF(AND(AA$5&gt;=$F123,AA$5&lt;=$G123),3,"")</f>
        <v/>
      </c>
      <c r="AB123" s="34">
        <f>IF(AND(AB$5&gt;=$F123,AB$5&lt;=$G123),3,"")</f>
        <v/>
      </c>
      <c r="AC123" s="34">
        <f>IF(AND(AC$5&gt;=$F123,AC$5&lt;=$G123),3,"")</f>
        <v/>
      </c>
      <c r="AD123" s="34">
        <f>IF(AND(AD$5&gt;=$F123,AD$5&lt;=$G123),3,"")</f>
        <v/>
      </c>
      <c r="AE123" s="34">
        <f>IF(AND(AE$5&gt;=$F123,AE$5&lt;=$G123),3,"")</f>
        <v/>
      </c>
      <c r="AF123" s="34">
        <f>IF(AND(AF$5&gt;=$F123,AF$5&lt;=$G123),3,"")</f>
        <v/>
      </c>
      <c r="AG123" s="34">
        <f>IF(AND(AG$5&gt;=$F123,AG$5&lt;=$G123),3,"")</f>
        <v/>
      </c>
      <c r="AH123" s="34">
        <f>IF(AND(AH$5&gt;=$F123,AH$5&lt;=$G123),3,"")</f>
        <v/>
      </c>
      <c r="AI123" s="34">
        <f>IF(AND(AI$5&gt;=$F123,AI$5&lt;=$G123),3,"")</f>
        <v/>
      </c>
      <c r="AJ123" s="34">
        <f>IF(AND(AJ$5&gt;=$F123,AJ$5&lt;=$G123),3,"")</f>
        <v/>
      </c>
      <c r="AK123" s="34">
        <f>IF(AND(AK$5&gt;=$F123,AK$5&lt;=$G123),3,"")</f>
        <v/>
      </c>
      <c r="AL123" s="34">
        <f>IF(AND(AL$5&gt;=$F123,AL$5&lt;=$G123),3,"")</f>
        <v/>
      </c>
      <c r="AM123" s="34">
        <f>IF(AND(AM$5&gt;=$F123,AM$5&lt;=$G123),3,"")</f>
        <v/>
      </c>
      <c r="AN123" s="34">
        <f>IF(AND(AN$5&gt;=$F123,AN$5&lt;=$G123),3,"")</f>
        <v/>
      </c>
      <c r="AO123" s="34">
        <f>IF(AND(AO$5&gt;=$F123,AO$5&lt;=$G123),3,"")</f>
        <v/>
      </c>
      <c r="AP123" s="34">
        <f>IF(AND(AP$5&gt;=$F123,AP$5&lt;=$G123),3,"")</f>
        <v/>
      </c>
      <c r="AQ123" s="34">
        <f>IF(AND(AQ$5&gt;=$F123,AQ$5&lt;=$G123),3,"")</f>
        <v/>
      </c>
      <c r="AR123" s="34">
        <f>IF(AND(AR$5&gt;=$F123,AR$5&lt;=$G123),3,"")</f>
        <v/>
      </c>
      <c r="AS123" s="34">
        <f>IF(AND(AS$5&gt;=$F123,AS$5&lt;=$G123),3,"")</f>
        <v/>
      </c>
      <c r="AT123" s="34">
        <f>IF(AND(AT$5&gt;=$F123,AT$5&lt;=$G123),3,"")</f>
        <v/>
      </c>
      <c r="AU123" s="34">
        <f>IF(AND(AU$5&gt;=$F123,AU$5&lt;=$G123),3,"")</f>
        <v/>
      </c>
      <c r="AV123" s="34">
        <f>IF(AND(AV$5&gt;=$F123,AV$5&lt;=$G123),3,"")</f>
        <v/>
      </c>
      <c r="AW123" s="34">
        <f>IF(AND(AW$5&gt;=$F123,AW$5&lt;=$G123),3,"")</f>
        <v/>
      </c>
      <c r="AX123" s="34">
        <f>IF(AND(AX$5&gt;=$F123,AX$5&lt;=$G123),3,"")</f>
        <v/>
      </c>
      <c r="AY123" s="34">
        <f>IF(AND(AY$5&gt;=$F123,AY$5&lt;=$G123),3,"")</f>
        <v/>
      </c>
      <c r="AZ123" s="34">
        <f>IF(AND(AZ$5&gt;=$F123,AZ$5&lt;=$G123),3,"")</f>
        <v/>
      </c>
      <c r="BA123" s="34">
        <f>IF(AND(BA$5&gt;=$F123,BA$5&lt;=$G123),3,"")</f>
        <v/>
      </c>
      <c r="BB123" s="34">
        <f>IF(AND(BB$5&gt;=$F123,BB$5&lt;=$G123),3,"")</f>
        <v/>
      </c>
      <c r="BC123" s="34">
        <f>IF(AND(BC$5&gt;=$F123,BC$5&lt;=$G123),3,"")</f>
        <v/>
      </c>
      <c r="BD123" s="34">
        <f>IF(AND(BD$5&gt;=$F123,BD$5&lt;=$G123),3,"")</f>
        <v/>
      </c>
      <c r="BE123" s="34">
        <f>IF(AND(BE$5&gt;=$F123,BE$5&lt;=$G123),3,"")</f>
        <v/>
      </c>
      <c r="BF123" s="34">
        <f>IF(AND(BF$5&gt;=$F123,BF$5&lt;=$G123),3,"")</f>
        <v/>
      </c>
      <c r="BG123" s="34">
        <f>IF(AND(BG$5&gt;=$F123,BG$5&lt;=$G123),3,"")</f>
        <v/>
      </c>
      <c r="BH123" s="34">
        <f>IF(AND(BH$5&gt;=$F123,BH$5&lt;=$G123),3,"")</f>
        <v/>
      </c>
      <c r="BI123" s="34">
        <f>IF(AND(BI$5&gt;=$F123,BI$5&lt;=$G123),3,"")</f>
        <v/>
      </c>
      <c r="BJ123" s="34">
        <f>IF(AND(BJ$5&gt;=$F123,BJ$5&lt;=$G123),3,"")</f>
        <v/>
      </c>
      <c r="BK123" s="34">
        <f>IF(AND(BK$5&gt;=$F123,BK$5&lt;=$G123),3,"")</f>
        <v/>
      </c>
      <c r="BL123" s="34">
        <f>IF(AND(BL$5&gt;=$F123,BL$5&lt;=$G123),3,"")</f>
        <v/>
      </c>
      <c r="BM123" s="34">
        <f>IF(AND(BM$5&gt;=$F123,BM$5&lt;=$G123),3,"")</f>
        <v/>
      </c>
      <c r="BN123" s="34">
        <f>IF(AND(BN$5&gt;=$F123,BN$5&lt;=$G123),3,"")</f>
        <v/>
      </c>
    </row>
    <row r="124" ht="14.25" customHeight="1" s="36">
      <c r="A124" s="13" t="inlineStr">
        <is>
          <t>3 Construcción</t>
        </is>
      </c>
      <c r="B124" s="13" t="inlineStr">
        <is>
          <t>3.10.2.1</t>
        </is>
      </c>
      <c r="C124" s="13" t="inlineStr">
        <is>
          <t>Informe de medición inicial y contrato de evidencia (INN-02.P1)</t>
        </is>
      </c>
      <c r="D124" s="13" t="inlineStr">
        <is>
          <t>E</t>
        </is>
      </c>
      <c r="E124" s="13" t="inlineStr">
        <is>
          <t>Calidad y pruebas</t>
        </is>
      </c>
      <c r="F124" s="13" t="n">
        <v>2</v>
      </c>
      <c r="G124" s="13" t="n">
        <v>3</v>
      </c>
      <c r="H124" s="13">
        <f>G124-F124+1</f>
        <v/>
      </c>
      <c r="I124" s="31" t="n">
        <v>240</v>
      </c>
      <c r="J124" s="13" t="inlineStr">
        <is>
          <t>Con entregable (actividades en hoja «Actividades hasta H2»)</t>
        </is>
      </c>
      <c r="K124" s="34">
        <f>IF(AND(K$5&gt;=$F124,K$5&lt;=$G124),3,"")</f>
        <v/>
      </c>
      <c r="L124" s="34">
        <f>IF(AND(L$5&gt;=$F124,L$5&lt;=$G124),3,"")</f>
        <v/>
      </c>
      <c r="M124" s="34">
        <f>IF(AND(M$5&gt;=$F124,M$5&lt;=$G124),3,"")</f>
        <v/>
      </c>
      <c r="N124" s="34">
        <f>IF(AND(N$5&gt;=$F124,N$5&lt;=$G124),3,"")</f>
        <v/>
      </c>
      <c r="O124" s="34">
        <f>IF(AND(O$5&gt;=$F124,O$5&lt;=$G124),3,"")</f>
        <v/>
      </c>
      <c r="P124" s="34">
        <f>IF(AND(P$5&gt;=$F124,P$5&lt;=$G124),3,"")</f>
        <v/>
      </c>
      <c r="Q124" s="34">
        <f>IF(AND(Q$5&gt;=$F124,Q$5&lt;=$G124),3,"")</f>
        <v/>
      </c>
      <c r="R124" s="34">
        <f>IF(AND(R$5&gt;=$F124,R$5&lt;=$G124),3,"")</f>
        <v/>
      </c>
      <c r="S124" s="34">
        <f>IF(AND(S$5&gt;=$F124,S$5&lt;=$G124),3,"")</f>
        <v/>
      </c>
      <c r="T124" s="34">
        <f>IF(AND(T$5&gt;=$F124,T$5&lt;=$G124),3,"")</f>
        <v/>
      </c>
      <c r="U124" s="34">
        <f>IF(AND(U$5&gt;=$F124,U$5&lt;=$G124),3,"")</f>
        <v/>
      </c>
      <c r="V124" s="34">
        <f>IF(AND(V$5&gt;=$F124,V$5&lt;=$G124),3,"")</f>
        <v/>
      </c>
      <c r="W124" s="34">
        <f>IF(AND(W$5&gt;=$F124,W$5&lt;=$G124),3,"")</f>
        <v/>
      </c>
      <c r="X124" s="34">
        <f>IF(AND(X$5&gt;=$F124,X$5&lt;=$G124),3,"")</f>
        <v/>
      </c>
      <c r="Y124" s="34">
        <f>IF(AND(Y$5&gt;=$F124,Y$5&lt;=$G124),3,"")</f>
        <v/>
      </c>
      <c r="Z124" s="34">
        <f>IF(AND(Z$5&gt;=$F124,Z$5&lt;=$G124),3,"")</f>
        <v/>
      </c>
      <c r="AA124" s="34">
        <f>IF(AND(AA$5&gt;=$F124,AA$5&lt;=$G124),3,"")</f>
        <v/>
      </c>
      <c r="AB124" s="34">
        <f>IF(AND(AB$5&gt;=$F124,AB$5&lt;=$G124),3,"")</f>
        <v/>
      </c>
      <c r="AC124" s="34">
        <f>IF(AND(AC$5&gt;=$F124,AC$5&lt;=$G124),3,"")</f>
        <v/>
      </c>
      <c r="AD124" s="34">
        <f>IF(AND(AD$5&gt;=$F124,AD$5&lt;=$G124),3,"")</f>
        <v/>
      </c>
      <c r="AE124" s="34">
        <f>IF(AND(AE$5&gt;=$F124,AE$5&lt;=$G124),3,"")</f>
        <v/>
      </c>
      <c r="AF124" s="34">
        <f>IF(AND(AF$5&gt;=$F124,AF$5&lt;=$G124),3,"")</f>
        <v/>
      </c>
      <c r="AG124" s="34">
        <f>IF(AND(AG$5&gt;=$F124,AG$5&lt;=$G124),3,"")</f>
        <v/>
      </c>
      <c r="AH124" s="34">
        <f>IF(AND(AH$5&gt;=$F124,AH$5&lt;=$G124),3,"")</f>
        <v/>
      </c>
      <c r="AI124" s="34">
        <f>IF(AND(AI$5&gt;=$F124,AI$5&lt;=$G124),3,"")</f>
        <v/>
      </c>
      <c r="AJ124" s="34">
        <f>IF(AND(AJ$5&gt;=$F124,AJ$5&lt;=$G124),3,"")</f>
        <v/>
      </c>
      <c r="AK124" s="34">
        <f>IF(AND(AK$5&gt;=$F124,AK$5&lt;=$G124),3,"")</f>
        <v/>
      </c>
      <c r="AL124" s="34">
        <f>IF(AND(AL$5&gt;=$F124,AL$5&lt;=$G124),3,"")</f>
        <v/>
      </c>
      <c r="AM124" s="34">
        <f>IF(AND(AM$5&gt;=$F124,AM$5&lt;=$G124),3,"")</f>
        <v/>
      </c>
      <c r="AN124" s="34">
        <f>IF(AND(AN$5&gt;=$F124,AN$5&lt;=$G124),3,"")</f>
        <v/>
      </c>
      <c r="AO124" s="34">
        <f>IF(AND(AO$5&gt;=$F124,AO$5&lt;=$G124),3,"")</f>
        <v/>
      </c>
      <c r="AP124" s="34">
        <f>IF(AND(AP$5&gt;=$F124,AP$5&lt;=$G124),3,"")</f>
        <v/>
      </c>
      <c r="AQ124" s="34">
        <f>IF(AND(AQ$5&gt;=$F124,AQ$5&lt;=$G124),3,"")</f>
        <v/>
      </c>
      <c r="AR124" s="34">
        <f>IF(AND(AR$5&gt;=$F124,AR$5&lt;=$G124),3,"")</f>
        <v/>
      </c>
      <c r="AS124" s="34">
        <f>IF(AND(AS$5&gt;=$F124,AS$5&lt;=$G124),3,"")</f>
        <v/>
      </c>
      <c r="AT124" s="34">
        <f>IF(AND(AT$5&gt;=$F124,AT$5&lt;=$G124),3,"")</f>
        <v/>
      </c>
      <c r="AU124" s="34">
        <f>IF(AND(AU$5&gt;=$F124,AU$5&lt;=$G124),3,"")</f>
        <v/>
      </c>
      <c r="AV124" s="34">
        <f>IF(AND(AV$5&gt;=$F124,AV$5&lt;=$G124),3,"")</f>
        <v/>
      </c>
      <c r="AW124" s="34">
        <f>IF(AND(AW$5&gt;=$F124,AW$5&lt;=$G124),3,"")</f>
        <v/>
      </c>
      <c r="AX124" s="34">
        <f>IF(AND(AX$5&gt;=$F124,AX$5&lt;=$G124),3,"")</f>
        <v/>
      </c>
      <c r="AY124" s="34">
        <f>IF(AND(AY$5&gt;=$F124,AY$5&lt;=$G124),3,"")</f>
        <v/>
      </c>
      <c r="AZ124" s="34">
        <f>IF(AND(AZ$5&gt;=$F124,AZ$5&lt;=$G124),3,"")</f>
        <v/>
      </c>
      <c r="BA124" s="34">
        <f>IF(AND(BA$5&gt;=$F124,BA$5&lt;=$G124),3,"")</f>
        <v/>
      </c>
      <c r="BB124" s="34">
        <f>IF(AND(BB$5&gt;=$F124,BB$5&lt;=$G124),3,"")</f>
        <v/>
      </c>
      <c r="BC124" s="34">
        <f>IF(AND(BC$5&gt;=$F124,BC$5&lt;=$G124),3,"")</f>
        <v/>
      </c>
      <c r="BD124" s="34">
        <f>IF(AND(BD$5&gt;=$F124,BD$5&lt;=$G124),3,"")</f>
        <v/>
      </c>
      <c r="BE124" s="34">
        <f>IF(AND(BE$5&gt;=$F124,BE$5&lt;=$G124),3,"")</f>
        <v/>
      </c>
      <c r="BF124" s="34">
        <f>IF(AND(BF$5&gt;=$F124,BF$5&lt;=$G124),3,"")</f>
        <v/>
      </c>
      <c r="BG124" s="34">
        <f>IF(AND(BG$5&gt;=$F124,BG$5&lt;=$G124),3,"")</f>
        <v/>
      </c>
      <c r="BH124" s="34">
        <f>IF(AND(BH$5&gt;=$F124,BH$5&lt;=$G124),3,"")</f>
        <v/>
      </c>
      <c r="BI124" s="34">
        <f>IF(AND(BI$5&gt;=$F124,BI$5&lt;=$G124),3,"")</f>
        <v/>
      </c>
      <c r="BJ124" s="34">
        <f>IF(AND(BJ$5&gt;=$F124,BJ$5&lt;=$G124),3,"")</f>
        <v/>
      </c>
      <c r="BK124" s="34">
        <f>IF(AND(BK$5&gt;=$F124,BK$5&lt;=$G124),3,"")</f>
        <v/>
      </c>
      <c r="BL124" s="34">
        <f>IF(AND(BL$5&gt;=$F124,BL$5&lt;=$G124),3,"")</f>
        <v/>
      </c>
      <c r="BM124" s="34">
        <f>IF(AND(BM$5&gt;=$F124,BM$5&lt;=$G124),3,"")</f>
        <v/>
      </c>
      <c r="BN124" s="34">
        <f>IF(AND(BN$5&gt;=$F124,BN$5&lt;=$G124),3,"")</f>
        <v/>
      </c>
    </row>
    <row r="125" ht="14.25" customHeight="1" s="36">
      <c r="A125" s="13" t="inlineStr">
        <is>
          <t>3 Construcción</t>
        </is>
      </c>
      <c r="B125" s="13" t="inlineStr">
        <is>
          <t>3.10.2.2</t>
        </is>
      </c>
      <c r="C125" s="13" t="inlineStr">
        <is>
          <t>Circuito mínimo de reproducción en la preventa (INN-02.P2)</t>
        </is>
      </c>
      <c r="D125" s="13" t="inlineStr">
        <is>
          <t>E</t>
        </is>
      </c>
      <c r="E125" s="13" t="inlineStr">
        <is>
          <t>Calidad y pruebas</t>
        </is>
      </c>
      <c r="F125" s="13" t="n">
        <v>3</v>
      </c>
      <c r="G125" s="13" t="n">
        <v>5</v>
      </c>
      <c r="H125" s="13">
        <f>G125-F125+1</f>
        <v/>
      </c>
      <c r="I125" s="31" t="n">
        <v>240</v>
      </c>
      <c r="J125" s="13" t="inlineStr">
        <is>
          <t>Con entregable (detalle por planificación gradual)</t>
        </is>
      </c>
      <c r="K125" s="34">
        <f>IF(AND(K$5&gt;=$F125,K$5&lt;=$G125),3,"")</f>
        <v/>
      </c>
      <c r="L125" s="34">
        <f>IF(AND(L$5&gt;=$F125,L$5&lt;=$G125),3,"")</f>
        <v/>
      </c>
      <c r="M125" s="34">
        <f>IF(AND(M$5&gt;=$F125,M$5&lt;=$G125),3,"")</f>
        <v/>
      </c>
      <c r="N125" s="34">
        <f>IF(AND(N$5&gt;=$F125,N$5&lt;=$G125),3,"")</f>
        <v/>
      </c>
      <c r="O125" s="34">
        <f>IF(AND(O$5&gt;=$F125,O$5&lt;=$G125),3,"")</f>
        <v/>
      </c>
      <c r="P125" s="34">
        <f>IF(AND(P$5&gt;=$F125,P$5&lt;=$G125),3,"")</f>
        <v/>
      </c>
      <c r="Q125" s="34">
        <f>IF(AND(Q$5&gt;=$F125,Q$5&lt;=$G125),3,"")</f>
        <v/>
      </c>
      <c r="R125" s="34">
        <f>IF(AND(R$5&gt;=$F125,R$5&lt;=$G125),3,"")</f>
        <v/>
      </c>
      <c r="S125" s="34">
        <f>IF(AND(S$5&gt;=$F125,S$5&lt;=$G125),3,"")</f>
        <v/>
      </c>
      <c r="T125" s="34">
        <f>IF(AND(T$5&gt;=$F125,T$5&lt;=$G125),3,"")</f>
        <v/>
      </c>
      <c r="U125" s="34">
        <f>IF(AND(U$5&gt;=$F125,U$5&lt;=$G125),3,"")</f>
        <v/>
      </c>
      <c r="V125" s="34">
        <f>IF(AND(V$5&gt;=$F125,V$5&lt;=$G125),3,"")</f>
        <v/>
      </c>
      <c r="W125" s="34">
        <f>IF(AND(W$5&gt;=$F125,W$5&lt;=$G125),3,"")</f>
        <v/>
      </c>
      <c r="X125" s="34">
        <f>IF(AND(X$5&gt;=$F125,X$5&lt;=$G125),3,"")</f>
        <v/>
      </c>
      <c r="Y125" s="34">
        <f>IF(AND(Y$5&gt;=$F125,Y$5&lt;=$G125),3,"")</f>
        <v/>
      </c>
      <c r="Z125" s="34">
        <f>IF(AND(Z$5&gt;=$F125,Z$5&lt;=$G125),3,"")</f>
        <v/>
      </c>
      <c r="AA125" s="34">
        <f>IF(AND(AA$5&gt;=$F125,AA$5&lt;=$G125),3,"")</f>
        <v/>
      </c>
      <c r="AB125" s="34">
        <f>IF(AND(AB$5&gt;=$F125,AB$5&lt;=$G125),3,"")</f>
        <v/>
      </c>
      <c r="AC125" s="34">
        <f>IF(AND(AC$5&gt;=$F125,AC$5&lt;=$G125),3,"")</f>
        <v/>
      </c>
      <c r="AD125" s="34">
        <f>IF(AND(AD$5&gt;=$F125,AD$5&lt;=$G125),3,"")</f>
        <v/>
      </c>
      <c r="AE125" s="34">
        <f>IF(AND(AE$5&gt;=$F125,AE$5&lt;=$G125),3,"")</f>
        <v/>
      </c>
      <c r="AF125" s="34">
        <f>IF(AND(AF$5&gt;=$F125,AF$5&lt;=$G125),3,"")</f>
        <v/>
      </c>
      <c r="AG125" s="34">
        <f>IF(AND(AG$5&gt;=$F125,AG$5&lt;=$G125),3,"")</f>
        <v/>
      </c>
      <c r="AH125" s="34">
        <f>IF(AND(AH$5&gt;=$F125,AH$5&lt;=$G125),3,"")</f>
        <v/>
      </c>
      <c r="AI125" s="34">
        <f>IF(AND(AI$5&gt;=$F125,AI$5&lt;=$G125),3,"")</f>
        <v/>
      </c>
      <c r="AJ125" s="34">
        <f>IF(AND(AJ$5&gt;=$F125,AJ$5&lt;=$G125),3,"")</f>
        <v/>
      </c>
      <c r="AK125" s="34">
        <f>IF(AND(AK$5&gt;=$F125,AK$5&lt;=$G125),3,"")</f>
        <v/>
      </c>
      <c r="AL125" s="34">
        <f>IF(AND(AL$5&gt;=$F125,AL$5&lt;=$G125),3,"")</f>
        <v/>
      </c>
      <c r="AM125" s="34">
        <f>IF(AND(AM$5&gt;=$F125,AM$5&lt;=$G125),3,"")</f>
        <v/>
      </c>
      <c r="AN125" s="34">
        <f>IF(AND(AN$5&gt;=$F125,AN$5&lt;=$G125),3,"")</f>
        <v/>
      </c>
      <c r="AO125" s="34">
        <f>IF(AND(AO$5&gt;=$F125,AO$5&lt;=$G125),3,"")</f>
        <v/>
      </c>
      <c r="AP125" s="34">
        <f>IF(AND(AP$5&gt;=$F125,AP$5&lt;=$G125),3,"")</f>
        <v/>
      </c>
      <c r="AQ125" s="34">
        <f>IF(AND(AQ$5&gt;=$F125,AQ$5&lt;=$G125),3,"")</f>
        <v/>
      </c>
      <c r="AR125" s="34">
        <f>IF(AND(AR$5&gt;=$F125,AR$5&lt;=$G125),3,"")</f>
        <v/>
      </c>
      <c r="AS125" s="34">
        <f>IF(AND(AS$5&gt;=$F125,AS$5&lt;=$G125),3,"")</f>
        <v/>
      </c>
      <c r="AT125" s="34">
        <f>IF(AND(AT$5&gt;=$F125,AT$5&lt;=$G125),3,"")</f>
        <v/>
      </c>
      <c r="AU125" s="34">
        <f>IF(AND(AU$5&gt;=$F125,AU$5&lt;=$G125),3,"")</f>
        <v/>
      </c>
      <c r="AV125" s="34">
        <f>IF(AND(AV$5&gt;=$F125,AV$5&lt;=$G125),3,"")</f>
        <v/>
      </c>
      <c r="AW125" s="34">
        <f>IF(AND(AW$5&gt;=$F125,AW$5&lt;=$G125),3,"")</f>
        <v/>
      </c>
      <c r="AX125" s="34">
        <f>IF(AND(AX$5&gt;=$F125,AX$5&lt;=$G125),3,"")</f>
        <v/>
      </c>
      <c r="AY125" s="34">
        <f>IF(AND(AY$5&gt;=$F125,AY$5&lt;=$G125),3,"")</f>
        <v/>
      </c>
      <c r="AZ125" s="34">
        <f>IF(AND(AZ$5&gt;=$F125,AZ$5&lt;=$G125),3,"")</f>
        <v/>
      </c>
      <c r="BA125" s="34">
        <f>IF(AND(BA$5&gt;=$F125,BA$5&lt;=$G125),3,"")</f>
        <v/>
      </c>
      <c r="BB125" s="34">
        <f>IF(AND(BB$5&gt;=$F125,BB$5&lt;=$G125),3,"")</f>
        <v/>
      </c>
      <c r="BC125" s="34">
        <f>IF(AND(BC$5&gt;=$F125,BC$5&lt;=$G125),3,"")</f>
        <v/>
      </c>
      <c r="BD125" s="34">
        <f>IF(AND(BD$5&gt;=$F125,BD$5&lt;=$G125),3,"")</f>
        <v/>
      </c>
      <c r="BE125" s="34">
        <f>IF(AND(BE$5&gt;=$F125,BE$5&lt;=$G125),3,"")</f>
        <v/>
      </c>
      <c r="BF125" s="34">
        <f>IF(AND(BF$5&gt;=$F125,BF$5&lt;=$G125),3,"")</f>
        <v/>
      </c>
      <c r="BG125" s="34">
        <f>IF(AND(BG$5&gt;=$F125,BG$5&lt;=$G125),3,"")</f>
        <v/>
      </c>
      <c r="BH125" s="34">
        <f>IF(AND(BH$5&gt;=$F125,BH$5&lt;=$G125),3,"")</f>
        <v/>
      </c>
      <c r="BI125" s="34">
        <f>IF(AND(BI$5&gt;=$F125,BI$5&lt;=$G125),3,"")</f>
        <v/>
      </c>
      <c r="BJ125" s="34">
        <f>IF(AND(BJ$5&gt;=$F125,BJ$5&lt;=$G125),3,"")</f>
        <v/>
      </c>
      <c r="BK125" s="34">
        <f>IF(AND(BK$5&gt;=$F125,BK$5&lt;=$G125),3,"")</f>
        <v/>
      </c>
      <c r="BL125" s="34">
        <f>IF(AND(BL$5&gt;=$F125,BL$5&lt;=$G125),3,"")</f>
        <v/>
      </c>
      <c r="BM125" s="34">
        <f>IF(AND(BM$5&gt;=$F125,BM$5&lt;=$G125),3,"")</f>
        <v/>
      </c>
      <c r="BN125" s="34">
        <f>IF(AND(BN$5&gt;=$F125,BN$5&lt;=$G125),3,"")</f>
        <v/>
      </c>
    </row>
    <row r="126" ht="14.25" customHeight="1" s="36">
      <c r="A126" s="13" t="inlineStr">
        <is>
          <t>3 Construcción</t>
        </is>
      </c>
      <c r="B126" s="13" t="inlineStr">
        <is>
          <t>3.10.2.3</t>
        </is>
      </c>
      <c r="C126" s="13" t="inlineStr">
        <is>
          <t>Captura de evidencia en las aplicaciones de preventa, preparación y reparto (INN-02.P3)</t>
        </is>
      </c>
      <c r="D126" s="13" t="inlineStr">
        <is>
          <t>E</t>
        </is>
      </c>
      <c r="E126" s="13" t="inlineStr">
        <is>
          <t>Calidad y pruebas</t>
        </is>
      </c>
      <c r="F126" s="13" t="n">
        <v>5</v>
      </c>
      <c r="G126" s="13" t="n">
        <v>10</v>
      </c>
      <c r="H126" s="13">
        <f>G126-F126+1</f>
        <v/>
      </c>
      <c r="I126" s="31" t="n">
        <v>240</v>
      </c>
      <c r="J126" s="13" t="inlineStr">
        <is>
          <t>Con entregable (detalle por planificación gradual)</t>
        </is>
      </c>
      <c r="K126" s="34">
        <f>IF(AND(K$5&gt;=$F126,K$5&lt;=$G126),3,"")</f>
        <v/>
      </c>
      <c r="L126" s="34">
        <f>IF(AND(L$5&gt;=$F126,L$5&lt;=$G126),3,"")</f>
        <v/>
      </c>
      <c r="M126" s="34">
        <f>IF(AND(M$5&gt;=$F126,M$5&lt;=$G126),3,"")</f>
        <v/>
      </c>
      <c r="N126" s="34">
        <f>IF(AND(N$5&gt;=$F126,N$5&lt;=$G126),3,"")</f>
        <v/>
      </c>
      <c r="O126" s="34">
        <f>IF(AND(O$5&gt;=$F126,O$5&lt;=$G126),3,"")</f>
        <v/>
      </c>
      <c r="P126" s="34">
        <f>IF(AND(P$5&gt;=$F126,P$5&lt;=$G126),3,"")</f>
        <v/>
      </c>
      <c r="Q126" s="34">
        <f>IF(AND(Q$5&gt;=$F126,Q$5&lt;=$G126),3,"")</f>
        <v/>
      </c>
      <c r="R126" s="34">
        <f>IF(AND(R$5&gt;=$F126,R$5&lt;=$G126),3,"")</f>
        <v/>
      </c>
      <c r="S126" s="34">
        <f>IF(AND(S$5&gt;=$F126,S$5&lt;=$G126),3,"")</f>
        <v/>
      </c>
      <c r="T126" s="34">
        <f>IF(AND(T$5&gt;=$F126,T$5&lt;=$G126),3,"")</f>
        <v/>
      </c>
      <c r="U126" s="34">
        <f>IF(AND(U$5&gt;=$F126,U$5&lt;=$G126),3,"")</f>
        <v/>
      </c>
      <c r="V126" s="34">
        <f>IF(AND(V$5&gt;=$F126,V$5&lt;=$G126),3,"")</f>
        <v/>
      </c>
      <c r="W126" s="34">
        <f>IF(AND(W$5&gt;=$F126,W$5&lt;=$G126),3,"")</f>
        <v/>
      </c>
      <c r="X126" s="34">
        <f>IF(AND(X$5&gt;=$F126,X$5&lt;=$G126),3,"")</f>
        <v/>
      </c>
      <c r="Y126" s="34">
        <f>IF(AND(Y$5&gt;=$F126,Y$5&lt;=$G126),3,"")</f>
        <v/>
      </c>
      <c r="Z126" s="34">
        <f>IF(AND(Z$5&gt;=$F126,Z$5&lt;=$G126),3,"")</f>
        <v/>
      </c>
      <c r="AA126" s="34">
        <f>IF(AND(AA$5&gt;=$F126,AA$5&lt;=$G126),3,"")</f>
        <v/>
      </c>
      <c r="AB126" s="34">
        <f>IF(AND(AB$5&gt;=$F126,AB$5&lt;=$G126),3,"")</f>
        <v/>
      </c>
      <c r="AC126" s="34">
        <f>IF(AND(AC$5&gt;=$F126,AC$5&lt;=$G126),3,"")</f>
        <v/>
      </c>
      <c r="AD126" s="34">
        <f>IF(AND(AD$5&gt;=$F126,AD$5&lt;=$G126),3,"")</f>
        <v/>
      </c>
      <c r="AE126" s="34">
        <f>IF(AND(AE$5&gt;=$F126,AE$5&lt;=$G126),3,"")</f>
        <v/>
      </c>
      <c r="AF126" s="34">
        <f>IF(AND(AF$5&gt;=$F126,AF$5&lt;=$G126),3,"")</f>
        <v/>
      </c>
      <c r="AG126" s="34">
        <f>IF(AND(AG$5&gt;=$F126,AG$5&lt;=$G126),3,"")</f>
        <v/>
      </c>
      <c r="AH126" s="34">
        <f>IF(AND(AH$5&gt;=$F126,AH$5&lt;=$G126),3,"")</f>
        <v/>
      </c>
      <c r="AI126" s="34">
        <f>IF(AND(AI$5&gt;=$F126,AI$5&lt;=$G126),3,"")</f>
        <v/>
      </c>
      <c r="AJ126" s="34">
        <f>IF(AND(AJ$5&gt;=$F126,AJ$5&lt;=$G126),3,"")</f>
        <v/>
      </c>
      <c r="AK126" s="34">
        <f>IF(AND(AK$5&gt;=$F126,AK$5&lt;=$G126),3,"")</f>
        <v/>
      </c>
      <c r="AL126" s="34">
        <f>IF(AND(AL$5&gt;=$F126,AL$5&lt;=$G126),3,"")</f>
        <v/>
      </c>
      <c r="AM126" s="34">
        <f>IF(AND(AM$5&gt;=$F126,AM$5&lt;=$G126),3,"")</f>
        <v/>
      </c>
      <c r="AN126" s="34">
        <f>IF(AND(AN$5&gt;=$F126,AN$5&lt;=$G126),3,"")</f>
        <v/>
      </c>
      <c r="AO126" s="34">
        <f>IF(AND(AO$5&gt;=$F126,AO$5&lt;=$G126),3,"")</f>
        <v/>
      </c>
      <c r="AP126" s="34">
        <f>IF(AND(AP$5&gt;=$F126,AP$5&lt;=$G126),3,"")</f>
        <v/>
      </c>
      <c r="AQ126" s="34">
        <f>IF(AND(AQ$5&gt;=$F126,AQ$5&lt;=$G126),3,"")</f>
        <v/>
      </c>
      <c r="AR126" s="34">
        <f>IF(AND(AR$5&gt;=$F126,AR$5&lt;=$G126),3,"")</f>
        <v/>
      </c>
      <c r="AS126" s="34">
        <f>IF(AND(AS$5&gt;=$F126,AS$5&lt;=$G126),3,"")</f>
        <v/>
      </c>
      <c r="AT126" s="34">
        <f>IF(AND(AT$5&gt;=$F126,AT$5&lt;=$G126),3,"")</f>
        <v/>
      </c>
      <c r="AU126" s="34">
        <f>IF(AND(AU$5&gt;=$F126,AU$5&lt;=$G126),3,"")</f>
        <v/>
      </c>
      <c r="AV126" s="34">
        <f>IF(AND(AV$5&gt;=$F126,AV$5&lt;=$G126),3,"")</f>
        <v/>
      </c>
      <c r="AW126" s="34">
        <f>IF(AND(AW$5&gt;=$F126,AW$5&lt;=$G126),3,"")</f>
        <v/>
      </c>
      <c r="AX126" s="34">
        <f>IF(AND(AX$5&gt;=$F126,AX$5&lt;=$G126),3,"")</f>
        <v/>
      </c>
      <c r="AY126" s="34">
        <f>IF(AND(AY$5&gt;=$F126,AY$5&lt;=$G126),3,"")</f>
        <v/>
      </c>
      <c r="AZ126" s="34">
        <f>IF(AND(AZ$5&gt;=$F126,AZ$5&lt;=$G126),3,"")</f>
        <v/>
      </c>
      <c r="BA126" s="34">
        <f>IF(AND(BA$5&gt;=$F126,BA$5&lt;=$G126),3,"")</f>
        <v/>
      </c>
      <c r="BB126" s="34">
        <f>IF(AND(BB$5&gt;=$F126,BB$5&lt;=$G126),3,"")</f>
        <v/>
      </c>
      <c r="BC126" s="34">
        <f>IF(AND(BC$5&gt;=$F126,BC$5&lt;=$G126),3,"")</f>
        <v/>
      </c>
      <c r="BD126" s="34">
        <f>IF(AND(BD$5&gt;=$F126,BD$5&lt;=$G126),3,"")</f>
        <v/>
      </c>
      <c r="BE126" s="34">
        <f>IF(AND(BE$5&gt;=$F126,BE$5&lt;=$G126),3,"")</f>
        <v/>
      </c>
      <c r="BF126" s="34">
        <f>IF(AND(BF$5&gt;=$F126,BF$5&lt;=$G126),3,"")</f>
        <v/>
      </c>
      <c r="BG126" s="34">
        <f>IF(AND(BG$5&gt;=$F126,BG$5&lt;=$G126),3,"")</f>
        <v/>
      </c>
      <c r="BH126" s="34">
        <f>IF(AND(BH$5&gt;=$F126,BH$5&lt;=$G126),3,"")</f>
        <v/>
      </c>
      <c r="BI126" s="34">
        <f>IF(AND(BI$5&gt;=$F126,BI$5&lt;=$G126),3,"")</f>
        <v/>
      </c>
      <c r="BJ126" s="34">
        <f>IF(AND(BJ$5&gt;=$F126,BJ$5&lt;=$G126),3,"")</f>
        <v/>
      </c>
      <c r="BK126" s="34">
        <f>IF(AND(BK$5&gt;=$F126,BK$5&lt;=$G126),3,"")</f>
        <v/>
      </c>
      <c r="BL126" s="34">
        <f>IF(AND(BL$5&gt;=$F126,BL$5&lt;=$G126),3,"")</f>
        <v/>
      </c>
      <c r="BM126" s="34">
        <f>IF(AND(BM$5&gt;=$F126,BM$5&lt;=$G126),3,"")</f>
        <v/>
      </c>
      <c r="BN126" s="34">
        <f>IF(AND(BN$5&gt;=$F126,BN$5&lt;=$G126),3,"")</f>
        <v/>
      </c>
    </row>
    <row r="127" ht="14.25" customHeight="1" s="36">
      <c r="A127" s="13" t="inlineStr">
        <is>
          <t>3 Construcción</t>
        </is>
      </c>
      <c r="B127" s="13" t="inlineStr">
        <is>
          <t>3.10.2.4</t>
        </is>
      </c>
      <c r="C127" s="13" t="inlineStr">
        <is>
          <t>Informe de validación comparada durante la implementación (INN-02.P4, primera parte)</t>
        </is>
      </c>
      <c r="D127" s="13" t="inlineStr">
        <is>
          <t>E</t>
        </is>
      </c>
      <c r="E127" s="13" t="inlineStr">
        <is>
          <t>Calidad y pruebas</t>
        </is>
      </c>
      <c r="F127" s="13" t="n">
        <v>11</v>
      </c>
      <c r="G127" s="13" t="n">
        <v>15</v>
      </c>
      <c r="H127" s="13">
        <f>G127-F127+1</f>
        <v/>
      </c>
      <c r="I127" s="31" t="n">
        <v>240</v>
      </c>
      <c r="J127" s="13" t="inlineStr">
        <is>
          <t>Con entregable (detalle por planificación gradual)</t>
        </is>
      </c>
      <c r="K127" s="34">
        <f>IF(AND(K$5&gt;=$F127,K$5&lt;=$G127),3,"")</f>
        <v/>
      </c>
      <c r="L127" s="34">
        <f>IF(AND(L$5&gt;=$F127,L$5&lt;=$G127),3,"")</f>
        <v/>
      </c>
      <c r="M127" s="34">
        <f>IF(AND(M$5&gt;=$F127,M$5&lt;=$G127),3,"")</f>
        <v/>
      </c>
      <c r="N127" s="34">
        <f>IF(AND(N$5&gt;=$F127,N$5&lt;=$G127),3,"")</f>
        <v/>
      </c>
      <c r="O127" s="34">
        <f>IF(AND(O$5&gt;=$F127,O$5&lt;=$G127),3,"")</f>
        <v/>
      </c>
      <c r="P127" s="34">
        <f>IF(AND(P$5&gt;=$F127,P$5&lt;=$G127),3,"")</f>
        <v/>
      </c>
      <c r="Q127" s="34">
        <f>IF(AND(Q$5&gt;=$F127,Q$5&lt;=$G127),3,"")</f>
        <v/>
      </c>
      <c r="R127" s="34">
        <f>IF(AND(R$5&gt;=$F127,R$5&lt;=$G127),3,"")</f>
        <v/>
      </c>
      <c r="S127" s="34">
        <f>IF(AND(S$5&gt;=$F127,S$5&lt;=$G127),3,"")</f>
        <v/>
      </c>
      <c r="T127" s="34">
        <f>IF(AND(T$5&gt;=$F127,T$5&lt;=$G127),3,"")</f>
        <v/>
      </c>
      <c r="U127" s="34">
        <f>IF(AND(U$5&gt;=$F127,U$5&lt;=$G127),3,"")</f>
        <v/>
      </c>
      <c r="V127" s="34">
        <f>IF(AND(V$5&gt;=$F127,V$5&lt;=$G127),3,"")</f>
        <v/>
      </c>
      <c r="W127" s="34">
        <f>IF(AND(W$5&gt;=$F127,W$5&lt;=$G127),3,"")</f>
        <v/>
      </c>
      <c r="X127" s="34">
        <f>IF(AND(X$5&gt;=$F127,X$5&lt;=$G127),3,"")</f>
        <v/>
      </c>
      <c r="Y127" s="34">
        <f>IF(AND(Y$5&gt;=$F127,Y$5&lt;=$G127),3,"")</f>
        <v/>
      </c>
      <c r="Z127" s="34">
        <f>IF(AND(Z$5&gt;=$F127,Z$5&lt;=$G127),3,"")</f>
        <v/>
      </c>
      <c r="AA127" s="34">
        <f>IF(AND(AA$5&gt;=$F127,AA$5&lt;=$G127),3,"")</f>
        <v/>
      </c>
      <c r="AB127" s="34">
        <f>IF(AND(AB$5&gt;=$F127,AB$5&lt;=$G127),3,"")</f>
        <v/>
      </c>
      <c r="AC127" s="34">
        <f>IF(AND(AC$5&gt;=$F127,AC$5&lt;=$G127),3,"")</f>
        <v/>
      </c>
      <c r="AD127" s="34">
        <f>IF(AND(AD$5&gt;=$F127,AD$5&lt;=$G127),3,"")</f>
        <v/>
      </c>
      <c r="AE127" s="34">
        <f>IF(AND(AE$5&gt;=$F127,AE$5&lt;=$G127),3,"")</f>
        <v/>
      </c>
      <c r="AF127" s="34">
        <f>IF(AND(AF$5&gt;=$F127,AF$5&lt;=$G127),3,"")</f>
        <v/>
      </c>
      <c r="AG127" s="34">
        <f>IF(AND(AG$5&gt;=$F127,AG$5&lt;=$G127),3,"")</f>
        <v/>
      </c>
      <c r="AH127" s="34">
        <f>IF(AND(AH$5&gt;=$F127,AH$5&lt;=$G127),3,"")</f>
        <v/>
      </c>
      <c r="AI127" s="34">
        <f>IF(AND(AI$5&gt;=$F127,AI$5&lt;=$G127),3,"")</f>
        <v/>
      </c>
      <c r="AJ127" s="34">
        <f>IF(AND(AJ$5&gt;=$F127,AJ$5&lt;=$G127),3,"")</f>
        <v/>
      </c>
      <c r="AK127" s="34">
        <f>IF(AND(AK$5&gt;=$F127,AK$5&lt;=$G127),3,"")</f>
        <v/>
      </c>
      <c r="AL127" s="34">
        <f>IF(AND(AL$5&gt;=$F127,AL$5&lt;=$G127),3,"")</f>
        <v/>
      </c>
      <c r="AM127" s="34">
        <f>IF(AND(AM$5&gt;=$F127,AM$5&lt;=$G127),3,"")</f>
        <v/>
      </c>
      <c r="AN127" s="34">
        <f>IF(AND(AN$5&gt;=$F127,AN$5&lt;=$G127),3,"")</f>
        <v/>
      </c>
      <c r="AO127" s="34">
        <f>IF(AND(AO$5&gt;=$F127,AO$5&lt;=$G127),3,"")</f>
        <v/>
      </c>
      <c r="AP127" s="34">
        <f>IF(AND(AP$5&gt;=$F127,AP$5&lt;=$G127),3,"")</f>
        <v/>
      </c>
      <c r="AQ127" s="34">
        <f>IF(AND(AQ$5&gt;=$F127,AQ$5&lt;=$G127),3,"")</f>
        <v/>
      </c>
      <c r="AR127" s="34">
        <f>IF(AND(AR$5&gt;=$F127,AR$5&lt;=$G127),3,"")</f>
        <v/>
      </c>
      <c r="AS127" s="34">
        <f>IF(AND(AS$5&gt;=$F127,AS$5&lt;=$G127),3,"")</f>
        <v/>
      </c>
      <c r="AT127" s="34">
        <f>IF(AND(AT$5&gt;=$F127,AT$5&lt;=$G127),3,"")</f>
        <v/>
      </c>
      <c r="AU127" s="34">
        <f>IF(AND(AU$5&gt;=$F127,AU$5&lt;=$G127),3,"")</f>
        <v/>
      </c>
      <c r="AV127" s="34">
        <f>IF(AND(AV$5&gt;=$F127,AV$5&lt;=$G127),3,"")</f>
        <v/>
      </c>
      <c r="AW127" s="34">
        <f>IF(AND(AW$5&gt;=$F127,AW$5&lt;=$G127),3,"")</f>
        <v/>
      </c>
      <c r="AX127" s="34">
        <f>IF(AND(AX$5&gt;=$F127,AX$5&lt;=$G127),3,"")</f>
        <v/>
      </c>
      <c r="AY127" s="34">
        <f>IF(AND(AY$5&gt;=$F127,AY$5&lt;=$G127),3,"")</f>
        <v/>
      </c>
      <c r="AZ127" s="34">
        <f>IF(AND(AZ$5&gt;=$F127,AZ$5&lt;=$G127),3,"")</f>
        <v/>
      </c>
      <c r="BA127" s="34">
        <f>IF(AND(BA$5&gt;=$F127,BA$5&lt;=$G127),3,"")</f>
        <v/>
      </c>
      <c r="BB127" s="34">
        <f>IF(AND(BB$5&gt;=$F127,BB$5&lt;=$G127),3,"")</f>
        <v/>
      </c>
      <c r="BC127" s="34">
        <f>IF(AND(BC$5&gt;=$F127,BC$5&lt;=$G127),3,"")</f>
        <v/>
      </c>
      <c r="BD127" s="34">
        <f>IF(AND(BD$5&gt;=$F127,BD$5&lt;=$G127),3,"")</f>
        <v/>
      </c>
      <c r="BE127" s="34">
        <f>IF(AND(BE$5&gt;=$F127,BE$5&lt;=$G127),3,"")</f>
        <v/>
      </c>
      <c r="BF127" s="34">
        <f>IF(AND(BF$5&gt;=$F127,BF$5&lt;=$G127),3,"")</f>
        <v/>
      </c>
      <c r="BG127" s="34">
        <f>IF(AND(BG$5&gt;=$F127,BG$5&lt;=$G127),3,"")</f>
        <v/>
      </c>
      <c r="BH127" s="34">
        <f>IF(AND(BH$5&gt;=$F127,BH$5&lt;=$G127),3,"")</f>
        <v/>
      </c>
      <c r="BI127" s="34">
        <f>IF(AND(BI$5&gt;=$F127,BI$5&lt;=$G127),3,"")</f>
        <v/>
      </c>
      <c r="BJ127" s="34">
        <f>IF(AND(BJ$5&gt;=$F127,BJ$5&lt;=$G127),3,"")</f>
        <v/>
      </c>
      <c r="BK127" s="34">
        <f>IF(AND(BK$5&gt;=$F127,BK$5&lt;=$G127),3,"")</f>
        <v/>
      </c>
      <c r="BL127" s="34">
        <f>IF(AND(BL$5&gt;=$F127,BL$5&lt;=$G127),3,"")</f>
        <v/>
      </c>
      <c r="BM127" s="34">
        <f>IF(AND(BM$5&gt;=$F127,BM$5&lt;=$G127),3,"")</f>
        <v/>
      </c>
      <c r="BN127" s="34">
        <f>IF(AND(BN$5&gt;=$F127,BN$5&lt;=$G127),3,"")</f>
        <v/>
      </c>
    </row>
    <row r="128" ht="14.25" customHeight="1" s="36">
      <c r="A128" s="13" t="inlineStr">
        <is>
          <t>3 Construcción</t>
        </is>
      </c>
      <c r="B128" s="13" t="inlineStr">
        <is>
          <t>3.10.3.1</t>
        </is>
      </c>
      <c r="C128" s="13" t="inlineStr">
        <is>
          <t>Documento de familias priorizadas y parámetros aprobados (INN-03.P1)</t>
        </is>
      </c>
      <c r="D128" s="13" t="inlineStr">
        <is>
          <t>E</t>
        </is>
      </c>
      <c r="E128" s="13" t="inlineStr">
        <is>
          <t>Datos</t>
        </is>
      </c>
      <c r="F128" s="13" t="n">
        <v>3</v>
      </c>
      <c r="G128" s="13" t="n">
        <v>5</v>
      </c>
      <c r="H128" s="13">
        <f>G128-F128+1</f>
        <v/>
      </c>
      <c r="I128" s="31" t="n">
        <v>240</v>
      </c>
      <c r="J128" s="13" t="inlineStr">
        <is>
          <t>Con entregable (detalle por planificación gradual)</t>
        </is>
      </c>
      <c r="K128" s="34">
        <f>IF(AND(K$5&gt;=$F128,K$5&lt;=$G128),3,"")</f>
        <v/>
      </c>
      <c r="L128" s="34">
        <f>IF(AND(L$5&gt;=$F128,L$5&lt;=$G128),3,"")</f>
        <v/>
      </c>
      <c r="M128" s="34">
        <f>IF(AND(M$5&gt;=$F128,M$5&lt;=$G128),3,"")</f>
        <v/>
      </c>
      <c r="N128" s="34">
        <f>IF(AND(N$5&gt;=$F128,N$5&lt;=$G128),3,"")</f>
        <v/>
      </c>
      <c r="O128" s="34">
        <f>IF(AND(O$5&gt;=$F128,O$5&lt;=$G128),3,"")</f>
        <v/>
      </c>
      <c r="P128" s="34">
        <f>IF(AND(P$5&gt;=$F128,P$5&lt;=$G128),3,"")</f>
        <v/>
      </c>
      <c r="Q128" s="34">
        <f>IF(AND(Q$5&gt;=$F128,Q$5&lt;=$G128),3,"")</f>
        <v/>
      </c>
      <c r="R128" s="34">
        <f>IF(AND(R$5&gt;=$F128,R$5&lt;=$G128),3,"")</f>
        <v/>
      </c>
      <c r="S128" s="34">
        <f>IF(AND(S$5&gt;=$F128,S$5&lt;=$G128),3,"")</f>
        <v/>
      </c>
      <c r="T128" s="34">
        <f>IF(AND(T$5&gt;=$F128,T$5&lt;=$G128),3,"")</f>
        <v/>
      </c>
      <c r="U128" s="34">
        <f>IF(AND(U$5&gt;=$F128,U$5&lt;=$G128),3,"")</f>
        <v/>
      </c>
      <c r="V128" s="34">
        <f>IF(AND(V$5&gt;=$F128,V$5&lt;=$G128),3,"")</f>
        <v/>
      </c>
      <c r="W128" s="34">
        <f>IF(AND(W$5&gt;=$F128,W$5&lt;=$G128),3,"")</f>
        <v/>
      </c>
      <c r="X128" s="34">
        <f>IF(AND(X$5&gt;=$F128,X$5&lt;=$G128),3,"")</f>
        <v/>
      </c>
      <c r="Y128" s="34">
        <f>IF(AND(Y$5&gt;=$F128,Y$5&lt;=$G128),3,"")</f>
        <v/>
      </c>
      <c r="Z128" s="34">
        <f>IF(AND(Z$5&gt;=$F128,Z$5&lt;=$G128),3,"")</f>
        <v/>
      </c>
      <c r="AA128" s="34">
        <f>IF(AND(AA$5&gt;=$F128,AA$5&lt;=$G128),3,"")</f>
        <v/>
      </c>
      <c r="AB128" s="34">
        <f>IF(AND(AB$5&gt;=$F128,AB$5&lt;=$G128),3,"")</f>
        <v/>
      </c>
      <c r="AC128" s="34">
        <f>IF(AND(AC$5&gt;=$F128,AC$5&lt;=$G128),3,"")</f>
        <v/>
      </c>
      <c r="AD128" s="34">
        <f>IF(AND(AD$5&gt;=$F128,AD$5&lt;=$G128),3,"")</f>
        <v/>
      </c>
      <c r="AE128" s="34">
        <f>IF(AND(AE$5&gt;=$F128,AE$5&lt;=$G128),3,"")</f>
        <v/>
      </c>
      <c r="AF128" s="34">
        <f>IF(AND(AF$5&gt;=$F128,AF$5&lt;=$G128),3,"")</f>
        <v/>
      </c>
      <c r="AG128" s="34">
        <f>IF(AND(AG$5&gt;=$F128,AG$5&lt;=$G128),3,"")</f>
        <v/>
      </c>
      <c r="AH128" s="34">
        <f>IF(AND(AH$5&gt;=$F128,AH$5&lt;=$G128),3,"")</f>
        <v/>
      </c>
      <c r="AI128" s="34">
        <f>IF(AND(AI$5&gt;=$F128,AI$5&lt;=$G128),3,"")</f>
        <v/>
      </c>
      <c r="AJ128" s="34">
        <f>IF(AND(AJ$5&gt;=$F128,AJ$5&lt;=$G128),3,"")</f>
        <v/>
      </c>
      <c r="AK128" s="34">
        <f>IF(AND(AK$5&gt;=$F128,AK$5&lt;=$G128),3,"")</f>
        <v/>
      </c>
      <c r="AL128" s="34">
        <f>IF(AND(AL$5&gt;=$F128,AL$5&lt;=$G128),3,"")</f>
        <v/>
      </c>
      <c r="AM128" s="34">
        <f>IF(AND(AM$5&gt;=$F128,AM$5&lt;=$G128),3,"")</f>
        <v/>
      </c>
      <c r="AN128" s="34">
        <f>IF(AND(AN$5&gt;=$F128,AN$5&lt;=$G128),3,"")</f>
        <v/>
      </c>
      <c r="AO128" s="34">
        <f>IF(AND(AO$5&gt;=$F128,AO$5&lt;=$G128),3,"")</f>
        <v/>
      </c>
      <c r="AP128" s="34">
        <f>IF(AND(AP$5&gt;=$F128,AP$5&lt;=$G128),3,"")</f>
        <v/>
      </c>
      <c r="AQ128" s="34">
        <f>IF(AND(AQ$5&gt;=$F128,AQ$5&lt;=$G128),3,"")</f>
        <v/>
      </c>
      <c r="AR128" s="34">
        <f>IF(AND(AR$5&gt;=$F128,AR$5&lt;=$G128),3,"")</f>
        <v/>
      </c>
      <c r="AS128" s="34">
        <f>IF(AND(AS$5&gt;=$F128,AS$5&lt;=$G128),3,"")</f>
        <v/>
      </c>
      <c r="AT128" s="34">
        <f>IF(AND(AT$5&gt;=$F128,AT$5&lt;=$G128),3,"")</f>
        <v/>
      </c>
      <c r="AU128" s="34">
        <f>IF(AND(AU$5&gt;=$F128,AU$5&lt;=$G128),3,"")</f>
        <v/>
      </c>
      <c r="AV128" s="34">
        <f>IF(AND(AV$5&gt;=$F128,AV$5&lt;=$G128),3,"")</f>
        <v/>
      </c>
      <c r="AW128" s="34">
        <f>IF(AND(AW$5&gt;=$F128,AW$5&lt;=$G128),3,"")</f>
        <v/>
      </c>
      <c r="AX128" s="34">
        <f>IF(AND(AX$5&gt;=$F128,AX$5&lt;=$G128),3,"")</f>
        <v/>
      </c>
      <c r="AY128" s="34">
        <f>IF(AND(AY$5&gt;=$F128,AY$5&lt;=$G128),3,"")</f>
        <v/>
      </c>
      <c r="AZ128" s="34">
        <f>IF(AND(AZ$5&gt;=$F128,AZ$5&lt;=$G128),3,"")</f>
        <v/>
      </c>
      <c r="BA128" s="34">
        <f>IF(AND(BA$5&gt;=$F128,BA$5&lt;=$G128),3,"")</f>
        <v/>
      </c>
      <c r="BB128" s="34">
        <f>IF(AND(BB$5&gt;=$F128,BB$5&lt;=$G128),3,"")</f>
        <v/>
      </c>
      <c r="BC128" s="34">
        <f>IF(AND(BC$5&gt;=$F128,BC$5&lt;=$G128),3,"")</f>
        <v/>
      </c>
      <c r="BD128" s="34">
        <f>IF(AND(BD$5&gt;=$F128,BD$5&lt;=$G128),3,"")</f>
        <v/>
      </c>
      <c r="BE128" s="34">
        <f>IF(AND(BE$5&gt;=$F128,BE$5&lt;=$G128),3,"")</f>
        <v/>
      </c>
      <c r="BF128" s="34">
        <f>IF(AND(BF$5&gt;=$F128,BF$5&lt;=$G128),3,"")</f>
        <v/>
      </c>
      <c r="BG128" s="34">
        <f>IF(AND(BG$5&gt;=$F128,BG$5&lt;=$G128),3,"")</f>
        <v/>
      </c>
      <c r="BH128" s="34">
        <f>IF(AND(BH$5&gt;=$F128,BH$5&lt;=$G128),3,"")</f>
        <v/>
      </c>
      <c r="BI128" s="34">
        <f>IF(AND(BI$5&gt;=$F128,BI$5&lt;=$G128),3,"")</f>
        <v/>
      </c>
      <c r="BJ128" s="34">
        <f>IF(AND(BJ$5&gt;=$F128,BJ$5&lt;=$G128),3,"")</f>
        <v/>
      </c>
      <c r="BK128" s="34">
        <f>IF(AND(BK$5&gt;=$F128,BK$5&lt;=$G128),3,"")</f>
        <v/>
      </c>
      <c r="BL128" s="34">
        <f>IF(AND(BL$5&gt;=$F128,BL$5&lt;=$G128),3,"")</f>
        <v/>
      </c>
      <c r="BM128" s="34">
        <f>IF(AND(BM$5&gt;=$F128,BM$5&lt;=$G128),3,"")</f>
        <v/>
      </c>
      <c r="BN128" s="34">
        <f>IF(AND(BN$5&gt;=$F128,BN$5&lt;=$G128),3,"")</f>
        <v/>
      </c>
    </row>
    <row r="129" ht="14.25" customHeight="1" s="36">
      <c r="A129" s="13" t="inlineStr">
        <is>
          <t>3 Construcción</t>
        </is>
      </c>
      <c r="B129" s="13" t="inlineStr">
        <is>
          <t>3.10.3.2</t>
        </is>
      </c>
      <c r="C129" s="13" t="inlineStr">
        <is>
          <t>Asociación lote–sensor en el borde y en el camión (INN-03.P2)</t>
        </is>
      </c>
      <c r="D129" s="13" t="inlineStr">
        <is>
          <t>E</t>
        </is>
      </c>
      <c r="E129" s="13" t="inlineStr">
        <is>
          <t>Datos</t>
        </is>
      </c>
      <c r="F129" s="13" t="n">
        <v>5</v>
      </c>
      <c r="G129" s="13" t="n">
        <v>9</v>
      </c>
      <c r="H129" s="13">
        <f>G129-F129+1</f>
        <v/>
      </c>
      <c r="I129" s="31" t="n">
        <v>240</v>
      </c>
      <c r="J129" s="13" t="inlineStr">
        <is>
          <t>Con entregable (detalle por planificación gradual)</t>
        </is>
      </c>
      <c r="K129" s="34">
        <f>IF(AND(K$5&gt;=$F129,K$5&lt;=$G129),3,"")</f>
        <v/>
      </c>
      <c r="L129" s="34">
        <f>IF(AND(L$5&gt;=$F129,L$5&lt;=$G129),3,"")</f>
        <v/>
      </c>
      <c r="M129" s="34">
        <f>IF(AND(M$5&gt;=$F129,M$5&lt;=$G129),3,"")</f>
        <v/>
      </c>
      <c r="N129" s="34">
        <f>IF(AND(N$5&gt;=$F129,N$5&lt;=$G129),3,"")</f>
        <v/>
      </c>
      <c r="O129" s="34">
        <f>IF(AND(O$5&gt;=$F129,O$5&lt;=$G129),3,"")</f>
        <v/>
      </c>
      <c r="P129" s="34">
        <f>IF(AND(P$5&gt;=$F129,P$5&lt;=$G129),3,"")</f>
        <v/>
      </c>
      <c r="Q129" s="34">
        <f>IF(AND(Q$5&gt;=$F129,Q$5&lt;=$G129),3,"")</f>
        <v/>
      </c>
      <c r="R129" s="34">
        <f>IF(AND(R$5&gt;=$F129,R$5&lt;=$G129),3,"")</f>
        <v/>
      </c>
      <c r="S129" s="34">
        <f>IF(AND(S$5&gt;=$F129,S$5&lt;=$G129),3,"")</f>
        <v/>
      </c>
      <c r="T129" s="34">
        <f>IF(AND(T$5&gt;=$F129,T$5&lt;=$G129),3,"")</f>
        <v/>
      </c>
      <c r="U129" s="34">
        <f>IF(AND(U$5&gt;=$F129,U$5&lt;=$G129),3,"")</f>
        <v/>
      </c>
      <c r="V129" s="34">
        <f>IF(AND(V$5&gt;=$F129,V$5&lt;=$G129),3,"")</f>
        <v/>
      </c>
      <c r="W129" s="34">
        <f>IF(AND(W$5&gt;=$F129,W$5&lt;=$G129),3,"")</f>
        <v/>
      </c>
      <c r="X129" s="34">
        <f>IF(AND(X$5&gt;=$F129,X$5&lt;=$G129),3,"")</f>
        <v/>
      </c>
      <c r="Y129" s="34">
        <f>IF(AND(Y$5&gt;=$F129,Y$5&lt;=$G129),3,"")</f>
        <v/>
      </c>
      <c r="Z129" s="34">
        <f>IF(AND(Z$5&gt;=$F129,Z$5&lt;=$G129),3,"")</f>
        <v/>
      </c>
      <c r="AA129" s="34">
        <f>IF(AND(AA$5&gt;=$F129,AA$5&lt;=$G129),3,"")</f>
        <v/>
      </c>
      <c r="AB129" s="34">
        <f>IF(AND(AB$5&gt;=$F129,AB$5&lt;=$G129),3,"")</f>
        <v/>
      </c>
      <c r="AC129" s="34">
        <f>IF(AND(AC$5&gt;=$F129,AC$5&lt;=$G129),3,"")</f>
        <v/>
      </c>
      <c r="AD129" s="34">
        <f>IF(AND(AD$5&gt;=$F129,AD$5&lt;=$G129),3,"")</f>
        <v/>
      </c>
      <c r="AE129" s="34">
        <f>IF(AND(AE$5&gt;=$F129,AE$5&lt;=$G129),3,"")</f>
        <v/>
      </c>
      <c r="AF129" s="34">
        <f>IF(AND(AF$5&gt;=$F129,AF$5&lt;=$G129),3,"")</f>
        <v/>
      </c>
      <c r="AG129" s="34">
        <f>IF(AND(AG$5&gt;=$F129,AG$5&lt;=$G129),3,"")</f>
        <v/>
      </c>
      <c r="AH129" s="34">
        <f>IF(AND(AH$5&gt;=$F129,AH$5&lt;=$G129),3,"")</f>
        <v/>
      </c>
      <c r="AI129" s="34">
        <f>IF(AND(AI$5&gt;=$F129,AI$5&lt;=$G129),3,"")</f>
        <v/>
      </c>
      <c r="AJ129" s="34">
        <f>IF(AND(AJ$5&gt;=$F129,AJ$5&lt;=$G129),3,"")</f>
        <v/>
      </c>
      <c r="AK129" s="34">
        <f>IF(AND(AK$5&gt;=$F129,AK$5&lt;=$G129),3,"")</f>
        <v/>
      </c>
      <c r="AL129" s="34">
        <f>IF(AND(AL$5&gt;=$F129,AL$5&lt;=$G129),3,"")</f>
        <v/>
      </c>
      <c r="AM129" s="34">
        <f>IF(AND(AM$5&gt;=$F129,AM$5&lt;=$G129),3,"")</f>
        <v/>
      </c>
      <c r="AN129" s="34">
        <f>IF(AND(AN$5&gt;=$F129,AN$5&lt;=$G129),3,"")</f>
        <v/>
      </c>
      <c r="AO129" s="34">
        <f>IF(AND(AO$5&gt;=$F129,AO$5&lt;=$G129),3,"")</f>
        <v/>
      </c>
      <c r="AP129" s="34">
        <f>IF(AND(AP$5&gt;=$F129,AP$5&lt;=$G129),3,"")</f>
        <v/>
      </c>
      <c r="AQ129" s="34">
        <f>IF(AND(AQ$5&gt;=$F129,AQ$5&lt;=$G129),3,"")</f>
        <v/>
      </c>
      <c r="AR129" s="34">
        <f>IF(AND(AR$5&gt;=$F129,AR$5&lt;=$G129),3,"")</f>
        <v/>
      </c>
      <c r="AS129" s="34">
        <f>IF(AND(AS$5&gt;=$F129,AS$5&lt;=$G129),3,"")</f>
        <v/>
      </c>
      <c r="AT129" s="34">
        <f>IF(AND(AT$5&gt;=$F129,AT$5&lt;=$G129),3,"")</f>
        <v/>
      </c>
      <c r="AU129" s="34">
        <f>IF(AND(AU$5&gt;=$F129,AU$5&lt;=$G129),3,"")</f>
        <v/>
      </c>
      <c r="AV129" s="34">
        <f>IF(AND(AV$5&gt;=$F129,AV$5&lt;=$G129),3,"")</f>
        <v/>
      </c>
      <c r="AW129" s="34">
        <f>IF(AND(AW$5&gt;=$F129,AW$5&lt;=$G129),3,"")</f>
        <v/>
      </c>
      <c r="AX129" s="34">
        <f>IF(AND(AX$5&gt;=$F129,AX$5&lt;=$G129),3,"")</f>
        <v/>
      </c>
      <c r="AY129" s="34">
        <f>IF(AND(AY$5&gt;=$F129,AY$5&lt;=$G129),3,"")</f>
        <v/>
      </c>
      <c r="AZ129" s="34">
        <f>IF(AND(AZ$5&gt;=$F129,AZ$5&lt;=$G129),3,"")</f>
        <v/>
      </c>
      <c r="BA129" s="34">
        <f>IF(AND(BA$5&gt;=$F129,BA$5&lt;=$G129),3,"")</f>
        <v/>
      </c>
      <c r="BB129" s="34">
        <f>IF(AND(BB$5&gt;=$F129,BB$5&lt;=$G129),3,"")</f>
        <v/>
      </c>
      <c r="BC129" s="34">
        <f>IF(AND(BC$5&gt;=$F129,BC$5&lt;=$G129),3,"")</f>
        <v/>
      </c>
      <c r="BD129" s="34">
        <f>IF(AND(BD$5&gt;=$F129,BD$5&lt;=$G129),3,"")</f>
        <v/>
      </c>
      <c r="BE129" s="34">
        <f>IF(AND(BE$5&gt;=$F129,BE$5&lt;=$G129),3,"")</f>
        <v/>
      </c>
      <c r="BF129" s="34">
        <f>IF(AND(BF$5&gt;=$F129,BF$5&lt;=$G129),3,"")</f>
        <v/>
      </c>
      <c r="BG129" s="34">
        <f>IF(AND(BG$5&gt;=$F129,BG$5&lt;=$G129),3,"")</f>
        <v/>
      </c>
      <c r="BH129" s="34">
        <f>IF(AND(BH$5&gt;=$F129,BH$5&lt;=$G129),3,"")</f>
        <v/>
      </c>
      <c r="BI129" s="34">
        <f>IF(AND(BI$5&gt;=$F129,BI$5&lt;=$G129),3,"")</f>
        <v/>
      </c>
      <c r="BJ129" s="34">
        <f>IF(AND(BJ$5&gt;=$F129,BJ$5&lt;=$G129),3,"")</f>
        <v/>
      </c>
      <c r="BK129" s="34">
        <f>IF(AND(BK$5&gt;=$F129,BK$5&lt;=$G129),3,"")</f>
        <v/>
      </c>
      <c r="BL129" s="34">
        <f>IF(AND(BL$5&gt;=$F129,BL$5&lt;=$G129),3,"")</f>
        <v/>
      </c>
      <c r="BM129" s="34">
        <f>IF(AND(BM$5&gt;=$F129,BM$5&lt;=$G129),3,"")</f>
        <v/>
      </c>
      <c r="BN129" s="34">
        <f>IF(AND(BN$5&gt;=$F129,BN$5&lt;=$G129),3,"")</f>
        <v/>
      </c>
    </row>
    <row r="130" ht="14.25" customHeight="1" s="36">
      <c r="A130" s="13" t="inlineStr">
        <is>
          <t>3 Construcción</t>
        </is>
      </c>
      <c r="B130" s="13" t="inlineStr">
        <is>
          <t>3.10.3.3</t>
        </is>
      </c>
      <c r="C130" s="13" t="inlineStr">
        <is>
          <t>Vista en M9 y orden de salida sugerido (INN-03.P3)</t>
        </is>
      </c>
      <c r="D130" s="13" t="inlineStr">
        <is>
          <t>E</t>
        </is>
      </c>
      <c r="E130" s="13" t="inlineStr">
        <is>
          <t>Datos</t>
        </is>
      </c>
      <c r="F130" s="13" t="n">
        <v>9</v>
      </c>
      <c r="G130" s="13" t="n">
        <v>10</v>
      </c>
      <c r="H130" s="13">
        <f>G130-F130+1</f>
        <v/>
      </c>
      <c r="I130" s="31" t="n">
        <v>240</v>
      </c>
      <c r="J130" s="13" t="inlineStr">
        <is>
          <t>Con entregable (detalle por planificación gradual)</t>
        </is>
      </c>
      <c r="K130" s="34">
        <f>IF(AND(K$5&gt;=$F130,K$5&lt;=$G130),3,"")</f>
        <v/>
      </c>
      <c r="L130" s="34">
        <f>IF(AND(L$5&gt;=$F130,L$5&lt;=$G130),3,"")</f>
        <v/>
      </c>
      <c r="M130" s="34">
        <f>IF(AND(M$5&gt;=$F130,M$5&lt;=$G130),3,"")</f>
        <v/>
      </c>
      <c r="N130" s="34">
        <f>IF(AND(N$5&gt;=$F130,N$5&lt;=$G130),3,"")</f>
        <v/>
      </c>
      <c r="O130" s="34">
        <f>IF(AND(O$5&gt;=$F130,O$5&lt;=$G130),3,"")</f>
        <v/>
      </c>
      <c r="P130" s="34">
        <f>IF(AND(P$5&gt;=$F130,P$5&lt;=$G130),3,"")</f>
        <v/>
      </c>
      <c r="Q130" s="34">
        <f>IF(AND(Q$5&gt;=$F130,Q$5&lt;=$G130),3,"")</f>
        <v/>
      </c>
      <c r="R130" s="34">
        <f>IF(AND(R$5&gt;=$F130,R$5&lt;=$G130),3,"")</f>
        <v/>
      </c>
      <c r="S130" s="34">
        <f>IF(AND(S$5&gt;=$F130,S$5&lt;=$G130),3,"")</f>
        <v/>
      </c>
      <c r="T130" s="34">
        <f>IF(AND(T$5&gt;=$F130,T$5&lt;=$G130),3,"")</f>
        <v/>
      </c>
      <c r="U130" s="34">
        <f>IF(AND(U$5&gt;=$F130,U$5&lt;=$G130),3,"")</f>
        <v/>
      </c>
      <c r="V130" s="34">
        <f>IF(AND(V$5&gt;=$F130,V$5&lt;=$G130),3,"")</f>
        <v/>
      </c>
      <c r="W130" s="34">
        <f>IF(AND(W$5&gt;=$F130,W$5&lt;=$G130),3,"")</f>
        <v/>
      </c>
      <c r="X130" s="34">
        <f>IF(AND(X$5&gt;=$F130,X$5&lt;=$G130),3,"")</f>
        <v/>
      </c>
      <c r="Y130" s="34">
        <f>IF(AND(Y$5&gt;=$F130,Y$5&lt;=$G130),3,"")</f>
        <v/>
      </c>
      <c r="Z130" s="34">
        <f>IF(AND(Z$5&gt;=$F130,Z$5&lt;=$G130),3,"")</f>
        <v/>
      </c>
      <c r="AA130" s="34">
        <f>IF(AND(AA$5&gt;=$F130,AA$5&lt;=$G130),3,"")</f>
        <v/>
      </c>
      <c r="AB130" s="34">
        <f>IF(AND(AB$5&gt;=$F130,AB$5&lt;=$G130),3,"")</f>
        <v/>
      </c>
      <c r="AC130" s="34">
        <f>IF(AND(AC$5&gt;=$F130,AC$5&lt;=$G130),3,"")</f>
        <v/>
      </c>
      <c r="AD130" s="34">
        <f>IF(AND(AD$5&gt;=$F130,AD$5&lt;=$G130),3,"")</f>
        <v/>
      </c>
      <c r="AE130" s="34">
        <f>IF(AND(AE$5&gt;=$F130,AE$5&lt;=$G130),3,"")</f>
        <v/>
      </c>
      <c r="AF130" s="34">
        <f>IF(AND(AF$5&gt;=$F130,AF$5&lt;=$G130),3,"")</f>
        <v/>
      </c>
      <c r="AG130" s="34">
        <f>IF(AND(AG$5&gt;=$F130,AG$5&lt;=$G130),3,"")</f>
        <v/>
      </c>
      <c r="AH130" s="34">
        <f>IF(AND(AH$5&gt;=$F130,AH$5&lt;=$G130),3,"")</f>
        <v/>
      </c>
      <c r="AI130" s="34">
        <f>IF(AND(AI$5&gt;=$F130,AI$5&lt;=$G130),3,"")</f>
        <v/>
      </c>
      <c r="AJ130" s="34">
        <f>IF(AND(AJ$5&gt;=$F130,AJ$5&lt;=$G130),3,"")</f>
        <v/>
      </c>
      <c r="AK130" s="34">
        <f>IF(AND(AK$5&gt;=$F130,AK$5&lt;=$G130),3,"")</f>
        <v/>
      </c>
      <c r="AL130" s="34">
        <f>IF(AND(AL$5&gt;=$F130,AL$5&lt;=$G130),3,"")</f>
        <v/>
      </c>
      <c r="AM130" s="34">
        <f>IF(AND(AM$5&gt;=$F130,AM$5&lt;=$G130),3,"")</f>
        <v/>
      </c>
      <c r="AN130" s="34">
        <f>IF(AND(AN$5&gt;=$F130,AN$5&lt;=$G130),3,"")</f>
        <v/>
      </c>
      <c r="AO130" s="34">
        <f>IF(AND(AO$5&gt;=$F130,AO$5&lt;=$G130),3,"")</f>
        <v/>
      </c>
      <c r="AP130" s="34">
        <f>IF(AND(AP$5&gt;=$F130,AP$5&lt;=$G130),3,"")</f>
        <v/>
      </c>
      <c r="AQ130" s="34">
        <f>IF(AND(AQ$5&gt;=$F130,AQ$5&lt;=$G130),3,"")</f>
        <v/>
      </c>
      <c r="AR130" s="34">
        <f>IF(AND(AR$5&gt;=$F130,AR$5&lt;=$G130),3,"")</f>
        <v/>
      </c>
      <c r="AS130" s="34">
        <f>IF(AND(AS$5&gt;=$F130,AS$5&lt;=$G130),3,"")</f>
        <v/>
      </c>
      <c r="AT130" s="34">
        <f>IF(AND(AT$5&gt;=$F130,AT$5&lt;=$G130),3,"")</f>
        <v/>
      </c>
      <c r="AU130" s="34">
        <f>IF(AND(AU$5&gt;=$F130,AU$5&lt;=$G130),3,"")</f>
        <v/>
      </c>
      <c r="AV130" s="34">
        <f>IF(AND(AV$5&gt;=$F130,AV$5&lt;=$G130),3,"")</f>
        <v/>
      </c>
      <c r="AW130" s="34">
        <f>IF(AND(AW$5&gt;=$F130,AW$5&lt;=$G130),3,"")</f>
        <v/>
      </c>
      <c r="AX130" s="34">
        <f>IF(AND(AX$5&gt;=$F130,AX$5&lt;=$G130),3,"")</f>
        <v/>
      </c>
      <c r="AY130" s="34">
        <f>IF(AND(AY$5&gt;=$F130,AY$5&lt;=$G130),3,"")</f>
        <v/>
      </c>
      <c r="AZ130" s="34">
        <f>IF(AND(AZ$5&gt;=$F130,AZ$5&lt;=$G130),3,"")</f>
        <v/>
      </c>
      <c r="BA130" s="34">
        <f>IF(AND(BA$5&gt;=$F130,BA$5&lt;=$G130),3,"")</f>
        <v/>
      </c>
      <c r="BB130" s="34">
        <f>IF(AND(BB$5&gt;=$F130,BB$5&lt;=$G130),3,"")</f>
        <v/>
      </c>
      <c r="BC130" s="34">
        <f>IF(AND(BC$5&gt;=$F130,BC$5&lt;=$G130),3,"")</f>
        <v/>
      </c>
      <c r="BD130" s="34">
        <f>IF(AND(BD$5&gt;=$F130,BD$5&lt;=$G130),3,"")</f>
        <v/>
      </c>
      <c r="BE130" s="34">
        <f>IF(AND(BE$5&gt;=$F130,BE$5&lt;=$G130),3,"")</f>
        <v/>
      </c>
      <c r="BF130" s="34">
        <f>IF(AND(BF$5&gt;=$F130,BF$5&lt;=$G130),3,"")</f>
        <v/>
      </c>
      <c r="BG130" s="34">
        <f>IF(AND(BG$5&gt;=$F130,BG$5&lt;=$G130),3,"")</f>
        <v/>
      </c>
      <c r="BH130" s="34">
        <f>IF(AND(BH$5&gt;=$F130,BH$5&lt;=$G130),3,"")</f>
        <v/>
      </c>
      <c r="BI130" s="34">
        <f>IF(AND(BI$5&gt;=$F130,BI$5&lt;=$G130),3,"")</f>
        <v/>
      </c>
      <c r="BJ130" s="34">
        <f>IF(AND(BJ$5&gt;=$F130,BJ$5&lt;=$G130),3,"")</f>
        <v/>
      </c>
      <c r="BK130" s="34">
        <f>IF(AND(BK$5&gt;=$F130,BK$5&lt;=$G130),3,"")</f>
        <v/>
      </c>
      <c r="BL130" s="34">
        <f>IF(AND(BL$5&gt;=$F130,BL$5&lt;=$G130),3,"")</f>
        <v/>
      </c>
      <c r="BM130" s="34">
        <f>IF(AND(BM$5&gt;=$F130,BM$5&lt;=$G130),3,"")</f>
        <v/>
      </c>
      <c r="BN130" s="34">
        <f>IF(AND(BN$5&gt;=$F130,BN$5&lt;=$G130),3,"")</f>
        <v/>
      </c>
    </row>
    <row r="131" ht="14.25" customHeight="1" s="36">
      <c r="A131" s="13" t="inlineStr">
        <is>
          <t>3 Construcción</t>
        </is>
      </c>
      <c r="B131" s="13" t="inlineStr">
        <is>
          <t>3.10.3.4</t>
        </is>
      </c>
      <c r="C131" s="13" t="inlineStr">
        <is>
          <t>Informe de validación en marcha blanca con Calidad (INN-03.P4)</t>
        </is>
      </c>
      <c r="D131" s="13" t="inlineStr">
        <is>
          <t>E</t>
        </is>
      </c>
      <c r="E131" s="13" t="inlineStr">
        <is>
          <t>Datos</t>
        </is>
      </c>
      <c r="F131" s="13" t="n">
        <v>11</v>
      </c>
      <c r="G131" s="13" t="n">
        <v>15</v>
      </c>
      <c r="H131" s="13">
        <f>G131-F131+1</f>
        <v/>
      </c>
      <c r="I131" s="31" t="n">
        <v>240</v>
      </c>
      <c r="J131" s="13" t="inlineStr">
        <is>
          <t>Con entregable (detalle por planificación gradual)</t>
        </is>
      </c>
      <c r="K131" s="34">
        <f>IF(AND(K$5&gt;=$F131,K$5&lt;=$G131),3,"")</f>
        <v/>
      </c>
      <c r="L131" s="34">
        <f>IF(AND(L$5&gt;=$F131,L$5&lt;=$G131),3,"")</f>
        <v/>
      </c>
      <c r="M131" s="34">
        <f>IF(AND(M$5&gt;=$F131,M$5&lt;=$G131),3,"")</f>
        <v/>
      </c>
      <c r="N131" s="34">
        <f>IF(AND(N$5&gt;=$F131,N$5&lt;=$G131),3,"")</f>
        <v/>
      </c>
      <c r="O131" s="34">
        <f>IF(AND(O$5&gt;=$F131,O$5&lt;=$G131),3,"")</f>
        <v/>
      </c>
      <c r="P131" s="34">
        <f>IF(AND(P$5&gt;=$F131,P$5&lt;=$G131),3,"")</f>
        <v/>
      </c>
      <c r="Q131" s="34">
        <f>IF(AND(Q$5&gt;=$F131,Q$5&lt;=$G131),3,"")</f>
        <v/>
      </c>
      <c r="R131" s="34">
        <f>IF(AND(R$5&gt;=$F131,R$5&lt;=$G131),3,"")</f>
        <v/>
      </c>
      <c r="S131" s="34">
        <f>IF(AND(S$5&gt;=$F131,S$5&lt;=$G131),3,"")</f>
        <v/>
      </c>
      <c r="T131" s="34">
        <f>IF(AND(T$5&gt;=$F131,T$5&lt;=$G131),3,"")</f>
        <v/>
      </c>
      <c r="U131" s="34">
        <f>IF(AND(U$5&gt;=$F131,U$5&lt;=$G131),3,"")</f>
        <v/>
      </c>
      <c r="V131" s="34">
        <f>IF(AND(V$5&gt;=$F131,V$5&lt;=$G131),3,"")</f>
        <v/>
      </c>
      <c r="W131" s="34">
        <f>IF(AND(W$5&gt;=$F131,W$5&lt;=$G131),3,"")</f>
        <v/>
      </c>
      <c r="X131" s="34">
        <f>IF(AND(X$5&gt;=$F131,X$5&lt;=$G131),3,"")</f>
        <v/>
      </c>
      <c r="Y131" s="34">
        <f>IF(AND(Y$5&gt;=$F131,Y$5&lt;=$G131),3,"")</f>
        <v/>
      </c>
      <c r="Z131" s="34">
        <f>IF(AND(Z$5&gt;=$F131,Z$5&lt;=$G131),3,"")</f>
        <v/>
      </c>
      <c r="AA131" s="34">
        <f>IF(AND(AA$5&gt;=$F131,AA$5&lt;=$G131),3,"")</f>
        <v/>
      </c>
      <c r="AB131" s="34">
        <f>IF(AND(AB$5&gt;=$F131,AB$5&lt;=$G131),3,"")</f>
        <v/>
      </c>
      <c r="AC131" s="34">
        <f>IF(AND(AC$5&gt;=$F131,AC$5&lt;=$G131),3,"")</f>
        <v/>
      </c>
      <c r="AD131" s="34">
        <f>IF(AND(AD$5&gt;=$F131,AD$5&lt;=$G131),3,"")</f>
        <v/>
      </c>
      <c r="AE131" s="34">
        <f>IF(AND(AE$5&gt;=$F131,AE$5&lt;=$G131),3,"")</f>
        <v/>
      </c>
      <c r="AF131" s="34">
        <f>IF(AND(AF$5&gt;=$F131,AF$5&lt;=$G131),3,"")</f>
        <v/>
      </c>
      <c r="AG131" s="34">
        <f>IF(AND(AG$5&gt;=$F131,AG$5&lt;=$G131),3,"")</f>
        <v/>
      </c>
      <c r="AH131" s="34">
        <f>IF(AND(AH$5&gt;=$F131,AH$5&lt;=$G131),3,"")</f>
        <v/>
      </c>
      <c r="AI131" s="34">
        <f>IF(AND(AI$5&gt;=$F131,AI$5&lt;=$G131),3,"")</f>
        <v/>
      </c>
      <c r="AJ131" s="34">
        <f>IF(AND(AJ$5&gt;=$F131,AJ$5&lt;=$G131),3,"")</f>
        <v/>
      </c>
      <c r="AK131" s="34">
        <f>IF(AND(AK$5&gt;=$F131,AK$5&lt;=$G131),3,"")</f>
        <v/>
      </c>
      <c r="AL131" s="34">
        <f>IF(AND(AL$5&gt;=$F131,AL$5&lt;=$G131),3,"")</f>
        <v/>
      </c>
      <c r="AM131" s="34">
        <f>IF(AND(AM$5&gt;=$F131,AM$5&lt;=$G131),3,"")</f>
        <v/>
      </c>
      <c r="AN131" s="34">
        <f>IF(AND(AN$5&gt;=$F131,AN$5&lt;=$G131),3,"")</f>
        <v/>
      </c>
      <c r="AO131" s="34">
        <f>IF(AND(AO$5&gt;=$F131,AO$5&lt;=$G131),3,"")</f>
        <v/>
      </c>
      <c r="AP131" s="34">
        <f>IF(AND(AP$5&gt;=$F131,AP$5&lt;=$G131),3,"")</f>
        <v/>
      </c>
      <c r="AQ131" s="34">
        <f>IF(AND(AQ$5&gt;=$F131,AQ$5&lt;=$G131),3,"")</f>
        <v/>
      </c>
      <c r="AR131" s="34">
        <f>IF(AND(AR$5&gt;=$F131,AR$5&lt;=$G131),3,"")</f>
        <v/>
      </c>
      <c r="AS131" s="34">
        <f>IF(AND(AS$5&gt;=$F131,AS$5&lt;=$G131),3,"")</f>
        <v/>
      </c>
      <c r="AT131" s="34">
        <f>IF(AND(AT$5&gt;=$F131,AT$5&lt;=$G131),3,"")</f>
        <v/>
      </c>
      <c r="AU131" s="34">
        <f>IF(AND(AU$5&gt;=$F131,AU$5&lt;=$G131),3,"")</f>
        <v/>
      </c>
      <c r="AV131" s="34">
        <f>IF(AND(AV$5&gt;=$F131,AV$5&lt;=$G131),3,"")</f>
        <v/>
      </c>
      <c r="AW131" s="34">
        <f>IF(AND(AW$5&gt;=$F131,AW$5&lt;=$G131),3,"")</f>
        <v/>
      </c>
      <c r="AX131" s="34">
        <f>IF(AND(AX$5&gt;=$F131,AX$5&lt;=$G131),3,"")</f>
        <v/>
      </c>
      <c r="AY131" s="34">
        <f>IF(AND(AY$5&gt;=$F131,AY$5&lt;=$G131),3,"")</f>
        <v/>
      </c>
      <c r="AZ131" s="34">
        <f>IF(AND(AZ$5&gt;=$F131,AZ$5&lt;=$G131),3,"")</f>
        <v/>
      </c>
      <c r="BA131" s="34">
        <f>IF(AND(BA$5&gt;=$F131,BA$5&lt;=$G131),3,"")</f>
        <v/>
      </c>
      <c r="BB131" s="34">
        <f>IF(AND(BB$5&gt;=$F131,BB$5&lt;=$G131),3,"")</f>
        <v/>
      </c>
      <c r="BC131" s="34">
        <f>IF(AND(BC$5&gt;=$F131,BC$5&lt;=$G131),3,"")</f>
        <v/>
      </c>
      <c r="BD131" s="34">
        <f>IF(AND(BD$5&gt;=$F131,BD$5&lt;=$G131),3,"")</f>
        <v/>
      </c>
      <c r="BE131" s="34">
        <f>IF(AND(BE$5&gt;=$F131,BE$5&lt;=$G131),3,"")</f>
        <v/>
      </c>
      <c r="BF131" s="34">
        <f>IF(AND(BF$5&gt;=$F131,BF$5&lt;=$G131),3,"")</f>
        <v/>
      </c>
      <c r="BG131" s="34">
        <f>IF(AND(BG$5&gt;=$F131,BG$5&lt;=$G131),3,"")</f>
        <v/>
      </c>
      <c r="BH131" s="34">
        <f>IF(AND(BH$5&gt;=$F131,BH$5&lt;=$G131),3,"")</f>
        <v/>
      </c>
      <c r="BI131" s="34">
        <f>IF(AND(BI$5&gt;=$F131,BI$5&lt;=$G131),3,"")</f>
        <v/>
      </c>
      <c r="BJ131" s="34">
        <f>IF(AND(BJ$5&gt;=$F131,BJ$5&lt;=$G131),3,"")</f>
        <v/>
      </c>
      <c r="BK131" s="34">
        <f>IF(AND(BK$5&gt;=$F131,BK$5&lt;=$G131),3,"")</f>
        <v/>
      </c>
      <c r="BL131" s="34">
        <f>IF(AND(BL$5&gt;=$F131,BL$5&lt;=$G131),3,"")</f>
        <v/>
      </c>
      <c r="BM131" s="34">
        <f>IF(AND(BM$5&gt;=$F131,BM$5&lt;=$G131),3,"")</f>
        <v/>
      </c>
      <c r="BN131" s="34">
        <f>IF(AND(BN$5&gt;=$F131,BN$5&lt;=$G131),3,"")</f>
        <v/>
      </c>
    </row>
    <row r="132" ht="14.25" customHeight="1" s="36">
      <c r="A132" s="13" t="inlineStr">
        <is>
          <t>3 Construcción</t>
        </is>
      </c>
      <c r="B132" s="13" t="inlineStr">
        <is>
          <t>3.10.4.1</t>
        </is>
      </c>
      <c r="C132" s="13" t="inlineStr">
        <is>
          <t>Prototipo e informe de la prueba de comprensión (INN-05.P1)</t>
        </is>
      </c>
      <c r="D132" s="13" t="inlineStr">
        <is>
          <t>E</t>
        </is>
      </c>
      <c r="E132" s="13" t="inlineStr">
        <is>
          <t>Implantación y gestión del cambio</t>
        </is>
      </c>
      <c r="F132" s="13" t="n">
        <v>13</v>
      </c>
      <c r="G132" s="13" t="n">
        <v>14</v>
      </c>
      <c r="H132" s="13">
        <f>G132-F132+1</f>
        <v/>
      </c>
      <c r="I132" s="31" t="n">
        <v>240</v>
      </c>
      <c r="J132" s="13" t="inlineStr">
        <is>
          <t>Con entregable (detalle por planificación gradual)</t>
        </is>
      </c>
      <c r="K132" s="34">
        <f>IF(AND(K$5&gt;=$F132,K$5&lt;=$G132),3,"")</f>
        <v/>
      </c>
      <c r="L132" s="34">
        <f>IF(AND(L$5&gt;=$F132,L$5&lt;=$G132),3,"")</f>
        <v/>
      </c>
      <c r="M132" s="34">
        <f>IF(AND(M$5&gt;=$F132,M$5&lt;=$G132),3,"")</f>
        <v/>
      </c>
      <c r="N132" s="34">
        <f>IF(AND(N$5&gt;=$F132,N$5&lt;=$G132),3,"")</f>
        <v/>
      </c>
      <c r="O132" s="34">
        <f>IF(AND(O$5&gt;=$F132,O$5&lt;=$G132),3,"")</f>
        <v/>
      </c>
      <c r="P132" s="34">
        <f>IF(AND(P$5&gt;=$F132,P$5&lt;=$G132),3,"")</f>
        <v/>
      </c>
      <c r="Q132" s="34">
        <f>IF(AND(Q$5&gt;=$F132,Q$5&lt;=$G132),3,"")</f>
        <v/>
      </c>
      <c r="R132" s="34">
        <f>IF(AND(R$5&gt;=$F132,R$5&lt;=$G132),3,"")</f>
        <v/>
      </c>
      <c r="S132" s="34">
        <f>IF(AND(S$5&gt;=$F132,S$5&lt;=$G132),3,"")</f>
        <v/>
      </c>
      <c r="T132" s="34">
        <f>IF(AND(T$5&gt;=$F132,T$5&lt;=$G132),3,"")</f>
        <v/>
      </c>
      <c r="U132" s="34">
        <f>IF(AND(U$5&gt;=$F132,U$5&lt;=$G132),3,"")</f>
        <v/>
      </c>
      <c r="V132" s="34">
        <f>IF(AND(V$5&gt;=$F132,V$5&lt;=$G132),3,"")</f>
        <v/>
      </c>
      <c r="W132" s="34">
        <f>IF(AND(W$5&gt;=$F132,W$5&lt;=$G132),3,"")</f>
        <v/>
      </c>
      <c r="X132" s="34">
        <f>IF(AND(X$5&gt;=$F132,X$5&lt;=$G132),3,"")</f>
        <v/>
      </c>
      <c r="Y132" s="34">
        <f>IF(AND(Y$5&gt;=$F132,Y$5&lt;=$G132),3,"")</f>
        <v/>
      </c>
      <c r="Z132" s="34">
        <f>IF(AND(Z$5&gt;=$F132,Z$5&lt;=$G132),3,"")</f>
        <v/>
      </c>
      <c r="AA132" s="34">
        <f>IF(AND(AA$5&gt;=$F132,AA$5&lt;=$G132),3,"")</f>
        <v/>
      </c>
      <c r="AB132" s="34">
        <f>IF(AND(AB$5&gt;=$F132,AB$5&lt;=$G132),3,"")</f>
        <v/>
      </c>
      <c r="AC132" s="34">
        <f>IF(AND(AC$5&gt;=$F132,AC$5&lt;=$G132),3,"")</f>
        <v/>
      </c>
      <c r="AD132" s="34">
        <f>IF(AND(AD$5&gt;=$F132,AD$5&lt;=$G132),3,"")</f>
        <v/>
      </c>
      <c r="AE132" s="34">
        <f>IF(AND(AE$5&gt;=$F132,AE$5&lt;=$G132),3,"")</f>
        <v/>
      </c>
      <c r="AF132" s="34">
        <f>IF(AND(AF$5&gt;=$F132,AF$5&lt;=$G132),3,"")</f>
        <v/>
      </c>
      <c r="AG132" s="34">
        <f>IF(AND(AG$5&gt;=$F132,AG$5&lt;=$G132),3,"")</f>
        <v/>
      </c>
      <c r="AH132" s="34">
        <f>IF(AND(AH$5&gt;=$F132,AH$5&lt;=$G132),3,"")</f>
        <v/>
      </c>
      <c r="AI132" s="34">
        <f>IF(AND(AI$5&gt;=$F132,AI$5&lt;=$G132),3,"")</f>
        <v/>
      </c>
      <c r="AJ132" s="34">
        <f>IF(AND(AJ$5&gt;=$F132,AJ$5&lt;=$G132),3,"")</f>
        <v/>
      </c>
      <c r="AK132" s="34">
        <f>IF(AND(AK$5&gt;=$F132,AK$5&lt;=$G132),3,"")</f>
        <v/>
      </c>
      <c r="AL132" s="34">
        <f>IF(AND(AL$5&gt;=$F132,AL$5&lt;=$G132),3,"")</f>
        <v/>
      </c>
      <c r="AM132" s="34">
        <f>IF(AND(AM$5&gt;=$F132,AM$5&lt;=$G132),3,"")</f>
        <v/>
      </c>
      <c r="AN132" s="34">
        <f>IF(AND(AN$5&gt;=$F132,AN$5&lt;=$G132),3,"")</f>
        <v/>
      </c>
      <c r="AO132" s="34">
        <f>IF(AND(AO$5&gt;=$F132,AO$5&lt;=$G132),3,"")</f>
        <v/>
      </c>
      <c r="AP132" s="34">
        <f>IF(AND(AP$5&gt;=$F132,AP$5&lt;=$G132),3,"")</f>
        <v/>
      </c>
      <c r="AQ132" s="34">
        <f>IF(AND(AQ$5&gt;=$F132,AQ$5&lt;=$G132),3,"")</f>
        <v/>
      </c>
      <c r="AR132" s="34">
        <f>IF(AND(AR$5&gt;=$F132,AR$5&lt;=$G132),3,"")</f>
        <v/>
      </c>
      <c r="AS132" s="34">
        <f>IF(AND(AS$5&gt;=$F132,AS$5&lt;=$G132),3,"")</f>
        <v/>
      </c>
      <c r="AT132" s="34">
        <f>IF(AND(AT$5&gt;=$F132,AT$5&lt;=$G132),3,"")</f>
        <v/>
      </c>
      <c r="AU132" s="34">
        <f>IF(AND(AU$5&gt;=$F132,AU$5&lt;=$G132),3,"")</f>
        <v/>
      </c>
      <c r="AV132" s="34">
        <f>IF(AND(AV$5&gt;=$F132,AV$5&lt;=$G132),3,"")</f>
        <v/>
      </c>
      <c r="AW132" s="34">
        <f>IF(AND(AW$5&gt;=$F132,AW$5&lt;=$G132),3,"")</f>
        <v/>
      </c>
      <c r="AX132" s="34">
        <f>IF(AND(AX$5&gt;=$F132,AX$5&lt;=$G132),3,"")</f>
        <v/>
      </c>
      <c r="AY132" s="34">
        <f>IF(AND(AY$5&gt;=$F132,AY$5&lt;=$G132),3,"")</f>
        <v/>
      </c>
      <c r="AZ132" s="34">
        <f>IF(AND(AZ$5&gt;=$F132,AZ$5&lt;=$G132),3,"")</f>
        <v/>
      </c>
      <c r="BA132" s="34">
        <f>IF(AND(BA$5&gt;=$F132,BA$5&lt;=$G132),3,"")</f>
        <v/>
      </c>
      <c r="BB132" s="34">
        <f>IF(AND(BB$5&gt;=$F132,BB$5&lt;=$G132),3,"")</f>
        <v/>
      </c>
      <c r="BC132" s="34">
        <f>IF(AND(BC$5&gt;=$F132,BC$5&lt;=$G132),3,"")</f>
        <v/>
      </c>
      <c r="BD132" s="34">
        <f>IF(AND(BD$5&gt;=$F132,BD$5&lt;=$G132),3,"")</f>
        <v/>
      </c>
      <c r="BE132" s="34">
        <f>IF(AND(BE$5&gt;=$F132,BE$5&lt;=$G132),3,"")</f>
        <v/>
      </c>
      <c r="BF132" s="34">
        <f>IF(AND(BF$5&gt;=$F132,BF$5&lt;=$G132),3,"")</f>
        <v/>
      </c>
      <c r="BG132" s="34">
        <f>IF(AND(BG$5&gt;=$F132,BG$5&lt;=$G132),3,"")</f>
        <v/>
      </c>
      <c r="BH132" s="34">
        <f>IF(AND(BH$5&gt;=$F132,BH$5&lt;=$G132),3,"")</f>
        <v/>
      </c>
      <c r="BI132" s="34">
        <f>IF(AND(BI$5&gt;=$F132,BI$5&lt;=$G132),3,"")</f>
        <v/>
      </c>
      <c r="BJ132" s="34">
        <f>IF(AND(BJ$5&gt;=$F132,BJ$5&lt;=$G132),3,"")</f>
        <v/>
      </c>
      <c r="BK132" s="34">
        <f>IF(AND(BK$5&gt;=$F132,BK$5&lt;=$G132),3,"")</f>
        <v/>
      </c>
      <c r="BL132" s="34">
        <f>IF(AND(BL$5&gt;=$F132,BL$5&lt;=$G132),3,"")</f>
        <v/>
      </c>
      <c r="BM132" s="34">
        <f>IF(AND(BM$5&gt;=$F132,BM$5&lt;=$G132),3,"")</f>
        <v/>
      </c>
      <c r="BN132" s="34">
        <f>IF(AND(BN$5&gt;=$F132,BN$5&lt;=$G132),3,"")</f>
        <v/>
      </c>
    </row>
    <row r="133" ht="14.25" customHeight="1" s="36">
      <c r="A133" s="13" t="inlineStr">
        <is>
          <t>3 Construcción</t>
        </is>
      </c>
      <c r="B133" s="13" t="inlineStr">
        <is>
          <t>3.10.4.2</t>
        </is>
      </c>
      <c r="C133" s="13" t="inlineStr">
        <is>
          <t>Evaluación de privacidad y diseño de la impresión en cabina (INN-05.P2)</t>
        </is>
      </c>
      <c r="D133" s="13" t="inlineStr">
        <is>
          <t>E</t>
        </is>
      </c>
      <c r="E133" s="13" t="inlineStr">
        <is>
          <t>Implantación y gestión del cambio</t>
        </is>
      </c>
      <c r="F133" s="13" t="n">
        <v>14</v>
      </c>
      <c r="G133" s="13" t="n">
        <v>15</v>
      </c>
      <c r="H133" s="13">
        <f>G133-F133+1</f>
        <v/>
      </c>
      <c r="I133" s="31" t="n">
        <v>240</v>
      </c>
      <c r="J133" s="13" t="inlineStr">
        <is>
          <t>Con entregable (detalle por planificación gradual)</t>
        </is>
      </c>
      <c r="K133" s="34">
        <f>IF(AND(K$5&gt;=$F133,K$5&lt;=$G133),3,"")</f>
        <v/>
      </c>
      <c r="L133" s="34">
        <f>IF(AND(L$5&gt;=$F133,L$5&lt;=$G133),3,"")</f>
        <v/>
      </c>
      <c r="M133" s="34">
        <f>IF(AND(M$5&gt;=$F133,M$5&lt;=$G133),3,"")</f>
        <v/>
      </c>
      <c r="N133" s="34">
        <f>IF(AND(N$5&gt;=$F133,N$5&lt;=$G133),3,"")</f>
        <v/>
      </c>
      <c r="O133" s="34">
        <f>IF(AND(O$5&gt;=$F133,O$5&lt;=$G133),3,"")</f>
        <v/>
      </c>
      <c r="P133" s="34">
        <f>IF(AND(P$5&gt;=$F133,P$5&lt;=$G133),3,"")</f>
        <v/>
      </c>
      <c r="Q133" s="34">
        <f>IF(AND(Q$5&gt;=$F133,Q$5&lt;=$G133),3,"")</f>
        <v/>
      </c>
      <c r="R133" s="34">
        <f>IF(AND(R$5&gt;=$F133,R$5&lt;=$G133),3,"")</f>
        <v/>
      </c>
      <c r="S133" s="34">
        <f>IF(AND(S$5&gt;=$F133,S$5&lt;=$G133),3,"")</f>
        <v/>
      </c>
      <c r="T133" s="34">
        <f>IF(AND(T$5&gt;=$F133,T$5&lt;=$G133),3,"")</f>
        <v/>
      </c>
      <c r="U133" s="34">
        <f>IF(AND(U$5&gt;=$F133,U$5&lt;=$G133),3,"")</f>
        <v/>
      </c>
      <c r="V133" s="34">
        <f>IF(AND(V$5&gt;=$F133,V$5&lt;=$G133),3,"")</f>
        <v/>
      </c>
      <c r="W133" s="34">
        <f>IF(AND(W$5&gt;=$F133,W$5&lt;=$G133),3,"")</f>
        <v/>
      </c>
      <c r="X133" s="34">
        <f>IF(AND(X$5&gt;=$F133,X$5&lt;=$G133),3,"")</f>
        <v/>
      </c>
      <c r="Y133" s="34">
        <f>IF(AND(Y$5&gt;=$F133,Y$5&lt;=$G133),3,"")</f>
        <v/>
      </c>
      <c r="Z133" s="34">
        <f>IF(AND(Z$5&gt;=$F133,Z$5&lt;=$G133),3,"")</f>
        <v/>
      </c>
      <c r="AA133" s="34">
        <f>IF(AND(AA$5&gt;=$F133,AA$5&lt;=$G133),3,"")</f>
        <v/>
      </c>
      <c r="AB133" s="34">
        <f>IF(AND(AB$5&gt;=$F133,AB$5&lt;=$G133),3,"")</f>
        <v/>
      </c>
      <c r="AC133" s="34">
        <f>IF(AND(AC$5&gt;=$F133,AC$5&lt;=$G133),3,"")</f>
        <v/>
      </c>
      <c r="AD133" s="34">
        <f>IF(AND(AD$5&gt;=$F133,AD$5&lt;=$G133),3,"")</f>
        <v/>
      </c>
      <c r="AE133" s="34">
        <f>IF(AND(AE$5&gt;=$F133,AE$5&lt;=$G133),3,"")</f>
        <v/>
      </c>
      <c r="AF133" s="34">
        <f>IF(AND(AF$5&gt;=$F133,AF$5&lt;=$G133),3,"")</f>
        <v/>
      </c>
      <c r="AG133" s="34">
        <f>IF(AND(AG$5&gt;=$F133,AG$5&lt;=$G133),3,"")</f>
        <v/>
      </c>
      <c r="AH133" s="34">
        <f>IF(AND(AH$5&gt;=$F133,AH$5&lt;=$G133),3,"")</f>
        <v/>
      </c>
      <c r="AI133" s="34">
        <f>IF(AND(AI$5&gt;=$F133,AI$5&lt;=$G133),3,"")</f>
        <v/>
      </c>
      <c r="AJ133" s="34">
        <f>IF(AND(AJ$5&gt;=$F133,AJ$5&lt;=$G133),3,"")</f>
        <v/>
      </c>
      <c r="AK133" s="34">
        <f>IF(AND(AK$5&gt;=$F133,AK$5&lt;=$G133),3,"")</f>
        <v/>
      </c>
      <c r="AL133" s="34">
        <f>IF(AND(AL$5&gt;=$F133,AL$5&lt;=$G133),3,"")</f>
        <v/>
      </c>
      <c r="AM133" s="34">
        <f>IF(AND(AM$5&gt;=$F133,AM$5&lt;=$G133),3,"")</f>
        <v/>
      </c>
      <c r="AN133" s="34">
        <f>IF(AND(AN$5&gt;=$F133,AN$5&lt;=$G133),3,"")</f>
        <v/>
      </c>
      <c r="AO133" s="34">
        <f>IF(AND(AO$5&gt;=$F133,AO$5&lt;=$G133),3,"")</f>
        <v/>
      </c>
      <c r="AP133" s="34">
        <f>IF(AND(AP$5&gt;=$F133,AP$5&lt;=$G133),3,"")</f>
        <v/>
      </c>
      <c r="AQ133" s="34">
        <f>IF(AND(AQ$5&gt;=$F133,AQ$5&lt;=$G133),3,"")</f>
        <v/>
      </c>
      <c r="AR133" s="34">
        <f>IF(AND(AR$5&gt;=$F133,AR$5&lt;=$G133),3,"")</f>
        <v/>
      </c>
      <c r="AS133" s="34">
        <f>IF(AND(AS$5&gt;=$F133,AS$5&lt;=$G133),3,"")</f>
        <v/>
      </c>
      <c r="AT133" s="34">
        <f>IF(AND(AT$5&gt;=$F133,AT$5&lt;=$G133),3,"")</f>
        <v/>
      </c>
      <c r="AU133" s="34">
        <f>IF(AND(AU$5&gt;=$F133,AU$5&lt;=$G133),3,"")</f>
        <v/>
      </c>
      <c r="AV133" s="34">
        <f>IF(AND(AV$5&gt;=$F133,AV$5&lt;=$G133),3,"")</f>
        <v/>
      </c>
      <c r="AW133" s="34">
        <f>IF(AND(AW$5&gt;=$F133,AW$5&lt;=$G133),3,"")</f>
        <v/>
      </c>
      <c r="AX133" s="34">
        <f>IF(AND(AX$5&gt;=$F133,AX$5&lt;=$G133),3,"")</f>
        <v/>
      </c>
      <c r="AY133" s="34">
        <f>IF(AND(AY$5&gt;=$F133,AY$5&lt;=$G133),3,"")</f>
        <v/>
      </c>
      <c r="AZ133" s="34">
        <f>IF(AND(AZ$5&gt;=$F133,AZ$5&lt;=$G133),3,"")</f>
        <v/>
      </c>
      <c r="BA133" s="34">
        <f>IF(AND(BA$5&gt;=$F133,BA$5&lt;=$G133),3,"")</f>
        <v/>
      </c>
      <c r="BB133" s="34">
        <f>IF(AND(BB$5&gt;=$F133,BB$5&lt;=$G133),3,"")</f>
        <v/>
      </c>
      <c r="BC133" s="34">
        <f>IF(AND(BC$5&gt;=$F133,BC$5&lt;=$G133),3,"")</f>
        <v/>
      </c>
      <c r="BD133" s="34">
        <f>IF(AND(BD$5&gt;=$F133,BD$5&lt;=$G133),3,"")</f>
        <v/>
      </c>
      <c r="BE133" s="34">
        <f>IF(AND(BE$5&gt;=$F133,BE$5&lt;=$G133),3,"")</f>
        <v/>
      </c>
      <c r="BF133" s="34">
        <f>IF(AND(BF$5&gt;=$F133,BF$5&lt;=$G133),3,"")</f>
        <v/>
      </c>
      <c r="BG133" s="34">
        <f>IF(AND(BG$5&gt;=$F133,BG$5&lt;=$G133),3,"")</f>
        <v/>
      </c>
      <c r="BH133" s="34">
        <f>IF(AND(BH$5&gt;=$F133,BH$5&lt;=$G133),3,"")</f>
        <v/>
      </c>
      <c r="BI133" s="34">
        <f>IF(AND(BI$5&gt;=$F133,BI$5&lt;=$G133),3,"")</f>
        <v/>
      </c>
      <c r="BJ133" s="34">
        <f>IF(AND(BJ$5&gt;=$F133,BJ$5&lt;=$G133),3,"")</f>
        <v/>
      </c>
      <c r="BK133" s="34">
        <f>IF(AND(BK$5&gt;=$F133,BK$5&lt;=$G133),3,"")</f>
        <v/>
      </c>
      <c r="BL133" s="34">
        <f>IF(AND(BL$5&gt;=$F133,BL$5&lt;=$G133),3,"")</f>
        <v/>
      </c>
      <c r="BM133" s="34">
        <f>IF(AND(BM$5&gt;=$F133,BM$5&lt;=$G133),3,"")</f>
        <v/>
      </c>
      <c r="BN133" s="34">
        <f>IF(AND(BN$5&gt;=$F133,BN$5&lt;=$G133),3,"")</f>
        <v/>
      </c>
    </row>
    <row r="134" ht="14.25" customHeight="1" s="36">
      <c r="A134" s="13" t="inlineStr">
        <is>
          <t>3 Construcción</t>
        </is>
      </c>
      <c r="B134" s="13" t="inlineStr">
        <is>
          <t>3.10.4.3</t>
        </is>
      </c>
      <c r="C134" s="13" t="inlineStr">
        <is>
          <t>Cálculo y bloques 1 a 3 de la hoja de negocio (INN-05.P3)</t>
        </is>
      </c>
      <c r="D134" s="13" t="inlineStr">
        <is>
          <t>E</t>
        </is>
      </c>
      <c r="E134" s="13" t="inlineStr">
        <is>
          <t>Implantación y gestión del cambio</t>
        </is>
      </c>
      <c r="F134" s="13" t="n">
        <v>15</v>
      </c>
      <c r="G134" s="13" t="n">
        <v>17</v>
      </c>
      <c r="H134" s="13">
        <f>G134-F134+1</f>
        <v/>
      </c>
      <c r="I134" s="31" t="n">
        <v>240</v>
      </c>
      <c r="J134" s="13" t="inlineStr">
        <is>
          <t>Con entregable (detalle por planificación gradual)</t>
        </is>
      </c>
      <c r="K134" s="34">
        <f>IF(AND(K$5&gt;=$F134,K$5&lt;=$G134),3,"")</f>
        <v/>
      </c>
      <c r="L134" s="34">
        <f>IF(AND(L$5&gt;=$F134,L$5&lt;=$G134),3,"")</f>
        <v/>
      </c>
      <c r="M134" s="34">
        <f>IF(AND(M$5&gt;=$F134,M$5&lt;=$G134),3,"")</f>
        <v/>
      </c>
      <c r="N134" s="34">
        <f>IF(AND(N$5&gt;=$F134,N$5&lt;=$G134),3,"")</f>
        <v/>
      </c>
      <c r="O134" s="34">
        <f>IF(AND(O$5&gt;=$F134,O$5&lt;=$G134),3,"")</f>
        <v/>
      </c>
      <c r="P134" s="34">
        <f>IF(AND(P$5&gt;=$F134,P$5&lt;=$G134),3,"")</f>
        <v/>
      </c>
      <c r="Q134" s="34">
        <f>IF(AND(Q$5&gt;=$F134,Q$5&lt;=$G134),3,"")</f>
        <v/>
      </c>
      <c r="R134" s="34">
        <f>IF(AND(R$5&gt;=$F134,R$5&lt;=$G134),3,"")</f>
        <v/>
      </c>
      <c r="S134" s="34">
        <f>IF(AND(S$5&gt;=$F134,S$5&lt;=$G134),3,"")</f>
        <v/>
      </c>
      <c r="T134" s="34">
        <f>IF(AND(T$5&gt;=$F134,T$5&lt;=$G134),3,"")</f>
        <v/>
      </c>
      <c r="U134" s="34">
        <f>IF(AND(U$5&gt;=$F134,U$5&lt;=$G134),3,"")</f>
        <v/>
      </c>
      <c r="V134" s="34">
        <f>IF(AND(V$5&gt;=$F134,V$5&lt;=$G134),3,"")</f>
        <v/>
      </c>
      <c r="W134" s="34">
        <f>IF(AND(W$5&gt;=$F134,W$5&lt;=$G134),3,"")</f>
        <v/>
      </c>
      <c r="X134" s="34">
        <f>IF(AND(X$5&gt;=$F134,X$5&lt;=$G134),3,"")</f>
        <v/>
      </c>
      <c r="Y134" s="34">
        <f>IF(AND(Y$5&gt;=$F134,Y$5&lt;=$G134),3,"")</f>
        <v/>
      </c>
      <c r="Z134" s="34">
        <f>IF(AND(Z$5&gt;=$F134,Z$5&lt;=$G134),3,"")</f>
        <v/>
      </c>
      <c r="AA134" s="34">
        <f>IF(AND(AA$5&gt;=$F134,AA$5&lt;=$G134),3,"")</f>
        <v/>
      </c>
      <c r="AB134" s="34">
        <f>IF(AND(AB$5&gt;=$F134,AB$5&lt;=$G134),3,"")</f>
        <v/>
      </c>
      <c r="AC134" s="34">
        <f>IF(AND(AC$5&gt;=$F134,AC$5&lt;=$G134),3,"")</f>
        <v/>
      </c>
      <c r="AD134" s="34">
        <f>IF(AND(AD$5&gt;=$F134,AD$5&lt;=$G134),3,"")</f>
        <v/>
      </c>
      <c r="AE134" s="34">
        <f>IF(AND(AE$5&gt;=$F134,AE$5&lt;=$G134),3,"")</f>
        <v/>
      </c>
      <c r="AF134" s="34">
        <f>IF(AND(AF$5&gt;=$F134,AF$5&lt;=$G134),3,"")</f>
        <v/>
      </c>
      <c r="AG134" s="34">
        <f>IF(AND(AG$5&gt;=$F134,AG$5&lt;=$G134),3,"")</f>
        <v/>
      </c>
      <c r="AH134" s="34">
        <f>IF(AND(AH$5&gt;=$F134,AH$5&lt;=$G134),3,"")</f>
        <v/>
      </c>
      <c r="AI134" s="34">
        <f>IF(AND(AI$5&gt;=$F134,AI$5&lt;=$G134),3,"")</f>
        <v/>
      </c>
      <c r="AJ134" s="34">
        <f>IF(AND(AJ$5&gt;=$F134,AJ$5&lt;=$G134),3,"")</f>
        <v/>
      </c>
      <c r="AK134" s="34">
        <f>IF(AND(AK$5&gt;=$F134,AK$5&lt;=$G134),3,"")</f>
        <v/>
      </c>
      <c r="AL134" s="34">
        <f>IF(AND(AL$5&gt;=$F134,AL$5&lt;=$G134),3,"")</f>
        <v/>
      </c>
      <c r="AM134" s="34">
        <f>IF(AND(AM$5&gt;=$F134,AM$5&lt;=$G134),3,"")</f>
        <v/>
      </c>
      <c r="AN134" s="34">
        <f>IF(AND(AN$5&gt;=$F134,AN$5&lt;=$G134),3,"")</f>
        <v/>
      </c>
      <c r="AO134" s="34">
        <f>IF(AND(AO$5&gt;=$F134,AO$5&lt;=$G134),3,"")</f>
        <v/>
      </c>
      <c r="AP134" s="34">
        <f>IF(AND(AP$5&gt;=$F134,AP$5&lt;=$G134),3,"")</f>
        <v/>
      </c>
      <c r="AQ134" s="34">
        <f>IF(AND(AQ$5&gt;=$F134,AQ$5&lt;=$G134),3,"")</f>
        <v/>
      </c>
      <c r="AR134" s="34">
        <f>IF(AND(AR$5&gt;=$F134,AR$5&lt;=$G134),3,"")</f>
        <v/>
      </c>
      <c r="AS134" s="34">
        <f>IF(AND(AS$5&gt;=$F134,AS$5&lt;=$G134),3,"")</f>
        <v/>
      </c>
      <c r="AT134" s="34">
        <f>IF(AND(AT$5&gt;=$F134,AT$5&lt;=$G134),3,"")</f>
        <v/>
      </c>
      <c r="AU134" s="34">
        <f>IF(AND(AU$5&gt;=$F134,AU$5&lt;=$G134),3,"")</f>
        <v/>
      </c>
      <c r="AV134" s="34">
        <f>IF(AND(AV$5&gt;=$F134,AV$5&lt;=$G134),3,"")</f>
        <v/>
      </c>
      <c r="AW134" s="34">
        <f>IF(AND(AW$5&gt;=$F134,AW$5&lt;=$G134),3,"")</f>
        <v/>
      </c>
      <c r="AX134" s="34">
        <f>IF(AND(AX$5&gt;=$F134,AX$5&lt;=$G134),3,"")</f>
        <v/>
      </c>
      <c r="AY134" s="34">
        <f>IF(AND(AY$5&gt;=$F134,AY$5&lt;=$G134),3,"")</f>
        <v/>
      </c>
      <c r="AZ134" s="34">
        <f>IF(AND(AZ$5&gt;=$F134,AZ$5&lt;=$G134),3,"")</f>
        <v/>
      </c>
      <c r="BA134" s="34">
        <f>IF(AND(BA$5&gt;=$F134,BA$5&lt;=$G134),3,"")</f>
        <v/>
      </c>
      <c r="BB134" s="34">
        <f>IF(AND(BB$5&gt;=$F134,BB$5&lt;=$G134),3,"")</f>
        <v/>
      </c>
      <c r="BC134" s="34">
        <f>IF(AND(BC$5&gt;=$F134,BC$5&lt;=$G134),3,"")</f>
        <v/>
      </c>
      <c r="BD134" s="34">
        <f>IF(AND(BD$5&gt;=$F134,BD$5&lt;=$G134),3,"")</f>
        <v/>
      </c>
      <c r="BE134" s="34">
        <f>IF(AND(BE$5&gt;=$F134,BE$5&lt;=$G134),3,"")</f>
        <v/>
      </c>
      <c r="BF134" s="34">
        <f>IF(AND(BF$5&gt;=$F134,BF$5&lt;=$G134),3,"")</f>
        <v/>
      </c>
      <c r="BG134" s="34">
        <f>IF(AND(BG$5&gt;=$F134,BG$5&lt;=$G134),3,"")</f>
        <v/>
      </c>
      <c r="BH134" s="34">
        <f>IF(AND(BH$5&gt;=$F134,BH$5&lt;=$G134),3,"")</f>
        <v/>
      </c>
      <c r="BI134" s="34">
        <f>IF(AND(BI$5&gt;=$F134,BI$5&lt;=$G134),3,"")</f>
        <v/>
      </c>
      <c r="BJ134" s="34">
        <f>IF(AND(BJ$5&gt;=$F134,BJ$5&lt;=$G134),3,"")</f>
        <v/>
      </c>
      <c r="BK134" s="34">
        <f>IF(AND(BK$5&gt;=$F134,BK$5&lt;=$G134),3,"")</f>
        <v/>
      </c>
      <c r="BL134" s="34">
        <f>IF(AND(BL$5&gt;=$F134,BL$5&lt;=$G134),3,"")</f>
        <v/>
      </c>
      <c r="BM134" s="34">
        <f>IF(AND(BM$5&gt;=$F134,BM$5&lt;=$G134),3,"")</f>
        <v/>
      </c>
      <c r="BN134" s="34">
        <f>IF(AND(BN$5&gt;=$F134,BN$5&lt;=$G134),3,"")</f>
        <v/>
      </c>
    </row>
    <row r="135" ht="14.25" customHeight="1" s="36">
      <c r="A135" s="13" t="inlineStr">
        <is>
          <t>3 Construcción</t>
        </is>
      </c>
      <c r="B135" s="13" t="inlineStr">
        <is>
          <t>3.10.4.4</t>
        </is>
      </c>
      <c r="C135" s="13" t="inlineStr">
        <is>
          <t>Hoja certificada, en marcha blanca y en producción (INN-05.P4, primera parte)</t>
        </is>
      </c>
      <c r="D135" s="13" t="inlineStr">
        <is>
          <t>E</t>
        </is>
      </c>
      <c r="E135" s="13" t="inlineStr">
        <is>
          <t>Implantación y gestión del cambio</t>
        </is>
      </c>
      <c r="F135" s="13" t="n">
        <v>18</v>
      </c>
      <c r="G135" s="13" t="n">
        <v>21</v>
      </c>
      <c r="H135" s="13">
        <f>G135-F135+1</f>
        <v/>
      </c>
      <c r="I135" s="31" t="n">
        <v>240</v>
      </c>
      <c r="J135" s="13" t="inlineStr">
        <is>
          <t>Con entregable (detalle por planificación gradual)</t>
        </is>
      </c>
      <c r="K135" s="34">
        <f>IF(AND(K$5&gt;=$F135,K$5&lt;=$G135),3,"")</f>
        <v/>
      </c>
      <c r="L135" s="34">
        <f>IF(AND(L$5&gt;=$F135,L$5&lt;=$G135),3,"")</f>
        <v/>
      </c>
      <c r="M135" s="34">
        <f>IF(AND(M$5&gt;=$F135,M$5&lt;=$G135),3,"")</f>
        <v/>
      </c>
      <c r="N135" s="34">
        <f>IF(AND(N$5&gt;=$F135,N$5&lt;=$G135),3,"")</f>
        <v/>
      </c>
      <c r="O135" s="34">
        <f>IF(AND(O$5&gt;=$F135,O$5&lt;=$G135),3,"")</f>
        <v/>
      </c>
      <c r="P135" s="34">
        <f>IF(AND(P$5&gt;=$F135,P$5&lt;=$G135),3,"")</f>
        <v/>
      </c>
      <c r="Q135" s="34">
        <f>IF(AND(Q$5&gt;=$F135,Q$5&lt;=$G135),3,"")</f>
        <v/>
      </c>
      <c r="R135" s="34">
        <f>IF(AND(R$5&gt;=$F135,R$5&lt;=$G135),3,"")</f>
        <v/>
      </c>
      <c r="S135" s="34">
        <f>IF(AND(S$5&gt;=$F135,S$5&lt;=$G135),3,"")</f>
        <v/>
      </c>
      <c r="T135" s="34">
        <f>IF(AND(T$5&gt;=$F135,T$5&lt;=$G135),3,"")</f>
        <v/>
      </c>
      <c r="U135" s="34">
        <f>IF(AND(U$5&gt;=$F135,U$5&lt;=$G135),3,"")</f>
        <v/>
      </c>
      <c r="V135" s="34">
        <f>IF(AND(V$5&gt;=$F135,V$5&lt;=$G135),3,"")</f>
        <v/>
      </c>
      <c r="W135" s="34">
        <f>IF(AND(W$5&gt;=$F135,W$5&lt;=$G135),3,"")</f>
        <v/>
      </c>
      <c r="X135" s="34">
        <f>IF(AND(X$5&gt;=$F135,X$5&lt;=$G135),3,"")</f>
        <v/>
      </c>
      <c r="Y135" s="34">
        <f>IF(AND(Y$5&gt;=$F135,Y$5&lt;=$G135),3,"")</f>
        <v/>
      </c>
      <c r="Z135" s="34">
        <f>IF(AND(Z$5&gt;=$F135,Z$5&lt;=$G135),3,"")</f>
        <v/>
      </c>
      <c r="AA135" s="34">
        <f>IF(AND(AA$5&gt;=$F135,AA$5&lt;=$G135),3,"")</f>
        <v/>
      </c>
      <c r="AB135" s="34">
        <f>IF(AND(AB$5&gt;=$F135,AB$5&lt;=$G135),3,"")</f>
        <v/>
      </c>
      <c r="AC135" s="34">
        <f>IF(AND(AC$5&gt;=$F135,AC$5&lt;=$G135),3,"")</f>
        <v/>
      </c>
      <c r="AD135" s="34">
        <f>IF(AND(AD$5&gt;=$F135,AD$5&lt;=$G135),3,"")</f>
        <v/>
      </c>
      <c r="AE135" s="34">
        <f>IF(AND(AE$5&gt;=$F135,AE$5&lt;=$G135),3,"")</f>
        <v/>
      </c>
      <c r="AF135" s="34">
        <f>IF(AND(AF$5&gt;=$F135,AF$5&lt;=$G135),3,"")</f>
        <v/>
      </c>
      <c r="AG135" s="34">
        <f>IF(AND(AG$5&gt;=$F135,AG$5&lt;=$G135),3,"")</f>
        <v/>
      </c>
      <c r="AH135" s="34">
        <f>IF(AND(AH$5&gt;=$F135,AH$5&lt;=$G135),3,"")</f>
        <v/>
      </c>
      <c r="AI135" s="34">
        <f>IF(AND(AI$5&gt;=$F135,AI$5&lt;=$G135),3,"")</f>
        <v/>
      </c>
      <c r="AJ135" s="34">
        <f>IF(AND(AJ$5&gt;=$F135,AJ$5&lt;=$G135),3,"")</f>
        <v/>
      </c>
      <c r="AK135" s="34">
        <f>IF(AND(AK$5&gt;=$F135,AK$5&lt;=$G135),3,"")</f>
        <v/>
      </c>
      <c r="AL135" s="34">
        <f>IF(AND(AL$5&gt;=$F135,AL$5&lt;=$G135),3,"")</f>
        <v/>
      </c>
      <c r="AM135" s="34">
        <f>IF(AND(AM$5&gt;=$F135,AM$5&lt;=$G135),3,"")</f>
        <v/>
      </c>
      <c r="AN135" s="34">
        <f>IF(AND(AN$5&gt;=$F135,AN$5&lt;=$G135),3,"")</f>
        <v/>
      </c>
      <c r="AO135" s="34">
        <f>IF(AND(AO$5&gt;=$F135,AO$5&lt;=$G135),3,"")</f>
        <v/>
      </c>
      <c r="AP135" s="34">
        <f>IF(AND(AP$5&gt;=$F135,AP$5&lt;=$G135),3,"")</f>
        <v/>
      </c>
      <c r="AQ135" s="34">
        <f>IF(AND(AQ$5&gt;=$F135,AQ$5&lt;=$G135),3,"")</f>
        <v/>
      </c>
      <c r="AR135" s="34">
        <f>IF(AND(AR$5&gt;=$F135,AR$5&lt;=$G135),3,"")</f>
        <v/>
      </c>
      <c r="AS135" s="34">
        <f>IF(AND(AS$5&gt;=$F135,AS$5&lt;=$G135),3,"")</f>
        <v/>
      </c>
      <c r="AT135" s="34">
        <f>IF(AND(AT$5&gt;=$F135,AT$5&lt;=$G135),3,"")</f>
        <v/>
      </c>
      <c r="AU135" s="34">
        <f>IF(AND(AU$5&gt;=$F135,AU$5&lt;=$G135),3,"")</f>
        <v/>
      </c>
      <c r="AV135" s="34">
        <f>IF(AND(AV$5&gt;=$F135,AV$5&lt;=$G135),3,"")</f>
        <v/>
      </c>
      <c r="AW135" s="34">
        <f>IF(AND(AW$5&gt;=$F135,AW$5&lt;=$G135),3,"")</f>
        <v/>
      </c>
      <c r="AX135" s="34">
        <f>IF(AND(AX$5&gt;=$F135,AX$5&lt;=$G135),3,"")</f>
        <v/>
      </c>
      <c r="AY135" s="34">
        <f>IF(AND(AY$5&gt;=$F135,AY$5&lt;=$G135),3,"")</f>
        <v/>
      </c>
      <c r="AZ135" s="34">
        <f>IF(AND(AZ$5&gt;=$F135,AZ$5&lt;=$G135),3,"")</f>
        <v/>
      </c>
      <c r="BA135" s="34">
        <f>IF(AND(BA$5&gt;=$F135,BA$5&lt;=$G135),3,"")</f>
        <v/>
      </c>
      <c r="BB135" s="34">
        <f>IF(AND(BB$5&gt;=$F135,BB$5&lt;=$G135),3,"")</f>
        <v/>
      </c>
      <c r="BC135" s="34">
        <f>IF(AND(BC$5&gt;=$F135,BC$5&lt;=$G135),3,"")</f>
        <v/>
      </c>
      <c r="BD135" s="34">
        <f>IF(AND(BD$5&gt;=$F135,BD$5&lt;=$G135),3,"")</f>
        <v/>
      </c>
      <c r="BE135" s="34">
        <f>IF(AND(BE$5&gt;=$F135,BE$5&lt;=$G135),3,"")</f>
        <v/>
      </c>
      <c r="BF135" s="34">
        <f>IF(AND(BF$5&gt;=$F135,BF$5&lt;=$G135),3,"")</f>
        <v/>
      </c>
      <c r="BG135" s="34">
        <f>IF(AND(BG$5&gt;=$F135,BG$5&lt;=$G135),3,"")</f>
        <v/>
      </c>
      <c r="BH135" s="34">
        <f>IF(AND(BH$5&gt;=$F135,BH$5&lt;=$G135),3,"")</f>
        <v/>
      </c>
      <c r="BI135" s="34">
        <f>IF(AND(BI$5&gt;=$F135,BI$5&lt;=$G135),3,"")</f>
        <v/>
      </c>
      <c r="BJ135" s="34">
        <f>IF(AND(BJ$5&gt;=$F135,BJ$5&lt;=$G135),3,"")</f>
        <v/>
      </c>
      <c r="BK135" s="34">
        <f>IF(AND(BK$5&gt;=$F135,BK$5&lt;=$G135),3,"")</f>
        <v/>
      </c>
      <c r="BL135" s="34">
        <f>IF(AND(BL$5&gt;=$F135,BL$5&lt;=$G135),3,"")</f>
        <v/>
      </c>
      <c r="BM135" s="34">
        <f>IF(AND(BM$5&gt;=$F135,BM$5&lt;=$G135),3,"")</f>
        <v/>
      </c>
      <c r="BN135" s="34">
        <f>IF(AND(BN$5&gt;=$F135,BN$5&lt;=$G135),3,"")</f>
        <v/>
      </c>
    </row>
    <row r="136" ht="14.25" customHeight="1" s="36">
      <c r="A136" s="13" t="inlineStr">
        <is>
          <t>3 Construcción</t>
        </is>
      </c>
      <c r="B136" s="13" t="inlineStr">
        <is>
          <t>3.11.1</t>
        </is>
      </c>
      <c r="C136" s="13" t="inlineStr">
        <is>
          <t>Documentación técnica, funcional, de arquitectura, de operación y de seguridad</t>
        </is>
      </c>
      <c r="D136" s="13" t="inlineStr">
        <is>
          <t>G</t>
        </is>
      </c>
      <c r="E136" s="13" t="inlineStr">
        <is>
          <t>Arquitectura</t>
        </is>
      </c>
      <c r="F136" s="13" t="n">
        <v>15</v>
      </c>
      <c r="G136" s="13" t="n">
        <v>21</v>
      </c>
      <c r="H136" s="13">
        <f>G136-F136+1</f>
        <v/>
      </c>
      <c r="I136" s="31" t="n">
        <v>80</v>
      </c>
      <c r="J136" s="13" t="inlineStr">
        <is>
          <t>Esfuerzo continuo (por quincena u ocurrencia)</t>
        </is>
      </c>
      <c r="K136" s="34">
        <f>IF(AND(K$5&gt;=$F136,K$5&lt;=$G136),3,"")</f>
        <v/>
      </c>
      <c r="L136" s="34">
        <f>IF(AND(L$5&gt;=$F136,L$5&lt;=$G136),3,"")</f>
        <v/>
      </c>
      <c r="M136" s="34">
        <f>IF(AND(M$5&gt;=$F136,M$5&lt;=$G136),3,"")</f>
        <v/>
      </c>
      <c r="N136" s="34">
        <f>IF(AND(N$5&gt;=$F136,N$5&lt;=$G136),3,"")</f>
        <v/>
      </c>
      <c r="O136" s="34">
        <f>IF(AND(O$5&gt;=$F136,O$5&lt;=$G136),3,"")</f>
        <v/>
      </c>
      <c r="P136" s="34">
        <f>IF(AND(P$5&gt;=$F136,P$5&lt;=$G136),3,"")</f>
        <v/>
      </c>
      <c r="Q136" s="34">
        <f>IF(AND(Q$5&gt;=$F136,Q$5&lt;=$G136),3,"")</f>
        <v/>
      </c>
      <c r="R136" s="34">
        <f>IF(AND(R$5&gt;=$F136,R$5&lt;=$G136),3,"")</f>
        <v/>
      </c>
      <c r="S136" s="34">
        <f>IF(AND(S$5&gt;=$F136,S$5&lt;=$G136),3,"")</f>
        <v/>
      </c>
      <c r="T136" s="34">
        <f>IF(AND(T$5&gt;=$F136,T$5&lt;=$G136),3,"")</f>
        <v/>
      </c>
      <c r="U136" s="34">
        <f>IF(AND(U$5&gt;=$F136,U$5&lt;=$G136),3,"")</f>
        <v/>
      </c>
      <c r="V136" s="34">
        <f>IF(AND(V$5&gt;=$F136,V$5&lt;=$G136),3,"")</f>
        <v/>
      </c>
      <c r="W136" s="34">
        <f>IF(AND(W$5&gt;=$F136,W$5&lt;=$G136),3,"")</f>
        <v/>
      </c>
      <c r="X136" s="34">
        <f>IF(AND(X$5&gt;=$F136,X$5&lt;=$G136),3,"")</f>
        <v/>
      </c>
      <c r="Y136" s="34">
        <f>IF(AND(Y$5&gt;=$F136,Y$5&lt;=$G136),3,"")</f>
        <v/>
      </c>
      <c r="Z136" s="34">
        <f>IF(AND(Z$5&gt;=$F136,Z$5&lt;=$G136),3,"")</f>
        <v/>
      </c>
      <c r="AA136" s="34">
        <f>IF(AND(AA$5&gt;=$F136,AA$5&lt;=$G136),3,"")</f>
        <v/>
      </c>
      <c r="AB136" s="34">
        <f>IF(AND(AB$5&gt;=$F136,AB$5&lt;=$G136),3,"")</f>
        <v/>
      </c>
      <c r="AC136" s="34">
        <f>IF(AND(AC$5&gt;=$F136,AC$5&lt;=$G136),3,"")</f>
        <v/>
      </c>
      <c r="AD136" s="34">
        <f>IF(AND(AD$5&gt;=$F136,AD$5&lt;=$G136),3,"")</f>
        <v/>
      </c>
      <c r="AE136" s="34">
        <f>IF(AND(AE$5&gt;=$F136,AE$5&lt;=$G136),3,"")</f>
        <v/>
      </c>
      <c r="AF136" s="34">
        <f>IF(AND(AF$5&gt;=$F136,AF$5&lt;=$G136),3,"")</f>
        <v/>
      </c>
      <c r="AG136" s="34">
        <f>IF(AND(AG$5&gt;=$F136,AG$5&lt;=$G136),3,"")</f>
        <v/>
      </c>
      <c r="AH136" s="34">
        <f>IF(AND(AH$5&gt;=$F136,AH$5&lt;=$G136),3,"")</f>
        <v/>
      </c>
      <c r="AI136" s="34">
        <f>IF(AND(AI$5&gt;=$F136,AI$5&lt;=$G136),3,"")</f>
        <v/>
      </c>
      <c r="AJ136" s="34">
        <f>IF(AND(AJ$5&gt;=$F136,AJ$5&lt;=$G136),3,"")</f>
        <v/>
      </c>
      <c r="AK136" s="34">
        <f>IF(AND(AK$5&gt;=$F136,AK$5&lt;=$G136),3,"")</f>
        <v/>
      </c>
      <c r="AL136" s="34">
        <f>IF(AND(AL$5&gt;=$F136,AL$5&lt;=$G136),3,"")</f>
        <v/>
      </c>
      <c r="AM136" s="34">
        <f>IF(AND(AM$5&gt;=$F136,AM$5&lt;=$G136),3,"")</f>
        <v/>
      </c>
      <c r="AN136" s="34">
        <f>IF(AND(AN$5&gt;=$F136,AN$5&lt;=$G136),3,"")</f>
        <v/>
      </c>
      <c r="AO136" s="34">
        <f>IF(AND(AO$5&gt;=$F136,AO$5&lt;=$G136),3,"")</f>
        <v/>
      </c>
      <c r="AP136" s="34">
        <f>IF(AND(AP$5&gt;=$F136,AP$5&lt;=$G136),3,"")</f>
        <v/>
      </c>
      <c r="AQ136" s="34">
        <f>IF(AND(AQ$5&gt;=$F136,AQ$5&lt;=$G136),3,"")</f>
        <v/>
      </c>
      <c r="AR136" s="34">
        <f>IF(AND(AR$5&gt;=$F136,AR$5&lt;=$G136),3,"")</f>
        <v/>
      </c>
      <c r="AS136" s="34">
        <f>IF(AND(AS$5&gt;=$F136,AS$5&lt;=$G136),3,"")</f>
        <v/>
      </c>
      <c r="AT136" s="34">
        <f>IF(AND(AT$5&gt;=$F136,AT$5&lt;=$G136),3,"")</f>
        <v/>
      </c>
      <c r="AU136" s="34">
        <f>IF(AND(AU$5&gt;=$F136,AU$5&lt;=$G136),3,"")</f>
        <v/>
      </c>
      <c r="AV136" s="34">
        <f>IF(AND(AV$5&gt;=$F136,AV$5&lt;=$G136),3,"")</f>
        <v/>
      </c>
      <c r="AW136" s="34">
        <f>IF(AND(AW$5&gt;=$F136,AW$5&lt;=$G136),3,"")</f>
        <v/>
      </c>
      <c r="AX136" s="34">
        <f>IF(AND(AX$5&gt;=$F136,AX$5&lt;=$G136),3,"")</f>
        <v/>
      </c>
      <c r="AY136" s="34">
        <f>IF(AND(AY$5&gt;=$F136,AY$5&lt;=$G136),3,"")</f>
        <v/>
      </c>
      <c r="AZ136" s="34">
        <f>IF(AND(AZ$5&gt;=$F136,AZ$5&lt;=$G136),3,"")</f>
        <v/>
      </c>
      <c r="BA136" s="34">
        <f>IF(AND(BA$5&gt;=$F136,BA$5&lt;=$G136),3,"")</f>
        <v/>
      </c>
      <c r="BB136" s="34">
        <f>IF(AND(BB$5&gt;=$F136,BB$5&lt;=$G136),3,"")</f>
        <v/>
      </c>
      <c r="BC136" s="34">
        <f>IF(AND(BC$5&gt;=$F136,BC$5&lt;=$G136),3,"")</f>
        <v/>
      </c>
      <c r="BD136" s="34">
        <f>IF(AND(BD$5&gt;=$F136,BD$5&lt;=$G136),3,"")</f>
        <v/>
      </c>
      <c r="BE136" s="34">
        <f>IF(AND(BE$5&gt;=$F136,BE$5&lt;=$G136),3,"")</f>
        <v/>
      </c>
      <c r="BF136" s="34">
        <f>IF(AND(BF$5&gt;=$F136,BF$5&lt;=$G136),3,"")</f>
        <v/>
      </c>
      <c r="BG136" s="34">
        <f>IF(AND(BG$5&gt;=$F136,BG$5&lt;=$G136),3,"")</f>
        <v/>
      </c>
      <c r="BH136" s="34">
        <f>IF(AND(BH$5&gt;=$F136,BH$5&lt;=$G136),3,"")</f>
        <v/>
      </c>
      <c r="BI136" s="34">
        <f>IF(AND(BI$5&gt;=$F136,BI$5&lt;=$G136),3,"")</f>
        <v/>
      </c>
      <c r="BJ136" s="34">
        <f>IF(AND(BJ$5&gt;=$F136,BJ$5&lt;=$G136),3,"")</f>
        <v/>
      </c>
      <c r="BK136" s="34">
        <f>IF(AND(BK$5&gt;=$F136,BK$5&lt;=$G136),3,"")</f>
        <v/>
      </c>
      <c r="BL136" s="34">
        <f>IF(AND(BL$5&gt;=$F136,BL$5&lt;=$G136),3,"")</f>
        <v/>
      </c>
      <c r="BM136" s="34">
        <f>IF(AND(BM$5&gt;=$F136,BM$5&lt;=$G136),3,"")</f>
        <v/>
      </c>
      <c r="BN136" s="34">
        <f>IF(AND(BN$5&gt;=$F136,BN$5&lt;=$G136),3,"")</f>
        <v/>
      </c>
    </row>
    <row r="137" ht="14.25" customHeight="1" s="36">
      <c r="A137" s="13" t="inlineStr">
        <is>
          <t>3 Construcción</t>
        </is>
      </c>
      <c r="B137" s="13" t="inlineStr">
        <is>
          <t>3.11.2</t>
        </is>
      </c>
      <c r="C137" s="13" t="inlineStr">
        <is>
          <t>Base de conocimiento de incidentes y decisiones de diseño</t>
        </is>
      </c>
      <c r="D137" s="13" t="inlineStr">
        <is>
          <t>G</t>
        </is>
      </c>
      <c r="E137" s="13" t="inlineStr">
        <is>
          <t>Operación / SRE</t>
        </is>
      </c>
      <c r="F137" s="13" t="n">
        <v>10</v>
      </c>
      <c r="G137" s="13" t="n">
        <v>20</v>
      </c>
      <c r="H137" s="13">
        <f>G137-F137+1</f>
        <v/>
      </c>
      <c r="I137" s="31" t="n">
        <v>80</v>
      </c>
      <c r="J137" s="13" t="inlineStr">
        <is>
          <t>Esfuerzo continuo (por quincena u ocurrencia)</t>
        </is>
      </c>
      <c r="K137" s="34">
        <f>IF(AND(K$5&gt;=$F137,K$5&lt;=$G137),3,"")</f>
        <v/>
      </c>
      <c r="L137" s="34">
        <f>IF(AND(L$5&gt;=$F137,L$5&lt;=$G137),3,"")</f>
        <v/>
      </c>
      <c r="M137" s="34">
        <f>IF(AND(M$5&gt;=$F137,M$5&lt;=$G137),3,"")</f>
        <v/>
      </c>
      <c r="N137" s="34">
        <f>IF(AND(N$5&gt;=$F137,N$5&lt;=$G137),3,"")</f>
        <v/>
      </c>
      <c r="O137" s="34">
        <f>IF(AND(O$5&gt;=$F137,O$5&lt;=$G137),3,"")</f>
        <v/>
      </c>
      <c r="P137" s="34">
        <f>IF(AND(P$5&gt;=$F137,P$5&lt;=$G137),3,"")</f>
        <v/>
      </c>
      <c r="Q137" s="34">
        <f>IF(AND(Q$5&gt;=$F137,Q$5&lt;=$G137),3,"")</f>
        <v/>
      </c>
      <c r="R137" s="34">
        <f>IF(AND(R$5&gt;=$F137,R$5&lt;=$G137),3,"")</f>
        <v/>
      </c>
      <c r="S137" s="34">
        <f>IF(AND(S$5&gt;=$F137,S$5&lt;=$G137),3,"")</f>
        <v/>
      </c>
      <c r="T137" s="34">
        <f>IF(AND(T$5&gt;=$F137,T$5&lt;=$G137),3,"")</f>
        <v/>
      </c>
      <c r="U137" s="34">
        <f>IF(AND(U$5&gt;=$F137,U$5&lt;=$G137),3,"")</f>
        <v/>
      </c>
      <c r="V137" s="34">
        <f>IF(AND(V$5&gt;=$F137,V$5&lt;=$G137),3,"")</f>
        <v/>
      </c>
      <c r="W137" s="34">
        <f>IF(AND(W$5&gt;=$F137,W$5&lt;=$G137),3,"")</f>
        <v/>
      </c>
      <c r="X137" s="34">
        <f>IF(AND(X$5&gt;=$F137,X$5&lt;=$G137),3,"")</f>
        <v/>
      </c>
      <c r="Y137" s="34">
        <f>IF(AND(Y$5&gt;=$F137,Y$5&lt;=$G137),3,"")</f>
        <v/>
      </c>
      <c r="Z137" s="34">
        <f>IF(AND(Z$5&gt;=$F137,Z$5&lt;=$G137),3,"")</f>
        <v/>
      </c>
      <c r="AA137" s="34">
        <f>IF(AND(AA$5&gt;=$F137,AA$5&lt;=$G137),3,"")</f>
        <v/>
      </c>
      <c r="AB137" s="34">
        <f>IF(AND(AB$5&gt;=$F137,AB$5&lt;=$G137),3,"")</f>
        <v/>
      </c>
      <c r="AC137" s="34">
        <f>IF(AND(AC$5&gt;=$F137,AC$5&lt;=$G137),3,"")</f>
        <v/>
      </c>
      <c r="AD137" s="34">
        <f>IF(AND(AD$5&gt;=$F137,AD$5&lt;=$G137),3,"")</f>
        <v/>
      </c>
      <c r="AE137" s="34">
        <f>IF(AND(AE$5&gt;=$F137,AE$5&lt;=$G137),3,"")</f>
        <v/>
      </c>
      <c r="AF137" s="34">
        <f>IF(AND(AF$5&gt;=$F137,AF$5&lt;=$G137),3,"")</f>
        <v/>
      </c>
      <c r="AG137" s="34">
        <f>IF(AND(AG$5&gt;=$F137,AG$5&lt;=$G137),3,"")</f>
        <v/>
      </c>
      <c r="AH137" s="34">
        <f>IF(AND(AH$5&gt;=$F137,AH$5&lt;=$G137),3,"")</f>
        <v/>
      </c>
      <c r="AI137" s="34">
        <f>IF(AND(AI$5&gt;=$F137,AI$5&lt;=$G137),3,"")</f>
        <v/>
      </c>
      <c r="AJ137" s="34">
        <f>IF(AND(AJ$5&gt;=$F137,AJ$5&lt;=$G137),3,"")</f>
        <v/>
      </c>
      <c r="AK137" s="34">
        <f>IF(AND(AK$5&gt;=$F137,AK$5&lt;=$G137),3,"")</f>
        <v/>
      </c>
      <c r="AL137" s="34">
        <f>IF(AND(AL$5&gt;=$F137,AL$5&lt;=$G137),3,"")</f>
        <v/>
      </c>
      <c r="AM137" s="34">
        <f>IF(AND(AM$5&gt;=$F137,AM$5&lt;=$G137),3,"")</f>
        <v/>
      </c>
      <c r="AN137" s="34">
        <f>IF(AND(AN$5&gt;=$F137,AN$5&lt;=$G137),3,"")</f>
        <v/>
      </c>
      <c r="AO137" s="34">
        <f>IF(AND(AO$5&gt;=$F137,AO$5&lt;=$G137),3,"")</f>
        <v/>
      </c>
      <c r="AP137" s="34">
        <f>IF(AND(AP$5&gt;=$F137,AP$5&lt;=$G137),3,"")</f>
        <v/>
      </c>
      <c r="AQ137" s="34">
        <f>IF(AND(AQ$5&gt;=$F137,AQ$5&lt;=$G137),3,"")</f>
        <v/>
      </c>
      <c r="AR137" s="34">
        <f>IF(AND(AR$5&gt;=$F137,AR$5&lt;=$G137),3,"")</f>
        <v/>
      </c>
      <c r="AS137" s="34">
        <f>IF(AND(AS$5&gt;=$F137,AS$5&lt;=$G137),3,"")</f>
        <v/>
      </c>
      <c r="AT137" s="34">
        <f>IF(AND(AT$5&gt;=$F137,AT$5&lt;=$G137),3,"")</f>
        <v/>
      </c>
      <c r="AU137" s="34">
        <f>IF(AND(AU$5&gt;=$F137,AU$5&lt;=$G137),3,"")</f>
        <v/>
      </c>
      <c r="AV137" s="34">
        <f>IF(AND(AV$5&gt;=$F137,AV$5&lt;=$G137),3,"")</f>
        <v/>
      </c>
      <c r="AW137" s="34">
        <f>IF(AND(AW$5&gt;=$F137,AW$5&lt;=$G137),3,"")</f>
        <v/>
      </c>
      <c r="AX137" s="34">
        <f>IF(AND(AX$5&gt;=$F137,AX$5&lt;=$G137),3,"")</f>
        <v/>
      </c>
      <c r="AY137" s="34">
        <f>IF(AND(AY$5&gt;=$F137,AY$5&lt;=$G137),3,"")</f>
        <v/>
      </c>
      <c r="AZ137" s="34">
        <f>IF(AND(AZ$5&gt;=$F137,AZ$5&lt;=$G137),3,"")</f>
        <v/>
      </c>
      <c r="BA137" s="34">
        <f>IF(AND(BA$5&gt;=$F137,BA$5&lt;=$G137),3,"")</f>
        <v/>
      </c>
      <c r="BB137" s="34">
        <f>IF(AND(BB$5&gt;=$F137,BB$5&lt;=$G137),3,"")</f>
        <v/>
      </c>
      <c r="BC137" s="34">
        <f>IF(AND(BC$5&gt;=$F137,BC$5&lt;=$G137),3,"")</f>
        <v/>
      </c>
      <c r="BD137" s="34">
        <f>IF(AND(BD$5&gt;=$F137,BD$5&lt;=$G137),3,"")</f>
        <v/>
      </c>
      <c r="BE137" s="34">
        <f>IF(AND(BE$5&gt;=$F137,BE$5&lt;=$G137),3,"")</f>
        <v/>
      </c>
      <c r="BF137" s="34">
        <f>IF(AND(BF$5&gt;=$F137,BF$5&lt;=$G137),3,"")</f>
        <v/>
      </c>
      <c r="BG137" s="34">
        <f>IF(AND(BG$5&gt;=$F137,BG$5&lt;=$G137),3,"")</f>
        <v/>
      </c>
      <c r="BH137" s="34">
        <f>IF(AND(BH$5&gt;=$F137,BH$5&lt;=$G137),3,"")</f>
        <v/>
      </c>
      <c r="BI137" s="34">
        <f>IF(AND(BI$5&gt;=$F137,BI$5&lt;=$G137),3,"")</f>
        <v/>
      </c>
      <c r="BJ137" s="34">
        <f>IF(AND(BJ$5&gt;=$F137,BJ$5&lt;=$G137),3,"")</f>
        <v/>
      </c>
      <c r="BK137" s="34">
        <f>IF(AND(BK$5&gt;=$F137,BK$5&lt;=$G137),3,"")</f>
        <v/>
      </c>
      <c r="BL137" s="34">
        <f>IF(AND(BL$5&gt;=$F137,BL$5&lt;=$G137),3,"")</f>
        <v/>
      </c>
      <c r="BM137" s="34">
        <f>IF(AND(BM$5&gt;=$F137,BM$5&lt;=$G137),3,"")</f>
        <v/>
      </c>
      <c r="BN137" s="34">
        <f>IF(AND(BN$5&gt;=$F137,BN$5&lt;=$G137),3,"")</f>
        <v/>
      </c>
    </row>
    <row r="138" ht="14.25" customHeight="1" s="36">
      <c r="A138" s="13" t="inlineStr">
        <is>
          <t>3 Construcción</t>
        </is>
      </c>
      <c r="B138" s="13" t="inlineStr">
        <is>
          <t>3.11.3</t>
        </is>
      </c>
      <c r="C138" s="13" t="inlineStr">
        <is>
          <t>Estándares de codificación y documentación de interfaces en OpenAPI y AsyncAPI</t>
        </is>
      </c>
      <c r="D138" s="13" t="inlineStr">
        <is>
          <t>G</t>
        </is>
      </c>
      <c r="E138" s="13" t="inlineStr">
        <is>
          <t>Desarrollo</t>
        </is>
      </c>
      <c r="F138" s="13" t="n">
        <v>4</v>
      </c>
      <c r="G138" s="13" t="n">
        <v>20</v>
      </c>
      <c r="H138" s="13">
        <f>G138-F138+1</f>
        <v/>
      </c>
      <c r="I138" s="31" t="n">
        <v>80</v>
      </c>
      <c r="J138" s="13" t="inlineStr">
        <is>
          <t>Esfuerzo continuo (por quincena u ocurrencia)</t>
        </is>
      </c>
      <c r="K138" s="34">
        <f>IF(AND(K$5&gt;=$F138,K$5&lt;=$G138),3,"")</f>
        <v/>
      </c>
      <c r="L138" s="34">
        <f>IF(AND(L$5&gt;=$F138,L$5&lt;=$G138),3,"")</f>
        <v/>
      </c>
      <c r="M138" s="34">
        <f>IF(AND(M$5&gt;=$F138,M$5&lt;=$G138),3,"")</f>
        <v/>
      </c>
      <c r="N138" s="34">
        <f>IF(AND(N$5&gt;=$F138,N$5&lt;=$G138),3,"")</f>
        <v/>
      </c>
      <c r="O138" s="34">
        <f>IF(AND(O$5&gt;=$F138,O$5&lt;=$G138),3,"")</f>
        <v/>
      </c>
      <c r="P138" s="34">
        <f>IF(AND(P$5&gt;=$F138,P$5&lt;=$G138),3,"")</f>
        <v/>
      </c>
      <c r="Q138" s="34">
        <f>IF(AND(Q$5&gt;=$F138,Q$5&lt;=$G138),3,"")</f>
        <v/>
      </c>
      <c r="R138" s="34">
        <f>IF(AND(R$5&gt;=$F138,R$5&lt;=$G138),3,"")</f>
        <v/>
      </c>
      <c r="S138" s="34">
        <f>IF(AND(S$5&gt;=$F138,S$5&lt;=$G138),3,"")</f>
        <v/>
      </c>
      <c r="T138" s="34">
        <f>IF(AND(T$5&gt;=$F138,T$5&lt;=$G138),3,"")</f>
        <v/>
      </c>
      <c r="U138" s="34">
        <f>IF(AND(U$5&gt;=$F138,U$5&lt;=$G138),3,"")</f>
        <v/>
      </c>
      <c r="V138" s="34">
        <f>IF(AND(V$5&gt;=$F138,V$5&lt;=$G138),3,"")</f>
        <v/>
      </c>
      <c r="W138" s="34">
        <f>IF(AND(W$5&gt;=$F138,W$5&lt;=$G138),3,"")</f>
        <v/>
      </c>
      <c r="X138" s="34">
        <f>IF(AND(X$5&gt;=$F138,X$5&lt;=$G138),3,"")</f>
        <v/>
      </c>
      <c r="Y138" s="34">
        <f>IF(AND(Y$5&gt;=$F138,Y$5&lt;=$G138),3,"")</f>
        <v/>
      </c>
      <c r="Z138" s="34">
        <f>IF(AND(Z$5&gt;=$F138,Z$5&lt;=$G138),3,"")</f>
        <v/>
      </c>
      <c r="AA138" s="34">
        <f>IF(AND(AA$5&gt;=$F138,AA$5&lt;=$G138),3,"")</f>
        <v/>
      </c>
      <c r="AB138" s="34">
        <f>IF(AND(AB$5&gt;=$F138,AB$5&lt;=$G138),3,"")</f>
        <v/>
      </c>
      <c r="AC138" s="34">
        <f>IF(AND(AC$5&gt;=$F138,AC$5&lt;=$G138),3,"")</f>
        <v/>
      </c>
      <c r="AD138" s="34">
        <f>IF(AND(AD$5&gt;=$F138,AD$5&lt;=$G138),3,"")</f>
        <v/>
      </c>
      <c r="AE138" s="34">
        <f>IF(AND(AE$5&gt;=$F138,AE$5&lt;=$G138),3,"")</f>
        <v/>
      </c>
      <c r="AF138" s="34">
        <f>IF(AND(AF$5&gt;=$F138,AF$5&lt;=$G138),3,"")</f>
        <v/>
      </c>
      <c r="AG138" s="34">
        <f>IF(AND(AG$5&gt;=$F138,AG$5&lt;=$G138),3,"")</f>
        <v/>
      </c>
      <c r="AH138" s="34">
        <f>IF(AND(AH$5&gt;=$F138,AH$5&lt;=$G138),3,"")</f>
        <v/>
      </c>
      <c r="AI138" s="34">
        <f>IF(AND(AI$5&gt;=$F138,AI$5&lt;=$G138),3,"")</f>
        <v/>
      </c>
      <c r="AJ138" s="34">
        <f>IF(AND(AJ$5&gt;=$F138,AJ$5&lt;=$G138),3,"")</f>
        <v/>
      </c>
      <c r="AK138" s="34">
        <f>IF(AND(AK$5&gt;=$F138,AK$5&lt;=$G138),3,"")</f>
        <v/>
      </c>
      <c r="AL138" s="34">
        <f>IF(AND(AL$5&gt;=$F138,AL$5&lt;=$G138),3,"")</f>
        <v/>
      </c>
      <c r="AM138" s="34">
        <f>IF(AND(AM$5&gt;=$F138,AM$5&lt;=$G138),3,"")</f>
        <v/>
      </c>
      <c r="AN138" s="34">
        <f>IF(AND(AN$5&gt;=$F138,AN$5&lt;=$G138),3,"")</f>
        <v/>
      </c>
      <c r="AO138" s="34">
        <f>IF(AND(AO$5&gt;=$F138,AO$5&lt;=$G138),3,"")</f>
        <v/>
      </c>
      <c r="AP138" s="34">
        <f>IF(AND(AP$5&gt;=$F138,AP$5&lt;=$G138),3,"")</f>
        <v/>
      </c>
      <c r="AQ138" s="34">
        <f>IF(AND(AQ$5&gt;=$F138,AQ$5&lt;=$G138),3,"")</f>
        <v/>
      </c>
      <c r="AR138" s="34">
        <f>IF(AND(AR$5&gt;=$F138,AR$5&lt;=$G138),3,"")</f>
        <v/>
      </c>
      <c r="AS138" s="34">
        <f>IF(AND(AS$5&gt;=$F138,AS$5&lt;=$G138),3,"")</f>
        <v/>
      </c>
      <c r="AT138" s="34">
        <f>IF(AND(AT$5&gt;=$F138,AT$5&lt;=$G138),3,"")</f>
        <v/>
      </c>
      <c r="AU138" s="34">
        <f>IF(AND(AU$5&gt;=$F138,AU$5&lt;=$G138),3,"")</f>
        <v/>
      </c>
      <c r="AV138" s="34">
        <f>IF(AND(AV$5&gt;=$F138,AV$5&lt;=$G138),3,"")</f>
        <v/>
      </c>
      <c r="AW138" s="34">
        <f>IF(AND(AW$5&gt;=$F138,AW$5&lt;=$G138),3,"")</f>
        <v/>
      </c>
      <c r="AX138" s="34">
        <f>IF(AND(AX$5&gt;=$F138,AX$5&lt;=$G138),3,"")</f>
        <v/>
      </c>
      <c r="AY138" s="34">
        <f>IF(AND(AY$5&gt;=$F138,AY$5&lt;=$G138),3,"")</f>
        <v/>
      </c>
      <c r="AZ138" s="34">
        <f>IF(AND(AZ$5&gt;=$F138,AZ$5&lt;=$G138),3,"")</f>
        <v/>
      </c>
      <c r="BA138" s="34">
        <f>IF(AND(BA$5&gt;=$F138,BA$5&lt;=$G138),3,"")</f>
        <v/>
      </c>
      <c r="BB138" s="34">
        <f>IF(AND(BB$5&gt;=$F138,BB$5&lt;=$G138),3,"")</f>
        <v/>
      </c>
      <c r="BC138" s="34">
        <f>IF(AND(BC$5&gt;=$F138,BC$5&lt;=$G138),3,"")</f>
        <v/>
      </c>
      <c r="BD138" s="34">
        <f>IF(AND(BD$5&gt;=$F138,BD$5&lt;=$G138),3,"")</f>
        <v/>
      </c>
      <c r="BE138" s="34">
        <f>IF(AND(BE$5&gt;=$F138,BE$5&lt;=$G138),3,"")</f>
        <v/>
      </c>
      <c r="BF138" s="34">
        <f>IF(AND(BF$5&gt;=$F138,BF$5&lt;=$G138),3,"")</f>
        <v/>
      </c>
      <c r="BG138" s="34">
        <f>IF(AND(BG$5&gt;=$F138,BG$5&lt;=$G138),3,"")</f>
        <v/>
      </c>
      <c r="BH138" s="34">
        <f>IF(AND(BH$5&gt;=$F138,BH$5&lt;=$G138),3,"")</f>
        <v/>
      </c>
      <c r="BI138" s="34">
        <f>IF(AND(BI$5&gt;=$F138,BI$5&lt;=$G138),3,"")</f>
        <v/>
      </c>
      <c r="BJ138" s="34">
        <f>IF(AND(BJ$5&gt;=$F138,BJ$5&lt;=$G138),3,"")</f>
        <v/>
      </c>
      <c r="BK138" s="34">
        <f>IF(AND(BK$5&gt;=$F138,BK$5&lt;=$G138),3,"")</f>
        <v/>
      </c>
      <c r="BL138" s="34">
        <f>IF(AND(BL$5&gt;=$F138,BL$5&lt;=$G138),3,"")</f>
        <v/>
      </c>
      <c r="BM138" s="34">
        <f>IF(AND(BM$5&gt;=$F138,BM$5&lt;=$G138),3,"")</f>
        <v/>
      </c>
      <c r="BN138" s="34">
        <f>IF(AND(BN$5&gt;=$F138,BN$5&lt;=$G138),3,"")</f>
        <v/>
      </c>
    </row>
    <row r="139" ht="14.25" customHeight="1" s="36">
      <c r="A139" s="13" t="inlineStr">
        <is>
          <t>3 Construcción</t>
        </is>
      </c>
      <c r="B139" s="13" t="inlineStr">
        <is>
          <t>3.11.4</t>
        </is>
      </c>
      <c r="C139" s="13" t="inlineStr">
        <is>
          <t>Inventario de componentes (SBOM) con sus licencias de código abierto</t>
        </is>
      </c>
      <c r="D139" s="13" t="inlineStr">
        <is>
          <t>G</t>
        </is>
      </c>
      <c r="E139" s="13" t="inlineStr">
        <is>
          <t>Desarrollo</t>
        </is>
      </c>
      <c r="F139" s="13" t="n">
        <v>4</v>
      </c>
      <c r="G139" s="13" t="n">
        <v>20</v>
      </c>
      <c r="H139" s="13">
        <f>G139-F139+1</f>
        <v/>
      </c>
      <c r="I139" s="31" t="n">
        <v>80</v>
      </c>
      <c r="J139" s="13" t="inlineStr">
        <is>
          <t>Esfuerzo continuo (por quincena u ocurrencia)</t>
        </is>
      </c>
      <c r="K139" s="34">
        <f>IF(AND(K$5&gt;=$F139,K$5&lt;=$G139),3,"")</f>
        <v/>
      </c>
      <c r="L139" s="34">
        <f>IF(AND(L$5&gt;=$F139,L$5&lt;=$G139),3,"")</f>
        <v/>
      </c>
      <c r="M139" s="34">
        <f>IF(AND(M$5&gt;=$F139,M$5&lt;=$G139),3,"")</f>
        <v/>
      </c>
      <c r="N139" s="34">
        <f>IF(AND(N$5&gt;=$F139,N$5&lt;=$G139),3,"")</f>
        <v/>
      </c>
      <c r="O139" s="34">
        <f>IF(AND(O$5&gt;=$F139,O$5&lt;=$G139),3,"")</f>
        <v/>
      </c>
      <c r="P139" s="34">
        <f>IF(AND(P$5&gt;=$F139,P$5&lt;=$G139),3,"")</f>
        <v/>
      </c>
      <c r="Q139" s="34">
        <f>IF(AND(Q$5&gt;=$F139,Q$5&lt;=$G139),3,"")</f>
        <v/>
      </c>
      <c r="R139" s="34">
        <f>IF(AND(R$5&gt;=$F139,R$5&lt;=$G139),3,"")</f>
        <v/>
      </c>
      <c r="S139" s="34">
        <f>IF(AND(S$5&gt;=$F139,S$5&lt;=$G139),3,"")</f>
        <v/>
      </c>
      <c r="T139" s="34">
        <f>IF(AND(T$5&gt;=$F139,T$5&lt;=$G139),3,"")</f>
        <v/>
      </c>
      <c r="U139" s="34">
        <f>IF(AND(U$5&gt;=$F139,U$5&lt;=$G139),3,"")</f>
        <v/>
      </c>
      <c r="V139" s="34">
        <f>IF(AND(V$5&gt;=$F139,V$5&lt;=$G139),3,"")</f>
        <v/>
      </c>
      <c r="W139" s="34">
        <f>IF(AND(W$5&gt;=$F139,W$5&lt;=$G139),3,"")</f>
        <v/>
      </c>
      <c r="X139" s="34">
        <f>IF(AND(X$5&gt;=$F139,X$5&lt;=$G139),3,"")</f>
        <v/>
      </c>
      <c r="Y139" s="34">
        <f>IF(AND(Y$5&gt;=$F139,Y$5&lt;=$G139),3,"")</f>
        <v/>
      </c>
      <c r="Z139" s="34">
        <f>IF(AND(Z$5&gt;=$F139,Z$5&lt;=$G139),3,"")</f>
        <v/>
      </c>
      <c r="AA139" s="34">
        <f>IF(AND(AA$5&gt;=$F139,AA$5&lt;=$G139),3,"")</f>
        <v/>
      </c>
      <c r="AB139" s="34">
        <f>IF(AND(AB$5&gt;=$F139,AB$5&lt;=$G139),3,"")</f>
        <v/>
      </c>
      <c r="AC139" s="34">
        <f>IF(AND(AC$5&gt;=$F139,AC$5&lt;=$G139),3,"")</f>
        <v/>
      </c>
      <c r="AD139" s="34">
        <f>IF(AND(AD$5&gt;=$F139,AD$5&lt;=$G139),3,"")</f>
        <v/>
      </c>
      <c r="AE139" s="34">
        <f>IF(AND(AE$5&gt;=$F139,AE$5&lt;=$G139),3,"")</f>
        <v/>
      </c>
      <c r="AF139" s="34">
        <f>IF(AND(AF$5&gt;=$F139,AF$5&lt;=$G139),3,"")</f>
        <v/>
      </c>
      <c r="AG139" s="34">
        <f>IF(AND(AG$5&gt;=$F139,AG$5&lt;=$G139),3,"")</f>
        <v/>
      </c>
      <c r="AH139" s="34">
        <f>IF(AND(AH$5&gt;=$F139,AH$5&lt;=$G139),3,"")</f>
        <v/>
      </c>
      <c r="AI139" s="34">
        <f>IF(AND(AI$5&gt;=$F139,AI$5&lt;=$G139),3,"")</f>
        <v/>
      </c>
      <c r="AJ139" s="34">
        <f>IF(AND(AJ$5&gt;=$F139,AJ$5&lt;=$G139),3,"")</f>
        <v/>
      </c>
      <c r="AK139" s="34">
        <f>IF(AND(AK$5&gt;=$F139,AK$5&lt;=$G139),3,"")</f>
        <v/>
      </c>
      <c r="AL139" s="34">
        <f>IF(AND(AL$5&gt;=$F139,AL$5&lt;=$G139),3,"")</f>
        <v/>
      </c>
      <c r="AM139" s="34">
        <f>IF(AND(AM$5&gt;=$F139,AM$5&lt;=$G139),3,"")</f>
        <v/>
      </c>
      <c r="AN139" s="34">
        <f>IF(AND(AN$5&gt;=$F139,AN$5&lt;=$G139),3,"")</f>
        <v/>
      </c>
      <c r="AO139" s="34">
        <f>IF(AND(AO$5&gt;=$F139,AO$5&lt;=$G139),3,"")</f>
        <v/>
      </c>
      <c r="AP139" s="34">
        <f>IF(AND(AP$5&gt;=$F139,AP$5&lt;=$G139),3,"")</f>
        <v/>
      </c>
      <c r="AQ139" s="34">
        <f>IF(AND(AQ$5&gt;=$F139,AQ$5&lt;=$G139),3,"")</f>
        <v/>
      </c>
      <c r="AR139" s="34">
        <f>IF(AND(AR$5&gt;=$F139,AR$5&lt;=$G139),3,"")</f>
        <v/>
      </c>
      <c r="AS139" s="34">
        <f>IF(AND(AS$5&gt;=$F139,AS$5&lt;=$G139),3,"")</f>
        <v/>
      </c>
      <c r="AT139" s="34">
        <f>IF(AND(AT$5&gt;=$F139,AT$5&lt;=$G139),3,"")</f>
        <v/>
      </c>
      <c r="AU139" s="34">
        <f>IF(AND(AU$5&gt;=$F139,AU$5&lt;=$G139),3,"")</f>
        <v/>
      </c>
      <c r="AV139" s="34">
        <f>IF(AND(AV$5&gt;=$F139,AV$5&lt;=$G139),3,"")</f>
        <v/>
      </c>
      <c r="AW139" s="34">
        <f>IF(AND(AW$5&gt;=$F139,AW$5&lt;=$G139),3,"")</f>
        <v/>
      </c>
      <c r="AX139" s="34">
        <f>IF(AND(AX$5&gt;=$F139,AX$5&lt;=$G139),3,"")</f>
        <v/>
      </c>
      <c r="AY139" s="34">
        <f>IF(AND(AY$5&gt;=$F139,AY$5&lt;=$G139),3,"")</f>
        <v/>
      </c>
      <c r="AZ139" s="34">
        <f>IF(AND(AZ$5&gt;=$F139,AZ$5&lt;=$G139),3,"")</f>
        <v/>
      </c>
      <c r="BA139" s="34">
        <f>IF(AND(BA$5&gt;=$F139,BA$5&lt;=$G139),3,"")</f>
        <v/>
      </c>
      <c r="BB139" s="34">
        <f>IF(AND(BB$5&gt;=$F139,BB$5&lt;=$G139),3,"")</f>
        <v/>
      </c>
      <c r="BC139" s="34">
        <f>IF(AND(BC$5&gt;=$F139,BC$5&lt;=$G139),3,"")</f>
        <v/>
      </c>
      <c r="BD139" s="34">
        <f>IF(AND(BD$5&gt;=$F139,BD$5&lt;=$G139),3,"")</f>
        <v/>
      </c>
      <c r="BE139" s="34">
        <f>IF(AND(BE$5&gt;=$F139,BE$5&lt;=$G139),3,"")</f>
        <v/>
      </c>
      <c r="BF139" s="34">
        <f>IF(AND(BF$5&gt;=$F139,BF$5&lt;=$G139),3,"")</f>
        <v/>
      </c>
      <c r="BG139" s="34">
        <f>IF(AND(BG$5&gt;=$F139,BG$5&lt;=$G139),3,"")</f>
        <v/>
      </c>
      <c r="BH139" s="34">
        <f>IF(AND(BH$5&gt;=$F139,BH$5&lt;=$G139),3,"")</f>
        <v/>
      </c>
      <c r="BI139" s="34">
        <f>IF(AND(BI$5&gt;=$F139,BI$5&lt;=$G139),3,"")</f>
        <v/>
      </c>
      <c r="BJ139" s="34">
        <f>IF(AND(BJ$5&gt;=$F139,BJ$5&lt;=$G139),3,"")</f>
        <v/>
      </c>
      <c r="BK139" s="34">
        <f>IF(AND(BK$5&gt;=$F139,BK$5&lt;=$G139),3,"")</f>
        <v/>
      </c>
      <c r="BL139" s="34">
        <f>IF(AND(BL$5&gt;=$F139,BL$5&lt;=$G139),3,"")</f>
        <v/>
      </c>
      <c r="BM139" s="34">
        <f>IF(AND(BM$5&gt;=$F139,BM$5&lt;=$G139),3,"")</f>
        <v/>
      </c>
      <c r="BN139" s="34">
        <f>IF(AND(BN$5&gt;=$F139,BN$5&lt;=$G139),3,"")</f>
        <v/>
      </c>
    </row>
    <row r="140" ht="14.25" customHeight="1" s="36">
      <c r="A140" s="13" t="inlineStr">
        <is>
          <t>3 Construcción</t>
        </is>
      </c>
      <c r="B140" s="13" t="inlineStr">
        <is>
          <t>3.11.5</t>
        </is>
      </c>
      <c r="C140" s="13" t="inlineStr">
        <is>
          <t>Depósito del código fuente en el repositorio del CLIENTE en cada liberación</t>
        </is>
      </c>
      <c r="D140" s="13" t="inlineStr">
        <is>
          <t>G</t>
        </is>
      </c>
      <c r="E140" s="13" t="inlineStr">
        <is>
          <t>Desarrollo</t>
        </is>
      </c>
      <c r="F140" s="13" t="n">
        <v>6</v>
      </c>
      <c r="G140" s="13" t="n">
        <v>20</v>
      </c>
      <c r="H140" s="13">
        <f>G140-F140+1</f>
        <v/>
      </c>
      <c r="I140" s="31" t="n">
        <v>80</v>
      </c>
      <c r="J140" s="13" t="inlineStr">
        <is>
          <t>Esfuerzo continuo (por quincena u ocurrencia)</t>
        </is>
      </c>
      <c r="K140" s="34">
        <f>IF(AND(K$5&gt;=$F140,K$5&lt;=$G140),3,"")</f>
        <v/>
      </c>
      <c r="L140" s="34">
        <f>IF(AND(L$5&gt;=$F140,L$5&lt;=$G140),3,"")</f>
        <v/>
      </c>
      <c r="M140" s="34">
        <f>IF(AND(M$5&gt;=$F140,M$5&lt;=$G140),3,"")</f>
        <v/>
      </c>
      <c r="N140" s="34">
        <f>IF(AND(N$5&gt;=$F140,N$5&lt;=$G140),3,"")</f>
        <v/>
      </c>
      <c r="O140" s="34">
        <f>IF(AND(O$5&gt;=$F140,O$5&lt;=$G140),3,"")</f>
        <v/>
      </c>
      <c r="P140" s="34">
        <f>IF(AND(P$5&gt;=$F140,P$5&lt;=$G140),3,"")</f>
        <v/>
      </c>
      <c r="Q140" s="34">
        <f>IF(AND(Q$5&gt;=$F140,Q$5&lt;=$G140),3,"")</f>
        <v/>
      </c>
      <c r="R140" s="34">
        <f>IF(AND(R$5&gt;=$F140,R$5&lt;=$G140),3,"")</f>
        <v/>
      </c>
      <c r="S140" s="34">
        <f>IF(AND(S$5&gt;=$F140,S$5&lt;=$G140),3,"")</f>
        <v/>
      </c>
      <c r="T140" s="34">
        <f>IF(AND(T$5&gt;=$F140,T$5&lt;=$G140),3,"")</f>
        <v/>
      </c>
      <c r="U140" s="34">
        <f>IF(AND(U$5&gt;=$F140,U$5&lt;=$G140),3,"")</f>
        <v/>
      </c>
      <c r="V140" s="34">
        <f>IF(AND(V$5&gt;=$F140,V$5&lt;=$G140),3,"")</f>
        <v/>
      </c>
      <c r="W140" s="34">
        <f>IF(AND(W$5&gt;=$F140,W$5&lt;=$G140),3,"")</f>
        <v/>
      </c>
      <c r="X140" s="34">
        <f>IF(AND(X$5&gt;=$F140,X$5&lt;=$G140),3,"")</f>
        <v/>
      </c>
      <c r="Y140" s="34">
        <f>IF(AND(Y$5&gt;=$F140,Y$5&lt;=$G140),3,"")</f>
        <v/>
      </c>
      <c r="Z140" s="34">
        <f>IF(AND(Z$5&gt;=$F140,Z$5&lt;=$G140),3,"")</f>
        <v/>
      </c>
      <c r="AA140" s="34">
        <f>IF(AND(AA$5&gt;=$F140,AA$5&lt;=$G140),3,"")</f>
        <v/>
      </c>
      <c r="AB140" s="34">
        <f>IF(AND(AB$5&gt;=$F140,AB$5&lt;=$G140),3,"")</f>
        <v/>
      </c>
      <c r="AC140" s="34">
        <f>IF(AND(AC$5&gt;=$F140,AC$5&lt;=$G140),3,"")</f>
        <v/>
      </c>
      <c r="AD140" s="34">
        <f>IF(AND(AD$5&gt;=$F140,AD$5&lt;=$G140),3,"")</f>
        <v/>
      </c>
      <c r="AE140" s="34">
        <f>IF(AND(AE$5&gt;=$F140,AE$5&lt;=$G140),3,"")</f>
        <v/>
      </c>
      <c r="AF140" s="34">
        <f>IF(AND(AF$5&gt;=$F140,AF$5&lt;=$G140),3,"")</f>
        <v/>
      </c>
      <c r="AG140" s="34">
        <f>IF(AND(AG$5&gt;=$F140,AG$5&lt;=$G140),3,"")</f>
        <v/>
      </c>
      <c r="AH140" s="34">
        <f>IF(AND(AH$5&gt;=$F140,AH$5&lt;=$G140),3,"")</f>
        <v/>
      </c>
      <c r="AI140" s="34">
        <f>IF(AND(AI$5&gt;=$F140,AI$5&lt;=$G140),3,"")</f>
        <v/>
      </c>
      <c r="AJ140" s="34">
        <f>IF(AND(AJ$5&gt;=$F140,AJ$5&lt;=$G140),3,"")</f>
        <v/>
      </c>
      <c r="AK140" s="34">
        <f>IF(AND(AK$5&gt;=$F140,AK$5&lt;=$G140),3,"")</f>
        <v/>
      </c>
      <c r="AL140" s="34">
        <f>IF(AND(AL$5&gt;=$F140,AL$5&lt;=$G140),3,"")</f>
        <v/>
      </c>
      <c r="AM140" s="34">
        <f>IF(AND(AM$5&gt;=$F140,AM$5&lt;=$G140),3,"")</f>
        <v/>
      </c>
      <c r="AN140" s="34">
        <f>IF(AND(AN$5&gt;=$F140,AN$5&lt;=$G140),3,"")</f>
        <v/>
      </c>
      <c r="AO140" s="34">
        <f>IF(AND(AO$5&gt;=$F140,AO$5&lt;=$G140),3,"")</f>
        <v/>
      </c>
      <c r="AP140" s="34">
        <f>IF(AND(AP$5&gt;=$F140,AP$5&lt;=$G140),3,"")</f>
        <v/>
      </c>
      <c r="AQ140" s="34">
        <f>IF(AND(AQ$5&gt;=$F140,AQ$5&lt;=$G140),3,"")</f>
        <v/>
      </c>
      <c r="AR140" s="34">
        <f>IF(AND(AR$5&gt;=$F140,AR$5&lt;=$G140),3,"")</f>
        <v/>
      </c>
      <c r="AS140" s="34">
        <f>IF(AND(AS$5&gt;=$F140,AS$5&lt;=$G140),3,"")</f>
        <v/>
      </c>
      <c r="AT140" s="34">
        <f>IF(AND(AT$5&gt;=$F140,AT$5&lt;=$G140),3,"")</f>
        <v/>
      </c>
      <c r="AU140" s="34">
        <f>IF(AND(AU$5&gt;=$F140,AU$5&lt;=$G140),3,"")</f>
        <v/>
      </c>
      <c r="AV140" s="34">
        <f>IF(AND(AV$5&gt;=$F140,AV$5&lt;=$G140),3,"")</f>
        <v/>
      </c>
      <c r="AW140" s="34">
        <f>IF(AND(AW$5&gt;=$F140,AW$5&lt;=$G140),3,"")</f>
        <v/>
      </c>
      <c r="AX140" s="34">
        <f>IF(AND(AX$5&gt;=$F140,AX$5&lt;=$G140),3,"")</f>
        <v/>
      </c>
      <c r="AY140" s="34">
        <f>IF(AND(AY$5&gt;=$F140,AY$5&lt;=$G140),3,"")</f>
        <v/>
      </c>
      <c r="AZ140" s="34">
        <f>IF(AND(AZ$5&gt;=$F140,AZ$5&lt;=$G140),3,"")</f>
        <v/>
      </c>
      <c r="BA140" s="34">
        <f>IF(AND(BA$5&gt;=$F140,BA$5&lt;=$G140),3,"")</f>
        <v/>
      </c>
      <c r="BB140" s="34">
        <f>IF(AND(BB$5&gt;=$F140,BB$5&lt;=$G140),3,"")</f>
        <v/>
      </c>
      <c r="BC140" s="34">
        <f>IF(AND(BC$5&gt;=$F140,BC$5&lt;=$G140),3,"")</f>
        <v/>
      </c>
      <c r="BD140" s="34">
        <f>IF(AND(BD$5&gt;=$F140,BD$5&lt;=$G140),3,"")</f>
        <v/>
      </c>
      <c r="BE140" s="34">
        <f>IF(AND(BE$5&gt;=$F140,BE$5&lt;=$G140),3,"")</f>
        <v/>
      </c>
      <c r="BF140" s="34">
        <f>IF(AND(BF$5&gt;=$F140,BF$5&lt;=$G140),3,"")</f>
        <v/>
      </c>
      <c r="BG140" s="34">
        <f>IF(AND(BG$5&gt;=$F140,BG$5&lt;=$G140),3,"")</f>
        <v/>
      </c>
      <c r="BH140" s="34">
        <f>IF(AND(BH$5&gt;=$F140,BH$5&lt;=$G140),3,"")</f>
        <v/>
      </c>
      <c r="BI140" s="34">
        <f>IF(AND(BI$5&gt;=$F140,BI$5&lt;=$G140),3,"")</f>
        <v/>
      </c>
      <c r="BJ140" s="34">
        <f>IF(AND(BJ$5&gt;=$F140,BJ$5&lt;=$G140),3,"")</f>
        <v/>
      </c>
      <c r="BK140" s="34">
        <f>IF(AND(BK$5&gt;=$F140,BK$5&lt;=$G140),3,"")</f>
        <v/>
      </c>
      <c r="BL140" s="34">
        <f>IF(AND(BL$5&gt;=$F140,BL$5&lt;=$G140),3,"")</f>
        <v/>
      </c>
      <c r="BM140" s="34">
        <f>IF(AND(BM$5&gt;=$F140,BM$5&lt;=$G140),3,"")</f>
        <v/>
      </c>
      <c r="BN140" s="34">
        <f>IF(AND(BN$5&gt;=$F140,BN$5&lt;=$G140),3,"")</f>
        <v/>
      </c>
    </row>
    <row r="141" ht="14.25" customHeight="1" s="36">
      <c r="A141" s="13" t="inlineStr">
        <is>
          <t>4 Transición</t>
        </is>
      </c>
      <c r="B141" s="13" t="inlineStr">
        <is>
          <t>4.1.1</t>
        </is>
      </c>
      <c r="C141" s="13" t="inlineStr">
        <is>
          <t>Plan de olas de la Etapa 1 por sitio y zona: Talca, Concepción y plataformas de cross-docking</t>
        </is>
      </c>
      <c r="D141" s="13" t="inlineStr">
        <is>
          <t>G</t>
        </is>
      </c>
      <c r="E141" s="13" t="inlineStr">
        <is>
          <t>Implantación y gestión del cambio</t>
        </is>
      </c>
      <c r="F141" s="13" t="n">
        <v>10</v>
      </c>
      <c r="G141" s="13" t="n">
        <v>10</v>
      </c>
      <c r="H141" s="13">
        <f>G141-F141+1</f>
        <v/>
      </c>
      <c r="I141" s="31" t="n">
        <v>80</v>
      </c>
      <c r="J141" s="13" t="inlineStr">
        <is>
          <t>Con entregable (detalle por planificación gradual)</t>
        </is>
      </c>
      <c r="K141" s="34">
        <f>IF(AND(K$5&gt;=$F141,K$5&lt;=$G141),4,"")</f>
        <v/>
      </c>
      <c r="L141" s="34">
        <f>IF(AND(L$5&gt;=$F141,L$5&lt;=$G141),4,"")</f>
        <v/>
      </c>
      <c r="M141" s="34">
        <f>IF(AND(M$5&gt;=$F141,M$5&lt;=$G141),4,"")</f>
        <v/>
      </c>
      <c r="N141" s="34">
        <f>IF(AND(N$5&gt;=$F141,N$5&lt;=$G141),4,"")</f>
        <v/>
      </c>
      <c r="O141" s="34">
        <f>IF(AND(O$5&gt;=$F141,O$5&lt;=$G141),4,"")</f>
        <v/>
      </c>
      <c r="P141" s="34">
        <f>IF(AND(P$5&gt;=$F141,P$5&lt;=$G141),4,"")</f>
        <v/>
      </c>
      <c r="Q141" s="34">
        <f>IF(AND(Q$5&gt;=$F141,Q$5&lt;=$G141),4,"")</f>
        <v/>
      </c>
      <c r="R141" s="34">
        <f>IF(AND(R$5&gt;=$F141,R$5&lt;=$G141),4,"")</f>
        <v/>
      </c>
      <c r="S141" s="34">
        <f>IF(AND(S$5&gt;=$F141,S$5&lt;=$G141),4,"")</f>
        <v/>
      </c>
      <c r="T141" s="34">
        <f>IF(AND(T$5&gt;=$F141,T$5&lt;=$G141),4,"")</f>
        <v/>
      </c>
      <c r="U141" s="34">
        <f>IF(AND(U$5&gt;=$F141,U$5&lt;=$G141),4,"")</f>
        <v/>
      </c>
      <c r="V141" s="34">
        <f>IF(AND(V$5&gt;=$F141,V$5&lt;=$G141),4,"")</f>
        <v/>
      </c>
      <c r="W141" s="34">
        <f>IF(AND(W$5&gt;=$F141,W$5&lt;=$G141),4,"")</f>
        <v/>
      </c>
      <c r="X141" s="34">
        <f>IF(AND(X$5&gt;=$F141,X$5&lt;=$G141),4,"")</f>
        <v/>
      </c>
      <c r="Y141" s="34">
        <f>IF(AND(Y$5&gt;=$F141,Y$5&lt;=$G141),4,"")</f>
        <v/>
      </c>
      <c r="Z141" s="34">
        <f>IF(AND(Z$5&gt;=$F141,Z$5&lt;=$G141),4,"")</f>
        <v/>
      </c>
      <c r="AA141" s="34">
        <f>IF(AND(AA$5&gt;=$F141,AA$5&lt;=$G141),4,"")</f>
        <v/>
      </c>
      <c r="AB141" s="34">
        <f>IF(AND(AB$5&gt;=$F141,AB$5&lt;=$G141),4,"")</f>
        <v/>
      </c>
      <c r="AC141" s="34">
        <f>IF(AND(AC$5&gt;=$F141,AC$5&lt;=$G141),4,"")</f>
        <v/>
      </c>
      <c r="AD141" s="34">
        <f>IF(AND(AD$5&gt;=$F141,AD$5&lt;=$G141),4,"")</f>
        <v/>
      </c>
      <c r="AE141" s="34">
        <f>IF(AND(AE$5&gt;=$F141,AE$5&lt;=$G141),4,"")</f>
        <v/>
      </c>
      <c r="AF141" s="34">
        <f>IF(AND(AF$5&gt;=$F141,AF$5&lt;=$G141),4,"")</f>
        <v/>
      </c>
      <c r="AG141" s="34">
        <f>IF(AND(AG$5&gt;=$F141,AG$5&lt;=$G141),4,"")</f>
        <v/>
      </c>
      <c r="AH141" s="34">
        <f>IF(AND(AH$5&gt;=$F141,AH$5&lt;=$G141),4,"")</f>
        <v/>
      </c>
      <c r="AI141" s="34">
        <f>IF(AND(AI$5&gt;=$F141,AI$5&lt;=$G141),4,"")</f>
        <v/>
      </c>
      <c r="AJ141" s="34">
        <f>IF(AND(AJ$5&gt;=$F141,AJ$5&lt;=$G141),4,"")</f>
        <v/>
      </c>
      <c r="AK141" s="34">
        <f>IF(AND(AK$5&gt;=$F141,AK$5&lt;=$G141),4,"")</f>
        <v/>
      </c>
      <c r="AL141" s="34">
        <f>IF(AND(AL$5&gt;=$F141,AL$5&lt;=$G141),4,"")</f>
        <v/>
      </c>
      <c r="AM141" s="34">
        <f>IF(AND(AM$5&gt;=$F141,AM$5&lt;=$G141),4,"")</f>
        <v/>
      </c>
      <c r="AN141" s="34">
        <f>IF(AND(AN$5&gt;=$F141,AN$5&lt;=$G141),4,"")</f>
        <v/>
      </c>
      <c r="AO141" s="34">
        <f>IF(AND(AO$5&gt;=$F141,AO$5&lt;=$G141),4,"")</f>
        <v/>
      </c>
      <c r="AP141" s="34">
        <f>IF(AND(AP$5&gt;=$F141,AP$5&lt;=$G141),4,"")</f>
        <v/>
      </c>
      <c r="AQ141" s="34">
        <f>IF(AND(AQ$5&gt;=$F141,AQ$5&lt;=$G141),4,"")</f>
        <v/>
      </c>
      <c r="AR141" s="34">
        <f>IF(AND(AR$5&gt;=$F141,AR$5&lt;=$G141),4,"")</f>
        <v/>
      </c>
      <c r="AS141" s="34">
        <f>IF(AND(AS$5&gt;=$F141,AS$5&lt;=$G141),4,"")</f>
        <v/>
      </c>
      <c r="AT141" s="34">
        <f>IF(AND(AT$5&gt;=$F141,AT$5&lt;=$G141),4,"")</f>
        <v/>
      </c>
      <c r="AU141" s="34">
        <f>IF(AND(AU$5&gt;=$F141,AU$5&lt;=$G141),4,"")</f>
        <v/>
      </c>
      <c r="AV141" s="34">
        <f>IF(AND(AV$5&gt;=$F141,AV$5&lt;=$G141),4,"")</f>
        <v/>
      </c>
      <c r="AW141" s="34">
        <f>IF(AND(AW$5&gt;=$F141,AW$5&lt;=$G141),4,"")</f>
        <v/>
      </c>
      <c r="AX141" s="34">
        <f>IF(AND(AX$5&gt;=$F141,AX$5&lt;=$G141),4,"")</f>
        <v/>
      </c>
      <c r="AY141" s="34">
        <f>IF(AND(AY$5&gt;=$F141,AY$5&lt;=$G141),4,"")</f>
        <v/>
      </c>
      <c r="AZ141" s="34">
        <f>IF(AND(AZ$5&gt;=$F141,AZ$5&lt;=$G141),4,"")</f>
        <v/>
      </c>
      <c r="BA141" s="34">
        <f>IF(AND(BA$5&gt;=$F141,BA$5&lt;=$G141),4,"")</f>
        <v/>
      </c>
      <c r="BB141" s="34">
        <f>IF(AND(BB$5&gt;=$F141,BB$5&lt;=$G141),4,"")</f>
        <v/>
      </c>
      <c r="BC141" s="34">
        <f>IF(AND(BC$5&gt;=$F141,BC$5&lt;=$G141),4,"")</f>
        <v/>
      </c>
      <c r="BD141" s="34">
        <f>IF(AND(BD$5&gt;=$F141,BD$5&lt;=$G141),4,"")</f>
        <v/>
      </c>
      <c r="BE141" s="34">
        <f>IF(AND(BE$5&gt;=$F141,BE$5&lt;=$G141),4,"")</f>
        <v/>
      </c>
      <c r="BF141" s="34">
        <f>IF(AND(BF$5&gt;=$F141,BF$5&lt;=$G141),4,"")</f>
        <v/>
      </c>
      <c r="BG141" s="34">
        <f>IF(AND(BG$5&gt;=$F141,BG$5&lt;=$G141),4,"")</f>
        <v/>
      </c>
      <c r="BH141" s="34">
        <f>IF(AND(BH$5&gt;=$F141,BH$5&lt;=$G141),4,"")</f>
        <v/>
      </c>
      <c r="BI141" s="34">
        <f>IF(AND(BI$5&gt;=$F141,BI$5&lt;=$G141),4,"")</f>
        <v/>
      </c>
      <c r="BJ141" s="34">
        <f>IF(AND(BJ$5&gt;=$F141,BJ$5&lt;=$G141),4,"")</f>
        <v/>
      </c>
      <c r="BK141" s="34">
        <f>IF(AND(BK$5&gt;=$F141,BK$5&lt;=$G141),4,"")</f>
        <v/>
      </c>
      <c r="BL141" s="34">
        <f>IF(AND(BL$5&gt;=$F141,BL$5&lt;=$G141),4,"")</f>
        <v/>
      </c>
      <c r="BM141" s="34">
        <f>IF(AND(BM$5&gt;=$F141,BM$5&lt;=$G141),4,"")</f>
        <v/>
      </c>
      <c r="BN141" s="34">
        <f>IF(AND(BN$5&gt;=$F141,BN$5&lt;=$G141),4,"")</f>
        <v/>
      </c>
    </row>
    <row r="142" ht="14.25" customHeight="1" s="36">
      <c r="A142" s="13" t="inlineStr">
        <is>
          <t>4 Transición</t>
        </is>
      </c>
      <c r="B142" s="13" t="inlineStr">
        <is>
          <t>4.1.2</t>
        </is>
      </c>
      <c r="C142" s="13" t="inlineStr">
        <is>
          <t>Procedimiento de reversión de la Etapa 1 antes de las 05:30, con hoja de picking y guía en papel</t>
        </is>
      </c>
      <c r="D142" s="13" t="inlineStr">
        <is>
          <t>G</t>
        </is>
      </c>
      <c r="E142" s="13" t="inlineStr">
        <is>
          <t>Implantación y gestión del cambio</t>
        </is>
      </c>
      <c r="F142" s="13" t="n">
        <v>11</v>
      </c>
      <c r="G142" s="13" t="n">
        <v>11</v>
      </c>
      <c r="H142" s="13">
        <f>G142-F142+1</f>
        <v/>
      </c>
      <c r="I142" s="31" t="n">
        <v>80</v>
      </c>
      <c r="J142" s="13" t="inlineStr">
        <is>
          <t>Con entregable (detalle por planificación gradual)</t>
        </is>
      </c>
      <c r="K142" s="34">
        <f>IF(AND(K$5&gt;=$F142,K$5&lt;=$G142),4,"")</f>
        <v/>
      </c>
      <c r="L142" s="34">
        <f>IF(AND(L$5&gt;=$F142,L$5&lt;=$G142),4,"")</f>
        <v/>
      </c>
      <c r="M142" s="34">
        <f>IF(AND(M$5&gt;=$F142,M$5&lt;=$G142),4,"")</f>
        <v/>
      </c>
      <c r="N142" s="34">
        <f>IF(AND(N$5&gt;=$F142,N$5&lt;=$G142),4,"")</f>
        <v/>
      </c>
      <c r="O142" s="34">
        <f>IF(AND(O$5&gt;=$F142,O$5&lt;=$G142),4,"")</f>
        <v/>
      </c>
      <c r="P142" s="34">
        <f>IF(AND(P$5&gt;=$F142,P$5&lt;=$G142),4,"")</f>
        <v/>
      </c>
      <c r="Q142" s="34">
        <f>IF(AND(Q$5&gt;=$F142,Q$5&lt;=$G142),4,"")</f>
        <v/>
      </c>
      <c r="R142" s="34">
        <f>IF(AND(R$5&gt;=$F142,R$5&lt;=$G142),4,"")</f>
        <v/>
      </c>
      <c r="S142" s="34">
        <f>IF(AND(S$5&gt;=$F142,S$5&lt;=$G142),4,"")</f>
        <v/>
      </c>
      <c r="T142" s="34">
        <f>IF(AND(T$5&gt;=$F142,T$5&lt;=$G142),4,"")</f>
        <v/>
      </c>
      <c r="U142" s="34">
        <f>IF(AND(U$5&gt;=$F142,U$5&lt;=$G142),4,"")</f>
        <v/>
      </c>
      <c r="V142" s="34">
        <f>IF(AND(V$5&gt;=$F142,V$5&lt;=$G142),4,"")</f>
        <v/>
      </c>
      <c r="W142" s="34">
        <f>IF(AND(W$5&gt;=$F142,W$5&lt;=$G142),4,"")</f>
        <v/>
      </c>
      <c r="X142" s="34">
        <f>IF(AND(X$5&gt;=$F142,X$5&lt;=$G142),4,"")</f>
        <v/>
      </c>
      <c r="Y142" s="34">
        <f>IF(AND(Y$5&gt;=$F142,Y$5&lt;=$G142),4,"")</f>
        <v/>
      </c>
      <c r="Z142" s="34">
        <f>IF(AND(Z$5&gt;=$F142,Z$5&lt;=$G142),4,"")</f>
        <v/>
      </c>
      <c r="AA142" s="34">
        <f>IF(AND(AA$5&gt;=$F142,AA$5&lt;=$G142),4,"")</f>
        <v/>
      </c>
      <c r="AB142" s="34">
        <f>IF(AND(AB$5&gt;=$F142,AB$5&lt;=$G142),4,"")</f>
        <v/>
      </c>
      <c r="AC142" s="34">
        <f>IF(AND(AC$5&gt;=$F142,AC$5&lt;=$G142),4,"")</f>
        <v/>
      </c>
      <c r="AD142" s="34">
        <f>IF(AND(AD$5&gt;=$F142,AD$5&lt;=$G142),4,"")</f>
        <v/>
      </c>
      <c r="AE142" s="34">
        <f>IF(AND(AE$5&gt;=$F142,AE$5&lt;=$G142),4,"")</f>
        <v/>
      </c>
      <c r="AF142" s="34">
        <f>IF(AND(AF$5&gt;=$F142,AF$5&lt;=$G142),4,"")</f>
        <v/>
      </c>
      <c r="AG142" s="34">
        <f>IF(AND(AG$5&gt;=$F142,AG$5&lt;=$G142),4,"")</f>
        <v/>
      </c>
      <c r="AH142" s="34">
        <f>IF(AND(AH$5&gt;=$F142,AH$5&lt;=$G142),4,"")</f>
        <v/>
      </c>
      <c r="AI142" s="34">
        <f>IF(AND(AI$5&gt;=$F142,AI$5&lt;=$G142),4,"")</f>
        <v/>
      </c>
      <c r="AJ142" s="34">
        <f>IF(AND(AJ$5&gt;=$F142,AJ$5&lt;=$G142),4,"")</f>
        <v/>
      </c>
      <c r="AK142" s="34">
        <f>IF(AND(AK$5&gt;=$F142,AK$5&lt;=$G142),4,"")</f>
        <v/>
      </c>
      <c r="AL142" s="34">
        <f>IF(AND(AL$5&gt;=$F142,AL$5&lt;=$G142),4,"")</f>
        <v/>
      </c>
      <c r="AM142" s="34">
        <f>IF(AND(AM$5&gt;=$F142,AM$5&lt;=$G142),4,"")</f>
        <v/>
      </c>
      <c r="AN142" s="34">
        <f>IF(AND(AN$5&gt;=$F142,AN$5&lt;=$G142),4,"")</f>
        <v/>
      </c>
      <c r="AO142" s="34">
        <f>IF(AND(AO$5&gt;=$F142,AO$5&lt;=$G142),4,"")</f>
        <v/>
      </c>
      <c r="AP142" s="34">
        <f>IF(AND(AP$5&gt;=$F142,AP$5&lt;=$G142),4,"")</f>
        <v/>
      </c>
      <c r="AQ142" s="34">
        <f>IF(AND(AQ$5&gt;=$F142,AQ$5&lt;=$G142),4,"")</f>
        <v/>
      </c>
      <c r="AR142" s="34">
        <f>IF(AND(AR$5&gt;=$F142,AR$5&lt;=$G142),4,"")</f>
        <v/>
      </c>
      <c r="AS142" s="34">
        <f>IF(AND(AS$5&gt;=$F142,AS$5&lt;=$G142),4,"")</f>
        <v/>
      </c>
      <c r="AT142" s="34">
        <f>IF(AND(AT$5&gt;=$F142,AT$5&lt;=$G142),4,"")</f>
        <v/>
      </c>
      <c r="AU142" s="34">
        <f>IF(AND(AU$5&gt;=$F142,AU$5&lt;=$G142),4,"")</f>
        <v/>
      </c>
      <c r="AV142" s="34">
        <f>IF(AND(AV$5&gt;=$F142,AV$5&lt;=$G142),4,"")</f>
        <v/>
      </c>
      <c r="AW142" s="34">
        <f>IF(AND(AW$5&gt;=$F142,AW$5&lt;=$G142),4,"")</f>
        <v/>
      </c>
      <c r="AX142" s="34">
        <f>IF(AND(AX$5&gt;=$F142,AX$5&lt;=$G142),4,"")</f>
        <v/>
      </c>
      <c r="AY142" s="34">
        <f>IF(AND(AY$5&gt;=$F142,AY$5&lt;=$G142),4,"")</f>
        <v/>
      </c>
      <c r="AZ142" s="34">
        <f>IF(AND(AZ$5&gt;=$F142,AZ$5&lt;=$G142),4,"")</f>
        <v/>
      </c>
      <c r="BA142" s="34">
        <f>IF(AND(BA$5&gt;=$F142,BA$5&lt;=$G142),4,"")</f>
        <v/>
      </c>
      <c r="BB142" s="34">
        <f>IF(AND(BB$5&gt;=$F142,BB$5&lt;=$G142),4,"")</f>
        <v/>
      </c>
      <c r="BC142" s="34">
        <f>IF(AND(BC$5&gt;=$F142,BC$5&lt;=$G142),4,"")</f>
        <v/>
      </c>
      <c r="BD142" s="34">
        <f>IF(AND(BD$5&gt;=$F142,BD$5&lt;=$G142),4,"")</f>
        <v/>
      </c>
      <c r="BE142" s="34">
        <f>IF(AND(BE$5&gt;=$F142,BE$5&lt;=$G142),4,"")</f>
        <v/>
      </c>
      <c r="BF142" s="34">
        <f>IF(AND(BF$5&gt;=$F142,BF$5&lt;=$G142),4,"")</f>
        <v/>
      </c>
      <c r="BG142" s="34">
        <f>IF(AND(BG$5&gt;=$F142,BG$5&lt;=$G142),4,"")</f>
        <v/>
      </c>
      <c r="BH142" s="34">
        <f>IF(AND(BH$5&gt;=$F142,BH$5&lt;=$G142),4,"")</f>
        <v/>
      </c>
      <c r="BI142" s="34">
        <f>IF(AND(BI$5&gt;=$F142,BI$5&lt;=$G142),4,"")</f>
        <v/>
      </c>
      <c r="BJ142" s="34">
        <f>IF(AND(BJ$5&gt;=$F142,BJ$5&lt;=$G142),4,"")</f>
        <v/>
      </c>
      <c r="BK142" s="34">
        <f>IF(AND(BK$5&gt;=$F142,BK$5&lt;=$G142),4,"")</f>
        <v/>
      </c>
      <c r="BL142" s="34">
        <f>IF(AND(BL$5&gt;=$F142,BL$5&lt;=$G142),4,"")</f>
        <v/>
      </c>
      <c r="BM142" s="34">
        <f>IF(AND(BM$5&gt;=$F142,BM$5&lt;=$G142),4,"")</f>
        <v/>
      </c>
      <c r="BN142" s="34">
        <f>IF(AND(BN$5&gt;=$F142,BN$5&lt;=$G142),4,"")</f>
        <v/>
      </c>
    </row>
    <row r="143" ht="14.25" customHeight="1" s="36">
      <c r="A143" s="13" t="inlineStr">
        <is>
          <t>4 Transición</t>
        </is>
      </c>
      <c r="B143" s="13" t="inlineStr">
        <is>
          <t>4.1.3</t>
        </is>
      </c>
      <c r="C143" s="13" t="inlineStr">
        <is>
          <t>Plan de implantación y reversión de la Etapa 2 fuera de la ventana de 05:30 a 07:00</t>
        </is>
      </c>
      <c r="D143" s="13" t="inlineStr">
        <is>
          <t>G</t>
        </is>
      </c>
      <c r="E143" s="13" t="inlineStr">
        <is>
          <t>Implantación y gestión del cambio</t>
        </is>
      </c>
      <c r="F143" s="13" t="n">
        <v>17</v>
      </c>
      <c r="G143" s="13" t="n">
        <v>17</v>
      </c>
      <c r="H143" s="13">
        <f>G143-F143+1</f>
        <v/>
      </c>
      <c r="I143" s="31" t="n">
        <v>80</v>
      </c>
      <c r="J143" s="13" t="inlineStr">
        <is>
          <t>Con entregable (detalle por planificación gradual)</t>
        </is>
      </c>
      <c r="K143" s="34">
        <f>IF(AND(K$5&gt;=$F143,K$5&lt;=$G143),4,"")</f>
        <v/>
      </c>
      <c r="L143" s="34">
        <f>IF(AND(L$5&gt;=$F143,L$5&lt;=$G143),4,"")</f>
        <v/>
      </c>
      <c r="M143" s="34">
        <f>IF(AND(M$5&gt;=$F143,M$5&lt;=$G143),4,"")</f>
        <v/>
      </c>
      <c r="N143" s="34">
        <f>IF(AND(N$5&gt;=$F143,N$5&lt;=$G143),4,"")</f>
        <v/>
      </c>
      <c r="O143" s="34">
        <f>IF(AND(O$5&gt;=$F143,O$5&lt;=$G143),4,"")</f>
        <v/>
      </c>
      <c r="P143" s="34">
        <f>IF(AND(P$5&gt;=$F143,P$5&lt;=$G143),4,"")</f>
        <v/>
      </c>
      <c r="Q143" s="34">
        <f>IF(AND(Q$5&gt;=$F143,Q$5&lt;=$G143),4,"")</f>
        <v/>
      </c>
      <c r="R143" s="34">
        <f>IF(AND(R$5&gt;=$F143,R$5&lt;=$G143),4,"")</f>
        <v/>
      </c>
      <c r="S143" s="34">
        <f>IF(AND(S$5&gt;=$F143,S$5&lt;=$G143),4,"")</f>
        <v/>
      </c>
      <c r="T143" s="34">
        <f>IF(AND(T$5&gt;=$F143,T$5&lt;=$G143),4,"")</f>
        <v/>
      </c>
      <c r="U143" s="34">
        <f>IF(AND(U$5&gt;=$F143,U$5&lt;=$G143),4,"")</f>
        <v/>
      </c>
      <c r="V143" s="34">
        <f>IF(AND(V$5&gt;=$F143,V$5&lt;=$G143),4,"")</f>
        <v/>
      </c>
      <c r="W143" s="34">
        <f>IF(AND(W$5&gt;=$F143,W$5&lt;=$G143),4,"")</f>
        <v/>
      </c>
      <c r="X143" s="34">
        <f>IF(AND(X$5&gt;=$F143,X$5&lt;=$G143),4,"")</f>
        <v/>
      </c>
      <c r="Y143" s="34">
        <f>IF(AND(Y$5&gt;=$F143,Y$5&lt;=$G143),4,"")</f>
        <v/>
      </c>
      <c r="Z143" s="34">
        <f>IF(AND(Z$5&gt;=$F143,Z$5&lt;=$G143),4,"")</f>
        <v/>
      </c>
      <c r="AA143" s="34">
        <f>IF(AND(AA$5&gt;=$F143,AA$5&lt;=$G143),4,"")</f>
        <v/>
      </c>
      <c r="AB143" s="34">
        <f>IF(AND(AB$5&gt;=$F143,AB$5&lt;=$G143),4,"")</f>
        <v/>
      </c>
      <c r="AC143" s="34">
        <f>IF(AND(AC$5&gt;=$F143,AC$5&lt;=$G143),4,"")</f>
        <v/>
      </c>
      <c r="AD143" s="34">
        <f>IF(AND(AD$5&gt;=$F143,AD$5&lt;=$G143),4,"")</f>
        <v/>
      </c>
      <c r="AE143" s="34">
        <f>IF(AND(AE$5&gt;=$F143,AE$5&lt;=$G143),4,"")</f>
        <v/>
      </c>
      <c r="AF143" s="34">
        <f>IF(AND(AF$5&gt;=$F143,AF$5&lt;=$G143),4,"")</f>
        <v/>
      </c>
      <c r="AG143" s="34">
        <f>IF(AND(AG$5&gt;=$F143,AG$5&lt;=$G143),4,"")</f>
        <v/>
      </c>
      <c r="AH143" s="34">
        <f>IF(AND(AH$5&gt;=$F143,AH$5&lt;=$G143),4,"")</f>
        <v/>
      </c>
      <c r="AI143" s="34">
        <f>IF(AND(AI$5&gt;=$F143,AI$5&lt;=$G143),4,"")</f>
        <v/>
      </c>
      <c r="AJ143" s="34">
        <f>IF(AND(AJ$5&gt;=$F143,AJ$5&lt;=$G143),4,"")</f>
        <v/>
      </c>
      <c r="AK143" s="34">
        <f>IF(AND(AK$5&gt;=$F143,AK$5&lt;=$G143),4,"")</f>
        <v/>
      </c>
      <c r="AL143" s="34">
        <f>IF(AND(AL$5&gt;=$F143,AL$5&lt;=$G143),4,"")</f>
        <v/>
      </c>
      <c r="AM143" s="34">
        <f>IF(AND(AM$5&gt;=$F143,AM$5&lt;=$G143),4,"")</f>
        <v/>
      </c>
      <c r="AN143" s="34">
        <f>IF(AND(AN$5&gt;=$F143,AN$5&lt;=$G143),4,"")</f>
        <v/>
      </c>
      <c r="AO143" s="34">
        <f>IF(AND(AO$5&gt;=$F143,AO$5&lt;=$G143),4,"")</f>
        <v/>
      </c>
      <c r="AP143" s="34">
        <f>IF(AND(AP$5&gt;=$F143,AP$5&lt;=$G143),4,"")</f>
        <v/>
      </c>
      <c r="AQ143" s="34">
        <f>IF(AND(AQ$5&gt;=$F143,AQ$5&lt;=$G143),4,"")</f>
        <v/>
      </c>
      <c r="AR143" s="34">
        <f>IF(AND(AR$5&gt;=$F143,AR$5&lt;=$G143),4,"")</f>
        <v/>
      </c>
      <c r="AS143" s="34">
        <f>IF(AND(AS$5&gt;=$F143,AS$5&lt;=$G143),4,"")</f>
        <v/>
      </c>
      <c r="AT143" s="34">
        <f>IF(AND(AT$5&gt;=$F143,AT$5&lt;=$G143),4,"")</f>
        <v/>
      </c>
      <c r="AU143" s="34">
        <f>IF(AND(AU$5&gt;=$F143,AU$5&lt;=$G143),4,"")</f>
        <v/>
      </c>
      <c r="AV143" s="34">
        <f>IF(AND(AV$5&gt;=$F143,AV$5&lt;=$G143),4,"")</f>
        <v/>
      </c>
      <c r="AW143" s="34">
        <f>IF(AND(AW$5&gt;=$F143,AW$5&lt;=$G143),4,"")</f>
        <v/>
      </c>
      <c r="AX143" s="34">
        <f>IF(AND(AX$5&gt;=$F143,AX$5&lt;=$G143),4,"")</f>
        <v/>
      </c>
      <c r="AY143" s="34">
        <f>IF(AND(AY$5&gt;=$F143,AY$5&lt;=$G143),4,"")</f>
        <v/>
      </c>
      <c r="AZ143" s="34">
        <f>IF(AND(AZ$5&gt;=$F143,AZ$5&lt;=$G143),4,"")</f>
        <v/>
      </c>
      <c r="BA143" s="34">
        <f>IF(AND(BA$5&gt;=$F143,BA$5&lt;=$G143),4,"")</f>
        <v/>
      </c>
      <c r="BB143" s="34">
        <f>IF(AND(BB$5&gt;=$F143,BB$5&lt;=$G143),4,"")</f>
        <v/>
      </c>
      <c r="BC143" s="34">
        <f>IF(AND(BC$5&gt;=$F143,BC$5&lt;=$G143),4,"")</f>
        <v/>
      </c>
      <c r="BD143" s="34">
        <f>IF(AND(BD$5&gt;=$F143,BD$5&lt;=$G143),4,"")</f>
        <v/>
      </c>
      <c r="BE143" s="34">
        <f>IF(AND(BE$5&gt;=$F143,BE$5&lt;=$G143),4,"")</f>
        <v/>
      </c>
      <c r="BF143" s="34">
        <f>IF(AND(BF$5&gt;=$F143,BF$5&lt;=$G143),4,"")</f>
        <v/>
      </c>
      <c r="BG143" s="34">
        <f>IF(AND(BG$5&gt;=$F143,BG$5&lt;=$G143),4,"")</f>
        <v/>
      </c>
      <c r="BH143" s="34">
        <f>IF(AND(BH$5&gt;=$F143,BH$5&lt;=$G143),4,"")</f>
        <v/>
      </c>
      <c r="BI143" s="34">
        <f>IF(AND(BI$5&gt;=$F143,BI$5&lt;=$G143),4,"")</f>
        <v/>
      </c>
      <c r="BJ143" s="34">
        <f>IF(AND(BJ$5&gt;=$F143,BJ$5&lt;=$G143),4,"")</f>
        <v/>
      </c>
      <c r="BK143" s="34">
        <f>IF(AND(BK$5&gt;=$F143,BK$5&lt;=$G143),4,"")</f>
        <v/>
      </c>
      <c r="BL143" s="34">
        <f>IF(AND(BL$5&gt;=$F143,BL$5&lt;=$G143),4,"")</f>
        <v/>
      </c>
      <c r="BM143" s="34">
        <f>IF(AND(BM$5&gt;=$F143,BM$5&lt;=$G143),4,"")</f>
        <v/>
      </c>
      <c r="BN143" s="34">
        <f>IF(AND(BN$5&gt;=$F143,BN$5&lt;=$G143),4,"")</f>
        <v/>
      </c>
    </row>
    <row r="144" ht="14.25" customHeight="1" s="36">
      <c r="A144" s="13" t="inlineStr">
        <is>
          <t>4 Transición</t>
        </is>
      </c>
      <c r="B144" s="13" t="inlineStr">
        <is>
          <t>4.2.1</t>
        </is>
      </c>
      <c r="C144" s="13" t="inlineStr">
        <is>
          <t>Marcha blanca de la Etapa 1 con conciliación diaria (H6)</t>
        </is>
      </c>
      <c r="D144" s="13" t="inlineStr">
        <is>
          <t>A</t>
        </is>
      </c>
      <c r="E144" s="13" t="inlineStr">
        <is>
          <t>Implantación y gestión del cambio</t>
        </is>
      </c>
      <c r="F144" s="13" t="n">
        <v>13</v>
      </c>
      <c r="G144" s="13" t="n">
        <v>15</v>
      </c>
      <c r="H144" s="13">
        <f>G144-F144+1</f>
        <v/>
      </c>
      <c r="I144" s="31" t="n">
        <v>7392</v>
      </c>
      <c r="J144" s="13" t="inlineStr">
        <is>
          <t>Esfuerzo continuo (por quincena u ocurrencia)</t>
        </is>
      </c>
      <c r="K144" s="34">
        <f>IF(AND(K$5&gt;=$F144,K$5&lt;=$G144),4,"")</f>
        <v/>
      </c>
      <c r="L144" s="34">
        <f>IF(AND(L$5&gt;=$F144,L$5&lt;=$G144),4,"")</f>
        <v/>
      </c>
      <c r="M144" s="34">
        <f>IF(AND(M$5&gt;=$F144,M$5&lt;=$G144),4,"")</f>
        <v/>
      </c>
      <c r="N144" s="34">
        <f>IF(AND(N$5&gt;=$F144,N$5&lt;=$G144),4,"")</f>
        <v/>
      </c>
      <c r="O144" s="34">
        <f>IF(AND(O$5&gt;=$F144,O$5&lt;=$G144),4,"")</f>
        <v/>
      </c>
      <c r="P144" s="34">
        <f>IF(AND(P$5&gt;=$F144,P$5&lt;=$G144),4,"")</f>
        <v/>
      </c>
      <c r="Q144" s="34">
        <f>IF(AND(Q$5&gt;=$F144,Q$5&lt;=$G144),4,"")</f>
        <v/>
      </c>
      <c r="R144" s="34">
        <f>IF(AND(R$5&gt;=$F144,R$5&lt;=$G144),4,"")</f>
        <v/>
      </c>
      <c r="S144" s="34">
        <f>IF(AND(S$5&gt;=$F144,S$5&lt;=$G144),4,"")</f>
        <v/>
      </c>
      <c r="T144" s="34">
        <f>IF(AND(T$5&gt;=$F144,T$5&lt;=$G144),4,"")</f>
        <v/>
      </c>
      <c r="U144" s="34">
        <f>IF(AND(U$5&gt;=$F144,U$5&lt;=$G144),4,"")</f>
        <v/>
      </c>
      <c r="V144" s="34">
        <f>IF(AND(V$5&gt;=$F144,V$5&lt;=$G144),4,"")</f>
        <v/>
      </c>
      <c r="W144" s="34">
        <f>IF(AND(W$5&gt;=$F144,W$5&lt;=$G144),4,"")</f>
        <v/>
      </c>
      <c r="X144" s="34">
        <f>IF(AND(X$5&gt;=$F144,X$5&lt;=$G144),4,"")</f>
        <v/>
      </c>
      <c r="Y144" s="34">
        <f>IF(AND(Y$5&gt;=$F144,Y$5&lt;=$G144),4,"")</f>
        <v/>
      </c>
      <c r="Z144" s="34">
        <f>IF(AND(Z$5&gt;=$F144,Z$5&lt;=$G144),4,"")</f>
        <v/>
      </c>
      <c r="AA144" s="34">
        <f>IF(AND(AA$5&gt;=$F144,AA$5&lt;=$G144),4,"")</f>
        <v/>
      </c>
      <c r="AB144" s="34">
        <f>IF(AND(AB$5&gt;=$F144,AB$5&lt;=$G144),4,"")</f>
        <v/>
      </c>
      <c r="AC144" s="34">
        <f>IF(AND(AC$5&gt;=$F144,AC$5&lt;=$G144),4,"")</f>
        <v/>
      </c>
      <c r="AD144" s="34">
        <f>IF(AND(AD$5&gt;=$F144,AD$5&lt;=$G144),4,"")</f>
        <v/>
      </c>
      <c r="AE144" s="34">
        <f>IF(AND(AE$5&gt;=$F144,AE$5&lt;=$G144),4,"")</f>
        <v/>
      </c>
      <c r="AF144" s="34">
        <f>IF(AND(AF$5&gt;=$F144,AF$5&lt;=$G144),4,"")</f>
        <v/>
      </c>
      <c r="AG144" s="34">
        <f>IF(AND(AG$5&gt;=$F144,AG$5&lt;=$G144),4,"")</f>
        <v/>
      </c>
      <c r="AH144" s="34">
        <f>IF(AND(AH$5&gt;=$F144,AH$5&lt;=$G144),4,"")</f>
        <v/>
      </c>
      <c r="AI144" s="34">
        <f>IF(AND(AI$5&gt;=$F144,AI$5&lt;=$G144),4,"")</f>
        <v/>
      </c>
      <c r="AJ144" s="34">
        <f>IF(AND(AJ$5&gt;=$F144,AJ$5&lt;=$G144),4,"")</f>
        <v/>
      </c>
      <c r="AK144" s="34">
        <f>IF(AND(AK$5&gt;=$F144,AK$5&lt;=$G144),4,"")</f>
        <v/>
      </c>
      <c r="AL144" s="34">
        <f>IF(AND(AL$5&gt;=$F144,AL$5&lt;=$G144),4,"")</f>
        <v/>
      </c>
      <c r="AM144" s="34">
        <f>IF(AND(AM$5&gt;=$F144,AM$5&lt;=$G144),4,"")</f>
        <v/>
      </c>
      <c r="AN144" s="34">
        <f>IF(AND(AN$5&gt;=$F144,AN$5&lt;=$G144),4,"")</f>
        <v/>
      </c>
      <c r="AO144" s="34">
        <f>IF(AND(AO$5&gt;=$F144,AO$5&lt;=$G144),4,"")</f>
        <v/>
      </c>
      <c r="AP144" s="34">
        <f>IF(AND(AP$5&gt;=$F144,AP$5&lt;=$G144),4,"")</f>
        <v/>
      </c>
      <c r="AQ144" s="34">
        <f>IF(AND(AQ$5&gt;=$F144,AQ$5&lt;=$G144),4,"")</f>
        <v/>
      </c>
      <c r="AR144" s="34">
        <f>IF(AND(AR$5&gt;=$F144,AR$5&lt;=$G144),4,"")</f>
        <v/>
      </c>
      <c r="AS144" s="34">
        <f>IF(AND(AS$5&gt;=$F144,AS$5&lt;=$G144),4,"")</f>
        <v/>
      </c>
      <c r="AT144" s="34">
        <f>IF(AND(AT$5&gt;=$F144,AT$5&lt;=$G144),4,"")</f>
        <v/>
      </c>
      <c r="AU144" s="34">
        <f>IF(AND(AU$5&gt;=$F144,AU$5&lt;=$G144),4,"")</f>
        <v/>
      </c>
      <c r="AV144" s="34">
        <f>IF(AND(AV$5&gt;=$F144,AV$5&lt;=$G144),4,"")</f>
        <v/>
      </c>
      <c r="AW144" s="34">
        <f>IF(AND(AW$5&gt;=$F144,AW$5&lt;=$G144),4,"")</f>
        <v/>
      </c>
      <c r="AX144" s="34">
        <f>IF(AND(AX$5&gt;=$F144,AX$5&lt;=$G144),4,"")</f>
        <v/>
      </c>
      <c r="AY144" s="34">
        <f>IF(AND(AY$5&gt;=$F144,AY$5&lt;=$G144),4,"")</f>
        <v/>
      </c>
      <c r="AZ144" s="34">
        <f>IF(AND(AZ$5&gt;=$F144,AZ$5&lt;=$G144),4,"")</f>
        <v/>
      </c>
      <c r="BA144" s="34">
        <f>IF(AND(BA$5&gt;=$F144,BA$5&lt;=$G144),4,"")</f>
        <v/>
      </c>
      <c r="BB144" s="34">
        <f>IF(AND(BB$5&gt;=$F144,BB$5&lt;=$G144),4,"")</f>
        <v/>
      </c>
      <c r="BC144" s="34">
        <f>IF(AND(BC$5&gt;=$F144,BC$5&lt;=$G144),4,"")</f>
        <v/>
      </c>
      <c r="BD144" s="34">
        <f>IF(AND(BD$5&gt;=$F144,BD$5&lt;=$G144),4,"")</f>
        <v/>
      </c>
      <c r="BE144" s="34">
        <f>IF(AND(BE$5&gt;=$F144,BE$5&lt;=$G144),4,"")</f>
        <v/>
      </c>
      <c r="BF144" s="34">
        <f>IF(AND(BF$5&gt;=$F144,BF$5&lt;=$G144),4,"")</f>
        <v/>
      </c>
      <c r="BG144" s="34">
        <f>IF(AND(BG$5&gt;=$F144,BG$5&lt;=$G144),4,"")</f>
        <v/>
      </c>
      <c r="BH144" s="34">
        <f>IF(AND(BH$5&gt;=$F144,BH$5&lt;=$G144),4,"")</f>
        <v/>
      </c>
      <c r="BI144" s="34">
        <f>IF(AND(BI$5&gt;=$F144,BI$5&lt;=$G144),4,"")</f>
        <v/>
      </c>
      <c r="BJ144" s="34">
        <f>IF(AND(BJ$5&gt;=$F144,BJ$5&lt;=$G144),4,"")</f>
        <v/>
      </c>
      <c r="BK144" s="34">
        <f>IF(AND(BK$5&gt;=$F144,BK$5&lt;=$G144),4,"")</f>
        <v/>
      </c>
      <c r="BL144" s="34">
        <f>IF(AND(BL$5&gt;=$F144,BL$5&lt;=$G144),4,"")</f>
        <v/>
      </c>
      <c r="BM144" s="34">
        <f>IF(AND(BM$5&gt;=$F144,BM$5&lt;=$G144),4,"")</f>
        <v/>
      </c>
      <c r="BN144" s="34">
        <f>IF(AND(BN$5&gt;=$F144,BN$5&lt;=$G144),4,"")</f>
        <v/>
      </c>
    </row>
    <row r="145" ht="14.25" customHeight="1" s="36">
      <c r="A145" s="13" t="inlineStr">
        <is>
          <t>4 Transición</t>
        </is>
      </c>
      <c r="B145" s="13" t="inlineStr">
        <is>
          <t>4.2.2</t>
        </is>
      </c>
      <c r="C145" s="13" t="inlineStr">
        <is>
          <t>Estabilización de la Etapa 1 en el turno de noche y acompañamiento en ruta</t>
        </is>
      </c>
      <c r="D145" s="13" t="inlineStr">
        <is>
          <t>A</t>
        </is>
      </c>
      <c r="E145" s="13" t="inlineStr">
        <is>
          <t>Implantación y gestión del cambio</t>
        </is>
      </c>
      <c r="F145" s="13" t="n">
        <v>16</v>
      </c>
      <c r="G145" s="13" t="n">
        <v>20</v>
      </c>
      <c r="H145" s="13">
        <f>G145-F145+1</f>
        <v/>
      </c>
      <c r="I145" s="31" t="n">
        <v>5408</v>
      </c>
      <c r="J145" s="13" t="inlineStr">
        <is>
          <t>Esfuerzo continuo (por quincena u ocurrencia)</t>
        </is>
      </c>
      <c r="K145" s="34">
        <f>IF(AND(K$5&gt;=$F145,K$5&lt;=$G145),4,"")</f>
        <v/>
      </c>
      <c r="L145" s="34">
        <f>IF(AND(L$5&gt;=$F145,L$5&lt;=$G145),4,"")</f>
        <v/>
      </c>
      <c r="M145" s="34">
        <f>IF(AND(M$5&gt;=$F145,M$5&lt;=$G145),4,"")</f>
        <v/>
      </c>
      <c r="N145" s="34">
        <f>IF(AND(N$5&gt;=$F145,N$5&lt;=$G145),4,"")</f>
        <v/>
      </c>
      <c r="O145" s="34">
        <f>IF(AND(O$5&gt;=$F145,O$5&lt;=$G145),4,"")</f>
        <v/>
      </c>
      <c r="P145" s="34">
        <f>IF(AND(P$5&gt;=$F145,P$5&lt;=$G145),4,"")</f>
        <v/>
      </c>
      <c r="Q145" s="34">
        <f>IF(AND(Q$5&gt;=$F145,Q$5&lt;=$G145),4,"")</f>
        <v/>
      </c>
      <c r="R145" s="34">
        <f>IF(AND(R$5&gt;=$F145,R$5&lt;=$G145),4,"")</f>
        <v/>
      </c>
      <c r="S145" s="34">
        <f>IF(AND(S$5&gt;=$F145,S$5&lt;=$G145),4,"")</f>
        <v/>
      </c>
      <c r="T145" s="34">
        <f>IF(AND(T$5&gt;=$F145,T$5&lt;=$G145),4,"")</f>
        <v/>
      </c>
      <c r="U145" s="34">
        <f>IF(AND(U$5&gt;=$F145,U$5&lt;=$G145),4,"")</f>
        <v/>
      </c>
      <c r="V145" s="34">
        <f>IF(AND(V$5&gt;=$F145,V$5&lt;=$G145),4,"")</f>
        <v/>
      </c>
      <c r="W145" s="34">
        <f>IF(AND(W$5&gt;=$F145,W$5&lt;=$G145),4,"")</f>
        <v/>
      </c>
      <c r="X145" s="34">
        <f>IF(AND(X$5&gt;=$F145,X$5&lt;=$G145),4,"")</f>
        <v/>
      </c>
      <c r="Y145" s="34">
        <f>IF(AND(Y$5&gt;=$F145,Y$5&lt;=$G145),4,"")</f>
        <v/>
      </c>
      <c r="Z145" s="34">
        <f>IF(AND(Z$5&gt;=$F145,Z$5&lt;=$G145),4,"")</f>
        <v/>
      </c>
      <c r="AA145" s="34">
        <f>IF(AND(AA$5&gt;=$F145,AA$5&lt;=$G145),4,"")</f>
        <v/>
      </c>
      <c r="AB145" s="34">
        <f>IF(AND(AB$5&gt;=$F145,AB$5&lt;=$G145),4,"")</f>
        <v/>
      </c>
      <c r="AC145" s="34">
        <f>IF(AND(AC$5&gt;=$F145,AC$5&lt;=$G145),4,"")</f>
        <v/>
      </c>
      <c r="AD145" s="34">
        <f>IF(AND(AD$5&gt;=$F145,AD$5&lt;=$G145),4,"")</f>
        <v/>
      </c>
      <c r="AE145" s="34">
        <f>IF(AND(AE$5&gt;=$F145,AE$5&lt;=$G145),4,"")</f>
        <v/>
      </c>
      <c r="AF145" s="34">
        <f>IF(AND(AF$5&gt;=$F145,AF$5&lt;=$G145),4,"")</f>
        <v/>
      </c>
      <c r="AG145" s="34">
        <f>IF(AND(AG$5&gt;=$F145,AG$5&lt;=$G145),4,"")</f>
        <v/>
      </c>
      <c r="AH145" s="34">
        <f>IF(AND(AH$5&gt;=$F145,AH$5&lt;=$G145),4,"")</f>
        <v/>
      </c>
      <c r="AI145" s="34">
        <f>IF(AND(AI$5&gt;=$F145,AI$5&lt;=$G145),4,"")</f>
        <v/>
      </c>
      <c r="AJ145" s="34">
        <f>IF(AND(AJ$5&gt;=$F145,AJ$5&lt;=$G145),4,"")</f>
        <v/>
      </c>
      <c r="AK145" s="34">
        <f>IF(AND(AK$5&gt;=$F145,AK$5&lt;=$G145),4,"")</f>
        <v/>
      </c>
      <c r="AL145" s="34">
        <f>IF(AND(AL$5&gt;=$F145,AL$5&lt;=$G145),4,"")</f>
        <v/>
      </c>
      <c r="AM145" s="34">
        <f>IF(AND(AM$5&gt;=$F145,AM$5&lt;=$G145),4,"")</f>
        <v/>
      </c>
      <c r="AN145" s="34">
        <f>IF(AND(AN$5&gt;=$F145,AN$5&lt;=$G145),4,"")</f>
        <v/>
      </c>
      <c r="AO145" s="34">
        <f>IF(AND(AO$5&gt;=$F145,AO$5&lt;=$G145),4,"")</f>
        <v/>
      </c>
      <c r="AP145" s="34">
        <f>IF(AND(AP$5&gt;=$F145,AP$5&lt;=$G145),4,"")</f>
        <v/>
      </c>
      <c r="AQ145" s="34">
        <f>IF(AND(AQ$5&gt;=$F145,AQ$5&lt;=$G145),4,"")</f>
        <v/>
      </c>
      <c r="AR145" s="34">
        <f>IF(AND(AR$5&gt;=$F145,AR$5&lt;=$G145),4,"")</f>
        <v/>
      </c>
      <c r="AS145" s="34">
        <f>IF(AND(AS$5&gt;=$F145,AS$5&lt;=$G145),4,"")</f>
        <v/>
      </c>
      <c r="AT145" s="34">
        <f>IF(AND(AT$5&gt;=$F145,AT$5&lt;=$G145),4,"")</f>
        <v/>
      </c>
      <c r="AU145" s="34">
        <f>IF(AND(AU$5&gt;=$F145,AU$5&lt;=$G145),4,"")</f>
        <v/>
      </c>
      <c r="AV145" s="34">
        <f>IF(AND(AV$5&gt;=$F145,AV$5&lt;=$G145),4,"")</f>
        <v/>
      </c>
      <c r="AW145" s="34">
        <f>IF(AND(AW$5&gt;=$F145,AW$5&lt;=$G145),4,"")</f>
        <v/>
      </c>
      <c r="AX145" s="34">
        <f>IF(AND(AX$5&gt;=$F145,AX$5&lt;=$G145),4,"")</f>
        <v/>
      </c>
      <c r="AY145" s="34">
        <f>IF(AND(AY$5&gt;=$F145,AY$5&lt;=$G145),4,"")</f>
        <v/>
      </c>
      <c r="AZ145" s="34">
        <f>IF(AND(AZ$5&gt;=$F145,AZ$5&lt;=$G145),4,"")</f>
        <v/>
      </c>
      <c r="BA145" s="34">
        <f>IF(AND(BA$5&gt;=$F145,BA$5&lt;=$G145),4,"")</f>
        <v/>
      </c>
      <c r="BB145" s="34">
        <f>IF(AND(BB$5&gt;=$F145,BB$5&lt;=$G145),4,"")</f>
        <v/>
      </c>
      <c r="BC145" s="34">
        <f>IF(AND(BC$5&gt;=$F145,BC$5&lt;=$G145),4,"")</f>
        <v/>
      </c>
      <c r="BD145" s="34">
        <f>IF(AND(BD$5&gt;=$F145,BD$5&lt;=$G145),4,"")</f>
        <v/>
      </c>
      <c r="BE145" s="34">
        <f>IF(AND(BE$5&gt;=$F145,BE$5&lt;=$G145),4,"")</f>
        <v/>
      </c>
      <c r="BF145" s="34">
        <f>IF(AND(BF$5&gt;=$F145,BF$5&lt;=$G145),4,"")</f>
        <v/>
      </c>
      <c r="BG145" s="34">
        <f>IF(AND(BG$5&gt;=$F145,BG$5&lt;=$G145),4,"")</f>
        <v/>
      </c>
      <c r="BH145" s="34">
        <f>IF(AND(BH$5&gt;=$F145,BH$5&lt;=$G145),4,"")</f>
        <v/>
      </c>
      <c r="BI145" s="34">
        <f>IF(AND(BI$5&gt;=$F145,BI$5&lt;=$G145),4,"")</f>
        <v/>
      </c>
      <c r="BJ145" s="34">
        <f>IF(AND(BJ$5&gt;=$F145,BJ$5&lt;=$G145),4,"")</f>
        <v/>
      </c>
      <c r="BK145" s="34">
        <f>IF(AND(BK$5&gt;=$F145,BK$5&lt;=$G145),4,"")</f>
        <v/>
      </c>
      <c r="BL145" s="34">
        <f>IF(AND(BL$5&gt;=$F145,BL$5&lt;=$G145),4,"")</f>
        <v/>
      </c>
      <c r="BM145" s="34">
        <f>IF(AND(BM$5&gt;=$F145,BM$5&lt;=$G145),4,"")</f>
        <v/>
      </c>
      <c r="BN145" s="34">
        <f>IF(AND(BN$5&gt;=$F145,BN$5&lt;=$G145),4,"")</f>
        <v/>
      </c>
    </row>
    <row r="146" ht="14.25" customHeight="1" s="36">
      <c r="A146" s="13" t="inlineStr">
        <is>
          <t>4 Transición</t>
        </is>
      </c>
      <c r="B146" s="13" t="inlineStr">
        <is>
          <t>4.2.3</t>
        </is>
      </c>
      <c r="C146" s="13" t="inlineStr">
        <is>
          <t>Acta de paso a producción y cierre de la Etapa 1 (H7)</t>
        </is>
      </c>
      <c r="D146" s="13" t="inlineStr">
        <is>
          <t>G</t>
        </is>
      </c>
      <c r="E146" s="13" t="inlineStr">
        <is>
          <t>Jefe de Proyecto</t>
        </is>
      </c>
      <c r="F146" s="13" t="n">
        <v>16</v>
      </c>
      <c r="G146" s="13" t="n">
        <v>16</v>
      </c>
      <c r="H146" s="13">
        <f>G146-F146+1</f>
        <v/>
      </c>
      <c r="I146" s="31" t="n">
        <v>80</v>
      </c>
      <c r="J146" s="13" t="inlineStr">
        <is>
          <t>Con entregable (detalle por planificación gradual)</t>
        </is>
      </c>
      <c r="K146" s="34">
        <f>IF(AND(K$5&gt;=$F146,K$5&lt;=$G146),4,"")</f>
        <v/>
      </c>
      <c r="L146" s="34">
        <f>IF(AND(L$5&gt;=$F146,L$5&lt;=$G146),4,"")</f>
        <v/>
      </c>
      <c r="M146" s="34">
        <f>IF(AND(M$5&gt;=$F146,M$5&lt;=$G146),4,"")</f>
        <v/>
      </c>
      <c r="N146" s="34">
        <f>IF(AND(N$5&gt;=$F146,N$5&lt;=$G146),4,"")</f>
        <v/>
      </c>
      <c r="O146" s="34">
        <f>IF(AND(O$5&gt;=$F146,O$5&lt;=$G146),4,"")</f>
        <v/>
      </c>
      <c r="P146" s="34">
        <f>IF(AND(P$5&gt;=$F146,P$5&lt;=$G146),4,"")</f>
        <v/>
      </c>
      <c r="Q146" s="34">
        <f>IF(AND(Q$5&gt;=$F146,Q$5&lt;=$G146),4,"")</f>
        <v/>
      </c>
      <c r="R146" s="34">
        <f>IF(AND(R$5&gt;=$F146,R$5&lt;=$G146),4,"")</f>
        <v/>
      </c>
      <c r="S146" s="34">
        <f>IF(AND(S$5&gt;=$F146,S$5&lt;=$G146),4,"")</f>
        <v/>
      </c>
      <c r="T146" s="34">
        <f>IF(AND(T$5&gt;=$F146,T$5&lt;=$G146),4,"")</f>
        <v/>
      </c>
      <c r="U146" s="34">
        <f>IF(AND(U$5&gt;=$F146,U$5&lt;=$G146),4,"")</f>
        <v/>
      </c>
      <c r="V146" s="34">
        <f>IF(AND(V$5&gt;=$F146,V$5&lt;=$G146),4,"")</f>
        <v/>
      </c>
      <c r="W146" s="34">
        <f>IF(AND(W$5&gt;=$F146,W$5&lt;=$G146),4,"")</f>
        <v/>
      </c>
      <c r="X146" s="34">
        <f>IF(AND(X$5&gt;=$F146,X$5&lt;=$G146),4,"")</f>
        <v/>
      </c>
      <c r="Y146" s="34">
        <f>IF(AND(Y$5&gt;=$F146,Y$5&lt;=$G146),4,"")</f>
        <v/>
      </c>
      <c r="Z146" s="34">
        <f>IF(AND(Z$5&gt;=$F146,Z$5&lt;=$G146),4,"")</f>
        <v/>
      </c>
      <c r="AA146" s="34">
        <f>IF(AND(AA$5&gt;=$F146,AA$5&lt;=$G146),4,"")</f>
        <v/>
      </c>
      <c r="AB146" s="34">
        <f>IF(AND(AB$5&gt;=$F146,AB$5&lt;=$G146),4,"")</f>
        <v/>
      </c>
      <c r="AC146" s="34">
        <f>IF(AND(AC$5&gt;=$F146,AC$5&lt;=$G146),4,"")</f>
        <v/>
      </c>
      <c r="AD146" s="34">
        <f>IF(AND(AD$5&gt;=$F146,AD$5&lt;=$G146),4,"")</f>
        <v/>
      </c>
      <c r="AE146" s="34">
        <f>IF(AND(AE$5&gt;=$F146,AE$5&lt;=$G146),4,"")</f>
        <v/>
      </c>
      <c r="AF146" s="34">
        <f>IF(AND(AF$5&gt;=$F146,AF$5&lt;=$G146),4,"")</f>
        <v/>
      </c>
      <c r="AG146" s="34">
        <f>IF(AND(AG$5&gt;=$F146,AG$5&lt;=$G146),4,"")</f>
        <v/>
      </c>
      <c r="AH146" s="34">
        <f>IF(AND(AH$5&gt;=$F146,AH$5&lt;=$G146),4,"")</f>
        <v/>
      </c>
      <c r="AI146" s="34">
        <f>IF(AND(AI$5&gt;=$F146,AI$5&lt;=$G146),4,"")</f>
        <v/>
      </c>
      <c r="AJ146" s="34">
        <f>IF(AND(AJ$5&gt;=$F146,AJ$5&lt;=$G146),4,"")</f>
        <v/>
      </c>
      <c r="AK146" s="34">
        <f>IF(AND(AK$5&gt;=$F146,AK$5&lt;=$G146),4,"")</f>
        <v/>
      </c>
      <c r="AL146" s="34">
        <f>IF(AND(AL$5&gt;=$F146,AL$5&lt;=$G146),4,"")</f>
        <v/>
      </c>
      <c r="AM146" s="34">
        <f>IF(AND(AM$5&gt;=$F146,AM$5&lt;=$G146),4,"")</f>
        <v/>
      </c>
      <c r="AN146" s="34">
        <f>IF(AND(AN$5&gt;=$F146,AN$5&lt;=$G146),4,"")</f>
        <v/>
      </c>
      <c r="AO146" s="34">
        <f>IF(AND(AO$5&gt;=$F146,AO$5&lt;=$G146),4,"")</f>
        <v/>
      </c>
      <c r="AP146" s="34">
        <f>IF(AND(AP$5&gt;=$F146,AP$5&lt;=$G146),4,"")</f>
        <v/>
      </c>
      <c r="AQ146" s="34">
        <f>IF(AND(AQ$5&gt;=$F146,AQ$5&lt;=$G146),4,"")</f>
        <v/>
      </c>
      <c r="AR146" s="34">
        <f>IF(AND(AR$5&gt;=$F146,AR$5&lt;=$G146),4,"")</f>
        <v/>
      </c>
      <c r="AS146" s="34">
        <f>IF(AND(AS$5&gt;=$F146,AS$5&lt;=$G146),4,"")</f>
        <v/>
      </c>
      <c r="AT146" s="34">
        <f>IF(AND(AT$5&gt;=$F146,AT$5&lt;=$G146),4,"")</f>
        <v/>
      </c>
      <c r="AU146" s="34">
        <f>IF(AND(AU$5&gt;=$F146,AU$5&lt;=$G146),4,"")</f>
        <v/>
      </c>
      <c r="AV146" s="34">
        <f>IF(AND(AV$5&gt;=$F146,AV$5&lt;=$G146),4,"")</f>
        <v/>
      </c>
      <c r="AW146" s="34">
        <f>IF(AND(AW$5&gt;=$F146,AW$5&lt;=$G146),4,"")</f>
        <v/>
      </c>
      <c r="AX146" s="34">
        <f>IF(AND(AX$5&gt;=$F146,AX$5&lt;=$G146),4,"")</f>
        <v/>
      </c>
      <c r="AY146" s="34">
        <f>IF(AND(AY$5&gt;=$F146,AY$5&lt;=$G146),4,"")</f>
        <v/>
      </c>
      <c r="AZ146" s="34">
        <f>IF(AND(AZ$5&gt;=$F146,AZ$5&lt;=$G146),4,"")</f>
        <v/>
      </c>
      <c r="BA146" s="34">
        <f>IF(AND(BA$5&gt;=$F146,BA$5&lt;=$G146),4,"")</f>
        <v/>
      </c>
      <c r="BB146" s="34">
        <f>IF(AND(BB$5&gt;=$F146,BB$5&lt;=$G146),4,"")</f>
        <v/>
      </c>
      <c r="BC146" s="34">
        <f>IF(AND(BC$5&gt;=$F146,BC$5&lt;=$G146),4,"")</f>
        <v/>
      </c>
      <c r="BD146" s="34">
        <f>IF(AND(BD$5&gt;=$F146,BD$5&lt;=$G146),4,"")</f>
        <v/>
      </c>
      <c r="BE146" s="34">
        <f>IF(AND(BE$5&gt;=$F146,BE$5&lt;=$G146),4,"")</f>
        <v/>
      </c>
      <c r="BF146" s="34">
        <f>IF(AND(BF$5&gt;=$F146,BF$5&lt;=$G146),4,"")</f>
        <v/>
      </c>
      <c r="BG146" s="34">
        <f>IF(AND(BG$5&gt;=$F146,BG$5&lt;=$G146),4,"")</f>
        <v/>
      </c>
      <c r="BH146" s="34">
        <f>IF(AND(BH$5&gt;=$F146,BH$5&lt;=$G146),4,"")</f>
        <v/>
      </c>
      <c r="BI146" s="34">
        <f>IF(AND(BI$5&gt;=$F146,BI$5&lt;=$G146),4,"")</f>
        <v/>
      </c>
      <c r="BJ146" s="34">
        <f>IF(AND(BJ$5&gt;=$F146,BJ$5&lt;=$G146),4,"")</f>
        <v/>
      </c>
      <c r="BK146" s="34">
        <f>IF(AND(BK$5&gt;=$F146,BK$5&lt;=$G146),4,"")</f>
        <v/>
      </c>
      <c r="BL146" s="34">
        <f>IF(AND(BL$5&gt;=$F146,BL$5&lt;=$G146),4,"")</f>
        <v/>
      </c>
      <c r="BM146" s="34">
        <f>IF(AND(BM$5&gt;=$F146,BM$5&lt;=$G146),4,"")</f>
        <v/>
      </c>
      <c r="BN146" s="34">
        <f>IF(AND(BN$5&gt;=$F146,BN$5&lt;=$G146),4,"")</f>
        <v/>
      </c>
    </row>
    <row r="147" ht="14.25" customHeight="1" s="36">
      <c r="A147" s="13" t="inlineStr">
        <is>
          <t>4 Transición</t>
        </is>
      </c>
      <c r="B147" s="13" t="inlineStr">
        <is>
          <t>4.3.1</t>
        </is>
      </c>
      <c r="C147" s="13" t="inlineStr">
        <is>
          <t>Marcha blanca de la Etapa 2 en convivencia con la Etapa 1 y fuente única de datos (H11)</t>
        </is>
      </c>
      <c r="D147" s="13" t="inlineStr">
        <is>
          <t>A</t>
        </is>
      </c>
      <c r="E147" s="13" t="inlineStr">
        <is>
          <t>Implantación y gestión del cambio</t>
        </is>
      </c>
      <c r="F147" s="13" t="n">
        <v>19</v>
      </c>
      <c r="G147" s="13" t="n">
        <v>20</v>
      </c>
      <c r="H147" s="13">
        <f>G147-F147+1</f>
        <v/>
      </c>
      <c r="I147" s="31" t="n">
        <v>4928</v>
      </c>
      <c r="J147" s="13" t="inlineStr">
        <is>
          <t>Esfuerzo continuo (por quincena u ocurrencia)</t>
        </is>
      </c>
      <c r="K147" s="34">
        <f>IF(AND(K$5&gt;=$F147,K$5&lt;=$G147),4,"")</f>
        <v/>
      </c>
      <c r="L147" s="34">
        <f>IF(AND(L$5&gt;=$F147,L$5&lt;=$G147),4,"")</f>
        <v/>
      </c>
      <c r="M147" s="34">
        <f>IF(AND(M$5&gt;=$F147,M$5&lt;=$G147),4,"")</f>
        <v/>
      </c>
      <c r="N147" s="34">
        <f>IF(AND(N$5&gt;=$F147,N$5&lt;=$G147),4,"")</f>
        <v/>
      </c>
      <c r="O147" s="34">
        <f>IF(AND(O$5&gt;=$F147,O$5&lt;=$G147),4,"")</f>
        <v/>
      </c>
      <c r="P147" s="34">
        <f>IF(AND(P$5&gt;=$F147,P$5&lt;=$G147),4,"")</f>
        <v/>
      </c>
      <c r="Q147" s="34">
        <f>IF(AND(Q$5&gt;=$F147,Q$5&lt;=$G147),4,"")</f>
        <v/>
      </c>
      <c r="R147" s="34">
        <f>IF(AND(R$5&gt;=$F147,R$5&lt;=$G147),4,"")</f>
        <v/>
      </c>
      <c r="S147" s="34">
        <f>IF(AND(S$5&gt;=$F147,S$5&lt;=$G147),4,"")</f>
        <v/>
      </c>
      <c r="T147" s="34">
        <f>IF(AND(T$5&gt;=$F147,T$5&lt;=$G147),4,"")</f>
        <v/>
      </c>
      <c r="U147" s="34">
        <f>IF(AND(U$5&gt;=$F147,U$5&lt;=$G147),4,"")</f>
        <v/>
      </c>
      <c r="V147" s="34">
        <f>IF(AND(V$5&gt;=$F147,V$5&lt;=$G147),4,"")</f>
        <v/>
      </c>
      <c r="W147" s="34">
        <f>IF(AND(W$5&gt;=$F147,W$5&lt;=$G147),4,"")</f>
        <v/>
      </c>
      <c r="X147" s="34">
        <f>IF(AND(X$5&gt;=$F147,X$5&lt;=$G147),4,"")</f>
        <v/>
      </c>
      <c r="Y147" s="34">
        <f>IF(AND(Y$5&gt;=$F147,Y$5&lt;=$G147),4,"")</f>
        <v/>
      </c>
      <c r="Z147" s="34">
        <f>IF(AND(Z$5&gt;=$F147,Z$5&lt;=$G147),4,"")</f>
        <v/>
      </c>
      <c r="AA147" s="34">
        <f>IF(AND(AA$5&gt;=$F147,AA$5&lt;=$G147),4,"")</f>
        <v/>
      </c>
      <c r="AB147" s="34">
        <f>IF(AND(AB$5&gt;=$F147,AB$5&lt;=$G147),4,"")</f>
        <v/>
      </c>
      <c r="AC147" s="34">
        <f>IF(AND(AC$5&gt;=$F147,AC$5&lt;=$G147),4,"")</f>
        <v/>
      </c>
      <c r="AD147" s="34">
        <f>IF(AND(AD$5&gt;=$F147,AD$5&lt;=$G147),4,"")</f>
        <v/>
      </c>
      <c r="AE147" s="34">
        <f>IF(AND(AE$5&gt;=$F147,AE$5&lt;=$G147),4,"")</f>
        <v/>
      </c>
      <c r="AF147" s="34">
        <f>IF(AND(AF$5&gt;=$F147,AF$5&lt;=$G147),4,"")</f>
        <v/>
      </c>
      <c r="AG147" s="34">
        <f>IF(AND(AG$5&gt;=$F147,AG$5&lt;=$G147),4,"")</f>
        <v/>
      </c>
      <c r="AH147" s="34">
        <f>IF(AND(AH$5&gt;=$F147,AH$5&lt;=$G147),4,"")</f>
        <v/>
      </c>
      <c r="AI147" s="34">
        <f>IF(AND(AI$5&gt;=$F147,AI$5&lt;=$G147),4,"")</f>
        <v/>
      </c>
      <c r="AJ147" s="34">
        <f>IF(AND(AJ$5&gt;=$F147,AJ$5&lt;=$G147),4,"")</f>
        <v/>
      </c>
      <c r="AK147" s="34">
        <f>IF(AND(AK$5&gt;=$F147,AK$5&lt;=$G147),4,"")</f>
        <v/>
      </c>
      <c r="AL147" s="34">
        <f>IF(AND(AL$5&gt;=$F147,AL$5&lt;=$G147),4,"")</f>
        <v/>
      </c>
      <c r="AM147" s="34">
        <f>IF(AND(AM$5&gt;=$F147,AM$5&lt;=$G147),4,"")</f>
        <v/>
      </c>
      <c r="AN147" s="34">
        <f>IF(AND(AN$5&gt;=$F147,AN$5&lt;=$G147),4,"")</f>
        <v/>
      </c>
      <c r="AO147" s="34">
        <f>IF(AND(AO$5&gt;=$F147,AO$5&lt;=$G147),4,"")</f>
        <v/>
      </c>
      <c r="AP147" s="34">
        <f>IF(AND(AP$5&gt;=$F147,AP$5&lt;=$G147),4,"")</f>
        <v/>
      </c>
      <c r="AQ147" s="34">
        <f>IF(AND(AQ$5&gt;=$F147,AQ$5&lt;=$G147),4,"")</f>
        <v/>
      </c>
      <c r="AR147" s="34">
        <f>IF(AND(AR$5&gt;=$F147,AR$5&lt;=$G147),4,"")</f>
        <v/>
      </c>
      <c r="AS147" s="34">
        <f>IF(AND(AS$5&gt;=$F147,AS$5&lt;=$G147),4,"")</f>
        <v/>
      </c>
      <c r="AT147" s="34">
        <f>IF(AND(AT$5&gt;=$F147,AT$5&lt;=$G147),4,"")</f>
        <v/>
      </c>
      <c r="AU147" s="34">
        <f>IF(AND(AU$5&gt;=$F147,AU$5&lt;=$G147),4,"")</f>
        <v/>
      </c>
      <c r="AV147" s="34">
        <f>IF(AND(AV$5&gt;=$F147,AV$5&lt;=$G147),4,"")</f>
        <v/>
      </c>
      <c r="AW147" s="34">
        <f>IF(AND(AW$5&gt;=$F147,AW$5&lt;=$G147),4,"")</f>
        <v/>
      </c>
      <c r="AX147" s="34">
        <f>IF(AND(AX$5&gt;=$F147,AX$5&lt;=$G147),4,"")</f>
        <v/>
      </c>
      <c r="AY147" s="34">
        <f>IF(AND(AY$5&gt;=$F147,AY$5&lt;=$G147),4,"")</f>
        <v/>
      </c>
      <c r="AZ147" s="34">
        <f>IF(AND(AZ$5&gt;=$F147,AZ$5&lt;=$G147),4,"")</f>
        <v/>
      </c>
      <c r="BA147" s="34">
        <f>IF(AND(BA$5&gt;=$F147,BA$5&lt;=$G147),4,"")</f>
        <v/>
      </c>
      <c r="BB147" s="34">
        <f>IF(AND(BB$5&gt;=$F147,BB$5&lt;=$G147),4,"")</f>
        <v/>
      </c>
      <c r="BC147" s="34">
        <f>IF(AND(BC$5&gt;=$F147,BC$5&lt;=$G147),4,"")</f>
        <v/>
      </c>
      <c r="BD147" s="34">
        <f>IF(AND(BD$5&gt;=$F147,BD$5&lt;=$G147),4,"")</f>
        <v/>
      </c>
      <c r="BE147" s="34">
        <f>IF(AND(BE$5&gt;=$F147,BE$5&lt;=$G147),4,"")</f>
        <v/>
      </c>
      <c r="BF147" s="34">
        <f>IF(AND(BF$5&gt;=$F147,BF$5&lt;=$G147),4,"")</f>
        <v/>
      </c>
      <c r="BG147" s="34">
        <f>IF(AND(BG$5&gt;=$F147,BG$5&lt;=$G147),4,"")</f>
        <v/>
      </c>
      <c r="BH147" s="34">
        <f>IF(AND(BH$5&gt;=$F147,BH$5&lt;=$G147),4,"")</f>
        <v/>
      </c>
      <c r="BI147" s="34">
        <f>IF(AND(BI$5&gt;=$F147,BI$5&lt;=$G147),4,"")</f>
        <v/>
      </c>
      <c r="BJ147" s="34">
        <f>IF(AND(BJ$5&gt;=$F147,BJ$5&lt;=$G147),4,"")</f>
        <v/>
      </c>
      <c r="BK147" s="34">
        <f>IF(AND(BK$5&gt;=$F147,BK$5&lt;=$G147),4,"")</f>
        <v/>
      </c>
      <c r="BL147" s="34">
        <f>IF(AND(BL$5&gt;=$F147,BL$5&lt;=$G147),4,"")</f>
        <v/>
      </c>
      <c r="BM147" s="34">
        <f>IF(AND(BM$5&gt;=$F147,BM$5&lt;=$G147),4,"")</f>
        <v/>
      </c>
      <c r="BN147" s="34">
        <f>IF(AND(BN$5&gt;=$F147,BN$5&lt;=$G147),4,"")</f>
        <v/>
      </c>
    </row>
    <row r="148" ht="14.25" customHeight="1" s="36">
      <c r="A148" s="13" t="inlineStr">
        <is>
          <t>4 Transición</t>
        </is>
      </c>
      <c r="B148" s="13" t="inlineStr">
        <is>
          <t>4.3.2</t>
        </is>
      </c>
      <c r="C148" s="13" t="inlineStr">
        <is>
          <t>Estabilización de la Etapa 2 con Comercial, Finanzas, cadenas y transportistas</t>
        </is>
      </c>
      <c r="D148" s="13" t="inlineStr">
        <is>
          <t>A</t>
        </is>
      </c>
      <c r="E148" s="13" t="inlineStr">
        <is>
          <t>Implantación y gestión del cambio</t>
        </is>
      </c>
      <c r="F148" s="13" t="n">
        <v>21</v>
      </c>
      <c r="G148" s="13" t="n">
        <v>22</v>
      </c>
      <c r="H148" s="13">
        <f>G148-F148+1</f>
        <v/>
      </c>
      <c r="I148" s="31" t="n">
        <v>2464</v>
      </c>
      <c r="J148" s="13" t="inlineStr">
        <is>
          <t>Esfuerzo continuo (por quincena u ocurrencia)</t>
        </is>
      </c>
      <c r="K148" s="34">
        <f>IF(AND(K$5&gt;=$F148,K$5&lt;=$G148),4,"")</f>
        <v/>
      </c>
      <c r="L148" s="34">
        <f>IF(AND(L$5&gt;=$F148,L$5&lt;=$G148),4,"")</f>
        <v/>
      </c>
      <c r="M148" s="34">
        <f>IF(AND(M$5&gt;=$F148,M$5&lt;=$G148),4,"")</f>
        <v/>
      </c>
      <c r="N148" s="34">
        <f>IF(AND(N$5&gt;=$F148,N$5&lt;=$G148),4,"")</f>
        <v/>
      </c>
      <c r="O148" s="34">
        <f>IF(AND(O$5&gt;=$F148,O$5&lt;=$G148),4,"")</f>
        <v/>
      </c>
      <c r="P148" s="34">
        <f>IF(AND(P$5&gt;=$F148,P$5&lt;=$G148),4,"")</f>
        <v/>
      </c>
      <c r="Q148" s="34">
        <f>IF(AND(Q$5&gt;=$F148,Q$5&lt;=$G148),4,"")</f>
        <v/>
      </c>
      <c r="R148" s="34">
        <f>IF(AND(R$5&gt;=$F148,R$5&lt;=$G148),4,"")</f>
        <v/>
      </c>
      <c r="S148" s="34">
        <f>IF(AND(S$5&gt;=$F148,S$5&lt;=$G148),4,"")</f>
        <v/>
      </c>
      <c r="T148" s="34">
        <f>IF(AND(T$5&gt;=$F148,T$5&lt;=$G148),4,"")</f>
        <v/>
      </c>
      <c r="U148" s="34">
        <f>IF(AND(U$5&gt;=$F148,U$5&lt;=$G148),4,"")</f>
        <v/>
      </c>
      <c r="V148" s="34">
        <f>IF(AND(V$5&gt;=$F148,V$5&lt;=$G148),4,"")</f>
        <v/>
      </c>
      <c r="W148" s="34">
        <f>IF(AND(W$5&gt;=$F148,W$5&lt;=$G148),4,"")</f>
        <v/>
      </c>
      <c r="X148" s="34">
        <f>IF(AND(X$5&gt;=$F148,X$5&lt;=$G148),4,"")</f>
        <v/>
      </c>
      <c r="Y148" s="34">
        <f>IF(AND(Y$5&gt;=$F148,Y$5&lt;=$G148),4,"")</f>
        <v/>
      </c>
      <c r="Z148" s="34">
        <f>IF(AND(Z$5&gt;=$F148,Z$5&lt;=$G148),4,"")</f>
        <v/>
      </c>
      <c r="AA148" s="34">
        <f>IF(AND(AA$5&gt;=$F148,AA$5&lt;=$G148),4,"")</f>
        <v/>
      </c>
      <c r="AB148" s="34">
        <f>IF(AND(AB$5&gt;=$F148,AB$5&lt;=$G148),4,"")</f>
        <v/>
      </c>
      <c r="AC148" s="34">
        <f>IF(AND(AC$5&gt;=$F148,AC$5&lt;=$G148),4,"")</f>
        <v/>
      </c>
      <c r="AD148" s="34">
        <f>IF(AND(AD$5&gt;=$F148,AD$5&lt;=$G148),4,"")</f>
        <v/>
      </c>
      <c r="AE148" s="34">
        <f>IF(AND(AE$5&gt;=$F148,AE$5&lt;=$G148),4,"")</f>
        <v/>
      </c>
      <c r="AF148" s="34">
        <f>IF(AND(AF$5&gt;=$F148,AF$5&lt;=$G148),4,"")</f>
        <v/>
      </c>
      <c r="AG148" s="34">
        <f>IF(AND(AG$5&gt;=$F148,AG$5&lt;=$G148),4,"")</f>
        <v/>
      </c>
      <c r="AH148" s="34">
        <f>IF(AND(AH$5&gt;=$F148,AH$5&lt;=$G148),4,"")</f>
        <v/>
      </c>
      <c r="AI148" s="34">
        <f>IF(AND(AI$5&gt;=$F148,AI$5&lt;=$G148),4,"")</f>
        <v/>
      </c>
      <c r="AJ148" s="34">
        <f>IF(AND(AJ$5&gt;=$F148,AJ$5&lt;=$G148),4,"")</f>
        <v/>
      </c>
      <c r="AK148" s="34">
        <f>IF(AND(AK$5&gt;=$F148,AK$5&lt;=$G148),4,"")</f>
        <v/>
      </c>
      <c r="AL148" s="34">
        <f>IF(AND(AL$5&gt;=$F148,AL$5&lt;=$G148),4,"")</f>
        <v/>
      </c>
      <c r="AM148" s="34">
        <f>IF(AND(AM$5&gt;=$F148,AM$5&lt;=$G148),4,"")</f>
        <v/>
      </c>
      <c r="AN148" s="34">
        <f>IF(AND(AN$5&gt;=$F148,AN$5&lt;=$G148),4,"")</f>
        <v/>
      </c>
      <c r="AO148" s="34">
        <f>IF(AND(AO$5&gt;=$F148,AO$5&lt;=$G148),4,"")</f>
        <v/>
      </c>
      <c r="AP148" s="34">
        <f>IF(AND(AP$5&gt;=$F148,AP$5&lt;=$G148),4,"")</f>
        <v/>
      </c>
      <c r="AQ148" s="34">
        <f>IF(AND(AQ$5&gt;=$F148,AQ$5&lt;=$G148),4,"")</f>
        <v/>
      </c>
      <c r="AR148" s="34">
        <f>IF(AND(AR$5&gt;=$F148,AR$5&lt;=$G148),4,"")</f>
        <v/>
      </c>
      <c r="AS148" s="34">
        <f>IF(AND(AS$5&gt;=$F148,AS$5&lt;=$G148),4,"")</f>
        <v/>
      </c>
      <c r="AT148" s="34">
        <f>IF(AND(AT$5&gt;=$F148,AT$5&lt;=$G148),4,"")</f>
        <v/>
      </c>
      <c r="AU148" s="34">
        <f>IF(AND(AU$5&gt;=$F148,AU$5&lt;=$G148),4,"")</f>
        <v/>
      </c>
      <c r="AV148" s="34">
        <f>IF(AND(AV$5&gt;=$F148,AV$5&lt;=$G148),4,"")</f>
        <v/>
      </c>
      <c r="AW148" s="34">
        <f>IF(AND(AW$5&gt;=$F148,AW$5&lt;=$G148),4,"")</f>
        <v/>
      </c>
      <c r="AX148" s="34">
        <f>IF(AND(AX$5&gt;=$F148,AX$5&lt;=$G148),4,"")</f>
        <v/>
      </c>
      <c r="AY148" s="34">
        <f>IF(AND(AY$5&gt;=$F148,AY$5&lt;=$G148),4,"")</f>
        <v/>
      </c>
      <c r="AZ148" s="34">
        <f>IF(AND(AZ$5&gt;=$F148,AZ$5&lt;=$G148),4,"")</f>
        <v/>
      </c>
      <c r="BA148" s="34">
        <f>IF(AND(BA$5&gt;=$F148,BA$5&lt;=$G148),4,"")</f>
        <v/>
      </c>
      <c r="BB148" s="34">
        <f>IF(AND(BB$5&gt;=$F148,BB$5&lt;=$G148),4,"")</f>
        <v/>
      </c>
      <c r="BC148" s="34">
        <f>IF(AND(BC$5&gt;=$F148,BC$5&lt;=$G148),4,"")</f>
        <v/>
      </c>
      <c r="BD148" s="34">
        <f>IF(AND(BD$5&gt;=$F148,BD$5&lt;=$G148),4,"")</f>
        <v/>
      </c>
      <c r="BE148" s="34">
        <f>IF(AND(BE$5&gt;=$F148,BE$5&lt;=$G148),4,"")</f>
        <v/>
      </c>
      <c r="BF148" s="34">
        <f>IF(AND(BF$5&gt;=$F148,BF$5&lt;=$G148),4,"")</f>
        <v/>
      </c>
      <c r="BG148" s="34">
        <f>IF(AND(BG$5&gt;=$F148,BG$5&lt;=$G148),4,"")</f>
        <v/>
      </c>
      <c r="BH148" s="34">
        <f>IF(AND(BH$5&gt;=$F148,BH$5&lt;=$G148),4,"")</f>
        <v/>
      </c>
      <c r="BI148" s="34">
        <f>IF(AND(BI$5&gt;=$F148,BI$5&lt;=$G148),4,"")</f>
        <v/>
      </c>
      <c r="BJ148" s="34">
        <f>IF(AND(BJ$5&gt;=$F148,BJ$5&lt;=$G148),4,"")</f>
        <v/>
      </c>
      <c r="BK148" s="34">
        <f>IF(AND(BK$5&gt;=$F148,BK$5&lt;=$G148),4,"")</f>
        <v/>
      </c>
      <c r="BL148" s="34">
        <f>IF(AND(BL$5&gt;=$F148,BL$5&lt;=$G148),4,"")</f>
        <v/>
      </c>
      <c r="BM148" s="34">
        <f>IF(AND(BM$5&gt;=$F148,BM$5&lt;=$G148),4,"")</f>
        <v/>
      </c>
      <c r="BN148" s="34">
        <f>IF(AND(BN$5&gt;=$F148,BN$5&lt;=$G148),4,"")</f>
        <v/>
      </c>
    </row>
    <row r="149" ht="14.25" customHeight="1" s="36">
      <c r="A149" s="13" t="inlineStr">
        <is>
          <t>4 Transición</t>
        </is>
      </c>
      <c r="B149" s="13" t="inlineStr">
        <is>
          <t>4.3.3</t>
        </is>
      </c>
      <c r="C149" s="13" t="inlineStr">
        <is>
          <t>Acta de paso a producción y aceptación final de la implementación (H12)</t>
        </is>
      </c>
      <c r="D149" s="13" t="inlineStr">
        <is>
          <t>G</t>
        </is>
      </c>
      <c r="E149" s="13" t="inlineStr">
        <is>
          <t>Jefe de Proyecto</t>
        </is>
      </c>
      <c r="F149" s="13" t="n">
        <v>21</v>
      </c>
      <c r="G149" s="13" t="n">
        <v>21</v>
      </c>
      <c r="H149" s="13">
        <f>G149-F149+1</f>
        <v/>
      </c>
      <c r="I149" s="31" t="n">
        <v>80</v>
      </c>
      <c r="J149" s="13" t="inlineStr">
        <is>
          <t>Con entregable (detalle por planificación gradual)</t>
        </is>
      </c>
      <c r="K149" s="34">
        <f>IF(AND(K$5&gt;=$F149,K$5&lt;=$G149),4,"")</f>
        <v/>
      </c>
      <c r="L149" s="34">
        <f>IF(AND(L$5&gt;=$F149,L$5&lt;=$G149),4,"")</f>
        <v/>
      </c>
      <c r="M149" s="34">
        <f>IF(AND(M$5&gt;=$F149,M$5&lt;=$G149),4,"")</f>
        <v/>
      </c>
      <c r="N149" s="34">
        <f>IF(AND(N$5&gt;=$F149,N$5&lt;=$G149),4,"")</f>
        <v/>
      </c>
      <c r="O149" s="34">
        <f>IF(AND(O$5&gt;=$F149,O$5&lt;=$G149),4,"")</f>
        <v/>
      </c>
      <c r="P149" s="34">
        <f>IF(AND(P$5&gt;=$F149,P$5&lt;=$G149),4,"")</f>
        <v/>
      </c>
      <c r="Q149" s="34">
        <f>IF(AND(Q$5&gt;=$F149,Q$5&lt;=$G149),4,"")</f>
        <v/>
      </c>
      <c r="R149" s="34">
        <f>IF(AND(R$5&gt;=$F149,R$5&lt;=$G149),4,"")</f>
        <v/>
      </c>
      <c r="S149" s="34">
        <f>IF(AND(S$5&gt;=$F149,S$5&lt;=$G149),4,"")</f>
        <v/>
      </c>
      <c r="T149" s="34">
        <f>IF(AND(T$5&gt;=$F149,T$5&lt;=$G149),4,"")</f>
        <v/>
      </c>
      <c r="U149" s="34">
        <f>IF(AND(U$5&gt;=$F149,U$5&lt;=$G149),4,"")</f>
        <v/>
      </c>
      <c r="V149" s="34">
        <f>IF(AND(V$5&gt;=$F149,V$5&lt;=$G149),4,"")</f>
        <v/>
      </c>
      <c r="W149" s="34">
        <f>IF(AND(W$5&gt;=$F149,W$5&lt;=$G149),4,"")</f>
        <v/>
      </c>
      <c r="X149" s="34">
        <f>IF(AND(X$5&gt;=$F149,X$5&lt;=$G149),4,"")</f>
        <v/>
      </c>
      <c r="Y149" s="34">
        <f>IF(AND(Y$5&gt;=$F149,Y$5&lt;=$G149),4,"")</f>
        <v/>
      </c>
      <c r="Z149" s="34">
        <f>IF(AND(Z$5&gt;=$F149,Z$5&lt;=$G149),4,"")</f>
        <v/>
      </c>
      <c r="AA149" s="34">
        <f>IF(AND(AA$5&gt;=$F149,AA$5&lt;=$G149),4,"")</f>
        <v/>
      </c>
      <c r="AB149" s="34">
        <f>IF(AND(AB$5&gt;=$F149,AB$5&lt;=$G149),4,"")</f>
        <v/>
      </c>
      <c r="AC149" s="34">
        <f>IF(AND(AC$5&gt;=$F149,AC$5&lt;=$G149),4,"")</f>
        <v/>
      </c>
      <c r="AD149" s="34">
        <f>IF(AND(AD$5&gt;=$F149,AD$5&lt;=$G149),4,"")</f>
        <v/>
      </c>
      <c r="AE149" s="34">
        <f>IF(AND(AE$5&gt;=$F149,AE$5&lt;=$G149),4,"")</f>
        <v/>
      </c>
      <c r="AF149" s="34">
        <f>IF(AND(AF$5&gt;=$F149,AF$5&lt;=$G149),4,"")</f>
        <v/>
      </c>
      <c r="AG149" s="34">
        <f>IF(AND(AG$5&gt;=$F149,AG$5&lt;=$G149),4,"")</f>
        <v/>
      </c>
      <c r="AH149" s="34">
        <f>IF(AND(AH$5&gt;=$F149,AH$5&lt;=$G149),4,"")</f>
        <v/>
      </c>
      <c r="AI149" s="34">
        <f>IF(AND(AI$5&gt;=$F149,AI$5&lt;=$G149),4,"")</f>
        <v/>
      </c>
      <c r="AJ149" s="34">
        <f>IF(AND(AJ$5&gt;=$F149,AJ$5&lt;=$G149),4,"")</f>
        <v/>
      </c>
      <c r="AK149" s="34">
        <f>IF(AND(AK$5&gt;=$F149,AK$5&lt;=$G149),4,"")</f>
        <v/>
      </c>
      <c r="AL149" s="34">
        <f>IF(AND(AL$5&gt;=$F149,AL$5&lt;=$G149),4,"")</f>
        <v/>
      </c>
      <c r="AM149" s="34">
        <f>IF(AND(AM$5&gt;=$F149,AM$5&lt;=$G149),4,"")</f>
        <v/>
      </c>
      <c r="AN149" s="34">
        <f>IF(AND(AN$5&gt;=$F149,AN$5&lt;=$G149),4,"")</f>
        <v/>
      </c>
      <c r="AO149" s="34">
        <f>IF(AND(AO$5&gt;=$F149,AO$5&lt;=$G149),4,"")</f>
        <v/>
      </c>
      <c r="AP149" s="34">
        <f>IF(AND(AP$5&gt;=$F149,AP$5&lt;=$G149),4,"")</f>
        <v/>
      </c>
      <c r="AQ149" s="34">
        <f>IF(AND(AQ$5&gt;=$F149,AQ$5&lt;=$G149),4,"")</f>
        <v/>
      </c>
      <c r="AR149" s="34">
        <f>IF(AND(AR$5&gt;=$F149,AR$5&lt;=$G149),4,"")</f>
        <v/>
      </c>
      <c r="AS149" s="34">
        <f>IF(AND(AS$5&gt;=$F149,AS$5&lt;=$G149),4,"")</f>
        <v/>
      </c>
      <c r="AT149" s="34">
        <f>IF(AND(AT$5&gt;=$F149,AT$5&lt;=$G149),4,"")</f>
        <v/>
      </c>
      <c r="AU149" s="34">
        <f>IF(AND(AU$5&gt;=$F149,AU$5&lt;=$G149),4,"")</f>
        <v/>
      </c>
      <c r="AV149" s="34">
        <f>IF(AND(AV$5&gt;=$F149,AV$5&lt;=$G149),4,"")</f>
        <v/>
      </c>
      <c r="AW149" s="34">
        <f>IF(AND(AW$5&gt;=$F149,AW$5&lt;=$G149),4,"")</f>
        <v/>
      </c>
      <c r="AX149" s="34">
        <f>IF(AND(AX$5&gt;=$F149,AX$5&lt;=$G149),4,"")</f>
        <v/>
      </c>
      <c r="AY149" s="34">
        <f>IF(AND(AY$5&gt;=$F149,AY$5&lt;=$G149),4,"")</f>
        <v/>
      </c>
      <c r="AZ149" s="34">
        <f>IF(AND(AZ$5&gt;=$F149,AZ$5&lt;=$G149),4,"")</f>
        <v/>
      </c>
      <c r="BA149" s="34">
        <f>IF(AND(BA$5&gt;=$F149,BA$5&lt;=$G149),4,"")</f>
        <v/>
      </c>
      <c r="BB149" s="34">
        <f>IF(AND(BB$5&gt;=$F149,BB$5&lt;=$G149),4,"")</f>
        <v/>
      </c>
      <c r="BC149" s="34">
        <f>IF(AND(BC$5&gt;=$F149,BC$5&lt;=$G149),4,"")</f>
        <v/>
      </c>
      <c r="BD149" s="34">
        <f>IF(AND(BD$5&gt;=$F149,BD$5&lt;=$G149),4,"")</f>
        <v/>
      </c>
      <c r="BE149" s="34">
        <f>IF(AND(BE$5&gt;=$F149,BE$5&lt;=$G149),4,"")</f>
        <v/>
      </c>
      <c r="BF149" s="34">
        <f>IF(AND(BF$5&gt;=$F149,BF$5&lt;=$G149),4,"")</f>
        <v/>
      </c>
      <c r="BG149" s="34">
        <f>IF(AND(BG$5&gt;=$F149,BG$5&lt;=$G149),4,"")</f>
        <v/>
      </c>
      <c r="BH149" s="34">
        <f>IF(AND(BH$5&gt;=$F149,BH$5&lt;=$G149),4,"")</f>
        <v/>
      </c>
      <c r="BI149" s="34">
        <f>IF(AND(BI$5&gt;=$F149,BI$5&lt;=$G149),4,"")</f>
        <v/>
      </c>
      <c r="BJ149" s="34">
        <f>IF(AND(BJ$5&gt;=$F149,BJ$5&lt;=$G149),4,"")</f>
        <v/>
      </c>
      <c r="BK149" s="34">
        <f>IF(AND(BK$5&gt;=$F149,BK$5&lt;=$G149),4,"")</f>
        <v/>
      </c>
      <c r="BL149" s="34">
        <f>IF(AND(BL$5&gt;=$F149,BL$5&lt;=$G149),4,"")</f>
        <v/>
      </c>
      <c r="BM149" s="34">
        <f>IF(AND(BM$5&gt;=$F149,BM$5&lt;=$G149),4,"")</f>
        <v/>
      </c>
      <c r="BN149" s="34">
        <f>IF(AND(BN$5&gt;=$F149,BN$5&lt;=$G149),4,"")</f>
        <v/>
      </c>
    </row>
    <row r="150" ht="14.25" customHeight="1" s="36">
      <c r="A150" s="13" t="inlineStr">
        <is>
          <t>4 Transición</t>
        </is>
      </c>
      <c r="B150" s="13" t="inlineStr">
        <is>
          <t>4.3.4</t>
        </is>
      </c>
      <c r="C150" s="13" t="inlineStr">
        <is>
          <t>Garantía de correcto funcionamiento constituida, condición de la aceptación final (H12)</t>
        </is>
      </c>
      <c r="D150" s="13" t="inlineStr">
        <is>
          <t>G</t>
        </is>
      </c>
      <c r="E150" s="13" t="inlineStr">
        <is>
          <t>Jefe de Proyecto</t>
        </is>
      </c>
      <c r="F150" s="13" t="n">
        <v>21</v>
      </c>
      <c r="G150" s="13" t="n">
        <v>21</v>
      </c>
      <c r="H150" s="13">
        <f>G150-F150+1</f>
        <v/>
      </c>
      <c r="I150" s="31" t="n">
        <v>80</v>
      </c>
      <c r="J150" s="13" t="inlineStr">
        <is>
          <t>Con entregable (detalle por planificación gradual)</t>
        </is>
      </c>
      <c r="K150" s="34">
        <f>IF(AND(K$5&gt;=$F150,K$5&lt;=$G150),4,"")</f>
        <v/>
      </c>
      <c r="L150" s="34">
        <f>IF(AND(L$5&gt;=$F150,L$5&lt;=$G150),4,"")</f>
        <v/>
      </c>
      <c r="M150" s="34">
        <f>IF(AND(M$5&gt;=$F150,M$5&lt;=$G150),4,"")</f>
        <v/>
      </c>
      <c r="N150" s="34">
        <f>IF(AND(N$5&gt;=$F150,N$5&lt;=$G150),4,"")</f>
        <v/>
      </c>
      <c r="O150" s="34">
        <f>IF(AND(O$5&gt;=$F150,O$5&lt;=$G150),4,"")</f>
        <v/>
      </c>
      <c r="P150" s="34">
        <f>IF(AND(P$5&gt;=$F150,P$5&lt;=$G150),4,"")</f>
        <v/>
      </c>
      <c r="Q150" s="34">
        <f>IF(AND(Q$5&gt;=$F150,Q$5&lt;=$G150),4,"")</f>
        <v/>
      </c>
      <c r="R150" s="34">
        <f>IF(AND(R$5&gt;=$F150,R$5&lt;=$G150),4,"")</f>
        <v/>
      </c>
      <c r="S150" s="34">
        <f>IF(AND(S$5&gt;=$F150,S$5&lt;=$G150),4,"")</f>
        <v/>
      </c>
      <c r="T150" s="34">
        <f>IF(AND(T$5&gt;=$F150,T$5&lt;=$G150),4,"")</f>
        <v/>
      </c>
      <c r="U150" s="34">
        <f>IF(AND(U$5&gt;=$F150,U$5&lt;=$G150),4,"")</f>
        <v/>
      </c>
      <c r="V150" s="34">
        <f>IF(AND(V$5&gt;=$F150,V$5&lt;=$G150),4,"")</f>
        <v/>
      </c>
      <c r="W150" s="34">
        <f>IF(AND(W$5&gt;=$F150,W$5&lt;=$G150),4,"")</f>
        <v/>
      </c>
      <c r="X150" s="34">
        <f>IF(AND(X$5&gt;=$F150,X$5&lt;=$G150),4,"")</f>
        <v/>
      </c>
      <c r="Y150" s="34">
        <f>IF(AND(Y$5&gt;=$F150,Y$5&lt;=$G150),4,"")</f>
        <v/>
      </c>
      <c r="Z150" s="34">
        <f>IF(AND(Z$5&gt;=$F150,Z$5&lt;=$G150),4,"")</f>
        <v/>
      </c>
      <c r="AA150" s="34">
        <f>IF(AND(AA$5&gt;=$F150,AA$5&lt;=$G150),4,"")</f>
        <v/>
      </c>
      <c r="AB150" s="34">
        <f>IF(AND(AB$5&gt;=$F150,AB$5&lt;=$G150),4,"")</f>
        <v/>
      </c>
      <c r="AC150" s="34">
        <f>IF(AND(AC$5&gt;=$F150,AC$5&lt;=$G150),4,"")</f>
        <v/>
      </c>
      <c r="AD150" s="34">
        <f>IF(AND(AD$5&gt;=$F150,AD$5&lt;=$G150),4,"")</f>
        <v/>
      </c>
      <c r="AE150" s="34">
        <f>IF(AND(AE$5&gt;=$F150,AE$5&lt;=$G150),4,"")</f>
        <v/>
      </c>
      <c r="AF150" s="34">
        <f>IF(AND(AF$5&gt;=$F150,AF$5&lt;=$G150),4,"")</f>
        <v/>
      </c>
      <c r="AG150" s="34">
        <f>IF(AND(AG$5&gt;=$F150,AG$5&lt;=$G150),4,"")</f>
        <v/>
      </c>
      <c r="AH150" s="34">
        <f>IF(AND(AH$5&gt;=$F150,AH$5&lt;=$G150),4,"")</f>
        <v/>
      </c>
      <c r="AI150" s="34">
        <f>IF(AND(AI$5&gt;=$F150,AI$5&lt;=$G150),4,"")</f>
        <v/>
      </c>
      <c r="AJ150" s="34">
        <f>IF(AND(AJ$5&gt;=$F150,AJ$5&lt;=$G150),4,"")</f>
        <v/>
      </c>
      <c r="AK150" s="34">
        <f>IF(AND(AK$5&gt;=$F150,AK$5&lt;=$G150),4,"")</f>
        <v/>
      </c>
      <c r="AL150" s="34">
        <f>IF(AND(AL$5&gt;=$F150,AL$5&lt;=$G150),4,"")</f>
        <v/>
      </c>
      <c r="AM150" s="34">
        <f>IF(AND(AM$5&gt;=$F150,AM$5&lt;=$G150),4,"")</f>
        <v/>
      </c>
      <c r="AN150" s="34">
        <f>IF(AND(AN$5&gt;=$F150,AN$5&lt;=$G150),4,"")</f>
        <v/>
      </c>
      <c r="AO150" s="34">
        <f>IF(AND(AO$5&gt;=$F150,AO$5&lt;=$G150),4,"")</f>
        <v/>
      </c>
      <c r="AP150" s="34">
        <f>IF(AND(AP$5&gt;=$F150,AP$5&lt;=$G150),4,"")</f>
        <v/>
      </c>
      <c r="AQ150" s="34">
        <f>IF(AND(AQ$5&gt;=$F150,AQ$5&lt;=$G150),4,"")</f>
        <v/>
      </c>
      <c r="AR150" s="34">
        <f>IF(AND(AR$5&gt;=$F150,AR$5&lt;=$G150),4,"")</f>
        <v/>
      </c>
      <c r="AS150" s="34">
        <f>IF(AND(AS$5&gt;=$F150,AS$5&lt;=$G150),4,"")</f>
        <v/>
      </c>
      <c r="AT150" s="34">
        <f>IF(AND(AT$5&gt;=$F150,AT$5&lt;=$G150),4,"")</f>
        <v/>
      </c>
      <c r="AU150" s="34">
        <f>IF(AND(AU$5&gt;=$F150,AU$5&lt;=$G150),4,"")</f>
        <v/>
      </c>
      <c r="AV150" s="34">
        <f>IF(AND(AV$5&gt;=$F150,AV$5&lt;=$G150),4,"")</f>
        <v/>
      </c>
      <c r="AW150" s="34">
        <f>IF(AND(AW$5&gt;=$F150,AW$5&lt;=$G150),4,"")</f>
        <v/>
      </c>
      <c r="AX150" s="34">
        <f>IF(AND(AX$5&gt;=$F150,AX$5&lt;=$G150),4,"")</f>
        <v/>
      </c>
      <c r="AY150" s="34">
        <f>IF(AND(AY$5&gt;=$F150,AY$5&lt;=$G150),4,"")</f>
        <v/>
      </c>
      <c r="AZ150" s="34">
        <f>IF(AND(AZ$5&gt;=$F150,AZ$5&lt;=$G150),4,"")</f>
        <v/>
      </c>
      <c r="BA150" s="34">
        <f>IF(AND(BA$5&gt;=$F150,BA$5&lt;=$G150),4,"")</f>
        <v/>
      </c>
      <c r="BB150" s="34">
        <f>IF(AND(BB$5&gt;=$F150,BB$5&lt;=$G150),4,"")</f>
        <v/>
      </c>
      <c r="BC150" s="34">
        <f>IF(AND(BC$5&gt;=$F150,BC$5&lt;=$G150),4,"")</f>
        <v/>
      </c>
      <c r="BD150" s="34">
        <f>IF(AND(BD$5&gt;=$F150,BD$5&lt;=$G150),4,"")</f>
        <v/>
      </c>
      <c r="BE150" s="34">
        <f>IF(AND(BE$5&gt;=$F150,BE$5&lt;=$G150),4,"")</f>
        <v/>
      </c>
      <c r="BF150" s="34">
        <f>IF(AND(BF$5&gt;=$F150,BF$5&lt;=$G150),4,"")</f>
        <v/>
      </c>
      <c r="BG150" s="34">
        <f>IF(AND(BG$5&gt;=$F150,BG$5&lt;=$G150),4,"")</f>
        <v/>
      </c>
      <c r="BH150" s="34">
        <f>IF(AND(BH$5&gt;=$F150,BH$5&lt;=$G150),4,"")</f>
        <v/>
      </c>
      <c r="BI150" s="34">
        <f>IF(AND(BI$5&gt;=$F150,BI$5&lt;=$G150),4,"")</f>
        <v/>
      </c>
      <c r="BJ150" s="34">
        <f>IF(AND(BJ$5&gt;=$F150,BJ$5&lt;=$G150),4,"")</f>
        <v/>
      </c>
      <c r="BK150" s="34">
        <f>IF(AND(BK$5&gt;=$F150,BK$5&lt;=$G150),4,"")</f>
        <v/>
      </c>
      <c r="BL150" s="34">
        <f>IF(AND(BL$5&gt;=$F150,BL$5&lt;=$G150),4,"")</f>
        <v/>
      </c>
      <c r="BM150" s="34">
        <f>IF(AND(BM$5&gt;=$F150,BM$5&lt;=$G150),4,"")</f>
        <v/>
      </c>
      <c r="BN150" s="34">
        <f>IF(AND(BN$5&gt;=$F150,BN$5&lt;=$G150),4,"")</f>
        <v/>
      </c>
    </row>
    <row r="151" ht="14.25" customHeight="1" s="36">
      <c r="A151" s="13" t="inlineStr">
        <is>
          <t>5 Adquisiciones y contrataciones</t>
        </is>
      </c>
      <c r="B151" s="13" t="inlineStr">
        <is>
          <t>5.1.1</t>
        </is>
      </c>
      <c r="C151" s="13" t="inlineStr">
        <is>
          <t>Especificación de compra del equipamiento de terreno para el CLIENTE</t>
        </is>
      </c>
      <c r="D151" s="13" t="inlineStr">
        <is>
          <t>G</t>
        </is>
      </c>
      <c r="E151" s="13" t="inlineStr">
        <is>
          <t>Arquitectura</t>
        </is>
      </c>
      <c r="F151" s="13" t="n">
        <v>2</v>
      </c>
      <c r="G151" s="13" t="n">
        <v>2</v>
      </c>
      <c r="H151" s="13">
        <f>G151-F151+1</f>
        <v/>
      </c>
      <c r="I151" s="31" t="n">
        <v>80</v>
      </c>
      <c r="J151" s="13" t="inlineStr">
        <is>
          <t>Con entregable (actividades en hoja «Actividades hasta H2»)</t>
        </is>
      </c>
      <c r="K151" s="34">
        <f>IF(AND(K$5&gt;=$F151,K$5&lt;=$G151),5,"")</f>
        <v/>
      </c>
      <c r="L151" s="34">
        <f>IF(AND(L$5&gt;=$F151,L$5&lt;=$G151),5,"")</f>
        <v/>
      </c>
      <c r="M151" s="34">
        <f>IF(AND(M$5&gt;=$F151,M$5&lt;=$G151),5,"")</f>
        <v/>
      </c>
      <c r="N151" s="34">
        <f>IF(AND(N$5&gt;=$F151,N$5&lt;=$G151),5,"")</f>
        <v/>
      </c>
      <c r="O151" s="34">
        <f>IF(AND(O$5&gt;=$F151,O$5&lt;=$G151),5,"")</f>
        <v/>
      </c>
      <c r="P151" s="34">
        <f>IF(AND(P$5&gt;=$F151,P$5&lt;=$G151),5,"")</f>
        <v/>
      </c>
      <c r="Q151" s="34">
        <f>IF(AND(Q$5&gt;=$F151,Q$5&lt;=$G151),5,"")</f>
        <v/>
      </c>
      <c r="R151" s="34">
        <f>IF(AND(R$5&gt;=$F151,R$5&lt;=$G151),5,"")</f>
        <v/>
      </c>
      <c r="S151" s="34">
        <f>IF(AND(S$5&gt;=$F151,S$5&lt;=$G151),5,"")</f>
        <v/>
      </c>
      <c r="T151" s="34">
        <f>IF(AND(T$5&gt;=$F151,T$5&lt;=$G151),5,"")</f>
        <v/>
      </c>
      <c r="U151" s="34">
        <f>IF(AND(U$5&gt;=$F151,U$5&lt;=$G151),5,"")</f>
        <v/>
      </c>
      <c r="V151" s="34">
        <f>IF(AND(V$5&gt;=$F151,V$5&lt;=$G151),5,"")</f>
        <v/>
      </c>
      <c r="W151" s="34">
        <f>IF(AND(W$5&gt;=$F151,W$5&lt;=$G151),5,"")</f>
        <v/>
      </c>
      <c r="X151" s="34">
        <f>IF(AND(X$5&gt;=$F151,X$5&lt;=$G151),5,"")</f>
        <v/>
      </c>
      <c r="Y151" s="34">
        <f>IF(AND(Y$5&gt;=$F151,Y$5&lt;=$G151),5,"")</f>
        <v/>
      </c>
      <c r="Z151" s="34">
        <f>IF(AND(Z$5&gt;=$F151,Z$5&lt;=$G151),5,"")</f>
        <v/>
      </c>
      <c r="AA151" s="34">
        <f>IF(AND(AA$5&gt;=$F151,AA$5&lt;=$G151),5,"")</f>
        <v/>
      </c>
      <c r="AB151" s="34">
        <f>IF(AND(AB$5&gt;=$F151,AB$5&lt;=$G151),5,"")</f>
        <v/>
      </c>
      <c r="AC151" s="34">
        <f>IF(AND(AC$5&gt;=$F151,AC$5&lt;=$G151),5,"")</f>
        <v/>
      </c>
      <c r="AD151" s="34">
        <f>IF(AND(AD$5&gt;=$F151,AD$5&lt;=$G151),5,"")</f>
        <v/>
      </c>
      <c r="AE151" s="34">
        <f>IF(AND(AE$5&gt;=$F151,AE$5&lt;=$G151),5,"")</f>
        <v/>
      </c>
      <c r="AF151" s="34">
        <f>IF(AND(AF$5&gt;=$F151,AF$5&lt;=$G151),5,"")</f>
        <v/>
      </c>
      <c r="AG151" s="34">
        <f>IF(AND(AG$5&gt;=$F151,AG$5&lt;=$G151),5,"")</f>
        <v/>
      </c>
      <c r="AH151" s="34">
        <f>IF(AND(AH$5&gt;=$F151,AH$5&lt;=$G151),5,"")</f>
        <v/>
      </c>
      <c r="AI151" s="34">
        <f>IF(AND(AI$5&gt;=$F151,AI$5&lt;=$G151),5,"")</f>
        <v/>
      </c>
      <c r="AJ151" s="34">
        <f>IF(AND(AJ$5&gt;=$F151,AJ$5&lt;=$G151),5,"")</f>
        <v/>
      </c>
      <c r="AK151" s="34">
        <f>IF(AND(AK$5&gt;=$F151,AK$5&lt;=$G151),5,"")</f>
        <v/>
      </c>
      <c r="AL151" s="34">
        <f>IF(AND(AL$5&gt;=$F151,AL$5&lt;=$G151),5,"")</f>
        <v/>
      </c>
      <c r="AM151" s="34">
        <f>IF(AND(AM$5&gt;=$F151,AM$5&lt;=$G151),5,"")</f>
        <v/>
      </c>
      <c r="AN151" s="34">
        <f>IF(AND(AN$5&gt;=$F151,AN$5&lt;=$G151),5,"")</f>
        <v/>
      </c>
      <c r="AO151" s="34">
        <f>IF(AND(AO$5&gt;=$F151,AO$5&lt;=$G151),5,"")</f>
        <v/>
      </c>
      <c r="AP151" s="34">
        <f>IF(AND(AP$5&gt;=$F151,AP$5&lt;=$G151),5,"")</f>
        <v/>
      </c>
      <c r="AQ151" s="34">
        <f>IF(AND(AQ$5&gt;=$F151,AQ$5&lt;=$G151),5,"")</f>
        <v/>
      </c>
      <c r="AR151" s="34">
        <f>IF(AND(AR$5&gt;=$F151,AR$5&lt;=$G151),5,"")</f>
        <v/>
      </c>
      <c r="AS151" s="34">
        <f>IF(AND(AS$5&gt;=$F151,AS$5&lt;=$G151),5,"")</f>
        <v/>
      </c>
      <c r="AT151" s="34">
        <f>IF(AND(AT$5&gt;=$F151,AT$5&lt;=$G151),5,"")</f>
        <v/>
      </c>
      <c r="AU151" s="34">
        <f>IF(AND(AU$5&gt;=$F151,AU$5&lt;=$G151),5,"")</f>
        <v/>
      </c>
      <c r="AV151" s="34">
        <f>IF(AND(AV$5&gt;=$F151,AV$5&lt;=$G151),5,"")</f>
        <v/>
      </c>
      <c r="AW151" s="34">
        <f>IF(AND(AW$5&gt;=$F151,AW$5&lt;=$G151),5,"")</f>
        <v/>
      </c>
      <c r="AX151" s="34">
        <f>IF(AND(AX$5&gt;=$F151,AX$5&lt;=$G151),5,"")</f>
        <v/>
      </c>
      <c r="AY151" s="34">
        <f>IF(AND(AY$5&gt;=$F151,AY$5&lt;=$G151),5,"")</f>
        <v/>
      </c>
      <c r="AZ151" s="34">
        <f>IF(AND(AZ$5&gt;=$F151,AZ$5&lt;=$G151),5,"")</f>
        <v/>
      </c>
      <c r="BA151" s="34">
        <f>IF(AND(BA$5&gt;=$F151,BA$5&lt;=$G151),5,"")</f>
        <v/>
      </c>
      <c r="BB151" s="34">
        <f>IF(AND(BB$5&gt;=$F151,BB$5&lt;=$G151),5,"")</f>
        <v/>
      </c>
      <c r="BC151" s="34">
        <f>IF(AND(BC$5&gt;=$F151,BC$5&lt;=$G151),5,"")</f>
        <v/>
      </c>
      <c r="BD151" s="34">
        <f>IF(AND(BD$5&gt;=$F151,BD$5&lt;=$G151),5,"")</f>
        <v/>
      </c>
      <c r="BE151" s="34">
        <f>IF(AND(BE$5&gt;=$F151,BE$5&lt;=$G151),5,"")</f>
        <v/>
      </c>
      <c r="BF151" s="34">
        <f>IF(AND(BF$5&gt;=$F151,BF$5&lt;=$G151),5,"")</f>
        <v/>
      </c>
      <c r="BG151" s="34">
        <f>IF(AND(BG$5&gt;=$F151,BG$5&lt;=$G151),5,"")</f>
        <v/>
      </c>
      <c r="BH151" s="34">
        <f>IF(AND(BH$5&gt;=$F151,BH$5&lt;=$G151),5,"")</f>
        <v/>
      </c>
      <c r="BI151" s="34">
        <f>IF(AND(BI$5&gt;=$F151,BI$5&lt;=$G151),5,"")</f>
        <v/>
      </c>
      <c r="BJ151" s="34">
        <f>IF(AND(BJ$5&gt;=$F151,BJ$5&lt;=$G151),5,"")</f>
        <v/>
      </c>
      <c r="BK151" s="34">
        <f>IF(AND(BK$5&gt;=$F151,BK$5&lt;=$G151),5,"")</f>
        <v/>
      </c>
      <c r="BL151" s="34">
        <f>IF(AND(BL$5&gt;=$F151,BL$5&lt;=$G151),5,"")</f>
        <v/>
      </c>
      <c r="BM151" s="34">
        <f>IF(AND(BM$5&gt;=$F151,BM$5&lt;=$G151),5,"")</f>
        <v/>
      </c>
      <c r="BN151" s="34">
        <f>IF(AND(BN$5&gt;=$F151,BN$5&lt;=$G151),5,"")</f>
        <v/>
      </c>
    </row>
    <row r="152" ht="14.25" customHeight="1" s="36">
      <c r="A152" s="13" t="inlineStr">
        <is>
          <t>5 Adquisiciones y contrataciones</t>
        </is>
      </c>
      <c r="B152" s="13" t="inlineStr">
        <is>
          <t>5.1.2</t>
        </is>
      </c>
      <c r="C152" s="13" t="inlineStr">
        <is>
          <t>Especificación de compra de la sala técnica, los racks y los gabinetes de borde para el CLIENTE</t>
        </is>
      </c>
      <c r="D152" s="13" t="inlineStr">
        <is>
          <t>G</t>
        </is>
      </c>
      <c r="E152" s="13" t="inlineStr">
        <is>
          <t>Arquitectura</t>
        </is>
      </c>
      <c r="F152" s="13" t="n">
        <v>2</v>
      </c>
      <c r="G152" s="13" t="n">
        <v>2</v>
      </c>
      <c r="H152" s="13">
        <f>G152-F152+1</f>
        <v/>
      </c>
      <c r="I152" s="31" t="n">
        <v>80</v>
      </c>
      <c r="J152" s="13" t="inlineStr">
        <is>
          <t>Con entregable (actividades en hoja «Actividades hasta H2»)</t>
        </is>
      </c>
      <c r="K152" s="34">
        <f>IF(AND(K$5&gt;=$F152,K$5&lt;=$G152),5,"")</f>
        <v/>
      </c>
      <c r="L152" s="34">
        <f>IF(AND(L$5&gt;=$F152,L$5&lt;=$G152),5,"")</f>
        <v/>
      </c>
      <c r="M152" s="34">
        <f>IF(AND(M$5&gt;=$F152,M$5&lt;=$G152),5,"")</f>
        <v/>
      </c>
      <c r="N152" s="34">
        <f>IF(AND(N$5&gt;=$F152,N$5&lt;=$G152),5,"")</f>
        <v/>
      </c>
      <c r="O152" s="34">
        <f>IF(AND(O$5&gt;=$F152,O$5&lt;=$G152),5,"")</f>
        <v/>
      </c>
      <c r="P152" s="34">
        <f>IF(AND(P$5&gt;=$F152,P$5&lt;=$G152),5,"")</f>
        <v/>
      </c>
      <c r="Q152" s="34">
        <f>IF(AND(Q$5&gt;=$F152,Q$5&lt;=$G152),5,"")</f>
        <v/>
      </c>
      <c r="R152" s="34">
        <f>IF(AND(R$5&gt;=$F152,R$5&lt;=$G152),5,"")</f>
        <v/>
      </c>
      <c r="S152" s="34">
        <f>IF(AND(S$5&gt;=$F152,S$5&lt;=$G152),5,"")</f>
        <v/>
      </c>
      <c r="T152" s="34">
        <f>IF(AND(T$5&gt;=$F152,T$5&lt;=$G152),5,"")</f>
        <v/>
      </c>
      <c r="U152" s="34">
        <f>IF(AND(U$5&gt;=$F152,U$5&lt;=$G152),5,"")</f>
        <v/>
      </c>
      <c r="V152" s="34">
        <f>IF(AND(V$5&gt;=$F152,V$5&lt;=$G152),5,"")</f>
        <v/>
      </c>
      <c r="W152" s="34">
        <f>IF(AND(W$5&gt;=$F152,W$5&lt;=$G152),5,"")</f>
        <v/>
      </c>
      <c r="X152" s="34">
        <f>IF(AND(X$5&gt;=$F152,X$5&lt;=$G152),5,"")</f>
        <v/>
      </c>
      <c r="Y152" s="34">
        <f>IF(AND(Y$5&gt;=$F152,Y$5&lt;=$G152),5,"")</f>
        <v/>
      </c>
      <c r="Z152" s="34">
        <f>IF(AND(Z$5&gt;=$F152,Z$5&lt;=$G152),5,"")</f>
        <v/>
      </c>
      <c r="AA152" s="34">
        <f>IF(AND(AA$5&gt;=$F152,AA$5&lt;=$G152),5,"")</f>
        <v/>
      </c>
      <c r="AB152" s="34">
        <f>IF(AND(AB$5&gt;=$F152,AB$5&lt;=$G152),5,"")</f>
        <v/>
      </c>
      <c r="AC152" s="34">
        <f>IF(AND(AC$5&gt;=$F152,AC$5&lt;=$G152),5,"")</f>
        <v/>
      </c>
      <c r="AD152" s="34">
        <f>IF(AND(AD$5&gt;=$F152,AD$5&lt;=$G152),5,"")</f>
        <v/>
      </c>
      <c r="AE152" s="34">
        <f>IF(AND(AE$5&gt;=$F152,AE$5&lt;=$G152),5,"")</f>
        <v/>
      </c>
      <c r="AF152" s="34">
        <f>IF(AND(AF$5&gt;=$F152,AF$5&lt;=$G152),5,"")</f>
        <v/>
      </c>
      <c r="AG152" s="34">
        <f>IF(AND(AG$5&gt;=$F152,AG$5&lt;=$G152),5,"")</f>
        <v/>
      </c>
      <c r="AH152" s="34">
        <f>IF(AND(AH$5&gt;=$F152,AH$5&lt;=$G152),5,"")</f>
        <v/>
      </c>
      <c r="AI152" s="34">
        <f>IF(AND(AI$5&gt;=$F152,AI$5&lt;=$G152),5,"")</f>
        <v/>
      </c>
      <c r="AJ152" s="34">
        <f>IF(AND(AJ$5&gt;=$F152,AJ$5&lt;=$G152),5,"")</f>
        <v/>
      </c>
      <c r="AK152" s="34">
        <f>IF(AND(AK$5&gt;=$F152,AK$5&lt;=$G152),5,"")</f>
        <v/>
      </c>
      <c r="AL152" s="34">
        <f>IF(AND(AL$5&gt;=$F152,AL$5&lt;=$G152),5,"")</f>
        <v/>
      </c>
      <c r="AM152" s="34">
        <f>IF(AND(AM$5&gt;=$F152,AM$5&lt;=$G152),5,"")</f>
        <v/>
      </c>
      <c r="AN152" s="34">
        <f>IF(AND(AN$5&gt;=$F152,AN$5&lt;=$G152),5,"")</f>
        <v/>
      </c>
      <c r="AO152" s="34">
        <f>IF(AND(AO$5&gt;=$F152,AO$5&lt;=$G152),5,"")</f>
        <v/>
      </c>
      <c r="AP152" s="34">
        <f>IF(AND(AP$5&gt;=$F152,AP$5&lt;=$G152),5,"")</f>
        <v/>
      </c>
      <c r="AQ152" s="34">
        <f>IF(AND(AQ$5&gt;=$F152,AQ$5&lt;=$G152),5,"")</f>
        <v/>
      </c>
      <c r="AR152" s="34">
        <f>IF(AND(AR$5&gt;=$F152,AR$5&lt;=$G152),5,"")</f>
        <v/>
      </c>
      <c r="AS152" s="34">
        <f>IF(AND(AS$5&gt;=$F152,AS$5&lt;=$G152),5,"")</f>
        <v/>
      </c>
      <c r="AT152" s="34">
        <f>IF(AND(AT$5&gt;=$F152,AT$5&lt;=$G152),5,"")</f>
        <v/>
      </c>
      <c r="AU152" s="34">
        <f>IF(AND(AU$5&gt;=$F152,AU$5&lt;=$G152),5,"")</f>
        <v/>
      </c>
      <c r="AV152" s="34">
        <f>IF(AND(AV$5&gt;=$F152,AV$5&lt;=$G152),5,"")</f>
        <v/>
      </c>
      <c r="AW152" s="34">
        <f>IF(AND(AW$5&gt;=$F152,AW$5&lt;=$G152),5,"")</f>
        <v/>
      </c>
      <c r="AX152" s="34">
        <f>IF(AND(AX$5&gt;=$F152,AX$5&lt;=$G152),5,"")</f>
        <v/>
      </c>
      <c r="AY152" s="34">
        <f>IF(AND(AY$5&gt;=$F152,AY$5&lt;=$G152),5,"")</f>
        <v/>
      </c>
      <c r="AZ152" s="34">
        <f>IF(AND(AZ$5&gt;=$F152,AZ$5&lt;=$G152),5,"")</f>
        <v/>
      </c>
      <c r="BA152" s="34">
        <f>IF(AND(BA$5&gt;=$F152,BA$5&lt;=$G152),5,"")</f>
        <v/>
      </c>
      <c r="BB152" s="34">
        <f>IF(AND(BB$5&gt;=$F152,BB$5&lt;=$G152),5,"")</f>
        <v/>
      </c>
      <c r="BC152" s="34">
        <f>IF(AND(BC$5&gt;=$F152,BC$5&lt;=$G152),5,"")</f>
        <v/>
      </c>
      <c r="BD152" s="34">
        <f>IF(AND(BD$5&gt;=$F152,BD$5&lt;=$G152),5,"")</f>
        <v/>
      </c>
      <c r="BE152" s="34">
        <f>IF(AND(BE$5&gt;=$F152,BE$5&lt;=$G152),5,"")</f>
        <v/>
      </c>
      <c r="BF152" s="34">
        <f>IF(AND(BF$5&gt;=$F152,BF$5&lt;=$G152),5,"")</f>
        <v/>
      </c>
      <c r="BG152" s="34">
        <f>IF(AND(BG$5&gt;=$F152,BG$5&lt;=$G152),5,"")</f>
        <v/>
      </c>
      <c r="BH152" s="34">
        <f>IF(AND(BH$5&gt;=$F152,BH$5&lt;=$G152),5,"")</f>
        <v/>
      </c>
      <c r="BI152" s="34">
        <f>IF(AND(BI$5&gt;=$F152,BI$5&lt;=$G152),5,"")</f>
        <v/>
      </c>
      <c r="BJ152" s="34">
        <f>IF(AND(BJ$5&gt;=$F152,BJ$5&lt;=$G152),5,"")</f>
        <v/>
      </c>
      <c r="BK152" s="34">
        <f>IF(AND(BK$5&gt;=$F152,BK$5&lt;=$G152),5,"")</f>
        <v/>
      </c>
      <c r="BL152" s="34">
        <f>IF(AND(BL$5&gt;=$F152,BL$5&lt;=$G152),5,"")</f>
        <v/>
      </c>
      <c r="BM152" s="34">
        <f>IF(AND(BM$5&gt;=$F152,BM$5&lt;=$G152),5,"")</f>
        <v/>
      </c>
      <c r="BN152" s="34">
        <f>IF(AND(BN$5&gt;=$F152,BN$5&lt;=$G152),5,"")</f>
        <v/>
      </c>
    </row>
    <row r="153" ht="14.25" customHeight="1" s="36">
      <c r="A153" s="13" t="inlineStr">
        <is>
          <t>5 Adquisiciones y contrataciones</t>
        </is>
      </c>
      <c r="B153" s="13" t="inlineStr">
        <is>
          <t>5.1.3</t>
        </is>
      </c>
      <c r="C153" s="13" t="inlineStr">
        <is>
          <t>Actas de recepción técnica de los equipos comprados por el CLIENTE</t>
        </is>
      </c>
      <c r="D153" s="13" t="inlineStr">
        <is>
          <t>G</t>
        </is>
      </c>
      <c r="E153" s="13" t="inlineStr">
        <is>
          <t>Operación / SRE</t>
        </is>
      </c>
      <c r="F153" s="13" t="n">
        <v>5</v>
      </c>
      <c r="G153" s="13" t="n">
        <v>5</v>
      </c>
      <c r="H153" s="13">
        <f>G153-F153+1</f>
        <v/>
      </c>
      <c r="I153" s="31" t="n">
        <v>80</v>
      </c>
      <c r="J153" s="13" t="inlineStr">
        <is>
          <t>Con entregable (detalle por planificación gradual)</t>
        </is>
      </c>
      <c r="K153" s="34">
        <f>IF(AND(K$5&gt;=$F153,K$5&lt;=$G153),5,"")</f>
        <v/>
      </c>
      <c r="L153" s="34">
        <f>IF(AND(L$5&gt;=$F153,L$5&lt;=$G153),5,"")</f>
        <v/>
      </c>
      <c r="M153" s="34">
        <f>IF(AND(M$5&gt;=$F153,M$5&lt;=$G153),5,"")</f>
        <v/>
      </c>
      <c r="N153" s="34">
        <f>IF(AND(N$5&gt;=$F153,N$5&lt;=$G153),5,"")</f>
        <v/>
      </c>
      <c r="O153" s="34">
        <f>IF(AND(O$5&gt;=$F153,O$5&lt;=$G153),5,"")</f>
        <v/>
      </c>
      <c r="P153" s="34">
        <f>IF(AND(P$5&gt;=$F153,P$5&lt;=$G153),5,"")</f>
        <v/>
      </c>
      <c r="Q153" s="34">
        <f>IF(AND(Q$5&gt;=$F153,Q$5&lt;=$G153),5,"")</f>
        <v/>
      </c>
      <c r="R153" s="34">
        <f>IF(AND(R$5&gt;=$F153,R$5&lt;=$G153),5,"")</f>
        <v/>
      </c>
      <c r="S153" s="34">
        <f>IF(AND(S$5&gt;=$F153,S$5&lt;=$G153),5,"")</f>
        <v/>
      </c>
      <c r="T153" s="34">
        <f>IF(AND(T$5&gt;=$F153,T$5&lt;=$G153),5,"")</f>
        <v/>
      </c>
      <c r="U153" s="34">
        <f>IF(AND(U$5&gt;=$F153,U$5&lt;=$G153),5,"")</f>
        <v/>
      </c>
      <c r="V153" s="34">
        <f>IF(AND(V$5&gt;=$F153,V$5&lt;=$G153),5,"")</f>
        <v/>
      </c>
      <c r="W153" s="34">
        <f>IF(AND(W$5&gt;=$F153,W$5&lt;=$G153),5,"")</f>
        <v/>
      </c>
      <c r="X153" s="34">
        <f>IF(AND(X$5&gt;=$F153,X$5&lt;=$G153),5,"")</f>
        <v/>
      </c>
      <c r="Y153" s="34">
        <f>IF(AND(Y$5&gt;=$F153,Y$5&lt;=$G153),5,"")</f>
        <v/>
      </c>
      <c r="Z153" s="34">
        <f>IF(AND(Z$5&gt;=$F153,Z$5&lt;=$G153),5,"")</f>
        <v/>
      </c>
      <c r="AA153" s="34">
        <f>IF(AND(AA$5&gt;=$F153,AA$5&lt;=$G153),5,"")</f>
        <v/>
      </c>
      <c r="AB153" s="34">
        <f>IF(AND(AB$5&gt;=$F153,AB$5&lt;=$G153),5,"")</f>
        <v/>
      </c>
      <c r="AC153" s="34">
        <f>IF(AND(AC$5&gt;=$F153,AC$5&lt;=$G153),5,"")</f>
        <v/>
      </c>
      <c r="AD153" s="34">
        <f>IF(AND(AD$5&gt;=$F153,AD$5&lt;=$G153),5,"")</f>
        <v/>
      </c>
      <c r="AE153" s="34">
        <f>IF(AND(AE$5&gt;=$F153,AE$5&lt;=$G153),5,"")</f>
        <v/>
      </c>
      <c r="AF153" s="34">
        <f>IF(AND(AF$5&gt;=$F153,AF$5&lt;=$G153),5,"")</f>
        <v/>
      </c>
      <c r="AG153" s="34">
        <f>IF(AND(AG$5&gt;=$F153,AG$5&lt;=$G153),5,"")</f>
        <v/>
      </c>
      <c r="AH153" s="34">
        <f>IF(AND(AH$5&gt;=$F153,AH$5&lt;=$G153),5,"")</f>
        <v/>
      </c>
      <c r="AI153" s="34">
        <f>IF(AND(AI$5&gt;=$F153,AI$5&lt;=$G153),5,"")</f>
        <v/>
      </c>
      <c r="AJ153" s="34">
        <f>IF(AND(AJ$5&gt;=$F153,AJ$5&lt;=$G153),5,"")</f>
        <v/>
      </c>
      <c r="AK153" s="34">
        <f>IF(AND(AK$5&gt;=$F153,AK$5&lt;=$G153),5,"")</f>
        <v/>
      </c>
      <c r="AL153" s="34">
        <f>IF(AND(AL$5&gt;=$F153,AL$5&lt;=$G153),5,"")</f>
        <v/>
      </c>
      <c r="AM153" s="34">
        <f>IF(AND(AM$5&gt;=$F153,AM$5&lt;=$G153),5,"")</f>
        <v/>
      </c>
      <c r="AN153" s="34">
        <f>IF(AND(AN$5&gt;=$F153,AN$5&lt;=$G153),5,"")</f>
        <v/>
      </c>
      <c r="AO153" s="34">
        <f>IF(AND(AO$5&gt;=$F153,AO$5&lt;=$G153),5,"")</f>
        <v/>
      </c>
      <c r="AP153" s="34">
        <f>IF(AND(AP$5&gt;=$F153,AP$5&lt;=$G153),5,"")</f>
        <v/>
      </c>
      <c r="AQ153" s="34">
        <f>IF(AND(AQ$5&gt;=$F153,AQ$5&lt;=$G153),5,"")</f>
        <v/>
      </c>
      <c r="AR153" s="34">
        <f>IF(AND(AR$5&gt;=$F153,AR$5&lt;=$G153),5,"")</f>
        <v/>
      </c>
      <c r="AS153" s="34">
        <f>IF(AND(AS$5&gt;=$F153,AS$5&lt;=$G153),5,"")</f>
        <v/>
      </c>
      <c r="AT153" s="34">
        <f>IF(AND(AT$5&gt;=$F153,AT$5&lt;=$G153),5,"")</f>
        <v/>
      </c>
      <c r="AU153" s="34">
        <f>IF(AND(AU$5&gt;=$F153,AU$5&lt;=$G153),5,"")</f>
        <v/>
      </c>
      <c r="AV153" s="34">
        <f>IF(AND(AV$5&gt;=$F153,AV$5&lt;=$G153),5,"")</f>
        <v/>
      </c>
      <c r="AW153" s="34">
        <f>IF(AND(AW$5&gt;=$F153,AW$5&lt;=$G153),5,"")</f>
        <v/>
      </c>
      <c r="AX153" s="34">
        <f>IF(AND(AX$5&gt;=$F153,AX$5&lt;=$G153),5,"")</f>
        <v/>
      </c>
      <c r="AY153" s="34">
        <f>IF(AND(AY$5&gt;=$F153,AY$5&lt;=$G153),5,"")</f>
        <v/>
      </c>
      <c r="AZ153" s="34">
        <f>IF(AND(AZ$5&gt;=$F153,AZ$5&lt;=$G153),5,"")</f>
        <v/>
      </c>
      <c r="BA153" s="34">
        <f>IF(AND(BA$5&gt;=$F153,BA$5&lt;=$G153),5,"")</f>
        <v/>
      </c>
      <c r="BB153" s="34">
        <f>IF(AND(BB$5&gt;=$F153,BB$5&lt;=$G153),5,"")</f>
        <v/>
      </c>
      <c r="BC153" s="34">
        <f>IF(AND(BC$5&gt;=$F153,BC$5&lt;=$G153),5,"")</f>
        <v/>
      </c>
      <c r="BD153" s="34">
        <f>IF(AND(BD$5&gt;=$F153,BD$5&lt;=$G153),5,"")</f>
        <v/>
      </c>
      <c r="BE153" s="34">
        <f>IF(AND(BE$5&gt;=$F153,BE$5&lt;=$G153),5,"")</f>
        <v/>
      </c>
      <c r="BF153" s="34">
        <f>IF(AND(BF$5&gt;=$F153,BF$5&lt;=$G153),5,"")</f>
        <v/>
      </c>
      <c r="BG153" s="34">
        <f>IF(AND(BG$5&gt;=$F153,BG$5&lt;=$G153),5,"")</f>
        <v/>
      </c>
      <c r="BH153" s="34">
        <f>IF(AND(BH$5&gt;=$F153,BH$5&lt;=$G153),5,"")</f>
        <v/>
      </c>
      <c r="BI153" s="34">
        <f>IF(AND(BI$5&gt;=$F153,BI$5&lt;=$G153),5,"")</f>
        <v/>
      </c>
      <c r="BJ153" s="34">
        <f>IF(AND(BJ$5&gt;=$F153,BJ$5&lt;=$G153),5,"")</f>
        <v/>
      </c>
      <c r="BK153" s="34">
        <f>IF(AND(BK$5&gt;=$F153,BK$5&lt;=$G153),5,"")</f>
        <v/>
      </c>
      <c r="BL153" s="34">
        <f>IF(AND(BL$5&gt;=$F153,BL$5&lt;=$G153),5,"")</f>
        <v/>
      </c>
      <c r="BM153" s="34">
        <f>IF(AND(BM$5&gt;=$F153,BM$5&lt;=$G153),5,"")</f>
        <v/>
      </c>
      <c r="BN153" s="34">
        <f>IF(AND(BN$5&gt;=$F153,BN$5&lt;=$G153),5,"")</f>
        <v/>
      </c>
    </row>
    <row r="154" ht="14.25" customHeight="1" s="36">
      <c r="A154" s="13" t="inlineStr">
        <is>
          <t>5 Adquisiciones y contrataciones</t>
        </is>
      </c>
      <c r="B154" s="13" t="inlineStr">
        <is>
          <t>5.2.1</t>
        </is>
      </c>
      <c r="C154" s="13" t="inlineStr">
        <is>
          <t>Contrato de los servicios de AWS</t>
        </is>
      </c>
      <c r="D154" s="13" t="inlineStr">
        <is>
          <t>G</t>
        </is>
      </c>
      <c r="E154" s="13" t="inlineStr">
        <is>
          <t>Operación / SRE</t>
        </is>
      </c>
      <c r="F154" s="13" t="n">
        <v>2</v>
      </c>
      <c r="G154" s="13" t="n">
        <v>2</v>
      </c>
      <c r="H154" s="13">
        <f>G154-F154+1</f>
        <v/>
      </c>
      <c r="I154" s="31" t="n">
        <v>80</v>
      </c>
      <c r="J154" s="13" t="inlineStr">
        <is>
          <t>Con entregable (actividades en hoja «Actividades hasta H2»)</t>
        </is>
      </c>
      <c r="K154" s="34">
        <f>IF(AND(K$5&gt;=$F154,K$5&lt;=$G154),5,"")</f>
        <v/>
      </c>
      <c r="L154" s="34">
        <f>IF(AND(L$5&gt;=$F154,L$5&lt;=$G154),5,"")</f>
        <v/>
      </c>
      <c r="M154" s="34">
        <f>IF(AND(M$5&gt;=$F154,M$5&lt;=$G154),5,"")</f>
        <v/>
      </c>
      <c r="N154" s="34">
        <f>IF(AND(N$5&gt;=$F154,N$5&lt;=$G154),5,"")</f>
        <v/>
      </c>
      <c r="O154" s="34">
        <f>IF(AND(O$5&gt;=$F154,O$5&lt;=$G154),5,"")</f>
        <v/>
      </c>
      <c r="P154" s="34">
        <f>IF(AND(P$5&gt;=$F154,P$5&lt;=$G154),5,"")</f>
        <v/>
      </c>
      <c r="Q154" s="34">
        <f>IF(AND(Q$5&gt;=$F154,Q$5&lt;=$G154),5,"")</f>
        <v/>
      </c>
      <c r="R154" s="34">
        <f>IF(AND(R$5&gt;=$F154,R$5&lt;=$G154),5,"")</f>
        <v/>
      </c>
      <c r="S154" s="34">
        <f>IF(AND(S$5&gt;=$F154,S$5&lt;=$G154),5,"")</f>
        <v/>
      </c>
      <c r="T154" s="34">
        <f>IF(AND(T$5&gt;=$F154,T$5&lt;=$G154),5,"")</f>
        <v/>
      </c>
      <c r="U154" s="34">
        <f>IF(AND(U$5&gt;=$F154,U$5&lt;=$G154),5,"")</f>
        <v/>
      </c>
      <c r="V154" s="34">
        <f>IF(AND(V$5&gt;=$F154,V$5&lt;=$G154),5,"")</f>
        <v/>
      </c>
      <c r="W154" s="34">
        <f>IF(AND(W$5&gt;=$F154,W$5&lt;=$G154),5,"")</f>
        <v/>
      </c>
      <c r="X154" s="34">
        <f>IF(AND(X$5&gt;=$F154,X$5&lt;=$G154),5,"")</f>
        <v/>
      </c>
      <c r="Y154" s="34">
        <f>IF(AND(Y$5&gt;=$F154,Y$5&lt;=$G154),5,"")</f>
        <v/>
      </c>
      <c r="Z154" s="34">
        <f>IF(AND(Z$5&gt;=$F154,Z$5&lt;=$G154),5,"")</f>
        <v/>
      </c>
      <c r="AA154" s="34">
        <f>IF(AND(AA$5&gt;=$F154,AA$5&lt;=$G154),5,"")</f>
        <v/>
      </c>
      <c r="AB154" s="34">
        <f>IF(AND(AB$5&gt;=$F154,AB$5&lt;=$G154),5,"")</f>
        <v/>
      </c>
      <c r="AC154" s="34">
        <f>IF(AND(AC$5&gt;=$F154,AC$5&lt;=$G154),5,"")</f>
        <v/>
      </c>
      <c r="AD154" s="34">
        <f>IF(AND(AD$5&gt;=$F154,AD$5&lt;=$G154),5,"")</f>
        <v/>
      </c>
      <c r="AE154" s="34">
        <f>IF(AND(AE$5&gt;=$F154,AE$5&lt;=$G154),5,"")</f>
        <v/>
      </c>
      <c r="AF154" s="34">
        <f>IF(AND(AF$5&gt;=$F154,AF$5&lt;=$G154),5,"")</f>
        <v/>
      </c>
      <c r="AG154" s="34">
        <f>IF(AND(AG$5&gt;=$F154,AG$5&lt;=$G154),5,"")</f>
        <v/>
      </c>
      <c r="AH154" s="34">
        <f>IF(AND(AH$5&gt;=$F154,AH$5&lt;=$G154),5,"")</f>
        <v/>
      </c>
      <c r="AI154" s="34">
        <f>IF(AND(AI$5&gt;=$F154,AI$5&lt;=$G154),5,"")</f>
        <v/>
      </c>
      <c r="AJ154" s="34">
        <f>IF(AND(AJ$5&gt;=$F154,AJ$5&lt;=$G154),5,"")</f>
        <v/>
      </c>
      <c r="AK154" s="34">
        <f>IF(AND(AK$5&gt;=$F154,AK$5&lt;=$G154),5,"")</f>
        <v/>
      </c>
      <c r="AL154" s="34">
        <f>IF(AND(AL$5&gt;=$F154,AL$5&lt;=$G154),5,"")</f>
        <v/>
      </c>
      <c r="AM154" s="34">
        <f>IF(AND(AM$5&gt;=$F154,AM$5&lt;=$G154),5,"")</f>
        <v/>
      </c>
      <c r="AN154" s="34">
        <f>IF(AND(AN$5&gt;=$F154,AN$5&lt;=$G154),5,"")</f>
        <v/>
      </c>
      <c r="AO154" s="34">
        <f>IF(AND(AO$5&gt;=$F154,AO$5&lt;=$G154),5,"")</f>
        <v/>
      </c>
      <c r="AP154" s="34">
        <f>IF(AND(AP$5&gt;=$F154,AP$5&lt;=$G154),5,"")</f>
        <v/>
      </c>
      <c r="AQ154" s="34">
        <f>IF(AND(AQ$5&gt;=$F154,AQ$5&lt;=$G154),5,"")</f>
        <v/>
      </c>
      <c r="AR154" s="34">
        <f>IF(AND(AR$5&gt;=$F154,AR$5&lt;=$G154),5,"")</f>
        <v/>
      </c>
      <c r="AS154" s="34">
        <f>IF(AND(AS$5&gt;=$F154,AS$5&lt;=$G154),5,"")</f>
        <v/>
      </c>
      <c r="AT154" s="34">
        <f>IF(AND(AT$5&gt;=$F154,AT$5&lt;=$G154),5,"")</f>
        <v/>
      </c>
      <c r="AU154" s="34">
        <f>IF(AND(AU$5&gt;=$F154,AU$5&lt;=$G154),5,"")</f>
        <v/>
      </c>
      <c r="AV154" s="34">
        <f>IF(AND(AV$5&gt;=$F154,AV$5&lt;=$G154),5,"")</f>
        <v/>
      </c>
      <c r="AW154" s="34">
        <f>IF(AND(AW$5&gt;=$F154,AW$5&lt;=$G154),5,"")</f>
        <v/>
      </c>
      <c r="AX154" s="34">
        <f>IF(AND(AX$5&gt;=$F154,AX$5&lt;=$G154),5,"")</f>
        <v/>
      </c>
      <c r="AY154" s="34">
        <f>IF(AND(AY$5&gt;=$F154,AY$5&lt;=$G154),5,"")</f>
        <v/>
      </c>
      <c r="AZ154" s="34">
        <f>IF(AND(AZ$5&gt;=$F154,AZ$5&lt;=$G154),5,"")</f>
        <v/>
      </c>
      <c r="BA154" s="34">
        <f>IF(AND(BA$5&gt;=$F154,BA$5&lt;=$G154),5,"")</f>
        <v/>
      </c>
      <c r="BB154" s="34">
        <f>IF(AND(BB$5&gt;=$F154,BB$5&lt;=$G154),5,"")</f>
        <v/>
      </c>
      <c r="BC154" s="34">
        <f>IF(AND(BC$5&gt;=$F154,BC$5&lt;=$G154),5,"")</f>
        <v/>
      </c>
      <c r="BD154" s="34">
        <f>IF(AND(BD$5&gt;=$F154,BD$5&lt;=$G154),5,"")</f>
        <v/>
      </c>
      <c r="BE154" s="34">
        <f>IF(AND(BE$5&gt;=$F154,BE$5&lt;=$G154),5,"")</f>
        <v/>
      </c>
      <c r="BF154" s="34">
        <f>IF(AND(BF$5&gt;=$F154,BF$5&lt;=$G154),5,"")</f>
        <v/>
      </c>
      <c r="BG154" s="34">
        <f>IF(AND(BG$5&gt;=$F154,BG$5&lt;=$G154),5,"")</f>
        <v/>
      </c>
      <c r="BH154" s="34">
        <f>IF(AND(BH$5&gt;=$F154,BH$5&lt;=$G154),5,"")</f>
        <v/>
      </c>
      <c r="BI154" s="34">
        <f>IF(AND(BI$5&gt;=$F154,BI$5&lt;=$G154),5,"")</f>
        <v/>
      </c>
      <c r="BJ154" s="34">
        <f>IF(AND(BJ$5&gt;=$F154,BJ$5&lt;=$G154),5,"")</f>
        <v/>
      </c>
      <c r="BK154" s="34">
        <f>IF(AND(BK$5&gt;=$F154,BK$5&lt;=$G154),5,"")</f>
        <v/>
      </c>
      <c r="BL154" s="34">
        <f>IF(AND(BL$5&gt;=$F154,BL$5&lt;=$G154),5,"")</f>
        <v/>
      </c>
      <c r="BM154" s="34">
        <f>IF(AND(BM$5&gt;=$F154,BM$5&lt;=$G154),5,"")</f>
        <v/>
      </c>
      <c r="BN154" s="34">
        <f>IF(AND(BN$5&gt;=$F154,BN$5&lt;=$G154),5,"")</f>
        <v/>
      </c>
    </row>
    <row r="155" ht="14.25" customHeight="1" s="36">
      <c r="A155" s="13" t="inlineStr">
        <is>
          <t>5 Adquisiciones y contrataciones</t>
        </is>
      </c>
      <c r="B155" s="13" t="inlineStr">
        <is>
          <t>5.2.2</t>
        </is>
      </c>
      <c r="C155" s="13" t="inlineStr">
        <is>
          <t>Suscripción del servicio de gestión de dispositivos y de detección en endpoints</t>
        </is>
      </c>
      <c r="D155" s="13" t="inlineStr">
        <is>
          <t>G</t>
        </is>
      </c>
      <c r="E155" s="13" t="inlineStr">
        <is>
          <t>Operación / SRE</t>
        </is>
      </c>
      <c r="F155" s="13" t="n">
        <v>4</v>
      </c>
      <c r="G155" s="13" t="n">
        <v>4</v>
      </c>
      <c r="H155" s="13">
        <f>G155-F155+1</f>
        <v/>
      </c>
      <c r="I155" s="31" t="n">
        <v>80</v>
      </c>
      <c r="J155" s="13" t="inlineStr">
        <is>
          <t>Con entregable (actividades en hoja «Actividades hasta H2»)</t>
        </is>
      </c>
      <c r="K155" s="34">
        <f>IF(AND(K$5&gt;=$F155,K$5&lt;=$G155),5,"")</f>
        <v/>
      </c>
      <c r="L155" s="34">
        <f>IF(AND(L$5&gt;=$F155,L$5&lt;=$G155),5,"")</f>
        <v/>
      </c>
      <c r="M155" s="34">
        <f>IF(AND(M$5&gt;=$F155,M$5&lt;=$G155),5,"")</f>
        <v/>
      </c>
      <c r="N155" s="34">
        <f>IF(AND(N$5&gt;=$F155,N$5&lt;=$G155),5,"")</f>
        <v/>
      </c>
      <c r="O155" s="34">
        <f>IF(AND(O$5&gt;=$F155,O$5&lt;=$G155),5,"")</f>
        <v/>
      </c>
      <c r="P155" s="34">
        <f>IF(AND(P$5&gt;=$F155,P$5&lt;=$G155),5,"")</f>
        <v/>
      </c>
      <c r="Q155" s="34">
        <f>IF(AND(Q$5&gt;=$F155,Q$5&lt;=$G155),5,"")</f>
        <v/>
      </c>
      <c r="R155" s="34">
        <f>IF(AND(R$5&gt;=$F155,R$5&lt;=$G155),5,"")</f>
        <v/>
      </c>
      <c r="S155" s="34">
        <f>IF(AND(S$5&gt;=$F155,S$5&lt;=$G155),5,"")</f>
        <v/>
      </c>
      <c r="T155" s="34">
        <f>IF(AND(T$5&gt;=$F155,T$5&lt;=$G155),5,"")</f>
        <v/>
      </c>
      <c r="U155" s="34">
        <f>IF(AND(U$5&gt;=$F155,U$5&lt;=$G155),5,"")</f>
        <v/>
      </c>
      <c r="V155" s="34">
        <f>IF(AND(V$5&gt;=$F155,V$5&lt;=$G155),5,"")</f>
        <v/>
      </c>
      <c r="W155" s="34">
        <f>IF(AND(W$5&gt;=$F155,W$5&lt;=$G155),5,"")</f>
        <v/>
      </c>
      <c r="X155" s="34">
        <f>IF(AND(X$5&gt;=$F155,X$5&lt;=$G155),5,"")</f>
        <v/>
      </c>
      <c r="Y155" s="34">
        <f>IF(AND(Y$5&gt;=$F155,Y$5&lt;=$G155),5,"")</f>
        <v/>
      </c>
      <c r="Z155" s="34">
        <f>IF(AND(Z$5&gt;=$F155,Z$5&lt;=$G155),5,"")</f>
        <v/>
      </c>
      <c r="AA155" s="34">
        <f>IF(AND(AA$5&gt;=$F155,AA$5&lt;=$G155),5,"")</f>
        <v/>
      </c>
      <c r="AB155" s="34">
        <f>IF(AND(AB$5&gt;=$F155,AB$5&lt;=$G155),5,"")</f>
        <v/>
      </c>
      <c r="AC155" s="34">
        <f>IF(AND(AC$5&gt;=$F155,AC$5&lt;=$G155),5,"")</f>
        <v/>
      </c>
      <c r="AD155" s="34">
        <f>IF(AND(AD$5&gt;=$F155,AD$5&lt;=$G155),5,"")</f>
        <v/>
      </c>
      <c r="AE155" s="34">
        <f>IF(AND(AE$5&gt;=$F155,AE$5&lt;=$G155),5,"")</f>
        <v/>
      </c>
      <c r="AF155" s="34">
        <f>IF(AND(AF$5&gt;=$F155,AF$5&lt;=$G155),5,"")</f>
        <v/>
      </c>
      <c r="AG155" s="34">
        <f>IF(AND(AG$5&gt;=$F155,AG$5&lt;=$G155),5,"")</f>
        <v/>
      </c>
      <c r="AH155" s="34">
        <f>IF(AND(AH$5&gt;=$F155,AH$5&lt;=$G155),5,"")</f>
        <v/>
      </c>
      <c r="AI155" s="34">
        <f>IF(AND(AI$5&gt;=$F155,AI$5&lt;=$G155),5,"")</f>
        <v/>
      </c>
      <c r="AJ155" s="34">
        <f>IF(AND(AJ$5&gt;=$F155,AJ$5&lt;=$G155),5,"")</f>
        <v/>
      </c>
      <c r="AK155" s="34">
        <f>IF(AND(AK$5&gt;=$F155,AK$5&lt;=$G155),5,"")</f>
        <v/>
      </c>
      <c r="AL155" s="34">
        <f>IF(AND(AL$5&gt;=$F155,AL$5&lt;=$G155),5,"")</f>
        <v/>
      </c>
      <c r="AM155" s="34">
        <f>IF(AND(AM$5&gt;=$F155,AM$5&lt;=$G155),5,"")</f>
        <v/>
      </c>
      <c r="AN155" s="34">
        <f>IF(AND(AN$5&gt;=$F155,AN$5&lt;=$G155),5,"")</f>
        <v/>
      </c>
      <c r="AO155" s="34">
        <f>IF(AND(AO$5&gt;=$F155,AO$5&lt;=$G155),5,"")</f>
        <v/>
      </c>
      <c r="AP155" s="34">
        <f>IF(AND(AP$5&gt;=$F155,AP$5&lt;=$G155),5,"")</f>
        <v/>
      </c>
      <c r="AQ155" s="34">
        <f>IF(AND(AQ$5&gt;=$F155,AQ$5&lt;=$G155),5,"")</f>
        <v/>
      </c>
      <c r="AR155" s="34">
        <f>IF(AND(AR$5&gt;=$F155,AR$5&lt;=$G155),5,"")</f>
        <v/>
      </c>
      <c r="AS155" s="34">
        <f>IF(AND(AS$5&gt;=$F155,AS$5&lt;=$G155),5,"")</f>
        <v/>
      </c>
      <c r="AT155" s="34">
        <f>IF(AND(AT$5&gt;=$F155,AT$5&lt;=$G155),5,"")</f>
        <v/>
      </c>
      <c r="AU155" s="34">
        <f>IF(AND(AU$5&gt;=$F155,AU$5&lt;=$G155),5,"")</f>
        <v/>
      </c>
      <c r="AV155" s="34">
        <f>IF(AND(AV$5&gt;=$F155,AV$5&lt;=$G155),5,"")</f>
        <v/>
      </c>
      <c r="AW155" s="34">
        <f>IF(AND(AW$5&gt;=$F155,AW$5&lt;=$G155),5,"")</f>
        <v/>
      </c>
      <c r="AX155" s="34">
        <f>IF(AND(AX$5&gt;=$F155,AX$5&lt;=$G155),5,"")</f>
        <v/>
      </c>
      <c r="AY155" s="34">
        <f>IF(AND(AY$5&gt;=$F155,AY$5&lt;=$G155),5,"")</f>
        <v/>
      </c>
      <c r="AZ155" s="34">
        <f>IF(AND(AZ$5&gt;=$F155,AZ$5&lt;=$G155),5,"")</f>
        <v/>
      </c>
      <c r="BA155" s="34">
        <f>IF(AND(BA$5&gt;=$F155,BA$5&lt;=$G155),5,"")</f>
        <v/>
      </c>
      <c r="BB155" s="34">
        <f>IF(AND(BB$5&gt;=$F155,BB$5&lt;=$G155),5,"")</f>
        <v/>
      </c>
      <c r="BC155" s="34">
        <f>IF(AND(BC$5&gt;=$F155,BC$5&lt;=$G155),5,"")</f>
        <v/>
      </c>
      <c r="BD155" s="34">
        <f>IF(AND(BD$5&gt;=$F155,BD$5&lt;=$G155),5,"")</f>
        <v/>
      </c>
      <c r="BE155" s="34">
        <f>IF(AND(BE$5&gt;=$F155,BE$5&lt;=$G155),5,"")</f>
        <v/>
      </c>
      <c r="BF155" s="34">
        <f>IF(AND(BF$5&gt;=$F155,BF$5&lt;=$G155),5,"")</f>
        <v/>
      </c>
      <c r="BG155" s="34">
        <f>IF(AND(BG$5&gt;=$F155,BG$5&lt;=$G155),5,"")</f>
        <v/>
      </c>
      <c r="BH155" s="34">
        <f>IF(AND(BH$5&gt;=$F155,BH$5&lt;=$G155),5,"")</f>
        <v/>
      </c>
      <c r="BI155" s="34">
        <f>IF(AND(BI$5&gt;=$F155,BI$5&lt;=$G155),5,"")</f>
        <v/>
      </c>
      <c r="BJ155" s="34">
        <f>IF(AND(BJ$5&gt;=$F155,BJ$5&lt;=$G155),5,"")</f>
        <v/>
      </c>
      <c r="BK155" s="34">
        <f>IF(AND(BK$5&gt;=$F155,BK$5&lt;=$G155),5,"")</f>
        <v/>
      </c>
      <c r="BL155" s="34">
        <f>IF(AND(BL$5&gt;=$F155,BL$5&lt;=$G155),5,"")</f>
        <v/>
      </c>
      <c r="BM155" s="34">
        <f>IF(AND(BM$5&gt;=$F155,BM$5&lt;=$G155),5,"")</f>
        <v/>
      </c>
      <c r="BN155" s="34">
        <f>IF(AND(BN$5&gt;=$F155,BN$5&lt;=$G155),5,"")</f>
        <v/>
      </c>
    </row>
    <row r="156" ht="14.25" customHeight="1" s="36">
      <c r="A156" s="13" t="inlineStr">
        <is>
          <t>5 Adquisiciones y contrataciones</t>
        </is>
      </c>
      <c r="B156" s="13" t="inlineStr">
        <is>
          <t>5.2.3</t>
        </is>
      </c>
      <c r="C156" s="13" t="inlineStr">
        <is>
          <t>Licencias de software de terceros constituidas a nombre del CLIENTE</t>
        </is>
      </c>
      <c r="D156" s="13" t="inlineStr">
        <is>
          <t>G</t>
        </is>
      </c>
      <c r="E156" s="13" t="inlineStr">
        <is>
          <t>Arquitectura</t>
        </is>
      </c>
      <c r="F156" s="13" t="n">
        <v>4</v>
      </c>
      <c r="G156" s="13" t="n">
        <v>4</v>
      </c>
      <c r="H156" s="13">
        <f>G156-F156+1</f>
        <v/>
      </c>
      <c r="I156" s="31" t="n">
        <v>80</v>
      </c>
      <c r="J156" s="13" t="inlineStr">
        <is>
          <t>Con entregable (actividades en hoja «Actividades hasta H2»)</t>
        </is>
      </c>
      <c r="K156" s="34">
        <f>IF(AND(K$5&gt;=$F156,K$5&lt;=$G156),5,"")</f>
        <v/>
      </c>
      <c r="L156" s="34">
        <f>IF(AND(L$5&gt;=$F156,L$5&lt;=$G156),5,"")</f>
        <v/>
      </c>
      <c r="M156" s="34">
        <f>IF(AND(M$5&gt;=$F156,M$5&lt;=$G156),5,"")</f>
        <v/>
      </c>
      <c r="N156" s="34">
        <f>IF(AND(N$5&gt;=$F156,N$5&lt;=$G156),5,"")</f>
        <v/>
      </c>
      <c r="O156" s="34">
        <f>IF(AND(O$5&gt;=$F156,O$5&lt;=$G156),5,"")</f>
        <v/>
      </c>
      <c r="P156" s="34">
        <f>IF(AND(P$5&gt;=$F156,P$5&lt;=$G156),5,"")</f>
        <v/>
      </c>
      <c r="Q156" s="34">
        <f>IF(AND(Q$5&gt;=$F156,Q$5&lt;=$G156),5,"")</f>
        <v/>
      </c>
      <c r="R156" s="34">
        <f>IF(AND(R$5&gt;=$F156,R$5&lt;=$G156),5,"")</f>
        <v/>
      </c>
      <c r="S156" s="34">
        <f>IF(AND(S$5&gt;=$F156,S$5&lt;=$G156),5,"")</f>
        <v/>
      </c>
      <c r="T156" s="34">
        <f>IF(AND(T$5&gt;=$F156,T$5&lt;=$G156),5,"")</f>
        <v/>
      </c>
      <c r="U156" s="34">
        <f>IF(AND(U$5&gt;=$F156,U$5&lt;=$G156),5,"")</f>
        <v/>
      </c>
      <c r="V156" s="34">
        <f>IF(AND(V$5&gt;=$F156,V$5&lt;=$G156),5,"")</f>
        <v/>
      </c>
      <c r="W156" s="34">
        <f>IF(AND(W$5&gt;=$F156,W$5&lt;=$G156),5,"")</f>
        <v/>
      </c>
      <c r="X156" s="34">
        <f>IF(AND(X$5&gt;=$F156,X$5&lt;=$G156),5,"")</f>
        <v/>
      </c>
      <c r="Y156" s="34">
        <f>IF(AND(Y$5&gt;=$F156,Y$5&lt;=$G156),5,"")</f>
        <v/>
      </c>
      <c r="Z156" s="34">
        <f>IF(AND(Z$5&gt;=$F156,Z$5&lt;=$G156),5,"")</f>
        <v/>
      </c>
      <c r="AA156" s="34">
        <f>IF(AND(AA$5&gt;=$F156,AA$5&lt;=$G156),5,"")</f>
        <v/>
      </c>
      <c r="AB156" s="34">
        <f>IF(AND(AB$5&gt;=$F156,AB$5&lt;=$G156),5,"")</f>
        <v/>
      </c>
      <c r="AC156" s="34">
        <f>IF(AND(AC$5&gt;=$F156,AC$5&lt;=$G156),5,"")</f>
        <v/>
      </c>
      <c r="AD156" s="34">
        <f>IF(AND(AD$5&gt;=$F156,AD$5&lt;=$G156),5,"")</f>
        <v/>
      </c>
      <c r="AE156" s="34">
        <f>IF(AND(AE$5&gt;=$F156,AE$5&lt;=$G156),5,"")</f>
        <v/>
      </c>
      <c r="AF156" s="34">
        <f>IF(AND(AF$5&gt;=$F156,AF$5&lt;=$G156),5,"")</f>
        <v/>
      </c>
      <c r="AG156" s="34">
        <f>IF(AND(AG$5&gt;=$F156,AG$5&lt;=$G156),5,"")</f>
        <v/>
      </c>
      <c r="AH156" s="34">
        <f>IF(AND(AH$5&gt;=$F156,AH$5&lt;=$G156),5,"")</f>
        <v/>
      </c>
      <c r="AI156" s="34">
        <f>IF(AND(AI$5&gt;=$F156,AI$5&lt;=$G156),5,"")</f>
        <v/>
      </c>
      <c r="AJ156" s="34">
        <f>IF(AND(AJ$5&gt;=$F156,AJ$5&lt;=$G156),5,"")</f>
        <v/>
      </c>
      <c r="AK156" s="34">
        <f>IF(AND(AK$5&gt;=$F156,AK$5&lt;=$G156),5,"")</f>
        <v/>
      </c>
      <c r="AL156" s="34">
        <f>IF(AND(AL$5&gt;=$F156,AL$5&lt;=$G156),5,"")</f>
        <v/>
      </c>
      <c r="AM156" s="34">
        <f>IF(AND(AM$5&gt;=$F156,AM$5&lt;=$G156),5,"")</f>
        <v/>
      </c>
      <c r="AN156" s="34">
        <f>IF(AND(AN$5&gt;=$F156,AN$5&lt;=$G156),5,"")</f>
        <v/>
      </c>
      <c r="AO156" s="34">
        <f>IF(AND(AO$5&gt;=$F156,AO$5&lt;=$G156),5,"")</f>
        <v/>
      </c>
      <c r="AP156" s="34">
        <f>IF(AND(AP$5&gt;=$F156,AP$5&lt;=$G156),5,"")</f>
        <v/>
      </c>
      <c r="AQ156" s="34">
        <f>IF(AND(AQ$5&gt;=$F156,AQ$5&lt;=$G156),5,"")</f>
        <v/>
      </c>
      <c r="AR156" s="34">
        <f>IF(AND(AR$5&gt;=$F156,AR$5&lt;=$G156),5,"")</f>
        <v/>
      </c>
      <c r="AS156" s="34">
        <f>IF(AND(AS$5&gt;=$F156,AS$5&lt;=$G156),5,"")</f>
        <v/>
      </c>
      <c r="AT156" s="34">
        <f>IF(AND(AT$5&gt;=$F156,AT$5&lt;=$G156),5,"")</f>
        <v/>
      </c>
      <c r="AU156" s="34">
        <f>IF(AND(AU$5&gt;=$F156,AU$5&lt;=$G156),5,"")</f>
        <v/>
      </c>
      <c r="AV156" s="34">
        <f>IF(AND(AV$5&gt;=$F156,AV$5&lt;=$G156),5,"")</f>
        <v/>
      </c>
      <c r="AW156" s="34">
        <f>IF(AND(AW$5&gt;=$F156,AW$5&lt;=$G156),5,"")</f>
        <v/>
      </c>
      <c r="AX156" s="34">
        <f>IF(AND(AX$5&gt;=$F156,AX$5&lt;=$G156),5,"")</f>
        <v/>
      </c>
      <c r="AY156" s="34">
        <f>IF(AND(AY$5&gt;=$F156,AY$5&lt;=$G156),5,"")</f>
        <v/>
      </c>
      <c r="AZ156" s="34">
        <f>IF(AND(AZ$5&gt;=$F156,AZ$5&lt;=$G156),5,"")</f>
        <v/>
      </c>
      <c r="BA156" s="34">
        <f>IF(AND(BA$5&gt;=$F156,BA$5&lt;=$G156),5,"")</f>
        <v/>
      </c>
      <c r="BB156" s="34">
        <f>IF(AND(BB$5&gt;=$F156,BB$5&lt;=$G156),5,"")</f>
        <v/>
      </c>
      <c r="BC156" s="34">
        <f>IF(AND(BC$5&gt;=$F156,BC$5&lt;=$G156),5,"")</f>
        <v/>
      </c>
      <c r="BD156" s="34">
        <f>IF(AND(BD$5&gt;=$F156,BD$5&lt;=$G156),5,"")</f>
        <v/>
      </c>
      <c r="BE156" s="34">
        <f>IF(AND(BE$5&gt;=$F156,BE$5&lt;=$G156),5,"")</f>
        <v/>
      </c>
      <c r="BF156" s="34">
        <f>IF(AND(BF$5&gt;=$F156,BF$5&lt;=$G156),5,"")</f>
        <v/>
      </c>
      <c r="BG156" s="34">
        <f>IF(AND(BG$5&gt;=$F156,BG$5&lt;=$G156),5,"")</f>
        <v/>
      </c>
      <c r="BH156" s="34">
        <f>IF(AND(BH$5&gt;=$F156,BH$5&lt;=$G156),5,"")</f>
        <v/>
      </c>
      <c r="BI156" s="34">
        <f>IF(AND(BI$5&gt;=$F156,BI$5&lt;=$G156),5,"")</f>
        <v/>
      </c>
      <c r="BJ156" s="34">
        <f>IF(AND(BJ$5&gt;=$F156,BJ$5&lt;=$G156),5,"")</f>
        <v/>
      </c>
      <c r="BK156" s="34">
        <f>IF(AND(BK$5&gt;=$F156,BK$5&lt;=$G156),5,"")</f>
        <v/>
      </c>
      <c r="BL156" s="34">
        <f>IF(AND(BL$5&gt;=$F156,BL$5&lt;=$G156),5,"")</f>
        <v/>
      </c>
      <c r="BM156" s="34">
        <f>IF(AND(BM$5&gt;=$F156,BM$5&lt;=$G156),5,"")</f>
        <v/>
      </c>
      <c r="BN156" s="34">
        <f>IF(AND(BN$5&gt;=$F156,BN$5&lt;=$G156),5,"")</f>
        <v/>
      </c>
    </row>
    <row r="157" ht="14.25" customHeight="1" s="36">
      <c r="A157" s="13" t="inlineStr">
        <is>
          <t>5 Adquisiciones y contrataciones</t>
        </is>
      </c>
      <c r="B157" s="13" t="inlineStr">
        <is>
          <t>5.3.1</t>
        </is>
      </c>
      <c r="C157" s="13" t="inlineStr">
        <is>
          <t>Contrato de fibra óptica de los CD de Talca y Concepción</t>
        </is>
      </c>
      <c r="D157" s="13" t="inlineStr">
        <is>
          <t>G</t>
        </is>
      </c>
      <c r="E157" s="13" t="inlineStr">
        <is>
          <t>Operación / SRE</t>
        </is>
      </c>
      <c r="F157" s="13" t="n">
        <v>4</v>
      </c>
      <c r="G157" s="13" t="n">
        <v>4</v>
      </c>
      <c r="H157" s="13">
        <f>G157-F157+1</f>
        <v/>
      </c>
      <c r="I157" s="31" t="n">
        <v>80</v>
      </c>
      <c r="J157" s="13" t="inlineStr">
        <is>
          <t>Con entregable (actividades en hoja «Actividades hasta H2»)</t>
        </is>
      </c>
      <c r="K157" s="34">
        <f>IF(AND(K$5&gt;=$F157,K$5&lt;=$G157),5,"")</f>
        <v/>
      </c>
      <c r="L157" s="34">
        <f>IF(AND(L$5&gt;=$F157,L$5&lt;=$G157),5,"")</f>
        <v/>
      </c>
      <c r="M157" s="34">
        <f>IF(AND(M$5&gt;=$F157,M$5&lt;=$G157),5,"")</f>
        <v/>
      </c>
      <c r="N157" s="34">
        <f>IF(AND(N$5&gt;=$F157,N$5&lt;=$G157),5,"")</f>
        <v/>
      </c>
      <c r="O157" s="34">
        <f>IF(AND(O$5&gt;=$F157,O$5&lt;=$G157),5,"")</f>
        <v/>
      </c>
      <c r="P157" s="34">
        <f>IF(AND(P$5&gt;=$F157,P$5&lt;=$G157),5,"")</f>
        <v/>
      </c>
      <c r="Q157" s="34">
        <f>IF(AND(Q$5&gt;=$F157,Q$5&lt;=$G157),5,"")</f>
        <v/>
      </c>
      <c r="R157" s="34">
        <f>IF(AND(R$5&gt;=$F157,R$5&lt;=$G157),5,"")</f>
        <v/>
      </c>
      <c r="S157" s="34">
        <f>IF(AND(S$5&gt;=$F157,S$5&lt;=$G157),5,"")</f>
        <v/>
      </c>
      <c r="T157" s="34">
        <f>IF(AND(T$5&gt;=$F157,T$5&lt;=$G157),5,"")</f>
        <v/>
      </c>
      <c r="U157" s="34">
        <f>IF(AND(U$5&gt;=$F157,U$5&lt;=$G157),5,"")</f>
        <v/>
      </c>
      <c r="V157" s="34">
        <f>IF(AND(V$5&gt;=$F157,V$5&lt;=$G157),5,"")</f>
        <v/>
      </c>
      <c r="W157" s="34">
        <f>IF(AND(W$5&gt;=$F157,W$5&lt;=$G157),5,"")</f>
        <v/>
      </c>
      <c r="X157" s="34">
        <f>IF(AND(X$5&gt;=$F157,X$5&lt;=$G157),5,"")</f>
        <v/>
      </c>
      <c r="Y157" s="34">
        <f>IF(AND(Y$5&gt;=$F157,Y$5&lt;=$G157),5,"")</f>
        <v/>
      </c>
      <c r="Z157" s="34">
        <f>IF(AND(Z$5&gt;=$F157,Z$5&lt;=$G157),5,"")</f>
        <v/>
      </c>
      <c r="AA157" s="34">
        <f>IF(AND(AA$5&gt;=$F157,AA$5&lt;=$G157),5,"")</f>
        <v/>
      </c>
      <c r="AB157" s="34">
        <f>IF(AND(AB$5&gt;=$F157,AB$5&lt;=$G157),5,"")</f>
        <v/>
      </c>
      <c r="AC157" s="34">
        <f>IF(AND(AC$5&gt;=$F157,AC$5&lt;=$G157),5,"")</f>
        <v/>
      </c>
      <c r="AD157" s="34">
        <f>IF(AND(AD$5&gt;=$F157,AD$5&lt;=$G157),5,"")</f>
        <v/>
      </c>
      <c r="AE157" s="34">
        <f>IF(AND(AE$5&gt;=$F157,AE$5&lt;=$G157),5,"")</f>
        <v/>
      </c>
      <c r="AF157" s="34">
        <f>IF(AND(AF$5&gt;=$F157,AF$5&lt;=$G157),5,"")</f>
        <v/>
      </c>
      <c r="AG157" s="34">
        <f>IF(AND(AG$5&gt;=$F157,AG$5&lt;=$G157),5,"")</f>
        <v/>
      </c>
      <c r="AH157" s="34">
        <f>IF(AND(AH$5&gt;=$F157,AH$5&lt;=$G157),5,"")</f>
        <v/>
      </c>
      <c r="AI157" s="34">
        <f>IF(AND(AI$5&gt;=$F157,AI$5&lt;=$G157),5,"")</f>
        <v/>
      </c>
      <c r="AJ157" s="34">
        <f>IF(AND(AJ$5&gt;=$F157,AJ$5&lt;=$G157),5,"")</f>
        <v/>
      </c>
      <c r="AK157" s="34">
        <f>IF(AND(AK$5&gt;=$F157,AK$5&lt;=$G157),5,"")</f>
        <v/>
      </c>
      <c r="AL157" s="34">
        <f>IF(AND(AL$5&gt;=$F157,AL$5&lt;=$G157),5,"")</f>
        <v/>
      </c>
      <c r="AM157" s="34">
        <f>IF(AND(AM$5&gt;=$F157,AM$5&lt;=$G157),5,"")</f>
        <v/>
      </c>
      <c r="AN157" s="34">
        <f>IF(AND(AN$5&gt;=$F157,AN$5&lt;=$G157),5,"")</f>
        <v/>
      </c>
      <c r="AO157" s="34">
        <f>IF(AND(AO$5&gt;=$F157,AO$5&lt;=$G157),5,"")</f>
        <v/>
      </c>
      <c r="AP157" s="34">
        <f>IF(AND(AP$5&gt;=$F157,AP$5&lt;=$G157),5,"")</f>
        <v/>
      </c>
      <c r="AQ157" s="34">
        <f>IF(AND(AQ$5&gt;=$F157,AQ$5&lt;=$G157),5,"")</f>
        <v/>
      </c>
      <c r="AR157" s="34">
        <f>IF(AND(AR$5&gt;=$F157,AR$5&lt;=$G157),5,"")</f>
        <v/>
      </c>
      <c r="AS157" s="34">
        <f>IF(AND(AS$5&gt;=$F157,AS$5&lt;=$G157),5,"")</f>
        <v/>
      </c>
      <c r="AT157" s="34">
        <f>IF(AND(AT$5&gt;=$F157,AT$5&lt;=$G157),5,"")</f>
        <v/>
      </c>
      <c r="AU157" s="34">
        <f>IF(AND(AU$5&gt;=$F157,AU$5&lt;=$G157),5,"")</f>
        <v/>
      </c>
      <c r="AV157" s="34">
        <f>IF(AND(AV$5&gt;=$F157,AV$5&lt;=$G157),5,"")</f>
        <v/>
      </c>
      <c r="AW157" s="34">
        <f>IF(AND(AW$5&gt;=$F157,AW$5&lt;=$G157),5,"")</f>
        <v/>
      </c>
      <c r="AX157" s="34">
        <f>IF(AND(AX$5&gt;=$F157,AX$5&lt;=$G157),5,"")</f>
        <v/>
      </c>
      <c r="AY157" s="34">
        <f>IF(AND(AY$5&gt;=$F157,AY$5&lt;=$G157),5,"")</f>
        <v/>
      </c>
      <c r="AZ157" s="34">
        <f>IF(AND(AZ$5&gt;=$F157,AZ$5&lt;=$G157),5,"")</f>
        <v/>
      </c>
      <c r="BA157" s="34">
        <f>IF(AND(BA$5&gt;=$F157,BA$5&lt;=$G157),5,"")</f>
        <v/>
      </c>
      <c r="BB157" s="34">
        <f>IF(AND(BB$5&gt;=$F157,BB$5&lt;=$G157),5,"")</f>
        <v/>
      </c>
      <c r="BC157" s="34">
        <f>IF(AND(BC$5&gt;=$F157,BC$5&lt;=$G157),5,"")</f>
        <v/>
      </c>
      <c r="BD157" s="34">
        <f>IF(AND(BD$5&gt;=$F157,BD$5&lt;=$G157),5,"")</f>
        <v/>
      </c>
      <c r="BE157" s="34">
        <f>IF(AND(BE$5&gt;=$F157,BE$5&lt;=$G157),5,"")</f>
        <v/>
      </c>
      <c r="BF157" s="34">
        <f>IF(AND(BF$5&gt;=$F157,BF$5&lt;=$G157),5,"")</f>
        <v/>
      </c>
      <c r="BG157" s="34">
        <f>IF(AND(BG$5&gt;=$F157,BG$5&lt;=$G157),5,"")</f>
        <v/>
      </c>
      <c r="BH157" s="34">
        <f>IF(AND(BH$5&gt;=$F157,BH$5&lt;=$G157),5,"")</f>
        <v/>
      </c>
      <c r="BI157" s="34">
        <f>IF(AND(BI$5&gt;=$F157,BI$5&lt;=$G157),5,"")</f>
        <v/>
      </c>
      <c r="BJ157" s="34">
        <f>IF(AND(BJ$5&gt;=$F157,BJ$5&lt;=$G157),5,"")</f>
        <v/>
      </c>
      <c r="BK157" s="34">
        <f>IF(AND(BK$5&gt;=$F157,BK$5&lt;=$G157),5,"")</f>
        <v/>
      </c>
      <c r="BL157" s="34">
        <f>IF(AND(BL$5&gt;=$F157,BL$5&lt;=$G157),5,"")</f>
        <v/>
      </c>
      <c r="BM157" s="34">
        <f>IF(AND(BM$5&gt;=$F157,BM$5&lt;=$G157),5,"")</f>
        <v/>
      </c>
      <c r="BN157" s="34">
        <f>IF(AND(BN$5&gt;=$F157,BN$5&lt;=$G157),5,"")</f>
        <v/>
      </c>
    </row>
    <row r="158" ht="14.25" customHeight="1" s="36">
      <c r="A158" s="13" t="inlineStr">
        <is>
          <t>5 Adquisiciones y contrataciones</t>
        </is>
      </c>
      <c r="B158" s="13" t="inlineStr">
        <is>
          <t>5.3.2</t>
        </is>
      </c>
      <c r="C158" s="13" t="inlineStr">
        <is>
          <t>Contrato de planes LTE con dos proveedores</t>
        </is>
      </c>
      <c r="D158" s="13" t="inlineStr">
        <is>
          <t>G</t>
        </is>
      </c>
      <c r="E158" s="13" t="inlineStr">
        <is>
          <t>Operación / SRE</t>
        </is>
      </c>
      <c r="F158" s="13" t="n">
        <v>4</v>
      </c>
      <c r="G158" s="13" t="n">
        <v>4</v>
      </c>
      <c r="H158" s="13">
        <f>G158-F158+1</f>
        <v/>
      </c>
      <c r="I158" s="31" t="n">
        <v>80</v>
      </c>
      <c r="J158" s="13" t="inlineStr">
        <is>
          <t>Con entregable (actividades en hoja «Actividades hasta H2»)</t>
        </is>
      </c>
      <c r="K158" s="34">
        <f>IF(AND(K$5&gt;=$F158,K$5&lt;=$G158),5,"")</f>
        <v/>
      </c>
      <c r="L158" s="34">
        <f>IF(AND(L$5&gt;=$F158,L$5&lt;=$G158),5,"")</f>
        <v/>
      </c>
      <c r="M158" s="34">
        <f>IF(AND(M$5&gt;=$F158,M$5&lt;=$G158),5,"")</f>
        <v/>
      </c>
      <c r="N158" s="34">
        <f>IF(AND(N$5&gt;=$F158,N$5&lt;=$G158),5,"")</f>
        <v/>
      </c>
      <c r="O158" s="34">
        <f>IF(AND(O$5&gt;=$F158,O$5&lt;=$G158),5,"")</f>
        <v/>
      </c>
      <c r="P158" s="34">
        <f>IF(AND(P$5&gt;=$F158,P$5&lt;=$G158),5,"")</f>
        <v/>
      </c>
      <c r="Q158" s="34">
        <f>IF(AND(Q$5&gt;=$F158,Q$5&lt;=$G158),5,"")</f>
        <v/>
      </c>
      <c r="R158" s="34">
        <f>IF(AND(R$5&gt;=$F158,R$5&lt;=$G158),5,"")</f>
        <v/>
      </c>
      <c r="S158" s="34">
        <f>IF(AND(S$5&gt;=$F158,S$5&lt;=$G158),5,"")</f>
        <v/>
      </c>
      <c r="T158" s="34">
        <f>IF(AND(T$5&gt;=$F158,T$5&lt;=$G158),5,"")</f>
        <v/>
      </c>
      <c r="U158" s="34">
        <f>IF(AND(U$5&gt;=$F158,U$5&lt;=$G158),5,"")</f>
        <v/>
      </c>
      <c r="V158" s="34">
        <f>IF(AND(V$5&gt;=$F158,V$5&lt;=$G158),5,"")</f>
        <v/>
      </c>
      <c r="W158" s="34">
        <f>IF(AND(W$5&gt;=$F158,W$5&lt;=$G158),5,"")</f>
        <v/>
      </c>
      <c r="X158" s="34">
        <f>IF(AND(X$5&gt;=$F158,X$5&lt;=$G158),5,"")</f>
        <v/>
      </c>
      <c r="Y158" s="34">
        <f>IF(AND(Y$5&gt;=$F158,Y$5&lt;=$G158),5,"")</f>
        <v/>
      </c>
      <c r="Z158" s="34">
        <f>IF(AND(Z$5&gt;=$F158,Z$5&lt;=$G158),5,"")</f>
        <v/>
      </c>
      <c r="AA158" s="34">
        <f>IF(AND(AA$5&gt;=$F158,AA$5&lt;=$G158),5,"")</f>
        <v/>
      </c>
      <c r="AB158" s="34">
        <f>IF(AND(AB$5&gt;=$F158,AB$5&lt;=$G158),5,"")</f>
        <v/>
      </c>
      <c r="AC158" s="34">
        <f>IF(AND(AC$5&gt;=$F158,AC$5&lt;=$G158),5,"")</f>
        <v/>
      </c>
      <c r="AD158" s="34">
        <f>IF(AND(AD$5&gt;=$F158,AD$5&lt;=$G158),5,"")</f>
        <v/>
      </c>
      <c r="AE158" s="34">
        <f>IF(AND(AE$5&gt;=$F158,AE$5&lt;=$G158),5,"")</f>
        <v/>
      </c>
      <c r="AF158" s="34">
        <f>IF(AND(AF$5&gt;=$F158,AF$5&lt;=$G158),5,"")</f>
        <v/>
      </c>
      <c r="AG158" s="34">
        <f>IF(AND(AG$5&gt;=$F158,AG$5&lt;=$G158),5,"")</f>
        <v/>
      </c>
      <c r="AH158" s="34">
        <f>IF(AND(AH$5&gt;=$F158,AH$5&lt;=$G158),5,"")</f>
        <v/>
      </c>
      <c r="AI158" s="34">
        <f>IF(AND(AI$5&gt;=$F158,AI$5&lt;=$G158),5,"")</f>
        <v/>
      </c>
      <c r="AJ158" s="34">
        <f>IF(AND(AJ$5&gt;=$F158,AJ$5&lt;=$G158),5,"")</f>
        <v/>
      </c>
      <c r="AK158" s="34">
        <f>IF(AND(AK$5&gt;=$F158,AK$5&lt;=$G158),5,"")</f>
        <v/>
      </c>
      <c r="AL158" s="34">
        <f>IF(AND(AL$5&gt;=$F158,AL$5&lt;=$G158),5,"")</f>
        <v/>
      </c>
      <c r="AM158" s="34">
        <f>IF(AND(AM$5&gt;=$F158,AM$5&lt;=$G158),5,"")</f>
        <v/>
      </c>
      <c r="AN158" s="34">
        <f>IF(AND(AN$5&gt;=$F158,AN$5&lt;=$G158),5,"")</f>
        <v/>
      </c>
      <c r="AO158" s="34">
        <f>IF(AND(AO$5&gt;=$F158,AO$5&lt;=$G158),5,"")</f>
        <v/>
      </c>
      <c r="AP158" s="34">
        <f>IF(AND(AP$5&gt;=$F158,AP$5&lt;=$G158),5,"")</f>
        <v/>
      </c>
      <c r="AQ158" s="34">
        <f>IF(AND(AQ$5&gt;=$F158,AQ$5&lt;=$G158),5,"")</f>
        <v/>
      </c>
      <c r="AR158" s="34">
        <f>IF(AND(AR$5&gt;=$F158,AR$5&lt;=$G158),5,"")</f>
        <v/>
      </c>
      <c r="AS158" s="34">
        <f>IF(AND(AS$5&gt;=$F158,AS$5&lt;=$G158),5,"")</f>
        <v/>
      </c>
      <c r="AT158" s="34">
        <f>IF(AND(AT$5&gt;=$F158,AT$5&lt;=$G158),5,"")</f>
        <v/>
      </c>
      <c r="AU158" s="34">
        <f>IF(AND(AU$5&gt;=$F158,AU$5&lt;=$G158),5,"")</f>
        <v/>
      </c>
      <c r="AV158" s="34">
        <f>IF(AND(AV$5&gt;=$F158,AV$5&lt;=$G158),5,"")</f>
        <v/>
      </c>
      <c r="AW158" s="34">
        <f>IF(AND(AW$5&gt;=$F158,AW$5&lt;=$G158),5,"")</f>
        <v/>
      </c>
      <c r="AX158" s="34">
        <f>IF(AND(AX$5&gt;=$F158,AX$5&lt;=$G158),5,"")</f>
        <v/>
      </c>
      <c r="AY158" s="34">
        <f>IF(AND(AY$5&gt;=$F158,AY$5&lt;=$G158),5,"")</f>
        <v/>
      </c>
      <c r="AZ158" s="34">
        <f>IF(AND(AZ$5&gt;=$F158,AZ$5&lt;=$G158),5,"")</f>
        <v/>
      </c>
      <c r="BA158" s="34">
        <f>IF(AND(BA$5&gt;=$F158,BA$5&lt;=$G158),5,"")</f>
        <v/>
      </c>
      <c r="BB158" s="34">
        <f>IF(AND(BB$5&gt;=$F158,BB$5&lt;=$G158),5,"")</f>
        <v/>
      </c>
      <c r="BC158" s="34">
        <f>IF(AND(BC$5&gt;=$F158,BC$5&lt;=$G158),5,"")</f>
        <v/>
      </c>
      <c r="BD158" s="34">
        <f>IF(AND(BD$5&gt;=$F158,BD$5&lt;=$G158),5,"")</f>
        <v/>
      </c>
      <c r="BE158" s="34">
        <f>IF(AND(BE$5&gt;=$F158,BE$5&lt;=$G158),5,"")</f>
        <v/>
      </c>
      <c r="BF158" s="34">
        <f>IF(AND(BF$5&gt;=$F158,BF$5&lt;=$G158),5,"")</f>
        <v/>
      </c>
      <c r="BG158" s="34">
        <f>IF(AND(BG$5&gt;=$F158,BG$5&lt;=$G158),5,"")</f>
        <v/>
      </c>
      <c r="BH158" s="34">
        <f>IF(AND(BH$5&gt;=$F158,BH$5&lt;=$G158),5,"")</f>
        <v/>
      </c>
      <c r="BI158" s="34">
        <f>IF(AND(BI$5&gt;=$F158,BI$5&lt;=$G158),5,"")</f>
        <v/>
      </c>
      <c r="BJ158" s="34">
        <f>IF(AND(BJ$5&gt;=$F158,BJ$5&lt;=$G158),5,"")</f>
        <v/>
      </c>
      <c r="BK158" s="34">
        <f>IF(AND(BK$5&gt;=$F158,BK$5&lt;=$G158),5,"")</f>
        <v/>
      </c>
      <c r="BL158" s="34">
        <f>IF(AND(BL$5&gt;=$F158,BL$5&lt;=$G158),5,"")</f>
        <v/>
      </c>
      <c r="BM158" s="34">
        <f>IF(AND(BM$5&gt;=$F158,BM$5&lt;=$G158),5,"")</f>
        <v/>
      </c>
      <c r="BN158" s="34">
        <f>IF(AND(BN$5&gt;=$F158,BN$5&lt;=$G158),5,"")</f>
        <v/>
      </c>
    </row>
    <row r="159" ht="14.25" customHeight="1" s="36">
      <c r="A159" s="13" t="inlineStr">
        <is>
          <t>5 Adquisiciones y contrataciones</t>
        </is>
      </c>
      <c r="B159" s="13" t="inlineStr">
        <is>
          <t>5.3.3</t>
        </is>
      </c>
      <c r="C159" s="13" t="inlineStr">
        <is>
          <t>Contrato de Starlink para las tres plataformas de cross-docking</t>
        </is>
      </c>
      <c r="D159" s="13" t="inlineStr">
        <is>
          <t>G</t>
        </is>
      </c>
      <c r="E159" s="13" t="inlineStr">
        <is>
          <t>Operación / SRE</t>
        </is>
      </c>
      <c r="F159" s="13" t="n">
        <v>4</v>
      </c>
      <c r="G159" s="13" t="n">
        <v>4</v>
      </c>
      <c r="H159" s="13">
        <f>G159-F159+1</f>
        <v/>
      </c>
      <c r="I159" s="31" t="n">
        <v>80</v>
      </c>
      <c r="J159" s="13" t="inlineStr">
        <is>
          <t>Con entregable (actividades en hoja «Actividades hasta H2»)</t>
        </is>
      </c>
      <c r="K159" s="34">
        <f>IF(AND(K$5&gt;=$F159,K$5&lt;=$G159),5,"")</f>
        <v/>
      </c>
      <c r="L159" s="34">
        <f>IF(AND(L$5&gt;=$F159,L$5&lt;=$G159),5,"")</f>
        <v/>
      </c>
      <c r="M159" s="34">
        <f>IF(AND(M$5&gt;=$F159,M$5&lt;=$G159),5,"")</f>
        <v/>
      </c>
      <c r="N159" s="34">
        <f>IF(AND(N$5&gt;=$F159,N$5&lt;=$G159),5,"")</f>
        <v/>
      </c>
      <c r="O159" s="34">
        <f>IF(AND(O$5&gt;=$F159,O$5&lt;=$G159),5,"")</f>
        <v/>
      </c>
      <c r="P159" s="34">
        <f>IF(AND(P$5&gt;=$F159,P$5&lt;=$G159),5,"")</f>
        <v/>
      </c>
      <c r="Q159" s="34">
        <f>IF(AND(Q$5&gt;=$F159,Q$5&lt;=$G159),5,"")</f>
        <v/>
      </c>
      <c r="R159" s="34">
        <f>IF(AND(R$5&gt;=$F159,R$5&lt;=$G159),5,"")</f>
        <v/>
      </c>
      <c r="S159" s="34">
        <f>IF(AND(S$5&gt;=$F159,S$5&lt;=$G159),5,"")</f>
        <v/>
      </c>
      <c r="T159" s="34">
        <f>IF(AND(T$5&gt;=$F159,T$5&lt;=$G159),5,"")</f>
        <v/>
      </c>
      <c r="U159" s="34">
        <f>IF(AND(U$5&gt;=$F159,U$5&lt;=$G159),5,"")</f>
        <v/>
      </c>
      <c r="V159" s="34">
        <f>IF(AND(V$5&gt;=$F159,V$5&lt;=$G159),5,"")</f>
        <v/>
      </c>
      <c r="W159" s="34">
        <f>IF(AND(W$5&gt;=$F159,W$5&lt;=$G159),5,"")</f>
        <v/>
      </c>
      <c r="X159" s="34">
        <f>IF(AND(X$5&gt;=$F159,X$5&lt;=$G159),5,"")</f>
        <v/>
      </c>
      <c r="Y159" s="34">
        <f>IF(AND(Y$5&gt;=$F159,Y$5&lt;=$G159),5,"")</f>
        <v/>
      </c>
      <c r="Z159" s="34">
        <f>IF(AND(Z$5&gt;=$F159,Z$5&lt;=$G159),5,"")</f>
        <v/>
      </c>
      <c r="AA159" s="34">
        <f>IF(AND(AA$5&gt;=$F159,AA$5&lt;=$G159),5,"")</f>
        <v/>
      </c>
      <c r="AB159" s="34">
        <f>IF(AND(AB$5&gt;=$F159,AB$5&lt;=$G159),5,"")</f>
        <v/>
      </c>
      <c r="AC159" s="34">
        <f>IF(AND(AC$5&gt;=$F159,AC$5&lt;=$G159),5,"")</f>
        <v/>
      </c>
      <c r="AD159" s="34">
        <f>IF(AND(AD$5&gt;=$F159,AD$5&lt;=$G159),5,"")</f>
        <v/>
      </c>
      <c r="AE159" s="34">
        <f>IF(AND(AE$5&gt;=$F159,AE$5&lt;=$G159),5,"")</f>
        <v/>
      </c>
      <c r="AF159" s="34">
        <f>IF(AND(AF$5&gt;=$F159,AF$5&lt;=$G159),5,"")</f>
        <v/>
      </c>
      <c r="AG159" s="34">
        <f>IF(AND(AG$5&gt;=$F159,AG$5&lt;=$G159),5,"")</f>
        <v/>
      </c>
      <c r="AH159" s="34">
        <f>IF(AND(AH$5&gt;=$F159,AH$5&lt;=$G159),5,"")</f>
        <v/>
      </c>
      <c r="AI159" s="34">
        <f>IF(AND(AI$5&gt;=$F159,AI$5&lt;=$G159),5,"")</f>
        <v/>
      </c>
      <c r="AJ159" s="34">
        <f>IF(AND(AJ$5&gt;=$F159,AJ$5&lt;=$G159),5,"")</f>
        <v/>
      </c>
      <c r="AK159" s="34">
        <f>IF(AND(AK$5&gt;=$F159,AK$5&lt;=$G159),5,"")</f>
        <v/>
      </c>
      <c r="AL159" s="34">
        <f>IF(AND(AL$5&gt;=$F159,AL$5&lt;=$G159),5,"")</f>
        <v/>
      </c>
      <c r="AM159" s="34">
        <f>IF(AND(AM$5&gt;=$F159,AM$5&lt;=$G159),5,"")</f>
        <v/>
      </c>
      <c r="AN159" s="34">
        <f>IF(AND(AN$5&gt;=$F159,AN$5&lt;=$G159),5,"")</f>
        <v/>
      </c>
      <c r="AO159" s="34">
        <f>IF(AND(AO$5&gt;=$F159,AO$5&lt;=$G159),5,"")</f>
        <v/>
      </c>
      <c r="AP159" s="34">
        <f>IF(AND(AP$5&gt;=$F159,AP$5&lt;=$G159),5,"")</f>
        <v/>
      </c>
      <c r="AQ159" s="34">
        <f>IF(AND(AQ$5&gt;=$F159,AQ$5&lt;=$G159),5,"")</f>
        <v/>
      </c>
      <c r="AR159" s="34">
        <f>IF(AND(AR$5&gt;=$F159,AR$5&lt;=$G159),5,"")</f>
        <v/>
      </c>
      <c r="AS159" s="34">
        <f>IF(AND(AS$5&gt;=$F159,AS$5&lt;=$G159),5,"")</f>
        <v/>
      </c>
      <c r="AT159" s="34">
        <f>IF(AND(AT$5&gt;=$F159,AT$5&lt;=$G159),5,"")</f>
        <v/>
      </c>
      <c r="AU159" s="34">
        <f>IF(AND(AU$5&gt;=$F159,AU$5&lt;=$G159),5,"")</f>
        <v/>
      </c>
      <c r="AV159" s="34">
        <f>IF(AND(AV$5&gt;=$F159,AV$5&lt;=$G159),5,"")</f>
        <v/>
      </c>
      <c r="AW159" s="34">
        <f>IF(AND(AW$5&gt;=$F159,AW$5&lt;=$G159),5,"")</f>
        <v/>
      </c>
      <c r="AX159" s="34">
        <f>IF(AND(AX$5&gt;=$F159,AX$5&lt;=$G159),5,"")</f>
        <v/>
      </c>
      <c r="AY159" s="34">
        <f>IF(AND(AY$5&gt;=$F159,AY$5&lt;=$G159),5,"")</f>
        <v/>
      </c>
      <c r="AZ159" s="34">
        <f>IF(AND(AZ$5&gt;=$F159,AZ$5&lt;=$G159),5,"")</f>
        <v/>
      </c>
      <c r="BA159" s="34">
        <f>IF(AND(BA$5&gt;=$F159,BA$5&lt;=$G159),5,"")</f>
        <v/>
      </c>
      <c r="BB159" s="34">
        <f>IF(AND(BB$5&gt;=$F159,BB$5&lt;=$G159),5,"")</f>
        <v/>
      </c>
      <c r="BC159" s="34">
        <f>IF(AND(BC$5&gt;=$F159,BC$5&lt;=$G159),5,"")</f>
        <v/>
      </c>
      <c r="BD159" s="34">
        <f>IF(AND(BD$5&gt;=$F159,BD$5&lt;=$G159),5,"")</f>
        <v/>
      </c>
      <c r="BE159" s="34">
        <f>IF(AND(BE$5&gt;=$F159,BE$5&lt;=$G159),5,"")</f>
        <v/>
      </c>
      <c r="BF159" s="34">
        <f>IF(AND(BF$5&gt;=$F159,BF$5&lt;=$G159),5,"")</f>
        <v/>
      </c>
      <c r="BG159" s="34">
        <f>IF(AND(BG$5&gt;=$F159,BG$5&lt;=$G159),5,"")</f>
        <v/>
      </c>
      <c r="BH159" s="34">
        <f>IF(AND(BH$5&gt;=$F159,BH$5&lt;=$G159),5,"")</f>
        <v/>
      </c>
      <c r="BI159" s="34">
        <f>IF(AND(BI$5&gt;=$F159,BI$5&lt;=$G159),5,"")</f>
        <v/>
      </c>
      <c r="BJ159" s="34">
        <f>IF(AND(BJ$5&gt;=$F159,BJ$5&lt;=$G159),5,"")</f>
        <v/>
      </c>
      <c r="BK159" s="34">
        <f>IF(AND(BK$5&gt;=$F159,BK$5&lt;=$G159),5,"")</f>
        <v/>
      </c>
      <c r="BL159" s="34">
        <f>IF(AND(BL$5&gt;=$F159,BL$5&lt;=$G159),5,"")</f>
        <v/>
      </c>
      <c r="BM159" s="34">
        <f>IF(AND(BM$5&gt;=$F159,BM$5&lt;=$G159),5,"")</f>
        <v/>
      </c>
      <c r="BN159" s="34">
        <f>IF(AND(BN$5&gt;=$F159,BN$5&lt;=$G159),5,"")</f>
        <v/>
      </c>
    </row>
    <row r="160" ht="14.25" customHeight="1" s="36">
      <c r="A160" s="13" t="inlineStr">
        <is>
          <t>5 Adquisiciones y contrataciones</t>
        </is>
      </c>
      <c r="B160" s="13" t="inlineStr">
        <is>
          <t>5.4.1</t>
        </is>
      </c>
      <c r="C160" s="13" t="inlineStr">
        <is>
          <t>Acuerdos operacionales firmados con los diez transportistas</t>
        </is>
      </c>
      <c r="D160" s="13" t="inlineStr">
        <is>
          <t>G</t>
        </is>
      </c>
      <c r="E160" s="13" t="inlineStr">
        <is>
          <t>Implantación y gestión del cambio</t>
        </is>
      </c>
      <c r="F160" s="13" t="n">
        <v>9</v>
      </c>
      <c r="G160" s="13" t="n">
        <v>12</v>
      </c>
      <c r="H160" s="13">
        <f>G160-F160+1</f>
        <v/>
      </c>
      <c r="I160" s="31" t="n">
        <v>80</v>
      </c>
      <c r="J160" s="13" t="inlineStr">
        <is>
          <t>Con entregable (detalle por planificación gradual)</t>
        </is>
      </c>
      <c r="K160" s="34">
        <f>IF(AND(K$5&gt;=$F160,K$5&lt;=$G160),5,"")</f>
        <v/>
      </c>
      <c r="L160" s="34">
        <f>IF(AND(L$5&gt;=$F160,L$5&lt;=$G160),5,"")</f>
        <v/>
      </c>
      <c r="M160" s="34">
        <f>IF(AND(M$5&gt;=$F160,M$5&lt;=$G160),5,"")</f>
        <v/>
      </c>
      <c r="N160" s="34">
        <f>IF(AND(N$5&gt;=$F160,N$5&lt;=$G160),5,"")</f>
        <v/>
      </c>
      <c r="O160" s="34">
        <f>IF(AND(O$5&gt;=$F160,O$5&lt;=$G160),5,"")</f>
        <v/>
      </c>
      <c r="P160" s="34">
        <f>IF(AND(P$5&gt;=$F160,P$5&lt;=$G160),5,"")</f>
        <v/>
      </c>
      <c r="Q160" s="34">
        <f>IF(AND(Q$5&gt;=$F160,Q$5&lt;=$G160),5,"")</f>
        <v/>
      </c>
      <c r="R160" s="34">
        <f>IF(AND(R$5&gt;=$F160,R$5&lt;=$G160),5,"")</f>
        <v/>
      </c>
      <c r="S160" s="34">
        <f>IF(AND(S$5&gt;=$F160,S$5&lt;=$G160),5,"")</f>
        <v/>
      </c>
      <c r="T160" s="34">
        <f>IF(AND(T$5&gt;=$F160,T$5&lt;=$G160),5,"")</f>
        <v/>
      </c>
      <c r="U160" s="34">
        <f>IF(AND(U$5&gt;=$F160,U$5&lt;=$G160),5,"")</f>
        <v/>
      </c>
      <c r="V160" s="34">
        <f>IF(AND(V$5&gt;=$F160,V$5&lt;=$G160),5,"")</f>
        <v/>
      </c>
      <c r="W160" s="34">
        <f>IF(AND(W$5&gt;=$F160,W$5&lt;=$G160),5,"")</f>
        <v/>
      </c>
      <c r="X160" s="34">
        <f>IF(AND(X$5&gt;=$F160,X$5&lt;=$G160),5,"")</f>
        <v/>
      </c>
      <c r="Y160" s="34">
        <f>IF(AND(Y$5&gt;=$F160,Y$5&lt;=$G160),5,"")</f>
        <v/>
      </c>
      <c r="Z160" s="34">
        <f>IF(AND(Z$5&gt;=$F160,Z$5&lt;=$G160),5,"")</f>
        <v/>
      </c>
      <c r="AA160" s="34">
        <f>IF(AND(AA$5&gt;=$F160,AA$5&lt;=$G160),5,"")</f>
        <v/>
      </c>
      <c r="AB160" s="34">
        <f>IF(AND(AB$5&gt;=$F160,AB$5&lt;=$G160),5,"")</f>
        <v/>
      </c>
      <c r="AC160" s="34">
        <f>IF(AND(AC$5&gt;=$F160,AC$5&lt;=$G160),5,"")</f>
        <v/>
      </c>
      <c r="AD160" s="34">
        <f>IF(AND(AD$5&gt;=$F160,AD$5&lt;=$G160),5,"")</f>
        <v/>
      </c>
      <c r="AE160" s="34">
        <f>IF(AND(AE$5&gt;=$F160,AE$5&lt;=$G160),5,"")</f>
        <v/>
      </c>
      <c r="AF160" s="34">
        <f>IF(AND(AF$5&gt;=$F160,AF$5&lt;=$G160),5,"")</f>
        <v/>
      </c>
      <c r="AG160" s="34">
        <f>IF(AND(AG$5&gt;=$F160,AG$5&lt;=$G160),5,"")</f>
        <v/>
      </c>
      <c r="AH160" s="34">
        <f>IF(AND(AH$5&gt;=$F160,AH$5&lt;=$G160),5,"")</f>
        <v/>
      </c>
      <c r="AI160" s="34">
        <f>IF(AND(AI$5&gt;=$F160,AI$5&lt;=$G160),5,"")</f>
        <v/>
      </c>
      <c r="AJ160" s="34">
        <f>IF(AND(AJ$5&gt;=$F160,AJ$5&lt;=$G160),5,"")</f>
        <v/>
      </c>
      <c r="AK160" s="34">
        <f>IF(AND(AK$5&gt;=$F160,AK$5&lt;=$G160),5,"")</f>
        <v/>
      </c>
      <c r="AL160" s="34">
        <f>IF(AND(AL$5&gt;=$F160,AL$5&lt;=$G160),5,"")</f>
        <v/>
      </c>
      <c r="AM160" s="34">
        <f>IF(AND(AM$5&gt;=$F160,AM$5&lt;=$G160),5,"")</f>
        <v/>
      </c>
      <c r="AN160" s="34">
        <f>IF(AND(AN$5&gt;=$F160,AN$5&lt;=$G160),5,"")</f>
        <v/>
      </c>
      <c r="AO160" s="34">
        <f>IF(AND(AO$5&gt;=$F160,AO$5&lt;=$G160),5,"")</f>
        <v/>
      </c>
      <c r="AP160" s="34">
        <f>IF(AND(AP$5&gt;=$F160,AP$5&lt;=$G160),5,"")</f>
        <v/>
      </c>
      <c r="AQ160" s="34">
        <f>IF(AND(AQ$5&gt;=$F160,AQ$5&lt;=$G160),5,"")</f>
        <v/>
      </c>
      <c r="AR160" s="34">
        <f>IF(AND(AR$5&gt;=$F160,AR$5&lt;=$G160),5,"")</f>
        <v/>
      </c>
      <c r="AS160" s="34">
        <f>IF(AND(AS$5&gt;=$F160,AS$5&lt;=$G160),5,"")</f>
        <v/>
      </c>
      <c r="AT160" s="34">
        <f>IF(AND(AT$5&gt;=$F160,AT$5&lt;=$G160),5,"")</f>
        <v/>
      </c>
      <c r="AU160" s="34">
        <f>IF(AND(AU$5&gt;=$F160,AU$5&lt;=$G160),5,"")</f>
        <v/>
      </c>
      <c r="AV160" s="34">
        <f>IF(AND(AV$5&gt;=$F160,AV$5&lt;=$G160),5,"")</f>
        <v/>
      </c>
      <c r="AW160" s="34">
        <f>IF(AND(AW$5&gt;=$F160,AW$5&lt;=$G160),5,"")</f>
        <v/>
      </c>
      <c r="AX160" s="34">
        <f>IF(AND(AX$5&gt;=$F160,AX$5&lt;=$G160),5,"")</f>
        <v/>
      </c>
      <c r="AY160" s="34">
        <f>IF(AND(AY$5&gt;=$F160,AY$5&lt;=$G160),5,"")</f>
        <v/>
      </c>
      <c r="AZ160" s="34">
        <f>IF(AND(AZ$5&gt;=$F160,AZ$5&lt;=$G160),5,"")</f>
        <v/>
      </c>
      <c r="BA160" s="34">
        <f>IF(AND(BA$5&gt;=$F160,BA$5&lt;=$G160),5,"")</f>
        <v/>
      </c>
      <c r="BB160" s="34">
        <f>IF(AND(BB$5&gt;=$F160,BB$5&lt;=$G160),5,"")</f>
        <v/>
      </c>
      <c r="BC160" s="34">
        <f>IF(AND(BC$5&gt;=$F160,BC$5&lt;=$G160),5,"")</f>
        <v/>
      </c>
      <c r="BD160" s="34">
        <f>IF(AND(BD$5&gt;=$F160,BD$5&lt;=$G160),5,"")</f>
        <v/>
      </c>
      <c r="BE160" s="34">
        <f>IF(AND(BE$5&gt;=$F160,BE$5&lt;=$G160),5,"")</f>
        <v/>
      </c>
      <c r="BF160" s="34">
        <f>IF(AND(BF$5&gt;=$F160,BF$5&lt;=$G160),5,"")</f>
        <v/>
      </c>
      <c r="BG160" s="34">
        <f>IF(AND(BG$5&gt;=$F160,BG$5&lt;=$G160),5,"")</f>
        <v/>
      </c>
      <c r="BH160" s="34">
        <f>IF(AND(BH$5&gt;=$F160,BH$5&lt;=$G160),5,"")</f>
        <v/>
      </c>
      <c r="BI160" s="34">
        <f>IF(AND(BI$5&gt;=$F160,BI$5&lt;=$G160),5,"")</f>
        <v/>
      </c>
      <c r="BJ160" s="34">
        <f>IF(AND(BJ$5&gt;=$F160,BJ$5&lt;=$G160),5,"")</f>
        <v/>
      </c>
      <c r="BK160" s="34">
        <f>IF(AND(BK$5&gt;=$F160,BK$5&lt;=$G160),5,"")</f>
        <v/>
      </c>
      <c r="BL160" s="34">
        <f>IF(AND(BL$5&gt;=$F160,BL$5&lt;=$G160),5,"")</f>
        <v/>
      </c>
      <c r="BM160" s="34">
        <f>IF(AND(BM$5&gt;=$F160,BM$5&lt;=$G160),5,"")</f>
        <v/>
      </c>
      <c r="BN160" s="34">
        <f>IF(AND(BN$5&gt;=$F160,BN$5&lt;=$G160),5,"")</f>
        <v/>
      </c>
    </row>
    <row r="161" ht="14.25" customHeight="1" s="36">
      <c r="A161" s="13" t="inlineStr">
        <is>
          <t>5 Adquisiciones y contrataciones</t>
        </is>
      </c>
      <c r="B161" s="13" t="inlineStr">
        <is>
          <t>5.4.2</t>
        </is>
      </c>
      <c r="C161" s="13" t="inlineStr">
        <is>
          <t>Acta de acuerdo con el sindicato sobre terminales, GPS y cámaras</t>
        </is>
      </c>
      <c r="D161" s="13" t="inlineStr">
        <is>
          <t>G</t>
        </is>
      </c>
      <c r="E161" s="13" t="inlineStr">
        <is>
          <t>Implantación y gestión del cambio</t>
        </is>
      </c>
      <c r="F161" s="13" t="n">
        <v>9</v>
      </c>
      <c r="G161" s="13" t="n">
        <v>12</v>
      </c>
      <c r="H161" s="13">
        <f>G161-F161+1</f>
        <v/>
      </c>
      <c r="I161" s="31" t="n">
        <v>80</v>
      </c>
      <c r="J161" s="13" t="inlineStr">
        <is>
          <t>Con entregable (detalle por planificación gradual)</t>
        </is>
      </c>
      <c r="K161" s="34">
        <f>IF(AND(K$5&gt;=$F161,K$5&lt;=$G161),5,"")</f>
        <v/>
      </c>
      <c r="L161" s="34">
        <f>IF(AND(L$5&gt;=$F161,L$5&lt;=$G161),5,"")</f>
        <v/>
      </c>
      <c r="M161" s="34">
        <f>IF(AND(M$5&gt;=$F161,M$5&lt;=$G161),5,"")</f>
        <v/>
      </c>
      <c r="N161" s="34">
        <f>IF(AND(N$5&gt;=$F161,N$5&lt;=$G161),5,"")</f>
        <v/>
      </c>
      <c r="O161" s="34">
        <f>IF(AND(O$5&gt;=$F161,O$5&lt;=$G161),5,"")</f>
        <v/>
      </c>
      <c r="P161" s="34">
        <f>IF(AND(P$5&gt;=$F161,P$5&lt;=$G161),5,"")</f>
        <v/>
      </c>
      <c r="Q161" s="34">
        <f>IF(AND(Q$5&gt;=$F161,Q$5&lt;=$G161),5,"")</f>
        <v/>
      </c>
      <c r="R161" s="34">
        <f>IF(AND(R$5&gt;=$F161,R$5&lt;=$G161),5,"")</f>
        <v/>
      </c>
      <c r="S161" s="34">
        <f>IF(AND(S$5&gt;=$F161,S$5&lt;=$G161),5,"")</f>
        <v/>
      </c>
      <c r="T161" s="34">
        <f>IF(AND(T$5&gt;=$F161,T$5&lt;=$G161),5,"")</f>
        <v/>
      </c>
      <c r="U161" s="34">
        <f>IF(AND(U$5&gt;=$F161,U$5&lt;=$G161),5,"")</f>
        <v/>
      </c>
      <c r="V161" s="34">
        <f>IF(AND(V$5&gt;=$F161,V$5&lt;=$G161),5,"")</f>
        <v/>
      </c>
      <c r="W161" s="34">
        <f>IF(AND(W$5&gt;=$F161,W$5&lt;=$G161),5,"")</f>
        <v/>
      </c>
      <c r="X161" s="34">
        <f>IF(AND(X$5&gt;=$F161,X$5&lt;=$G161),5,"")</f>
        <v/>
      </c>
      <c r="Y161" s="34">
        <f>IF(AND(Y$5&gt;=$F161,Y$5&lt;=$G161),5,"")</f>
        <v/>
      </c>
      <c r="Z161" s="34">
        <f>IF(AND(Z$5&gt;=$F161,Z$5&lt;=$G161),5,"")</f>
        <v/>
      </c>
      <c r="AA161" s="34">
        <f>IF(AND(AA$5&gt;=$F161,AA$5&lt;=$G161),5,"")</f>
        <v/>
      </c>
      <c r="AB161" s="34">
        <f>IF(AND(AB$5&gt;=$F161,AB$5&lt;=$G161),5,"")</f>
        <v/>
      </c>
      <c r="AC161" s="34">
        <f>IF(AND(AC$5&gt;=$F161,AC$5&lt;=$G161),5,"")</f>
        <v/>
      </c>
      <c r="AD161" s="34">
        <f>IF(AND(AD$5&gt;=$F161,AD$5&lt;=$G161),5,"")</f>
        <v/>
      </c>
      <c r="AE161" s="34">
        <f>IF(AND(AE$5&gt;=$F161,AE$5&lt;=$G161),5,"")</f>
        <v/>
      </c>
      <c r="AF161" s="34">
        <f>IF(AND(AF$5&gt;=$F161,AF$5&lt;=$G161),5,"")</f>
        <v/>
      </c>
      <c r="AG161" s="34">
        <f>IF(AND(AG$5&gt;=$F161,AG$5&lt;=$G161),5,"")</f>
        <v/>
      </c>
      <c r="AH161" s="34">
        <f>IF(AND(AH$5&gt;=$F161,AH$5&lt;=$G161),5,"")</f>
        <v/>
      </c>
      <c r="AI161" s="34">
        <f>IF(AND(AI$5&gt;=$F161,AI$5&lt;=$G161),5,"")</f>
        <v/>
      </c>
      <c r="AJ161" s="34">
        <f>IF(AND(AJ$5&gt;=$F161,AJ$5&lt;=$G161),5,"")</f>
        <v/>
      </c>
      <c r="AK161" s="34">
        <f>IF(AND(AK$5&gt;=$F161,AK$5&lt;=$G161),5,"")</f>
        <v/>
      </c>
      <c r="AL161" s="34">
        <f>IF(AND(AL$5&gt;=$F161,AL$5&lt;=$G161),5,"")</f>
        <v/>
      </c>
      <c r="AM161" s="34">
        <f>IF(AND(AM$5&gt;=$F161,AM$5&lt;=$G161),5,"")</f>
        <v/>
      </c>
      <c r="AN161" s="34">
        <f>IF(AND(AN$5&gt;=$F161,AN$5&lt;=$G161),5,"")</f>
        <v/>
      </c>
      <c r="AO161" s="34">
        <f>IF(AND(AO$5&gt;=$F161,AO$5&lt;=$G161),5,"")</f>
        <v/>
      </c>
      <c r="AP161" s="34">
        <f>IF(AND(AP$5&gt;=$F161,AP$5&lt;=$G161),5,"")</f>
        <v/>
      </c>
      <c r="AQ161" s="34">
        <f>IF(AND(AQ$5&gt;=$F161,AQ$5&lt;=$G161),5,"")</f>
        <v/>
      </c>
      <c r="AR161" s="34">
        <f>IF(AND(AR$5&gt;=$F161,AR$5&lt;=$G161),5,"")</f>
        <v/>
      </c>
      <c r="AS161" s="34">
        <f>IF(AND(AS$5&gt;=$F161,AS$5&lt;=$G161),5,"")</f>
        <v/>
      </c>
      <c r="AT161" s="34">
        <f>IF(AND(AT$5&gt;=$F161,AT$5&lt;=$G161),5,"")</f>
        <v/>
      </c>
      <c r="AU161" s="34">
        <f>IF(AND(AU$5&gt;=$F161,AU$5&lt;=$G161),5,"")</f>
        <v/>
      </c>
      <c r="AV161" s="34">
        <f>IF(AND(AV$5&gt;=$F161,AV$5&lt;=$G161),5,"")</f>
        <v/>
      </c>
      <c r="AW161" s="34">
        <f>IF(AND(AW$5&gt;=$F161,AW$5&lt;=$G161),5,"")</f>
        <v/>
      </c>
      <c r="AX161" s="34">
        <f>IF(AND(AX$5&gt;=$F161,AX$5&lt;=$G161),5,"")</f>
        <v/>
      </c>
      <c r="AY161" s="34">
        <f>IF(AND(AY$5&gt;=$F161,AY$5&lt;=$G161),5,"")</f>
        <v/>
      </c>
      <c r="AZ161" s="34">
        <f>IF(AND(AZ$5&gt;=$F161,AZ$5&lt;=$G161),5,"")</f>
        <v/>
      </c>
      <c r="BA161" s="34">
        <f>IF(AND(BA$5&gt;=$F161,BA$5&lt;=$G161),5,"")</f>
        <v/>
      </c>
      <c r="BB161" s="34">
        <f>IF(AND(BB$5&gt;=$F161,BB$5&lt;=$G161),5,"")</f>
        <v/>
      </c>
      <c r="BC161" s="34">
        <f>IF(AND(BC$5&gt;=$F161,BC$5&lt;=$G161),5,"")</f>
        <v/>
      </c>
      <c r="BD161" s="34">
        <f>IF(AND(BD$5&gt;=$F161,BD$5&lt;=$G161),5,"")</f>
        <v/>
      </c>
      <c r="BE161" s="34">
        <f>IF(AND(BE$5&gt;=$F161,BE$5&lt;=$G161),5,"")</f>
        <v/>
      </c>
      <c r="BF161" s="34">
        <f>IF(AND(BF$5&gt;=$F161,BF$5&lt;=$G161),5,"")</f>
        <v/>
      </c>
      <c r="BG161" s="34">
        <f>IF(AND(BG$5&gt;=$F161,BG$5&lt;=$G161),5,"")</f>
        <v/>
      </c>
      <c r="BH161" s="34">
        <f>IF(AND(BH$5&gt;=$F161,BH$5&lt;=$G161),5,"")</f>
        <v/>
      </c>
      <c r="BI161" s="34">
        <f>IF(AND(BI$5&gt;=$F161,BI$5&lt;=$G161),5,"")</f>
        <v/>
      </c>
      <c r="BJ161" s="34">
        <f>IF(AND(BJ$5&gt;=$F161,BJ$5&lt;=$G161),5,"")</f>
        <v/>
      </c>
      <c r="BK161" s="34">
        <f>IF(AND(BK$5&gt;=$F161,BK$5&lt;=$G161),5,"")</f>
        <v/>
      </c>
      <c r="BL161" s="34">
        <f>IF(AND(BL$5&gt;=$F161,BL$5&lt;=$G161),5,"")</f>
        <v/>
      </c>
      <c r="BM161" s="34">
        <f>IF(AND(BM$5&gt;=$F161,BM$5&lt;=$G161),5,"")</f>
        <v/>
      </c>
      <c r="BN161" s="34">
        <f>IF(AND(BN$5&gt;=$F161,BN$5&lt;=$G161),5,"")</f>
        <v/>
      </c>
    </row>
    <row r="162" ht="14.25" customHeight="1" s="36">
      <c r="A162" s="13" t="inlineStr">
        <is>
          <t>5 Adquisiciones y contrataciones</t>
        </is>
      </c>
      <c r="B162" s="13" t="inlineStr">
        <is>
          <t>5.4.3</t>
        </is>
      </c>
      <c r="C162" s="13" t="inlineStr">
        <is>
          <t>Fórmula aprobada del tramo variable: reglas de atribución, canasta e índices (INN-04.P1)</t>
        </is>
      </c>
      <c r="D162" s="13" t="inlineStr">
        <is>
          <t>G</t>
        </is>
      </c>
      <c r="E162" s="13" t="inlineStr">
        <is>
          <t>Jefe de Proyecto</t>
        </is>
      </c>
      <c r="F162" s="13" t="n">
        <v>17</v>
      </c>
      <c r="G162" s="13" t="n">
        <v>20</v>
      </c>
      <c r="H162" s="13">
        <f>G162-F162+1</f>
        <v/>
      </c>
      <c r="I162" s="31" t="n">
        <v>80</v>
      </c>
      <c r="J162" s="13" t="inlineStr">
        <is>
          <t>Con entregable (detalle por planificación gradual)</t>
        </is>
      </c>
      <c r="K162" s="34">
        <f>IF(AND(K$5&gt;=$F162,K$5&lt;=$G162),5,"")</f>
        <v/>
      </c>
      <c r="L162" s="34">
        <f>IF(AND(L$5&gt;=$F162,L$5&lt;=$G162),5,"")</f>
        <v/>
      </c>
      <c r="M162" s="34">
        <f>IF(AND(M$5&gt;=$F162,M$5&lt;=$G162),5,"")</f>
        <v/>
      </c>
      <c r="N162" s="34">
        <f>IF(AND(N$5&gt;=$F162,N$5&lt;=$G162),5,"")</f>
        <v/>
      </c>
      <c r="O162" s="34">
        <f>IF(AND(O$5&gt;=$F162,O$5&lt;=$G162),5,"")</f>
        <v/>
      </c>
      <c r="P162" s="34">
        <f>IF(AND(P$5&gt;=$F162,P$5&lt;=$G162),5,"")</f>
        <v/>
      </c>
      <c r="Q162" s="34">
        <f>IF(AND(Q$5&gt;=$F162,Q$5&lt;=$G162),5,"")</f>
        <v/>
      </c>
      <c r="R162" s="34">
        <f>IF(AND(R$5&gt;=$F162,R$5&lt;=$G162),5,"")</f>
        <v/>
      </c>
      <c r="S162" s="34">
        <f>IF(AND(S$5&gt;=$F162,S$5&lt;=$G162),5,"")</f>
        <v/>
      </c>
      <c r="T162" s="34">
        <f>IF(AND(T$5&gt;=$F162,T$5&lt;=$G162),5,"")</f>
        <v/>
      </c>
      <c r="U162" s="34">
        <f>IF(AND(U$5&gt;=$F162,U$5&lt;=$G162),5,"")</f>
        <v/>
      </c>
      <c r="V162" s="34">
        <f>IF(AND(V$5&gt;=$F162,V$5&lt;=$G162),5,"")</f>
        <v/>
      </c>
      <c r="W162" s="34">
        <f>IF(AND(W$5&gt;=$F162,W$5&lt;=$G162),5,"")</f>
        <v/>
      </c>
      <c r="X162" s="34">
        <f>IF(AND(X$5&gt;=$F162,X$5&lt;=$G162),5,"")</f>
        <v/>
      </c>
      <c r="Y162" s="34">
        <f>IF(AND(Y$5&gt;=$F162,Y$5&lt;=$G162),5,"")</f>
        <v/>
      </c>
      <c r="Z162" s="34">
        <f>IF(AND(Z$5&gt;=$F162,Z$5&lt;=$G162),5,"")</f>
        <v/>
      </c>
      <c r="AA162" s="34">
        <f>IF(AND(AA$5&gt;=$F162,AA$5&lt;=$G162),5,"")</f>
        <v/>
      </c>
      <c r="AB162" s="34">
        <f>IF(AND(AB$5&gt;=$F162,AB$5&lt;=$G162),5,"")</f>
        <v/>
      </c>
      <c r="AC162" s="34">
        <f>IF(AND(AC$5&gt;=$F162,AC$5&lt;=$G162),5,"")</f>
        <v/>
      </c>
      <c r="AD162" s="34">
        <f>IF(AND(AD$5&gt;=$F162,AD$5&lt;=$G162),5,"")</f>
        <v/>
      </c>
      <c r="AE162" s="34">
        <f>IF(AND(AE$5&gt;=$F162,AE$5&lt;=$G162),5,"")</f>
        <v/>
      </c>
      <c r="AF162" s="34">
        <f>IF(AND(AF$5&gt;=$F162,AF$5&lt;=$G162),5,"")</f>
        <v/>
      </c>
      <c r="AG162" s="34">
        <f>IF(AND(AG$5&gt;=$F162,AG$5&lt;=$G162),5,"")</f>
        <v/>
      </c>
      <c r="AH162" s="34">
        <f>IF(AND(AH$5&gt;=$F162,AH$5&lt;=$G162),5,"")</f>
        <v/>
      </c>
      <c r="AI162" s="34">
        <f>IF(AND(AI$5&gt;=$F162,AI$5&lt;=$G162),5,"")</f>
        <v/>
      </c>
      <c r="AJ162" s="34">
        <f>IF(AND(AJ$5&gt;=$F162,AJ$5&lt;=$G162),5,"")</f>
        <v/>
      </c>
      <c r="AK162" s="34">
        <f>IF(AND(AK$5&gt;=$F162,AK$5&lt;=$G162),5,"")</f>
        <v/>
      </c>
      <c r="AL162" s="34">
        <f>IF(AND(AL$5&gt;=$F162,AL$5&lt;=$G162),5,"")</f>
        <v/>
      </c>
      <c r="AM162" s="34">
        <f>IF(AND(AM$5&gt;=$F162,AM$5&lt;=$G162),5,"")</f>
        <v/>
      </c>
      <c r="AN162" s="34">
        <f>IF(AND(AN$5&gt;=$F162,AN$5&lt;=$G162),5,"")</f>
        <v/>
      </c>
      <c r="AO162" s="34">
        <f>IF(AND(AO$5&gt;=$F162,AO$5&lt;=$G162),5,"")</f>
        <v/>
      </c>
      <c r="AP162" s="34">
        <f>IF(AND(AP$5&gt;=$F162,AP$5&lt;=$G162),5,"")</f>
        <v/>
      </c>
      <c r="AQ162" s="34">
        <f>IF(AND(AQ$5&gt;=$F162,AQ$5&lt;=$G162),5,"")</f>
        <v/>
      </c>
      <c r="AR162" s="34">
        <f>IF(AND(AR$5&gt;=$F162,AR$5&lt;=$G162),5,"")</f>
        <v/>
      </c>
      <c r="AS162" s="34">
        <f>IF(AND(AS$5&gt;=$F162,AS$5&lt;=$G162),5,"")</f>
        <v/>
      </c>
      <c r="AT162" s="34">
        <f>IF(AND(AT$5&gt;=$F162,AT$5&lt;=$G162),5,"")</f>
        <v/>
      </c>
      <c r="AU162" s="34">
        <f>IF(AND(AU$5&gt;=$F162,AU$5&lt;=$G162),5,"")</f>
        <v/>
      </c>
      <c r="AV162" s="34">
        <f>IF(AND(AV$5&gt;=$F162,AV$5&lt;=$G162),5,"")</f>
        <v/>
      </c>
      <c r="AW162" s="34">
        <f>IF(AND(AW$5&gt;=$F162,AW$5&lt;=$G162),5,"")</f>
        <v/>
      </c>
      <c r="AX162" s="34">
        <f>IF(AND(AX$5&gt;=$F162,AX$5&lt;=$G162),5,"")</f>
        <v/>
      </c>
      <c r="AY162" s="34">
        <f>IF(AND(AY$5&gt;=$F162,AY$5&lt;=$G162),5,"")</f>
        <v/>
      </c>
      <c r="AZ162" s="34">
        <f>IF(AND(AZ$5&gt;=$F162,AZ$5&lt;=$G162),5,"")</f>
        <v/>
      </c>
      <c r="BA162" s="34">
        <f>IF(AND(BA$5&gt;=$F162,BA$5&lt;=$G162),5,"")</f>
        <v/>
      </c>
      <c r="BB162" s="34">
        <f>IF(AND(BB$5&gt;=$F162,BB$5&lt;=$G162),5,"")</f>
        <v/>
      </c>
      <c r="BC162" s="34">
        <f>IF(AND(BC$5&gt;=$F162,BC$5&lt;=$G162),5,"")</f>
        <v/>
      </c>
      <c r="BD162" s="34">
        <f>IF(AND(BD$5&gt;=$F162,BD$5&lt;=$G162),5,"")</f>
        <v/>
      </c>
      <c r="BE162" s="34">
        <f>IF(AND(BE$5&gt;=$F162,BE$5&lt;=$G162),5,"")</f>
        <v/>
      </c>
      <c r="BF162" s="34">
        <f>IF(AND(BF$5&gt;=$F162,BF$5&lt;=$G162),5,"")</f>
        <v/>
      </c>
      <c r="BG162" s="34">
        <f>IF(AND(BG$5&gt;=$F162,BG$5&lt;=$G162),5,"")</f>
        <v/>
      </c>
      <c r="BH162" s="34">
        <f>IF(AND(BH$5&gt;=$F162,BH$5&lt;=$G162),5,"")</f>
        <v/>
      </c>
      <c r="BI162" s="34">
        <f>IF(AND(BI$5&gt;=$F162,BI$5&lt;=$G162),5,"")</f>
        <v/>
      </c>
      <c r="BJ162" s="34">
        <f>IF(AND(BJ$5&gt;=$F162,BJ$5&lt;=$G162),5,"")</f>
        <v/>
      </c>
      <c r="BK162" s="34">
        <f>IF(AND(BK$5&gt;=$F162,BK$5&lt;=$G162),5,"")</f>
        <v/>
      </c>
      <c r="BL162" s="34">
        <f>IF(AND(BL$5&gt;=$F162,BL$5&lt;=$G162),5,"")</f>
        <v/>
      </c>
      <c r="BM162" s="34">
        <f>IF(AND(BM$5&gt;=$F162,BM$5&lt;=$G162),5,"")</f>
        <v/>
      </c>
      <c r="BN162" s="34">
        <f>IF(AND(BN$5&gt;=$F162,BN$5&lt;=$G162),5,"")</f>
        <v/>
      </c>
    </row>
    <row r="163" ht="14.25" customHeight="1" s="36">
      <c r="A163" s="13" t="inlineStr">
        <is>
          <t>5 Adquisiciones y contrataciones</t>
        </is>
      </c>
      <c r="B163" s="13" t="inlineStr">
        <is>
          <t>5.4.4</t>
        </is>
      </c>
      <c r="C163" s="13" t="inlineStr">
        <is>
          <t>Contrato de custodia de fuentes con un tercero independiente</t>
        </is>
      </c>
      <c r="D163" s="13" t="inlineStr">
        <is>
          <t>G</t>
        </is>
      </c>
      <c r="E163" s="13" t="inlineStr">
        <is>
          <t>Jefe de Proyecto</t>
        </is>
      </c>
      <c r="F163" s="13" t="n">
        <v>7</v>
      </c>
      <c r="G163" s="13" t="n">
        <v>7</v>
      </c>
      <c r="H163" s="13">
        <f>G163-F163+1</f>
        <v/>
      </c>
      <c r="I163" s="31" t="n">
        <v>80</v>
      </c>
      <c r="J163" s="13" t="inlineStr">
        <is>
          <t>Con entregable (detalle por planificación gradual)</t>
        </is>
      </c>
      <c r="K163" s="34">
        <f>IF(AND(K$5&gt;=$F163,K$5&lt;=$G163),5,"")</f>
        <v/>
      </c>
      <c r="L163" s="34">
        <f>IF(AND(L$5&gt;=$F163,L$5&lt;=$G163),5,"")</f>
        <v/>
      </c>
      <c r="M163" s="34">
        <f>IF(AND(M$5&gt;=$F163,M$5&lt;=$G163),5,"")</f>
        <v/>
      </c>
      <c r="N163" s="34">
        <f>IF(AND(N$5&gt;=$F163,N$5&lt;=$G163),5,"")</f>
        <v/>
      </c>
      <c r="O163" s="34">
        <f>IF(AND(O$5&gt;=$F163,O$5&lt;=$G163),5,"")</f>
        <v/>
      </c>
      <c r="P163" s="34">
        <f>IF(AND(P$5&gt;=$F163,P$5&lt;=$G163),5,"")</f>
        <v/>
      </c>
      <c r="Q163" s="34">
        <f>IF(AND(Q$5&gt;=$F163,Q$5&lt;=$G163),5,"")</f>
        <v/>
      </c>
      <c r="R163" s="34">
        <f>IF(AND(R$5&gt;=$F163,R$5&lt;=$G163),5,"")</f>
        <v/>
      </c>
      <c r="S163" s="34">
        <f>IF(AND(S$5&gt;=$F163,S$5&lt;=$G163),5,"")</f>
        <v/>
      </c>
      <c r="T163" s="34">
        <f>IF(AND(T$5&gt;=$F163,T$5&lt;=$G163),5,"")</f>
        <v/>
      </c>
      <c r="U163" s="34">
        <f>IF(AND(U$5&gt;=$F163,U$5&lt;=$G163),5,"")</f>
        <v/>
      </c>
      <c r="V163" s="34">
        <f>IF(AND(V$5&gt;=$F163,V$5&lt;=$G163),5,"")</f>
        <v/>
      </c>
      <c r="W163" s="34">
        <f>IF(AND(W$5&gt;=$F163,W$5&lt;=$G163),5,"")</f>
        <v/>
      </c>
      <c r="X163" s="34">
        <f>IF(AND(X$5&gt;=$F163,X$5&lt;=$G163),5,"")</f>
        <v/>
      </c>
      <c r="Y163" s="34">
        <f>IF(AND(Y$5&gt;=$F163,Y$5&lt;=$G163),5,"")</f>
        <v/>
      </c>
      <c r="Z163" s="34">
        <f>IF(AND(Z$5&gt;=$F163,Z$5&lt;=$G163),5,"")</f>
        <v/>
      </c>
      <c r="AA163" s="34">
        <f>IF(AND(AA$5&gt;=$F163,AA$5&lt;=$G163),5,"")</f>
        <v/>
      </c>
      <c r="AB163" s="34">
        <f>IF(AND(AB$5&gt;=$F163,AB$5&lt;=$G163),5,"")</f>
        <v/>
      </c>
      <c r="AC163" s="34">
        <f>IF(AND(AC$5&gt;=$F163,AC$5&lt;=$G163),5,"")</f>
        <v/>
      </c>
      <c r="AD163" s="34">
        <f>IF(AND(AD$5&gt;=$F163,AD$5&lt;=$G163),5,"")</f>
        <v/>
      </c>
      <c r="AE163" s="34">
        <f>IF(AND(AE$5&gt;=$F163,AE$5&lt;=$G163),5,"")</f>
        <v/>
      </c>
      <c r="AF163" s="34">
        <f>IF(AND(AF$5&gt;=$F163,AF$5&lt;=$G163),5,"")</f>
        <v/>
      </c>
      <c r="AG163" s="34">
        <f>IF(AND(AG$5&gt;=$F163,AG$5&lt;=$G163),5,"")</f>
        <v/>
      </c>
      <c r="AH163" s="34">
        <f>IF(AND(AH$5&gt;=$F163,AH$5&lt;=$G163),5,"")</f>
        <v/>
      </c>
      <c r="AI163" s="34">
        <f>IF(AND(AI$5&gt;=$F163,AI$5&lt;=$G163),5,"")</f>
        <v/>
      </c>
      <c r="AJ163" s="34">
        <f>IF(AND(AJ$5&gt;=$F163,AJ$5&lt;=$G163),5,"")</f>
        <v/>
      </c>
      <c r="AK163" s="34">
        <f>IF(AND(AK$5&gt;=$F163,AK$5&lt;=$G163),5,"")</f>
        <v/>
      </c>
      <c r="AL163" s="34">
        <f>IF(AND(AL$5&gt;=$F163,AL$5&lt;=$G163),5,"")</f>
        <v/>
      </c>
      <c r="AM163" s="34">
        <f>IF(AND(AM$5&gt;=$F163,AM$5&lt;=$G163),5,"")</f>
        <v/>
      </c>
      <c r="AN163" s="34">
        <f>IF(AND(AN$5&gt;=$F163,AN$5&lt;=$G163),5,"")</f>
        <v/>
      </c>
      <c r="AO163" s="34">
        <f>IF(AND(AO$5&gt;=$F163,AO$5&lt;=$G163),5,"")</f>
        <v/>
      </c>
      <c r="AP163" s="34">
        <f>IF(AND(AP$5&gt;=$F163,AP$5&lt;=$G163),5,"")</f>
        <v/>
      </c>
      <c r="AQ163" s="34">
        <f>IF(AND(AQ$5&gt;=$F163,AQ$5&lt;=$G163),5,"")</f>
        <v/>
      </c>
      <c r="AR163" s="34">
        <f>IF(AND(AR$5&gt;=$F163,AR$5&lt;=$G163),5,"")</f>
        <v/>
      </c>
      <c r="AS163" s="34">
        <f>IF(AND(AS$5&gt;=$F163,AS$5&lt;=$G163),5,"")</f>
        <v/>
      </c>
      <c r="AT163" s="34">
        <f>IF(AND(AT$5&gt;=$F163,AT$5&lt;=$G163),5,"")</f>
        <v/>
      </c>
      <c r="AU163" s="34">
        <f>IF(AND(AU$5&gt;=$F163,AU$5&lt;=$G163),5,"")</f>
        <v/>
      </c>
      <c r="AV163" s="34">
        <f>IF(AND(AV$5&gt;=$F163,AV$5&lt;=$G163),5,"")</f>
        <v/>
      </c>
      <c r="AW163" s="34">
        <f>IF(AND(AW$5&gt;=$F163,AW$5&lt;=$G163),5,"")</f>
        <v/>
      </c>
      <c r="AX163" s="34">
        <f>IF(AND(AX$5&gt;=$F163,AX$5&lt;=$G163),5,"")</f>
        <v/>
      </c>
      <c r="AY163" s="34">
        <f>IF(AND(AY$5&gt;=$F163,AY$5&lt;=$G163),5,"")</f>
        <v/>
      </c>
      <c r="AZ163" s="34">
        <f>IF(AND(AZ$5&gt;=$F163,AZ$5&lt;=$G163),5,"")</f>
        <v/>
      </c>
      <c r="BA163" s="34">
        <f>IF(AND(BA$5&gt;=$F163,BA$5&lt;=$G163),5,"")</f>
        <v/>
      </c>
      <c r="BB163" s="34">
        <f>IF(AND(BB$5&gt;=$F163,BB$5&lt;=$G163),5,"")</f>
        <v/>
      </c>
      <c r="BC163" s="34">
        <f>IF(AND(BC$5&gt;=$F163,BC$5&lt;=$G163),5,"")</f>
        <v/>
      </c>
      <c r="BD163" s="34">
        <f>IF(AND(BD$5&gt;=$F163,BD$5&lt;=$G163),5,"")</f>
        <v/>
      </c>
      <c r="BE163" s="34">
        <f>IF(AND(BE$5&gt;=$F163,BE$5&lt;=$G163),5,"")</f>
        <v/>
      </c>
      <c r="BF163" s="34">
        <f>IF(AND(BF$5&gt;=$F163,BF$5&lt;=$G163),5,"")</f>
        <v/>
      </c>
      <c r="BG163" s="34">
        <f>IF(AND(BG$5&gt;=$F163,BG$5&lt;=$G163),5,"")</f>
        <v/>
      </c>
      <c r="BH163" s="34">
        <f>IF(AND(BH$5&gt;=$F163,BH$5&lt;=$G163),5,"")</f>
        <v/>
      </c>
      <c r="BI163" s="34">
        <f>IF(AND(BI$5&gt;=$F163,BI$5&lt;=$G163),5,"")</f>
        <v/>
      </c>
      <c r="BJ163" s="34">
        <f>IF(AND(BJ$5&gt;=$F163,BJ$5&lt;=$G163),5,"")</f>
        <v/>
      </c>
      <c r="BK163" s="34">
        <f>IF(AND(BK$5&gt;=$F163,BK$5&lt;=$G163),5,"")</f>
        <v/>
      </c>
      <c r="BL163" s="34">
        <f>IF(AND(BL$5&gt;=$F163,BL$5&lt;=$G163),5,"")</f>
        <v/>
      </c>
      <c r="BM163" s="34">
        <f>IF(AND(BM$5&gt;=$F163,BM$5&lt;=$G163),5,"")</f>
        <v/>
      </c>
      <c r="BN163" s="34">
        <f>IF(AND(BN$5&gt;=$F163,BN$5&lt;=$G163),5,"")</f>
        <v/>
      </c>
    </row>
    <row r="164" ht="14.25" customHeight="1" s="36">
      <c r="A164" s="13" t="inlineStr">
        <is>
          <t>6 Infraestructura física y sitios</t>
        </is>
      </c>
      <c r="B164" s="13" t="inlineStr">
        <is>
          <t>6.1.1</t>
        </is>
      </c>
      <c r="C164" s="13" t="inlineStr">
        <is>
          <t>Obra civil y piso técnico de la sala</t>
        </is>
      </c>
      <c r="D164" s="13" t="inlineStr">
        <is>
          <t>T</t>
        </is>
      </c>
      <c r="E164" s="13" t="inlineStr">
        <is>
          <t>Operación / SRE</t>
        </is>
      </c>
      <c r="F164" s="13" t="n">
        <v>3</v>
      </c>
      <c r="G164" s="13" t="n">
        <v>3</v>
      </c>
      <c r="H164" s="13">
        <f>G164-F164+1</f>
        <v/>
      </c>
      <c r="I164" s="31" t="n">
        <v>160</v>
      </c>
      <c r="J164" s="13" t="inlineStr">
        <is>
          <t>Con entregable (actividades en hoja «Actividades hasta H2»)</t>
        </is>
      </c>
      <c r="K164" s="34">
        <f>IF(AND(K$5&gt;=$F164,K$5&lt;=$G164),6,"")</f>
        <v/>
      </c>
      <c r="L164" s="34">
        <f>IF(AND(L$5&gt;=$F164,L$5&lt;=$G164),6,"")</f>
        <v/>
      </c>
      <c r="M164" s="34">
        <f>IF(AND(M$5&gt;=$F164,M$5&lt;=$G164),6,"")</f>
        <v/>
      </c>
      <c r="N164" s="34">
        <f>IF(AND(N$5&gt;=$F164,N$5&lt;=$G164),6,"")</f>
        <v/>
      </c>
      <c r="O164" s="34">
        <f>IF(AND(O$5&gt;=$F164,O$5&lt;=$G164),6,"")</f>
        <v/>
      </c>
      <c r="P164" s="34">
        <f>IF(AND(P$5&gt;=$F164,P$5&lt;=$G164),6,"")</f>
        <v/>
      </c>
      <c r="Q164" s="34">
        <f>IF(AND(Q$5&gt;=$F164,Q$5&lt;=$G164),6,"")</f>
        <v/>
      </c>
      <c r="R164" s="34">
        <f>IF(AND(R$5&gt;=$F164,R$5&lt;=$G164),6,"")</f>
        <v/>
      </c>
      <c r="S164" s="34">
        <f>IF(AND(S$5&gt;=$F164,S$5&lt;=$G164),6,"")</f>
        <v/>
      </c>
      <c r="T164" s="34">
        <f>IF(AND(T$5&gt;=$F164,T$5&lt;=$G164),6,"")</f>
        <v/>
      </c>
      <c r="U164" s="34">
        <f>IF(AND(U$5&gt;=$F164,U$5&lt;=$G164),6,"")</f>
        <v/>
      </c>
      <c r="V164" s="34">
        <f>IF(AND(V$5&gt;=$F164,V$5&lt;=$G164),6,"")</f>
        <v/>
      </c>
      <c r="W164" s="34">
        <f>IF(AND(W$5&gt;=$F164,W$5&lt;=$G164),6,"")</f>
        <v/>
      </c>
      <c r="X164" s="34">
        <f>IF(AND(X$5&gt;=$F164,X$5&lt;=$G164),6,"")</f>
        <v/>
      </c>
      <c r="Y164" s="34">
        <f>IF(AND(Y$5&gt;=$F164,Y$5&lt;=$G164),6,"")</f>
        <v/>
      </c>
      <c r="Z164" s="34">
        <f>IF(AND(Z$5&gt;=$F164,Z$5&lt;=$G164),6,"")</f>
        <v/>
      </c>
      <c r="AA164" s="34">
        <f>IF(AND(AA$5&gt;=$F164,AA$5&lt;=$G164),6,"")</f>
        <v/>
      </c>
      <c r="AB164" s="34">
        <f>IF(AND(AB$5&gt;=$F164,AB$5&lt;=$G164),6,"")</f>
        <v/>
      </c>
      <c r="AC164" s="34">
        <f>IF(AND(AC$5&gt;=$F164,AC$5&lt;=$G164),6,"")</f>
        <v/>
      </c>
      <c r="AD164" s="34">
        <f>IF(AND(AD$5&gt;=$F164,AD$5&lt;=$G164),6,"")</f>
        <v/>
      </c>
      <c r="AE164" s="34">
        <f>IF(AND(AE$5&gt;=$F164,AE$5&lt;=$G164),6,"")</f>
        <v/>
      </c>
      <c r="AF164" s="34">
        <f>IF(AND(AF$5&gt;=$F164,AF$5&lt;=$G164),6,"")</f>
        <v/>
      </c>
      <c r="AG164" s="34">
        <f>IF(AND(AG$5&gt;=$F164,AG$5&lt;=$G164),6,"")</f>
        <v/>
      </c>
      <c r="AH164" s="34">
        <f>IF(AND(AH$5&gt;=$F164,AH$5&lt;=$G164),6,"")</f>
        <v/>
      </c>
      <c r="AI164" s="34">
        <f>IF(AND(AI$5&gt;=$F164,AI$5&lt;=$G164),6,"")</f>
        <v/>
      </c>
      <c r="AJ164" s="34">
        <f>IF(AND(AJ$5&gt;=$F164,AJ$5&lt;=$G164),6,"")</f>
        <v/>
      </c>
      <c r="AK164" s="34">
        <f>IF(AND(AK$5&gt;=$F164,AK$5&lt;=$G164),6,"")</f>
        <v/>
      </c>
      <c r="AL164" s="34">
        <f>IF(AND(AL$5&gt;=$F164,AL$5&lt;=$G164),6,"")</f>
        <v/>
      </c>
      <c r="AM164" s="34">
        <f>IF(AND(AM$5&gt;=$F164,AM$5&lt;=$G164),6,"")</f>
        <v/>
      </c>
      <c r="AN164" s="34">
        <f>IF(AND(AN$5&gt;=$F164,AN$5&lt;=$G164),6,"")</f>
        <v/>
      </c>
      <c r="AO164" s="34">
        <f>IF(AND(AO$5&gt;=$F164,AO$5&lt;=$G164),6,"")</f>
        <v/>
      </c>
      <c r="AP164" s="34">
        <f>IF(AND(AP$5&gt;=$F164,AP$5&lt;=$G164),6,"")</f>
        <v/>
      </c>
      <c r="AQ164" s="34">
        <f>IF(AND(AQ$5&gt;=$F164,AQ$5&lt;=$G164),6,"")</f>
        <v/>
      </c>
      <c r="AR164" s="34">
        <f>IF(AND(AR$5&gt;=$F164,AR$5&lt;=$G164),6,"")</f>
        <v/>
      </c>
      <c r="AS164" s="34">
        <f>IF(AND(AS$5&gt;=$F164,AS$5&lt;=$G164),6,"")</f>
        <v/>
      </c>
      <c r="AT164" s="34">
        <f>IF(AND(AT$5&gt;=$F164,AT$5&lt;=$G164),6,"")</f>
        <v/>
      </c>
      <c r="AU164" s="34">
        <f>IF(AND(AU$5&gt;=$F164,AU$5&lt;=$G164),6,"")</f>
        <v/>
      </c>
      <c r="AV164" s="34">
        <f>IF(AND(AV$5&gt;=$F164,AV$5&lt;=$G164),6,"")</f>
        <v/>
      </c>
      <c r="AW164" s="34">
        <f>IF(AND(AW$5&gt;=$F164,AW$5&lt;=$G164),6,"")</f>
        <v/>
      </c>
      <c r="AX164" s="34">
        <f>IF(AND(AX$5&gt;=$F164,AX$5&lt;=$G164),6,"")</f>
        <v/>
      </c>
      <c r="AY164" s="34">
        <f>IF(AND(AY$5&gt;=$F164,AY$5&lt;=$G164),6,"")</f>
        <v/>
      </c>
      <c r="AZ164" s="34">
        <f>IF(AND(AZ$5&gt;=$F164,AZ$5&lt;=$G164),6,"")</f>
        <v/>
      </c>
      <c r="BA164" s="34">
        <f>IF(AND(BA$5&gt;=$F164,BA$5&lt;=$G164),6,"")</f>
        <v/>
      </c>
      <c r="BB164" s="34">
        <f>IF(AND(BB$5&gt;=$F164,BB$5&lt;=$G164),6,"")</f>
        <v/>
      </c>
      <c r="BC164" s="34">
        <f>IF(AND(BC$5&gt;=$F164,BC$5&lt;=$G164),6,"")</f>
        <v/>
      </c>
      <c r="BD164" s="34">
        <f>IF(AND(BD$5&gt;=$F164,BD$5&lt;=$G164),6,"")</f>
        <v/>
      </c>
      <c r="BE164" s="34">
        <f>IF(AND(BE$5&gt;=$F164,BE$5&lt;=$G164),6,"")</f>
        <v/>
      </c>
      <c r="BF164" s="34">
        <f>IF(AND(BF$5&gt;=$F164,BF$5&lt;=$G164),6,"")</f>
        <v/>
      </c>
      <c r="BG164" s="34">
        <f>IF(AND(BG$5&gt;=$F164,BG$5&lt;=$G164),6,"")</f>
        <v/>
      </c>
      <c r="BH164" s="34">
        <f>IF(AND(BH$5&gt;=$F164,BH$5&lt;=$G164),6,"")</f>
        <v/>
      </c>
      <c r="BI164" s="34">
        <f>IF(AND(BI$5&gt;=$F164,BI$5&lt;=$G164),6,"")</f>
        <v/>
      </c>
      <c r="BJ164" s="34">
        <f>IF(AND(BJ$5&gt;=$F164,BJ$5&lt;=$G164),6,"")</f>
        <v/>
      </c>
      <c r="BK164" s="34">
        <f>IF(AND(BK$5&gt;=$F164,BK$5&lt;=$G164),6,"")</f>
        <v/>
      </c>
      <c r="BL164" s="34">
        <f>IF(AND(BL$5&gt;=$F164,BL$5&lt;=$G164),6,"")</f>
        <v/>
      </c>
      <c r="BM164" s="34">
        <f>IF(AND(BM$5&gt;=$F164,BM$5&lt;=$G164),6,"")</f>
        <v/>
      </c>
      <c r="BN164" s="34">
        <f>IF(AND(BN$5&gt;=$F164,BN$5&lt;=$G164),6,"")</f>
        <v/>
      </c>
    </row>
    <row r="165" ht="14.25" customHeight="1" s="36">
      <c r="A165" s="13" t="inlineStr">
        <is>
          <t>6 Infraestructura física y sitios</t>
        </is>
      </c>
      <c r="B165" s="13" t="inlineStr">
        <is>
          <t>6.1.2</t>
        </is>
      </c>
      <c r="C165" s="13" t="inlineStr">
        <is>
          <t>Hardware de energía instalado: UPS modular N+1, generador con 24 horas de autonomía, transferencia automática y PDU A/B</t>
        </is>
      </c>
      <c r="D165" s="13" t="inlineStr">
        <is>
          <t>T</t>
        </is>
      </c>
      <c r="E165" s="13" t="inlineStr">
        <is>
          <t>Operación / SRE</t>
        </is>
      </c>
      <c r="F165" s="13" t="n">
        <v>3</v>
      </c>
      <c r="G165" s="13" t="n">
        <v>3</v>
      </c>
      <c r="H165" s="13">
        <f>G165-F165+1</f>
        <v/>
      </c>
      <c r="I165" s="31" t="n">
        <v>160</v>
      </c>
      <c r="J165" s="13" t="inlineStr">
        <is>
          <t>Con entregable (actividades en hoja «Actividades hasta H2»)</t>
        </is>
      </c>
      <c r="K165" s="34">
        <f>IF(AND(K$5&gt;=$F165,K$5&lt;=$G165),6,"")</f>
        <v/>
      </c>
      <c r="L165" s="34">
        <f>IF(AND(L$5&gt;=$F165,L$5&lt;=$G165),6,"")</f>
        <v/>
      </c>
      <c r="M165" s="34">
        <f>IF(AND(M$5&gt;=$F165,M$5&lt;=$G165),6,"")</f>
        <v/>
      </c>
      <c r="N165" s="34">
        <f>IF(AND(N$5&gt;=$F165,N$5&lt;=$G165),6,"")</f>
        <v/>
      </c>
      <c r="O165" s="34">
        <f>IF(AND(O$5&gt;=$F165,O$5&lt;=$G165),6,"")</f>
        <v/>
      </c>
      <c r="P165" s="34">
        <f>IF(AND(P$5&gt;=$F165,P$5&lt;=$G165),6,"")</f>
        <v/>
      </c>
      <c r="Q165" s="34">
        <f>IF(AND(Q$5&gt;=$F165,Q$5&lt;=$G165),6,"")</f>
        <v/>
      </c>
      <c r="R165" s="34">
        <f>IF(AND(R$5&gt;=$F165,R$5&lt;=$G165),6,"")</f>
        <v/>
      </c>
      <c r="S165" s="34">
        <f>IF(AND(S$5&gt;=$F165,S$5&lt;=$G165),6,"")</f>
        <v/>
      </c>
      <c r="T165" s="34">
        <f>IF(AND(T$5&gt;=$F165,T$5&lt;=$G165),6,"")</f>
        <v/>
      </c>
      <c r="U165" s="34">
        <f>IF(AND(U$5&gt;=$F165,U$5&lt;=$G165),6,"")</f>
        <v/>
      </c>
      <c r="V165" s="34">
        <f>IF(AND(V$5&gt;=$F165,V$5&lt;=$G165),6,"")</f>
        <v/>
      </c>
      <c r="W165" s="34">
        <f>IF(AND(W$5&gt;=$F165,W$5&lt;=$G165),6,"")</f>
        <v/>
      </c>
      <c r="X165" s="34">
        <f>IF(AND(X$5&gt;=$F165,X$5&lt;=$G165),6,"")</f>
        <v/>
      </c>
      <c r="Y165" s="34">
        <f>IF(AND(Y$5&gt;=$F165,Y$5&lt;=$G165),6,"")</f>
        <v/>
      </c>
      <c r="Z165" s="34">
        <f>IF(AND(Z$5&gt;=$F165,Z$5&lt;=$G165),6,"")</f>
        <v/>
      </c>
      <c r="AA165" s="34">
        <f>IF(AND(AA$5&gt;=$F165,AA$5&lt;=$G165),6,"")</f>
        <v/>
      </c>
      <c r="AB165" s="34">
        <f>IF(AND(AB$5&gt;=$F165,AB$5&lt;=$G165),6,"")</f>
        <v/>
      </c>
      <c r="AC165" s="34">
        <f>IF(AND(AC$5&gt;=$F165,AC$5&lt;=$G165),6,"")</f>
        <v/>
      </c>
      <c r="AD165" s="34">
        <f>IF(AND(AD$5&gt;=$F165,AD$5&lt;=$G165),6,"")</f>
        <v/>
      </c>
      <c r="AE165" s="34">
        <f>IF(AND(AE$5&gt;=$F165,AE$5&lt;=$G165),6,"")</f>
        <v/>
      </c>
      <c r="AF165" s="34">
        <f>IF(AND(AF$5&gt;=$F165,AF$5&lt;=$G165),6,"")</f>
        <v/>
      </c>
      <c r="AG165" s="34">
        <f>IF(AND(AG$5&gt;=$F165,AG$5&lt;=$G165),6,"")</f>
        <v/>
      </c>
      <c r="AH165" s="34">
        <f>IF(AND(AH$5&gt;=$F165,AH$5&lt;=$G165),6,"")</f>
        <v/>
      </c>
      <c r="AI165" s="34">
        <f>IF(AND(AI$5&gt;=$F165,AI$5&lt;=$G165),6,"")</f>
        <v/>
      </c>
      <c r="AJ165" s="34">
        <f>IF(AND(AJ$5&gt;=$F165,AJ$5&lt;=$G165),6,"")</f>
        <v/>
      </c>
      <c r="AK165" s="34">
        <f>IF(AND(AK$5&gt;=$F165,AK$5&lt;=$G165),6,"")</f>
        <v/>
      </c>
      <c r="AL165" s="34">
        <f>IF(AND(AL$5&gt;=$F165,AL$5&lt;=$G165),6,"")</f>
        <v/>
      </c>
      <c r="AM165" s="34">
        <f>IF(AND(AM$5&gt;=$F165,AM$5&lt;=$G165),6,"")</f>
        <v/>
      </c>
      <c r="AN165" s="34">
        <f>IF(AND(AN$5&gt;=$F165,AN$5&lt;=$G165),6,"")</f>
        <v/>
      </c>
      <c r="AO165" s="34">
        <f>IF(AND(AO$5&gt;=$F165,AO$5&lt;=$G165),6,"")</f>
        <v/>
      </c>
      <c r="AP165" s="34">
        <f>IF(AND(AP$5&gt;=$F165,AP$5&lt;=$G165),6,"")</f>
        <v/>
      </c>
      <c r="AQ165" s="34">
        <f>IF(AND(AQ$5&gt;=$F165,AQ$5&lt;=$G165),6,"")</f>
        <v/>
      </c>
      <c r="AR165" s="34">
        <f>IF(AND(AR$5&gt;=$F165,AR$5&lt;=$G165),6,"")</f>
        <v/>
      </c>
      <c r="AS165" s="34">
        <f>IF(AND(AS$5&gt;=$F165,AS$5&lt;=$G165),6,"")</f>
        <v/>
      </c>
      <c r="AT165" s="34">
        <f>IF(AND(AT$5&gt;=$F165,AT$5&lt;=$G165),6,"")</f>
        <v/>
      </c>
      <c r="AU165" s="34">
        <f>IF(AND(AU$5&gt;=$F165,AU$5&lt;=$G165),6,"")</f>
        <v/>
      </c>
      <c r="AV165" s="34">
        <f>IF(AND(AV$5&gt;=$F165,AV$5&lt;=$G165),6,"")</f>
        <v/>
      </c>
      <c r="AW165" s="34">
        <f>IF(AND(AW$5&gt;=$F165,AW$5&lt;=$G165),6,"")</f>
        <v/>
      </c>
      <c r="AX165" s="34">
        <f>IF(AND(AX$5&gt;=$F165,AX$5&lt;=$G165),6,"")</f>
        <v/>
      </c>
      <c r="AY165" s="34">
        <f>IF(AND(AY$5&gt;=$F165,AY$5&lt;=$G165),6,"")</f>
        <v/>
      </c>
      <c r="AZ165" s="34">
        <f>IF(AND(AZ$5&gt;=$F165,AZ$5&lt;=$G165),6,"")</f>
        <v/>
      </c>
      <c r="BA165" s="34">
        <f>IF(AND(BA$5&gt;=$F165,BA$5&lt;=$G165),6,"")</f>
        <v/>
      </c>
      <c r="BB165" s="34">
        <f>IF(AND(BB$5&gt;=$F165,BB$5&lt;=$G165),6,"")</f>
        <v/>
      </c>
      <c r="BC165" s="34">
        <f>IF(AND(BC$5&gt;=$F165,BC$5&lt;=$G165),6,"")</f>
        <v/>
      </c>
      <c r="BD165" s="34">
        <f>IF(AND(BD$5&gt;=$F165,BD$5&lt;=$G165),6,"")</f>
        <v/>
      </c>
      <c r="BE165" s="34">
        <f>IF(AND(BE$5&gt;=$F165,BE$5&lt;=$G165),6,"")</f>
        <v/>
      </c>
      <c r="BF165" s="34">
        <f>IF(AND(BF$5&gt;=$F165,BF$5&lt;=$G165),6,"")</f>
        <v/>
      </c>
      <c r="BG165" s="34">
        <f>IF(AND(BG$5&gt;=$F165,BG$5&lt;=$G165),6,"")</f>
        <v/>
      </c>
      <c r="BH165" s="34">
        <f>IF(AND(BH$5&gt;=$F165,BH$5&lt;=$G165),6,"")</f>
        <v/>
      </c>
      <c r="BI165" s="34">
        <f>IF(AND(BI$5&gt;=$F165,BI$5&lt;=$G165),6,"")</f>
        <v/>
      </c>
      <c r="BJ165" s="34">
        <f>IF(AND(BJ$5&gt;=$F165,BJ$5&lt;=$G165),6,"")</f>
        <v/>
      </c>
      <c r="BK165" s="34">
        <f>IF(AND(BK$5&gt;=$F165,BK$5&lt;=$G165),6,"")</f>
        <v/>
      </c>
      <c r="BL165" s="34">
        <f>IF(AND(BL$5&gt;=$F165,BL$5&lt;=$G165),6,"")</f>
        <v/>
      </c>
      <c r="BM165" s="34">
        <f>IF(AND(BM$5&gt;=$F165,BM$5&lt;=$G165),6,"")</f>
        <v/>
      </c>
      <c r="BN165" s="34">
        <f>IF(AND(BN$5&gt;=$F165,BN$5&lt;=$G165),6,"")</f>
        <v/>
      </c>
    </row>
    <row r="166" ht="14.25" customHeight="1" s="36">
      <c r="A166" s="13" t="inlineStr">
        <is>
          <t>6 Infraestructura física y sitios</t>
        </is>
      </c>
      <c r="B166" s="13" t="inlineStr">
        <is>
          <t>6.1.3</t>
        </is>
      </c>
      <c r="C166" s="13" t="inlineStr">
        <is>
          <t>Hardware de climatización de precisión N+1 instalado</t>
        </is>
      </c>
      <c r="D166" s="13" t="inlineStr">
        <is>
          <t>T</t>
        </is>
      </c>
      <c r="E166" s="13" t="inlineStr">
        <is>
          <t>Operación / SRE</t>
        </is>
      </c>
      <c r="F166" s="13" t="n">
        <v>3</v>
      </c>
      <c r="G166" s="13" t="n">
        <v>3</v>
      </c>
      <c r="H166" s="13">
        <f>G166-F166+1</f>
        <v/>
      </c>
      <c r="I166" s="31" t="n">
        <v>160</v>
      </c>
      <c r="J166" s="13" t="inlineStr">
        <is>
          <t>Con entregable (actividades en hoja «Actividades hasta H2»)</t>
        </is>
      </c>
      <c r="K166" s="34">
        <f>IF(AND(K$5&gt;=$F166,K$5&lt;=$G166),6,"")</f>
        <v/>
      </c>
      <c r="L166" s="34">
        <f>IF(AND(L$5&gt;=$F166,L$5&lt;=$G166),6,"")</f>
        <v/>
      </c>
      <c r="M166" s="34">
        <f>IF(AND(M$5&gt;=$F166,M$5&lt;=$G166),6,"")</f>
        <v/>
      </c>
      <c r="N166" s="34">
        <f>IF(AND(N$5&gt;=$F166,N$5&lt;=$G166),6,"")</f>
        <v/>
      </c>
      <c r="O166" s="34">
        <f>IF(AND(O$5&gt;=$F166,O$5&lt;=$G166),6,"")</f>
        <v/>
      </c>
      <c r="P166" s="34">
        <f>IF(AND(P$5&gt;=$F166,P$5&lt;=$G166),6,"")</f>
        <v/>
      </c>
      <c r="Q166" s="34">
        <f>IF(AND(Q$5&gt;=$F166,Q$5&lt;=$G166),6,"")</f>
        <v/>
      </c>
      <c r="R166" s="34">
        <f>IF(AND(R$5&gt;=$F166,R$5&lt;=$G166),6,"")</f>
        <v/>
      </c>
      <c r="S166" s="34">
        <f>IF(AND(S$5&gt;=$F166,S$5&lt;=$G166),6,"")</f>
        <v/>
      </c>
      <c r="T166" s="34">
        <f>IF(AND(T$5&gt;=$F166,T$5&lt;=$G166),6,"")</f>
        <v/>
      </c>
      <c r="U166" s="34">
        <f>IF(AND(U$5&gt;=$F166,U$5&lt;=$G166),6,"")</f>
        <v/>
      </c>
      <c r="V166" s="34">
        <f>IF(AND(V$5&gt;=$F166,V$5&lt;=$G166),6,"")</f>
        <v/>
      </c>
      <c r="W166" s="34">
        <f>IF(AND(W$5&gt;=$F166,W$5&lt;=$G166),6,"")</f>
        <v/>
      </c>
      <c r="X166" s="34">
        <f>IF(AND(X$5&gt;=$F166,X$5&lt;=$G166),6,"")</f>
        <v/>
      </c>
      <c r="Y166" s="34">
        <f>IF(AND(Y$5&gt;=$F166,Y$5&lt;=$G166),6,"")</f>
        <v/>
      </c>
      <c r="Z166" s="34">
        <f>IF(AND(Z$5&gt;=$F166,Z$5&lt;=$G166),6,"")</f>
        <v/>
      </c>
      <c r="AA166" s="34">
        <f>IF(AND(AA$5&gt;=$F166,AA$5&lt;=$G166),6,"")</f>
        <v/>
      </c>
      <c r="AB166" s="34">
        <f>IF(AND(AB$5&gt;=$F166,AB$5&lt;=$G166),6,"")</f>
        <v/>
      </c>
      <c r="AC166" s="34">
        <f>IF(AND(AC$5&gt;=$F166,AC$5&lt;=$G166),6,"")</f>
        <v/>
      </c>
      <c r="AD166" s="34">
        <f>IF(AND(AD$5&gt;=$F166,AD$5&lt;=$G166),6,"")</f>
        <v/>
      </c>
      <c r="AE166" s="34">
        <f>IF(AND(AE$5&gt;=$F166,AE$5&lt;=$G166),6,"")</f>
        <v/>
      </c>
      <c r="AF166" s="34">
        <f>IF(AND(AF$5&gt;=$F166,AF$5&lt;=$G166),6,"")</f>
        <v/>
      </c>
      <c r="AG166" s="34">
        <f>IF(AND(AG$5&gt;=$F166,AG$5&lt;=$G166),6,"")</f>
        <v/>
      </c>
      <c r="AH166" s="34">
        <f>IF(AND(AH$5&gt;=$F166,AH$5&lt;=$G166),6,"")</f>
        <v/>
      </c>
      <c r="AI166" s="34">
        <f>IF(AND(AI$5&gt;=$F166,AI$5&lt;=$G166),6,"")</f>
        <v/>
      </c>
      <c r="AJ166" s="34">
        <f>IF(AND(AJ$5&gt;=$F166,AJ$5&lt;=$G166),6,"")</f>
        <v/>
      </c>
      <c r="AK166" s="34">
        <f>IF(AND(AK$5&gt;=$F166,AK$5&lt;=$G166),6,"")</f>
        <v/>
      </c>
      <c r="AL166" s="34">
        <f>IF(AND(AL$5&gt;=$F166,AL$5&lt;=$G166),6,"")</f>
        <v/>
      </c>
      <c r="AM166" s="34">
        <f>IF(AND(AM$5&gt;=$F166,AM$5&lt;=$G166),6,"")</f>
        <v/>
      </c>
      <c r="AN166" s="34">
        <f>IF(AND(AN$5&gt;=$F166,AN$5&lt;=$G166),6,"")</f>
        <v/>
      </c>
      <c r="AO166" s="34">
        <f>IF(AND(AO$5&gt;=$F166,AO$5&lt;=$G166),6,"")</f>
        <v/>
      </c>
      <c r="AP166" s="34">
        <f>IF(AND(AP$5&gt;=$F166,AP$5&lt;=$G166),6,"")</f>
        <v/>
      </c>
      <c r="AQ166" s="34">
        <f>IF(AND(AQ$5&gt;=$F166,AQ$5&lt;=$G166),6,"")</f>
        <v/>
      </c>
      <c r="AR166" s="34">
        <f>IF(AND(AR$5&gt;=$F166,AR$5&lt;=$G166),6,"")</f>
        <v/>
      </c>
      <c r="AS166" s="34">
        <f>IF(AND(AS$5&gt;=$F166,AS$5&lt;=$G166),6,"")</f>
        <v/>
      </c>
      <c r="AT166" s="34">
        <f>IF(AND(AT$5&gt;=$F166,AT$5&lt;=$G166),6,"")</f>
        <v/>
      </c>
      <c r="AU166" s="34">
        <f>IF(AND(AU$5&gt;=$F166,AU$5&lt;=$G166),6,"")</f>
        <v/>
      </c>
      <c r="AV166" s="34">
        <f>IF(AND(AV$5&gt;=$F166,AV$5&lt;=$G166),6,"")</f>
        <v/>
      </c>
      <c r="AW166" s="34">
        <f>IF(AND(AW$5&gt;=$F166,AW$5&lt;=$G166),6,"")</f>
        <v/>
      </c>
      <c r="AX166" s="34">
        <f>IF(AND(AX$5&gt;=$F166,AX$5&lt;=$G166),6,"")</f>
        <v/>
      </c>
      <c r="AY166" s="34">
        <f>IF(AND(AY$5&gt;=$F166,AY$5&lt;=$G166),6,"")</f>
        <v/>
      </c>
      <c r="AZ166" s="34">
        <f>IF(AND(AZ$5&gt;=$F166,AZ$5&lt;=$G166),6,"")</f>
        <v/>
      </c>
      <c r="BA166" s="34">
        <f>IF(AND(BA$5&gt;=$F166,BA$5&lt;=$G166),6,"")</f>
        <v/>
      </c>
      <c r="BB166" s="34">
        <f>IF(AND(BB$5&gt;=$F166,BB$5&lt;=$G166),6,"")</f>
        <v/>
      </c>
      <c r="BC166" s="34">
        <f>IF(AND(BC$5&gt;=$F166,BC$5&lt;=$G166),6,"")</f>
        <v/>
      </c>
      <c r="BD166" s="34">
        <f>IF(AND(BD$5&gt;=$F166,BD$5&lt;=$G166),6,"")</f>
        <v/>
      </c>
      <c r="BE166" s="34">
        <f>IF(AND(BE$5&gt;=$F166,BE$5&lt;=$G166),6,"")</f>
        <v/>
      </c>
      <c r="BF166" s="34">
        <f>IF(AND(BF$5&gt;=$F166,BF$5&lt;=$G166),6,"")</f>
        <v/>
      </c>
      <c r="BG166" s="34">
        <f>IF(AND(BG$5&gt;=$F166,BG$5&lt;=$G166),6,"")</f>
        <v/>
      </c>
      <c r="BH166" s="34">
        <f>IF(AND(BH$5&gt;=$F166,BH$5&lt;=$G166),6,"")</f>
        <v/>
      </c>
      <c r="BI166" s="34">
        <f>IF(AND(BI$5&gt;=$F166,BI$5&lt;=$G166),6,"")</f>
        <v/>
      </c>
      <c r="BJ166" s="34">
        <f>IF(AND(BJ$5&gt;=$F166,BJ$5&lt;=$G166),6,"")</f>
        <v/>
      </c>
      <c r="BK166" s="34">
        <f>IF(AND(BK$5&gt;=$F166,BK$5&lt;=$G166),6,"")</f>
        <v/>
      </c>
      <c r="BL166" s="34">
        <f>IF(AND(BL$5&gt;=$F166,BL$5&lt;=$G166),6,"")</f>
        <v/>
      </c>
      <c r="BM166" s="34">
        <f>IF(AND(BM$5&gt;=$F166,BM$5&lt;=$G166),6,"")</f>
        <v/>
      </c>
      <c r="BN166" s="34">
        <f>IF(AND(BN$5&gt;=$F166,BN$5&lt;=$G166),6,"")</f>
        <v/>
      </c>
    </row>
    <row r="167" ht="14.25" customHeight="1" s="36">
      <c r="A167" s="13" t="inlineStr">
        <is>
          <t>6 Infraestructura física y sitios</t>
        </is>
      </c>
      <c r="B167" s="13" t="inlineStr">
        <is>
          <t>6.1.4</t>
        </is>
      </c>
      <c r="C167" s="13" t="inlineStr">
        <is>
          <t>Hardware de detección temprana de incendio y extinción por agente limpio instalado</t>
        </is>
      </c>
      <c r="D167" s="13" t="inlineStr">
        <is>
          <t>T</t>
        </is>
      </c>
      <c r="E167" s="13" t="inlineStr">
        <is>
          <t>Operación / SRE</t>
        </is>
      </c>
      <c r="F167" s="13" t="n">
        <v>3</v>
      </c>
      <c r="G167" s="13" t="n">
        <v>3</v>
      </c>
      <c r="H167" s="13">
        <f>G167-F167+1</f>
        <v/>
      </c>
      <c r="I167" s="31" t="n">
        <v>160</v>
      </c>
      <c r="J167" s="13" t="inlineStr">
        <is>
          <t>Con entregable (actividades en hoja «Actividades hasta H2»)</t>
        </is>
      </c>
      <c r="K167" s="34">
        <f>IF(AND(K$5&gt;=$F167,K$5&lt;=$G167),6,"")</f>
        <v/>
      </c>
      <c r="L167" s="34">
        <f>IF(AND(L$5&gt;=$F167,L$5&lt;=$G167),6,"")</f>
        <v/>
      </c>
      <c r="M167" s="34">
        <f>IF(AND(M$5&gt;=$F167,M$5&lt;=$G167),6,"")</f>
        <v/>
      </c>
      <c r="N167" s="34">
        <f>IF(AND(N$5&gt;=$F167,N$5&lt;=$G167),6,"")</f>
        <v/>
      </c>
      <c r="O167" s="34">
        <f>IF(AND(O$5&gt;=$F167,O$5&lt;=$G167),6,"")</f>
        <v/>
      </c>
      <c r="P167" s="34">
        <f>IF(AND(P$5&gt;=$F167,P$5&lt;=$G167),6,"")</f>
        <v/>
      </c>
      <c r="Q167" s="34">
        <f>IF(AND(Q$5&gt;=$F167,Q$5&lt;=$G167),6,"")</f>
        <v/>
      </c>
      <c r="R167" s="34">
        <f>IF(AND(R$5&gt;=$F167,R$5&lt;=$G167),6,"")</f>
        <v/>
      </c>
      <c r="S167" s="34">
        <f>IF(AND(S$5&gt;=$F167,S$5&lt;=$G167),6,"")</f>
        <v/>
      </c>
      <c r="T167" s="34">
        <f>IF(AND(T$5&gt;=$F167,T$5&lt;=$G167),6,"")</f>
        <v/>
      </c>
      <c r="U167" s="34">
        <f>IF(AND(U$5&gt;=$F167,U$5&lt;=$G167),6,"")</f>
        <v/>
      </c>
      <c r="V167" s="34">
        <f>IF(AND(V$5&gt;=$F167,V$5&lt;=$G167),6,"")</f>
        <v/>
      </c>
      <c r="W167" s="34">
        <f>IF(AND(W$5&gt;=$F167,W$5&lt;=$G167),6,"")</f>
        <v/>
      </c>
      <c r="X167" s="34">
        <f>IF(AND(X$5&gt;=$F167,X$5&lt;=$G167),6,"")</f>
        <v/>
      </c>
      <c r="Y167" s="34">
        <f>IF(AND(Y$5&gt;=$F167,Y$5&lt;=$G167),6,"")</f>
        <v/>
      </c>
      <c r="Z167" s="34">
        <f>IF(AND(Z$5&gt;=$F167,Z$5&lt;=$G167),6,"")</f>
        <v/>
      </c>
      <c r="AA167" s="34">
        <f>IF(AND(AA$5&gt;=$F167,AA$5&lt;=$G167),6,"")</f>
        <v/>
      </c>
      <c r="AB167" s="34">
        <f>IF(AND(AB$5&gt;=$F167,AB$5&lt;=$G167),6,"")</f>
        <v/>
      </c>
      <c r="AC167" s="34">
        <f>IF(AND(AC$5&gt;=$F167,AC$5&lt;=$G167),6,"")</f>
        <v/>
      </c>
      <c r="AD167" s="34">
        <f>IF(AND(AD$5&gt;=$F167,AD$5&lt;=$G167),6,"")</f>
        <v/>
      </c>
      <c r="AE167" s="34">
        <f>IF(AND(AE$5&gt;=$F167,AE$5&lt;=$G167),6,"")</f>
        <v/>
      </c>
      <c r="AF167" s="34">
        <f>IF(AND(AF$5&gt;=$F167,AF$5&lt;=$G167),6,"")</f>
        <v/>
      </c>
      <c r="AG167" s="34">
        <f>IF(AND(AG$5&gt;=$F167,AG$5&lt;=$G167),6,"")</f>
        <v/>
      </c>
      <c r="AH167" s="34">
        <f>IF(AND(AH$5&gt;=$F167,AH$5&lt;=$G167),6,"")</f>
        <v/>
      </c>
      <c r="AI167" s="34">
        <f>IF(AND(AI$5&gt;=$F167,AI$5&lt;=$G167),6,"")</f>
        <v/>
      </c>
      <c r="AJ167" s="34">
        <f>IF(AND(AJ$5&gt;=$F167,AJ$5&lt;=$G167),6,"")</f>
        <v/>
      </c>
      <c r="AK167" s="34">
        <f>IF(AND(AK$5&gt;=$F167,AK$5&lt;=$G167),6,"")</f>
        <v/>
      </c>
      <c r="AL167" s="34">
        <f>IF(AND(AL$5&gt;=$F167,AL$5&lt;=$G167),6,"")</f>
        <v/>
      </c>
      <c r="AM167" s="34">
        <f>IF(AND(AM$5&gt;=$F167,AM$5&lt;=$G167),6,"")</f>
        <v/>
      </c>
      <c r="AN167" s="34">
        <f>IF(AND(AN$5&gt;=$F167,AN$5&lt;=$G167),6,"")</f>
        <v/>
      </c>
      <c r="AO167" s="34">
        <f>IF(AND(AO$5&gt;=$F167,AO$5&lt;=$G167),6,"")</f>
        <v/>
      </c>
      <c r="AP167" s="34">
        <f>IF(AND(AP$5&gt;=$F167,AP$5&lt;=$G167),6,"")</f>
        <v/>
      </c>
      <c r="AQ167" s="34">
        <f>IF(AND(AQ$5&gt;=$F167,AQ$5&lt;=$G167),6,"")</f>
        <v/>
      </c>
      <c r="AR167" s="34">
        <f>IF(AND(AR$5&gt;=$F167,AR$5&lt;=$G167),6,"")</f>
        <v/>
      </c>
      <c r="AS167" s="34">
        <f>IF(AND(AS$5&gt;=$F167,AS$5&lt;=$G167),6,"")</f>
        <v/>
      </c>
      <c r="AT167" s="34">
        <f>IF(AND(AT$5&gt;=$F167,AT$5&lt;=$G167),6,"")</f>
        <v/>
      </c>
      <c r="AU167" s="34">
        <f>IF(AND(AU$5&gt;=$F167,AU$5&lt;=$G167),6,"")</f>
        <v/>
      </c>
      <c r="AV167" s="34">
        <f>IF(AND(AV$5&gt;=$F167,AV$5&lt;=$G167),6,"")</f>
        <v/>
      </c>
      <c r="AW167" s="34">
        <f>IF(AND(AW$5&gt;=$F167,AW$5&lt;=$G167),6,"")</f>
        <v/>
      </c>
      <c r="AX167" s="34">
        <f>IF(AND(AX$5&gt;=$F167,AX$5&lt;=$G167),6,"")</f>
        <v/>
      </c>
      <c r="AY167" s="34">
        <f>IF(AND(AY$5&gt;=$F167,AY$5&lt;=$G167),6,"")</f>
        <v/>
      </c>
      <c r="AZ167" s="34">
        <f>IF(AND(AZ$5&gt;=$F167,AZ$5&lt;=$G167),6,"")</f>
        <v/>
      </c>
      <c r="BA167" s="34">
        <f>IF(AND(BA$5&gt;=$F167,BA$5&lt;=$G167),6,"")</f>
        <v/>
      </c>
      <c r="BB167" s="34">
        <f>IF(AND(BB$5&gt;=$F167,BB$5&lt;=$G167),6,"")</f>
        <v/>
      </c>
      <c r="BC167" s="34">
        <f>IF(AND(BC$5&gt;=$F167,BC$5&lt;=$G167),6,"")</f>
        <v/>
      </c>
      <c r="BD167" s="34">
        <f>IF(AND(BD$5&gt;=$F167,BD$5&lt;=$G167),6,"")</f>
        <v/>
      </c>
      <c r="BE167" s="34">
        <f>IF(AND(BE$5&gt;=$F167,BE$5&lt;=$G167),6,"")</f>
        <v/>
      </c>
      <c r="BF167" s="34">
        <f>IF(AND(BF$5&gt;=$F167,BF$5&lt;=$G167),6,"")</f>
        <v/>
      </c>
      <c r="BG167" s="34">
        <f>IF(AND(BG$5&gt;=$F167,BG$5&lt;=$G167),6,"")</f>
        <v/>
      </c>
      <c r="BH167" s="34">
        <f>IF(AND(BH$5&gt;=$F167,BH$5&lt;=$G167),6,"")</f>
        <v/>
      </c>
      <c r="BI167" s="34">
        <f>IF(AND(BI$5&gt;=$F167,BI$5&lt;=$G167),6,"")</f>
        <v/>
      </c>
      <c r="BJ167" s="34">
        <f>IF(AND(BJ$5&gt;=$F167,BJ$5&lt;=$G167),6,"")</f>
        <v/>
      </c>
      <c r="BK167" s="34">
        <f>IF(AND(BK$5&gt;=$F167,BK$5&lt;=$G167),6,"")</f>
        <v/>
      </c>
      <c r="BL167" s="34">
        <f>IF(AND(BL$5&gt;=$F167,BL$5&lt;=$G167),6,"")</f>
        <v/>
      </c>
      <c r="BM167" s="34">
        <f>IF(AND(BM$5&gt;=$F167,BM$5&lt;=$G167),6,"")</f>
        <v/>
      </c>
      <c r="BN167" s="34">
        <f>IF(AND(BN$5&gt;=$F167,BN$5&lt;=$G167),6,"")</f>
        <v/>
      </c>
    </row>
    <row r="168" ht="14.25" customHeight="1" s="36">
      <c r="A168" s="13" t="inlineStr">
        <is>
          <t>6 Infraestructura física y sitios</t>
        </is>
      </c>
      <c r="B168" s="13" t="inlineStr">
        <is>
          <t>6.1.5</t>
        </is>
      </c>
      <c r="C168" s="13" t="inlineStr">
        <is>
          <t>Acta de recepción técnica de la sala</t>
        </is>
      </c>
      <c r="D168" s="13" t="inlineStr">
        <is>
          <t>T</t>
        </is>
      </c>
      <c r="E168" s="13" t="inlineStr">
        <is>
          <t>Operación / SRE</t>
        </is>
      </c>
      <c r="F168" s="13" t="n">
        <v>4</v>
      </c>
      <c r="G168" s="13" t="n">
        <v>4</v>
      </c>
      <c r="H168" s="13">
        <f>G168-F168+1</f>
        <v/>
      </c>
      <c r="I168" s="31" t="n">
        <v>160</v>
      </c>
      <c r="J168" s="13" t="inlineStr">
        <is>
          <t>Con entregable (actividades en hoja «Actividades hasta H2»)</t>
        </is>
      </c>
      <c r="K168" s="34">
        <f>IF(AND(K$5&gt;=$F168,K$5&lt;=$G168),6,"")</f>
        <v/>
      </c>
      <c r="L168" s="34">
        <f>IF(AND(L$5&gt;=$F168,L$5&lt;=$G168),6,"")</f>
        <v/>
      </c>
      <c r="M168" s="34">
        <f>IF(AND(M$5&gt;=$F168,M$5&lt;=$G168),6,"")</f>
        <v/>
      </c>
      <c r="N168" s="34">
        <f>IF(AND(N$5&gt;=$F168,N$5&lt;=$G168),6,"")</f>
        <v/>
      </c>
      <c r="O168" s="34">
        <f>IF(AND(O$5&gt;=$F168,O$5&lt;=$G168),6,"")</f>
        <v/>
      </c>
      <c r="P168" s="34">
        <f>IF(AND(P$5&gt;=$F168,P$5&lt;=$G168),6,"")</f>
        <v/>
      </c>
      <c r="Q168" s="34">
        <f>IF(AND(Q$5&gt;=$F168,Q$5&lt;=$G168),6,"")</f>
        <v/>
      </c>
      <c r="R168" s="34">
        <f>IF(AND(R$5&gt;=$F168,R$5&lt;=$G168),6,"")</f>
        <v/>
      </c>
      <c r="S168" s="34">
        <f>IF(AND(S$5&gt;=$F168,S$5&lt;=$G168),6,"")</f>
        <v/>
      </c>
      <c r="T168" s="34">
        <f>IF(AND(T$5&gt;=$F168,T$5&lt;=$G168),6,"")</f>
        <v/>
      </c>
      <c r="U168" s="34">
        <f>IF(AND(U$5&gt;=$F168,U$5&lt;=$G168),6,"")</f>
        <v/>
      </c>
      <c r="V168" s="34">
        <f>IF(AND(V$5&gt;=$F168,V$5&lt;=$G168),6,"")</f>
        <v/>
      </c>
      <c r="W168" s="34">
        <f>IF(AND(W$5&gt;=$F168,W$5&lt;=$G168),6,"")</f>
        <v/>
      </c>
      <c r="X168" s="34">
        <f>IF(AND(X$5&gt;=$F168,X$5&lt;=$G168),6,"")</f>
        <v/>
      </c>
      <c r="Y168" s="34">
        <f>IF(AND(Y$5&gt;=$F168,Y$5&lt;=$G168),6,"")</f>
        <v/>
      </c>
      <c r="Z168" s="34">
        <f>IF(AND(Z$5&gt;=$F168,Z$5&lt;=$G168),6,"")</f>
        <v/>
      </c>
      <c r="AA168" s="34">
        <f>IF(AND(AA$5&gt;=$F168,AA$5&lt;=$G168),6,"")</f>
        <v/>
      </c>
      <c r="AB168" s="34">
        <f>IF(AND(AB$5&gt;=$F168,AB$5&lt;=$G168),6,"")</f>
        <v/>
      </c>
      <c r="AC168" s="34">
        <f>IF(AND(AC$5&gt;=$F168,AC$5&lt;=$G168),6,"")</f>
        <v/>
      </c>
      <c r="AD168" s="34">
        <f>IF(AND(AD$5&gt;=$F168,AD$5&lt;=$G168),6,"")</f>
        <v/>
      </c>
      <c r="AE168" s="34">
        <f>IF(AND(AE$5&gt;=$F168,AE$5&lt;=$G168),6,"")</f>
        <v/>
      </c>
      <c r="AF168" s="34">
        <f>IF(AND(AF$5&gt;=$F168,AF$5&lt;=$G168),6,"")</f>
        <v/>
      </c>
      <c r="AG168" s="34">
        <f>IF(AND(AG$5&gt;=$F168,AG$5&lt;=$G168),6,"")</f>
        <v/>
      </c>
      <c r="AH168" s="34">
        <f>IF(AND(AH$5&gt;=$F168,AH$5&lt;=$G168),6,"")</f>
        <v/>
      </c>
      <c r="AI168" s="34">
        <f>IF(AND(AI$5&gt;=$F168,AI$5&lt;=$G168),6,"")</f>
        <v/>
      </c>
      <c r="AJ168" s="34">
        <f>IF(AND(AJ$5&gt;=$F168,AJ$5&lt;=$G168),6,"")</f>
        <v/>
      </c>
      <c r="AK168" s="34">
        <f>IF(AND(AK$5&gt;=$F168,AK$5&lt;=$G168),6,"")</f>
        <v/>
      </c>
      <c r="AL168" s="34">
        <f>IF(AND(AL$5&gt;=$F168,AL$5&lt;=$G168),6,"")</f>
        <v/>
      </c>
      <c r="AM168" s="34">
        <f>IF(AND(AM$5&gt;=$F168,AM$5&lt;=$G168),6,"")</f>
        <v/>
      </c>
      <c r="AN168" s="34">
        <f>IF(AND(AN$5&gt;=$F168,AN$5&lt;=$G168),6,"")</f>
        <v/>
      </c>
      <c r="AO168" s="34">
        <f>IF(AND(AO$5&gt;=$F168,AO$5&lt;=$G168),6,"")</f>
        <v/>
      </c>
      <c r="AP168" s="34">
        <f>IF(AND(AP$5&gt;=$F168,AP$5&lt;=$G168),6,"")</f>
        <v/>
      </c>
      <c r="AQ168" s="34">
        <f>IF(AND(AQ$5&gt;=$F168,AQ$5&lt;=$G168),6,"")</f>
        <v/>
      </c>
      <c r="AR168" s="34">
        <f>IF(AND(AR$5&gt;=$F168,AR$5&lt;=$G168),6,"")</f>
        <v/>
      </c>
      <c r="AS168" s="34">
        <f>IF(AND(AS$5&gt;=$F168,AS$5&lt;=$G168),6,"")</f>
        <v/>
      </c>
      <c r="AT168" s="34">
        <f>IF(AND(AT$5&gt;=$F168,AT$5&lt;=$G168),6,"")</f>
        <v/>
      </c>
      <c r="AU168" s="34">
        <f>IF(AND(AU$5&gt;=$F168,AU$5&lt;=$G168),6,"")</f>
        <v/>
      </c>
      <c r="AV168" s="34">
        <f>IF(AND(AV$5&gt;=$F168,AV$5&lt;=$G168),6,"")</f>
        <v/>
      </c>
      <c r="AW168" s="34">
        <f>IF(AND(AW$5&gt;=$F168,AW$5&lt;=$G168),6,"")</f>
        <v/>
      </c>
      <c r="AX168" s="34">
        <f>IF(AND(AX$5&gt;=$F168,AX$5&lt;=$G168),6,"")</f>
        <v/>
      </c>
      <c r="AY168" s="34">
        <f>IF(AND(AY$5&gt;=$F168,AY$5&lt;=$G168),6,"")</f>
        <v/>
      </c>
      <c r="AZ168" s="34">
        <f>IF(AND(AZ$5&gt;=$F168,AZ$5&lt;=$G168),6,"")</f>
        <v/>
      </c>
      <c r="BA168" s="34">
        <f>IF(AND(BA$5&gt;=$F168,BA$5&lt;=$G168),6,"")</f>
        <v/>
      </c>
      <c r="BB168" s="34">
        <f>IF(AND(BB$5&gt;=$F168,BB$5&lt;=$G168),6,"")</f>
        <v/>
      </c>
      <c r="BC168" s="34">
        <f>IF(AND(BC$5&gt;=$F168,BC$5&lt;=$G168),6,"")</f>
        <v/>
      </c>
      <c r="BD168" s="34">
        <f>IF(AND(BD$5&gt;=$F168,BD$5&lt;=$G168),6,"")</f>
        <v/>
      </c>
      <c r="BE168" s="34">
        <f>IF(AND(BE$5&gt;=$F168,BE$5&lt;=$G168),6,"")</f>
        <v/>
      </c>
      <c r="BF168" s="34">
        <f>IF(AND(BF$5&gt;=$F168,BF$5&lt;=$G168),6,"")</f>
        <v/>
      </c>
      <c r="BG168" s="34">
        <f>IF(AND(BG$5&gt;=$F168,BG$5&lt;=$G168),6,"")</f>
        <v/>
      </c>
      <c r="BH168" s="34">
        <f>IF(AND(BH$5&gt;=$F168,BH$5&lt;=$G168),6,"")</f>
        <v/>
      </c>
      <c r="BI168" s="34">
        <f>IF(AND(BI$5&gt;=$F168,BI$5&lt;=$G168),6,"")</f>
        <v/>
      </c>
      <c r="BJ168" s="34">
        <f>IF(AND(BJ$5&gt;=$F168,BJ$5&lt;=$G168),6,"")</f>
        <v/>
      </c>
      <c r="BK168" s="34">
        <f>IF(AND(BK$5&gt;=$F168,BK$5&lt;=$G168),6,"")</f>
        <v/>
      </c>
      <c r="BL168" s="34">
        <f>IF(AND(BL$5&gt;=$F168,BL$5&lt;=$G168),6,"")</f>
        <v/>
      </c>
      <c r="BM168" s="34">
        <f>IF(AND(BM$5&gt;=$F168,BM$5&lt;=$G168),6,"")</f>
        <v/>
      </c>
      <c r="BN168" s="34">
        <f>IF(AND(BN$5&gt;=$F168,BN$5&lt;=$G168),6,"")</f>
        <v/>
      </c>
    </row>
    <row r="169" ht="14.25" customHeight="1" s="36">
      <c r="A169" s="13" t="inlineStr">
        <is>
          <t>6 Infraestructura física y sitios</t>
        </is>
      </c>
      <c r="B169" s="13" t="inlineStr">
        <is>
          <t>6.2.1</t>
        </is>
      </c>
      <c r="C169" s="13" t="inlineStr">
        <is>
          <t>Cableado de cobre Cat6A y fibra OM4 tendido, con dos ductos de ingreso independientes</t>
        </is>
      </c>
      <c r="D169" s="13" t="inlineStr">
        <is>
          <t>T</t>
        </is>
      </c>
      <c r="E169" s="13" t="inlineStr">
        <is>
          <t>Operación / SRE</t>
        </is>
      </c>
      <c r="F169" s="13" t="n">
        <v>4</v>
      </c>
      <c r="G169" s="13" t="n">
        <v>4</v>
      </c>
      <c r="H169" s="13">
        <f>G169-F169+1</f>
        <v/>
      </c>
      <c r="I169" s="31" t="n">
        <v>160</v>
      </c>
      <c r="J169" s="13" t="inlineStr">
        <is>
          <t>Con entregable (actividades en hoja «Actividades hasta H2»)</t>
        </is>
      </c>
      <c r="K169" s="34">
        <f>IF(AND(K$5&gt;=$F169,K$5&lt;=$G169),6,"")</f>
        <v/>
      </c>
      <c r="L169" s="34">
        <f>IF(AND(L$5&gt;=$F169,L$5&lt;=$G169),6,"")</f>
        <v/>
      </c>
      <c r="M169" s="34">
        <f>IF(AND(M$5&gt;=$F169,M$5&lt;=$G169),6,"")</f>
        <v/>
      </c>
      <c r="N169" s="34">
        <f>IF(AND(N$5&gt;=$F169,N$5&lt;=$G169),6,"")</f>
        <v/>
      </c>
      <c r="O169" s="34">
        <f>IF(AND(O$5&gt;=$F169,O$5&lt;=$G169),6,"")</f>
        <v/>
      </c>
      <c r="P169" s="34">
        <f>IF(AND(P$5&gt;=$F169,P$5&lt;=$G169),6,"")</f>
        <v/>
      </c>
      <c r="Q169" s="34">
        <f>IF(AND(Q$5&gt;=$F169,Q$5&lt;=$G169),6,"")</f>
        <v/>
      </c>
      <c r="R169" s="34">
        <f>IF(AND(R$5&gt;=$F169,R$5&lt;=$G169),6,"")</f>
        <v/>
      </c>
      <c r="S169" s="34">
        <f>IF(AND(S$5&gt;=$F169,S$5&lt;=$G169),6,"")</f>
        <v/>
      </c>
      <c r="T169" s="34">
        <f>IF(AND(T$5&gt;=$F169,T$5&lt;=$G169),6,"")</f>
        <v/>
      </c>
      <c r="U169" s="34">
        <f>IF(AND(U$5&gt;=$F169,U$5&lt;=$G169),6,"")</f>
        <v/>
      </c>
      <c r="V169" s="34">
        <f>IF(AND(V$5&gt;=$F169,V$5&lt;=$G169),6,"")</f>
        <v/>
      </c>
      <c r="W169" s="34">
        <f>IF(AND(W$5&gt;=$F169,W$5&lt;=$G169),6,"")</f>
        <v/>
      </c>
      <c r="X169" s="34">
        <f>IF(AND(X$5&gt;=$F169,X$5&lt;=$G169),6,"")</f>
        <v/>
      </c>
      <c r="Y169" s="34">
        <f>IF(AND(Y$5&gt;=$F169,Y$5&lt;=$G169),6,"")</f>
        <v/>
      </c>
      <c r="Z169" s="34">
        <f>IF(AND(Z$5&gt;=$F169,Z$5&lt;=$G169),6,"")</f>
        <v/>
      </c>
      <c r="AA169" s="34">
        <f>IF(AND(AA$5&gt;=$F169,AA$5&lt;=$G169),6,"")</f>
        <v/>
      </c>
      <c r="AB169" s="34">
        <f>IF(AND(AB$5&gt;=$F169,AB$5&lt;=$G169),6,"")</f>
        <v/>
      </c>
      <c r="AC169" s="34">
        <f>IF(AND(AC$5&gt;=$F169,AC$5&lt;=$G169),6,"")</f>
        <v/>
      </c>
      <c r="AD169" s="34">
        <f>IF(AND(AD$5&gt;=$F169,AD$5&lt;=$G169),6,"")</f>
        <v/>
      </c>
      <c r="AE169" s="34">
        <f>IF(AND(AE$5&gt;=$F169,AE$5&lt;=$G169),6,"")</f>
        <v/>
      </c>
      <c r="AF169" s="34">
        <f>IF(AND(AF$5&gt;=$F169,AF$5&lt;=$G169),6,"")</f>
        <v/>
      </c>
      <c r="AG169" s="34">
        <f>IF(AND(AG$5&gt;=$F169,AG$5&lt;=$G169),6,"")</f>
        <v/>
      </c>
      <c r="AH169" s="34">
        <f>IF(AND(AH$5&gt;=$F169,AH$5&lt;=$G169),6,"")</f>
        <v/>
      </c>
      <c r="AI169" s="34">
        <f>IF(AND(AI$5&gt;=$F169,AI$5&lt;=$G169),6,"")</f>
        <v/>
      </c>
      <c r="AJ169" s="34">
        <f>IF(AND(AJ$5&gt;=$F169,AJ$5&lt;=$G169),6,"")</f>
        <v/>
      </c>
      <c r="AK169" s="34">
        <f>IF(AND(AK$5&gt;=$F169,AK$5&lt;=$G169),6,"")</f>
        <v/>
      </c>
      <c r="AL169" s="34">
        <f>IF(AND(AL$5&gt;=$F169,AL$5&lt;=$G169),6,"")</f>
        <v/>
      </c>
      <c r="AM169" s="34">
        <f>IF(AND(AM$5&gt;=$F169,AM$5&lt;=$G169),6,"")</f>
        <v/>
      </c>
      <c r="AN169" s="34">
        <f>IF(AND(AN$5&gt;=$F169,AN$5&lt;=$G169),6,"")</f>
        <v/>
      </c>
      <c r="AO169" s="34">
        <f>IF(AND(AO$5&gt;=$F169,AO$5&lt;=$G169),6,"")</f>
        <v/>
      </c>
      <c r="AP169" s="34">
        <f>IF(AND(AP$5&gt;=$F169,AP$5&lt;=$G169),6,"")</f>
        <v/>
      </c>
      <c r="AQ169" s="34">
        <f>IF(AND(AQ$5&gt;=$F169,AQ$5&lt;=$G169),6,"")</f>
        <v/>
      </c>
      <c r="AR169" s="34">
        <f>IF(AND(AR$5&gt;=$F169,AR$5&lt;=$G169),6,"")</f>
        <v/>
      </c>
      <c r="AS169" s="34">
        <f>IF(AND(AS$5&gt;=$F169,AS$5&lt;=$G169),6,"")</f>
        <v/>
      </c>
      <c r="AT169" s="34">
        <f>IF(AND(AT$5&gt;=$F169,AT$5&lt;=$G169),6,"")</f>
        <v/>
      </c>
      <c r="AU169" s="34">
        <f>IF(AND(AU$5&gt;=$F169,AU$5&lt;=$G169),6,"")</f>
        <v/>
      </c>
      <c r="AV169" s="34">
        <f>IF(AND(AV$5&gt;=$F169,AV$5&lt;=$G169),6,"")</f>
        <v/>
      </c>
      <c r="AW169" s="34">
        <f>IF(AND(AW$5&gt;=$F169,AW$5&lt;=$G169),6,"")</f>
        <v/>
      </c>
      <c r="AX169" s="34">
        <f>IF(AND(AX$5&gt;=$F169,AX$5&lt;=$G169),6,"")</f>
        <v/>
      </c>
      <c r="AY169" s="34">
        <f>IF(AND(AY$5&gt;=$F169,AY$5&lt;=$G169),6,"")</f>
        <v/>
      </c>
      <c r="AZ169" s="34">
        <f>IF(AND(AZ$5&gt;=$F169,AZ$5&lt;=$G169),6,"")</f>
        <v/>
      </c>
      <c r="BA169" s="34">
        <f>IF(AND(BA$5&gt;=$F169,BA$5&lt;=$G169),6,"")</f>
        <v/>
      </c>
      <c r="BB169" s="34">
        <f>IF(AND(BB$5&gt;=$F169,BB$5&lt;=$G169),6,"")</f>
        <v/>
      </c>
      <c r="BC169" s="34">
        <f>IF(AND(BC$5&gt;=$F169,BC$5&lt;=$G169),6,"")</f>
        <v/>
      </c>
      <c r="BD169" s="34">
        <f>IF(AND(BD$5&gt;=$F169,BD$5&lt;=$G169),6,"")</f>
        <v/>
      </c>
      <c r="BE169" s="34">
        <f>IF(AND(BE$5&gt;=$F169,BE$5&lt;=$G169),6,"")</f>
        <v/>
      </c>
      <c r="BF169" s="34">
        <f>IF(AND(BF$5&gt;=$F169,BF$5&lt;=$G169),6,"")</f>
        <v/>
      </c>
      <c r="BG169" s="34">
        <f>IF(AND(BG$5&gt;=$F169,BG$5&lt;=$G169),6,"")</f>
        <v/>
      </c>
      <c r="BH169" s="34">
        <f>IF(AND(BH$5&gt;=$F169,BH$5&lt;=$G169),6,"")</f>
        <v/>
      </c>
      <c r="BI169" s="34">
        <f>IF(AND(BI$5&gt;=$F169,BI$5&lt;=$G169),6,"")</f>
        <v/>
      </c>
      <c r="BJ169" s="34">
        <f>IF(AND(BJ$5&gt;=$F169,BJ$5&lt;=$G169),6,"")</f>
        <v/>
      </c>
      <c r="BK169" s="34">
        <f>IF(AND(BK$5&gt;=$F169,BK$5&lt;=$G169),6,"")</f>
        <v/>
      </c>
      <c r="BL169" s="34">
        <f>IF(AND(BL$5&gt;=$F169,BL$5&lt;=$G169),6,"")</f>
        <v/>
      </c>
      <c r="BM169" s="34">
        <f>IF(AND(BM$5&gt;=$F169,BM$5&lt;=$G169),6,"")</f>
        <v/>
      </c>
      <c r="BN169" s="34">
        <f>IF(AND(BN$5&gt;=$F169,BN$5&lt;=$G169),6,"")</f>
        <v/>
      </c>
    </row>
    <row r="170" ht="14.25" customHeight="1" s="36">
      <c r="A170" s="13" t="inlineStr">
        <is>
          <t>6 Infraestructura física y sitios</t>
        </is>
      </c>
      <c r="B170" s="13" t="inlineStr">
        <is>
          <t>6.2.2</t>
        </is>
      </c>
      <c r="C170" s="13" t="inlineStr">
        <is>
          <t>Certificación de enlaces, etiquetado y planos as-built</t>
        </is>
      </c>
      <c r="D170" s="13" t="inlineStr">
        <is>
          <t>T</t>
        </is>
      </c>
      <c r="E170" s="13" t="inlineStr">
        <is>
          <t>Operación / SRE</t>
        </is>
      </c>
      <c r="F170" s="13" t="n">
        <v>6</v>
      </c>
      <c r="G170" s="13" t="n">
        <v>6</v>
      </c>
      <c r="H170" s="13">
        <f>G170-F170+1</f>
        <v/>
      </c>
      <c r="I170" s="31" t="n">
        <v>160</v>
      </c>
      <c r="J170" s="13" t="inlineStr">
        <is>
          <t>Con entregable (detalle por planificación gradual)</t>
        </is>
      </c>
      <c r="K170" s="34">
        <f>IF(AND(K$5&gt;=$F170,K$5&lt;=$G170),6,"")</f>
        <v/>
      </c>
      <c r="L170" s="34">
        <f>IF(AND(L$5&gt;=$F170,L$5&lt;=$G170),6,"")</f>
        <v/>
      </c>
      <c r="M170" s="34">
        <f>IF(AND(M$5&gt;=$F170,M$5&lt;=$G170),6,"")</f>
        <v/>
      </c>
      <c r="N170" s="34">
        <f>IF(AND(N$5&gt;=$F170,N$5&lt;=$G170),6,"")</f>
        <v/>
      </c>
      <c r="O170" s="34">
        <f>IF(AND(O$5&gt;=$F170,O$5&lt;=$G170),6,"")</f>
        <v/>
      </c>
      <c r="P170" s="34">
        <f>IF(AND(P$5&gt;=$F170,P$5&lt;=$G170),6,"")</f>
        <v/>
      </c>
      <c r="Q170" s="34">
        <f>IF(AND(Q$5&gt;=$F170,Q$5&lt;=$G170),6,"")</f>
        <v/>
      </c>
      <c r="R170" s="34">
        <f>IF(AND(R$5&gt;=$F170,R$5&lt;=$G170),6,"")</f>
        <v/>
      </c>
      <c r="S170" s="34">
        <f>IF(AND(S$5&gt;=$F170,S$5&lt;=$G170),6,"")</f>
        <v/>
      </c>
      <c r="T170" s="34">
        <f>IF(AND(T$5&gt;=$F170,T$5&lt;=$G170),6,"")</f>
        <v/>
      </c>
      <c r="U170" s="34">
        <f>IF(AND(U$5&gt;=$F170,U$5&lt;=$G170),6,"")</f>
        <v/>
      </c>
      <c r="V170" s="34">
        <f>IF(AND(V$5&gt;=$F170,V$5&lt;=$G170),6,"")</f>
        <v/>
      </c>
      <c r="W170" s="34">
        <f>IF(AND(W$5&gt;=$F170,W$5&lt;=$G170),6,"")</f>
        <v/>
      </c>
      <c r="X170" s="34">
        <f>IF(AND(X$5&gt;=$F170,X$5&lt;=$G170),6,"")</f>
        <v/>
      </c>
      <c r="Y170" s="34">
        <f>IF(AND(Y$5&gt;=$F170,Y$5&lt;=$G170),6,"")</f>
        <v/>
      </c>
      <c r="Z170" s="34">
        <f>IF(AND(Z$5&gt;=$F170,Z$5&lt;=$G170),6,"")</f>
        <v/>
      </c>
      <c r="AA170" s="34">
        <f>IF(AND(AA$5&gt;=$F170,AA$5&lt;=$G170),6,"")</f>
        <v/>
      </c>
      <c r="AB170" s="34">
        <f>IF(AND(AB$5&gt;=$F170,AB$5&lt;=$G170),6,"")</f>
        <v/>
      </c>
      <c r="AC170" s="34">
        <f>IF(AND(AC$5&gt;=$F170,AC$5&lt;=$G170),6,"")</f>
        <v/>
      </c>
      <c r="AD170" s="34">
        <f>IF(AND(AD$5&gt;=$F170,AD$5&lt;=$G170),6,"")</f>
        <v/>
      </c>
      <c r="AE170" s="34">
        <f>IF(AND(AE$5&gt;=$F170,AE$5&lt;=$G170),6,"")</f>
        <v/>
      </c>
      <c r="AF170" s="34">
        <f>IF(AND(AF$5&gt;=$F170,AF$5&lt;=$G170),6,"")</f>
        <v/>
      </c>
      <c r="AG170" s="34">
        <f>IF(AND(AG$5&gt;=$F170,AG$5&lt;=$G170),6,"")</f>
        <v/>
      </c>
      <c r="AH170" s="34">
        <f>IF(AND(AH$5&gt;=$F170,AH$5&lt;=$G170),6,"")</f>
        <v/>
      </c>
      <c r="AI170" s="34">
        <f>IF(AND(AI$5&gt;=$F170,AI$5&lt;=$G170),6,"")</f>
        <v/>
      </c>
      <c r="AJ170" s="34">
        <f>IF(AND(AJ$5&gt;=$F170,AJ$5&lt;=$G170),6,"")</f>
        <v/>
      </c>
      <c r="AK170" s="34">
        <f>IF(AND(AK$5&gt;=$F170,AK$5&lt;=$G170),6,"")</f>
        <v/>
      </c>
      <c r="AL170" s="34">
        <f>IF(AND(AL$5&gt;=$F170,AL$5&lt;=$G170),6,"")</f>
        <v/>
      </c>
      <c r="AM170" s="34">
        <f>IF(AND(AM$5&gt;=$F170,AM$5&lt;=$G170),6,"")</f>
        <v/>
      </c>
      <c r="AN170" s="34">
        <f>IF(AND(AN$5&gt;=$F170,AN$5&lt;=$G170),6,"")</f>
        <v/>
      </c>
      <c r="AO170" s="34">
        <f>IF(AND(AO$5&gt;=$F170,AO$5&lt;=$G170),6,"")</f>
        <v/>
      </c>
      <c r="AP170" s="34">
        <f>IF(AND(AP$5&gt;=$F170,AP$5&lt;=$G170),6,"")</f>
        <v/>
      </c>
      <c r="AQ170" s="34">
        <f>IF(AND(AQ$5&gt;=$F170,AQ$5&lt;=$G170),6,"")</f>
        <v/>
      </c>
      <c r="AR170" s="34">
        <f>IF(AND(AR$5&gt;=$F170,AR$5&lt;=$G170),6,"")</f>
        <v/>
      </c>
      <c r="AS170" s="34">
        <f>IF(AND(AS$5&gt;=$F170,AS$5&lt;=$G170),6,"")</f>
        <v/>
      </c>
      <c r="AT170" s="34">
        <f>IF(AND(AT$5&gt;=$F170,AT$5&lt;=$G170),6,"")</f>
        <v/>
      </c>
      <c r="AU170" s="34">
        <f>IF(AND(AU$5&gt;=$F170,AU$5&lt;=$G170),6,"")</f>
        <v/>
      </c>
      <c r="AV170" s="34">
        <f>IF(AND(AV$5&gt;=$F170,AV$5&lt;=$G170),6,"")</f>
        <v/>
      </c>
      <c r="AW170" s="34">
        <f>IF(AND(AW$5&gt;=$F170,AW$5&lt;=$G170),6,"")</f>
        <v/>
      </c>
      <c r="AX170" s="34">
        <f>IF(AND(AX$5&gt;=$F170,AX$5&lt;=$G170),6,"")</f>
        <v/>
      </c>
      <c r="AY170" s="34">
        <f>IF(AND(AY$5&gt;=$F170,AY$5&lt;=$G170),6,"")</f>
        <v/>
      </c>
      <c r="AZ170" s="34">
        <f>IF(AND(AZ$5&gt;=$F170,AZ$5&lt;=$G170),6,"")</f>
        <v/>
      </c>
      <c r="BA170" s="34">
        <f>IF(AND(BA$5&gt;=$F170,BA$5&lt;=$G170),6,"")</f>
        <v/>
      </c>
      <c r="BB170" s="34">
        <f>IF(AND(BB$5&gt;=$F170,BB$5&lt;=$G170),6,"")</f>
        <v/>
      </c>
      <c r="BC170" s="34">
        <f>IF(AND(BC$5&gt;=$F170,BC$5&lt;=$G170),6,"")</f>
        <v/>
      </c>
      <c r="BD170" s="34">
        <f>IF(AND(BD$5&gt;=$F170,BD$5&lt;=$G170),6,"")</f>
        <v/>
      </c>
      <c r="BE170" s="34">
        <f>IF(AND(BE$5&gt;=$F170,BE$5&lt;=$G170),6,"")</f>
        <v/>
      </c>
      <c r="BF170" s="34">
        <f>IF(AND(BF$5&gt;=$F170,BF$5&lt;=$G170),6,"")</f>
        <v/>
      </c>
      <c r="BG170" s="34">
        <f>IF(AND(BG$5&gt;=$F170,BG$5&lt;=$G170),6,"")</f>
        <v/>
      </c>
      <c r="BH170" s="34">
        <f>IF(AND(BH$5&gt;=$F170,BH$5&lt;=$G170),6,"")</f>
        <v/>
      </c>
      <c r="BI170" s="34">
        <f>IF(AND(BI$5&gt;=$F170,BI$5&lt;=$G170),6,"")</f>
        <v/>
      </c>
      <c r="BJ170" s="34">
        <f>IF(AND(BJ$5&gt;=$F170,BJ$5&lt;=$G170),6,"")</f>
        <v/>
      </c>
      <c r="BK170" s="34">
        <f>IF(AND(BK$5&gt;=$F170,BK$5&lt;=$G170),6,"")</f>
        <v/>
      </c>
      <c r="BL170" s="34">
        <f>IF(AND(BL$5&gt;=$F170,BL$5&lt;=$G170),6,"")</f>
        <v/>
      </c>
      <c r="BM170" s="34">
        <f>IF(AND(BM$5&gt;=$F170,BM$5&lt;=$G170),6,"")</f>
        <v/>
      </c>
      <c r="BN170" s="34">
        <f>IF(AND(BN$5&gt;=$F170,BN$5&lt;=$G170),6,"")</f>
        <v/>
      </c>
    </row>
    <row r="171" ht="14.25" customHeight="1" s="36">
      <c r="A171" s="13" t="inlineStr">
        <is>
          <t>6 Infraestructura física y sitios</t>
        </is>
      </c>
      <c r="B171" s="13" t="inlineStr">
        <is>
          <t>6.2.3</t>
        </is>
      </c>
      <c r="C171" s="13" t="inlineStr">
        <is>
          <t>Gabinetes de piso y switches de acceso instalados en las bodegas de Talca y Concepción</t>
        </is>
      </c>
      <c r="D171" s="13" t="inlineStr">
        <is>
          <t>T</t>
        </is>
      </c>
      <c r="E171" s="13" t="inlineStr">
        <is>
          <t>Operación / SRE</t>
        </is>
      </c>
      <c r="F171" s="13" t="n">
        <v>7</v>
      </c>
      <c r="G171" s="13" t="n">
        <v>7</v>
      </c>
      <c r="H171" s="13">
        <f>G171-F171+1</f>
        <v/>
      </c>
      <c r="I171" s="31" t="n">
        <v>160</v>
      </c>
      <c r="J171" s="13" t="inlineStr">
        <is>
          <t>Con entregable (detalle por planificación gradual)</t>
        </is>
      </c>
      <c r="K171" s="34">
        <f>IF(AND(K$5&gt;=$F171,K$5&lt;=$G171),6,"")</f>
        <v/>
      </c>
      <c r="L171" s="34">
        <f>IF(AND(L$5&gt;=$F171,L$5&lt;=$G171),6,"")</f>
        <v/>
      </c>
      <c r="M171" s="34">
        <f>IF(AND(M$5&gt;=$F171,M$5&lt;=$G171),6,"")</f>
        <v/>
      </c>
      <c r="N171" s="34">
        <f>IF(AND(N$5&gt;=$F171,N$5&lt;=$G171),6,"")</f>
        <v/>
      </c>
      <c r="O171" s="34">
        <f>IF(AND(O$5&gt;=$F171,O$5&lt;=$G171),6,"")</f>
        <v/>
      </c>
      <c r="P171" s="34">
        <f>IF(AND(P$5&gt;=$F171,P$5&lt;=$G171),6,"")</f>
        <v/>
      </c>
      <c r="Q171" s="34">
        <f>IF(AND(Q$5&gt;=$F171,Q$5&lt;=$G171),6,"")</f>
        <v/>
      </c>
      <c r="R171" s="34">
        <f>IF(AND(R$5&gt;=$F171,R$5&lt;=$G171),6,"")</f>
        <v/>
      </c>
      <c r="S171" s="34">
        <f>IF(AND(S$5&gt;=$F171,S$5&lt;=$G171),6,"")</f>
        <v/>
      </c>
      <c r="T171" s="34">
        <f>IF(AND(T$5&gt;=$F171,T$5&lt;=$G171),6,"")</f>
        <v/>
      </c>
      <c r="U171" s="34">
        <f>IF(AND(U$5&gt;=$F171,U$5&lt;=$G171),6,"")</f>
        <v/>
      </c>
      <c r="V171" s="34">
        <f>IF(AND(V$5&gt;=$F171,V$5&lt;=$G171),6,"")</f>
        <v/>
      </c>
      <c r="W171" s="34">
        <f>IF(AND(W$5&gt;=$F171,W$5&lt;=$G171),6,"")</f>
        <v/>
      </c>
      <c r="X171" s="34">
        <f>IF(AND(X$5&gt;=$F171,X$5&lt;=$G171),6,"")</f>
        <v/>
      </c>
      <c r="Y171" s="34">
        <f>IF(AND(Y$5&gt;=$F171,Y$5&lt;=$G171),6,"")</f>
        <v/>
      </c>
      <c r="Z171" s="34">
        <f>IF(AND(Z$5&gt;=$F171,Z$5&lt;=$G171),6,"")</f>
        <v/>
      </c>
      <c r="AA171" s="34">
        <f>IF(AND(AA$5&gt;=$F171,AA$5&lt;=$G171),6,"")</f>
        <v/>
      </c>
      <c r="AB171" s="34">
        <f>IF(AND(AB$5&gt;=$F171,AB$5&lt;=$G171),6,"")</f>
        <v/>
      </c>
      <c r="AC171" s="34">
        <f>IF(AND(AC$5&gt;=$F171,AC$5&lt;=$G171),6,"")</f>
        <v/>
      </c>
      <c r="AD171" s="34">
        <f>IF(AND(AD$5&gt;=$F171,AD$5&lt;=$G171),6,"")</f>
        <v/>
      </c>
      <c r="AE171" s="34">
        <f>IF(AND(AE$5&gt;=$F171,AE$5&lt;=$G171),6,"")</f>
        <v/>
      </c>
      <c r="AF171" s="34">
        <f>IF(AND(AF$5&gt;=$F171,AF$5&lt;=$G171),6,"")</f>
        <v/>
      </c>
      <c r="AG171" s="34">
        <f>IF(AND(AG$5&gt;=$F171,AG$5&lt;=$G171),6,"")</f>
        <v/>
      </c>
      <c r="AH171" s="34">
        <f>IF(AND(AH$5&gt;=$F171,AH$5&lt;=$G171),6,"")</f>
        <v/>
      </c>
      <c r="AI171" s="34">
        <f>IF(AND(AI$5&gt;=$F171,AI$5&lt;=$G171),6,"")</f>
        <v/>
      </c>
      <c r="AJ171" s="34">
        <f>IF(AND(AJ$5&gt;=$F171,AJ$5&lt;=$G171),6,"")</f>
        <v/>
      </c>
      <c r="AK171" s="34">
        <f>IF(AND(AK$5&gt;=$F171,AK$5&lt;=$G171),6,"")</f>
        <v/>
      </c>
      <c r="AL171" s="34">
        <f>IF(AND(AL$5&gt;=$F171,AL$5&lt;=$G171),6,"")</f>
        <v/>
      </c>
      <c r="AM171" s="34">
        <f>IF(AND(AM$5&gt;=$F171,AM$5&lt;=$G171),6,"")</f>
        <v/>
      </c>
      <c r="AN171" s="34">
        <f>IF(AND(AN$5&gt;=$F171,AN$5&lt;=$G171),6,"")</f>
        <v/>
      </c>
      <c r="AO171" s="34">
        <f>IF(AND(AO$5&gt;=$F171,AO$5&lt;=$G171),6,"")</f>
        <v/>
      </c>
      <c r="AP171" s="34">
        <f>IF(AND(AP$5&gt;=$F171,AP$5&lt;=$G171),6,"")</f>
        <v/>
      </c>
      <c r="AQ171" s="34">
        <f>IF(AND(AQ$5&gt;=$F171,AQ$5&lt;=$G171),6,"")</f>
        <v/>
      </c>
      <c r="AR171" s="34">
        <f>IF(AND(AR$5&gt;=$F171,AR$5&lt;=$G171),6,"")</f>
        <v/>
      </c>
      <c r="AS171" s="34">
        <f>IF(AND(AS$5&gt;=$F171,AS$5&lt;=$G171),6,"")</f>
        <v/>
      </c>
      <c r="AT171" s="34">
        <f>IF(AND(AT$5&gt;=$F171,AT$5&lt;=$G171),6,"")</f>
        <v/>
      </c>
      <c r="AU171" s="34">
        <f>IF(AND(AU$5&gt;=$F171,AU$5&lt;=$G171),6,"")</f>
        <v/>
      </c>
      <c r="AV171" s="34">
        <f>IF(AND(AV$5&gt;=$F171,AV$5&lt;=$G171),6,"")</f>
        <v/>
      </c>
      <c r="AW171" s="34">
        <f>IF(AND(AW$5&gt;=$F171,AW$5&lt;=$G171),6,"")</f>
        <v/>
      </c>
      <c r="AX171" s="34">
        <f>IF(AND(AX$5&gt;=$F171,AX$5&lt;=$G171),6,"")</f>
        <v/>
      </c>
      <c r="AY171" s="34">
        <f>IF(AND(AY$5&gt;=$F171,AY$5&lt;=$G171),6,"")</f>
        <v/>
      </c>
      <c r="AZ171" s="34">
        <f>IF(AND(AZ$5&gt;=$F171,AZ$5&lt;=$G171),6,"")</f>
        <v/>
      </c>
      <c r="BA171" s="34">
        <f>IF(AND(BA$5&gt;=$F171,BA$5&lt;=$G171),6,"")</f>
        <v/>
      </c>
      <c r="BB171" s="34">
        <f>IF(AND(BB$5&gt;=$F171,BB$5&lt;=$G171),6,"")</f>
        <v/>
      </c>
      <c r="BC171" s="34">
        <f>IF(AND(BC$5&gt;=$F171,BC$5&lt;=$G171),6,"")</f>
        <v/>
      </c>
      <c r="BD171" s="34">
        <f>IF(AND(BD$5&gt;=$F171,BD$5&lt;=$G171),6,"")</f>
        <v/>
      </c>
      <c r="BE171" s="34">
        <f>IF(AND(BE$5&gt;=$F171,BE$5&lt;=$G171),6,"")</f>
        <v/>
      </c>
      <c r="BF171" s="34">
        <f>IF(AND(BF$5&gt;=$F171,BF$5&lt;=$G171),6,"")</f>
        <v/>
      </c>
      <c r="BG171" s="34">
        <f>IF(AND(BG$5&gt;=$F171,BG$5&lt;=$G171),6,"")</f>
        <v/>
      </c>
      <c r="BH171" s="34">
        <f>IF(AND(BH$5&gt;=$F171,BH$5&lt;=$G171),6,"")</f>
        <v/>
      </c>
      <c r="BI171" s="34">
        <f>IF(AND(BI$5&gt;=$F171,BI$5&lt;=$G171),6,"")</f>
        <v/>
      </c>
      <c r="BJ171" s="34">
        <f>IF(AND(BJ$5&gt;=$F171,BJ$5&lt;=$G171),6,"")</f>
        <v/>
      </c>
      <c r="BK171" s="34">
        <f>IF(AND(BK$5&gt;=$F171,BK$5&lt;=$G171),6,"")</f>
        <v/>
      </c>
      <c r="BL171" s="34">
        <f>IF(AND(BL$5&gt;=$F171,BL$5&lt;=$G171),6,"")</f>
        <v/>
      </c>
      <c r="BM171" s="34">
        <f>IF(AND(BM$5&gt;=$F171,BM$5&lt;=$G171),6,"")</f>
        <v/>
      </c>
      <c r="BN171" s="34">
        <f>IF(AND(BN$5&gt;=$F171,BN$5&lt;=$G171),6,"")</f>
        <v/>
      </c>
    </row>
    <row r="172" ht="14.25" customHeight="1" s="36">
      <c r="A172" s="13" t="inlineStr">
        <is>
          <t>6 Infraestructura física y sitios</t>
        </is>
      </c>
      <c r="B172" s="13" t="inlineStr">
        <is>
          <t>6.3.1</t>
        </is>
      </c>
      <c r="C172" s="13" t="inlineStr">
        <is>
          <t>Rack R01 de servidores montado: clúster de tres nodos, respaldo local y consola KVM</t>
        </is>
      </c>
      <c r="D172" s="13" t="inlineStr">
        <is>
          <t>T</t>
        </is>
      </c>
      <c r="E172" s="13" t="inlineStr">
        <is>
          <t>Operación / SRE</t>
        </is>
      </c>
      <c r="F172" s="13" t="n">
        <v>4</v>
      </c>
      <c r="G172" s="13" t="n">
        <v>5</v>
      </c>
      <c r="H172" s="13">
        <f>G172-F172+1</f>
        <v/>
      </c>
      <c r="I172" s="31" t="n">
        <v>160</v>
      </c>
      <c r="J172" s="13" t="inlineStr">
        <is>
          <t>Con entregable (detalle por planificación gradual)</t>
        </is>
      </c>
      <c r="K172" s="34">
        <f>IF(AND(K$5&gt;=$F172,K$5&lt;=$G172),6,"")</f>
        <v/>
      </c>
      <c r="L172" s="34">
        <f>IF(AND(L$5&gt;=$F172,L$5&lt;=$G172),6,"")</f>
        <v/>
      </c>
      <c r="M172" s="34">
        <f>IF(AND(M$5&gt;=$F172,M$5&lt;=$G172),6,"")</f>
        <v/>
      </c>
      <c r="N172" s="34">
        <f>IF(AND(N$5&gt;=$F172,N$5&lt;=$G172),6,"")</f>
        <v/>
      </c>
      <c r="O172" s="34">
        <f>IF(AND(O$5&gt;=$F172,O$5&lt;=$G172),6,"")</f>
        <v/>
      </c>
      <c r="P172" s="34">
        <f>IF(AND(P$5&gt;=$F172,P$5&lt;=$G172),6,"")</f>
        <v/>
      </c>
      <c r="Q172" s="34">
        <f>IF(AND(Q$5&gt;=$F172,Q$5&lt;=$G172),6,"")</f>
        <v/>
      </c>
      <c r="R172" s="34">
        <f>IF(AND(R$5&gt;=$F172,R$5&lt;=$G172),6,"")</f>
        <v/>
      </c>
      <c r="S172" s="34">
        <f>IF(AND(S$5&gt;=$F172,S$5&lt;=$G172),6,"")</f>
        <v/>
      </c>
      <c r="T172" s="34">
        <f>IF(AND(T$5&gt;=$F172,T$5&lt;=$G172),6,"")</f>
        <v/>
      </c>
      <c r="U172" s="34">
        <f>IF(AND(U$5&gt;=$F172,U$5&lt;=$G172),6,"")</f>
        <v/>
      </c>
      <c r="V172" s="34">
        <f>IF(AND(V$5&gt;=$F172,V$5&lt;=$G172),6,"")</f>
        <v/>
      </c>
      <c r="W172" s="34">
        <f>IF(AND(W$5&gt;=$F172,W$5&lt;=$G172),6,"")</f>
        <v/>
      </c>
      <c r="X172" s="34">
        <f>IF(AND(X$5&gt;=$F172,X$5&lt;=$G172),6,"")</f>
        <v/>
      </c>
      <c r="Y172" s="34">
        <f>IF(AND(Y$5&gt;=$F172,Y$5&lt;=$G172),6,"")</f>
        <v/>
      </c>
      <c r="Z172" s="34">
        <f>IF(AND(Z$5&gt;=$F172,Z$5&lt;=$G172),6,"")</f>
        <v/>
      </c>
      <c r="AA172" s="34">
        <f>IF(AND(AA$5&gt;=$F172,AA$5&lt;=$G172),6,"")</f>
        <v/>
      </c>
      <c r="AB172" s="34">
        <f>IF(AND(AB$5&gt;=$F172,AB$5&lt;=$G172),6,"")</f>
        <v/>
      </c>
      <c r="AC172" s="34">
        <f>IF(AND(AC$5&gt;=$F172,AC$5&lt;=$G172),6,"")</f>
        <v/>
      </c>
      <c r="AD172" s="34">
        <f>IF(AND(AD$5&gt;=$F172,AD$5&lt;=$G172),6,"")</f>
        <v/>
      </c>
      <c r="AE172" s="34">
        <f>IF(AND(AE$5&gt;=$F172,AE$5&lt;=$G172),6,"")</f>
        <v/>
      </c>
      <c r="AF172" s="34">
        <f>IF(AND(AF$5&gt;=$F172,AF$5&lt;=$G172),6,"")</f>
        <v/>
      </c>
      <c r="AG172" s="34">
        <f>IF(AND(AG$5&gt;=$F172,AG$5&lt;=$G172),6,"")</f>
        <v/>
      </c>
      <c r="AH172" s="34">
        <f>IF(AND(AH$5&gt;=$F172,AH$5&lt;=$G172),6,"")</f>
        <v/>
      </c>
      <c r="AI172" s="34">
        <f>IF(AND(AI$5&gt;=$F172,AI$5&lt;=$G172),6,"")</f>
        <v/>
      </c>
      <c r="AJ172" s="34">
        <f>IF(AND(AJ$5&gt;=$F172,AJ$5&lt;=$G172),6,"")</f>
        <v/>
      </c>
      <c r="AK172" s="34">
        <f>IF(AND(AK$5&gt;=$F172,AK$5&lt;=$G172),6,"")</f>
        <v/>
      </c>
      <c r="AL172" s="34">
        <f>IF(AND(AL$5&gt;=$F172,AL$5&lt;=$G172),6,"")</f>
        <v/>
      </c>
      <c r="AM172" s="34">
        <f>IF(AND(AM$5&gt;=$F172,AM$5&lt;=$G172),6,"")</f>
        <v/>
      </c>
      <c r="AN172" s="34">
        <f>IF(AND(AN$5&gt;=$F172,AN$5&lt;=$G172),6,"")</f>
        <v/>
      </c>
      <c r="AO172" s="34">
        <f>IF(AND(AO$5&gt;=$F172,AO$5&lt;=$G172),6,"")</f>
        <v/>
      </c>
      <c r="AP172" s="34">
        <f>IF(AND(AP$5&gt;=$F172,AP$5&lt;=$G172),6,"")</f>
        <v/>
      </c>
      <c r="AQ172" s="34">
        <f>IF(AND(AQ$5&gt;=$F172,AQ$5&lt;=$G172),6,"")</f>
        <v/>
      </c>
      <c r="AR172" s="34">
        <f>IF(AND(AR$5&gt;=$F172,AR$5&lt;=$G172),6,"")</f>
        <v/>
      </c>
      <c r="AS172" s="34">
        <f>IF(AND(AS$5&gt;=$F172,AS$5&lt;=$G172),6,"")</f>
        <v/>
      </c>
      <c r="AT172" s="34">
        <f>IF(AND(AT$5&gt;=$F172,AT$5&lt;=$G172),6,"")</f>
        <v/>
      </c>
      <c r="AU172" s="34">
        <f>IF(AND(AU$5&gt;=$F172,AU$5&lt;=$G172),6,"")</f>
        <v/>
      </c>
      <c r="AV172" s="34">
        <f>IF(AND(AV$5&gt;=$F172,AV$5&lt;=$G172),6,"")</f>
        <v/>
      </c>
      <c r="AW172" s="34">
        <f>IF(AND(AW$5&gt;=$F172,AW$5&lt;=$G172),6,"")</f>
        <v/>
      </c>
      <c r="AX172" s="34">
        <f>IF(AND(AX$5&gt;=$F172,AX$5&lt;=$G172),6,"")</f>
        <v/>
      </c>
      <c r="AY172" s="34">
        <f>IF(AND(AY$5&gt;=$F172,AY$5&lt;=$G172),6,"")</f>
        <v/>
      </c>
      <c r="AZ172" s="34">
        <f>IF(AND(AZ$5&gt;=$F172,AZ$5&lt;=$G172),6,"")</f>
        <v/>
      </c>
      <c r="BA172" s="34">
        <f>IF(AND(BA$5&gt;=$F172,BA$5&lt;=$G172),6,"")</f>
        <v/>
      </c>
      <c r="BB172" s="34">
        <f>IF(AND(BB$5&gt;=$F172,BB$5&lt;=$G172),6,"")</f>
        <v/>
      </c>
      <c r="BC172" s="34">
        <f>IF(AND(BC$5&gt;=$F172,BC$5&lt;=$G172),6,"")</f>
        <v/>
      </c>
      <c r="BD172" s="34">
        <f>IF(AND(BD$5&gt;=$F172,BD$5&lt;=$G172),6,"")</f>
        <v/>
      </c>
      <c r="BE172" s="34">
        <f>IF(AND(BE$5&gt;=$F172,BE$5&lt;=$G172),6,"")</f>
        <v/>
      </c>
      <c r="BF172" s="34">
        <f>IF(AND(BF$5&gt;=$F172,BF$5&lt;=$G172),6,"")</f>
        <v/>
      </c>
      <c r="BG172" s="34">
        <f>IF(AND(BG$5&gt;=$F172,BG$5&lt;=$G172),6,"")</f>
        <v/>
      </c>
      <c r="BH172" s="34">
        <f>IF(AND(BH$5&gt;=$F172,BH$5&lt;=$G172),6,"")</f>
        <v/>
      </c>
      <c r="BI172" s="34">
        <f>IF(AND(BI$5&gt;=$F172,BI$5&lt;=$G172),6,"")</f>
        <v/>
      </c>
      <c r="BJ172" s="34">
        <f>IF(AND(BJ$5&gt;=$F172,BJ$5&lt;=$G172),6,"")</f>
        <v/>
      </c>
      <c r="BK172" s="34">
        <f>IF(AND(BK$5&gt;=$F172,BK$5&lt;=$G172),6,"")</f>
        <v/>
      </c>
      <c r="BL172" s="34">
        <f>IF(AND(BL$5&gt;=$F172,BL$5&lt;=$G172),6,"")</f>
        <v/>
      </c>
      <c r="BM172" s="34">
        <f>IF(AND(BM$5&gt;=$F172,BM$5&lt;=$G172),6,"")</f>
        <v/>
      </c>
      <c r="BN172" s="34">
        <f>IF(AND(BN$5&gt;=$F172,BN$5&lt;=$G172),6,"")</f>
        <v/>
      </c>
    </row>
    <row r="173" ht="14.25" customHeight="1" s="36">
      <c r="A173" s="13" t="inlineStr">
        <is>
          <t>6 Infraestructura física y sitios</t>
        </is>
      </c>
      <c r="B173" s="13" t="inlineStr">
        <is>
          <t>6.3.2</t>
        </is>
      </c>
      <c r="C173" s="13" t="inlineStr">
        <is>
          <t>Rack R02 de comunicaciones montado: firewalls, switches de núcleo y de gestión, y distribución de fibra</t>
        </is>
      </c>
      <c r="D173" s="13" t="inlineStr">
        <is>
          <t>T</t>
        </is>
      </c>
      <c r="E173" s="13" t="inlineStr">
        <is>
          <t>Operación / SRE</t>
        </is>
      </c>
      <c r="F173" s="13" t="n">
        <v>4</v>
      </c>
      <c r="G173" s="13" t="n">
        <v>5</v>
      </c>
      <c r="H173" s="13">
        <f>G173-F173+1</f>
        <v/>
      </c>
      <c r="I173" s="31" t="n">
        <v>160</v>
      </c>
      <c r="J173" s="13" t="inlineStr">
        <is>
          <t>Con entregable (detalle por planificación gradual)</t>
        </is>
      </c>
      <c r="K173" s="34">
        <f>IF(AND(K$5&gt;=$F173,K$5&lt;=$G173),6,"")</f>
        <v/>
      </c>
      <c r="L173" s="34">
        <f>IF(AND(L$5&gt;=$F173,L$5&lt;=$G173),6,"")</f>
        <v/>
      </c>
      <c r="M173" s="34">
        <f>IF(AND(M$5&gt;=$F173,M$5&lt;=$G173),6,"")</f>
        <v/>
      </c>
      <c r="N173" s="34">
        <f>IF(AND(N$5&gt;=$F173,N$5&lt;=$G173),6,"")</f>
        <v/>
      </c>
      <c r="O173" s="34">
        <f>IF(AND(O$5&gt;=$F173,O$5&lt;=$G173),6,"")</f>
        <v/>
      </c>
      <c r="P173" s="34">
        <f>IF(AND(P$5&gt;=$F173,P$5&lt;=$G173),6,"")</f>
        <v/>
      </c>
      <c r="Q173" s="34">
        <f>IF(AND(Q$5&gt;=$F173,Q$5&lt;=$G173),6,"")</f>
        <v/>
      </c>
      <c r="R173" s="34">
        <f>IF(AND(R$5&gt;=$F173,R$5&lt;=$G173),6,"")</f>
        <v/>
      </c>
      <c r="S173" s="34">
        <f>IF(AND(S$5&gt;=$F173,S$5&lt;=$G173),6,"")</f>
        <v/>
      </c>
      <c r="T173" s="34">
        <f>IF(AND(T$5&gt;=$F173,T$5&lt;=$G173),6,"")</f>
        <v/>
      </c>
      <c r="U173" s="34">
        <f>IF(AND(U$5&gt;=$F173,U$5&lt;=$G173),6,"")</f>
        <v/>
      </c>
      <c r="V173" s="34">
        <f>IF(AND(V$5&gt;=$F173,V$5&lt;=$G173),6,"")</f>
        <v/>
      </c>
      <c r="W173" s="34">
        <f>IF(AND(W$5&gt;=$F173,W$5&lt;=$G173),6,"")</f>
        <v/>
      </c>
      <c r="X173" s="34">
        <f>IF(AND(X$5&gt;=$F173,X$5&lt;=$G173),6,"")</f>
        <v/>
      </c>
      <c r="Y173" s="34">
        <f>IF(AND(Y$5&gt;=$F173,Y$5&lt;=$G173),6,"")</f>
        <v/>
      </c>
      <c r="Z173" s="34">
        <f>IF(AND(Z$5&gt;=$F173,Z$5&lt;=$G173),6,"")</f>
        <v/>
      </c>
      <c r="AA173" s="34">
        <f>IF(AND(AA$5&gt;=$F173,AA$5&lt;=$G173),6,"")</f>
        <v/>
      </c>
      <c r="AB173" s="34">
        <f>IF(AND(AB$5&gt;=$F173,AB$5&lt;=$G173),6,"")</f>
        <v/>
      </c>
      <c r="AC173" s="34">
        <f>IF(AND(AC$5&gt;=$F173,AC$5&lt;=$G173),6,"")</f>
        <v/>
      </c>
      <c r="AD173" s="34">
        <f>IF(AND(AD$5&gt;=$F173,AD$5&lt;=$G173),6,"")</f>
        <v/>
      </c>
      <c r="AE173" s="34">
        <f>IF(AND(AE$5&gt;=$F173,AE$5&lt;=$G173),6,"")</f>
        <v/>
      </c>
      <c r="AF173" s="34">
        <f>IF(AND(AF$5&gt;=$F173,AF$5&lt;=$G173),6,"")</f>
        <v/>
      </c>
      <c r="AG173" s="34">
        <f>IF(AND(AG$5&gt;=$F173,AG$5&lt;=$G173),6,"")</f>
        <v/>
      </c>
      <c r="AH173" s="34">
        <f>IF(AND(AH$5&gt;=$F173,AH$5&lt;=$G173),6,"")</f>
        <v/>
      </c>
      <c r="AI173" s="34">
        <f>IF(AND(AI$5&gt;=$F173,AI$5&lt;=$G173),6,"")</f>
        <v/>
      </c>
      <c r="AJ173" s="34">
        <f>IF(AND(AJ$5&gt;=$F173,AJ$5&lt;=$G173),6,"")</f>
        <v/>
      </c>
      <c r="AK173" s="34">
        <f>IF(AND(AK$5&gt;=$F173,AK$5&lt;=$G173),6,"")</f>
        <v/>
      </c>
      <c r="AL173" s="34">
        <f>IF(AND(AL$5&gt;=$F173,AL$5&lt;=$G173),6,"")</f>
        <v/>
      </c>
      <c r="AM173" s="34">
        <f>IF(AND(AM$5&gt;=$F173,AM$5&lt;=$G173),6,"")</f>
        <v/>
      </c>
      <c r="AN173" s="34">
        <f>IF(AND(AN$5&gt;=$F173,AN$5&lt;=$G173),6,"")</f>
        <v/>
      </c>
      <c r="AO173" s="34">
        <f>IF(AND(AO$5&gt;=$F173,AO$5&lt;=$G173),6,"")</f>
        <v/>
      </c>
      <c r="AP173" s="34">
        <f>IF(AND(AP$5&gt;=$F173,AP$5&lt;=$G173),6,"")</f>
        <v/>
      </c>
      <c r="AQ173" s="34">
        <f>IF(AND(AQ$5&gt;=$F173,AQ$5&lt;=$G173),6,"")</f>
        <v/>
      </c>
      <c r="AR173" s="34">
        <f>IF(AND(AR$5&gt;=$F173,AR$5&lt;=$G173),6,"")</f>
        <v/>
      </c>
      <c r="AS173" s="34">
        <f>IF(AND(AS$5&gt;=$F173,AS$5&lt;=$G173),6,"")</f>
        <v/>
      </c>
      <c r="AT173" s="34">
        <f>IF(AND(AT$5&gt;=$F173,AT$5&lt;=$G173),6,"")</f>
        <v/>
      </c>
      <c r="AU173" s="34">
        <f>IF(AND(AU$5&gt;=$F173,AU$5&lt;=$G173),6,"")</f>
        <v/>
      </c>
      <c r="AV173" s="34">
        <f>IF(AND(AV$5&gt;=$F173,AV$5&lt;=$G173),6,"")</f>
        <v/>
      </c>
      <c r="AW173" s="34">
        <f>IF(AND(AW$5&gt;=$F173,AW$5&lt;=$G173),6,"")</f>
        <v/>
      </c>
      <c r="AX173" s="34">
        <f>IF(AND(AX$5&gt;=$F173,AX$5&lt;=$G173),6,"")</f>
        <v/>
      </c>
      <c r="AY173" s="34">
        <f>IF(AND(AY$5&gt;=$F173,AY$5&lt;=$G173),6,"")</f>
        <v/>
      </c>
      <c r="AZ173" s="34">
        <f>IF(AND(AZ$5&gt;=$F173,AZ$5&lt;=$G173),6,"")</f>
        <v/>
      </c>
      <c r="BA173" s="34">
        <f>IF(AND(BA$5&gt;=$F173,BA$5&lt;=$G173),6,"")</f>
        <v/>
      </c>
      <c r="BB173" s="34">
        <f>IF(AND(BB$5&gt;=$F173,BB$5&lt;=$G173),6,"")</f>
        <v/>
      </c>
      <c r="BC173" s="34">
        <f>IF(AND(BC$5&gt;=$F173,BC$5&lt;=$G173),6,"")</f>
        <v/>
      </c>
      <c r="BD173" s="34">
        <f>IF(AND(BD$5&gt;=$F173,BD$5&lt;=$G173),6,"")</f>
        <v/>
      </c>
      <c r="BE173" s="34">
        <f>IF(AND(BE$5&gt;=$F173,BE$5&lt;=$G173),6,"")</f>
        <v/>
      </c>
      <c r="BF173" s="34">
        <f>IF(AND(BF$5&gt;=$F173,BF$5&lt;=$G173),6,"")</f>
        <v/>
      </c>
      <c r="BG173" s="34">
        <f>IF(AND(BG$5&gt;=$F173,BG$5&lt;=$G173),6,"")</f>
        <v/>
      </c>
      <c r="BH173" s="34">
        <f>IF(AND(BH$5&gt;=$F173,BH$5&lt;=$G173),6,"")</f>
        <v/>
      </c>
      <c r="BI173" s="34">
        <f>IF(AND(BI$5&gt;=$F173,BI$5&lt;=$G173),6,"")</f>
        <v/>
      </c>
      <c r="BJ173" s="34">
        <f>IF(AND(BJ$5&gt;=$F173,BJ$5&lt;=$G173),6,"")</f>
        <v/>
      </c>
      <c r="BK173" s="34">
        <f>IF(AND(BK$5&gt;=$F173,BK$5&lt;=$G173),6,"")</f>
        <v/>
      </c>
      <c r="BL173" s="34">
        <f>IF(AND(BL$5&gt;=$F173,BL$5&lt;=$G173),6,"")</f>
        <v/>
      </c>
      <c r="BM173" s="34">
        <f>IF(AND(BM$5&gt;=$F173,BM$5&lt;=$G173),6,"")</f>
        <v/>
      </c>
      <c r="BN173" s="34">
        <f>IF(AND(BN$5&gt;=$F173,BN$5&lt;=$G173),6,"")</f>
        <v/>
      </c>
    </row>
    <row r="174" ht="14.25" customHeight="1" s="36">
      <c r="A174" s="13" t="inlineStr">
        <is>
          <t>6 Infraestructura física y sitios</t>
        </is>
      </c>
      <c r="B174" s="13" t="inlineStr">
        <is>
          <t>6.3.3</t>
        </is>
      </c>
      <c r="C174" s="13" t="inlineStr">
        <is>
          <t>Gabinete de borde de Concepción montado: servidor, firewalls, switches, UPS, climatización y monitoreo</t>
        </is>
      </c>
      <c r="D174" s="13" t="inlineStr">
        <is>
          <t>T</t>
        </is>
      </c>
      <c r="E174" s="13" t="inlineStr">
        <is>
          <t>Operación / SRE</t>
        </is>
      </c>
      <c r="F174" s="13" t="n">
        <v>4</v>
      </c>
      <c r="G174" s="13" t="n">
        <v>4</v>
      </c>
      <c r="H174" s="13">
        <f>G174-F174+1</f>
        <v/>
      </c>
      <c r="I174" s="31" t="n">
        <v>160</v>
      </c>
      <c r="J174" s="13" t="inlineStr">
        <is>
          <t>Con entregable (actividades en hoja «Actividades hasta H2»)</t>
        </is>
      </c>
      <c r="K174" s="34">
        <f>IF(AND(K$5&gt;=$F174,K$5&lt;=$G174),6,"")</f>
        <v/>
      </c>
      <c r="L174" s="34">
        <f>IF(AND(L$5&gt;=$F174,L$5&lt;=$G174),6,"")</f>
        <v/>
      </c>
      <c r="M174" s="34">
        <f>IF(AND(M$5&gt;=$F174,M$5&lt;=$G174),6,"")</f>
        <v/>
      </c>
      <c r="N174" s="34">
        <f>IF(AND(N$5&gt;=$F174,N$5&lt;=$G174),6,"")</f>
        <v/>
      </c>
      <c r="O174" s="34">
        <f>IF(AND(O$5&gt;=$F174,O$5&lt;=$G174),6,"")</f>
        <v/>
      </c>
      <c r="P174" s="34">
        <f>IF(AND(P$5&gt;=$F174,P$5&lt;=$G174),6,"")</f>
        <v/>
      </c>
      <c r="Q174" s="34">
        <f>IF(AND(Q$5&gt;=$F174,Q$5&lt;=$G174),6,"")</f>
        <v/>
      </c>
      <c r="R174" s="34">
        <f>IF(AND(R$5&gt;=$F174,R$5&lt;=$G174),6,"")</f>
        <v/>
      </c>
      <c r="S174" s="34">
        <f>IF(AND(S$5&gt;=$F174,S$5&lt;=$G174),6,"")</f>
        <v/>
      </c>
      <c r="T174" s="34">
        <f>IF(AND(T$5&gt;=$F174,T$5&lt;=$G174),6,"")</f>
        <v/>
      </c>
      <c r="U174" s="34">
        <f>IF(AND(U$5&gt;=$F174,U$5&lt;=$G174),6,"")</f>
        <v/>
      </c>
      <c r="V174" s="34">
        <f>IF(AND(V$5&gt;=$F174,V$5&lt;=$G174),6,"")</f>
        <v/>
      </c>
      <c r="W174" s="34">
        <f>IF(AND(W$5&gt;=$F174,W$5&lt;=$G174),6,"")</f>
        <v/>
      </c>
      <c r="X174" s="34">
        <f>IF(AND(X$5&gt;=$F174,X$5&lt;=$G174),6,"")</f>
        <v/>
      </c>
      <c r="Y174" s="34">
        <f>IF(AND(Y$5&gt;=$F174,Y$5&lt;=$G174),6,"")</f>
        <v/>
      </c>
      <c r="Z174" s="34">
        <f>IF(AND(Z$5&gt;=$F174,Z$5&lt;=$G174),6,"")</f>
        <v/>
      </c>
      <c r="AA174" s="34">
        <f>IF(AND(AA$5&gt;=$F174,AA$5&lt;=$G174),6,"")</f>
        <v/>
      </c>
      <c r="AB174" s="34">
        <f>IF(AND(AB$5&gt;=$F174,AB$5&lt;=$G174),6,"")</f>
        <v/>
      </c>
      <c r="AC174" s="34">
        <f>IF(AND(AC$5&gt;=$F174,AC$5&lt;=$G174),6,"")</f>
        <v/>
      </c>
      <c r="AD174" s="34">
        <f>IF(AND(AD$5&gt;=$F174,AD$5&lt;=$G174),6,"")</f>
        <v/>
      </c>
      <c r="AE174" s="34">
        <f>IF(AND(AE$5&gt;=$F174,AE$5&lt;=$G174),6,"")</f>
        <v/>
      </c>
      <c r="AF174" s="34">
        <f>IF(AND(AF$5&gt;=$F174,AF$5&lt;=$G174),6,"")</f>
        <v/>
      </c>
      <c r="AG174" s="34">
        <f>IF(AND(AG$5&gt;=$F174,AG$5&lt;=$G174),6,"")</f>
        <v/>
      </c>
      <c r="AH174" s="34">
        <f>IF(AND(AH$5&gt;=$F174,AH$5&lt;=$G174),6,"")</f>
        <v/>
      </c>
      <c r="AI174" s="34">
        <f>IF(AND(AI$5&gt;=$F174,AI$5&lt;=$G174),6,"")</f>
        <v/>
      </c>
      <c r="AJ174" s="34">
        <f>IF(AND(AJ$5&gt;=$F174,AJ$5&lt;=$G174),6,"")</f>
        <v/>
      </c>
      <c r="AK174" s="34">
        <f>IF(AND(AK$5&gt;=$F174,AK$5&lt;=$G174),6,"")</f>
        <v/>
      </c>
      <c r="AL174" s="34">
        <f>IF(AND(AL$5&gt;=$F174,AL$5&lt;=$G174),6,"")</f>
        <v/>
      </c>
      <c r="AM174" s="34">
        <f>IF(AND(AM$5&gt;=$F174,AM$5&lt;=$G174),6,"")</f>
        <v/>
      </c>
      <c r="AN174" s="34">
        <f>IF(AND(AN$5&gt;=$F174,AN$5&lt;=$G174),6,"")</f>
        <v/>
      </c>
      <c r="AO174" s="34">
        <f>IF(AND(AO$5&gt;=$F174,AO$5&lt;=$G174),6,"")</f>
        <v/>
      </c>
      <c r="AP174" s="34">
        <f>IF(AND(AP$5&gt;=$F174,AP$5&lt;=$G174),6,"")</f>
        <v/>
      </c>
      <c r="AQ174" s="34">
        <f>IF(AND(AQ$5&gt;=$F174,AQ$5&lt;=$G174),6,"")</f>
        <v/>
      </c>
      <c r="AR174" s="34">
        <f>IF(AND(AR$5&gt;=$F174,AR$5&lt;=$G174),6,"")</f>
        <v/>
      </c>
      <c r="AS174" s="34">
        <f>IF(AND(AS$5&gt;=$F174,AS$5&lt;=$G174),6,"")</f>
        <v/>
      </c>
      <c r="AT174" s="34">
        <f>IF(AND(AT$5&gt;=$F174,AT$5&lt;=$G174),6,"")</f>
        <v/>
      </c>
      <c r="AU174" s="34">
        <f>IF(AND(AU$5&gt;=$F174,AU$5&lt;=$G174),6,"")</f>
        <v/>
      </c>
      <c r="AV174" s="34">
        <f>IF(AND(AV$5&gt;=$F174,AV$5&lt;=$G174),6,"")</f>
        <v/>
      </c>
      <c r="AW174" s="34">
        <f>IF(AND(AW$5&gt;=$F174,AW$5&lt;=$G174),6,"")</f>
        <v/>
      </c>
      <c r="AX174" s="34">
        <f>IF(AND(AX$5&gt;=$F174,AX$5&lt;=$G174),6,"")</f>
        <v/>
      </c>
      <c r="AY174" s="34">
        <f>IF(AND(AY$5&gt;=$F174,AY$5&lt;=$G174),6,"")</f>
        <v/>
      </c>
      <c r="AZ174" s="34">
        <f>IF(AND(AZ$5&gt;=$F174,AZ$5&lt;=$G174),6,"")</f>
        <v/>
      </c>
      <c r="BA174" s="34">
        <f>IF(AND(BA$5&gt;=$F174,BA$5&lt;=$G174),6,"")</f>
        <v/>
      </c>
      <c r="BB174" s="34">
        <f>IF(AND(BB$5&gt;=$F174,BB$5&lt;=$G174),6,"")</f>
        <v/>
      </c>
      <c r="BC174" s="34">
        <f>IF(AND(BC$5&gt;=$F174,BC$5&lt;=$G174),6,"")</f>
        <v/>
      </c>
      <c r="BD174" s="34">
        <f>IF(AND(BD$5&gt;=$F174,BD$5&lt;=$G174),6,"")</f>
        <v/>
      </c>
      <c r="BE174" s="34">
        <f>IF(AND(BE$5&gt;=$F174,BE$5&lt;=$G174),6,"")</f>
        <v/>
      </c>
      <c r="BF174" s="34">
        <f>IF(AND(BF$5&gt;=$F174,BF$5&lt;=$G174),6,"")</f>
        <v/>
      </c>
      <c r="BG174" s="34">
        <f>IF(AND(BG$5&gt;=$F174,BG$5&lt;=$G174),6,"")</f>
        <v/>
      </c>
      <c r="BH174" s="34">
        <f>IF(AND(BH$5&gt;=$F174,BH$5&lt;=$G174),6,"")</f>
        <v/>
      </c>
      <c r="BI174" s="34">
        <f>IF(AND(BI$5&gt;=$F174,BI$5&lt;=$G174),6,"")</f>
        <v/>
      </c>
      <c r="BJ174" s="34">
        <f>IF(AND(BJ$5&gt;=$F174,BJ$5&lt;=$G174),6,"")</f>
        <v/>
      </c>
      <c r="BK174" s="34">
        <f>IF(AND(BK$5&gt;=$F174,BK$5&lt;=$G174),6,"")</f>
        <v/>
      </c>
      <c r="BL174" s="34">
        <f>IF(AND(BL$5&gt;=$F174,BL$5&lt;=$G174),6,"")</f>
        <v/>
      </c>
      <c r="BM174" s="34">
        <f>IF(AND(BM$5&gt;=$F174,BM$5&lt;=$G174),6,"")</f>
        <v/>
      </c>
      <c r="BN174" s="34">
        <f>IF(AND(BN$5&gt;=$F174,BN$5&lt;=$G174),6,"")</f>
        <v/>
      </c>
    </row>
    <row r="175" ht="14.25" customHeight="1" s="36">
      <c r="A175" s="13" t="inlineStr">
        <is>
          <t>6 Infraestructura física y sitios</t>
        </is>
      </c>
      <c r="B175" s="13" t="inlineStr">
        <is>
          <t>6.3.4</t>
        </is>
      </c>
      <c r="C175" s="13" t="inlineStr">
        <is>
          <t>Gabinetes de borde montados en Curicó, Chillán y Los Ángeles</t>
        </is>
      </c>
      <c r="D175" s="13" t="inlineStr">
        <is>
          <t>T</t>
        </is>
      </c>
      <c r="E175" s="13" t="inlineStr">
        <is>
          <t>Operación / SRE</t>
        </is>
      </c>
      <c r="F175" s="13" t="n">
        <v>9</v>
      </c>
      <c r="G175" s="13" t="n">
        <v>9</v>
      </c>
      <c r="H175" s="13">
        <f>G175-F175+1</f>
        <v/>
      </c>
      <c r="I175" s="31" t="n">
        <v>160</v>
      </c>
      <c r="J175" s="13" t="inlineStr">
        <is>
          <t>Con entregable (detalle por planificación gradual)</t>
        </is>
      </c>
      <c r="K175" s="34">
        <f>IF(AND(K$5&gt;=$F175,K$5&lt;=$G175),6,"")</f>
        <v/>
      </c>
      <c r="L175" s="34">
        <f>IF(AND(L$5&gt;=$F175,L$5&lt;=$G175),6,"")</f>
        <v/>
      </c>
      <c r="M175" s="34">
        <f>IF(AND(M$5&gt;=$F175,M$5&lt;=$G175),6,"")</f>
        <v/>
      </c>
      <c r="N175" s="34">
        <f>IF(AND(N$5&gt;=$F175,N$5&lt;=$G175),6,"")</f>
        <v/>
      </c>
      <c r="O175" s="34">
        <f>IF(AND(O$5&gt;=$F175,O$5&lt;=$G175),6,"")</f>
        <v/>
      </c>
      <c r="P175" s="34">
        <f>IF(AND(P$5&gt;=$F175,P$5&lt;=$G175),6,"")</f>
        <v/>
      </c>
      <c r="Q175" s="34">
        <f>IF(AND(Q$5&gt;=$F175,Q$5&lt;=$G175),6,"")</f>
        <v/>
      </c>
      <c r="R175" s="34">
        <f>IF(AND(R$5&gt;=$F175,R$5&lt;=$G175),6,"")</f>
        <v/>
      </c>
      <c r="S175" s="34">
        <f>IF(AND(S$5&gt;=$F175,S$5&lt;=$G175),6,"")</f>
        <v/>
      </c>
      <c r="T175" s="34">
        <f>IF(AND(T$5&gt;=$F175,T$5&lt;=$G175),6,"")</f>
        <v/>
      </c>
      <c r="U175" s="34">
        <f>IF(AND(U$5&gt;=$F175,U$5&lt;=$G175),6,"")</f>
        <v/>
      </c>
      <c r="V175" s="34">
        <f>IF(AND(V$5&gt;=$F175,V$5&lt;=$G175),6,"")</f>
        <v/>
      </c>
      <c r="W175" s="34">
        <f>IF(AND(W$5&gt;=$F175,W$5&lt;=$G175),6,"")</f>
        <v/>
      </c>
      <c r="X175" s="34">
        <f>IF(AND(X$5&gt;=$F175,X$5&lt;=$G175),6,"")</f>
        <v/>
      </c>
      <c r="Y175" s="34">
        <f>IF(AND(Y$5&gt;=$F175,Y$5&lt;=$G175),6,"")</f>
        <v/>
      </c>
      <c r="Z175" s="34">
        <f>IF(AND(Z$5&gt;=$F175,Z$5&lt;=$G175),6,"")</f>
        <v/>
      </c>
      <c r="AA175" s="34">
        <f>IF(AND(AA$5&gt;=$F175,AA$5&lt;=$G175),6,"")</f>
        <v/>
      </c>
      <c r="AB175" s="34">
        <f>IF(AND(AB$5&gt;=$F175,AB$5&lt;=$G175),6,"")</f>
        <v/>
      </c>
      <c r="AC175" s="34">
        <f>IF(AND(AC$5&gt;=$F175,AC$5&lt;=$G175),6,"")</f>
        <v/>
      </c>
      <c r="AD175" s="34">
        <f>IF(AND(AD$5&gt;=$F175,AD$5&lt;=$G175),6,"")</f>
        <v/>
      </c>
      <c r="AE175" s="34">
        <f>IF(AND(AE$5&gt;=$F175,AE$5&lt;=$G175),6,"")</f>
        <v/>
      </c>
      <c r="AF175" s="34">
        <f>IF(AND(AF$5&gt;=$F175,AF$5&lt;=$G175),6,"")</f>
        <v/>
      </c>
      <c r="AG175" s="34">
        <f>IF(AND(AG$5&gt;=$F175,AG$5&lt;=$G175),6,"")</f>
        <v/>
      </c>
      <c r="AH175" s="34">
        <f>IF(AND(AH$5&gt;=$F175,AH$5&lt;=$G175),6,"")</f>
        <v/>
      </c>
      <c r="AI175" s="34">
        <f>IF(AND(AI$5&gt;=$F175,AI$5&lt;=$G175),6,"")</f>
        <v/>
      </c>
      <c r="AJ175" s="34">
        <f>IF(AND(AJ$5&gt;=$F175,AJ$5&lt;=$G175),6,"")</f>
        <v/>
      </c>
      <c r="AK175" s="34">
        <f>IF(AND(AK$5&gt;=$F175,AK$5&lt;=$G175),6,"")</f>
        <v/>
      </c>
      <c r="AL175" s="34">
        <f>IF(AND(AL$5&gt;=$F175,AL$5&lt;=$G175),6,"")</f>
        <v/>
      </c>
      <c r="AM175" s="34">
        <f>IF(AND(AM$5&gt;=$F175,AM$5&lt;=$G175),6,"")</f>
        <v/>
      </c>
      <c r="AN175" s="34">
        <f>IF(AND(AN$5&gt;=$F175,AN$5&lt;=$G175),6,"")</f>
        <v/>
      </c>
      <c r="AO175" s="34">
        <f>IF(AND(AO$5&gt;=$F175,AO$5&lt;=$G175),6,"")</f>
        <v/>
      </c>
      <c r="AP175" s="34">
        <f>IF(AND(AP$5&gt;=$F175,AP$5&lt;=$G175),6,"")</f>
        <v/>
      </c>
      <c r="AQ175" s="34">
        <f>IF(AND(AQ$5&gt;=$F175,AQ$5&lt;=$G175),6,"")</f>
        <v/>
      </c>
      <c r="AR175" s="34">
        <f>IF(AND(AR$5&gt;=$F175,AR$5&lt;=$G175),6,"")</f>
        <v/>
      </c>
      <c r="AS175" s="34">
        <f>IF(AND(AS$5&gt;=$F175,AS$5&lt;=$G175),6,"")</f>
        <v/>
      </c>
      <c r="AT175" s="34">
        <f>IF(AND(AT$5&gt;=$F175,AT$5&lt;=$G175),6,"")</f>
        <v/>
      </c>
      <c r="AU175" s="34">
        <f>IF(AND(AU$5&gt;=$F175,AU$5&lt;=$G175),6,"")</f>
        <v/>
      </c>
      <c r="AV175" s="34">
        <f>IF(AND(AV$5&gt;=$F175,AV$5&lt;=$G175),6,"")</f>
        <v/>
      </c>
      <c r="AW175" s="34">
        <f>IF(AND(AW$5&gt;=$F175,AW$5&lt;=$G175),6,"")</f>
        <v/>
      </c>
      <c r="AX175" s="34">
        <f>IF(AND(AX$5&gt;=$F175,AX$5&lt;=$G175),6,"")</f>
        <v/>
      </c>
      <c r="AY175" s="34">
        <f>IF(AND(AY$5&gt;=$F175,AY$5&lt;=$G175),6,"")</f>
        <v/>
      </c>
      <c r="AZ175" s="34">
        <f>IF(AND(AZ$5&gt;=$F175,AZ$5&lt;=$G175),6,"")</f>
        <v/>
      </c>
      <c r="BA175" s="34">
        <f>IF(AND(BA$5&gt;=$F175,BA$5&lt;=$G175),6,"")</f>
        <v/>
      </c>
      <c r="BB175" s="34">
        <f>IF(AND(BB$5&gt;=$F175,BB$5&lt;=$G175),6,"")</f>
        <v/>
      </c>
      <c r="BC175" s="34">
        <f>IF(AND(BC$5&gt;=$F175,BC$5&lt;=$G175),6,"")</f>
        <v/>
      </c>
      <c r="BD175" s="34">
        <f>IF(AND(BD$5&gt;=$F175,BD$5&lt;=$G175),6,"")</f>
        <v/>
      </c>
      <c r="BE175" s="34">
        <f>IF(AND(BE$5&gt;=$F175,BE$5&lt;=$G175),6,"")</f>
        <v/>
      </c>
      <c r="BF175" s="34">
        <f>IF(AND(BF$5&gt;=$F175,BF$5&lt;=$G175),6,"")</f>
        <v/>
      </c>
      <c r="BG175" s="34">
        <f>IF(AND(BG$5&gt;=$F175,BG$5&lt;=$G175),6,"")</f>
        <v/>
      </c>
      <c r="BH175" s="34">
        <f>IF(AND(BH$5&gt;=$F175,BH$5&lt;=$G175),6,"")</f>
        <v/>
      </c>
      <c r="BI175" s="34">
        <f>IF(AND(BI$5&gt;=$F175,BI$5&lt;=$G175),6,"")</f>
        <v/>
      </c>
      <c r="BJ175" s="34">
        <f>IF(AND(BJ$5&gt;=$F175,BJ$5&lt;=$G175),6,"")</f>
        <v/>
      </c>
      <c r="BK175" s="34">
        <f>IF(AND(BK$5&gt;=$F175,BK$5&lt;=$G175),6,"")</f>
        <v/>
      </c>
      <c r="BL175" s="34">
        <f>IF(AND(BL$5&gt;=$F175,BL$5&lt;=$G175),6,"")</f>
        <v/>
      </c>
      <c r="BM175" s="34">
        <f>IF(AND(BM$5&gt;=$F175,BM$5&lt;=$G175),6,"")</f>
        <v/>
      </c>
      <c r="BN175" s="34">
        <f>IF(AND(BN$5&gt;=$F175,BN$5&lt;=$G175),6,"")</f>
        <v/>
      </c>
    </row>
    <row r="176" ht="14.25" customHeight="1" s="36">
      <c r="A176" s="13" t="inlineStr">
        <is>
          <t>6 Infraestructura física y sitios</t>
        </is>
      </c>
      <c r="B176" s="13" t="inlineStr">
        <is>
          <t>6.4.1</t>
        </is>
      </c>
      <c r="C176" s="13" t="inlineStr">
        <is>
          <t>Hardware de control de acceso biométrico y esclusa instalado</t>
        </is>
      </c>
      <c r="D176" s="13" t="inlineStr">
        <is>
          <t>T</t>
        </is>
      </c>
      <c r="E176" s="13" t="inlineStr">
        <is>
          <t>Seguridad</t>
        </is>
      </c>
      <c r="F176" s="13" t="n">
        <v>5</v>
      </c>
      <c r="G176" s="13" t="n">
        <v>5</v>
      </c>
      <c r="H176" s="13">
        <f>G176-F176+1</f>
        <v/>
      </c>
      <c r="I176" s="31" t="n">
        <v>160</v>
      </c>
      <c r="J176" s="13" t="inlineStr">
        <is>
          <t>Con entregable (detalle por planificación gradual)</t>
        </is>
      </c>
      <c r="K176" s="34">
        <f>IF(AND(K$5&gt;=$F176,K$5&lt;=$G176),6,"")</f>
        <v/>
      </c>
      <c r="L176" s="34">
        <f>IF(AND(L$5&gt;=$F176,L$5&lt;=$G176),6,"")</f>
        <v/>
      </c>
      <c r="M176" s="34">
        <f>IF(AND(M$5&gt;=$F176,M$5&lt;=$G176),6,"")</f>
        <v/>
      </c>
      <c r="N176" s="34">
        <f>IF(AND(N$5&gt;=$F176,N$5&lt;=$G176),6,"")</f>
        <v/>
      </c>
      <c r="O176" s="34">
        <f>IF(AND(O$5&gt;=$F176,O$5&lt;=$G176),6,"")</f>
        <v/>
      </c>
      <c r="P176" s="34">
        <f>IF(AND(P$5&gt;=$F176,P$5&lt;=$G176),6,"")</f>
        <v/>
      </c>
      <c r="Q176" s="34">
        <f>IF(AND(Q$5&gt;=$F176,Q$5&lt;=$G176),6,"")</f>
        <v/>
      </c>
      <c r="R176" s="34">
        <f>IF(AND(R$5&gt;=$F176,R$5&lt;=$G176),6,"")</f>
        <v/>
      </c>
      <c r="S176" s="34">
        <f>IF(AND(S$5&gt;=$F176,S$5&lt;=$G176),6,"")</f>
        <v/>
      </c>
      <c r="T176" s="34">
        <f>IF(AND(T$5&gt;=$F176,T$5&lt;=$G176),6,"")</f>
        <v/>
      </c>
      <c r="U176" s="34">
        <f>IF(AND(U$5&gt;=$F176,U$5&lt;=$G176),6,"")</f>
        <v/>
      </c>
      <c r="V176" s="34">
        <f>IF(AND(V$5&gt;=$F176,V$5&lt;=$G176),6,"")</f>
        <v/>
      </c>
      <c r="W176" s="34">
        <f>IF(AND(W$5&gt;=$F176,W$5&lt;=$G176),6,"")</f>
        <v/>
      </c>
      <c r="X176" s="34">
        <f>IF(AND(X$5&gt;=$F176,X$5&lt;=$G176),6,"")</f>
        <v/>
      </c>
      <c r="Y176" s="34">
        <f>IF(AND(Y$5&gt;=$F176,Y$5&lt;=$G176),6,"")</f>
        <v/>
      </c>
      <c r="Z176" s="34">
        <f>IF(AND(Z$5&gt;=$F176,Z$5&lt;=$G176),6,"")</f>
        <v/>
      </c>
      <c r="AA176" s="34">
        <f>IF(AND(AA$5&gt;=$F176,AA$5&lt;=$G176),6,"")</f>
        <v/>
      </c>
      <c r="AB176" s="34">
        <f>IF(AND(AB$5&gt;=$F176,AB$5&lt;=$G176),6,"")</f>
        <v/>
      </c>
      <c r="AC176" s="34">
        <f>IF(AND(AC$5&gt;=$F176,AC$5&lt;=$G176),6,"")</f>
        <v/>
      </c>
      <c r="AD176" s="34">
        <f>IF(AND(AD$5&gt;=$F176,AD$5&lt;=$G176),6,"")</f>
        <v/>
      </c>
      <c r="AE176" s="34">
        <f>IF(AND(AE$5&gt;=$F176,AE$5&lt;=$G176),6,"")</f>
        <v/>
      </c>
      <c r="AF176" s="34">
        <f>IF(AND(AF$5&gt;=$F176,AF$5&lt;=$G176),6,"")</f>
        <v/>
      </c>
      <c r="AG176" s="34">
        <f>IF(AND(AG$5&gt;=$F176,AG$5&lt;=$G176),6,"")</f>
        <v/>
      </c>
      <c r="AH176" s="34">
        <f>IF(AND(AH$5&gt;=$F176,AH$5&lt;=$G176),6,"")</f>
        <v/>
      </c>
      <c r="AI176" s="34">
        <f>IF(AND(AI$5&gt;=$F176,AI$5&lt;=$G176),6,"")</f>
        <v/>
      </c>
      <c r="AJ176" s="34">
        <f>IF(AND(AJ$5&gt;=$F176,AJ$5&lt;=$G176),6,"")</f>
        <v/>
      </c>
      <c r="AK176" s="34">
        <f>IF(AND(AK$5&gt;=$F176,AK$5&lt;=$G176),6,"")</f>
        <v/>
      </c>
      <c r="AL176" s="34">
        <f>IF(AND(AL$5&gt;=$F176,AL$5&lt;=$G176),6,"")</f>
        <v/>
      </c>
      <c r="AM176" s="34">
        <f>IF(AND(AM$5&gt;=$F176,AM$5&lt;=$G176),6,"")</f>
        <v/>
      </c>
      <c r="AN176" s="34">
        <f>IF(AND(AN$5&gt;=$F176,AN$5&lt;=$G176),6,"")</f>
        <v/>
      </c>
      <c r="AO176" s="34">
        <f>IF(AND(AO$5&gt;=$F176,AO$5&lt;=$G176),6,"")</f>
        <v/>
      </c>
      <c r="AP176" s="34">
        <f>IF(AND(AP$5&gt;=$F176,AP$5&lt;=$G176),6,"")</f>
        <v/>
      </c>
      <c r="AQ176" s="34">
        <f>IF(AND(AQ$5&gt;=$F176,AQ$5&lt;=$G176),6,"")</f>
        <v/>
      </c>
      <c r="AR176" s="34">
        <f>IF(AND(AR$5&gt;=$F176,AR$5&lt;=$G176),6,"")</f>
        <v/>
      </c>
      <c r="AS176" s="34">
        <f>IF(AND(AS$5&gt;=$F176,AS$5&lt;=$G176),6,"")</f>
        <v/>
      </c>
      <c r="AT176" s="34">
        <f>IF(AND(AT$5&gt;=$F176,AT$5&lt;=$G176),6,"")</f>
        <v/>
      </c>
      <c r="AU176" s="34">
        <f>IF(AND(AU$5&gt;=$F176,AU$5&lt;=$G176),6,"")</f>
        <v/>
      </c>
      <c r="AV176" s="34">
        <f>IF(AND(AV$5&gt;=$F176,AV$5&lt;=$G176),6,"")</f>
        <v/>
      </c>
      <c r="AW176" s="34">
        <f>IF(AND(AW$5&gt;=$F176,AW$5&lt;=$G176),6,"")</f>
        <v/>
      </c>
      <c r="AX176" s="34">
        <f>IF(AND(AX$5&gt;=$F176,AX$5&lt;=$G176),6,"")</f>
        <v/>
      </c>
      <c r="AY176" s="34">
        <f>IF(AND(AY$5&gt;=$F176,AY$5&lt;=$G176),6,"")</f>
        <v/>
      </c>
      <c r="AZ176" s="34">
        <f>IF(AND(AZ$5&gt;=$F176,AZ$5&lt;=$G176),6,"")</f>
        <v/>
      </c>
      <c r="BA176" s="34">
        <f>IF(AND(BA$5&gt;=$F176,BA$5&lt;=$G176),6,"")</f>
        <v/>
      </c>
      <c r="BB176" s="34">
        <f>IF(AND(BB$5&gt;=$F176,BB$5&lt;=$G176),6,"")</f>
        <v/>
      </c>
      <c r="BC176" s="34">
        <f>IF(AND(BC$5&gt;=$F176,BC$5&lt;=$G176),6,"")</f>
        <v/>
      </c>
      <c r="BD176" s="34">
        <f>IF(AND(BD$5&gt;=$F176,BD$5&lt;=$G176),6,"")</f>
        <v/>
      </c>
      <c r="BE176" s="34">
        <f>IF(AND(BE$5&gt;=$F176,BE$5&lt;=$G176),6,"")</f>
        <v/>
      </c>
      <c r="BF176" s="34">
        <f>IF(AND(BF$5&gt;=$F176,BF$5&lt;=$G176),6,"")</f>
        <v/>
      </c>
      <c r="BG176" s="34">
        <f>IF(AND(BG$5&gt;=$F176,BG$5&lt;=$G176),6,"")</f>
        <v/>
      </c>
      <c r="BH176" s="34">
        <f>IF(AND(BH$5&gt;=$F176,BH$5&lt;=$G176),6,"")</f>
        <v/>
      </c>
      <c r="BI176" s="34">
        <f>IF(AND(BI$5&gt;=$F176,BI$5&lt;=$G176),6,"")</f>
        <v/>
      </c>
      <c r="BJ176" s="34">
        <f>IF(AND(BJ$5&gt;=$F176,BJ$5&lt;=$G176),6,"")</f>
        <v/>
      </c>
      <c r="BK176" s="34">
        <f>IF(AND(BK$5&gt;=$F176,BK$5&lt;=$G176),6,"")</f>
        <v/>
      </c>
      <c r="BL176" s="34">
        <f>IF(AND(BL$5&gt;=$F176,BL$5&lt;=$G176),6,"")</f>
        <v/>
      </c>
      <c r="BM176" s="34">
        <f>IF(AND(BM$5&gt;=$F176,BM$5&lt;=$G176),6,"")</f>
        <v/>
      </c>
      <c r="BN176" s="34">
        <f>IF(AND(BN$5&gt;=$F176,BN$5&lt;=$G176),6,"")</f>
        <v/>
      </c>
    </row>
    <row r="177" ht="14.25" customHeight="1" s="36">
      <c r="A177" s="13" t="inlineStr">
        <is>
          <t>6 Infraestructura física y sitios</t>
        </is>
      </c>
      <c r="B177" s="13" t="inlineStr">
        <is>
          <t>6.4.2</t>
        </is>
      </c>
      <c r="C177" s="13" t="inlineStr">
        <is>
          <t>Hardware de videovigilancia instalado</t>
        </is>
      </c>
      <c r="D177" s="13" t="inlineStr">
        <is>
          <t>T</t>
        </is>
      </c>
      <c r="E177" s="13" t="inlineStr">
        <is>
          <t>Seguridad</t>
        </is>
      </c>
      <c r="F177" s="13" t="n">
        <v>5</v>
      </c>
      <c r="G177" s="13" t="n">
        <v>5</v>
      </c>
      <c r="H177" s="13">
        <f>G177-F177+1</f>
        <v/>
      </c>
      <c r="I177" s="31" t="n">
        <v>160</v>
      </c>
      <c r="J177" s="13" t="inlineStr">
        <is>
          <t>Con entregable (detalle por planificación gradual)</t>
        </is>
      </c>
      <c r="K177" s="34">
        <f>IF(AND(K$5&gt;=$F177,K$5&lt;=$G177),6,"")</f>
        <v/>
      </c>
      <c r="L177" s="34">
        <f>IF(AND(L$5&gt;=$F177,L$5&lt;=$G177),6,"")</f>
        <v/>
      </c>
      <c r="M177" s="34">
        <f>IF(AND(M$5&gt;=$F177,M$5&lt;=$G177),6,"")</f>
        <v/>
      </c>
      <c r="N177" s="34">
        <f>IF(AND(N$5&gt;=$F177,N$5&lt;=$G177),6,"")</f>
        <v/>
      </c>
      <c r="O177" s="34">
        <f>IF(AND(O$5&gt;=$F177,O$5&lt;=$G177),6,"")</f>
        <v/>
      </c>
      <c r="P177" s="34">
        <f>IF(AND(P$5&gt;=$F177,P$5&lt;=$G177),6,"")</f>
        <v/>
      </c>
      <c r="Q177" s="34">
        <f>IF(AND(Q$5&gt;=$F177,Q$5&lt;=$G177),6,"")</f>
        <v/>
      </c>
      <c r="R177" s="34">
        <f>IF(AND(R$5&gt;=$F177,R$5&lt;=$G177),6,"")</f>
        <v/>
      </c>
      <c r="S177" s="34">
        <f>IF(AND(S$5&gt;=$F177,S$5&lt;=$G177),6,"")</f>
        <v/>
      </c>
      <c r="T177" s="34">
        <f>IF(AND(T$5&gt;=$F177,T$5&lt;=$G177),6,"")</f>
        <v/>
      </c>
      <c r="U177" s="34">
        <f>IF(AND(U$5&gt;=$F177,U$5&lt;=$G177),6,"")</f>
        <v/>
      </c>
      <c r="V177" s="34">
        <f>IF(AND(V$5&gt;=$F177,V$5&lt;=$G177),6,"")</f>
        <v/>
      </c>
      <c r="W177" s="34">
        <f>IF(AND(W$5&gt;=$F177,W$5&lt;=$G177),6,"")</f>
        <v/>
      </c>
      <c r="X177" s="34">
        <f>IF(AND(X$5&gt;=$F177,X$5&lt;=$G177),6,"")</f>
        <v/>
      </c>
      <c r="Y177" s="34">
        <f>IF(AND(Y$5&gt;=$F177,Y$5&lt;=$G177),6,"")</f>
        <v/>
      </c>
      <c r="Z177" s="34">
        <f>IF(AND(Z$5&gt;=$F177,Z$5&lt;=$G177),6,"")</f>
        <v/>
      </c>
      <c r="AA177" s="34">
        <f>IF(AND(AA$5&gt;=$F177,AA$5&lt;=$G177),6,"")</f>
        <v/>
      </c>
      <c r="AB177" s="34">
        <f>IF(AND(AB$5&gt;=$F177,AB$5&lt;=$G177),6,"")</f>
        <v/>
      </c>
      <c r="AC177" s="34">
        <f>IF(AND(AC$5&gt;=$F177,AC$5&lt;=$G177),6,"")</f>
        <v/>
      </c>
      <c r="AD177" s="34">
        <f>IF(AND(AD$5&gt;=$F177,AD$5&lt;=$G177),6,"")</f>
        <v/>
      </c>
      <c r="AE177" s="34">
        <f>IF(AND(AE$5&gt;=$F177,AE$5&lt;=$G177),6,"")</f>
        <v/>
      </c>
      <c r="AF177" s="34">
        <f>IF(AND(AF$5&gt;=$F177,AF$5&lt;=$G177),6,"")</f>
        <v/>
      </c>
      <c r="AG177" s="34">
        <f>IF(AND(AG$5&gt;=$F177,AG$5&lt;=$G177),6,"")</f>
        <v/>
      </c>
      <c r="AH177" s="34">
        <f>IF(AND(AH$5&gt;=$F177,AH$5&lt;=$G177),6,"")</f>
        <v/>
      </c>
      <c r="AI177" s="34">
        <f>IF(AND(AI$5&gt;=$F177,AI$5&lt;=$G177),6,"")</f>
        <v/>
      </c>
      <c r="AJ177" s="34">
        <f>IF(AND(AJ$5&gt;=$F177,AJ$5&lt;=$G177),6,"")</f>
        <v/>
      </c>
      <c r="AK177" s="34">
        <f>IF(AND(AK$5&gt;=$F177,AK$5&lt;=$G177),6,"")</f>
        <v/>
      </c>
      <c r="AL177" s="34">
        <f>IF(AND(AL$5&gt;=$F177,AL$5&lt;=$G177),6,"")</f>
        <v/>
      </c>
      <c r="AM177" s="34">
        <f>IF(AND(AM$5&gt;=$F177,AM$5&lt;=$G177),6,"")</f>
        <v/>
      </c>
      <c r="AN177" s="34">
        <f>IF(AND(AN$5&gt;=$F177,AN$5&lt;=$G177),6,"")</f>
        <v/>
      </c>
      <c r="AO177" s="34">
        <f>IF(AND(AO$5&gt;=$F177,AO$5&lt;=$G177),6,"")</f>
        <v/>
      </c>
      <c r="AP177" s="34">
        <f>IF(AND(AP$5&gt;=$F177,AP$5&lt;=$G177),6,"")</f>
        <v/>
      </c>
      <c r="AQ177" s="34">
        <f>IF(AND(AQ$5&gt;=$F177,AQ$5&lt;=$G177),6,"")</f>
        <v/>
      </c>
      <c r="AR177" s="34">
        <f>IF(AND(AR$5&gt;=$F177,AR$5&lt;=$G177),6,"")</f>
        <v/>
      </c>
      <c r="AS177" s="34">
        <f>IF(AND(AS$5&gt;=$F177,AS$5&lt;=$G177),6,"")</f>
        <v/>
      </c>
      <c r="AT177" s="34">
        <f>IF(AND(AT$5&gt;=$F177,AT$5&lt;=$G177),6,"")</f>
        <v/>
      </c>
      <c r="AU177" s="34">
        <f>IF(AND(AU$5&gt;=$F177,AU$5&lt;=$G177),6,"")</f>
        <v/>
      </c>
      <c r="AV177" s="34">
        <f>IF(AND(AV$5&gt;=$F177,AV$5&lt;=$G177),6,"")</f>
        <v/>
      </c>
      <c r="AW177" s="34">
        <f>IF(AND(AW$5&gt;=$F177,AW$5&lt;=$G177),6,"")</f>
        <v/>
      </c>
      <c r="AX177" s="34">
        <f>IF(AND(AX$5&gt;=$F177,AX$5&lt;=$G177),6,"")</f>
        <v/>
      </c>
      <c r="AY177" s="34">
        <f>IF(AND(AY$5&gt;=$F177,AY$5&lt;=$G177),6,"")</f>
        <v/>
      </c>
      <c r="AZ177" s="34">
        <f>IF(AND(AZ$5&gt;=$F177,AZ$5&lt;=$G177),6,"")</f>
        <v/>
      </c>
      <c r="BA177" s="34">
        <f>IF(AND(BA$5&gt;=$F177,BA$5&lt;=$G177),6,"")</f>
        <v/>
      </c>
      <c r="BB177" s="34">
        <f>IF(AND(BB$5&gt;=$F177,BB$5&lt;=$G177),6,"")</f>
        <v/>
      </c>
      <c r="BC177" s="34">
        <f>IF(AND(BC$5&gt;=$F177,BC$5&lt;=$G177),6,"")</f>
        <v/>
      </c>
      <c r="BD177" s="34">
        <f>IF(AND(BD$5&gt;=$F177,BD$5&lt;=$G177),6,"")</f>
        <v/>
      </c>
      <c r="BE177" s="34">
        <f>IF(AND(BE$5&gt;=$F177,BE$5&lt;=$G177),6,"")</f>
        <v/>
      </c>
      <c r="BF177" s="34">
        <f>IF(AND(BF$5&gt;=$F177,BF$5&lt;=$G177),6,"")</f>
        <v/>
      </c>
      <c r="BG177" s="34">
        <f>IF(AND(BG$5&gt;=$F177,BG$5&lt;=$G177),6,"")</f>
        <v/>
      </c>
      <c r="BH177" s="34">
        <f>IF(AND(BH$5&gt;=$F177,BH$5&lt;=$G177),6,"")</f>
        <v/>
      </c>
      <c r="BI177" s="34">
        <f>IF(AND(BI$5&gt;=$F177,BI$5&lt;=$G177),6,"")</f>
        <v/>
      </c>
      <c r="BJ177" s="34">
        <f>IF(AND(BJ$5&gt;=$F177,BJ$5&lt;=$G177),6,"")</f>
        <v/>
      </c>
      <c r="BK177" s="34">
        <f>IF(AND(BK$5&gt;=$F177,BK$5&lt;=$G177),6,"")</f>
        <v/>
      </c>
      <c r="BL177" s="34">
        <f>IF(AND(BL$5&gt;=$F177,BL$5&lt;=$G177),6,"")</f>
        <v/>
      </c>
      <c r="BM177" s="34">
        <f>IF(AND(BM$5&gt;=$F177,BM$5&lt;=$G177),6,"")</f>
        <v/>
      </c>
      <c r="BN177" s="34">
        <f>IF(AND(BN$5&gt;=$F177,BN$5&lt;=$G177),6,"")</f>
        <v/>
      </c>
    </row>
    <row r="178" ht="14.25" customHeight="1" s="36">
      <c r="A178" s="13" t="inlineStr">
        <is>
          <t>6 Infraestructura física y sitios</t>
        </is>
      </c>
      <c r="B178" s="13" t="inlineStr">
        <is>
          <t>6.4.3</t>
        </is>
      </c>
      <c r="C178" s="13" t="inlineStr">
        <is>
          <t>Recinto de custodia de respaldos habilitado</t>
        </is>
      </c>
      <c r="D178" s="13" t="inlineStr">
        <is>
          <t>T</t>
        </is>
      </c>
      <c r="E178" s="13" t="inlineStr">
        <is>
          <t>Seguridad</t>
        </is>
      </c>
      <c r="F178" s="13" t="n">
        <v>5</v>
      </c>
      <c r="G178" s="13" t="n">
        <v>6</v>
      </c>
      <c r="H178" s="13">
        <f>G178-F178+1</f>
        <v/>
      </c>
      <c r="I178" s="31" t="n">
        <v>160</v>
      </c>
      <c r="J178" s="13" t="inlineStr">
        <is>
          <t>Con entregable (detalle por planificación gradual)</t>
        </is>
      </c>
      <c r="K178" s="34">
        <f>IF(AND(K$5&gt;=$F178,K$5&lt;=$G178),6,"")</f>
        <v/>
      </c>
      <c r="L178" s="34">
        <f>IF(AND(L$5&gt;=$F178,L$5&lt;=$G178),6,"")</f>
        <v/>
      </c>
      <c r="M178" s="34">
        <f>IF(AND(M$5&gt;=$F178,M$5&lt;=$G178),6,"")</f>
        <v/>
      </c>
      <c r="N178" s="34">
        <f>IF(AND(N$5&gt;=$F178,N$5&lt;=$G178),6,"")</f>
        <v/>
      </c>
      <c r="O178" s="34">
        <f>IF(AND(O$5&gt;=$F178,O$5&lt;=$G178),6,"")</f>
        <v/>
      </c>
      <c r="P178" s="34">
        <f>IF(AND(P$5&gt;=$F178,P$5&lt;=$G178),6,"")</f>
        <v/>
      </c>
      <c r="Q178" s="34">
        <f>IF(AND(Q$5&gt;=$F178,Q$5&lt;=$G178),6,"")</f>
        <v/>
      </c>
      <c r="R178" s="34">
        <f>IF(AND(R$5&gt;=$F178,R$5&lt;=$G178),6,"")</f>
        <v/>
      </c>
      <c r="S178" s="34">
        <f>IF(AND(S$5&gt;=$F178,S$5&lt;=$G178),6,"")</f>
        <v/>
      </c>
      <c r="T178" s="34">
        <f>IF(AND(T$5&gt;=$F178,T$5&lt;=$G178),6,"")</f>
        <v/>
      </c>
      <c r="U178" s="34">
        <f>IF(AND(U$5&gt;=$F178,U$5&lt;=$G178),6,"")</f>
        <v/>
      </c>
      <c r="V178" s="34">
        <f>IF(AND(V$5&gt;=$F178,V$5&lt;=$G178),6,"")</f>
        <v/>
      </c>
      <c r="W178" s="34">
        <f>IF(AND(W$5&gt;=$F178,W$5&lt;=$G178),6,"")</f>
        <v/>
      </c>
      <c r="X178" s="34">
        <f>IF(AND(X$5&gt;=$F178,X$5&lt;=$G178),6,"")</f>
        <v/>
      </c>
      <c r="Y178" s="34">
        <f>IF(AND(Y$5&gt;=$F178,Y$5&lt;=$G178),6,"")</f>
        <v/>
      </c>
      <c r="Z178" s="34">
        <f>IF(AND(Z$5&gt;=$F178,Z$5&lt;=$G178),6,"")</f>
        <v/>
      </c>
      <c r="AA178" s="34">
        <f>IF(AND(AA$5&gt;=$F178,AA$5&lt;=$G178),6,"")</f>
        <v/>
      </c>
      <c r="AB178" s="34">
        <f>IF(AND(AB$5&gt;=$F178,AB$5&lt;=$G178),6,"")</f>
        <v/>
      </c>
      <c r="AC178" s="34">
        <f>IF(AND(AC$5&gt;=$F178,AC$5&lt;=$G178),6,"")</f>
        <v/>
      </c>
      <c r="AD178" s="34">
        <f>IF(AND(AD$5&gt;=$F178,AD$5&lt;=$G178),6,"")</f>
        <v/>
      </c>
      <c r="AE178" s="34">
        <f>IF(AND(AE$5&gt;=$F178,AE$5&lt;=$G178),6,"")</f>
        <v/>
      </c>
      <c r="AF178" s="34">
        <f>IF(AND(AF$5&gt;=$F178,AF$5&lt;=$G178),6,"")</f>
        <v/>
      </c>
      <c r="AG178" s="34">
        <f>IF(AND(AG$5&gt;=$F178,AG$5&lt;=$G178),6,"")</f>
        <v/>
      </c>
      <c r="AH178" s="34">
        <f>IF(AND(AH$5&gt;=$F178,AH$5&lt;=$G178),6,"")</f>
        <v/>
      </c>
      <c r="AI178" s="34">
        <f>IF(AND(AI$5&gt;=$F178,AI$5&lt;=$G178),6,"")</f>
        <v/>
      </c>
      <c r="AJ178" s="34">
        <f>IF(AND(AJ$5&gt;=$F178,AJ$5&lt;=$G178),6,"")</f>
        <v/>
      </c>
      <c r="AK178" s="34">
        <f>IF(AND(AK$5&gt;=$F178,AK$5&lt;=$G178),6,"")</f>
        <v/>
      </c>
      <c r="AL178" s="34">
        <f>IF(AND(AL$5&gt;=$F178,AL$5&lt;=$G178),6,"")</f>
        <v/>
      </c>
      <c r="AM178" s="34">
        <f>IF(AND(AM$5&gt;=$F178,AM$5&lt;=$G178),6,"")</f>
        <v/>
      </c>
      <c r="AN178" s="34">
        <f>IF(AND(AN$5&gt;=$F178,AN$5&lt;=$G178),6,"")</f>
        <v/>
      </c>
      <c r="AO178" s="34">
        <f>IF(AND(AO$5&gt;=$F178,AO$5&lt;=$G178),6,"")</f>
        <v/>
      </c>
      <c r="AP178" s="34">
        <f>IF(AND(AP$5&gt;=$F178,AP$5&lt;=$G178),6,"")</f>
        <v/>
      </c>
      <c r="AQ178" s="34">
        <f>IF(AND(AQ$5&gt;=$F178,AQ$5&lt;=$G178),6,"")</f>
        <v/>
      </c>
      <c r="AR178" s="34">
        <f>IF(AND(AR$5&gt;=$F178,AR$5&lt;=$G178),6,"")</f>
        <v/>
      </c>
      <c r="AS178" s="34">
        <f>IF(AND(AS$5&gt;=$F178,AS$5&lt;=$G178),6,"")</f>
        <v/>
      </c>
      <c r="AT178" s="34">
        <f>IF(AND(AT$5&gt;=$F178,AT$5&lt;=$G178),6,"")</f>
        <v/>
      </c>
      <c r="AU178" s="34">
        <f>IF(AND(AU$5&gt;=$F178,AU$5&lt;=$G178),6,"")</f>
        <v/>
      </c>
      <c r="AV178" s="34">
        <f>IF(AND(AV$5&gt;=$F178,AV$5&lt;=$G178),6,"")</f>
        <v/>
      </c>
      <c r="AW178" s="34">
        <f>IF(AND(AW$5&gt;=$F178,AW$5&lt;=$G178),6,"")</f>
        <v/>
      </c>
      <c r="AX178" s="34">
        <f>IF(AND(AX$5&gt;=$F178,AX$5&lt;=$G178),6,"")</f>
        <v/>
      </c>
      <c r="AY178" s="34">
        <f>IF(AND(AY$5&gt;=$F178,AY$5&lt;=$G178),6,"")</f>
        <v/>
      </c>
      <c r="AZ178" s="34">
        <f>IF(AND(AZ$5&gt;=$F178,AZ$5&lt;=$G178),6,"")</f>
        <v/>
      </c>
      <c r="BA178" s="34">
        <f>IF(AND(BA$5&gt;=$F178,BA$5&lt;=$G178),6,"")</f>
        <v/>
      </c>
      <c r="BB178" s="34">
        <f>IF(AND(BB$5&gt;=$F178,BB$5&lt;=$G178),6,"")</f>
        <v/>
      </c>
      <c r="BC178" s="34">
        <f>IF(AND(BC$5&gt;=$F178,BC$5&lt;=$G178),6,"")</f>
        <v/>
      </c>
      <c r="BD178" s="34">
        <f>IF(AND(BD$5&gt;=$F178,BD$5&lt;=$G178),6,"")</f>
        <v/>
      </c>
      <c r="BE178" s="34">
        <f>IF(AND(BE$5&gt;=$F178,BE$5&lt;=$G178),6,"")</f>
        <v/>
      </c>
      <c r="BF178" s="34">
        <f>IF(AND(BF$5&gt;=$F178,BF$5&lt;=$G178),6,"")</f>
        <v/>
      </c>
      <c r="BG178" s="34">
        <f>IF(AND(BG$5&gt;=$F178,BG$5&lt;=$G178),6,"")</f>
        <v/>
      </c>
      <c r="BH178" s="34">
        <f>IF(AND(BH$5&gt;=$F178,BH$5&lt;=$G178),6,"")</f>
        <v/>
      </c>
      <c r="BI178" s="34">
        <f>IF(AND(BI$5&gt;=$F178,BI$5&lt;=$G178),6,"")</f>
        <v/>
      </c>
      <c r="BJ178" s="34">
        <f>IF(AND(BJ$5&gt;=$F178,BJ$5&lt;=$G178),6,"")</f>
        <v/>
      </c>
      <c r="BK178" s="34">
        <f>IF(AND(BK$5&gt;=$F178,BK$5&lt;=$G178),6,"")</f>
        <v/>
      </c>
      <c r="BL178" s="34">
        <f>IF(AND(BL$5&gt;=$F178,BL$5&lt;=$G178),6,"")</f>
        <v/>
      </c>
      <c r="BM178" s="34">
        <f>IF(AND(BM$5&gt;=$F178,BM$5&lt;=$G178),6,"")</f>
        <v/>
      </c>
      <c r="BN178" s="34">
        <f>IF(AND(BN$5&gt;=$F178,BN$5&lt;=$G178),6,"")</f>
        <v/>
      </c>
    </row>
    <row r="179" ht="14.25" customHeight="1" s="36">
      <c r="A179" s="13" t="inlineStr">
        <is>
          <t>6 Infraestructura física y sitios</t>
        </is>
      </c>
      <c r="B179" s="13" t="inlineStr">
        <is>
          <t>6.5.1</t>
        </is>
      </c>
      <c r="C179" s="13" t="inlineStr">
        <is>
          <t>Terminales de preventa, reparto y bodega configurados y enrolados</t>
        </is>
      </c>
      <c r="D179" s="13" t="inlineStr">
        <is>
          <t>T</t>
        </is>
      </c>
      <c r="E179" s="13" t="inlineStr">
        <is>
          <t>Operación / SRE</t>
        </is>
      </c>
      <c r="F179" s="13" t="n">
        <v>9</v>
      </c>
      <c r="G179" s="13" t="n">
        <v>12</v>
      </c>
      <c r="H179" s="13">
        <f>G179-F179+1</f>
        <v/>
      </c>
      <c r="I179" s="31" t="n">
        <v>160</v>
      </c>
      <c r="J179" s="13" t="inlineStr">
        <is>
          <t>Con entregable (detalle por planificación gradual)</t>
        </is>
      </c>
      <c r="K179" s="34">
        <f>IF(AND(K$5&gt;=$F179,K$5&lt;=$G179),6,"")</f>
        <v/>
      </c>
      <c r="L179" s="34">
        <f>IF(AND(L$5&gt;=$F179,L$5&lt;=$G179),6,"")</f>
        <v/>
      </c>
      <c r="M179" s="34">
        <f>IF(AND(M$5&gt;=$F179,M$5&lt;=$G179),6,"")</f>
        <v/>
      </c>
      <c r="N179" s="34">
        <f>IF(AND(N$5&gt;=$F179,N$5&lt;=$G179),6,"")</f>
        <v/>
      </c>
      <c r="O179" s="34">
        <f>IF(AND(O$5&gt;=$F179,O$5&lt;=$G179),6,"")</f>
        <v/>
      </c>
      <c r="P179" s="34">
        <f>IF(AND(P$5&gt;=$F179,P$5&lt;=$G179),6,"")</f>
        <v/>
      </c>
      <c r="Q179" s="34">
        <f>IF(AND(Q$5&gt;=$F179,Q$5&lt;=$G179),6,"")</f>
        <v/>
      </c>
      <c r="R179" s="34">
        <f>IF(AND(R$5&gt;=$F179,R$5&lt;=$G179),6,"")</f>
        <v/>
      </c>
      <c r="S179" s="34">
        <f>IF(AND(S$5&gt;=$F179,S$5&lt;=$G179),6,"")</f>
        <v/>
      </c>
      <c r="T179" s="34">
        <f>IF(AND(T$5&gt;=$F179,T$5&lt;=$G179),6,"")</f>
        <v/>
      </c>
      <c r="U179" s="34">
        <f>IF(AND(U$5&gt;=$F179,U$5&lt;=$G179),6,"")</f>
        <v/>
      </c>
      <c r="V179" s="34">
        <f>IF(AND(V$5&gt;=$F179,V$5&lt;=$G179),6,"")</f>
        <v/>
      </c>
      <c r="W179" s="34">
        <f>IF(AND(W$5&gt;=$F179,W$5&lt;=$G179),6,"")</f>
        <v/>
      </c>
      <c r="X179" s="34">
        <f>IF(AND(X$5&gt;=$F179,X$5&lt;=$G179),6,"")</f>
        <v/>
      </c>
      <c r="Y179" s="34">
        <f>IF(AND(Y$5&gt;=$F179,Y$5&lt;=$G179),6,"")</f>
        <v/>
      </c>
      <c r="Z179" s="34">
        <f>IF(AND(Z$5&gt;=$F179,Z$5&lt;=$G179),6,"")</f>
        <v/>
      </c>
      <c r="AA179" s="34">
        <f>IF(AND(AA$5&gt;=$F179,AA$5&lt;=$G179),6,"")</f>
        <v/>
      </c>
      <c r="AB179" s="34">
        <f>IF(AND(AB$5&gt;=$F179,AB$5&lt;=$G179),6,"")</f>
        <v/>
      </c>
      <c r="AC179" s="34">
        <f>IF(AND(AC$5&gt;=$F179,AC$5&lt;=$G179),6,"")</f>
        <v/>
      </c>
      <c r="AD179" s="34">
        <f>IF(AND(AD$5&gt;=$F179,AD$5&lt;=$G179),6,"")</f>
        <v/>
      </c>
      <c r="AE179" s="34">
        <f>IF(AND(AE$5&gt;=$F179,AE$5&lt;=$G179),6,"")</f>
        <v/>
      </c>
      <c r="AF179" s="34">
        <f>IF(AND(AF$5&gt;=$F179,AF$5&lt;=$G179),6,"")</f>
        <v/>
      </c>
      <c r="AG179" s="34">
        <f>IF(AND(AG$5&gt;=$F179,AG$5&lt;=$G179),6,"")</f>
        <v/>
      </c>
      <c r="AH179" s="34">
        <f>IF(AND(AH$5&gt;=$F179,AH$5&lt;=$G179),6,"")</f>
        <v/>
      </c>
      <c r="AI179" s="34">
        <f>IF(AND(AI$5&gt;=$F179,AI$5&lt;=$G179),6,"")</f>
        <v/>
      </c>
      <c r="AJ179" s="34">
        <f>IF(AND(AJ$5&gt;=$F179,AJ$5&lt;=$G179),6,"")</f>
        <v/>
      </c>
      <c r="AK179" s="34">
        <f>IF(AND(AK$5&gt;=$F179,AK$5&lt;=$G179),6,"")</f>
        <v/>
      </c>
      <c r="AL179" s="34">
        <f>IF(AND(AL$5&gt;=$F179,AL$5&lt;=$G179),6,"")</f>
        <v/>
      </c>
      <c r="AM179" s="34">
        <f>IF(AND(AM$5&gt;=$F179,AM$5&lt;=$G179),6,"")</f>
        <v/>
      </c>
      <c r="AN179" s="34">
        <f>IF(AND(AN$5&gt;=$F179,AN$5&lt;=$G179),6,"")</f>
        <v/>
      </c>
      <c r="AO179" s="34">
        <f>IF(AND(AO$5&gt;=$F179,AO$5&lt;=$G179),6,"")</f>
        <v/>
      </c>
      <c r="AP179" s="34">
        <f>IF(AND(AP$5&gt;=$F179,AP$5&lt;=$G179),6,"")</f>
        <v/>
      </c>
      <c r="AQ179" s="34">
        <f>IF(AND(AQ$5&gt;=$F179,AQ$5&lt;=$G179),6,"")</f>
        <v/>
      </c>
      <c r="AR179" s="34">
        <f>IF(AND(AR$5&gt;=$F179,AR$5&lt;=$G179),6,"")</f>
        <v/>
      </c>
      <c r="AS179" s="34">
        <f>IF(AND(AS$5&gt;=$F179,AS$5&lt;=$G179),6,"")</f>
        <v/>
      </c>
      <c r="AT179" s="34">
        <f>IF(AND(AT$5&gt;=$F179,AT$5&lt;=$G179),6,"")</f>
        <v/>
      </c>
      <c r="AU179" s="34">
        <f>IF(AND(AU$5&gt;=$F179,AU$5&lt;=$G179),6,"")</f>
        <v/>
      </c>
      <c r="AV179" s="34">
        <f>IF(AND(AV$5&gt;=$F179,AV$5&lt;=$G179),6,"")</f>
        <v/>
      </c>
      <c r="AW179" s="34">
        <f>IF(AND(AW$5&gt;=$F179,AW$5&lt;=$G179),6,"")</f>
        <v/>
      </c>
      <c r="AX179" s="34">
        <f>IF(AND(AX$5&gt;=$F179,AX$5&lt;=$G179),6,"")</f>
        <v/>
      </c>
      <c r="AY179" s="34">
        <f>IF(AND(AY$5&gt;=$F179,AY$5&lt;=$G179),6,"")</f>
        <v/>
      </c>
      <c r="AZ179" s="34">
        <f>IF(AND(AZ$5&gt;=$F179,AZ$5&lt;=$G179),6,"")</f>
        <v/>
      </c>
      <c r="BA179" s="34">
        <f>IF(AND(BA$5&gt;=$F179,BA$5&lt;=$G179),6,"")</f>
        <v/>
      </c>
      <c r="BB179" s="34">
        <f>IF(AND(BB$5&gt;=$F179,BB$5&lt;=$G179),6,"")</f>
        <v/>
      </c>
      <c r="BC179" s="34">
        <f>IF(AND(BC$5&gt;=$F179,BC$5&lt;=$G179),6,"")</f>
        <v/>
      </c>
      <c r="BD179" s="34">
        <f>IF(AND(BD$5&gt;=$F179,BD$5&lt;=$G179),6,"")</f>
        <v/>
      </c>
      <c r="BE179" s="34">
        <f>IF(AND(BE$5&gt;=$F179,BE$5&lt;=$G179),6,"")</f>
        <v/>
      </c>
      <c r="BF179" s="34">
        <f>IF(AND(BF$5&gt;=$F179,BF$5&lt;=$G179),6,"")</f>
        <v/>
      </c>
      <c r="BG179" s="34">
        <f>IF(AND(BG$5&gt;=$F179,BG$5&lt;=$G179),6,"")</f>
        <v/>
      </c>
      <c r="BH179" s="34">
        <f>IF(AND(BH$5&gt;=$F179,BH$5&lt;=$G179),6,"")</f>
        <v/>
      </c>
      <c r="BI179" s="34">
        <f>IF(AND(BI$5&gt;=$F179,BI$5&lt;=$G179),6,"")</f>
        <v/>
      </c>
      <c r="BJ179" s="34">
        <f>IF(AND(BJ$5&gt;=$F179,BJ$5&lt;=$G179),6,"")</f>
        <v/>
      </c>
      <c r="BK179" s="34">
        <f>IF(AND(BK$5&gt;=$F179,BK$5&lt;=$G179),6,"")</f>
        <v/>
      </c>
      <c r="BL179" s="34">
        <f>IF(AND(BL$5&gt;=$F179,BL$5&lt;=$G179),6,"")</f>
        <v/>
      </c>
      <c r="BM179" s="34">
        <f>IF(AND(BM$5&gt;=$F179,BM$5&lt;=$G179),6,"")</f>
        <v/>
      </c>
      <c r="BN179" s="34">
        <f>IF(AND(BN$5&gt;=$F179,BN$5&lt;=$G179),6,"")</f>
        <v/>
      </c>
    </row>
    <row r="180" ht="14.25" customHeight="1" s="36">
      <c r="A180" s="13" t="inlineStr">
        <is>
          <t>6 Infraestructura física y sitios</t>
        </is>
      </c>
      <c r="B180" s="13" t="inlineStr">
        <is>
          <t>6.5.2</t>
        </is>
      </c>
      <c r="C180" s="13" t="inlineStr">
        <is>
          <t>Terminales de pago configurados, uno por camión</t>
        </is>
      </c>
      <c r="D180" s="13" t="inlineStr">
        <is>
          <t>T</t>
        </is>
      </c>
      <c r="E180" s="13" t="inlineStr">
        <is>
          <t>Operación / SRE</t>
        </is>
      </c>
      <c r="F180" s="13" t="n">
        <v>10</v>
      </c>
      <c r="G180" s="13" t="n">
        <v>12</v>
      </c>
      <c r="H180" s="13">
        <f>G180-F180+1</f>
        <v/>
      </c>
      <c r="I180" s="31" t="n">
        <v>160</v>
      </c>
      <c r="J180" s="13" t="inlineStr">
        <is>
          <t>Con entregable (detalle por planificación gradual)</t>
        </is>
      </c>
      <c r="K180" s="34">
        <f>IF(AND(K$5&gt;=$F180,K$5&lt;=$G180),6,"")</f>
        <v/>
      </c>
      <c r="L180" s="34">
        <f>IF(AND(L$5&gt;=$F180,L$5&lt;=$G180),6,"")</f>
        <v/>
      </c>
      <c r="M180" s="34">
        <f>IF(AND(M$5&gt;=$F180,M$5&lt;=$G180),6,"")</f>
        <v/>
      </c>
      <c r="N180" s="34">
        <f>IF(AND(N$5&gt;=$F180,N$5&lt;=$G180),6,"")</f>
        <v/>
      </c>
      <c r="O180" s="34">
        <f>IF(AND(O$5&gt;=$F180,O$5&lt;=$G180),6,"")</f>
        <v/>
      </c>
      <c r="P180" s="34">
        <f>IF(AND(P$5&gt;=$F180,P$5&lt;=$G180),6,"")</f>
        <v/>
      </c>
      <c r="Q180" s="34">
        <f>IF(AND(Q$5&gt;=$F180,Q$5&lt;=$G180),6,"")</f>
        <v/>
      </c>
      <c r="R180" s="34">
        <f>IF(AND(R$5&gt;=$F180,R$5&lt;=$G180),6,"")</f>
        <v/>
      </c>
      <c r="S180" s="34">
        <f>IF(AND(S$5&gt;=$F180,S$5&lt;=$G180),6,"")</f>
        <v/>
      </c>
      <c r="T180" s="34">
        <f>IF(AND(T$5&gt;=$F180,T$5&lt;=$G180),6,"")</f>
        <v/>
      </c>
      <c r="U180" s="34">
        <f>IF(AND(U$5&gt;=$F180,U$5&lt;=$G180),6,"")</f>
        <v/>
      </c>
      <c r="V180" s="34">
        <f>IF(AND(V$5&gt;=$F180,V$5&lt;=$G180),6,"")</f>
        <v/>
      </c>
      <c r="W180" s="34">
        <f>IF(AND(W$5&gt;=$F180,W$5&lt;=$G180),6,"")</f>
        <v/>
      </c>
      <c r="X180" s="34">
        <f>IF(AND(X$5&gt;=$F180,X$5&lt;=$G180),6,"")</f>
        <v/>
      </c>
      <c r="Y180" s="34">
        <f>IF(AND(Y$5&gt;=$F180,Y$5&lt;=$G180),6,"")</f>
        <v/>
      </c>
      <c r="Z180" s="34">
        <f>IF(AND(Z$5&gt;=$F180,Z$5&lt;=$G180),6,"")</f>
        <v/>
      </c>
      <c r="AA180" s="34">
        <f>IF(AND(AA$5&gt;=$F180,AA$5&lt;=$G180),6,"")</f>
        <v/>
      </c>
      <c r="AB180" s="34">
        <f>IF(AND(AB$5&gt;=$F180,AB$5&lt;=$G180),6,"")</f>
        <v/>
      </c>
      <c r="AC180" s="34">
        <f>IF(AND(AC$5&gt;=$F180,AC$5&lt;=$G180),6,"")</f>
        <v/>
      </c>
      <c r="AD180" s="34">
        <f>IF(AND(AD$5&gt;=$F180,AD$5&lt;=$G180),6,"")</f>
        <v/>
      </c>
      <c r="AE180" s="34">
        <f>IF(AND(AE$5&gt;=$F180,AE$5&lt;=$G180),6,"")</f>
        <v/>
      </c>
      <c r="AF180" s="34">
        <f>IF(AND(AF$5&gt;=$F180,AF$5&lt;=$G180),6,"")</f>
        <v/>
      </c>
      <c r="AG180" s="34">
        <f>IF(AND(AG$5&gt;=$F180,AG$5&lt;=$G180),6,"")</f>
        <v/>
      </c>
      <c r="AH180" s="34">
        <f>IF(AND(AH$5&gt;=$F180,AH$5&lt;=$G180),6,"")</f>
        <v/>
      </c>
      <c r="AI180" s="34">
        <f>IF(AND(AI$5&gt;=$F180,AI$5&lt;=$G180),6,"")</f>
        <v/>
      </c>
      <c r="AJ180" s="34">
        <f>IF(AND(AJ$5&gt;=$F180,AJ$5&lt;=$G180),6,"")</f>
        <v/>
      </c>
      <c r="AK180" s="34">
        <f>IF(AND(AK$5&gt;=$F180,AK$5&lt;=$G180),6,"")</f>
        <v/>
      </c>
      <c r="AL180" s="34">
        <f>IF(AND(AL$5&gt;=$F180,AL$5&lt;=$G180),6,"")</f>
        <v/>
      </c>
      <c r="AM180" s="34">
        <f>IF(AND(AM$5&gt;=$F180,AM$5&lt;=$G180),6,"")</f>
        <v/>
      </c>
      <c r="AN180" s="34">
        <f>IF(AND(AN$5&gt;=$F180,AN$5&lt;=$G180),6,"")</f>
        <v/>
      </c>
      <c r="AO180" s="34">
        <f>IF(AND(AO$5&gt;=$F180,AO$5&lt;=$G180),6,"")</f>
        <v/>
      </c>
      <c r="AP180" s="34">
        <f>IF(AND(AP$5&gt;=$F180,AP$5&lt;=$G180),6,"")</f>
        <v/>
      </c>
      <c r="AQ180" s="34">
        <f>IF(AND(AQ$5&gt;=$F180,AQ$5&lt;=$G180),6,"")</f>
        <v/>
      </c>
      <c r="AR180" s="34">
        <f>IF(AND(AR$5&gt;=$F180,AR$5&lt;=$G180),6,"")</f>
        <v/>
      </c>
      <c r="AS180" s="34">
        <f>IF(AND(AS$5&gt;=$F180,AS$5&lt;=$G180),6,"")</f>
        <v/>
      </c>
      <c r="AT180" s="34">
        <f>IF(AND(AT$5&gt;=$F180,AT$5&lt;=$G180),6,"")</f>
        <v/>
      </c>
      <c r="AU180" s="34">
        <f>IF(AND(AU$5&gt;=$F180,AU$5&lt;=$G180),6,"")</f>
        <v/>
      </c>
      <c r="AV180" s="34">
        <f>IF(AND(AV$5&gt;=$F180,AV$5&lt;=$G180),6,"")</f>
        <v/>
      </c>
      <c r="AW180" s="34">
        <f>IF(AND(AW$5&gt;=$F180,AW$5&lt;=$G180),6,"")</f>
        <v/>
      </c>
      <c r="AX180" s="34">
        <f>IF(AND(AX$5&gt;=$F180,AX$5&lt;=$G180),6,"")</f>
        <v/>
      </c>
      <c r="AY180" s="34">
        <f>IF(AND(AY$5&gt;=$F180,AY$5&lt;=$G180),6,"")</f>
        <v/>
      </c>
      <c r="AZ180" s="34">
        <f>IF(AND(AZ$5&gt;=$F180,AZ$5&lt;=$G180),6,"")</f>
        <v/>
      </c>
      <c r="BA180" s="34">
        <f>IF(AND(BA$5&gt;=$F180,BA$5&lt;=$G180),6,"")</f>
        <v/>
      </c>
      <c r="BB180" s="34">
        <f>IF(AND(BB$5&gt;=$F180,BB$5&lt;=$G180),6,"")</f>
        <v/>
      </c>
      <c r="BC180" s="34">
        <f>IF(AND(BC$5&gt;=$F180,BC$5&lt;=$G180),6,"")</f>
        <v/>
      </c>
      <c r="BD180" s="34">
        <f>IF(AND(BD$5&gt;=$F180,BD$5&lt;=$G180),6,"")</f>
        <v/>
      </c>
      <c r="BE180" s="34">
        <f>IF(AND(BE$5&gt;=$F180,BE$5&lt;=$G180),6,"")</f>
        <v/>
      </c>
      <c r="BF180" s="34">
        <f>IF(AND(BF$5&gt;=$F180,BF$5&lt;=$G180),6,"")</f>
        <v/>
      </c>
      <c r="BG180" s="34">
        <f>IF(AND(BG$5&gt;=$F180,BG$5&lt;=$G180),6,"")</f>
        <v/>
      </c>
      <c r="BH180" s="34">
        <f>IF(AND(BH$5&gt;=$F180,BH$5&lt;=$G180),6,"")</f>
        <v/>
      </c>
      <c r="BI180" s="34">
        <f>IF(AND(BI$5&gt;=$F180,BI$5&lt;=$G180),6,"")</f>
        <v/>
      </c>
      <c r="BJ180" s="34">
        <f>IF(AND(BJ$5&gt;=$F180,BJ$5&lt;=$G180),6,"")</f>
        <v/>
      </c>
      <c r="BK180" s="34">
        <f>IF(AND(BK$5&gt;=$F180,BK$5&lt;=$G180),6,"")</f>
        <v/>
      </c>
      <c r="BL180" s="34">
        <f>IF(AND(BL$5&gt;=$F180,BL$5&lt;=$G180),6,"")</f>
        <v/>
      </c>
      <c r="BM180" s="34">
        <f>IF(AND(BM$5&gt;=$F180,BM$5&lt;=$G180),6,"")</f>
        <v/>
      </c>
      <c r="BN180" s="34">
        <f>IF(AND(BN$5&gt;=$F180,BN$5&lt;=$G180),6,"")</f>
        <v/>
      </c>
    </row>
    <row r="181" ht="14.25" customHeight="1" s="36">
      <c r="A181" s="13" t="inlineStr">
        <is>
          <t>6 Infraestructura física y sitios</t>
        </is>
      </c>
      <c r="B181" s="13" t="inlineStr">
        <is>
          <t>6.5.3</t>
        </is>
      </c>
      <c r="C181" s="13" t="inlineStr">
        <is>
          <t>Sensores de cámara y gateways IoT instalados en Talca y Concepción</t>
        </is>
      </c>
      <c r="D181" s="13" t="inlineStr">
        <is>
          <t>T</t>
        </is>
      </c>
      <c r="E181" s="13" t="inlineStr">
        <is>
          <t>Operación / SRE</t>
        </is>
      </c>
      <c r="F181" s="13" t="n">
        <v>9</v>
      </c>
      <c r="G181" s="13" t="n">
        <v>11</v>
      </c>
      <c r="H181" s="13">
        <f>G181-F181+1</f>
        <v/>
      </c>
      <c r="I181" s="31" t="n">
        <v>160</v>
      </c>
      <c r="J181" s="13" t="inlineStr">
        <is>
          <t>Con entregable (detalle por planificación gradual)</t>
        </is>
      </c>
      <c r="K181" s="34">
        <f>IF(AND(K$5&gt;=$F181,K$5&lt;=$G181),6,"")</f>
        <v/>
      </c>
      <c r="L181" s="34">
        <f>IF(AND(L$5&gt;=$F181,L$5&lt;=$G181),6,"")</f>
        <v/>
      </c>
      <c r="M181" s="34">
        <f>IF(AND(M$5&gt;=$F181,M$5&lt;=$G181),6,"")</f>
        <v/>
      </c>
      <c r="N181" s="34">
        <f>IF(AND(N$5&gt;=$F181,N$5&lt;=$G181),6,"")</f>
        <v/>
      </c>
      <c r="O181" s="34">
        <f>IF(AND(O$5&gt;=$F181,O$5&lt;=$G181),6,"")</f>
        <v/>
      </c>
      <c r="P181" s="34">
        <f>IF(AND(P$5&gt;=$F181,P$5&lt;=$G181),6,"")</f>
        <v/>
      </c>
      <c r="Q181" s="34">
        <f>IF(AND(Q$5&gt;=$F181,Q$5&lt;=$G181),6,"")</f>
        <v/>
      </c>
      <c r="R181" s="34">
        <f>IF(AND(R$5&gt;=$F181,R$5&lt;=$G181),6,"")</f>
        <v/>
      </c>
      <c r="S181" s="34">
        <f>IF(AND(S$5&gt;=$F181,S$5&lt;=$G181),6,"")</f>
        <v/>
      </c>
      <c r="T181" s="34">
        <f>IF(AND(T$5&gt;=$F181,T$5&lt;=$G181),6,"")</f>
        <v/>
      </c>
      <c r="U181" s="34">
        <f>IF(AND(U$5&gt;=$F181,U$5&lt;=$G181),6,"")</f>
        <v/>
      </c>
      <c r="V181" s="34">
        <f>IF(AND(V$5&gt;=$F181,V$5&lt;=$G181),6,"")</f>
        <v/>
      </c>
      <c r="W181" s="34">
        <f>IF(AND(W$5&gt;=$F181,W$5&lt;=$G181),6,"")</f>
        <v/>
      </c>
      <c r="X181" s="34">
        <f>IF(AND(X$5&gt;=$F181,X$5&lt;=$G181),6,"")</f>
        <v/>
      </c>
      <c r="Y181" s="34">
        <f>IF(AND(Y$5&gt;=$F181,Y$5&lt;=$G181),6,"")</f>
        <v/>
      </c>
      <c r="Z181" s="34">
        <f>IF(AND(Z$5&gt;=$F181,Z$5&lt;=$G181),6,"")</f>
        <v/>
      </c>
      <c r="AA181" s="34">
        <f>IF(AND(AA$5&gt;=$F181,AA$5&lt;=$G181),6,"")</f>
        <v/>
      </c>
      <c r="AB181" s="34">
        <f>IF(AND(AB$5&gt;=$F181,AB$5&lt;=$G181),6,"")</f>
        <v/>
      </c>
      <c r="AC181" s="34">
        <f>IF(AND(AC$5&gt;=$F181,AC$5&lt;=$G181),6,"")</f>
        <v/>
      </c>
      <c r="AD181" s="34">
        <f>IF(AND(AD$5&gt;=$F181,AD$5&lt;=$G181),6,"")</f>
        <v/>
      </c>
      <c r="AE181" s="34">
        <f>IF(AND(AE$5&gt;=$F181,AE$5&lt;=$G181),6,"")</f>
        <v/>
      </c>
      <c r="AF181" s="34">
        <f>IF(AND(AF$5&gt;=$F181,AF$5&lt;=$G181),6,"")</f>
        <v/>
      </c>
      <c r="AG181" s="34">
        <f>IF(AND(AG$5&gt;=$F181,AG$5&lt;=$G181),6,"")</f>
        <v/>
      </c>
      <c r="AH181" s="34">
        <f>IF(AND(AH$5&gt;=$F181,AH$5&lt;=$G181),6,"")</f>
        <v/>
      </c>
      <c r="AI181" s="34">
        <f>IF(AND(AI$5&gt;=$F181,AI$5&lt;=$G181),6,"")</f>
        <v/>
      </c>
      <c r="AJ181" s="34">
        <f>IF(AND(AJ$5&gt;=$F181,AJ$5&lt;=$G181),6,"")</f>
        <v/>
      </c>
      <c r="AK181" s="34">
        <f>IF(AND(AK$5&gt;=$F181,AK$5&lt;=$G181),6,"")</f>
        <v/>
      </c>
      <c r="AL181" s="34">
        <f>IF(AND(AL$5&gt;=$F181,AL$5&lt;=$G181),6,"")</f>
        <v/>
      </c>
      <c r="AM181" s="34">
        <f>IF(AND(AM$5&gt;=$F181,AM$5&lt;=$G181),6,"")</f>
        <v/>
      </c>
      <c r="AN181" s="34">
        <f>IF(AND(AN$5&gt;=$F181,AN$5&lt;=$G181),6,"")</f>
        <v/>
      </c>
      <c r="AO181" s="34">
        <f>IF(AND(AO$5&gt;=$F181,AO$5&lt;=$G181),6,"")</f>
        <v/>
      </c>
      <c r="AP181" s="34">
        <f>IF(AND(AP$5&gt;=$F181,AP$5&lt;=$G181),6,"")</f>
        <v/>
      </c>
      <c r="AQ181" s="34">
        <f>IF(AND(AQ$5&gt;=$F181,AQ$5&lt;=$G181),6,"")</f>
        <v/>
      </c>
      <c r="AR181" s="34">
        <f>IF(AND(AR$5&gt;=$F181,AR$5&lt;=$G181),6,"")</f>
        <v/>
      </c>
      <c r="AS181" s="34">
        <f>IF(AND(AS$5&gt;=$F181,AS$5&lt;=$G181),6,"")</f>
        <v/>
      </c>
      <c r="AT181" s="34">
        <f>IF(AND(AT$5&gt;=$F181,AT$5&lt;=$G181),6,"")</f>
        <v/>
      </c>
      <c r="AU181" s="34">
        <f>IF(AND(AU$5&gt;=$F181,AU$5&lt;=$G181),6,"")</f>
        <v/>
      </c>
      <c r="AV181" s="34">
        <f>IF(AND(AV$5&gt;=$F181,AV$5&lt;=$G181),6,"")</f>
        <v/>
      </c>
      <c r="AW181" s="34">
        <f>IF(AND(AW$5&gt;=$F181,AW$5&lt;=$G181),6,"")</f>
        <v/>
      </c>
      <c r="AX181" s="34">
        <f>IF(AND(AX$5&gt;=$F181,AX$5&lt;=$G181),6,"")</f>
        <v/>
      </c>
      <c r="AY181" s="34">
        <f>IF(AND(AY$5&gt;=$F181,AY$5&lt;=$G181),6,"")</f>
        <v/>
      </c>
      <c r="AZ181" s="34">
        <f>IF(AND(AZ$5&gt;=$F181,AZ$5&lt;=$G181),6,"")</f>
        <v/>
      </c>
      <c r="BA181" s="34">
        <f>IF(AND(BA$5&gt;=$F181,BA$5&lt;=$G181),6,"")</f>
        <v/>
      </c>
      <c r="BB181" s="34">
        <f>IF(AND(BB$5&gt;=$F181,BB$5&lt;=$G181),6,"")</f>
        <v/>
      </c>
      <c r="BC181" s="34">
        <f>IF(AND(BC$5&gt;=$F181,BC$5&lt;=$G181),6,"")</f>
        <v/>
      </c>
      <c r="BD181" s="34">
        <f>IF(AND(BD$5&gt;=$F181,BD$5&lt;=$G181),6,"")</f>
        <v/>
      </c>
      <c r="BE181" s="34">
        <f>IF(AND(BE$5&gt;=$F181,BE$5&lt;=$G181),6,"")</f>
        <v/>
      </c>
      <c r="BF181" s="34">
        <f>IF(AND(BF$5&gt;=$F181,BF$5&lt;=$G181),6,"")</f>
        <v/>
      </c>
      <c r="BG181" s="34">
        <f>IF(AND(BG$5&gt;=$F181,BG$5&lt;=$G181),6,"")</f>
        <v/>
      </c>
      <c r="BH181" s="34">
        <f>IF(AND(BH$5&gt;=$F181,BH$5&lt;=$G181),6,"")</f>
        <v/>
      </c>
      <c r="BI181" s="34">
        <f>IF(AND(BI$5&gt;=$F181,BI$5&lt;=$G181),6,"")</f>
        <v/>
      </c>
      <c r="BJ181" s="34">
        <f>IF(AND(BJ$5&gt;=$F181,BJ$5&lt;=$G181),6,"")</f>
        <v/>
      </c>
      <c r="BK181" s="34">
        <f>IF(AND(BK$5&gt;=$F181,BK$5&lt;=$G181),6,"")</f>
        <v/>
      </c>
      <c r="BL181" s="34">
        <f>IF(AND(BL$5&gt;=$F181,BL$5&lt;=$G181),6,"")</f>
        <v/>
      </c>
      <c r="BM181" s="34">
        <f>IF(AND(BM$5&gt;=$F181,BM$5&lt;=$G181),6,"")</f>
        <v/>
      </c>
      <c r="BN181" s="34">
        <f>IF(AND(BN$5&gt;=$F181,BN$5&lt;=$G181),6,"")</f>
        <v/>
      </c>
    </row>
    <row r="182" ht="14.25" customHeight="1" s="36">
      <c r="A182" s="13" t="inlineStr">
        <is>
          <t>6 Infraestructura física y sitios</t>
        </is>
      </c>
      <c r="B182" s="13" t="inlineStr">
        <is>
          <t>6.5.4</t>
        </is>
      </c>
      <c r="C182" s="13" t="inlineStr">
        <is>
          <t>Termógrafos instalados en los 28 camiones con frío (propios y de transportistas)</t>
        </is>
      </c>
      <c r="D182" s="13" t="inlineStr">
        <is>
          <t>T</t>
        </is>
      </c>
      <c r="E182" s="13" t="inlineStr">
        <is>
          <t>Operación / SRE</t>
        </is>
      </c>
      <c r="F182" s="13" t="n">
        <v>10</v>
      </c>
      <c r="G182" s="13" t="n">
        <v>12</v>
      </c>
      <c r="H182" s="13">
        <f>G182-F182+1</f>
        <v/>
      </c>
      <c r="I182" s="31" t="n">
        <v>160</v>
      </c>
      <c r="J182" s="13" t="inlineStr">
        <is>
          <t>Con entregable (detalle por planificación gradual)</t>
        </is>
      </c>
      <c r="K182" s="34">
        <f>IF(AND(K$5&gt;=$F182,K$5&lt;=$G182),6,"")</f>
        <v/>
      </c>
      <c r="L182" s="34">
        <f>IF(AND(L$5&gt;=$F182,L$5&lt;=$G182),6,"")</f>
        <v/>
      </c>
      <c r="M182" s="34">
        <f>IF(AND(M$5&gt;=$F182,M$5&lt;=$G182),6,"")</f>
        <v/>
      </c>
      <c r="N182" s="34">
        <f>IF(AND(N$5&gt;=$F182,N$5&lt;=$G182),6,"")</f>
        <v/>
      </c>
      <c r="O182" s="34">
        <f>IF(AND(O$5&gt;=$F182,O$5&lt;=$G182),6,"")</f>
        <v/>
      </c>
      <c r="P182" s="34">
        <f>IF(AND(P$5&gt;=$F182,P$5&lt;=$G182),6,"")</f>
        <v/>
      </c>
      <c r="Q182" s="34">
        <f>IF(AND(Q$5&gt;=$F182,Q$5&lt;=$G182),6,"")</f>
        <v/>
      </c>
      <c r="R182" s="34">
        <f>IF(AND(R$5&gt;=$F182,R$5&lt;=$G182),6,"")</f>
        <v/>
      </c>
      <c r="S182" s="34">
        <f>IF(AND(S$5&gt;=$F182,S$5&lt;=$G182),6,"")</f>
        <v/>
      </c>
      <c r="T182" s="34">
        <f>IF(AND(T$5&gt;=$F182,T$5&lt;=$G182),6,"")</f>
        <v/>
      </c>
      <c r="U182" s="34">
        <f>IF(AND(U$5&gt;=$F182,U$5&lt;=$G182),6,"")</f>
        <v/>
      </c>
      <c r="V182" s="34">
        <f>IF(AND(V$5&gt;=$F182,V$5&lt;=$G182),6,"")</f>
        <v/>
      </c>
      <c r="W182" s="34">
        <f>IF(AND(W$5&gt;=$F182,W$5&lt;=$G182),6,"")</f>
        <v/>
      </c>
      <c r="X182" s="34">
        <f>IF(AND(X$5&gt;=$F182,X$5&lt;=$G182),6,"")</f>
        <v/>
      </c>
      <c r="Y182" s="34">
        <f>IF(AND(Y$5&gt;=$F182,Y$5&lt;=$G182),6,"")</f>
        <v/>
      </c>
      <c r="Z182" s="34">
        <f>IF(AND(Z$5&gt;=$F182,Z$5&lt;=$G182),6,"")</f>
        <v/>
      </c>
      <c r="AA182" s="34">
        <f>IF(AND(AA$5&gt;=$F182,AA$5&lt;=$G182),6,"")</f>
        <v/>
      </c>
      <c r="AB182" s="34">
        <f>IF(AND(AB$5&gt;=$F182,AB$5&lt;=$G182),6,"")</f>
        <v/>
      </c>
      <c r="AC182" s="34">
        <f>IF(AND(AC$5&gt;=$F182,AC$5&lt;=$G182),6,"")</f>
        <v/>
      </c>
      <c r="AD182" s="34">
        <f>IF(AND(AD$5&gt;=$F182,AD$5&lt;=$G182),6,"")</f>
        <v/>
      </c>
      <c r="AE182" s="34">
        <f>IF(AND(AE$5&gt;=$F182,AE$5&lt;=$G182),6,"")</f>
        <v/>
      </c>
      <c r="AF182" s="34">
        <f>IF(AND(AF$5&gt;=$F182,AF$5&lt;=$G182),6,"")</f>
        <v/>
      </c>
      <c r="AG182" s="34">
        <f>IF(AND(AG$5&gt;=$F182,AG$5&lt;=$G182),6,"")</f>
        <v/>
      </c>
      <c r="AH182" s="34">
        <f>IF(AND(AH$5&gt;=$F182,AH$5&lt;=$G182),6,"")</f>
        <v/>
      </c>
      <c r="AI182" s="34">
        <f>IF(AND(AI$5&gt;=$F182,AI$5&lt;=$G182),6,"")</f>
        <v/>
      </c>
      <c r="AJ182" s="34">
        <f>IF(AND(AJ$5&gt;=$F182,AJ$5&lt;=$G182),6,"")</f>
        <v/>
      </c>
      <c r="AK182" s="34">
        <f>IF(AND(AK$5&gt;=$F182,AK$5&lt;=$G182),6,"")</f>
        <v/>
      </c>
      <c r="AL182" s="34">
        <f>IF(AND(AL$5&gt;=$F182,AL$5&lt;=$G182),6,"")</f>
        <v/>
      </c>
      <c r="AM182" s="34">
        <f>IF(AND(AM$5&gt;=$F182,AM$5&lt;=$G182),6,"")</f>
        <v/>
      </c>
      <c r="AN182" s="34">
        <f>IF(AND(AN$5&gt;=$F182,AN$5&lt;=$G182),6,"")</f>
        <v/>
      </c>
      <c r="AO182" s="34">
        <f>IF(AND(AO$5&gt;=$F182,AO$5&lt;=$G182),6,"")</f>
        <v/>
      </c>
      <c r="AP182" s="34">
        <f>IF(AND(AP$5&gt;=$F182,AP$5&lt;=$G182),6,"")</f>
        <v/>
      </c>
      <c r="AQ182" s="34">
        <f>IF(AND(AQ$5&gt;=$F182,AQ$5&lt;=$G182),6,"")</f>
        <v/>
      </c>
      <c r="AR182" s="34">
        <f>IF(AND(AR$5&gt;=$F182,AR$5&lt;=$G182),6,"")</f>
        <v/>
      </c>
      <c r="AS182" s="34">
        <f>IF(AND(AS$5&gt;=$F182,AS$5&lt;=$G182),6,"")</f>
        <v/>
      </c>
      <c r="AT182" s="34">
        <f>IF(AND(AT$5&gt;=$F182,AT$5&lt;=$G182),6,"")</f>
        <v/>
      </c>
      <c r="AU182" s="34">
        <f>IF(AND(AU$5&gt;=$F182,AU$5&lt;=$G182),6,"")</f>
        <v/>
      </c>
      <c r="AV182" s="34">
        <f>IF(AND(AV$5&gt;=$F182,AV$5&lt;=$G182),6,"")</f>
        <v/>
      </c>
      <c r="AW182" s="34">
        <f>IF(AND(AW$5&gt;=$F182,AW$5&lt;=$G182),6,"")</f>
        <v/>
      </c>
      <c r="AX182" s="34">
        <f>IF(AND(AX$5&gt;=$F182,AX$5&lt;=$G182),6,"")</f>
        <v/>
      </c>
      <c r="AY182" s="34">
        <f>IF(AND(AY$5&gt;=$F182,AY$5&lt;=$G182),6,"")</f>
        <v/>
      </c>
      <c r="AZ182" s="34">
        <f>IF(AND(AZ$5&gt;=$F182,AZ$5&lt;=$G182),6,"")</f>
        <v/>
      </c>
      <c r="BA182" s="34">
        <f>IF(AND(BA$5&gt;=$F182,BA$5&lt;=$G182),6,"")</f>
        <v/>
      </c>
      <c r="BB182" s="34">
        <f>IF(AND(BB$5&gt;=$F182,BB$5&lt;=$G182),6,"")</f>
        <v/>
      </c>
      <c r="BC182" s="34">
        <f>IF(AND(BC$5&gt;=$F182,BC$5&lt;=$G182),6,"")</f>
        <v/>
      </c>
      <c r="BD182" s="34">
        <f>IF(AND(BD$5&gt;=$F182,BD$5&lt;=$G182),6,"")</f>
        <v/>
      </c>
      <c r="BE182" s="34">
        <f>IF(AND(BE$5&gt;=$F182,BE$5&lt;=$G182),6,"")</f>
        <v/>
      </c>
      <c r="BF182" s="34">
        <f>IF(AND(BF$5&gt;=$F182,BF$5&lt;=$G182),6,"")</f>
        <v/>
      </c>
      <c r="BG182" s="34">
        <f>IF(AND(BG$5&gt;=$F182,BG$5&lt;=$G182),6,"")</f>
        <v/>
      </c>
      <c r="BH182" s="34">
        <f>IF(AND(BH$5&gt;=$F182,BH$5&lt;=$G182),6,"")</f>
        <v/>
      </c>
      <c r="BI182" s="34">
        <f>IF(AND(BI$5&gt;=$F182,BI$5&lt;=$G182),6,"")</f>
        <v/>
      </c>
      <c r="BJ182" s="34">
        <f>IF(AND(BJ$5&gt;=$F182,BJ$5&lt;=$G182),6,"")</f>
        <v/>
      </c>
      <c r="BK182" s="34">
        <f>IF(AND(BK$5&gt;=$F182,BK$5&lt;=$G182),6,"")</f>
        <v/>
      </c>
      <c r="BL182" s="34">
        <f>IF(AND(BL$5&gt;=$F182,BL$5&lt;=$G182),6,"")</f>
        <v/>
      </c>
      <c r="BM182" s="34">
        <f>IF(AND(BM$5&gt;=$F182,BM$5&lt;=$G182),6,"")</f>
        <v/>
      </c>
      <c r="BN182" s="34">
        <f>IF(AND(BN$5&gt;=$F182,BN$5&lt;=$G182),6,"")</f>
        <v/>
      </c>
    </row>
    <row r="183" ht="14.25" customHeight="1" s="36">
      <c r="A183" s="13" t="inlineStr">
        <is>
          <t>6 Infraestructura física y sitios</t>
        </is>
      </c>
      <c r="B183" s="13" t="inlineStr">
        <is>
          <t>6.5.5</t>
        </is>
      </c>
      <c r="C183" s="13" t="inlineStr">
        <is>
          <t>Impresoras de cabina instaladas</t>
        </is>
      </c>
      <c r="D183" s="13" t="inlineStr">
        <is>
          <t>T</t>
        </is>
      </c>
      <c r="E183" s="13" t="inlineStr">
        <is>
          <t>Operación / SRE</t>
        </is>
      </c>
      <c r="F183" s="13" t="n">
        <v>10</v>
      </c>
      <c r="G183" s="13" t="n">
        <v>12</v>
      </c>
      <c r="H183" s="13">
        <f>G183-F183+1</f>
        <v/>
      </c>
      <c r="I183" s="31" t="n">
        <v>160</v>
      </c>
      <c r="J183" s="13" t="inlineStr">
        <is>
          <t>Con entregable (detalle por planificación gradual)</t>
        </is>
      </c>
      <c r="K183" s="34">
        <f>IF(AND(K$5&gt;=$F183,K$5&lt;=$G183),6,"")</f>
        <v/>
      </c>
      <c r="L183" s="34">
        <f>IF(AND(L$5&gt;=$F183,L$5&lt;=$G183),6,"")</f>
        <v/>
      </c>
      <c r="M183" s="34">
        <f>IF(AND(M$5&gt;=$F183,M$5&lt;=$G183),6,"")</f>
        <v/>
      </c>
      <c r="N183" s="34">
        <f>IF(AND(N$5&gt;=$F183,N$5&lt;=$G183),6,"")</f>
        <v/>
      </c>
      <c r="O183" s="34">
        <f>IF(AND(O$5&gt;=$F183,O$5&lt;=$G183),6,"")</f>
        <v/>
      </c>
      <c r="P183" s="34">
        <f>IF(AND(P$5&gt;=$F183,P$5&lt;=$G183),6,"")</f>
        <v/>
      </c>
      <c r="Q183" s="34">
        <f>IF(AND(Q$5&gt;=$F183,Q$5&lt;=$G183),6,"")</f>
        <v/>
      </c>
      <c r="R183" s="34">
        <f>IF(AND(R$5&gt;=$F183,R$5&lt;=$G183),6,"")</f>
        <v/>
      </c>
      <c r="S183" s="34">
        <f>IF(AND(S$5&gt;=$F183,S$5&lt;=$G183),6,"")</f>
        <v/>
      </c>
      <c r="T183" s="34">
        <f>IF(AND(T$5&gt;=$F183,T$5&lt;=$G183),6,"")</f>
        <v/>
      </c>
      <c r="U183" s="34">
        <f>IF(AND(U$5&gt;=$F183,U$5&lt;=$G183),6,"")</f>
        <v/>
      </c>
      <c r="V183" s="34">
        <f>IF(AND(V$5&gt;=$F183,V$5&lt;=$G183),6,"")</f>
        <v/>
      </c>
      <c r="W183" s="34">
        <f>IF(AND(W$5&gt;=$F183,W$5&lt;=$G183),6,"")</f>
        <v/>
      </c>
      <c r="X183" s="34">
        <f>IF(AND(X$5&gt;=$F183,X$5&lt;=$G183),6,"")</f>
        <v/>
      </c>
      <c r="Y183" s="34">
        <f>IF(AND(Y$5&gt;=$F183,Y$5&lt;=$G183),6,"")</f>
        <v/>
      </c>
      <c r="Z183" s="34">
        <f>IF(AND(Z$5&gt;=$F183,Z$5&lt;=$G183),6,"")</f>
        <v/>
      </c>
      <c r="AA183" s="34">
        <f>IF(AND(AA$5&gt;=$F183,AA$5&lt;=$G183),6,"")</f>
        <v/>
      </c>
      <c r="AB183" s="34">
        <f>IF(AND(AB$5&gt;=$F183,AB$5&lt;=$G183),6,"")</f>
        <v/>
      </c>
      <c r="AC183" s="34">
        <f>IF(AND(AC$5&gt;=$F183,AC$5&lt;=$G183),6,"")</f>
        <v/>
      </c>
      <c r="AD183" s="34">
        <f>IF(AND(AD$5&gt;=$F183,AD$5&lt;=$G183),6,"")</f>
        <v/>
      </c>
      <c r="AE183" s="34">
        <f>IF(AND(AE$5&gt;=$F183,AE$5&lt;=$G183),6,"")</f>
        <v/>
      </c>
      <c r="AF183" s="34">
        <f>IF(AND(AF$5&gt;=$F183,AF$5&lt;=$G183),6,"")</f>
        <v/>
      </c>
      <c r="AG183" s="34">
        <f>IF(AND(AG$5&gt;=$F183,AG$5&lt;=$G183),6,"")</f>
        <v/>
      </c>
      <c r="AH183" s="34">
        <f>IF(AND(AH$5&gt;=$F183,AH$5&lt;=$G183),6,"")</f>
        <v/>
      </c>
      <c r="AI183" s="34">
        <f>IF(AND(AI$5&gt;=$F183,AI$5&lt;=$G183),6,"")</f>
        <v/>
      </c>
      <c r="AJ183" s="34">
        <f>IF(AND(AJ$5&gt;=$F183,AJ$5&lt;=$G183),6,"")</f>
        <v/>
      </c>
      <c r="AK183" s="34">
        <f>IF(AND(AK$5&gt;=$F183,AK$5&lt;=$G183),6,"")</f>
        <v/>
      </c>
      <c r="AL183" s="34">
        <f>IF(AND(AL$5&gt;=$F183,AL$5&lt;=$G183),6,"")</f>
        <v/>
      </c>
      <c r="AM183" s="34">
        <f>IF(AND(AM$5&gt;=$F183,AM$5&lt;=$G183),6,"")</f>
        <v/>
      </c>
      <c r="AN183" s="34">
        <f>IF(AND(AN$5&gt;=$F183,AN$5&lt;=$G183),6,"")</f>
        <v/>
      </c>
      <c r="AO183" s="34">
        <f>IF(AND(AO$5&gt;=$F183,AO$5&lt;=$G183),6,"")</f>
        <v/>
      </c>
      <c r="AP183" s="34">
        <f>IF(AND(AP$5&gt;=$F183,AP$5&lt;=$G183),6,"")</f>
        <v/>
      </c>
      <c r="AQ183" s="34">
        <f>IF(AND(AQ$5&gt;=$F183,AQ$5&lt;=$G183),6,"")</f>
        <v/>
      </c>
      <c r="AR183" s="34">
        <f>IF(AND(AR$5&gt;=$F183,AR$5&lt;=$G183),6,"")</f>
        <v/>
      </c>
      <c r="AS183" s="34">
        <f>IF(AND(AS$5&gt;=$F183,AS$5&lt;=$G183),6,"")</f>
        <v/>
      </c>
      <c r="AT183" s="34">
        <f>IF(AND(AT$5&gt;=$F183,AT$5&lt;=$G183),6,"")</f>
        <v/>
      </c>
      <c r="AU183" s="34">
        <f>IF(AND(AU$5&gt;=$F183,AU$5&lt;=$G183),6,"")</f>
        <v/>
      </c>
      <c r="AV183" s="34">
        <f>IF(AND(AV$5&gt;=$F183,AV$5&lt;=$G183),6,"")</f>
        <v/>
      </c>
      <c r="AW183" s="34">
        <f>IF(AND(AW$5&gt;=$F183,AW$5&lt;=$G183),6,"")</f>
        <v/>
      </c>
      <c r="AX183" s="34">
        <f>IF(AND(AX$5&gt;=$F183,AX$5&lt;=$G183),6,"")</f>
        <v/>
      </c>
      <c r="AY183" s="34">
        <f>IF(AND(AY$5&gt;=$F183,AY$5&lt;=$G183),6,"")</f>
        <v/>
      </c>
      <c r="AZ183" s="34">
        <f>IF(AND(AZ$5&gt;=$F183,AZ$5&lt;=$G183),6,"")</f>
        <v/>
      </c>
      <c r="BA183" s="34">
        <f>IF(AND(BA$5&gt;=$F183,BA$5&lt;=$G183),6,"")</f>
        <v/>
      </c>
      <c r="BB183" s="34">
        <f>IF(AND(BB$5&gt;=$F183,BB$5&lt;=$G183),6,"")</f>
        <v/>
      </c>
      <c r="BC183" s="34">
        <f>IF(AND(BC$5&gt;=$F183,BC$5&lt;=$G183),6,"")</f>
        <v/>
      </c>
      <c r="BD183" s="34">
        <f>IF(AND(BD$5&gt;=$F183,BD$5&lt;=$G183),6,"")</f>
        <v/>
      </c>
      <c r="BE183" s="34">
        <f>IF(AND(BE$5&gt;=$F183,BE$5&lt;=$G183),6,"")</f>
        <v/>
      </c>
      <c r="BF183" s="34">
        <f>IF(AND(BF$5&gt;=$F183,BF$5&lt;=$G183),6,"")</f>
        <v/>
      </c>
      <c r="BG183" s="34">
        <f>IF(AND(BG$5&gt;=$F183,BG$5&lt;=$G183),6,"")</f>
        <v/>
      </c>
      <c r="BH183" s="34">
        <f>IF(AND(BH$5&gt;=$F183,BH$5&lt;=$G183),6,"")</f>
        <v/>
      </c>
      <c r="BI183" s="34">
        <f>IF(AND(BI$5&gt;=$F183,BI$5&lt;=$G183),6,"")</f>
        <v/>
      </c>
      <c r="BJ183" s="34">
        <f>IF(AND(BJ$5&gt;=$F183,BJ$5&lt;=$G183),6,"")</f>
        <v/>
      </c>
      <c r="BK183" s="34">
        <f>IF(AND(BK$5&gt;=$F183,BK$5&lt;=$G183),6,"")</f>
        <v/>
      </c>
      <c r="BL183" s="34">
        <f>IF(AND(BL$5&gt;=$F183,BL$5&lt;=$G183),6,"")</f>
        <v/>
      </c>
      <c r="BM183" s="34">
        <f>IF(AND(BM$5&gt;=$F183,BM$5&lt;=$G183),6,"")</f>
        <v/>
      </c>
      <c r="BN183" s="34">
        <f>IF(AND(BN$5&gt;=$F183,BN$5&lt;=$G183),6,"")</f>
        <v/>
      </c>
    </row>
    <row r="184" ht="14.25" customHeight="1" s="36">
      <c r="A184" s="13" t="inlineStr">
        <is>
          <t>6 Infraestructura física y sitios</t>
        </is>
      </c>
      <c r="B184" s="13" t="inlineStr">
        <is>
          <t>6.5.6</t>
        </is>
      </c>
      <c r="C184" s="13" t="inlineStr">
        <is>
          <t>Impresoras de andén y balanzas de recepción instaladas</t>
        </is>
      </c>
      <c r="D184" s="13" t="inlineStr">
        <is>
          <t>T</t>
        </is>
      </c>
      <c r="E184" s="13" t="inlineStr">
        <is>
          <t>Operación / SRE</t>
        </is>
      </c>
      <c r="F184" s="13" t="n">
        <v>9</v>
      </c>
      <c r="G184" s="13" t="n">
        <v>12</v>
      </c>
      <c r="H184" s="13">
        <f>G184-F184+1</f>
        <v/>
      </c>
      <c r="I184" s="31" t="n">
        <v>160</v>
      </c>
      <c r="J184" s="13" t="inlineStr">
        <is>
          <t>Con entregable (detalle por planificación gradual)</t>
        </is>
      </c>
      <c r="K184" s="34">
        <f>IF(AND(K$5&gt;=$F184,K$5&lt;=$G184),6,"")</f>
        <v/>
      </c>
      <c r="L184" s="34">
        <f>IF(AND(L$5&gt;=$F184,L$5&lt;=$G184),6,"")</f>
        <v/>
      </c>
      <c r="M184" s="34">
        <f>IF(AND(M$5&gt;=$F184,M$5&lt;=$G184),6,"")</f>
        <v/>
      </c>
      <c r="N184" s="34">
        <f>IF(AND(N$5&gt;=$F184,N$5&lt;=$G184),6,"")</f>
        <v/>
      </c>
      <c r="O184" s="34">
        <f>IF(AND(O$5&gt;=$F184,O$5&lt;=$G184),6,"")</f>
        <v/>
      </c>
      <c r="P184" s="34">
        <f>IF(AND(P$5&gt;=$F184,P$5&lt;=$G184),6,"")</f>
        <v/>
      </c>
      <c r="Q184" s="34">
        <f>IF(AND(Q$5&gt;=$F184,Q$5&lt;=$G184),6,"")</f>
        <v/>
      </c>
      <c r="R184" s="34">
        <f>IF(AND(R$5&gt;=$F184,R$5&lt;=$G184),6,"")</f>
        <v/>
      </c>
      <c r="S184" s="34">
        <f>IF(AND(S$5&gt;=$F184,S$5&lt;=$G184),6,"")</f>
        <v/>
      </c>
      <c r="T184" s="34">
        <f>IF(AND(T$5&gt;=$F184,T$5&lt;=$G184),6,"")</f>
        <v/>
      </c>
      <c r="U184" s="34">
        <f>IF(AND(U$5&gt;=$F184,U$5&lt;=$G184),6,"")</f>
        <v/>
      </c>
      <c r="V184" s="34">
        <f>IF(AND(V$5&gt;=$F184,V$5&lt;=$G184),6,"")</f>
        <v/>
      </c>
      <c r="W184" s="34">
        <f>IF(AND(W$5&gt;=$F184,W$5&lt;=$G184),6,"")</f>
        <v/>
      </c>
      <c r="X184" s="34">
        <f>IF(AND(X$5&gt;=$F184,X$5&lt;=$G184),6,"")</f>
        <v/>
      </c>
      <c r="Y184" s="34">
        <f>IF(AND(Y$5&gt;=$F184,Y$5&lt;=$G184),6,"")</f>
        <v/>
      </c>
      <c r="Z184" s="34">
        <f>IF(AND(Z$5&gt;=$F184,Z$5&lt;=$G184),6,"")</f>
        <v/>
      </c>
      <c r="AA184" s="34">
        <f>IF(AND(AA$5&gt;=$F184,AA$5&lt;=$G184),6,"")</f>
        <v/>
      </c>
      <c r="AB184" s="34">
        <f>IF(AND(AB$5&gt;=$F184,AB$5&lt;=$G184),6,"")</f>
        <v/>
      </c>
      <c r="AC184" s="34">
        <f>IF(AND(AC$5&gt;=$F184,AC$5&lt;=$G184),6,"")</f>
        <v/>
      </c>
      <c r="AD184" s="34">
        <f>IF(AND(AD$5&gt;=$F184,AD$5&lt;=$G184),6,"")</f>
        <v/>
      </c>
      <c r="AE184" s="34">
        <f>IF(AND(AE$5&gt;=$F184,AE$5&lt;=$G184),6,"")</f>
        <v/>
      </c>
      <c r="AF184" s="34">
        <f>IF(AND(AF$5&gt;=$F184,AF$5&lt;=$G184),6,"")</f>
        <v/>
      </c>
      <c r="AG184" s="34">
        <f>IF(AND(AG$5&gt;=$F184,AG$5&lt;=$G184),6,"")</f>
        <v/>
      </c>
      <c r="AH184" s="34">
        <f>IF(AND(AH$5&gt;=$F184,AH$5&lt;=$G184),6,"")</f>
        <v/>
      </c>
      <c r="AI184" s="34">
        <f>IF(AND(AI$5&gt;=$F184,AI$5&lt;=$G184),6,"")</f>
        <v/>
      </c>
      <c r="AJ184" s="34">
        <f>IF(AND(AJ$5&gt;=$F184,AJ$5&lt;=$G184),6,"")</f>
        <v/>
      </c>
      <c r="AK184" s="34">
        <f>IF(AND(AK$5&gt;=$F184,AK$5&lt;=$G184),6,"")</f>
        <v/>
      </c>
      <c r="AL184" s="34">
        <f>IF(AND(AL$5&gt;=$F184,AL$5&lt;=$G184),6,"")</f>
        <v/>
      </c>
      <c r="AM184" s="34">
        <f>IF(AND(AM$5&gt;=$F184,AM$5&lt;=$G184),6,"")</f>
        <v/>
      </c>
      <c r="AN184" s="34">
        <f>IF(AND(AN$5&gt;=$F184,AN$5&lt;=$G184),6,"")</f>
        <v/>
      </c>
      <c r="AO184" s="34">
        <f>IF(AND(AO$5&gt;=$F184,AO$5&lt;=$G184),6,"")</f>
        <v/>
      </c>
      <c r="AP184" s="34">
        <f>IF(AND(AP$5&gt;=$F184,AP$5&lt;=$G184),6,"")</f>
        <v/>
      </c>
      <c r="AQ184" s="34">
        <f>IF(AND(AQ$5&gt;=$F184,AQ$5&lt;=$G184),6,"")</f>
        <v/>
      </c>
      <c r="AR184" s="34">
        <f>IF(AND(AR$5&gt;=$F184,AR$5&lt;=$G184),6,"")</f>
        <v/>
      </c>
      <c r="AS184" s="34">
        <f>IF(AND(AS$5&gt;=$F184,AS$5&lt;=$G184),6,"")</f>
        <v/>
      </c>
      <c r="AT184" s="34">
        <f>IF(AND(AT$5&gt;=$F184,AT$5&lt;=$G184),6,"")</f>
        <v/>
      </c>
      <c r="AU184" s="34">
        <f>IF(AND(AU$5&gt;=$F184,AU$5&lt;=$G184),6,"")</f>
        <v/>
      </c>
      <c r="AV184" s="34">
        <f>IF(AND(AV$5&gt;=$F184,AV$5&lt;=$G184),6,"")</f>
        <v/>
      </c>
      <c r="AW184" s="34">
        <f>IF(AND(AW$5&gt;=$F184,AW$5&lt;=$G184),6,"")</f>
        <v/>
      </c>
      <c r="AX184" s="34">
        <f>IF(AND(AX$5&gt;=$F184,AX$5&lt;=$G184),6,"")</f>
        <v/>
      </c>
      <c r="AY184" s="34">
        <f>IF(AND(AY$5&gt;=$F184,AY$5&lt;=$G184),6,"")</f>
        <v/>
      </c>
      <c r="AZ184" s="34">
        <f>IF(AND(AZ$5&gt;=$F184,AZ$5&lt;=$G184),6,"")</f>
        <v/>
      </c>
      <c r="BA184" s="34">
        <f>IF(AND(BA$5&gt;=$F184,BA$5&lt;=$G184),6,"")</f>
        <v/>
      </c>
      <c r="BB184" s="34">
        <f>IF(AND(BB$5&gt;=$F184,BB$5&lt;=$G184),6,"")</f>
        <v/>
      </c>
      <c r="BC184" s="34">
        <f>IF(AND(BC$5&gt;=$F184,BC$5&lt;=$G184),6,"")</f>
        <v/>
      </c>
      <c r="BD184" s="34">
        <f>IF(AND(BD$5&gt;=$F184,BD$5&lt;=$G184),6,"")</f>
        <v/>
      </c>
      <c r="BE184" s="34">
        <f>IF(AND(BE$5&gt;=$F184,BE$5&lt;=$G184),6,"")</f>
        <v/>
      </c>
      <c r="BF184" s="34">
        <f>IF(AND(BF$5&gt;=$F184,BF$5&lt;=$G184),6,"")</f>
        <v/>
      </c>
      <c r="BG184" s="34">
        <f>IF(AND(BG$5&gt;=$F184,BG$5&lt;=$G184),6,"")</f>
        <v/>
      </c>
      <c r="BH184" s="34">
        <f>IF(AND(BH$5&gt;=$F184,BH$5&lt;=$G184),6,"")</f>
        <v/>
      </c>
      <c r="BI184" s="34">
        <f>IF(AND(BI$5&gt;=$F184,BI$5&lt;=$G184),6,"")</f>
        <v/>
      </c>
      <c r="BJ184" s="34">
        <f>IF(AND(BJ$5&gt;=$F184,BJ$5&lt;=$G184),6,"")</f>
        <v/>
      </c>
      <c r="BK184" s="34">
        <f>IF(AND(BK$5&gt;=$F184,BK$5&lt;=$G184),6,"")</f>
        <v/>
      </c>
      <c r="BL184" s="34">
        <f>IF(AND(BL$5&gt;=$F184,BL$5&lt;=$G184),6,"")</f>
        <v/>
      </c>
      <c r="BM184" s="34">
        <f>IF(AND(BM$5&gt;=$F184,BM$5&lt;=$G184),6,"")</f>
        <v/>
      </c>
      <c r="BN184" s="34">
        <f>IF(AND(BN$5&gt;=$F184,BN$5&lt;=$G184),6,"")</f>
        <v/>
      </c>
    </row>
    <row r="185" ht="14.25" customHeight="1" s="36">
      <c r="A185" s="13" t="inlineStr">
        <is>
          <t>6 Infraestructura física y sitios</t>
        </is>
      </c>
      <c r="B185" s="13" t="inlineStr">
        <is>
          <t>6.6.1</t>
        </is>
      </c>
      <c r="C185" s="13" t="inlineStr">
        <is>
          <t>Software de base instalado en los sitios: virtualización, contenedores, PostgreSQL, RabbitMQ y Keycloak</t>
        </is>
      </c>
      <c r="D185" s="13" t="inlineStr">
        <is>
          <t>T</t>
        </is>
      </c>
      <c r="E185" s="13" t="inlineStr">
        <is>
          <t>Operación / SRE</t>
        </is>
      </c>
      <c r="F185" s="13" t="n">
        <v>5</v>
      </c>
      <c r="G185" s="13" t="n">
        <v>5</v>
      </c>
      <c r="H185" s="13">
        <f>G185-F185+1</f>
        <v/>
      </c>
      <c r="I185" s="31" t="n">
        <v>160</v>
      </c>
      <c r="J185" s="13" t="inlineStr">
        <is>
          <t>Con entregable (detalle por planificación gradual)</t>
        </is>
      </c>
      <c r="K185" s="34">
        <f>IF(AND(K$5&gt;=$F185,K$5&lt;=$G185),6,"")</f>
        <v/>
      </c>
      <c r="L185" s="34">
        <f>IF(AND(L$5&gt;=$F185,L$5&lt;=$G185),6,"")</f>
        <v/>
      </c>
      <c r="M185" s="34">
        <f>IF(AND(M$5&gt;=$F185,M$5&lt;=$G185),6,"")</f>
        <v/>
      </c>
      <c r="N185" s="34">
        <f>IF(AND(N$5&gt;=$F185,N$5&lt;=$G185),6,"")</f>
        <v/>
      </c>
      <c r="O185" s="34">
        <f>IF(AND(O$5&gt;=$F185,O$5&lt;=$G185),6,"")</f>
        <v/>
      </c>
      <c r="P185" s="34">
        <f>IF(AND(P$5&gt;=$F185,P$5&lt;=$G185),6,"")</f>
        <v/>
      </c>
      <c r="Q185" s="34">
        <f>IF(AND(Q$5&gt;=$F185,Q$5&lt;=$G185),6,"")</f>
        <v/>
      </c>
      <c r="R185" s="34">
        <f>IF(AND(R$5&gt;=$F185,R$5&lt;=$G185),6,"")</f>
        <v/>
      </c>
      <c r="S185" s="34">
        <f>IF(AND(S$5&gt;=$F185,S$5&lt;=$G185),6,"")</f>
        <v/>
      </c>
      <c r="T185" s="34">
        <f>IF(AND(T$5&gt;=$F185,T$5&lt;=$G185),6,"")</f>
        <v/>
      </c>
      <c r="U185" s="34">
        <f>IF(AND(U$5&gt;=$F185,U$5&lt;=$G185),6,"")</f>
        <v/>
      </c>
      <c r="V185" s="34">
        <f>IF(AND(V$5&gt;=$F185,V$5&lt;=$G185),6,"")</f>
        <v/>
      </c>
      <c r="W185" s="34">
        <f>IF(AND(W$5&gt;=$F185,W$5&lt;=$G185),6,"")</f>
        <v/>
      </c>
      <c r="X185" s="34">
        <f>IF(AND(X$5&gt;=$F185,X$5&lt;=$G185),6,"")</f>
        <v/>
      </c>
      <c r="Y185" s="34">
        <f>IF(AND(Y$5&gt;=$F185,Y$5&lt;=$G185),6,"")</f>
        <v/>
      </c>
      <c r="Z185" s="34">
        <f>IF(AND(Z$5&gt;=$F185,Z$5&lt;=$G185),6,"")</f>
        <v/>
      </c>
      <c r="AA185" s="34">
        <f>IF(AND(AA$5&gt;=$F185,AA$5&lt;=$G185),6,"")</f>
        <v/>
      </c>
      <c r="AB185" s="34">
        <f>IF(AND(AB$5&gt;=$F185,AB$5&lt;=$G185),6,"")</f>
        <v/>
      </c>
      <c r="AC185" s="34">
        <f>IF(AND(AC$5&gt;=$F185,AC$5&lt;=$G185),6,"")</f>
        <v/>
      </c>
      <c r="AD185" s="34">
        <f>IF(AND(AD$5&gt;=$F185,AD$5&lt;=$G185),6,"")</f>
        <v/>
      </c>
      <c r="AE185" s="34">
        <f>IF(AND(AE$5&gt;=$F185,AE$5&lt;=$G185),6,"")</f>
        <v/>
      </c>
      <c r="AF185" s="34">
        <f>IF(AND(AF$5&gt;=$F185,AF$5&lt;=$G185),6,"")</f>
        <v/>
      </c>
      <c r="AG185" s="34">
        <f>IF(AND(AG$5&gt;=$F185,AG$5&lt;=$G185),6,"")</f>
        <v/>
      </c>
      <c r="AH185" s="34">
        <f>IF(AND(AH$5&gt;=$F185,AH$5&lt;=$G185),6,"")</f>
        <v/>
      </c>
      <c r="AI185" s="34">
        <f>IF(AND(AI$5&gt;=$F185,AI$5&lt;=$G185),6,"")</f>
        <v/>
      </c>
      <c r="AJ185" s="34">
        <f>IF(AND(AJ$5&gt;=$F185,AJ$5&lt;=$G185),6,"")</f>
        <v/>
      </c>
      <c r="AK185" s="34">
        <f>IF(AND(AK$5&gt;=$F185,AK$5&lt;=$G185),6,"")</f>
        <v/>
      </c>
      <c r="AL185" s="34">
        <f>IF(AND(AL$5&gt;=$F185,AL$5&lt;=$G185),6,"")</f>
        <v/>
      </c>
      <c r="AM185" s="34">
        <f>IF(AND(AM$5&gt;=$F185,AM$5&lt;=$G185),6,"")</f>
        <v/>
      </c>
      <c r="AN185" s="34">
        <f>IF(AND(AN$5&gt;=$F185,AN$5&lt;=$G185),6,"")</f>
        <v/>
      </c>
      <c r="AO185" s="34">
        <f>IF(AND(AO$5&gt;=$F185,AO$5&lt;=$G185),6,"")</f>
        <v/>
      </c>
      <c r="AP185" s="34">
        <f>IF(AND(AP$5&gt;=$F185,AP$5&lt;=$G185),6,"")</f>
        <v/>
      </c>
      <c r="AQ185" s="34">
        <f>IF(AND(AQ$5&gt;=$F185,AQ$5&lt;=$G185),6,"")</f>
        <v/>
      </c>
      <c r="AR185" s="34">
        <f>IF(AND(AR$5&gt;=$F185,AR$5&lt;=$G185),6,"")</f>
        <v/>
      </c>
      <c r="AS185" s="34">
        <f>IF(AND(AS$5&gt;=$F185,AS$5&lt;=$G185),6,"")</f>
        <v/>
      </c>
      <c r="AT185" s="34">
        <f>IF(AND(AT$5&gt;=$F185,AT$5&lt;=$G185),6,"")</f>
        <v/>
      </c>
      <c r="AU185" s="34">
        <f>IF(AND(AU$5&gt;=$F185,AU$5&lt;=$G185),6,"")</f>
        <v/>
      </c>
      <c r="AV185" s="34">
        <f>IF(AND(AV$5&gt;=$F185,AV$5&lt;=$G185),6,"")</f>
        <v/>
      </c>
      <c r="AW185" s="34">
        <f>IF(AND(AW$5&gt;=$F185,AW$5&lt;=$G185),6,"")</f>
        <v/>
      </c>
      <c r="AX185" s="34">
        <f>IF(AND(AX$5&gt;=$F185,AX$5&lt;=$G185),6,"")</f>
        <v/>
      </c>
      <c r="AY185" s="34">
        <f>IF(AND(AY$5&gt;=$F185,AY$5&lt;=$G185),6,"")</f>
        <v/>
      </c>
      <c r="AZ185" s="34">
        <f>IF(AND(AZ$5&gt;=$F185,AZ$5&lt;=$G185),6,"")</f>
        <v/>
      </c>
      <c r="BA185" s="34">
        <f>IF(AND(BA$5&gt;=$F185,BA$5&lt;=$G185),6,"")</f>
        <v/>
      </c>
      <c r="BB185" s="34">
        <f>IF(AND(BB$5&gt;=$F185,BB$5&lt;=$G185),6,"")</f>
        <v/>
      </c>
      <c r="BC185" s="34">
        <f>IF(AND(BC$5&gt;=$F185,BC$5&lt;=$G185),6,"")</f>
        <v/>
      </c>
      <c r="BD185" s="34">
        <f>IF(AND(BD$5&gt;=$F185,BD$5&lt;=$G185),6,"")</f>
        <v/>
      </c>
      <c r="BE185" s="34">
        <f>IF(AND(BE$5&gt;=$F185,BE$5&lt;=$G185),6,"")</f>
        <v/>
      </c>
      <c r="BF185" s="34">
        <f>IF(AND(BF$5&gt;=$F185,BF$5&lt;=$G185),6,"")</f>
        <v/>
      </c>
      <c r="BG185" s="34">
        <f>IF(AND(BG$5&gt;=$F185,BG$5&lt;=$G185),6,"")</f>
        <v/>
      </c>
      <c r="BH185" s="34">
        <f>IF(AND(BH$5&gt;=$F185,BH$5&lt;=$G185),6,"")</f>
        <v/>
      </c>
      <c r="BI185" s="34">
        <f>IF(AND(BI$5&gt;=$F185,BI$5&lt;=$G185),6,"")</f>
        <v/>
      </c>
      <c r="BJ185" s="34">
        <f>IF(AND(BJ$5&gt;=$F185,BJ$5&lt;=$G185),6,"")</f>
        <v/>
      </c>
      <c r="BK185" s="34">
        <f>IF(AND(BK$5&gt;=$F185,BK$5&lt;=$G185),6,"")</f>
        <v/>
      </c>
      <c r="BL185" s="34">
        <f>IF(AND(BL$5&gt;=$F185,BL$5&lt;=$G185),6,"")</f>
        <v/>
      </c>
      <c r="BM185" s="34">
        <f>IF(AND(BM$5&gt;=$F185,BM$5&lt;=$G185),6,"")</f>
        <v/>
      </c>
      <c r="BN185" s="34">
        <f>IF(AND(BN$5&gt;=$F185,BN$5&lt;=$G185),6,"")</f>
        <v/>
      </c>
    </row>
    <row r="186" ht="14.25" customHeight="1" s="36">
      <c r="A186" s="13" t="inlineStr">
        <is>
          <t>6 Infraestructura física y sitios</t>
        </is>
      </c>
      <c r="B186" s="13" t="inlineStr">
        <is>
          <t>6.6.2</t>
        </is>
      </c>
      <c r="C186" s="13" t="inlineStr">
        <is>
          <t>Enlaces de fibra, LTE y Starlink habilitados, con conmutación al respaldo</t>
        </is>
      </c>
      <c r="D186" s="13" t="inlineStr">
        <is>
          <t>T</t>
        </is>
      </c>
      <c r="E186" s="13" t="inlineStr">
        <is>
          <t>Operación / SRE</t>
        </is>
      </c>
      <c r="F186" s="13" t="n">
        <v>5</v>
      </c>
      <c r="G186" s="13" t="n">
        <v>5</v>
      </c>
      <c r="H186" s="13">
        <f>G186-F186+1</f>
        <v/>
      </c>
      <c r="I186" s="31" t="n">
        <v>160</v>
      </c>
      <c r="J186" s="13" t="inlineStr">
        <is>
          <t>Con entregable (detalle por planificación gradual)</t>
        </is>
      </c>
      <c r="K186" s="34">
        <f>IF(AND(K$5&gt;=$F186,K$5&lt;=$G186),6,"")</f>
        <v/>
      </c>
      <c r="L186" s="34">
        <f>IF(AND(L$5&gt;=$F186,L$5&lt;=$G186),6,"")</f>
        <v/>
      </c>
      <c r="M186" s="34">
        <f>IF(AND(M$5&gt;=$F186,M$5&lt;=$G186),6,"")</f>
        <v/>
      </c>
      <c r="N186" s="34">
        <f>IF(AND(N$5&gt;=$F186,N$5&lt;=$G186),6,"")</f>
        <v/>
      </c>
      <c r="O186" s="34">
        <f>IF(AND(O$5&gt;=$F186,O$5&lt;=$G186),6,"")</f>
        <v/>
      </c>
      <c r="P186" s="34">
        <f>IF(AND(P$5&gt;=$F186,P$5&lt;=$G186),6,"")</f>
        <v/>
      </c>
      <c r="Q186" s="34">
        <f>IF(AND(Q$5&gt;=$F186,Q$5&lt;=$G186),6,"")</f>
        <v/>
      </c>
      <c r="R186" s="34">
        <f>IF(AND(R$5&gt;=$F186,R$5&lt;=$G186),6,"")</f>
        <v/>
      </c>
      <c r="S186" s="34">
        <f>IF(AND(S$5&gt;=$F186,S$5&lt;=$G186),6,"")</f>
        <v/>
      </c>
      <c r="T186" s="34">
        <f>IF(AND(T$5&gt;=$F186,T$5&lt;=$G186),6,"")</f>
        <v/>
      </c>
      <c r="U186" s="34">
        <f>IF(AND(U$5&gt;=$F186,U$5&lt;=$G186),6,"")</f>
        <v/>
      </c>
      <c r="V186" s="34">
        <f>IF(AND(V$5&gt;=$F186,V$5&lt;=$G186),6,"")</f>
        <v/>
      </c>
      <c r="W186" s="34">
        <f>IF(AND(W$5&gt;=$F186,W$5&lt;=$G186),6,"")</f>
        <v/>
      </c>
      <c r="X186" s="34">
        <f>IF(AND(X$5&gt;=$F186,X$5&lt;=$G186),6,"")</f>
        <v/>
      </c>
      <c r="Y186" s="34">
        <f>IF(AND(Y$5&gt;=$F186,Y$5&lt;=$G186),6,"")</f>
        <v/>
      </c>
      <c r="Z186" s="34">
        <f>IF(AND(Z$5&gt;=$F186,Z$5&lt;=$G186),6,"")</f>
        <v/>
      </c>
      <c r="AA186" s="34">
        <f>IF(AND(AA$5&gt;=$F186,AA$5&lt;=$G186),6,"")</f>
        <v/>
      </c>
      <c r="AB186" s="34">
        <f>IF(AND(AB$5&gt;=$F186,AB$5&lt;=$G186),6,"")</f>
        <v/>
      </c>
      <c r="AC186" s="34">
        <f>IF(AND(AC$5&gt;=$F186,AC$5&lt;=$G186),6,"")</f>
        <v/>
      </c>
      <c r="AD186" s="34">
        <f>IF(AND(AD$5&gt;=$F186,AD$5&lt;=$G186),6,"")</f>
        <v/>
      </c>
      <c r="AE186" s="34">
        <f>IF(AND(AE$5&gt;=$F186,AE$5&lt;=$G186),6,"")</f>
        <v/>
      </c>
      <c r="AF186" s="34">
        <f>IF(AND(AF$5&gt;=$F186,AF$5&lt;=$G186),6,"")</f>
        <v/>
      </c>
      <c r="AG186" s="34">
        <f>IF(AND(AG$5&gt;=$F186,AG$5&lt;=$G186),6,"")</f>
        <v/>
      </c>
      <c r="AH186" s="34">
        <f>IF(AND(AH$5&gt;=$F186,AH$5&lt;=$G186),6,"")</f>
        <v/>
      </c>
      <c r="AI186" s="34">
        <f>IF(AND(AI$5&gt;=$F186,AI$5&lt;=$G186),6,"")</f>
        <v/>
      </c>
      <c r="AJ186" s="34">
        <f>IF(AND(AJ$5&gt;=$F186,AJ$5&lt;=$G186),6,"")</f>
        <v/>
      </c>
      <c r="AK186" s="34">
        <f>IF(AND(AK$5&gt;=$F186,AK$5&lt;=$G186),6,"")</f>
        <v/>
      </c>
      <c r="AL186" s="34">
        <f>IF(AND(AL$5&gt;=$F186,AL$5&lt;=$G186),6,"")</f>
        <v/>
      </c>
      <c r="AM186" s="34">
        <f>IF(AND(AM$5&gt;=$F186,AM$5&lt;=$G186),6,"")</f>
        <v/>
      </c>
      <c r="AN186" s="34">
        <f>IF(AND(AN$5&gt;=$F186,AN$5&lt;=$G186),6,"")</f>
        <v/>
      </c>
      <c r="AO186" s="34">
        <f>IF(AND(AO$5&gt;=$F186,AO$5&lt;=$G186),6,"")</f>
        <v/>
      </c>
      <c r="AP186" s="34">
        <f>IF(AND(AP$5&gt;=$F186,AP$5&lt;=$G186),6,"")</f>
        <v/>
      </c>
      <c r="AQ186" s="34">
        <f>IF(AND(AQ$5&gt;=$F186,AQ$5&lt;=$G186),6,"")</f>
        <v/>
      </c>
      <c r="AR186" s="34">
        <f>IF(AND(AR$5&gt;=$F186,AR$5&lt;=$G186),6,"")</f>
        <v/>
      </c>
      <c r="AS186" s="34">
        <f>IF(AND(AS$5&gt;=$F186,AS$5&lt;=$G186),6,"")</f>
        <v/>
      </c>
      <c r="AT186" s="34">
        <f>IF(AND(AT$5&gt;=$F186,AT$5&lt;=$G186),6,"")</f>
        <v/>
      </c>
      <c r="AU186" s="34">
        <f>IF(AND(AU$5&gt;=$F186,AU$5&lt;=$G186),6,"")</f>
        <v/>
      </c>
      <c r="AV186" s="34">
        <f>IF(AND(AV$5&gt;=$F186,AV$5&lt;=$G186),6,"")</f>
        <v/>
      </c>
      <c r="AW186" s="34">
        <f>IF(AND(AW$5&gt;=$F186,AW$5&lt;=$G186),6,"")</f>
        <v/>
      </c>
      <c r="AX186" s="34">
        <f>IF(AND(AX$5&gt;=$F186,AX$5&lt;=$G186),6,"")</f>
        <v/>
      </c>
      <c r="AY186" s="34">
        <f>IF(AND(AY$5&gt;=$F186,AY$5&lt;=$G186),6,"")</f>
        <v/>
      </c>
      <c r="AZ186" s="34">
        <f>IF(AND(AZ$5&gt;=$F186,AZ$5&lt;=$G186),6,"")</f>
        <v/>
      </c>
      <c r="BA186" s="34">
        <f>IF(AND(BA$5&gt;=$F186,BA$5&lt;=$G186),6,"")</f>
        <v/>
      </c>
      <c r="BB186" s="34">
        <f>IF(AND(BB$5&gt;=$F186,BB$5&lt;=$G186),6,"")</f>
        <v/>
      </c>
      <c r="BC186" s="34">
        <f>IF(AND(BC$5&gt;=$F186,BC$5&lt;=$G186),6,"")</f>
        <v/>
      </c>
      <c r="BD186" s="34">
        <f>IF(AND(BD$5&gt;=$F186,BD$5&lt;=$G186),6,"")</f>
        <v/>
      </c>
      <c r="BE186" s="34">
        <f>IF(AND(BE$5&gt;=$F186,BE$5&lt;=$G186),6,"")</f>
        <v/>
      </c>
      <c r="BF186" s="34">
        <f>IF(AND(BF$5&gt;=$F186,BF$5&lt;=$G186),6,"")</f>
        <v/>
      </c>
      <c r="BG186" s="34">
        <f>IF(AND(BG$5&gt;=$F186,BG$5&lt;=$G186),6,"")</f>
        <v/>
      </c>
      <c r="BH186" s="34">
        <f>IF(AND(BH$5&gt;=$F186,BH$5&lt;=$G186),6,"")</f>
        <v/>
      </c>
      <c r="BI186" s="34">
        <f>IF(AND(BI$5&gt;=$F186,BI$5&lt;=$G186),6,"")</f>
        <v/>
      </c>
      <c r="BJ186" s="34">
        <f>IF(AND(BJ$5&gt;=$F186,BJ$5&lt;=$G186),6,"")</f>
        <v/>
      </c>
      <c r="BK186" s="34">
        <f>IF(AND(BK$5&gt;=$F186,BK$5&lt;=$G186),6,"")</f>
        <v/>
      </c>
      <c r="BL186" s="34">
        <f>IF(AND(BL$5&gt;=$F186,BL$5&lt;=$G186),6,"")</f>
        <v/>
      </c>
      <c r="BM186" s="34">
        <f>IF(AND(BM$5&gt;=$F186,BM$5&lt;=$G186),6,"")</f>
        <v/>
      </c>
      <c r="BN186" s="34">
        <f>IF(AND(BN$5&gt;=$F186,BN$5&lt;=$G186),6,"")</f>
        <v/>
      </c>
    </row>
    <row r="187" ht="14.25" customHeight="1" s="36">
      <c r="A187" s="13" t="inlineStr">
        <is>
          <t>6 Infraestructura física y sitios</t>
        </is>
      </c>
      <c r="B187" s="13" t="inlineStr">
        <is>
          <t>6.6.3</t>
        </is>
      </c>
      <c r="C187" s="13" t="inlineStr">
        <is>
          <t>Borde de los CD en servicio, con la prueba de autonomía de 24 horas aprobada</t>
        </is>
      </c>
      <c r="D187" s="13" t="inlineStr">
        <is>
          <t>T</t>
        </is>
      </c>
      <c r="E187" s="13" t="inlineStr">
        <is>
          <t>Operación / SRE</t>
        </is>
      </c>
      <c r="F187" s="13" t="n">
        <v>5</v>
      </c>
      <c r="G187" s="13" t="n">
        <v>5</v>
      </c>
      <c r="H187" s="13">
        <f>G187-F187+1</f>
        <v/>
      </c>
      <c r="I187" s="31" t="n">
        <v>160</v>
      </c>
      <c r="J187" s="13" t="inlineStr">
        <is>
          <t>Con entregable (detalle por planificación gradual)</t>
        </is>
      </c>
      <c r="K187" s="34">
        <f>IF(AND(K$5&gt;=$F187,K$5&lt;=$G187),6,"")</f>
        <v/>
      </c>
      <c r="L187" s="34">
        <f>IF(AND(L$5&gt;=$F187,L$5&lt;=$G187),6,"")</f>
        <v/>
      </c>
      <c r="M187" s="34">
        <f>IF(AND(M$5&gt;=$F187,M$5&lt;=$G187),6,"")</f>
        <v/>
      </c>
      <c r="N187" s="34">
        <f>IF(AND(N$5&gt;=$F187,N$5&lt;=$G187),6,"")</f>
        <v/>
      </c>
      <c r="O187" s="34">
        <f>IF(AND(O$5&gt;=$F187,O$5&lt;=$G187),6,"")</f>
        <v/>
      </c>
      <c r="P187" s="34">
        <f>IF(AND(P$5&gt;=$F187,P$5&lt;=$G187),6,"")</f>
        <v/>
      </c>
      <c r="Q187" s="34">
        <f>IF(AND(Q$5&gt;=$F187,Q$5&lt;=$G187),6,"")</f>
        <v/>
      </c>
      <c r="R187" s="34">
        <f>IF(AND(R$5&gt;=$F187,R$5&lt;=$G187),6,"")</f>
        <v/>
      </c>
      <c r="S187" s="34">
        <f>IF(AND(S$5&gt;=$F187,S$5&lt;=$G187),6,"")</f>
        <v/>
      </c>
      <c r="T187" s="34">
        <f>IF(AND(T$5&gt;=$F187,T$5&lt;=$G187),6,"")</f>
        <v/>
      </c>
      <c r="U187" s="34">
        <f>IF(AND(U$5&gt;=$F187,U$5&lt;=$G187),6,"")</f>
        <v/>
      </c>
      <c r="V187" s="34">
        <f>IF(AND(V$5&gt;=$F187,V$5&lt;=$G187),6,"")</f>
        <v/>
      </c>
      <c r="W187" s="34">
        <f>IF(AND(W$5&gt;=$F187,W$5&lt;=$G187),6,"")</f>
        <v/>
      </c>
      <c r="X187" s="34">
        <f>IF(AND(X$5&gt;=$F187,X$5&lt;=$G187),6,"")</f>
        <v/>
      </c>
      <c r="Y187" s="34">
        <f>IF(AND(Y$5&gt;=$F187,Y$5&lt;=$G187),6,"")</f>
        <v/>
      </c>
      <c r="Z187" s="34">
        <f>IF(AND(Z$5&gt;=$F187,Z$5&lt;=$G187),6,"")</f>
        <v/>
      </c>
      <c r="AA187" s="34">
        <f>IF(AND(AA$5&gt;=$F187,AA$5&lt;=$G187),6,"")</f>
        <v/>
      </c>
      <c r="AB187" s="34">
        <f>IF(AND(AB$5&gt;=$F187,AB$5&lt;=$G187),6,"")</f>
        <v/>
      </c>
      <c r="AC187" s="34">
        <f>IF(AND(AC$5&gt;=$F187,AC$5&lt;=$G187),6,"")</f>
        <v/>
      </c>
      <c r="AD187" s="34">
        <f>IF(AND(AD$5&gt;=$F187,AD$5&lt;=$G187),6,"")</f>
        <v/>
      </c>
      <c r="AE187" s="34">
        <f>IF(AND(AE$5&gt;=$F187,AE$5&lt;=$G187),6,"")</f>
        <v/>
      </c>
      <c r="AF187" s="34">
        <f>IF(AND(AF$5&gt;=$F187,AF$5&lt;=$G187),6,"")</f>
        <v/>
      </c>
      <c r="AG187" s="34">
        <f>IF(AND(AG$5&gt;=$F187,AG$5&lt;=$G187),6,"")</f>
        <v/>
      </c>
      <c r="AH187" s="34">
        <f>IF(AND(AH$5&gt;=$F187,AH$5&lt;=$G187),6,"")</f>
        <v/>
      </c>
      <c r="AI187" s="34">
        <f>IF(AND(AI$5&gt;=$F187,AI$5&lt;=$G187),6,"")</f>
        <v/>
      </c>
      <c r="AJ187" s="34">
        <f>IF(AND(AJ$5&gt;=$F187,AJ$5&lt;=$G187),6,"")</f>
        <v/>
      </c>
      <c r="AK187" s="34">
        <f>IF(AND(AK$5&gt;=$F187,AK$5&lt;=$G187),6,"")</f>
        <v/>
      </c>
      <c r="AL187" s="34">
        <f>IF(AND(AL$5&gt;=$F187,AL$5&lt;=$G187),6,"")</f>
        <v/>
      </c>
      <c r="AM187" s="34">
        <f>IF(AND(AM$5&gt;=$F187,AM$5&lt;=$G187),6,"")</f>
        <v/>
      </c>
      <c r="AN187" s="34">
        <f>IF(AND(AN$5&gt;=$F187,AN$5&lt;=$G187),6,"")</f>
        <v/>
      </c>
      <c r="AO187" s="34">
        <f>IF(AND(AO$5&gt;=$F187,AO$5&lt;=$G187),6,"")</f>
        <v/>
      </c>
      <c r="AP187" s="34">
        <f>IF(AND(AP$5&gt;=$F187,AP$5&lt;=$G187),6,"")</f>
        <v/>
      </c>
      <c r="AQ187" s="34">
        <f>IF(AND(AQ$5&gt;=$F187,AQ$5&lt;=$G187),6,"")</f>
        <v/>
      </c>
      <c r="AR187" s="34">
        <f>IF(AND(AR$5&gt;=$F187,AR$5&lt;=$G187),6,"")</f>
        <v/>
      </c>
      <c r="AS187" s="34">
        <f>IF(AND(AS$5&gt;=$F187,AS$5&lt;=$G187),6,"")</f>
        <v/>
      </c>
      <c r="AT187" s="34">
        <f>IF(AND(AT$5&gt;=$F187,AT$5&lt;=$G187),6,"")</f>
        <v/>
      </c>
      <c r="AU187" s="34">
        <f>IF(AND(AU$5&gt;=$F187,AU$5&lt;=$G187),6,"")</f>
        <v/>
      </c>
      <c r="AV187" s="34">
        <f>IF(AND(AV$5&gt;=$F187,AV$5&lt;=$G187),6,"")</f>
        <v/>
      </c>
      <c r="AW187" s="34">
        <f>IF(AND(AW$5&gt;=$F187,AW$5&lt;=$G187),6,"")</f>
        <v/>
      </c>
      <c r="AX187" s="34">
        <f>IF(AND(AX$5&gt;=$F187,AX$5&lt;=$G187),6,"")</f>
        <v/>
      </c>
      <c r="AY187" s="34">
        <f>IF(AND(AY$5&gt;=$F187,AY$5&lt;=$G187),6,"")</f>
        <v/>
      </c>
      <c r="AZ187" s="34">
        <f>IF(AND(AZ$5&gt;=$F187,AZ$5&lt;=$G187),6,"")</f>
        <v/>
      </c>
      <c r="BA187" s="34">
        <f>IF(AND(BA$5&gt;=$F187,BA$5&lt;=$G187),6,"")</f>
        <v/>
      </c>
      <c r="BB187" s="34">
        <f>IF(AND(BB$5&gt;=$F187,BB$5&lt;=$G187),6,"")</f>
        <v/>
      </c>
      <c r="BC187" s="34">
        <f>IF(AND(BC$5&gt;=$F187,BC$5&lt;=$G187),6,"")</f>
        <v/>
      </c>
      <c r="BD187" s="34">
        <f>IF(AND(BD$5&gt;=$F187,BD$5&lt;=$G187),6,"")</f>
        <v/>
      </c>
      <c r="BE187" s="34">
        <f>IF(AND(BE$5&gt;=$F187,BE$5&lt;=$G187),6,"")</f>
        <v/>
      </c>
      <c r="BF187" s="34">
        <f>IF(AND(BF$5&gt;=$F187,BF$5&lt;=$G187),6,"")</f>
        <v/>
      </c>
      <c r="BG187" s="34">
        <f>IF(AND(BG$5&gt;=$F187,BG$5&lt;=$G187),6,"")</f>
        <v/>
      </c>
      <c r="BH187" s="34">
        <f>IF(AND(BH$5&gt;=$F187,BH$5&lt;=$G187),6,"")</f>
        <v/>
      </c>
      <c r="BI187" s="34">
        <f>IF(AND(BI$5&gt;=$F187,BI$5&lt;=$G187),6,"")</f>
        <v/>
      </c>
      <c r="BJ187" s="34">
        <f>IF(AND(BJ$5&gt;=$F187,BJ$5&lt;=$G187),6,"")</f>
        <v/>
      </c>
      <c r="BK187" s="34">
        <f>IF(AND(BK$5&gt;=$F187,BK$5&lt;=$G187),6,"")</f>
        <v/>
      </c>
      <c r="BL187" s="34">
        <f>IF(AND(BL$5&gt;=$F187,BL$5&lt;=$G187),6,"")</f>
        <v/>
      </c>
      <c r="BM187" s="34">
        <f>IF(AND(BM$5&gt;=$F187,BM$5&lt;=$G187),6,"")</f>
        <v/>
      </c>
      <c r="BN187" s="34">
        <f>IF(AND(BN$5&gt;=$F187,BN$5&lt;=$G187),6,"")</f>
        <v/>
      </c>
    </row>
    <row r="188" ht="14.25" customHeight="1" s="36">
      <c r="A188" s="13" t="inlineStr">
        <is>
          <t>7 Capacitación y gestión del cambio</t>
        </is>
      </c>
      <c r="B188" s="13" t="inlineStr">
        <is>
          <t>7.1.1</t>
        </is>
      </c>
      <c r="C188" s="13" t="inlineStr">
        <is>
          <t>Plan de capacitación por perfil: usuarios finales, avanzados, administradores, equipo técnico y soporte</t>
        </is>
      </c>
      <c r="D188" s="13" t="inlineStr">
        <is>
          <t>T</t>
        </is>
      </c>
      <c r="E188" s="13" t="inlineStr">
        <is>
          <t>Implantación y gestión del cambio</t>
        </is>
      </c>
      <c r="F188" s="13" t="n">
        <v>10</v>
      </c>
      <c r="G188" s="13" t="n">
        <v>12</v>
      </c>
      <c r="H188" s="13">
        <f>G188-F188+1</f>
        <v/>
      </c>
      <c r="I188" s="31" t="n">
        <v>160</v>
      </c>
      <c r="J188" s="13" t="inlineStr">
        <is>
          <t>Con entregable (detalle por planificación gradual)</t>
        </is>
      </c>
      <c r="K188" s="34">
        <f>IF(AND(K$5&gt;=$F188,K$5&lt;=$G188),7,"")</f>
        <v/>
      </c>
      <c r="L188" s="34">
        <f>IF(AND(L$5&gt;=$F188,L$5&lt;=$G188),7,"")</f>
        <v/>
      </c>
      <c r="M188" s="34">
        <f>IF(AND(M$5&gt;=$F188,M$5&lt;=$G188),7,"")</f>
        <v/>
      </c>
      <c r="N188" s="34">
        <f>IF(AND(N$5&gt;=$F188,N$5&lt;=$G188),7,"")</f>
        <v/>
      </c>
      <c r="O188" s="34">
        <f>IF(AND(O$5&gt;=$F188,O$5&lt;=$G188),7,"")</f>
        <v/>
      </c>
      <c r="P188" s="34">
        <f>IF(AND(P$5&gt;=$F188,P$5&lt;=$G188),7,"")</f>
        <v/>
      </c>
      <c r="Q188" s="34">
        <f>IF(AND(Q$5&gt;=$F188,Q$5&lt;=$G188),7,"")</f>
        <v/>
      </c>
      <c r="R188" s="34">
        <f>IF(AND(R$5&gt;=$F188,R$5&lt;=$G188),7,"")</f>
        <v/>
      </c>
      <c r="S188" s="34">
        <f>IF(AND(S$5&gt;=$F188,S$5&lt;=$G188),7,"")</f>
        <v/>
      </c>
      <c r="T188" s="34">
        <f>IF(AND(T$5&gt;=$F188,T$5&lt;=$G188),7,"")</f>
        <v/>
      </c>
      <c r="U188" s="34">
        <f>IF(AND(U$5&gt;=$F188,U$5&lt;=$G188),7,"")</f>
        <v/>
      </c>
      <c r="V188" s="34">
        <f>IF(AND(V$5&gt;=$F188,V$5&lt;=$G188),7,"")</f>
        <v/>
      </c>
      <c r="W188" s="34">
        <f>IF(AND(W$5&gt;=$F188,W$5&lt;=$G188),7,"")</f>
        <v/>
      </c>
      <c r="X188" s="34">
        <f>IF(AND(X$5&gt;=$F188,X$5&lt;=$G188),7,"")</f>
        <v/>
      </c>
      <c r="Y188" s="34">
        <f>IF(AND(Y$5&gt;=$F188,Y$5&lt;=$G188),7,"")</f>
        <v/>
      </c>
      <c r="Z188" s="34">
        <f>IF(AND(Z$5&gt;=$F188,Z$5&lt;=$G188),7,"")</f>
        <v/>
      </c>
      <c r="AA188" s="34">
        <f>IF(AND(AA$5&gt;=$F188,AA$5&lt;=$G188),7,"")</f>
        <v/>
      </c>
      <c r="AB188" s="34">
        <f>IF(AND(AB$5&gt;=$F188,AB$5&lt;=$G188),7,"")</f>
        <v/>
      </c>
      <c r="AC188" s="34">
        <f>IF(AND(AC$5&gt;=$F188,AC$5&lt;=$G188),7,"")</f>
        <v/>
      </c>
      <c r="AD188" s="34">
        <f>IF(AND(AD$5&gt;=$F188,AD$5&lt;=$G188),7,"")</f>
        <v/>
      </c>
      <c r="AE188" s="34">
        <f>IF(AND(AE$5&gt;=$F188,AE$5&lt;=$G188),7,"")</f>
        <v/>
      </c>
      <c r="AF188" s="34">
        <f>IF(AND(AF$5&gt;=$F188,AF$5&lt;=$G188),7,"")</f>
        <v/>
      </c>
      <c r="AG188" s="34">
        <f>IF(AND(AG$5&gt;=$F188,AG$5&lt;=$G188),7,"")</f>
        <v/>
      </c>
      <c r="AH188" s="34">
        <f>IF(AND(AH$5&gt;=$F188,AH$5&lt;=$G188),7,"")</f>
        <v/>
      </c>
      <c r="AI188" s="34">
        <f>IF(AND(AI$5&gt;=$F188,AI$5&lt;=$G188),7,"")</f>
        <v/>
      </c>
      <c r="AJ188" s="34">
        <f>IF(AND(AJ$5&gt;=$F188,AJ$5&lt;=$G188),7,"")</f>
        <v/>
      </c>
      <c r="AK188" s="34">
        <f>IF(AND(AK$5&gt;=$F188,AK$5&lt;=$G188),7,"")</f>
        <v/>
      </c>
      <c r="AL188" s="34">
        <f>IF(AND(AL$5&gt;=$F188,AL$5&lt;=$G188),7,"")</f>
        <v/>
      </c>
      <c r="AM188" s="34">
        <f>IF(AND(AM$5&gt;=$F188,AM$5&lt;=$G188),7,"")</f>
        <v/>
      </c>
      <c r="AN188" s="34">
        <f>IF(AND(AN$5&gt;=$F188,AN$5&lt;=$G188),7,"")</f>
        <v/>
      </c>
      <c r="AO188" s="34">
        <f>IF(AND(AO$5&gt;=$F188,AO$5&lt;=$G188),7,"")</f>
        <v/>
      </c>
      <c r="AP188" s="34">
        <f>IF(AND(AP$5&gt;=$F188,AP$5&lt;=$G188),7,"")</f>
        <v/>
      </c>
      <c r="AQ188" s="34">
        <f>IF(AND(AQ$5&gt;=$F188,AQ$5&lt;=$G188),7,"")</f>
        <v/>
      </c>
      <c r="AR188" s="34">
        <f>IF(AND(AR$5&gt;=$F188,AR$5&lt;=$G188),7,"")</f>
        <v/>
      </c>
      <c r="AS188" s="34">
        <f>IF(AND(AS$5&gt;=$F188,AS$5&lt;=$G188),7,"")</f>
        <v/>
      </c>
      <c r="AT188" s="34">
        <f>IF(AND(AT$5&gt;=$F188,AT$5&lt;=$G188),7,"")</f>
        <v/>
      </c>
      <c r="AU188" s="34">
        <f>IF(AND(AU$5&gt;=$F188,AU$5&lt;=$G188),7,"")</f>
        <v/>
      </c>
      <c r="AV188" s="34">
        <f>IF(AND(AV$5&gt;=$F188,AV$5&lt;=$G188),7,"")</f>
        <v/>
      </c>
      <c r="AW188" s="34">
        <f>IF(AND(AW$5&gt;=$F188,AW$5&lt;=$G188),7,"")</f>
        <v/>
      </c>
      <c r="AX188" s="34">
        <f>IF(AND(AX$5&gt;=$F188,AX$5&lt;=$G188),7,"")</f>
        <v/>
      </c>
      <c r="AY188" s="34">
        <f>IF(AND(AY$5&gt;=$F188,AY$5&lt;=$G188),7,"")</f>
        <v/>
      </c>
      <c r="AZ188" s="34">
        <f>IF(AND(AZ$5&gt;=$F188,AZ$5&lt;=$G188),7,"")</f>
        <v/>
      </c>
      <c r="BA188" s="34">
        <f>IF(AND(BA$5&gt;=$F188,BA$5&lt;=$G188),7,"")</f>
        <v/>
      </c>
      <c r="BB188" s="34">
        <f>IF(AND(BB$5&gt;=$F188,BB$5&lt;=$G188),7,"")</f>
        <v/>
      </c>
      <c r="BC188" s="34">
        <f>IF(AND(BC$5&gt;=$F188,BC$5&lt;=$G188),7,"")</f>
        <v/>
      </c>
      <c r="BD188" s="34">
        <f>IF(AND(BD$5&gt;=$F188,BD$5&lt;=$G188),7,"")</f>
        <v/>
      </c>
      <c r="BE188" s="34">
        <f>IF(AND(BE$5&gt;=$F188,BE$5&lt;=$G188),7,"")</f>
        <v/>
      </c>
      <c r="BF188" s="34">
        <f>IF(AND(BF$5&gt;=$F188,BF$5&lt;=$G188),7,"")</f>
        <v/>
      </c>
      <c r="BG188" s="34">
        <f>IF(AND(BG$5&gt;=$F188,BG$5&lt;=$G188),7,"")</f>
        <v/>
      </c>
      <c r="BH188" s="34">
        <f>IF(AND(BH$5&gt;=$F188,BH$5&lt;=$G188),7,"")</f>
        <v/>
      </c>
      <c r="BI188" s="34">
        <f>IF(AND(BI$5&gt;=$F188,BI$5&lt;=$G188),7,"")</f>
        <v/>
      </c>
      <c r="BJ188" s="34">
        <f>IF(AND(BJ$5&gt;=$F188,BJ$5&lt;=$G188),7,"")</f>
        <v/>
      </c>
      <c r="BK188" s="34">
        <f>IF(AND(BK$5&gt;=$F188,BK$5&lt;=$G188),7,"")</f>
        <v/>
      </c>
      <c r="BL188" s="34">
        <f>IF(AND(BL$5&gt;=$F188,BL$5&lt;=$G188),7,"")</f>
        <v/>
      </c>
      <c r="BM188" s="34">
        <f>IF(AND(BM$5&gt;=$F188,BM$5&lt;=$G188),7,"")</f>
        <v/>
      </c>
      <c r="BN188" s="34">
        <f>IF(AND(BN$5&gt;=$F188,BN$5&lt;=$G188),7,"")</f>
        <v/>
      </c>
    </row>
    <row r="189" ht="14.25" customHeight="1" s="36">
      <c r="A189" s="13" t="inlineStr">
        <is>
          <t>7 Capacitación y gestión del cambio</t>
        </is>
      </c>
      <c r="B189" s="13" t="inlineStr">
        <is>
          <t>7.1.2</t>
        </is>
      </c>
      <c r="C189" s="13" t="inlineStr">
        <is>
          <t>Programa de capacitación continua del turno de noche por la rotación del 38 %</t>
        </is>
      </c>
      <c r="D189" s="13" t="inlineStr">
        <is>
          <t>R</t>
        </is>
      </c>
      <c r="E189" s="13" t="inlineStr">
        <is>
          <t>Implantación y gestión del cambio</t>
        </is>
      </c>
      <c r="F189" s="13" t="n">
        <v>13</v>
      </c>
      <c r="G189" s="13" t="n">
        <v>56</v>
      </c>
      <c r="H189" s="13">
        <f>G189-F189+1</f>
        <v/>
      </c>
      <c r="I189" s="31" t="n">
        <v>2816</v>
      </c>
      <c r="J189" s="13" t="inlineStr">
        <is>
          <t>Esfuerzo continuo (por quincena u ocurrencia)</t>
        </is>
      </c>
      <c r="K189" s="34">
        <f>IF(AND(K$5&gt;=$F189,K$5&lt;=$G189),7,"")</f>
        <v/>
      </c>
      <c r="L189" s="34">
        <f>IF(AND(L$5&gt;=$F189,L$5&lt;=$G189),7,"")</f>
        <v/>
      </c>
      <c r="M189" s="34">
        <f>IF(AND(M$5&gt;=$F189,M$5&lt;=$G189),7,"")</f>
        <v/>
      </c>
      <c r="N189" s="34">
        <f>IF(AND(N$5&gt;=$F189,N$5&lt;=$G189),7,"")</f>
        <v/>
      </c>
      <c r="O189" s="34">
        <f>IF(AND(O$5&gt;=$F189,O$5&lt;=$G189),7,"")</f>
        <v/>
      </c>
      <c r="P189" s="34">
        <f>IF(AND(P$5&gt;=$F189,P$5&lt;=$G189),7,"")</f>
        <v/>
      </c>
      <c r="Q189" s="34">
        <f>IF(AND(Q$5&gt;=$F189,Q$5&lt;=$G189),7,"")</f>
        <v/>
      </c>
      <c r="R189" s="34">
        <f>IF(AND(R$5&gt;=$F189,R$5&lt;=$G189),7,"")</f>
        <v/>
      </c>
      <c r="S189" s="34">
        <f>IF(AND(S$5&gt;=$F189,S$5&lt;=$G189),7,"")</f>
        <v/>
      </c>
      <c r="T189" s="34">
        <f>IF(AND(T$5&gt;=$F189,T$5&lt;=$G189),7,"")</f>
        <v/>
      </c>
      <c r="U189" s="34">
        <f>IF(AND(U$5&gt;=$F189,U$5&lt;=$G189),7,"")</f>
        <v/>
      </c>
      <c r="V189" s="34">
        <f>IF(AND(V$5&gt;=$F189,V$5&lt;=$G189),7,"")</f>
        <v/>
      </c>
      <c r="W189" s="34">
        <f>IF(AND(W$5&gt;=$F189,W$5&lt;=$G189),7,"")</f>
        <v/>
      </c>
      <c r="X189" s="34">
        <f>IF(AND(X$5&gt;=$F189,X$5&lt;=$G189),7,"")</f>
        <v/>
      </c>
      <c r="Y189" s="34">
        <f>IF(AND(Y$5&gt;=$F189,Y$5&lt;=$G189),7,"")</f>
        <v/>
      </c>
      <c r="Z189" s="34">
        <f>IF(AND(Z$5&gt;=$F189,Z$5&lt;=$G189),7,"")</f>
        <v/>
      </c>
      <c r="AA189" s="34">
        <f>IF(AND(AA$5&gt;=$F189,AA$5&lt;=$G189),7,"")</f>
        <v/>
      </c>
      <c r="AB189" s="34">
        <f>IF(AND(AB$5&gt;=$F189,AB$5&lt;=$G189),7,"")</f>
        <v/>
      </c>
      <c r="AC189" s="34">
        <f>IF(AND(AC$5&gt;=$F189,AC$5&lt;=$G189),7,"")</f>
        <v/>
      </c>
      <c r="AD189" s="34">
        <f>IF(AND(AD$5&gt;=$F189,AD$5&lt;=$G189),7,"")</f>
        <v/>
      </c>
      <c r="AE189" s="34">
        <f>IF(AND(AE$5&gt;=$F189,AE$5&lt;=$G189),7,"")</f>
        <v/>
      </c>
      <c r="AF189" s="34">
        <f>IF(AND(AF$5&gt;=$F189,AF$5&lt;=$G189),7,"")</f>
        <v/>
      </c>
      <c r="AG189" s="34">
        <f>IF(AND(AG$5&gt;=$F189,AG$5&lt;=$G189),7,"")</f>
        <v/>
      </c>
      <c r="AH189" s="34">
        <f>IF(AND(AH$5&gt;=$F189,AH$5&lt;=$G189),7,"")</f>
        <v/>
      </c>
      <c r="AI189" s="34">
        <f>IF(AND(AI$5&gt;=$F189,AI$5&lt;=$G189),7,"")</f>
        <v/>
      </c>
      <c r="AJ189" s="34">
        <f>IF(AND(AJ$5&gt;=$F189,AJ$5&lt;=$G189),7,"")</f>
        <v/>
      </c>
      <c r="AK189" s="34">
        <f>IF(AND(AK$5&gt;=$F189,AK$5&lt;=$G189),7,"")</f>
        <v/>
      </c>
      <c r="AL189" s="34">
        <f>IF(AND(AL$5&gt;=$F189,AL$5&lt;=$G189),7,"")</f>
        <v/>
      </c>
      <c r="AM189" s="34">
        <f>IF(AND(AM$5&gt;=$F189,AM$5&lt;=$G189),7,"")</f>
        <v/>
      </c>
      <c r="AN189" s="34">
        <f>IF(AND(AN$5&gt;=$F189,AN$5&lt;=$G189),7,"")</f>
        <v/>
      </c>
      <c r="AO189" s="34">
        <f>IF(AND(AO$5&gt;=$F189,AO$5&lt;=$G189),7,"")</f>
        <v/>
      </c>
      <c r="AP189" s="34">
        <f>IF(AND(AP$5&gt;=$F189,AP$5&lt;=$G189),7,"")</f>
        <v/>
      </c>
      <c r="AQ189" s="34">
        <f>IF(AND(AQ$5&gt;=$F189,AQ$5&lt;=$G189),7,"")</f>
        <v/>
      </c>
      <c r="AR189" s="34">
        <f>IF(AND(AR$5&gt;=$F189,AR$5&lt;=$G189),7,"")</f>
        <v/>
      </c>
      <c r="AS189" s="34">
        <f>IF(AND(AS$5&gt;=$F189,AS$5&lt;=$G189),7,"")</f>
        <v/>
      </c>
      <c r="AT189" s="34">
        <f>IF(AND(AT$5&gt;=$F189,AT$5&lt;=$G189),7,"")</f>
        <v/>
      </c>
      <c r="AU189" s="34">
        <f>IF(AND(AU$5&gt;=$F189,AU$5&lt;=$G189),7,"")</f>
        <v/>
      </c>
      <c r="AV189" s="34">
        <f>IF(AND(AV$5&gt;=$F189,AV$5&lt;=$G189),7,"")</f>
        <v/>
      </c>
      <c r="AW189" s="34">
        <f>IF(AND(AW$5&gt;=$F189,AW$5&lt;=$G189),7,"")</f>
        <v/>
      </c>
      <c r="AX189" s="34">
        <f>IF(AND(AX$5&gt;=$F189,AX$5&lt;=$G189),7,"")</f>
        <v/>
      </c>
      <c r="AY189" s="34">
        <f>IF(AND(AY$5&gt;=$F189,AY$5&lt;=$G189),7,"")</f>
        <v/>
      </c>
      <c r="AZ189" s="34">
        <f>IF(AND(AZ$5&gt;=$F189,AZ$5&lt;=$G189),7,"")</f>
        <v/>
      </c>
      <c r="BA189" s="34">
        <f>IF(AND(BA$5&gt;=$F189,BA$5&lt;=$G189),7,"")</f>
        <v/>
      </c>
      <c r="BB189" s="34">
        <f>IF(AND(BB$5&gt;=$F189,BB$5&lt;=$G189),7,"")</f>
        <v/>
      </c>
      <c r="BC189" s="34">
        <f>IF(AND(BC$5&gt;=$F189,BC$5&lt;=$G189),7,"")</f>
        <v/>
      </c>
      <c r="BD189" s="34">
        <f>IF(AND(BD$5&gt;=$F189,BD$5&lt;=$G189),7,"")</f>
        <v/>
      </c>
      <c r="BE189" s="34">
        <f>IF(AND(BE$5&gt;=$F189,BE$5&lt;=$G189),7,"")</f>
        <v/>
      </c>
      <c r="BF189" s="34">
        <f>IF(AND(BF$5&gt;=$F189,BF$5&lt;=$G189),7,"")</f>
        <v/>
      </c>
      <c r="BG189" s="34">
        <f>IF(AND(BG$5&gt;=$F189,BG$5&lt;=$G189),7,"")</f>
        <v/>
      </c>
      <c r="BH189" s="34">
        <f>IF(AND(BH$5&gt;=$F189,BH$5&lt;=$G189),7,"")</f>
        <v/>
      </c>
      <c r="BI189" s="34">
        <f>IF(AND(BI$5&gt;=$F189,BI$5&lt;=$G189),7,"")</f>
        <v/>
      </c>
      <c r="BJ189" s="34">
        <f>IF(AND(BJ$5&gt;=$F189,BJ$5&lt;=$G189),7,"")</f>
        <v/>
      </c>
      <c r="BK189" s="34">
        <f>IF(AND(BK$5&gt;=$F189,BK$5&lt;=$G189),7,"")</f>
        <v/>
      </c>
      <c r="BL189" s="34">
        <f>IF(AND(BL$5&gt;=$F189,BL$5&lt;=$G189),7,"")</f>
        <v/>
      </c>
      <c r="BM189" s="34">
        <f>IF(AND(BM$5&gt;=$F189,BM$5&lt;=$G189),7,"")</f>
        <v/>
      </c>
      <c r="BN189" s="34">
        <f>IF(AND(BN$5&gt;=$F189,BN$5&lt;=$G189),7,"")</f>
        <v/>
      </c>
    </row>
    <row r="190" ht="14.25" customHeight="1" s="36">
      <c r="A190" s="13" t="inlineStr">
        <is>
          <t>7 Capacitación y gestión del cambio</t>
        </is>
      </c>
      <c r="B190" s="13" t="inlineStr">
        <is>
          <t>7.1.3</t>
        </is>
      </c>
      <c r="C190" s="13" t="inlineStr">
        <is>
          <t>Procedimiento de incorporación de los conductores de los transportistas en el andén</t>
        </is>
      </c>
      <c r="D190" s="13" t="inlineStr">
        <is>
          <t>T</t>
        </is>
      </c>
      <c r="E190" s="13" t="inlineStr">
        <is>
          <t>Implantación y gestión del cambio</t>
        </is>
      </c>
      <c r="F190" s="13" t="n">
        <v>13</v>
      </c>
      <c r="G190" s="13" t="n">
        <v>20</v>
      </c>
      <c r="H190" s="13">
        <f>G190-F190+1</f>
        <v/>
      </c>
      <c r="I190" s="31" t="n">
        <v>160</v>
      </c>
      <c r="J190" s="13" t="inlineStr">
        <is>
          <t>Esfuerzo continuo (por quincena u ocurrencia)</t>
        </is>
      </c>
      <c r="K190" s="34">
        <f>IF(AND(K$5&gt;=$F190,K$5&lt;=$G190),7,"")</f>
        <v/>
      </c>
      <c r="L190" s="34">
        <f>IF(AND(L$5&gt;=$F190,L$5&lt;=$G190),7,"")</f>
        <v/>
      </c>
      <c r="M190" s="34">
        <f>IF(AND(M$5&gt;=$F190,M$5&lt;=$G190),7,"")</f>
        <v/>
      </c>
      <c r="N190" s="34">
        <f>IF(AND(N$5&gt;=$F190,N$5&lt;=$G190),7,"")</f>
        <v/>
      </c>
      <c r="O190" s="34">
        <f>IF(AND(O$5&gt;=$F190,O$5&lt;=$G190),7,"")</f>
        <v/>
      </c>
      <c r="P190" s="34">
        <f>IF(AND(P$5&gt;=$F190,P$5&lt;=$G190),7,"")</f>
        <v/>
      </c>
      <c r="Q190" s="34">
        <f>IF(AND(Q$5&gt;=$F190,Q$5&lt;=$G190),7,"")</f>
        <v/>
      </c>
      <c r="R190" s="34">
        <f>IF(AND(R$5&gt;=$F190,R$5&lt;=$G190),7,"")</f>
        <v/>
      </c>
      <c r="S190" s="34">
        <f>IF(AND(S$5&gt;=$F190,S$5&lt;=$G190),7,"")</f>
        <v/>
      </c>
      <c r="T190" s="34">
        <f>IF(AND(T$5&gt;=$F190,T$5&lt;=$G190),7,"")</f>
        <v/>
      </c>
      <c r="U190" s="34">
        <f>IF(AND(U$5&gt;=$F190,U$5&lt;=$G190),7,"")</f>
        <v/>
      </c>
      <c r="V190" s="34">
        <f>IF(AND(V$5&gt;=$F190,V$5&lt;=$G190),7,"")</f>
        <v/>
      </c>
      <c r="W190" s="34">
        <f>IF(AND(W$5&gt;=$F190,W$5&lt;=$G190),7,"")</f>
        <v/>
      </c>
      <c r="X190" s="34">
        <f>IF(AND(X$5&gt;=$F190,X$5&lt;=$G190),7,"")</f>
        <v/>
      </c>
      <c r="Y190" s="34">
        <f>IF(AND(Y$5&gt;=$F190,Y$5&lt;=$G190),7,"")</f>
        <v/>
      </c>
      <c r="Z190" s="34">
        <f>IF(AND(Z$5&gt;=$F190,Z$5&lt;=$G190),7,"")</f>
        <v/>
      </c>
      <c r="AA190" s="34">
        <f>IF(AND(AA$5&gt;=$F190,AA$5&lt;=$G190),7,"")</f>
        <v/>
      </c>
      <c r="AB190" s="34">
        <f>IF(AND(AB$5&gt;=$F190,AB$5&lt;=$G190),7,"")</f>
        <v/>
      </c>
      <c r="AC190" s="34">
        <f>IF(AND(AC$5&gt;=$F190,AC$5&lt;=$G190),7,"")</f>
        <v/>
      </c>
      <c r="AD190" s="34">
        <f>IF(AND(AD$5&gt;=$F190,AD$5&lt;=$G190),7,"")</f>
        <v/>
      </c>
      <c r="AE190" s="34">
        <f>IF(AND(AE$5&gt;=$F190,AE$5&lt;=$G190),7,"")</f>
        <v/>
      </c>
      <c r="AF190" s="34">
        <f>IF(AND(AF$5&gt;=$F190,AF$5&lt;=$G190),7,"")</f>
        <v/>
      </c>
      <c r="AG190" s="34">
        <f>IF(AND(AG$5&gt;=$F190,AG$5&lt;=$G190),7,"")</f>
        <v/>
      </c>
      <c r="AH190" s="34">
        <f>IF(AND(AH$5&gt;=$F190,AH$5&lt;=$G190),7,"")</f>
        <v/>
      </c>
      <c r="AI190" s="34">
        <f>IF(AND(AI$5&gt;=$F190,AI$5&lt;=$G190),7,"")</f>
        <v/>
      </c>
      <c r="AJ190" s="34">
        <f>IF(AND(AJ$5&gt;=$F190,AJ$5&lt;=$G190),7,"")</f>
        <v/>
      </c>
      <c r="AK190" s="34">
        <f>IF(AND(AK$5&gt;=$F190,AK$5&lt;=$G190),7,"")</f>
        <v/>
      </c>
      <c r="AL190" s="34">
        <f>IF(AND(AL$5&gt;=$F190,AL$5&lt;=$G190),7,"")</f>
        <v/>
      </c>
      <c r="AM190" s="34">
        <f>IF(AND(AM$5&gt;=$F190,AM$5&lt;=$G190),7,"")</f>
        <v/>
      </c>
      <c r="AN190" s="34">
        <f>IF(AND(AN$5&gt;=$F190,AN$5&lt;=$G190),7,"")</f>
        <v/>
      </c>
      <c r="AO190" s="34">
        <f>IF(AND(AO$5&gt;=$F190,AO$5&lt;=$G190),7,"")</f>
        <v/>
      </c>
      <c r="AP190" s="34">
        <f>IF(AND(AP$5&gt;=$F190,AP$5&lt;=$G190),7,"")</f>
        <v/>
      </c>
      <c r="AQ190" s="34">
        <f>IF(AND(AQ$5&gt;=$F190,AQ$5&lt;=$G190),7,"")</f>
        <v/>
      </c>
      <c r="AR190" s="34">
        <f>IF(AND(AR$5&gt;=$F190,AR$5&lt;=$G190),7,"")</f>
        <v/>
      </c>
      <c r="AS190" s="34">
        <f>IF(AND(AS$5&gt;=$F190,AS$5&lt;=$G190),7,"")</f>
        <v/>
      </c>
      <c r="AT190" s="34">
        <f>IF(AND(AT$5&gt;=$F190,AT$5&lt;=$G190),7,"")</f>
        <v/>
      </c>
      <c r="AU190" s="34">
        <f>IF(AND(AU$5&gt;=$F190,AU$5&lt;=$G190),7,"")</f>
        <v/>
      </c>
      <c r="AV190" s="34">
        <f>IF(AND(AV$5&gt;=$F190,AV$5&lt;=$G190),7,"")</f>
        <v/>
      </c>
      <c r="AW190" s="34">
        <f>IF(AND(AW$5&gt;=$F190,AW$5&lt;=$G190),7,"")</f>
        <v/>
      </c>
      <c r="AX190" s="34">
        <f>IF(AND(AX$5&gt;=$F190,AX$5&lt;=$G190),7,"")</f>
        <v/>
      </c>
      <c r="AY190" s="34">
        <f>IF(AND(AY$5&gt;=$F190,AY$5&lt;=$G190),7,"")</f>
        <v/>
      </c>
      <c r="AZ190" s="34">
        <f>IF(AND(AZ$5&gt;=$F190,AZ$5&lt;=$G190),7,"")</f>
        <v/>
      </c>
      <c r="BA190" s="34">
        <f>IF(AND(BA$5&gt;=$F190,BA$5&lt;=$G190),7,"")</f>
        <v/>
      </c>
      <c r="BB190" s="34">
        <f>IF(AND(BB$5&gt;=$F190,BB$5&lt;=$G190),7,"")</f>
        <v/>
      </c>
      <c r="BC190" s="34">
        <f>IF(AND(BC$5&gt;=$F190,BC$5&lt;=$G190),7,"")</f>
        <v/>
      </c>
      <c r="BD190" s="34">
        <f>IF(AND(BD$5&gt;=$F190,BD$5&lt;=$G190),7,"")</f>
        <v/>
      </c>
      <c r="BE190" s="34">
        <f>IF(AND(BE$5&gt;=$F190,BE$5&lt;=$G190),7,"")</f>
        <v/>
      </c>
      <c r="BF190" s="34">
        <f>IF(AND(BF$5&gt;=$F190,BF$5&lt;=$G190),7,"")</f>
        <v/>
      </c>
      <c r="BG190" s="34">
        <f>IF(AND(BG$5&gt;=$F190,BG$5&lt;=$G190),7,"")</f>
        <v/>
      </c>
      <c r="BH190" s="34">
        <f>IF(AND(BH$5&gt;=$F190,BH$5&lt;=$G190),7,"")</f>
        <v/>
      </c>
      <c r="BI190" s="34">
        <f>IF(AND(BI$5&gt;=$F190,BI$5&lt;=$G190),7,"")</f>
        <v/>
      </c>
      <c r="BJ190" s="34">
        <f>IF(AND(BJ$5&gt;=$F190,BJ$5&lt;=$G190),7,"")</f>
        <v/>
      </c>
      <c r="BK190" s="34">
        <f>IF(AND(BK$5&gt;=$F190,BK$5&lt;=$G190),7,"")</f>
        <v/>
      </c>
      <c r="BL190" s="34">
        <f>IF(AND(BL$5&gt;=$F190,BL$5&lt;=$G190),7,"")</f>
        <v/>
      </c>
      <c r="BM190" s="34">
        <f>IF(AND(BM$5&gt;=$F190,BM$5&lt;=$G190),7,"")</f>
        <v/>
      </c>
      <c r="BN190" s="34">
        <f>IF(AND(BN$5&gt;=$F190,BN$5&lt;=$G190),7,"")</f>
        <v/>
      </c>
    </row>
    <row r="191" ht="14.25" customHeight="1" s="36">
      <c r="A191" s="13" t="inlineStr">
        <is>
          <t>7 Capacitación y gestión del cambio</t>
        </is>
      </c>
      <c r="B191" s="13" t="inlineStr">
        <is>
          <t>7.1.4</t>
        </is>
      </c>
      <c r="C191" s="13" t="inlineStr">
        <is>
          <t>Traspaso al equipo de TI de cuatro personas del CLIENTE</t>
        </is>
      </c>
      <c r="D191" s="13" t="inlineStr">
        <is>
          <t>T</t>
        </is>
      </c>
      <c r="E191" s="13" t="inlineStr">
        <is>
          <t>Implantación y gestión del cambio</t>
        </is>
      </c>
      <c r="F191" s="13" t="n">
        <v>15</v>
      </c>
      <c r="G191" s="13" t="n">
        <v>20</v>
      </c>
      <c r="H191" s="13">
        <f>G191-F191+1</f>
        <v/>
      </c>
      <c r="I191" s="31" t="n">
        <v>160</v>
      </c>
      <c r="J191" s="13" t="inlineStr">
        <is>
          <t>Esfuerzo continuo (por quincena u ocurrencia)</t>
        </is>
      </c>
      <c r="K191" s="34">
        <f>IF(AND(K$5&gt;=$F191,K$5&lt;=$G191),7,"")</f>
        <v/>
      </c>
      <c r="L191" s="34">
        <f>IF(AND(L$5&gt;=$F191,L$5&lt;=$G191),7,"")</f>
        <v/>
      </c>
      <c r="M191" s="34">
        <f>IF(AND(M$5&gt;=$F191,M$5&lt;=$G191),7,"")</f>
        <v/>
      </c>
      <c r="N191" s="34">
        <f>IF(AND(N$5&gt;=$F191,N$5&lt;=$G191),7,"")</f>
        <v/>
      </c>
      <c r="O191" s="34">
        <f>IF(AND(O$5&gt;=$F191,O$5&lt;=$G191),7,"")</f>
        <v/>
      </c>
      <c r="P191" s="34">
        <f>IF(AND(P$5&gt;=$F191,P$5&lt;=$G191),7,"")</f>
        <v/>
      </c>
      <c r="Q191" s="34">
        <f>IF(AND(Q$5&gt;=$F191,Q$5&lt;=$G191),7,"")</f>
        <v/>
      </c>
      <c r="R191" s="34">
        <f>IF(AND(R$5&gt;=$F191,R$5&lt;=$G191),7,"")</f>
        <v/>
      </c>
      <c r="S191" s="34">
        <f>IF(AND(S$5&gt;=$F191,S$5&lt;=$G191),7,"")</f>
        <v/>
      </c>
      <c r="T191" s="34">
        <f>IF(AND(T$5&gt;=$F191,T$5&lt;=$G191),7,"")</f>
        <v/>
      </c>
      <c r="U191" s="34">
        <f>IF(AND(U$5&gt;=$F191,U$5&lt;=$G191),7,"")</f>
        <v/>
      </c>
      <c r="V191" s="34">
        <f>IF(AND(V$5&gt;=$F191,V$5&lt;=$G191),7,"")</f>
        <v/>
      </c>
      <c r="W191" s="34">
        <f>IF(AND(W$5&gt;=$F191,W$5&lt;=$G191),7,"")</f>
        <v/>
      </c>
      <c r="X191" s="34">
        <f>IF(AND(X$5&gt;=$F191,X$5&lt;=$G191),7,"")</f>
        <v/>
      </c>
      <c r="Y191" s="34">
        <f>IF(AND(Y$5&gt;=$F191,Y$5&lt;=$G191),7,"")</f>
        <v/>
      </c>
      <c r="Z191" s="34">
        <f>IF(AND(Z$5&gt;=$F191,Z$5&lt;=$G191),7,"")</f>
        <v/>
      </c>
      <c r="AA191" s="34">
        <f>IF(AND(AA$5&gt;=$F191,AA$5&lt;=$G191),7,"")</f>
        <v/>
      </c>
      <c r="AB191" s="34">
        <f>IF(AND(AB$5&gt;=$F191,AB$5&lt;=$G191),7,"")</f>
        <v/>
      </c>
      <c r="AC191" s="34">
        <f>IF(AND(AC$5&gt;=$F191,AC$5&lt;=$G191),7,"")</f>
        <v/>
      </c>
      <c r="AD191" s="34">
        <f>IF(AND(AD$5&gt;=$F191,AD$5&lt;=$G191),7,"")</f>
        <v/>
      </c>
      <c r="AE191" s="34">
        <f>IF(AND(AE$5&gt;=$F191,AE$5&lt;=$G191),7,"")</f>
        <v/>
      </c>
      <c r="AF191" s="34">
        <f>IF(AND(AF$5&gt;=$F191,AF$5&lt;=$G191),7,"")</f>
        <v/>
      </c>
      <c r="AG191" s="34">
        <f>IF(AND(AG$5&gt;=$F191,AG$5&lt;=$G191),7,"")</f>
        <v/>
      </c>
      <c r="AH191" s="34">
        <f>IF(AND(AH$5&gt;=$F191,AH$5&lt;=$G191),7,"")</f>
        <v/>
      </c>
      <c r="AI191" s="34">
        <f>IF(AND(AI$5&gt;=$F191,AI$5&lt;=$G191),7,"")</f>
        <v/>
      </c>
      <c r="AJ191" s="34">
        <f>IF(AND(AJ$5&gt;=$F191,AJ$5&lt;=$G191),7,"")</f>
        <v/>
      </c>
      <c r="AK191" s="34">
        <f>IF(AND(AK$5&gt;=$F191,AK$5&lt;=$G191),7,"")</f>
        <v/>
      </c>
      <c r="AL191" s="34">
        <f>IF(AND(AL$5&gt;=$F191,AL$5&lt;=$G191),7,"")</f>
        <v/>
      </c>
      <c r="AM191" s="34">
        <f>IF(AND(AM$5&gt;=$F191,AM$5&lt;=$G191),7,"")</f>
        <v/>
      </c>
      <c r="AN191" s="34">
        <f>IF(AND(AN$5&gt;=$F191,AN$5&lt;=$G191),7,"")</f>
        <v/>
      </c>
      <c r="AO191" s="34">
        <f>IF(AND(AO$5&gt;=$F191,AO$5&lt;=$G191),7,"")</f>
        <v/>
      </c>
      <c r="AP191" s="34">
        <f>IF(AND(AP$5&gt;=$F191,AP$5&lt;=$G191),7,"")</f>
        <v/>
      </c>
      <c r="AQ191" s="34">
        <f>IF(AND(AQ$5&gt;=$F191,AQ$5&lt;=$G191),7,"")</f>
        <v/>
      </c>
      <c r="AR191" s="34">
        <f>IF(AND(AR$5&gt;=$F191,AR$5&lt;=$G191),7,"")</f>
        <v/>
      </c>
      <c r="AS191" s="34">
        <f>IF(AND(AS$5&gt;=$F191,AS$5&lt;=$G191),7,"")</f>
        <v/>
      </c>
      <c r="AT191" s="34">
        <f>IF(AND(AT$5&gt;=$F191,AT$5&lt;=$G191),7,"")</f>
        <v/>
      </c>
      <c r="AU191" s="34">
        <f>IF(AND(AU$5&gt;=$F191,AU$5&lt;=$G191),7,"")</f>
        <v/>
      </c>
      <c r="AV191" s="34">
        <f>IF(AND(AV$5&gt;=$F191,AV$5&lt;=$G191),7,"")</f>
        <v/>
      </c>
      <c r="AW191" s="34">
        <f>IF(AND(AW$5&gt;=$F191,AW$5&lt;=$G191),7,"")</f>
        <v/>
      </c>
      <c r="AX191" s="34">
        <f>IF(AND(AX$5&gt;=$F191,AX$5&lt;=$G191),7,"")</f>
        <v/>
      </c>
      <c r="AY191" s="34">
        <f>IF(AND(AY$5&gt;=$F191,AY$5&lt;=$G191),7,"")</f>
        <v/>
      </c>
      <c r="AZ191" s="34">
        <f>IF(AND(AZ$5&gt;=$F191,AZ$5&lt;=$G191),7,"")</f>
        <v/>
      </c>
      <c r="BA191" s="34">
        <f>IF(AND(BA$5&gt;=$F191,BA$5&lt;=$G191),7,"")</f>
        <v/>
      </c>
      <c r="BB191" s="34">
        <f>IF(AND(BB$5&gt;=$F191,BB$5&lt;=$G191),7,"")</f>
        <v/>
      </c>
      <c r="BC191" s="34">
        <f>IF(AND(BC$5&gt;=$F191,BC$5&lt;=$G191),7,"")</f>
        <v/>
      </c>
      <c r="BD191" s="34">
        <f>IF(AND(BD$5&gt;=$F191,BD$5&lt;=$G191),7,"")</f>
        <v/>
      </c>
      <c r="BE191" s="34">
        <f>IF(AND(BE$5&gt;=$F191,BE$5&lt;=$G191),7,"")</f>
        <v/>
      </c>
      <c r="BF191" s="34">
        <f>IF(AND(BF$5&gt;=$F191,BF$5&lt;=$G191),7,"")</f>
        <v/>
      </c>
      <c r="BG191" s="34">
        <f>IF(AND(BG$5&gt;=$F191,BG$5&lt;=$G191),7,"")</f>
        <v/>
      </c>
      <c r="BH191" s="34">
        <f>IF(AND(BH$5&gt;=$F191,BH$5&lt;=$G191),7,"")</f>
        <v/>
      </c>
      <c r="BI191" s="34">
        <f>IF(AND(BI$5&gt;=$F191,BI$5&lt;=$G191),7,"")</f>
        <v/>
      </c>
      <c r="BJ191" s="34">
        <f>IF(AND(BJ$5&gt;=$F191,BJ$5&lt;=$G191),7,"")</f>
        <v/>
      </c>
      <c r="BK191" s="34">
        <f>IF(AND(BK$5&gt;=$F191,BK$5&lt;=$G191),7,"")</f>
        <v/>
      </c>
      <c r="BL191" s="34">
        <f>IF(AND(BL$5&gt;=$F191,BL$5&lt;=$G191),7,"")</f>
        <v/>
      </c>
      <c r="BM191" s="34">
        <f>IF(AND(BM$5&gt;=$F191,BM$5&lt;=$G191),7,"")</f>
        <v/>
      </c>
      <c r="BN191" s="34">
        <f>IF(AND(BN$5&gt;=$F191,BN$5&lt;=$G191),7,"")</f>
        <v/>
      </c>
    </row>
    <row r="192" ht="14.25" customHeight="1" s="36">
      <c r="A192" s="13" t="inlineStr">
        <is>
          <t>7 Capacitación y gestión del cambio</t>
        </is>
      </c>
      <c r="B192" s="13" t="inlineStr">
        <is>
          <t>7.1.5</t>
        </is>
      </c>
      <c r="C192" s="13" t="inlineStr">
        <is>
          <t>Materiales de capacitación: manuales por perfil, guías rápidas, preguntas frecuentes y videos tutoriales</t>
        </is>
      </c>
      <c r="D192" s="13" t="inlineStr">
        <is>
          <t>T</t>
        </is>
      </c>
      <c r="E192" s="13" t="inlineStr">
        <is>
          <t>Implantación y gestión del cambio</t>
        </is>
      </c>
      <c r="F192" s="13" t="n">
        <v>10</v>
      </c>
      <c r="G192" s="13" t="n">
        <v>18</v>
      </c>
      <c r="H192" s="13">
        <f>G192-F192+1</f>
        <v/>
      </c>
      <c r="I192" s="31" t="n">
        <v>160</v>
      </c>
      <c r="J192" s="13" t="inlineStr">
        <is>
          <t>Esfuerzo continuo (por quincena u ocurrencia)</t>
        </is>
      </c>
      <c r="K192" s="34">
        <f>IF(AND(K$5&gt;=$F192,K$5&lt;=$G192),7,"")</f>
        <v/>
      </c>
      <c r="L192" s="34">
        <f>IF(AND(L$5&gt;=$F192,L$5&lt;=$G192),7,"")</f>
        <v/>
      </c>
      <c r="M192" s="34">
        <f>IF(AND(M$5&gt;=$F192,M$5&lt;=$G192),7,"")</f>
        <v/>
      </c>
      <c r="N192" s="34">
        <f>IF(AND(N$5&gt;=$F192,N$5&lt;=$G192),7,"")</f>
        <v/>
      </c>
      <c r="O192" s="34">
        <f>IF(AND(O$5&gt;=$F192,O$5&lt;=$G192),7,"")</f>
        <v/>
      </c>
      <c r="P192" s="34">
        <f>IF(AND(P$5&gt;=$F192,P$5&lt;=$G192),7,"")</f>
        <v/>
      </c>
      <c r="Q192" s="34">
        <f>IF(AND(Q$5&gt;=$F192,Q$5&lt;=$G192),7,"")</f>
        <v/>
      </c>
      <c r="R192" s="34">
        <f>IF(AND(R$5&gt;=$F192,R$5&lt;=$G192),7,"")</f>
        <v/>
      </c>
      <c r="S192" s="34">
        <f>IF(AND(S$5&gt;=$F192,S$5&lt;=$G192),7,"")</f>
        <v/>
      </c>
      <c r="T192" s="34">
        <f>IF(AND(T$5&gt;=$F192,T$5&lt;=$G192),7,"")</f>
        <v/>
      </c>
      <c r="U192" s="34">
        <f>IF(AND(U$5&gt;=$F192,U$5&lt;=$G192),7,"")</f>
        <v/>
      </c>
      <c r="V192" s="34">
        <f>IF(AND(V$5&gt;=$F192,V$5&lt;=$G192),7,"")</f>
        <v/>
      </c>
      <c r="W192" s="34">
        <f>IF(AND(W$5&gt;=$F192,W$5&lt;=$G192),7,"")</f>
        <v/>
      </c>
      <c r="X192" s="34">
        <f>IF(AND(X$5&gt;=$F192,X$5&lt;=$G192),7,"")</f>
        <v/>
      </c>
      <c r="Y192" s="34">
        <f>IF(AND(Y$5&gt;=$F192,Y$5&lt;=$G192),7,"")</f>
        <v/>
      </c>
      <c r="Z192" s="34">
        <f>IF(AND(Z$5&gt;=$F192,Z$5&lt;=$G192),7,"")</f>
        <v/>
      </c>
      <c r="AA192" s="34">
        <f>IF(AND(AA$5&gt;=$F192,AA$5&lt;=$G192),7,"")</f>
        <v/>
      </c>
      <c r="AB192" s="34">
        <f>IF(AND(AB$5&gt;=$F192,AB$5&lt;=$G192),7,"")</f>
        <v/>
      </c>
      <c r="AC192" s="34">
        <f>IF(AND(AC$5&gt;=$F192,AC$5&lt;=$G192),7,"")</f>
        <v/>
      </c>
      <c r="AD192" s="34">
        <f>IF(AND(AD$5&gt;=$F192,AD$5&lt;=$G192),7,"")</f>
        <v/>
      </c>
      <c r="AE192" s="34">
        <f>IF(AND(AE$5&gt;=$F192,AE$5&lt;=$G192),7,"")</f>
        <v/>
      </c>
      <c r="AF192" s="34">
        <f>IF(AND(AF$5&gt;=$F192,AF$5&lt;=$G192),7,"")</f>
        <v/>
      </c>
      <c r="AG192" s="34">
        <f>IF(AND(AG$5&gt;=$F192,AG$5&lt;=$G192),7,"")</f>
        <v/>
      </c>
      <c r="AH192" s="34">
        <f>IF(AND(AH$5&gt;=$F192,AH$5&lt;=$G192),7,"")</f>
        <v/>
      </c>
      <c r="AI192" s="34">
        <f>IF(AND(AI$5&gt;=$F192,AI$5&lt;=$G192),7,"")</f>
        <v/>
      </c>
      <c r="AJ192" s="34">
        <f>IF(AND(AJ$5&gt;=$F192,AJ$5&lt;=$G192),7,"")</f>
        <v/>
      </c>
      <c r="AK192" s="34">
        <f>IF(AND(AK$5&gt;=$F192,AK$5&lt;=$G192),7,"")</f>
        <v/>
      </c>
      <c r="AL192" s="34">
        <f>IF(AND(AL$5&gt;=$F192,AL$5&lt;=$G192),7,"")</f>
        <v/>
      </c>
      <c r="AM192" s="34">
        <f>IF(AND(AM$5&gt;=$F192,AM$5&lt;=$G192),7,"")</f>
        <v/>
      </c>
      <c r="AN192" s="34">
        <f>IF(AND(AN$5&gt;=$F192,AN$5&lt;=$G192),7,"")</f>
        <v/>
      </c>
      <c r="AO192" s="34">
        <f>IF(AND(AO$5&gt;=$F192,AO$5&lt;=$G192),7,"")</f>
        <v/>
      </c>
      <c r="AP192" s="34">
        <f>IF(AND(AP$5&gt;=$F192,AP$5&lt;=$G192),7,"")</f>
        <v/>
      </c>
      <c r="AQ192" s="34">
        <f>IF(AND(AQ$5&gt;=$F192,AQ$5&lt;=$G192),7,"")</f>
        <v/>
      </c>
      <c r="AR192" s="34">
        <f>IF(AND(AR$5&gt;=$F192,AR$5&lt;=$G192),7,"")</f>
        <v/>
      </c>
      <c r="AS192" s="34">
        <f>IF(AND(AS$5&gt;=$F192,AS$5&lt;=$G192),7,"")</f>
        <v/>
      </c>
      <c r="AT192" s="34">
        <f>IF(AND(AT$5&gt;=$F192,AT$5&lt;=$G192),7,"")</f>
        <v/>
      </c>
      <c r="AU192" s="34">
        <f>IF(AND(AU$5&gt;=$F192,AU$5&lt;=$G192),7,"")</f>
        <v/>
      </c>
      <c r="AV192" s="34">
        <f>IF(AND(AV$5&gt;=$F192,AV$5&lt;=$G192),7,"")</f>
        <v/>
      </c>
      <c r="AW192" s="34">
        <f>IF(AND(AW$5&gt;=$F192,AW$5&lt;=$G192),7,"")</f>
        <v/>
      </c>
      <c r="AX192" s="34">
        <f>IF(AND(AX$5&gt;=$F192,AX$5&lt;=$G192),7,"")</f>
        <v/>
      </c>
      <c r="AY192" s="34">
        <f>IF(AND(AY$5&gt;=$F192,AY$5&lt;=$G192),7,"")</f>
        <v/>
      </c>
      <c r="AZ192" s="34">
        <f>IF(AND(AZ$5&gt;=$F192,AZ$5&lt;=$G192),7,"")</f>
        <v/>
      </c>
      <c r="BA192" s="34">
        <f>IF(AND(BA$5&gt;=$F192,BA$5&lt;=$G192),7,"")</f>
        <v/>
      </c>
      <c r="BB192" s="34">
        <f>IF(AND(BB$5&gt;=$F192,BB$5&lt;=$G192),7,"")</f>
        <v/>
      </c>
      <c r="BC192" s="34">
        <f>IF(AND(BC$5&gt;=$F192,BC$5&lt;=$G192),7,"")</f>
        <v/>
      </c>
      <c r="BD192" s="34">
        <f>IF(AND(BD$5&gt;=$F192,BD$5&lt;=$G192),7,"")</f>
        <v/>
      </c>
      <c r="BE192" s="34">
        <f>IF(AND(BE$5&gt;=$F192,BE$5&lt;=$G192),7,"")</f>
        <v/>
      </c>
      <c r="BF192" s="34">
        <f>IF(AND(BF$5&gt;=$F192,BF$5&lt;=$G192),7,"")</f>
        <v/>
      </c>
      <c r="BG192" s="34">
        <f>IF(AND(BG$5&gt;=$F192,BG$5&lt;=$G192),7,"")</f>
        <v/>
      </c>
      <c r="BH192" s="34">
        <f>IF(AND(BH$5&gt;=$F192,BH$5&lt;=$G192),7,"")</f>
        <v/>
      </c>
      <c r="BI192" s="34">
        <f>IF(AND(BI$5&gt;=$F192,BI$5&lt;=$G192),7,"")</f>
        <v/>
      </c>
      <c r="BJ192" s="34">
        <f>IF(AND(BJ$5&gt;=$F192,BJ$5&lt;=$G192),7,"")</f>
        <v/>
      </c>
      <c r="BK192" s="34">
        <f>IF(AND(BK$5&gt;=$F192,BK$5&lt;=$G192),7,"")</f>
        <v/>
      </c>
      <c r="BL192" s="34">
        <f>IF(AND(BL$5&gt;=$F192,BL$5&lt;=$G192),7,"")</f>
        <v/>
      </c>
      <c r="BM192" s="34">
        <f>IF(AND(BM$5&gt;=$F192,BM$5&lt;=$G192),7,"")</f>
        <v/>
      </c>
      <c r="BN192" s="34">
        <f>IF(AND(BN$5&gt;=$F192,BN$5&lt;=$G192),7,"")</f>
        <v/>
      </c>
    </row>
    <row r="193" ht="14.25" customHeight="1" s="36">
      <c r="A193" s="13" t="inlineStr">
        <is>
          <t>7 Capacitación y gestión del cambio</t>
        </is>
      </c>
      <c r="B193" s="13" t="inlineStr">
        <is>
          <t>7.1.6</t>
        </is>
      </c>
      <c r="C193" s="13" t="inlineStr">
        <is>
          <t>Plataforma de autoformación en línea con registro de avance</t>
        </is>
      </c>
      <c r="D193" s="13" t="inlineStr">
        <is>
          <t>T</t>
        </is>
      </c>
      <c r="E193" s="13" t="inlineStr">
        <is>
          <t>Implantación y gestión del cambio</t>
        </is>
      </c>
      <c r="F193" s="13" t="n">
        <v>10</v>
      </c>
      <c r="G193" s="13" t="n">
        <v>12</v>
      </c>
      <c r="H193" s="13">
        <f>G193-F193+1</f>
        <v/>
      </c>
      <c r="I193" s="31" t="n">
        <v>160</v>
      </c>
      <c r="J193" s="13" t="inlineStr">
        <is>
          <t>Con entregable (detalle por planificación gradual)</t>
        </is>
      </c>
      <c r="K193" s="34">
        <f>IF(AND(K$5&gt;=$F193,K$5&lt;=$G193),7,"")</f>
        <v/>
      </c>
      <c r="L193" s="34">
        <f>IF(AND(L$5&gt;=$F193,L$5&lt;=$G193),7,"")</f>
        <v/>
      </c>
      <c r="M193" s="34">
        <f>IF(AND(M$5&gt;=$F193,M$5&lt;=$G193),7,"")</f>
        <v/>
      </c>
      <c r="N193" s="34">
        <f>IF(AND(N$5&gt;=$F193,N$5&lt;=$G193),7,"")</f>
        <v/>
      </c>
      <c r="O193" s="34">
        <f>IF(AND(O$5&gt;=$F193,O$5&lt;=$G193),7,"")</f>
        <v/>
      </c>
      <c r="P193" s="34">
        <f>IF(AND(P$5&gt;=$F193,P$5&lt;=$G193),7,"")</f>
        <v/>
      </c>
      <c r="Q193" s="34">
        <f>IF(AND(Q$5&gt;=$F193,Q$5&lt;=$G193),7,"")</f>
        <v/>
      </c>
      <c r="R193" s="34">
        <f>IF(AND(R$5&gt;=$F193,R$5&lt;=$G193),7,"")</f>
        <v/>
      </c>
      <c r="S193" s="34">
        <f>IF(AND(S$5&gt;=$F193,S$5&lt;=$G193),7,"")</f>
        <v/>
      </c>
      <c r="T193" s="34">
        <f>IF(AND(T$5&gt;=$F193,T$5&lt;=$G193),7,"")</f>
        <v/>
      </c>
      <c r="U193" s="34">
        <f>IF(AND(U$5&gt;=$F193,U$5&lt;=$G193),7,"")</f>
        <v/>
      </c>
      <c r="V193" s="34">
        <f>IF(AND(V$5&gt;=$F193,V$5&lt;=$G193),7,"")</f>
        <v/>
      </c>
      <c r="W193" s="34">
        <f>IF(AND(W$5&gt;=$F193,W$5&lt;=$G193),7,"")</f>
        <v/>
      </c>
      <c r="X193" s="34">
        <f>IF(AND(X$5&gt;=$F193,X$5&lt;=$G193),7,"")</f>
        <v/>
      </c>
      <c r="Y193" s="34">
        <f>IF(AND(Y$5&gt;=$F193,Y$5&lt;=$G193),7,"")</f>
        <v/>
      </c>
      <c r="Z193" s="34">
        <f>IF(AND(Z$5&gt;=$F193,Z$5&lt;=$G193),7,"")</f>
        <v/>
      </c>
      <c r="AA193" s="34">
        <f>IF(AND(AA$5&gt;=$F193,AA$5&lt;=$G193),7,"")</f>
        <v/>
      </c>
      <c r="AB193" s="34">
        <f>IF(AND(AB$5&gt;=$F193,AB$5&lt;=$G193),7,"")</f>
        <v/>
      </c>
      <c r="AC193" s="34">
        <f>IF(AND(AC$5&gt;=$F193,AC$5&lt;=$G193),7,"")</f>
        <v/>
      </c>
      <c r="AD193" s="34">
        <f>IF(AND(AD$5&gt;=$F193,AD$5&lt;=$G193),7,"")</f>
        <v/>
      </c>
      <c r="AE193" s="34">
        <f>IF(AND(AE$5&gt;=$F193,AE$5&lt;=$G193),7,"")</f>
        <v/>
      </c>
      <c r="AF193" s="34">
        <f>IF(AND(AF$5&gt;=$F193,AF$5&lt;=$G193),7,"")</f>
        <v/>
      </c>
      <c r="AG193" s="34">
        <f>IF(AND(AG$5&gt;=$F193,AG$5&lt;=$G193),7,"")</f>
        <v/>
      </c>
      <c r="AH193" s="34">
        <f>IF(AND(AH$5&gt;=$F193,AH$5&lt;=$G193),7,"")</f>
        <v/>
      </c>
      <c r="AI193" s="34">
        <f>IF(AND(AI$5&gt;=$F193,AI$5&lt;=$G193),7,"")</f>
        <v/>
      </c>
      <c r="AJ193" s="34">
        <f>IF(AND(AJ$5&gt;=$F193,AJ$5&lt;=$G193),7,"")</f>
        <v/>
      </c>
      <c r="AK193" s="34">
        <f>IF(AND(AK$5&gt;=$F193,AK$5&lt;=$G193),7,"")</f>
        <v/>
      </c>
      <c r="AL193" s="34">
        <f>IF(AND(AL$5&gt;=$F193,AL$5&lt;=$G193),7,"")</f>
        <v/>
      </c>
      <c r="AM193" s="34">
        <f>IF(AND(AM$5&gt;=$F193,AM$5&lt;=$G193),7,"")</f>
        <v/>
      </c>
      <c r="AN193" s="34">
        <f>IF(AND(AN$5&gt;=$F193,AN$5&lt;=$G193),7,"")</f>
        <v/>
      </c>
      <c r="AO193" s="34">
        <f>IF(AND(AO$5&gt;=$F193,AO$5&lt;=$G193),7,"")</f>
        <v/>
      </c>
      <c r="AP193" s="34">
        <f>IF(AND(AP$5&gt;=$F193,AP$5&lt;=$G193),7,"")</f>
        <v/>
      </c>
      <c r="AQ193" s="34">
        <f>IF(AND(AQ$5&gt;=$F193,AQ$5&lt;=$G193),7,"")</f>
        <v/>
      </c>
      <c r="AR193" s="34">
        <f>IF(AND(AR$5&gt;=$F193,AR$5&lt;=$G193),7,"")</f>
        <v/>
      </c>
      <c r="AS193" s="34">
        <f>IF(AND(AS$5&gt;=$F193,AS$5&lt;=$G193),7,"")</f>
        <v/>
      </c>
      <c r="AT193" s="34">
        <f>IF(AND(AT$5&gt;=$F193,AT$5&lt;=$G193),7,"")</f>
        <v/>
      </c>
      <c r="AU193" s="34">
        <f>IF(AND(AU$5&gt;=$F193,AU$5&lt;=$G193),7,"")</f>
        <v/>
      </c>
      <c r="AV193" s="34">
        <f>IF(AND(AV$5&gt;=$F193,AV$5&lt;=$G193),7,"")</f>
        <v/>
      </c>
      <c r="AW193" s="34">
        <f>IF(AND(AW$5&gt;=$F193,AW$5&lt;=$G193),7,"")</f>
        <v/>
      </c>
      <c r="AX193" s="34">
        <f>IF(AND(AX$5&gt;=$F193,AX$5&lt;=$G193),7,"")</f>
        <v/>
      </c>
      <c r="AY193" s="34">
        <f>IF(AND(AY$5&gt;=$F193,AY$5&lt;=$G193),7,"")</f>
        <v/>
      </c>
      <c r="AZ193" s="34">
        <f>IF(AND(AZ$5&gt;=$F193,AZ$5&lt;=$G193),7,"")</f>
        <v/>
      </c>
      <c r="BA193" s="34">
        <f>IF(AND(BA$5&gt;=$F193,BA$5&lt;=$G193),7,"")</f>
        <v/>
      </c>
      <c r="BB193" s="34">
        <f>IF(AND(BB$5&gt;=$F193,BB$5&lt;=$G193),7,"")</f>
        <v/>
      </c>
      <c r="BC193" s="34">
        <f>IF(AND(BC$5&gt;=$F193,BC$5&lt;=$G193),7,"")</f>
        <v/>
      </c>
      <c r="BD193" s="34">
        <f>IF(AND(BD$5&gt;=$F193,BD$5&lt;=$G193),7,"")</f>
        <v/>
      </c>
      <c r="BE193" s="34">
        <f>IF(AND(BE$5&gt;=$F193,BE$5&lt;=$G193),7,"")</f>
        <v/>
      </c>
      <c r="BF193" s="34">
        <f>IF(AND(BF$5&gt;=$F193,BF$5&lt;=$G193),7,"")</f>
        <v/>
      </c>
      <c r="BG193" s="34">
        <f>IF(AND(BG$5&gt;=$F193,BG$5&lt;=$G193),7,"")</f>
        <v/>
      </c>
      <c r="BH193" s="34">
        <f>IF(AND(BH$5&gt;=$F193,BH$5&lt;=$G193),7,"")</f>
        <v/>
      </c>
      <c r="BI193" s="34">
        <f>IF(AND(BI$5&gt;=$F193,BI$5&lt;=$G193),7,"")</f>
        <v/>
      </c>
      <c r="BJ193" s="34">
        <f>IF(AND(BJ$5&gt;=$F193,BJ$5&lt;=$G193),7,"")</f>
        <v/>
      </c>
      <c r="BK193" s="34">
        <f>IF(AND(BK$5&gt;=$F193,BK$5&lt;=$G193),7,"")</f>
        <v/>
      </c>
      <c r="BL193" s="34">
        <f>IF(AND(BL$5&gt;=$F193,BL$5&lt;=$G193),7,"")</f>
        <v/>
      </c>
      <c r="BM193" s="34">
        <f>IF(AND(BM$5&gt;=$F193,BM$5&lt;=$G193),7,"")</f>
        <v/>
      </c>
      <c r="BN193" s="34">
        <f>IF(AND(BN$5&gt;=$F193,BN$5&lt;=$G193),7,"")</f>
        <v/>
      </c>
    </row>
    <row r="194" ht="14.25" customHeight="1" s="36">
      <c r="A194" s="13" t="inlineStr">
        <is>
          <t>7 Capacitación y gestión del cambio</t>
        </is>
      </c>
      <c r="B194" s="13" t="inlineStr">
        <is>
          <t>7.2.1</t>
        </is>
      </c>
      <c r="C194" s="13" t="inlineStr">
        <is>
          <t>Acompañamiento del personal con 20 o 30 años en la compañía</t>
        </is>
      </c>
      <c r="D194" s="13" t="inlineStr">
        <is>
          <t>T</t>
        </is>
      </c>
      <c r="E194" s="13" t="inlineStr">
        <is>
          <t>Implantación y gestión del cambio</t>
        </is>
      </c>
      <c r="F194" s="13" t="n">
        <v>10</v>
      </c>
      <c r="G194" s="13" t="n">
        <v>16</v>
      </c>
      <c r="H194" s="13">
        <f>G194-F194+1</f>
        <v/>
      </c>
      <c r="I194" s="31" t="n">
        <v>160</v>
      </c>
      <c r="J194" s="13" t="inlineStr">
        <is>
          <t>Esfuerzo continuo (por quincena u ocurrencia)</t>
        </is>
      </c>
      <c r="K194" s="34">
        <f>IF(AND(K$5&gt;=$F194,K$5&lt;=$G194),7,"")</f>
        <v/>
      </c>
      <c r="L194" s="34">
        <f>IF(AND(L$5&gt;=$F194,L$5&lt;=$G194),7,"")</f>
        <v/>
      </c>
      <c r="M194" s="34">
        <f>IF(AND(M$5&gt;=$F194,M$5&lt;=$G194),7,"")</f>
        <v/>
      </c>
      <c r="N194" s="34">
        <f>IF(AND(N$5&gt;=$F194,N$5&lt;=$G194),7,"")</f>
        <v/>
      </c>
      <c r="O194" s="34">
        <f>IF(AND(O$5&gt;=$F194,O$5&lt;=$G194),7,"")</f>
        <v/>
      </c>
      <c r="P194" s="34">
        <f>IF(AND(P$5&gt;=$F194,P$5&lt;=$G194),7,"")</f>
        <v/>
      </c>
      <c r="Q194" s="34">
        <f>IF(AND(Q$5&gt;=$F194,Q$5&lt;=$G194),7,"")</f>
        <v/>
      </c>
      <c r="R194" s="34">
        <f>IF(AND(R$5&gt;=$F194,R$5&lt;=$G194),7,"")</f>
        <v/>
      </c>
      <c r="S194" s="34">
        <f>IF(AND(S$5&gt;=$F194,S$5&lt;=$G194),7,"")</f>
        <v/>
      </c>
      <c r="T194" s="34">
        <f>IF(AND(T$5&gt;=$F194,T$5&lt;=$G194),7,"")</f>
        <v/>
      </c>
      <c r="U194" s="34">
        <f>IF(AND(U$5&gt;=$F194,U$5&lt;=$G194),7,"")</f>
        <v/>
      </c>
      <c r="V194" s="34">
        <f>IF(AND(V$5&gt;=$F194,V$5&lt;=$G194),7,"")</f>
        <v/>
      </c>
      <c r="W194" s="34">
        <f>IF(AND(W$5&gt;=$F194,W$5&lt;=$G194),7,"")</f>
        <v/>
      </c>
      <c r="X194" s="34">
        <f>IF(AND(X$5&gt;=$F194,X$5&lt;=$G194),7,"")</f>
        <v/>
      </c>
      <c r="Y194" s="34">
        <f>IF(AND(Y$5&gt;=$F194,Y$5&lt;=$G194),7,"")</f>
        <v/>
      </c>
      <c r="Z194" s="34">
        <f>IF(AND(Z$5&gt;=$F194,Z$5&lt;=$G194),7,"")</f>
        <v/>
      </c>
      <c r="AA194" s="34">
        <f>IF(AND(AA$5&gt;=$F194,AA$5&lt;=$G194),7,"")</f>
        <v/>
      </c>
      <c r="AB194" s="34">
        <f>IF(AND(AB$5&gt;=$F194,AB$5&lt;=$G194),7,"")</f>
        <v/>
      </c>
      <c r="AC194" s="34">
        <f>IF(AND(AC$5&gt;=$F194,AC$5&lt;=$G194),7,"")</f>
        <v/>
      </c>
      <c r="AD194" s="34">
        <f>IF(AND(AD$5&gt;=$F194,AD$5&lt;=$G194),7,"")</f>
        <v/>
      </c>
      <c r="AE194" s="34">
        <f>IF(AND(AE$5&gt;=$F194,AE$5&lt;=$G194),7,"")</f>
        <v/>
      </c>
      <c r="AF194" s="34">
        <f>IF(AND(AF$5&gt;=$F194,AF$5&lt;=$G194),7,"")</f>
        <v/>
      </c>
      <c r="AG194" s="34">
        <f>IF(AND(AG$5&gt;=$F194,AG$5&lt;=$G194),7,"")</f>
        <v/>
      </c>
      <c r="AH194" s="34">
        <f>IF(AND(AH$5&gt;=$F194,AH$5&lt;=$G194),7,"")</f>
        <v/>
      </c>
      <c r="AI194" s="34">
        <f>IF(AND(AI$5&gt;=$F194,AI$5&lt;=$G194),7,"")</f>
        <v/>
      </c>
      <c r="AJ194" s="34">
        <f>IF(AND(AJ$5&gt;=$F194,AJ$5&lt;=$G194),7,"")</f>
        <v/>
      </c>
      <c r="AK194" s="34">
        <f>IF(AND(AK$5&gt;=$F194,AK$5&lt;=$G194),7,"")</f>
        <v/>
      </c>
      <c r="AL194" s="34">
        <f>IF(AND(AL$5&gt;=$F194,AL$5&lt;=$G194),7,"")</f>
        <v/>
      </c>
      <c r="AM194" s="34">
        <f>IF(AND(AM$5&gt;=$F194,AM$5&lt;=$G194),7,"")</f>
        <v/>
      </c>
      <c r="AN194" s="34">
        <f>IF(AND(AN$5&gt;=$F194,AN$5&lt;=$G194),7,"")</f>
        <v/>
      </c>
      <c r="AO194" s="34">
        <f>IF(AND(AO$5&gt;=$F194,AO$5&lt;=$G194),7,"")</f>
        <v/>
      </c>
      <c r="AP194" s="34">
        <f>IF(AND(AP$5&gt;=$F194,AP$5&lt;=$G194),7,"")</f>
        <v/>
      </c>
      <c r="AQ194" s="34">
        <f>IF(AND(AQ$5&gt;=$F194,AQ$5&lt;=$G194),7,"")</f>
        <v/>
      </c>
      <c r="AR194" s="34">
        <f>IF(AND(AR$5&gt;=$F194,AR$5&lt;=$G194),7,"")</f>
        <v/>
      </c>
      <c r="AS194" s="34">
        <f>IF(AND(AS$5&gt;=$F194,AS$5&lt;=$G194),7,"")</f>
        <v/>
      </c>
      <c r="AT194" s="34">
        <f>IF(AND(AT$5&gt;=$F194,AT$5&lt;=$G194),7,"")</f>
        <v/>
      </c>
      <c r="AU194" s="34">
        <f>IF(AND(AU$5&gt;=$F194,AU$5&lt;=$G194),7,"")</f>
        <v/>
      </c>
      <c r="AV194" s="34">
        <f>IF(AND(AV$5&gt;=$F194,AV$5&lt;=$G194),7,"")</f>
        <v/>
      </c>
      <c r="AW194" s="34">
        <f>IF(AND(AW$5&gt;=$F194,AW$5&lt;=$G194),7,"")</f>
        <v/>
      </c>
      <c r="AX194" s="34">
        <f>IF(AND(AX$5&gt;=$F194,AX$5&lt;=$G194),7,"")</f>
        <v/>
      </c>
      <c r="AY194" s="34">
        <f>IF(AND(AY$5&gt;=$F194,AY$5&lt;=$G194),7,"")</f>
        <v/>
      </c>
      <c r="AZ194" s="34">
        <f>IF(AND(AZ$5&gt;=$F194,AZ$5&lt;=$G194),7,"")</f>
        <v/>
      </c>
      <c r="BA194" s="34">
        <f>IF(AND(BA$5&gt;=$F194,BA$5&lt;=$G194),7,"")</f>
        <v/>
      </c>
      <c r="BB194" s="34">
        <f>IF(AND(BB$5&gt;=$F194,BB$5&lt;=$G194),7,"")</f>
        <v/>
      </c>
      <c r="BC194" s="34">
        <f>IF(AND(BC$5&gt;=$F194,BC$5&lt;=$G194),7,"")</f>
        <v/>
      </c>
      <c r="BD194" s="34">
        <f>IF(AND(BD$5&gt;=$F194,BD$5&lt;=$G194),7,"")</f>
        <v/>
      </c>
      <c r="BE194" s="34">
        <f>IF(AND(BE$5&gt;=$F194,BE$5&lt;=$G194),7,"")</f>
        <v/>
      </c>
      <c r="BF194" s="34">
        <f>IF(AND(BF$5&gt;=$F194,BF$5&lt;=$G194),7,"")</f>
        <v/>
      </c>
      <c r="BG194" s="34">
        <f>IF(AND(BG$5&gt;=$F194,BG$5&lt;=$G194),7,"")</f>
        <v/>
      </c>
      <c r="BH194" s="34">
        <f>IF(AND(BH$5&gt;=$F194,BH$5&lt;=$G194),7,"")</f>
        <v/>
      </c>
      <c r="BI194" s="34">
        <f>IF(AND(BI$5&gt;=$F194,BI$5&lt;=$G194),7,"")</f>
        <v/>
      </c>
      <c r="BJ194" s="34">
        <f>IF(AND(BJ$5&gt;=$F194,BJ$5&lt;=$G194),7,"")</f>
        <v/>
      </c>
      <c r="BK194" s="34">
        <f>IF(AND(BK$5&gt;=$F194,BK$5&lt;=$G194),7,"")</f>
        <v/>
      </c>
      <c r="BL194" s="34">
        <f>IF(AND(BL$5&gt;=$F194,BL$5&lt;=$G194),7,"")</f>
        <v/>
      </c>
      <c r="BM194" s="34">
        <f>IF(AND(BM$5&gt;=$F194,BM$5&lt;=$G194),7,"")</f>
        <v/>
      </c>
      <c r="BN194" s="34">
        <f>IF(AND(BN$5&gt;=$F194,BN$5&lt;=$G194),7,"")</f>
        <v/>
      </c>
    </row>
    <row r="195" ht="14.25" customHeight="1" s="36">
      <c r="A195" s="13" t="inlineStr">
        <is>
          <t>7 Capacitación y gestión del cambio</t>
        </is>
      </c>
      <c r="B195" s="13" t="inlineStr">
        <is>
          <t>7.2.2</t>
        </is>
      </c>
      <c r="C195" s="13" t="inlineStr">
        <is>
          <t>Gestión del cambio con las cadenas y los transportistas</t>
        </is>
      </c>
      <c r="D195" s="13" t="inlineStr">
        <is>
          <t>T</t>
        </is>
      </c>
      <c r="E195" s="13" t="inlineStr">
        <is>
          <t>Implantación y gestión del cambio</t>
        </is>
      </c>
      <c r="F195" s="13" t="n">
        <v>16</v>
      </c>
      <c r="G195" s="13" t="n">
        <v>18</v>
      </c>
      <c r="H195" s="13">
        <f>G195-F195+1</f>
        <v/>
      </c>
      <c r="I195" s="31" t="n">
        <v>160</v>
      </c>
      <c r="J195" s="13" t="inlineStr">
        <is>
          <t>Con entregable (detalle por planificación gradual)</t>
        </is>
      </c>
      <c r="K195" s="34">
        <f>IF(AND(K$5&gt;=$F195,K$5&lt;=$G195),7,"")</f>
        <v/>
      </c>
      <c r="L195" s="34">
        <f>IF(AND(L$5&gt;=$F195,L$5&lt;=$G195),7,"")</f>
        <v/>
      </c>
      <c r="M195" s="34">
        <f>IF(AND(M$5&gt;=$F195,M$5&lt;=$G195),7,"")</f>
        <v/>
      </c>
      <c r="N195" s="34">
        <f>IF(AND(N$5&gt;=$F195,N$5&lt;=$G195),7,"")</f>
        <v/>
      </c>
      <c r="O195" s="34">
        <f>IF(AND(O$5&gt;=$F195,O$5&lt;=$G195),7,"")</f>
        <v/>
      </c>
      <c r="P195" s="34">
        <f>IF(AND(P$5&gt;=$F195,P$5&lt;=$G195),7,"")</f>
        <v/>
      </c>
      <c r="Q195" s="34">
        <f>IF(AND(Q$5&gt;=$F195,Q$5&lt;=$G195),7,"")</f>
        <v/>
      </c>
      <c r="R195" s="34">
        <f>IF(AND(R$5&gt;=$F195,R$5&lt;=$G195),7,"")</f>
        <v/>
      </c>
      <c r="S195" s="34">
        <f>IF(AND(S$5&gt;=$F195,S$5&lt;=$G195),7,"")</f>
        <v/>
      </c>
      <c r="T195" s="34">
        <f>IF(AND(T$5&gt;=$F195,T$5&lt;=$G195),7,"")</f>
        <v/>
      </c>
      <c r="U195" s="34">
        <f>IF(AND(U$5&gt;=$F195,U$5&lt;=$G195),7,"")</f>
        <v/>
      </c>
      <c r="V195" s="34">
        <f>IF(AND(V$5&gt;=$F195,V$5&lt;=$G195),7,"")</f>
        <v/>
      </c>
      <c r="W195" s="34">
        <f>IF(AND(W$5&gt;=$F195,W$5&lt;=$G195),7,"")</f>
        <v/>
      </c>
      <c r="X195" s="34">
        <f>IF(AND(X$5&gt;=$F195,X$5&lt;=$G195),7,"")</f>
        <v/>
      </c>
      <c r="Y195" s="34">
        <f>IF(AND(Y$5&gt;=$F195,Y$5&lt;=$G195),7,"")</f>
        <v/>
      </c>
      <c r="Z195" s="34">
        <f>IF(AND(Z$5&gt;=$F195,Z$5&lt;=$G195),7,"")</f>
        <v/>
      </c>
      <c r="AA195" s="34">
        <f>IF(AND(AA$5&gt;=$F195,AA$5&lt;=$G195),7,"")</f>
        <v/>
      </c>
      <c r="AB195" s="34">
        <f>IF(AND(AB$5&gt;=$F195,AB$5&lt;=$G195),7,"")</f>
        <v/>
      </c>
      <c r="AC195" s="34">
        <f>IF(AND(AC$5&gt;=$F195,AC$5&lt;=$G195),7,"")</f>
        <v/>
      </c>
      <c r="AD195" s="34">
        <f>IF(AND(AD$5&gt;=$F195,AD$5&lt;=$G195),7,"")</f>
        <v/>
      </c>
      <c r="AE195" s="34">
        <f>IF(AND(AE$5&gt;=$F195,AE$5&lt;=$G195),7,"")</f>
        <v/>
      </c>
      <c r="AF195" s="34">
        <f>IF(AND(AF$5&gt;=$F195,AF$5&lt;=$G195),7,"")</f>
        <v/>
      </c>
      <c r="AG195" s="34">
        <f>IF(AND(AG$5&gt;=$F195,AG$5&lt;=$G195),7,"")</f>
        <v/>
      </c>
      <c r="AH195" s="34">
        <f>IF(AND(AH$5&gt;=$F195,AH$5&lt;=$G195),7,"")</f>
        <v/>
      </c>
      <c r="AI195" s="34">
        <f>IF(AND(AI$5&gt;=$F195,AI$5&lt;=$G195),7,"")</f>
        <v/>
      </c>
      <c r="AJ195" s="34">
        <f>IF(AND(AJ$5&gt;=$F195,AJ$5&lt;=$G195),7,"")</f>
        <v/>
      </c>
      <c r="AK195" s="34">
        <f>IF(AND(AK$5&gt;=$F195,AK$5&lt;=$G195),7,"")</f>
        <v/>
      </c>
      <c r="AL195" s="34">
        <f>IF(AND(AL$5&gt;=$F195,AL$5&lt;=$G195),7,"")</f>
        <v/>
      </c>
      <c r="AM195" s="34">
        <f>IF(AND(AM$5&gt;=$F195,AM$5&lt;=$G195),7,"")</f>
        <v/>
      </c>
      <c r="AN195" s="34">
        <f>IF(AND(AN$5&gt;=$F195,AN$5&lt;=$G195),7,"")</f>
        <v/>
      </c>
      <c r="AO195" s="34">
        <f>IF(AND(AO$5&gt;=$F195,AO$5&lt;=$G195),7,"")</f>
        <v/>
      </c>
      <c r="AP195" s="34">
        <f>IF(AND(AP$5&gt;=$F195,AP$5&lt;=$G195),7,"")</f>
        <v/>
      </c>
      <c r="AQ195" s="34">
        <f>IF(AND(AQ$5&gt;=$F195,AQ$5&lt;=$G195),7,"")</f>
        <v/>
      </c>
      <c r="AR195" s="34">
        <f>IF(AND(AR$5&gt;=$F195,AR$5&lt;=$G195),7,"")</f>
        <v/>
      </c>
      <c r="AS195" s="34">
        <f>IF(AND(AS$5&gt;=$F195,AS$5&lt;=$G195),7,"")</f>
        <v/>
      </c>
      <c r="AT195" s="34">
        <f>IF(AND(AT$5&gt;=$F195,AT$5&lt;=$G195),7,"")</f>
        <v/>
      </c>
      <c r="AU195" s="34">
        <f>IF(AND(AU$5&gt;=$F195,AU$5&lt;=$G195),7,"")</f>
        <v/>
      </c>
      <c r="AV195" s="34">
        <f>IF(AND(AV$5&gt;=$F195,AV$5&lt;=$G195),7,"")</f>
        <v/>
      </c>
      <c r="AW195" s="34">
        <f>IF(AND(AW$5&gt;=$F195,AW$5&lt;=$G195),7,"")</f>
        <v/>
      </c>
      <c r="AX195" s="34">
        <f>IF(AND(AX$5&gt;=$F195,AX$5&lt;=$G195),7,"")</f>
        <v/>
      </c>
      <c r="AY195" s="34">
        <f>IF(AND(AY$5&gt;=$F195,AY$5&lt;=$G195),7,"")</f>
        <v/>
      </c>
      <c r="AZ195" s="34">
        <f>IF(AND(AZ$5&gt;=$F195,AZ$5&lt;=$G195),7,"")</f>
        <v/>
      </c>
      <c r="BA195" s="34">
        <f>IF(AND(BA$5&gt;=$F195,BA$5&lt;=$G195),7,"")</f>
        <v/>
      </c>
      <c r="BB195" s="34">
        <f>IF(AND(BB$5&gt;=$F195,BB$5&lt;=$G195),7,"")</f>
        <v/>
      </c>
      <c r="BC195" s="34">
        <f>IF(AND(BC$5&gt;=$F195,BC$5&lt;=$G195),7,"")</f>
        <v/>
      </c>
      <c r="BD195" s="34">
        <f>IF(AND(BD$5&gt;=$F195,BD$5&lt;=$G195),7,"")</f>
        <v/>
      </c>
      <c r="BE195" s="34">
        <f>IF(AND(BE$5&gt;=$F195,BE$5&lt;=$G195),7,"")</f>
        <v/>
      </c>
      <c r="BF195" s="34">
        <f>IF(AND(BF$5&gt;=$F195,BF$5&lt;=$G195),7,"")</f>
        <v/>
      </c>
      <c r="BG195" s="34">
        <f>IF(AND(BG$5&gt;=$F195,BG$5&lt;=$G195),7,"")</f>
        <v/>
      </c>
      <c r="BH195" s="34">
        <f>IF(AND(BH$5&gt;=$F195,BH$5&lt;=$G195),7,"")</f>
        <v/>
      </c>
      <c r="BI195" s="34">
        <f>IF(AND(BI$5&gt;=$F195,BI$5&lt;=$G195),7,"")</f>
        <v/>
      </c>
      <c r="BJ195" s="34">
        <f>IF(AND(BJ$5&gt;=$F195,BJ$5&lt;=$G195),7,"")</f>
        <v/>
      </c>
      <c r="BK195" s="34">
        <f>IF(AND(BK$5&gt;=$F195,BK$5&lt;=$G195),7,"")</f>
        <v/>
      </c>
      <c r="BL195" s="34">
        <f>IF(AND(BL$5&gt;=$F195,BL$5&lt;=$G195),7,"")</f>
        <v/>
      </c>
      <c r="BM195" s="34">
        <f>IF(AND(BM$5&gt;=$F195,BM$5&lt;=$G195),7,"")</f>
        <v/>
      </c>
      <c r="BN195" s="34">
        <f>IF(AND(BN$5&gt;=$F195,BN$5&lt;=$G195),7,"")</f>
        <v/>
      </c>
    </row>
    <row r="196" ht="14.25" customHeight="1" s="36">
      <c r="A196" s="13" t="inlineStr">
        <is>
          <t>7 Capacitación y gestión del cambio</t>
        </is>
      </c>
      <c r="B196" s="13" t="inlineStr">
        <is>
          <t>7.2.3</t>
        </is>
      </c>
      <c r="C196" s="13" t="inlineStr">
        <is>
          <t>Diagnóstico del impacto organizacional por área y perfil, con agentes de cambio</t>
        </is>
      </c>
      <c r="D196" s="13" t="inlineStr">
        <is>
          <t>T</t>
        </is>
      </c>
      <c r="E196" s="13" t="inlineStr">
        <is>
          <t>Implantación y gestión del cambio</t>
        </is>
      </c>
      <c r="F196" s="13" t="n">
        <v>2</v>
      </c>
      <c r="G196" s="13" t="n">
        <v>6</v>
      </c>
      <c r="H196" s="13">
        <f>G196-F196+1</f>
        <v/>
      </c>
      <c r="I196" s="31" t="n">
        <v>160</v>
      </c>
      <c r="J196" s="13" t="inlineStr">
        <is>
          <t>Con entregable (actividades en hoja «Actividades hasta H2»)</t>
        </is>
      </c>
      <c r="K196" s="34">
        <f>IF(AND(K$5&gt;=$F196,K$5&lt;=$G196),7,"")</f>
        <v/>
      </c>
      <c r="L196" s="34">
        <f>IF(AND(L$5&gt;=$F196,L$5&lt;=$G196),7,"")</f>
        <v/>
      </c>
      <c r="M196" s="34">
        <f>IF(AND(M$5&gt;=$F196,M$5&lt;=$G196),7,"")</f>
        <v/>
      </c>
      <c r="N196" s="34">
        <f>IF(AND(N$5&gt;=$F196,N$5&lt;=$G196),7,"")</f>
        <v/>
      </c>
      <c r="O196" s="34">
        <f>IF(AND(O$5&gt;=$F196,O$5&lt;=$G196),7,"")</f>
        <v/>
      </c>
      <c r="P196" s="34">
        <f>IF(AND(P$5&gt;=$F196,P$5&lt;=$G196),7,"")</f>
        <v/>
      </c>
      <c r="Q196" s="34">
        <f>IF(AND(Q$5&gt;=$F196,Q$5&lt;=$G196),7,"")</f>
        <v/>
      </c>
      <c r="R196" s="34">
        <f>IF(AND(R$5&gt;=$F196,R$5&lt;=$G196),7,"")</f>
        <v/>
      </c>
      <c r="S196" s="34">
        <f>IF(AND(S$5&gt;=$F196,S$5&lt;=$G196),7,"")</f>
        <v/>
      </c>
      <c r="T196" s="34">
        <f>IF(AND(T$5&gt;=$F196,T$5&lt;=$G196),7,"")</f>
        <v/>
      </c>
      <c r="U196" s="34">
        <f>IF(AND(U$5&gt;=$F196,U$5&lt;=$G196),7,"")</f>
        <v/>
      </c>
      <c r="V196" s="34">
        <f>IF(AND(V$5&gt;=$F196,V$5&lt;=$G196),7,"")</f>
        <v/>
      </c>
      <c r="W196" s="34">
        <f>IF(AND(W$5&gt;=$F196,W$5&lt;=$G196),7,"")</f>
        <v/>
      </c>
      <c r="X196" s="34">
        <f>IF(AND(X$5&gt;=$F196,X$5&lt;=$G196),7,"")</f>
        <v/>
      </c>
      <c r="Y196" s="34">
        <f>IF(AND(Y$5&gt;=$F196,Y$5&lt;=$G196),7,"")</f>
        <v/>
      </c>
      <c r="Z196" s="34">
        <f>IF(AND(Z$5&gt;=$F196,Z$5&lt;=$G196),7,"")</f>
        <v/>
      </c>
      <c r="AA196" s="34">
        <f>IF(AND(AA$5&gt;=$F196,AA$5&lt;=$G196),7,"")</f>
        <v/>
      </c>
      <c r="AB196" s="34">
        <f>IF(AND(AB$5&gt;=$F196,AB$5&lt;=$G196),7,"")</f>
        <v/>
      </c>
      <c r="AC196" s="34">
        <f>IF(AND(AC$5&gt;=$F196,AC$5&lt;=$G196),7,"")</f>
        <v/>
      </c>
      <c r="AD196" s="34">
        <f>IF(AND(AD$5&gt;=$F196,AD$5&lt;=$G196),7,"")</f>
        <v/>
      </c>
      <c r="AE196" s="34">
        <f>IF(AND(AE$5&gt;=$F196,AE$5&lt;=$G196),7,"")</f>
        <v/>
      </c>
      <c r="AF196" s="34">
        <f>IF(AND(AF$5&gt;=$F196,AF$5&lt;=$G196),7,"")</f>
        <v/>
      </c>
      <c r="AG196" s="34">
        <f>IF(AND(AG$5&gt;=$F196,AG$5&lt;=$G196),7,"")</f>
        <v/>
      </c>
      <c r="AH196" s="34">
        <f>IF(AND(AH$5&gt;=$F196,AH$5&lt;=$G196),7,"")</f>
        <v/>
      </c>
      <c r="AI196" s="34">
        <f>IF(AND(AI$5&gt;=$F196,AI$5&lt;=$G196),7,"")</f>
        <v/>
      </c>
      <c r="AJ196" s="34">
        <f>IF(AND(AJ$5&gt;=$F196,AJ$5&lt;=$G196),7,"")</f>
        <v/>
      </c>
      <c r="AK196" s="34">
        <f>IF(AND(AK$5&gt;=$F196,AK$5&lt;=$G196),7,"")</f>
        <v/>
      </c>
      <c r="AL196" s="34">
        <f>IF(AND(AL$5&gt;=$F196,AL$5&lt;=$G196),7,"")</f>
        <v/>
      </c>
      <c r="AM196" s="34">
        <f>IF(AND(AM$5&gt;=$F196,AM$5&lt;=$G196),7,"")</f>
        <v/>
      </c>
      <c r="AN196" s="34">
        <f>IF(AND(AN$5&gt;=$F196,AN$5&lt;=$G196),7,"")</f>
        <v/>
      </c>
      <c r="AO196" s="34">
        <f>IF(AND(AO$5&gt;=$F196,AO$5&lt;=$G196),7,"")</f>
        <v/>
      </c>
      <c r="AP196" s="34">
        <f>IF(AND(AP$5&gt;=$F196,AP$5&lt;=$G196),7,"")</f>
        <v/>
      </c>
      <c r="AQ196" s="34">
        <f>IF(AND(AQ$5&gt;=$F196,AQ$5&lt;=$G196),7,"")</f>
        <v/>
      </c>
      <c r="AR196" s="34">
        <f>IF(AND(AR$5&gt;=$F196,AR$5&lt;=$G196),7,"")</f>
        <v/>
      </c>
      <c r="AS196" s="34">
        <f>IF(AND(AS$5&gt;=$F196,AS$5&lt;=$G196),7,"")</f>
        <v/>
      </c>
      <c r="AT196" s="34">
        <f>IF(AND(AT$5&gt;=$F196,AT$5&lt;=$G196),7,"")</f>
        <v/>
      </c>
      <c r="AU196" s="34">
        <f>IF(AND(AU$5&gt;=$F196,AU$5&lt;=$G196),7,"")</f>
        <v/>
      </c>
      <c r="AV196" s="34">
        <f>IF(AND(AV$5&gt;=$F196,AV$5&lt;=$G196),7,"")</f>
        <v/>
      </c>
      <c r="AW196" s="34">
        <f>IF(AND(AW$5&gt;=$F196,AW$5&lt;=$G196),7,"")</f>
        <v/>
      </c>
      <c r="AX196" s="34">
        <f>IF(AND(AX$5&gt;=$F196,AX$5&lt;=$G196),7,"")</f>
        <v/>
      </c>
      <c r="AY196" s="34">
        <f>IF(AND(AY$5&gt;=$F196,AY$5&lt;=$G196),7,"")</f>
        <v/>
      </c>
      <c r="AZ196" s="34">
        <f>IF(AND(AZ$5&gt;=$F196,AZ$5&lt;=$G196),7,"")</f>
        <v/>
      </c>
      <c r="BA196" s="34">
        <f>IF(AND(BA$5&gt;=$F196,BA$5&lt;=$G196),7,"")</f>
        <v/>
      </c>
      <c r="BB196" s="34">
        <f>IF(AND(BB$5&gt;=$F196,BB$5&lt;=$G196),7,"")</f>
        <v/>
      </c>
      <c r="BC196" s="34">
        <f>IF(AND(BC$5&gt;=$F196,BC$5&lt;=$G196),7,"")</f>
        <v/>
      </c>
      <c r="BD196" s="34">
        <f>IF(AND(BD$5&gt;=$F196,BD$5&lt;=$G196),7,"")</f>
        <v/>
      </c>
      <c r="BE196" s="34">
        <f>IF(AND(BE$5&gt;=$F196,BE$5&lt;=$G196),7,"")</f>
        <v/>
      </c>
      <c r="BF196" s="34">
        <f>IF(AND(BF$5&gt;=$F196,BF$5&lt;=$G196),7,"")</f>
        <v/>
      </c>
      <c r="BG196" s="34">
        <f>IF(AND(BG$5&gt;=$F196,BG$5&lt;=$G196),7,"")</f>
        <v/>
      </c>
      <c r="BH196" s="34">
        <f>IF(AND(BH$5&gt;=$F196,BH$5&lt;=$G196),7,"")</f>
        <v/>
      </c>
      <c r="BI196" s="34">
        <f>IF(AND(BI$5&gt;=$F196,BI$5&lt;=$G196),7,"")</f>
        <v/>
      </c>
      <c r="BJ196" s="34">
        <f>IF(AND(BJ$5&gt;=$F196,BJ$5&lt;=$G196),7,"")</f>
        <v/>
      </c>
      <c r="BK196" s="34">
        <f>IF(AND(BK$5&gt;=$F196,BK$5&lt;=$G196),7,"")</f>
        <v/>
      </c>
      <c r="BL196" s="34">
        <f>IF(AND(BL$5&gt;=$F196,BL$5&lt;=$G196),7,"")</f>
        <v/>
      </c>
      <c r="BM196" s="34">
        <f>IF(AND(BM$5&gt;=$F196,BM$5&lt;=$G196),7,"")</f>
        <v/>
      </c>
      <c r="BN196" s="34">
        <f>IF(AND(BN$5&gt;=$F196,BN$5&lt;=$G196),7,"")</f>
        <v/>
      </c>
    </row>
    <row r="197" ht="14.25" customHeight="1" s="36">
      <c r="A197" s="13" t="inlineStr">
        <is>
          <t>7 Capacitación y gestión del cambio</t>
        </is>
      </c>
      <c r="B197" s="13" t="inlineStr">
        <is>
          <t>7.2.4</t>
        </is>
      </c>
      <c r="C197" s="13" t="inlineStr">
        <is>
          <t>Procedimientos operativos afectados, rediseñados y documentados</t>
        </is>
      </c>
      <c r="D197" s="13" t="inlineStr">
        <is>
          <t>T</t>
        </is>
      </c>
      <c r="E197" s="13" t="inlineStr">
        <is>
          <t>Implantación y gestión del cambio</t>
        </is>
      </c>
      <c r="F197" s="13" t="n">
        <v>11</v>
      </c>
      <c r="G197" s="13" t="n">
        <v>20</v>
      </c>
      <c r="H197" s="13">
        <f>G197-F197+1</f>
        <v/>
      </c>
      <c r="I197" s="31" t="n">
        <v>160</v>
      </c>
      <c r="J197" s="13" t="inlineStr">
        <is>
          <t>Esfuerzo continuo (por quincena u ocurrencia)</t>
        </is>
      </c>
      <c r="K197" s="34">
        <f>IF(AND(K$5&gt;=$F197,K$5&lt;=$G197),7,"")</f>
        <v/>
      </c>
      <c r="L197" s="34">
        <f>IF(AND(L$5&gt;=$F197,L$5&lt;=$G197),7,"")</f>
        <v/>
      </c>
      <c r="M197" s="34">
        <f>IF(AND(M$5&gt;=$F197,M$5&lt;=$G197),7,"")</f>
        <v/>
      </c>
      <c r="N197" s="34">
        <f>IF(AND(N$5&gt;=$F197,N$5&lt;=$G197),7,"")</f>
        <v/>
      </c>
      <c r="O197" s="34">
        <f>IF(AND(O$5&gt;=$F197,O$5&lt;=$G197),7,"")</f>
        <v/>
      </c>
      <c r="P197" s="34">
        <f>IF(AND(P$5&gt;=$F197,P$5&lt;=$G197),7,"")</f>
        <v/>
      </c>
      <c r="Q197" s="34">
        <f>IF(AND(Q$5&gt;=$F197,Q$5&lt;=$G197),7,"")</f>
        <v/>
      </c>
      <c r="R197" s="34">
        <f>IF(AND(R$5&gt;=$F197,R$5&lt;=$G197),7,"")</f>
        <v/>
      </c>
      <c r="S197" s="34">
        <f>IF(AND(S$5&gt;=$F197,S$5&lt;=$G197),7,"")</f>
        <v/>
      </c>
      <c r="T197" s="34">
        <f>IF(AND(T$5&gt;=$F197,T$5&lt;=$G197),7,"")</f>
        <v/>
      </c>
      <c r="U197" s="34">
        <f>IF(AND(U$5&gt;=$F197,U$5&lt;=$G197),7,"")</f>
        <v/>
      </c>
      <c r="V197" s="34">
        <f>IF(AND(V$5&gt;=$F197,V$5&lt;=$G197),7,"")</f>
        <v/>
      </c>
      <c r="W197" s="34">
        <f>IF(AND(W$5&gt;=$F197,W$5&lt;=$G197),7,"")</f>
        <v/>
      </c>
      <c r="X197" s="34">
        <f>IF(AND(X$5&gt;=$F197,X$5&lt;=$G197),7,"")</f>
        <v/>
      </c>
      <c r="Y197" s="34">
        <f>IF(AND(Y$5&gt;=$F197,Y$5&lt;=$G197),7,"")</f>
        <v/>
      </c>
      <c r="Z197" s="34">
        <f>IF(AND(Z$5&gt;=$F197,Z$5&lt;=$G197),7,"")</f>
        <v/>
      </c>
      <c r="AA197" s="34">
        <f>IF(AND(AA$5&gt;=$F197,AA$5&lt;=$G197),7,"")</f>
        <v/>
      </c>
      <c r="AB197" s="34">
        <f>IF(AND(AB$5&gt;=$F197,AB$5&lt;=$G197),7,"")</f>
        <v/>
      </c>
      <c r="AC197" s="34">
        <f>IF(AND(AC$5&gt;=$F197,AC$5&lt;=$G197),7,"")</f>
        <v/>
      </c>
      <c r="AD197" s="34">
        <f>IF(AND(AD$5&gt;=$F197,AD$5&lt;=$G197),7,"")</f>
        <v/>
      </c>
      <c r="AE197" s="34">
        <f>IF(AND(AE$5&gt;=$F197,AE$5&lt;=$G197),7,"")</f>
        <v/>
      </c>
      <c r="AF197" s="34">
        <f>IF(AND(AF$5&gt;=$F197,AF$5&lt;=$G197),7,"")</f>
        <v/>
      </c>
      <c r="AG197" s="34">
        <f>IF(AND(AG$5&gt;=$F197,AG$5&lt;=$G197),7,"")</f>
        <v/>
      </c>
      <c r="AH197" s="34">
        <f>IF(AND(AH$5&gt;=$F197,AH$5&lt;=$G197),7,"")</f>
        <v/>
      </c>
      <c r="AI197" s="34">
        <f>IF(AND(AI$5&gt;=$F197,AI$5&lt;=$G197),7,"")</f>
        <v/>
      </c>
      <c r="AJ197" s="34">
        <f>IF(AND(AJ$5&gt;=$F197,AJ$5&lt;=$G197),7,"")</f>
        <v/>
      </c>
      <c r="AK197" s="34">
        <f>IF(AND(AK$5&gt;=$F197,AK$5&lt;=$G197),7,"")</f>
        <v/>
      </c>
      <c r="AL197" s="34">
        <f>IF(AND(AL$5&gt;=$F197,AL$5&lt;=$G197),7,"")</f>
        <v/>
      </c>
      <c r="AM197" s="34">
        <f>IF(AND(AM$5&gt;=$F197,AM$5&lt;=$G197),7,"")</f>
        <v/>
      </c>
      <c r="AN197" s="34">
        <f>IF(AND(AN$5&gt;=$F197,AN$5&lt;=$G197),7,"")</f>
        <v/>
      </c>
      <c r="AO197" s="34">
        <f>IF(AND(AO$5&gt;=$F197,AO$5&lt;=$G197),7,"")</f>
        <v/>
      </c>
      <c r="AP197" s="34">
        <f>IF(AND(AP$5&gt;=$F197,AP$5&lt;=$G197),7,"")</f>
        <v/>
      </c>
      <c r="AQ197" s="34">
        <f>IF(AND(AQ$5&gt;=$F197,AQ$5&lt;=$G197),7,"")</f>
        <v/>
      </c>
      <c r="AR197" s="34">
        <f>IF(AND(AR$5&gt;=$F197,AR$5&lt;=$G197),7,"")</f>
        <v/>
      </c>
      <c r="AS197" s="34">
        <f>IF(AND(AS$5&gt;=$F197,AS$5&lt;=$G197),7,"")</f>
        <v/>
      </c>
      <c r="AT197" s="34">
        <f>IF(AND(AT$5&gt;=$F197,AT$5&lt;=$G197),7,"")</f>
        <v/>
      </c>
      <c r="AU197" s="34">
        <f>IF(AND(AU$5&gt;=$F197,AU$5&lt;=$G197),7,"")</f>
        <v/>
      </c>
      <c r="AV197" s="34">
        <f>IF(AND(AV$5&gt;=$F197,AV$5&lt;=$G197),7,"")</f>
        <v/>
      </c>
      <c r="AW197" s="34">
        <f>IF(AND(AW$5&gt;=$F197,AW$5&lt;=$G197),7,"")</f>
        <v/>
      </c>
      <c r="AX197" s="34">
        <f>IF(AND(AX$5&gt;=$F197,AX$5&lt;=$G197),7,"")</f>
        <v/>
      </c>
      <c r="AY197" s="34">
        <f>IF(AND(AY$5&gt;=$F197,AY$5&lt;=$G197),7,"")</f>
        <v/>
      </c>
      <c r="AZ197" s="34">
        <f>IF(AND(AZ$5&gt;=$F197,AZ$5&lt;=$G197),7,"")</f>
        <v/>
      </c>
      <c r="BA197" s="34">
        <f>IF(AND(BA$5&gt;=$F197,BA$5&lt;=$G197),7,"")</f>
        <v/>
      </c>
      <c r="BB197" s="34">
        <f>IF(AND(BB$5&gt;=$F197,BB$5&lt;=$G197),7,"")</f>
        <v/>
      </c>
      <c r="BC197" s="34">
        <f>IF(AND(BC$5&gt;=$F197,BC$5&lt;=$G197),7,"")</f>
        <v/>
      </c>
      <c r="BD197" s="34">
        <f>IF(AND(BD$5&gt;=$F197,BD$5&lt;=$G197),7,"")</f>
        <v/>
      </c>
      <c r="BE197" s="34">
        <f>IF(AND(BE$5&gt;=$F197,BE$5&lt;=$G197),7,"")</f>
        <v/>
      </c>
      <c r="BF197" s="34">
        <f>IF(AND(BF$5&gt;=$F197,BF$5&lt;=$G197),7,"")</f>
        <v/>
      </c>
      <c r="BG197" s="34">
        <f>IF(AND(BG$5&gt;=$F197,BG$5&lt;=$G197),7,"")</f>
        <v/>
      </c>
      <c r="BH197" s="34">
        <f>IF(AND(BH$5&gt;=$F197,BH$5&lt;=$G197),7,"")</f>
        <v/>
      </c>
      <c r="BI197" s="34">
        <f>IF(AND(BI$5&gt;=$F197,BI$5&lt;=$G197),7,"")</f>
        <v/>
      </c>
      <c r="BJ197" s="34">
        <f>IF(AND(BJ$5&gt;=$F197,BJ$5&lt;=$G197),7,"")</f>
        <v/>
      </c>
      <c r="BK197" s="34">
        <f>IF(AND(BK$5&gt;=$F197,BK$5&lt;=$G197),7,"")</f>
        <v/>
      </c>
      <c r="BL197" s="34">
        <f>IF(AND(BL$5&gt;=$F197,BL$5&lt;=$G197),7,"")</f>
        <v/>
      </c>
      <c r="BM197" s="34">
        <f>IF(AND(BM$5&gt;=$F197,BM$5&lt;=$G197),7,"")</f>
        <v/>
      </c>
      <c r="BN197" s="34">
        <f>IF(AND(BN$5&gt;=$F197,BN$5&lt;=$G197),7,"")</f>
        <v/>
      </c>
    </row>
    <row r="198" ht="14.25" customHeight="1" s="36">
      <c r="A198" s="13" t="inlineStr">
        <is>
          <t>7 Capacitación y gestión del cambio</t>
        </is>
      </c>
      <c r="B198" s="13" t="inlineStr">
        <is>
          <t>7.2.5</t>
        </is>
      </c>
      <c r="C198" s="13" t="inlineStr">
        <is>
          <t>Medición de la adopción y plan de acción correctiva</t>
        </is>
      </c>
      <c r="D198" s="13" t="inlineStr">
        <is>
          <t>T</t>
        </is>
      </c>
      <c r="E198" s="13" t="inlineStr">
        <is>
          <t>Implantación y gestión del cambio</t>
        </is>
      </c>
      <c r="F198" s="13" t="n">
        <v>13</v>
      </c>
      <c r="G198" s="13" t="n">
        <v>21</v>
      </c>
      <c r="H198" s="13">
        <f>G198-F198+1</f>
        <v/>
      </c>
      <c r="I198" s="31" t="n">
        <v>160</v>
      </c>
      <c r="J198" s="13" t="inlineStr">
        <is>
          <t>Esfuerzo continuo (por quincena u ocurrencia)</t>
        </is>
      </c>
      <c r="K198" s="34">
        <f>IF(AND(K$5&gt;=$F198,K$5&lt;=$G198),7,"")</f>
        <v/>
      </c>
      <c r="L198" s="34">
        <f>IF(AND(L$5&gt;=$F198,L$5&lt;=$G198),7,"")</f>
        <v/>
      </c>
      <c r="M198" s="34">
        <f>IF(AND(M$5&gt;=$F198,M$5&lt;=$G198),7,"")</f>
        <v/>
      </c>
      <c r="N198" s="34">
        <f>IF(AND(N$5&gt;=$F198,N$5&lt;=$G198),7,"")</f>
        <v/>
      </c>
      <c r="O198" s="34">
        <f>IF(AND(O$5&gt;=$F198,O$5&lt;=$G198),7,"")</f>
        <v/>
      </c>
      <c r="P198" s="34">
        <f>IF(AND(P$5&gt;=$F198,P$5&lt;=$G198),7,"")</f>
        <v/>
      </c>
      <c r="Q198" s="34">
        <f>IF(AND(Q$5&gt;=$F198,Q$5&lt;=$G198),7,"")</f>
        <v/>
      </c>
      <c r="R198" s="34">
        <f>IF(AND(R$5&gt;=$F198,R$5&lt;=$G198),7,"")</f>
        <v/>
      </c>
      <c r="S198" s="34">
        <f>IF(AND(S$5&gt;=$F198,S$5&lt;=$G198),7,"")</f>
        <v/>
      </c>
      <c r="T198" s="34">
        <f>IF(AND(T$5&gt;=$F198,T$5&lt;=$G198),7,"")</f>
        <v/>
      </c>
      <c r="U198" s="34">
        <f>IF(AND(U$5&gt;=$F198,U$5&lt;=$G198),7,"")</f>
        <v/>
      </c>
      <c r="V198" s="34">
        <f>IF(AND(V$5&gt;=$F198,V$5&lt;=$G198),7,"")</f>
        <v/>
      </c>
      <c r="W198" s="34">
        <f>IF(AND(W$5&gt;=$F198,W$5&lt;=$G198),7,"")</f>
        <v/>
      </c>
      <c r="X198" s="34">
        <f>IF(AND(X$5&gt;=$F198,X$5&lt;=$G198),7,"")</f>
        <v/>
      </c>
      <c r="Y198" s="34">
        <f>IF(AND(Y$5&gt;=$F198,Y$5&lt;=$G198),7,"")</f>
        <v/>
      </c>
      <c r="Z198" s="34">
        <f>IF(AND(Z$5&gt;=$F198,Z$5&lt;=$G198),7,"")</f>
        <v/>
      </c>
      <c r="AA198" s="34">
        <f>IF(AND(AA$5&gt;=$F198,AA$5&lt;=$G198),7,"")</f>
        <v/>
      </c>
      <c r="AB198" s="34">
        <f>IF(AND(AB$5&gt;=$F198,AB$5&lt;=$G198),7,"")</f>
        <v/>
      </c>
      <c r="AC198" s="34">
        <f>IF(AND(AC$5&gt;=$F198,AC$5&lt;=$G198),7,"")</f>
        <v/>
      </c>
      <c r="AD198" s="34">
        <f>IF(AND(AD$5&gt;=$F198,AD$5&lt;=$G198),7,"")</f>
        <v/>
      </c>
      <c r="AE198" s="34">
        <f>IF(AND(AE$5&gt;=$F198,AE$5&lt;=$G198),7,"")</f>
        <v/>
      </c>
      <c r="AF198" s="34">
        <f>IF(AND(AF$5&gt;=$F198,AF$5&lt;=$G198),7,"")</f>
        <v/>
      </c>
      <c r="AG198" s="34">
        <f>IF(AND(AG$5&gt;=$F198,AG$5&lt;=$G198),7,"")</f>
        <v/>
      </c>
      <c r="AH198" s="34">
        <f>IF(AND(AH$5&gt;=$F198,AH$5&lt;=$G198),7,"")</f>
        <v/>
      </c>
      <c r="AI198" s="34">
        <f>IF(AND(AI$5&gt;=$F198,AI$5&lt;=$G198),7,"")</f>
        <v/>
      </c>
      <c r="AJ198" s="34">
        <f>IF(AND(AJ$5&gt;=$F198,AJ$5&lt;=$G198),7,"")</f>
        <v/>
      </c>
      <c r="AK198" s="34">
        <f>IF(AND(AK$5&gt;=$F198,AK$5&lt;=$G198),7,"")</f>
        <v/>
      </c>
      <c r="AL198" s="34">
        <f>IF(AND(AL$5&gt;=$F198,AL$5&lt;=$G198),7,"")</f>
        <v/>
      </c>
      <c r="AM198" s="34">
        <f>IF(AND(AM$5&gt;=$F198,AM$5&lt;=$G198),7,"")</f>
        <v/>
      </c>
      <c r="AN198" s="34">
        <f>IF(AND(AN$5&gt;=$F198,AN$5&lt;=$G198),7,"")</f>
        <v/>
      </c>
      <c r="AO198" s="34">
        <f>IF(AND(AO$5&gt;=$F198,AO$5&lt;=$G198),7,"")</f>
        <v/>
      </c>
      <c r="AP198" s="34">
        <f>IF(AND(AP$5&gt;=$F198,AP$5&lt;=$G198),7,"")</f>
        <v/>
      </c>
      <c r="AQ198" s="34">
        <f>IF(AND(AQ$5&gt;=$F198,AQ$5&lt;=$G198),7,"")</f>
        <v/>
      </c>
      <c r="AR198" s="34">
        <f>IF(AND(AR$5&gt;=$F198,AR$5&lt;=$G198),7,"")</f>
        <v/>
      </c>
      <c r="AS198" s="34">
        <f>IF(AND(AS$5&gt;=$F198,AS$5&lt;=$G198),7,"")</f>
        <v/>
      </c>
      <c r="AT198" s="34">
        <f>IF(AND(AT$5&gt;=$F198,AT$5&lt;=$G198),7,"")</f>
        <v/>
      </c>
      <c r="AU198" s="34">
        <f>IF(AND(AU$5&gt;=$F198,AU$5&lt;=$G198),7,"")</f>
        <v/>
      </c>
      <c r="AV198" s="34">
        <f>IF(AND(AV$5&gt;=$F198,AV$5&lt;=$G198),7,"")</f>
        <v/>
      </c>
      <c r="AW198" s="34">
        <f>IF(AND(AW$5&gt;=$F198,AW$5&lt;=$G198),7,"")</f>
        <v/>
      </c>
      <c r="AX198" s="34">
        <f>IF(AND(AX$5&gt;=$F198,AX$5&lt;=$G198),7,"")</f>
        <v/>
      </c>
      <c r="AY198" s="34">
        <f>IF(AND(AY$5&gt;=$F198,AY$5&lt;=$G198),7,"")</f>
        <v/>
      </c>
      <c r="AZ198" s="34">
        <f>IF(AND(AZ$5&gt;=$F198,AZ$5&lt;=$G198),7,"")</f>
        <v/>
      </c>
      <c r="BA198" s="34">
        <f>IF(AND(BA$5&gt;=$F198,BA$5&lt;=$G198),7,"")</f>
        <v/>
      </c>
      <c r="BB198" s="34">
        <f>IF(AND(BB$5&gt;=$F198,BB$5&lt;=$G198),7,"")</f>
        <v/>
      </c>
      <c r="BC198" s="34">
        <f>IF(AND(BC$5&gt;=$F198,BC$5&lt;=$G198),7,"")</f>
        <v/>
      </c>
      <c r="BD198" s="34">
        <f>IF(AND(BD$5&gt;=$F198,BD$5&lt;=$G198),7,"")</f>
        <v/>
      </c>
      <c r="BE198" s="34">
        <f>IF(AND(BE$5&gt;=$F198,BE$5&lt;=$G198),7,"")</f>
        <v/>
      </c>
      <c r="BF198" s="34">
        <f>IF(AND(BF$5&gt;=$F198,BF$5&lt;=$G198),7,"")</f>
        <v/>
      </c>
      <c r="BG198" s="34">
        <f>IF(AND(BG$5&gt;=$F198,BG$5&lt;=$G198),7,"")</f>
        <v/>
      </c>
      <c r="BH198" s="34">
        <f>IF(AND(BH$5&gt;=$F198,BH$5&lt;=$G198),7,"")</f>
        <v/>
      </c>
      <c r="BI198" s="34">
        <f>IF(AND(BI$5&gt;=$F198,BI$5&lt;=$G198),7,"")</f>
        <v/>
      </c>
      <c r="BJ198" s="34">
        <f>IF(AND(BJ$5&gt;=$F198,BJ$5&lt;=$G198),7,"")</f>
        <v/>
      </c>
      <c r="BK198" s="34">
        <f>IF(AND(BK$5&gt;=$F198,BK$5&lt;=$G198),7,"")</f>
        <v/>
      </c>
      <c r="BL198" s="34">
        <f>IF(AND(BL$5&gt;=$F198,BL$5&lt;=$G198),7,"")</f>
        <v/>
      </c>
      <c r="BM198" s="34">
        <f>IF(AND(BM$5&gt;=$F198,BM$5&lt;=$G198),7,"")</f>
        <v/>
      </c>
      <c r="BN198" s="34">
        <f>IF(AND(BN$5&gt;=$F198,BN$5&lt;=$G198),7,"")</f>
        <v/>
      </c>
    </row>
    <row r="199" ht="14.25" customHeight="1" s="36">
      <c r="A199" s="13" t="inlineStr">
        <is>
          <t>7 Capacitación y gestión del cambio</t>
        </is>
      </c>
      <c r="B199" s="13" t="inlineStr">
        <is>
          <t>7.3.1</t>
        </is>
      </c>
      <c r="C199" s="13" t="inlineStr">
        <is>
          <t>Certificación de preventistas, conductores y preparadores (Etapa 1)</t>
        </is>
      </c>
      <c r="D199" s="13" t="inlineStr">
        <is>
          <t>T</t>
        </is>
      </c>
      <c r="E199" s="13" t="inlineStr">
        <is>
          <t>Implantación y gestión del cambio</t>
        </is>
      </c>
      <c r="F199" s="13" t="n">
        <v>13</v>
      </c>
      <c r="G199" s="13" t="n">
        <v>15</v>
      </c>
      <c r="H199" s="13">
        <f>G199-F199+1</f>
        <v/>
      </c>
      <c r="I199" s="31" t="n">
        <v>160</v>
      </c>
      <c r="J199" s="13" t="inlineStr">
        <is>
          <t>Con entregable (detalle por planificación gradual)</t>
        </is>
      </c>
      <c r="K199" s="34">
        <f>IF(AND(K$5&gt;=$F199,K$5&lt;=$G199),7,"")</f>
        <v/>
      </c>
      <c r="L199" s="34">
        <f>IF(AND(L$5&gt;=$F199,L$5&lt;=$G199),7,"")</f>
        <v/>
      </c>
      <c r="M199" s="34">
        <f>IF(AND(M$5&gt;=$F199,M$5&lt;=$G199),7,"")</f>
        <v/>
      </c>
      <c r="N199" s="34">
        <f>IF(AND(N$5&gt;=$F199,N$5&lt;=$G199),7,"")</f>
        <v/>
      </c>
      <c r="O199" s="34">
        <f>IF(AND(O$5&gt;=$F199,O$5&lt;=$G199),7,"")</f>
        <v/>
      </c>
      <c r="P199" s="34">
        <f>IF(AND(P$5&gt;=$F199,P$5&lt;=$G199),7,"")</f>
        <v/>
      </c>
      <c r="Q199" s="34">
        <f>IF(AND(Q$5&gt;=$F199,Q$5&lt;=$G199),7,"")</f>
        <v/>
      </c>
      <c r="R199" s="34">
        <f>IF(AND(R$5&gt;=$F199,R$5&lt;=$G199),7,"")</f>
        <v/>
      </c>
      <c r="S199" s="34">
        <f>IF(AND(S$5&gt;=$F199,S$5&lt;=$G199),7,"")</f>
        <v/>
      </c>
      <c r="T199" s="34">
        <f>IF(AND(T$5&gt;=$F199,T$5&lt;=$G199),7,"")</f>
        <v/>
      </c>
      <c r="U199" s="34">
        <f>IF(AND(U$5&gt;=$F199,U$5&lt;=$G199),7,"")</f>
        <v/>
      </c>
      <c r="V199" s="34">
        <f>IF(AND(V$5&gt;=$F199,V$5&lt;=$G199),7,"")</f>
        <v/>
      </c>
      <c r="W199" s="34">
        <f>IF(AND(W$5&gt;=$F199,W$5&lt;=$G199),7,"")</f>
        <v/>
      </c>
      <c r="X199" s="34">
        <f>IF(AND(X$5&gt;=$F199,X$5&lt;=$G199),7,"")</f>
        <v/>
      </c>
      <c r="Y199" s="34">
        <f>IF(AND(Y$5&gt;=$F199,Y$5&lt;=$G199),7,"")</f>
        <v/>
      </c>
      <c r="Z199" s="34">
        <f>IF(AND(Z$5&gt;=$F199,Z$5&lt;=$G199),7,"")</f>
        <v/>
      </c>
      <c r="AA199" s="34">
        <f>IF(AND(AA$5&gt;=$F199,AA$5&lt;=$G199),7,"")</f>
        <v/>
      </c>
      <c r="AB199" s="34">
        <f>IF(AND(AB$5&gt;=$F199,AB$5&lt;=$G199),7,"")</f>
        <v/>
      </c>
      <c r="AC199" s="34">
        <f>IF(AND(AC$5&gt;=$F199,AC$5&lt;=$G199),7,"")</f>
        <v/>
      </c>
      <c r="AD199" s="34">
        <f>IF(AND(AD$5&gt;=$F199,AD$5&lt;=$G199),7,"")</f>
        <v/>
      </c>
      <c r="AE199" s="34">
        <f>IF(AND(AE$5&gt;=$F199,AE$5&lt;=$G199),7,"")</f>
        <v/>
      </c>
      <c r="AF199" s="34">
        <f>IF(AND(AF$5&gt;=$F199,AF$5&lt;=$G199),7,"")</f>
        <v/>
      </c>
      <c r="AG199" s="34">
        <f>IF(AND(AG$5&gt;=$F199,AG$5&lt;=$G199),7,"")</f>
        <v/>
      </c>
      <c r="AH199" s="34">
        <f>IF(AND(AH$5&gt;=$F199,AH$5&lt;=$G199),7,"")</f>
        <v/>
      </c>
      <c r="AI199" s="34">
        <f>IF(AND(AI$5&gt;=$F199,AI$5&lt;=$G199),7,"")</f>
        <v/>
      </c>
      <c r="AJ199" s="34">
        <f>IF(AND(AJ$5&gt;=$F199,AJ$5&lt;=$G199),7,"")</f>
        <v/>
      </c>
      <c r="AK199" s="34">
        <f>IF(AND(AK$5&gt;=$F199,AK$5&lt;=$G199),7,"")</f>
        <v/>
      </c>
      <c r="AL199" s="34">
        <f>IF(AND(AL$5&gt;=$F199,AL$5&lt;=$G199),7,"")</f>
        <v/>
      </c>
      <c r="AM199" s="34">
        <f>IF(AND(AM$5&gt;=$F199,AM$5&lt;=$G199),7,"")</f>
        <v/>
      </c>
      <c r="AN199" s="34">
        <f>IF(AND(AN$5&gt;=$F199,AN$5&lt;=$G199),7,"")</f>
        <v/>
      </c>
      <c r="AO199" s="34">
        <f>IF(AND(AO$5&gt;=$F199,AO$5&lt;=$G199),7,"")</f>
        <v/>
      </c>
      <c r="AP199" s="34">
        <f>IF(AND(AP$5&gt;=$F199,AP$5&lt;=$G199),7,"")</f>
        <v/>
      </c>
      <c r="AQ199" s="34">
        <f>IF(AND(AQ$5&gt;=$F199,AQ$5&lt;=$G199),7,"")</f>
        <v/>
      </c>
      <c r="AR199" s="34">
        <f>IF(AND(AR$5&gt;=$F199,AR$5&lt;=$G199),7,"")</f>
        <v/>
      </c>
      <c r="AS199" s="34">
        <f>IF(AND(AS$5&gt;=$F199,AS$5&lt;=$G199),7,"")</f>
        <v/>
      </c>
      <c r="AT199" s="34">
        <f>IF(AND(AT$5&gt;=$F199,AT$5&lt;=$G199),7,"")</f>
        <v/>
      </c>
      <c r="AU199" s="34">
        <f>IF(AND(AU$5&gt;=$F199,AU$5&lt;=$G199),7,"")</f>
        <v/>
      </c>
      <c r="AV199" s="34">
        <f>IF(AND(AV$5&gt;=$F199,AV$5&lt;=$G199),7,"")</f>
        <v/>
      </c>
      <c r="AW199" s="34">
        <f>IF(AND(AW$5&gt;=$F199,AW$5&lt;=$G199),7,"")</f>
        <v/>
      </c>
      <c r="AX199" s="34">
        <f>IF(AND(AX$5&gt;=$F199,AX$5&lt;=$G199),7,"")</f>
        <v/>
      </c>
      <c r="AY199" s="34">
        <f>IF(AND(AY$5&gt;=$F199,AY$5&lt;=$G199),7,"")</f>
        <v/>
      </c>
      <c r="AZ199" s="34">
        <f>IF(AND(AZ$5&gt;=$F199,AZ$5&lt;=$G199),7,"")</f>
        <v/>
      </c>
      <c r="BA199" s="34">
        <f>IF(AND(BA$5&gt;=$F199,BA$5&lt;=$G199),7,"")</f>
        <v/>
      </c>
      <c r="BB199" s="34">
        <f>IF(AND(BB$5&gt;=$F199,BB$5&lt;=$G199),7,"")</f>
        <v/>
      </c>
      <c r="BC199" s="34">
        <f>IF(AND(BC$5&gt;=$F199,BC$5&lt;=$G199),7,"")</f>
        <v/>
      </c>
      <c r="BD199" s="34">
        <f>IF(AND(BD$5&gt;=$F199,BD$5&lt;=$G199),7,"")</f>
        <v/>
      </c>
      <c r="BE199" s="34">
        <f>IF(AND(BE$5&gt;=$F199,BE$5&lt;=$G199),7,"")</f>
        <v/>
      </c>
      <c r="BF199" s="34">
        <f>IF(AND(BF$5&gt;=$F199,BF$5&lt;=$G199),7,"")</f>
        <v/>
      </c>
      <c r="BG199" s="34">
        <f>IF(AND(BG$5&gt;=$F199,BG$5&lt;=$G199),7,"")</f>
        <v/>
      </c>
      <c r="BH199" s="34">
        <f>IF(AND(BH$5&gt;=$F199,BH$5&lt;=$G199),7,"")</f>
        <v/>
      </c>
      <c r="BI199" s="34">
        <f>IF(AND(BI$5&gt;=$F199,BI$5&lt;=$G199),7,"")</f>
        <v/>
      </c>
      <c r="BJ199" s="34">
        <f>IF(AND(BJ$5&gt;=$F199,BJ$5&lt;=$G199),7,"")</f>
        <v/>
      </c>
      <c r="BK199" s="34">
        <f>IF(AND(BK$5&gt;=$F199,BK$5&lt;=$G199),7,"")</f>
        <v/>
      </c>
      <c r="BL199" s="34">
        <f>IF(AND(BL$5&gt;=$F199,BL$5&lt;=$G199),7,"")</f>
        <v/>
      </c>
      <c r="BM199" s="34">
        <f>IF(AND(BM$5&gt;=$F199,BM$5&lt;=$G199),7,"")</f>
        <v/>
      </c>
      <c r="BN199" s="34">
        <f>IF(AND(BN$5&gt;=$F199,BN$5&lt;=$G199),7,"")</f>
        <v/>
      </c>
    </row>
    <row r="200" ht="14.25" customHeight="1" s="36">
      <c r="A200" s="13" t="inlineStr">
        <is>
          <t>7 Capacitación y gestión del cambio</t>
        </is>
      </c>
      <c r="B200" s="13" t="inlineStr">
        <is>
          <t>7.3.2</t>
        </is>
      </c>
      <c r="C200" s="13" t="inlineStr">
        <is>
          <t>Certificación de Comercial y Finanzas en costo de servir (Etapa 2)</t>
        </is>
      </c>
      <c r="D200" s="13" t="inlineStr">
        <is>
          <t>T</t>
        </is>
      </c>
      <c r="E200" s="13" t="inlineStr">
        <is>
          <t>Implantación y gestión del cambio</t>
        </is>
      </c>
      <c r="F200" s="13" t="n">
        <v>18</v>
      </c>
      <c r="G200" s="13" t="n">
        <v>18</v>
      </c>
      <c r="H200" s="13">
        <f>G200-F200+1</f>
        <v/>
      </c>
      <c r="I200" s="31" t="n">
        <v>160</v>
      </c>
      <c r="J200" s="13" t="inlineStr">
        <is>
          <t>Con entregable (detalle por planificación gradual)</t>
        </is>
      </c>
      <c r="K200" s="34">
        <f>IF(AND(K$5&gt;=$F200,K$5&lt;=$G200),7,"")</f>
        <v/>
      </c>
      <c r="L200" s="34">
        <f>IF(AND(L$5&gt;=$F200,L$5&lt;=$G200),7,"")</f>
        <v/>
      </c>
      <c r="M200" s="34">
        <f>IF(AND(M$5&gt;=$F200,M$5&lt;=$G200),7,"")</f>
        <v/>
      </c>
      <c r="N200" s="34">
        <f>IF(AND(N$5&gt;=$F200,N$5&lt;=$G200),7,"")</f>
        <v/>
      </c>
      <c r="O200" s="34">
        <f>IF(AND(O$5&gt;=$F200,O$5&lt;=$G200),7,"")</f>
        <v/>
      </c>
      <c r="P200" s="34">
        <f>IF(AND(P$5&gt;=$F200,P$5&lt;=$G200),7,"")</f>
        <v/>
      </c>
      <c r="Q200" s="34">
        <f>IF(AND(Q$5&gt;=$F200,Q$5&lt;=$G200),7,"")</f>
        <v/>
      </c>
      <c r="R200" s="34">
        <f>IF(AND(R$5&gt;=$F200,R$5&lt;=$G200),7,"")</f>
        <v/>
      </c>
      <c r="S200" s="34">
        <f>IF(AND(S$5&gt;=$F200,S$5&lt;=$G200),7,"")</f>
        <v/>
      </c>
      <c r="T200" s="34">
        <f>IF(AND(T$5&gt;=$F200,T$5&lt;=$G200),7,"")</f>
        <v/>
      </c>
      <c r="U200" s="34">
        <f>IF(AND(U$5&gt;=$F200,U$5&lt;=$G200),7,"")</f>
        <v/>
      </c>
      <c r="V200" s="34">
        <f>IF(AND(V$5&gt;=$F200,V$5&lt;=$G200),7,"")</f>
        <v/>
      </c>
      <c r="W200" s="34">
        <f>IF(AND(W$5&gt;=$F200,W$5&lt;=$G200),7,"")</f>
        <v/>
      </c>
      <c r="X200" s="34">
        <f>IF(AND(X$5&gt;=$F200,X$5&lt;=$G200),7,"")</f>
        <v/>
      </c>
      <c r="Y200" s="34">
        <f>IF(AND(Y$5&gt;=$F200,Y$5&lt;=$G200),7,"")</f>
        <v/>
      </c>
      <c r="Z200" s="34">
        <f>IF(AND(Z$5&gt;=$F200,Z$5&lt;=$G200),7,"")</f>
        <v/>
      </c>
      <c r="AA200" s="34">
        <f>IF(AND(AA$5&gt;=$F200,AA$5&lt;=$G200),7,"")</f>
        <v/>
      </c>
      <c r="AB200" s="34">
        <f>IF(AND(AB$5&gt;=$F200,AB$5&lt;=$G200),7,"")</f>
        <v/>
      </c>
      <c r="AC200" s="34">
        <f>IF(AND(AC$5&gt;=$F200,AC$5&lt;=$G200),7,"")</f>
        <v/>
      </c>
      <c r="AD200" s="34">
        <f>IF(AND(AD$5&gt;=$F200,AD$5&lt;=$G200),7,"")</f>
        <v/>
      </c>
      <c r="AE200" s="34">
        <f>IF(AND(AE$5&gt;=$F200,AE$5&lt;=$G200),7,"")</f>
        <v/>
      </c>
      <c r="AF200" s="34">
        <f>IF(AND(AF$5&gt;=$F200,AF$5&lt;=$G200),7,"")</f>
        <v/>
      </c>
      <c r="AG200" s="34">
        <f>IF(AND(AG$5&gt;=$F200,AG$5&lt;=$G200),7,"")</f>
        <v/>
      </c>
      <c r="AH200" s="34">
        <f>IF(AND(AH$5&gt;=$F200,AH$5&lt;=$G200),7,"")</f>
        <v/>
      </c>
      <c r="AI200" s="34">
        <f>IF(AND(AI$5&gt;=$F200,AI$5&lt;=$G200),7,"")</f>
        <v/>
      </c>
      <c r="AJ200" s="34">
        <f>IF(AND(AJ$5&gt;=$F200,AJ$5&lt;=$G200),7,"")</f>
        <v/>
      </c>
      <c r="AK200" s="34">
        <f>IF(AND(AK$5&gt;=$F200,AK$5&lt;=$G200),7,"")</f>
        <v/>
      </c>
      <c r="AL200" s="34">
        <f>IF(AND(AL$5&gt;=$F200,AL$5&lt;=$G200),7,"")</f>
        <v/>
      </c>
      <c r="AM200" s="34">
        <f>IF(AND(AM$5&gt;=$F200,AM$5&lt;=$G200),7,"")</f>
        <v/>
      </c>
      <c r="AN200" s="34">
        <f>IF(AND(AN$5&gt;=$F200,AN$5&lt;=$G200),7,"")</f>
        <v/>
      </c>
      <c r="AO200" s="34">
        <f>IF(AND(AO$5&gt;=$F200,AO$5&lt;=$G200),7,"")</f>
        <v/>
      </c>
      <c r="AP200" s="34">
        <f>IF(AND(AP$5&gt;=$F200,AP$5&lt;=$G200),7,"")</f>
        <v/>
      </c>
      <c r="AQ200" s="34">
        <f>IF(AND(AQ$5&gt;=$F200,AQ$5&lt;=$G200),7,"")</f>
        <v/>
      </c>
      <c r="AR200" s="34">
        <f>IF(AND(AR$5&gt;=$F200,AR$5&lt;=$G200),7,"")</f>
        <v/>
      </c>
      <c r="AS200" s="34">
        <f>IF(AND(AS$5&gt;=$F200,AS$5&lt;=$G200),7,"")</f>
        <v/>
      </c>
      <c r="AT200" s="34">
        <f>IF(AND(AT$5&gt;=$F200,AT$5&lt;=$G200),7,"")</f>
        <v/>
      </c>
      <c r="AU200" s="34">
        <f>IF(AND(AU$5&gt;=$F200,AU$5&lt;=$G200),7,"")</f>
        <v/>
      </c>
      <c r="AV200" s="34">
        <f>IF(AND(AV$5&gt;=$F200,AV$5&lt;=$G200),7,"")</f>
        <v/>
      </c>
      <c r="AW200" s="34">
        <f>IF(AND(AW$5&gt;=$F200,AW$5&lt;=$G200),7,"")</f>
        <v/>
      </c>
      <c r="AX200" s="34">
        <f>IF(AND(AX$5&gt;=$F200,AX$5&lt;=$G200),7,"")</f>
        <v/>
      </c>
      <c r="AY200" s="34">
        <f>IF(AND(AY$5&gt;=$F200,AY$5&lt;=$G200),7,"")</f>
        <v/>
      </c>
      <c r="AZ200" s="34">
        <f>IF(AND(AZ$5&gt;=$F200,AZ$5&lt;=$G200),7,"")</f>
        <v/>
      </c>
      <c r="BA200" s="34">
        <f>IF(AND(BA$5&gt;=$F200,BA$5&lt;=$G200),7,"")</f>
        <v/>
      </c>
      <c r="BB200" s="34">
        <f>IF(AND(BB$5&gt;=$F200,BB$5&lt;=$G200),7,"")</f>
        <v/>
      </c>
      <c r="BC200" s="34">
        <f>IF(AND(BC$5&gt;=$F200,BC$5&lt;=$G200),7,"")</f>
        <v/>
      </c>
      <c r="BD200" s="34">
        <f>IF(AND(BD$5&gt;=$F200,BD$5&lt;=$G200),7,"")</f>
        <v/>
      </c>
      <c r="BE200" s="34">
        <f>IF(AND(BE$5&gt;=$F200,BE$5&lt;=$G200),7,"")</f>
        <v/>
      </c>
      <c r="BF200" s="34">
        <f>IF(AND(BF$5&gt;=$F200,BF$5&lt;=$G200),7,"")</f>
        <v/>
      </c>
      <c r="BG200" s="34">
        <f>IF(AND(BG$5&gt;=$F200,BG$5&lt;=$G200),7,"")</f>
        <v/>
      </c>
      <c r="BH200" s="34">
        <f>IF(AND(BH$5&gt;=$F200,BH$5&lt;=$G200),7,"")</f>
        <v/>
      </c>
      <c r="BI200" s="34">
        <f>IF(AND(BI$5&gt;=$F200,BI$5&lt;=$G200),7,"")</f>
        <v/>
      </c>
      <c r="BJ200" s="34">
        <f>IF(AND(BJ$5&gt;=$F200,BJ$5&lt;=$G200),7,"")</f>
        <v/>
      </c>
      <c r="BK200" s="34">
        <f>IF(AND(BK$5&gt;=$F200,BK$5&lt;=$G200),7,"")</f>
        <v/>
      </c>
      <c r="BL200" s="34">
        <f>IF(AND(BL$5&gt;=$F200,BL$5&lt;=$G200),7,"")</f>
        <v/>
      </c>
      <c r="BM200" s="34">
        <f>IF(AND(BM$5&gt;=$F200,BM$5&lt;=$G200),7,"")</f>
        <v/>
      </c>
      <c r="BN200" s="34">
        <f>IF(AND(BN$5&gt;=$F200,BN$5&lt;=$G200),7,"")</f>
        <v/>
      </c>
    </row>
    <row r="201" ht="14.25" customHeight="1" s="36">
      <c r="A201" s="13" t="inlineStr">
        <is>
          <t>8 Operación y soporte</t>
        </is>
      </c>
      <c r="B201" s="13" t="inlineStr">
        <is>
          <t>8.1.1</t>
        </is>
      </c>
      <c r="C201" s="13" t="inlineStr">
        <is>
          <t>Servicio de centro de operaciones 24×7 y mesa de servicio durante los 36 meses de operación (04:00 a 22:00; 24×7 en septiembre y diciembre)</t>
        </is>
      </c>
      <c r="D201" s="13" t="inlineStr">
        <is>
          <t>C</t>
        </is>
      </c>
      <c r="E201" s="13" t="inlineStr">
        <is>
          <t>Operación / SRE</t>
        </is>
      </c>
      <c r="F201" s="13" t="n">
        <v>21</v>
      </c>
      <c r="G201" s="13" t="n">
        <v>56</v>
      </c>
      <c r="H201" s="13">
        <f>G201-F201+1</f>
        <v/>
      </c>
      <c r="I201" s="31" t="n">
        <v>26280</v>
      </c>
      <c r="J201" s="13" t="inlineStr">
        <is>
          <t>Esfuerzo continuo (por quincena u ocurrencia)</t>
        </is>
      </c>
      <c r="K201" s="34">
        <f>IF(AND(K$5&gt;=$F201,K$5&lt;=$G201),8,"")</f>
        <v/>
      </c>
      <c r="L201" s="34">
        <f>IF(AND(L$5&gt;=$F201,L$5&lt;=$G201),8,"")</f>
        <v/>
      </c>
      <c r="M201" s="34">
        <f>IF(AND(M$5&gt;=$F201,M$5&lt;=$G201),8,"")</f>
        <v/>
      </c>
      <c r="N201" s="34">
        <f>IF(AND(N$5&gt;=$F201,N$5&lt;=$G201),8,"")</f>
        <v/>
      </c>
      <c r="O201" s="34">
        <f>IF(AND(O$5&gt;=$F201,O$5&lt;=$G201),8,"")</f>
        <v/>
      </c>
      <c r="P201" s="34">
        <f>IF(AND(P$5&gt;=$F201,P$5&lt;=$G201),8,"")</f>
        <v/>
      </c>
      <c r="Q201" s="34">
        <f>IF(AND(Q$5&gt;=$F201,Q$5&lt;=$G201),8,"")</f>
        <v/>
      </c>
      <c r="R201" s="34">
        <f>IF(AND(R$5&gt;=$F201,R$5&lt;=$G201),8,"")</f>
        <v/>
      </c>
      <c r="S201" s="34">
        <f>IF(AND(S$5&gt;=$F201,S$5&lt;=$G201),8,"")</f>
        <v/>
      </c>
      <c r="T201" s="34">
        <f>IF(AND(T$5&gt;=$F201,T$5&lt;=$G201),8,"")</f>
        <v/>
      </c>
      <c r="U201" s="34">
        <f>IF(AND(U$5&gt;=$F201,U$5&lt;=$G201),8,"")</f>
        <v/>
      </c>
      <c r="V201" s="34">
        <f>IF(AND(V$5&gt;=$F201,V$5&lt;=$G201),8,"")</f>
        <v/>
      </c>
      <c r="W201" s="34">
        <f>IF(AND(W$5&gt;=$F201,W$5&lt;=$G201),8,"")</f>
        <v/>
      </c>
      <c r="X201" s="34">
        <f>IF(AND(X$5&gt;=$F201,X$5&lt;=$G201),8,"")</f>
        <v/>
      </c>
      <c r="Y201" s="34">
        <f>IF(AND(Y$5&gt;=$F201,Y$5&lt;=$G201),8,"")</f>
        <v/>
      </c>
      <c r="Z201" s="34">
        <f>IF(AND(Z$5&gt;=$F201,Z$5&lt;=$G201),8,"")</f>
        <v/>
      </c>
      <c r="AA201" s="34">
        <f>IF(AND(AA$5&gt;=$F201,AA$5&lt;=$G201),8,"")</f>
        <v/>
      </c>
      <c r="AB201" s="34">
        <f>IF(AND(AB$5&gt;=$F201,AB$5&lt;=$G201),8,"")</f>
        <v/>
      </c>
      <c r="AC201" s="34">
        <f>IF(AND(AC$5&gt;=$F201,AC$5&lt;=$G201),8,"")</f>
        <v/>
      </c>
      <c r="AD201" s="34">
        <f>IF(AND(AD$5&gt;=$F201,AD$5&lt;=$G201),8,"")</f>
        <v/>
      </c>
      <c r="AE201" s="34">
        <f>IF(AND(AE$5&gt;=$F201,AE$5&lt;=$G201),8,"")</f>
        <v/>
      </c>
      <c r="AF201" s="34">
        <f>IF(AND(AF$5&gt;=$F201,AF$5&lt;=$G201),8,"")</f>
        <v/>
      </c>
      <c r="AG201" s="34">
        <f>IF(AND(AG$5&gt;=$F201,AG$5&lt;=$G201),8,"")</f>
        <v/>
      </c>
      <c r="AH201" s="34">
        <f>IF(AND(AH$5&gt;=$F201,AH$5&lt;=$G201),8,"")</f>
        <v/>
      </c>
      <c r="AI201" s="34">
        <f>IF(AND(AI$5&gt;=$F201,AI$5&lt;=$G201),8,"")</f>
        <v/>
      </c>
      <c r="AJ201" s="34">
        <f>IF(AND(AJ$5&gt;=$F201,AJ$5&lt;=$G201),8,"")</f>
        <v/>
      </c>
      <c r="AK201" s="34">
        <f>IF(AND(AK$5&gt;=$F201,AK$5&lt;=$G201),8,"")</f>
        <v/>
      </c>
      <c r="AL201" s="34">
        <f>IF(AND(AL$5&gt;=$F201,AL$5&lt;=$G201),8,"")</f>
        <v/>
      </c>
      <c r="AM201" s="34">
        <f>IF(AND(AM$5&gt;=$F201,AM$5&lt;=$G201),8,"")</f>
        <v/>
      </c>
      <c r="AN201" s="34">
        <f>IF(AND(AN$5&gt;=$F201,AN$5&lt;=$G201),8,"")</f>
        <v/>
      </c>
      <c r="AO201" s="34">
        <f>IF(AND(AO$5&gt;=$F201,AO$5&lt;=$G201),8,"")</f>
        <v/>
      </c>
      <c r="AP201" s="34">
        <f>IF(AND(AP$5&gt;=$F201,AP$5&lt;=$G201),8,"")</f>
        <v/>
      </c>
      <c r="AQ201" s="34">
        <f>IF(AND(AQ$5&gt;=$F201,AQ$5&lt;=$G201),8,"")</f>
        <v/>
      </c>
      <c r="AR201" s="34">
        <f>IF(AND(AR$5&gt;=$F201,AR$5&lt;=$G201),8,"")</f>
        <v/>
      </c>
      <c r="AS201" s="34">
        <f>IF(AND(AS$5&gt;=$F201,AS$5&lt;=$G201),8,"")</f>
        <v/>
      </c>
      <c r="AT201" s="34">
        <f>IF(AND(AT$5&gt;=$F201,AT$5&lt;=$G201),8,"")</f>
        <v/>
      </c>
      <c r="AU201" s="34">
        <f>IF(AND(AU$5&gt;=$F201,AU$5&lt;=$G201),8,"")</f>
        <v/>
      </c>
      <c r="AV201" s="34">
        <f>IF(AND(AV$5&gt;=$F201,AV$5&lt;=$G201),8,"")</f>
        <v/>
      </c>
      <c r="AW201" s="34">
        <f>IF(AND(AW$5&gt;=$F201,AW$5&lt;=$G201),8,"")</f>
        <v/>
      </c>
      <c r="AX201" s="34">
        <f>IF(AND(AX$5&gt;=$F201,AX$5&lt;=$G201),8,"")</f>
        <v/>
      </c>
      <c r="AY201" s="34">
        <f>IF(AND(AY$5&gt;=$F201,AY$5&lt;=$G201),8,"")</f>
        <v/>
      </c>
      <c r="AZ201" s="34">
        <f>IF(AND(AZ$5&gt;=$F201,AZ$5&lt;=$G201),8,"")</f>
        <v/>
      </c>
      <c r="BA201" s="34">
        <f>IF(AND(BA$5&gt;=$F201,BA$5&lt;=$G201),8,"")</f>
        <v/>
      </c>
      <c r="BB201" s="34">
        <f>IF(AND(BB$5&gt;=$F201,BB$5&lt;=$G201),8,"")</f>
        <v/>
      </c>
      <c r="BC201" s="34">
        <f>IF(AND(BC$5&gt;=$F201,BC$5&lt;=$G201),8,"")</f>
        <v/>
      </c>
      <c r="BD201" s="34">
        <f>IF(AND(BD$5&gt;=$F201,BD$5&lt;=$G201),8,"")</f>
        <v/>
      </c>
      <c r="BE201" s="34">
        <f>IF(AND(BE$5&gt;=$F201,BE$5&lt;=$G201),8,"")</f>
        <v/>
      </c>
      <c r="BF201" s="34">
        <f>IF(AND(BF$5&gt;=$F201,BF$5&lt;=$G201),8,"")</f>
        <v/>
      </c>
      <c r="BG201" s="34">
        <f>IF(AND(BG$5&gt;=$F201,BG$5&lt;=$G201),8,"")</f>
        <v/>
      </c>
      <c r="BH201" s="34">
        <f>IF(AND(BH$5&gt;=$F201,BH$5&lt;=$G201),8,"")</f>
        <v/>
      </c>
      <c r="BI201" s="34">
        <f>IF(AND(BI$5&gt;=$F201,BI$5&lt;=$G201),8,"")</f>
        <v/>
      </c>
      <c r="BJ201" s="34">
        <f>IF(AND(BJ$5&gt;=$F201,BJ$5&lt;=$G201),8,"")</f>
        <v/>
      </c>
      <c r="BK201" s="34">
        <f>IF(AND(BK$5&gt;=$F201,BK$5&lt;=$G201),8,"")</f>
        <v/>
      </c>
      <c r="BL201" s="34">
        <f>IF(AND(BL$5&gt;=$F201,BL$5&lt;=$G201),8,"")</f>
        <v/>
      </c>
      <c r="BM201" s="34">
        <f>IF(AND(BM$5&gt;=$F201,BM$5&lt;=$G201),8,"")</f>
        <v/>
      </c>
      <c r="BN201" s="34">
        <f>IF(AND(BN$5&gt;=$F201,BN$5&lt;=$G201),8,"")</f>
        <v/>
      </c>
    </row>
    <row r="202" ht="14.25" customHeight="1" s="36">
      <c r="A202" s="13" t="inlineStr">
        <is>
          <t>8 Operación y soporte</t>
        </is>
      </c>
      <c r="B202" s="13" t="inlineStr">
        <is>
          <t>8.1.2</t>
        </is>
      </c>
      <c r="C202" s="13" t="inlineStr">
        <is>
          <t>Servicio de gestión de incidentes, problemas y niveles de servicio del Art. 78° durante los 36 meses de operación</t>
        </is>
      </c>
      <c r="D202" s="13" t="inlineStr">
        <is>
          <t>C</t>
        </is>
      </c>
      <c r="E202" s="13" t="inlineStr">
        <is>
          <t>Operación / SRE</t>
        </is>
      </c>
      <c r="F202" s="13" t="n">
        <v>21</v>
      </c>
      <c r="G202" s="13" t="n">
        <v>56</v>
      </c>
      <c r="H202" s="13">
        <f>G202-F202+1</f>
        <v/>
      </c>
      <c r="I202" s="31" t="n">
        <v>54239</v>
      </c>
      <c r="J202" s="13" t="inlineStr">
        <is>
          <t>Esfuerzo continuo (por quincena u ocurrencia)</t>
        </is>
      </c>
      <c r="K202" s="34">
        <f>IF(AND(K$5&gt;=$F202,K$5&lt;=$G202),8,"")</f>
        <v/>
      </c>
      <c r="L202" s="34">
        <f>IF(AND(L$5&gt;=$F202,L$5&lt;=$G202),8,"")</f>
        <v/>
      </c>
      <c r="M202" s="34">
        <f>IF(AND(M$5&gt;=$F202,M$5&lt;=$G202),8,"")</f>
        <v/>
      </c>
      <c r="N202" s="34">
        <f>IF(AND(N$5&gt;=$F202,N$5&lt;=$G202),8,"")</f>
        <v/>
      </c>
      <c r="O202" s="34">
        <f>IF(AND(O$5&gt;=$F202,O$5&lt;=$G202),8,"")</f>
        <v/>
      </c>
      <c r="P202" s="34">
        <f>IF(AND(P$5&gt;=$F202,P$5&lt;=$G202),8,"")</f>
        <v/>
      </c>
      <c r="Q202" s="34">
        <f>IF(AND(Q$5&gt;=$F202,Q$5&lt;=$G202),8,"")</f>
        <v/>
      </c>
      <c r="R202" s="34">
        <f>IF(AND(R$5&gt;=$F202,R$5&lt;=$G202),8,"")</f>
        <v/>
      </c>
      <c r="S202" s="34">
        <f>IF(AND(S$5&gt;=$F202,S$5&lt;=$G202),8,"")</f>
        <v/>
      </c>
      <c r="T202" s="34">
        <f>IF(AND(T$5&gt;=$F202,T$5&lt;=$G202),8,"")</f>
        <v/>
      </c>
      <c r="U202" s="34">
        <f>IF(AND(U$5&gt;=$F202,U$5&lt;=$G202),8,"")</f>
        <v/>
      </c>
      <c r="V202" s="34">
        <f>IF(AND(V$5&gt;=$F202,V$5&lt;=$G202),8,"")</f>
        <v/>
      </c>
      <c r="W202" s="34">
        <f>IF(AND(W$5&gt;=$F202,W$5&lt;=$G202),8,"")</f>
        <v/>
      </c>
      <c r="X202" s="34">
        <f>IF(AND(X$5&gt;=$F202,X$5&lt;=$G202),8,"")</f>
        <v/>
      </c>
      <c r="Y202" s="34">
        <f>IF(AND(Y$5&gt;=$F202,Y$5&lt;=$G202),8,"")</f>
        <v/>
      </c>
      <c r="Z202" s="34">
        <f>IF(AND(Z$5&gt;=$F202,Z$5&lt;=$G202),8,"")</f>
        <v/>
      </c>
      <c r="AA202" s="34">
        <f>IF(AND(AA$5&gt;=$F202,AA$5&lt;=$G202),8,"")</f>
        <v/>
      </c>
      <c r="AB202" s="34">
        <f>IF(AND(AB$5&gt;=$F202,AB$5&lt;=$G202),8,"")</f>
        <v/>
      </c>
      <c r="AC202" s="34">
        <f>IF(AND(AC$5&gt;=$F202,AC$5&lt;=$G202),8,"")</f>
        <v/>
      </c>
      <c r="AD202" s="34">
        <f>IF(AND(AD$5&gt;=$F202,AD$5&lt;=$G202),8,"")</f>
        <v/>
      </c>
      <c r="AE202" s="34">
        <f>IF(AND(AE$5&gt;=$F202,AE$5&lt;=$G202),8,"")</f>
        <v/>
      </c>
      <c r="AF202" s="34">
        <f>IF(AND(AF$5&gt;=$F202,AF$5&lt;=$G202),8,"")</f>
        <v/>
      </c>
      <c r="AG202" s="34">
        <f>IF(AND(AG$5&gt;=$F202,AG$5&lt;=$G202),8,"")</f>
        <v/>
      </c>
      <c r="AH202" s="34">
        <f>IF(AND(AH$5&gt;=$F202,AH$5&lt;=$G202),8,"")</f>
        <v/>
      </c>
      <c r="AI202" s="34">
        <f>IF(AND(AI$5&gt;=$F202,AI$5&lt;=$G202),8,"")</f>
        <v/>
      </c>
      <c r="AJ202" s="34">
        <f>IF(AND(AJ$5&gt;=$F202,AJ$5&lt;=$G202),8,"")</f>
        <v/>
      </c>
      <c r="AK202" s="34">
        <f>IF(AND(AK$5&gt;=$F202,AK$5&lt;=$G202),8,"")</f>
        <v/>
      </c>
      <c r="AL202" s="34">
        <f>IF(AND(AL$5&gt;=$F202,AL$5&lt;=$G202),8,"")</f>
        <v/>
      </c>
      <c r="AM202" s="34">
        <f>IF(AND(AM$5&gt;=$F202,AM$5&lt;=$G202),8,"")</f>
        <v/>
      </c>
      <c r="AN202" s="34">
        <f>IF(AND(AN$5&gt;=$F202,AN$5&lt;=$G202),8,"")</f>
        <v/>
      </c>
      <c r="AO202" s="34">
        <f>IF(AND(AO$5&gt;=$F202,AO$5&lt;=$G202),8,"")</f>
        <v/>
      </c>
      <c r="AP202" s="34">
        <f>IF(AND(AP$5&gt;=$F202,AP$5&lt;=$G202),8,"")</f>
        <v/>
      </c>
      <c r="AQ202" s="34">
        <f>IF(AND(AQ$5&gt;=$F202,AQ$5&lt;=$G202),8,"")</f>
        <v/>
      </c>
      <c r="AR202" s="34">
        <f>IF(AND(AR$5&gt;=$F202,AR$5&lt;=$G202),8,"")</f>
        <v/>
      </c>
      <c r="AS202" s="34">
        <f>IF(AND(AS$5&gt;=$F202,AS$5&lt;=$G202),8,"")</f>
        <v/>
      </c>
      <c r="AT202" s="34">
        <f>IF(AND(AT$5&gt;=$F202,AT$5&lt;=$G202),8,"")</f>
        <v/>
      </c>
      <c r="AU202" s="34">
        <f>IF(AND(AU$5&gt;=$F202,AU$5&lt;=$G202),8,"")</f>
        <v/>
      </c>
      <c r="AV202" s="34">
        <f>IF(AND(AV$5&gt;=$F202,AV$5&lt;=$G202),8,"")</f>
        <v/>
      </c>
      <c r="AW202" s="34">
        <f>IF(AND(AW$5&gt;=$F202,AW$5&lt;=$G202),8,"")</f>
        <v/>
      </c>
      <c r="AX202" s="34">
        <f>IF(AND(AX$5&gt;=$F202,AX$5&lt;=$G202),8,"")</f>
        <v/>
      </c>
      <c r="AY202" s="34">
        <f>IF(AND(AY$5&gt;=$F202,AY$5&lt;=$G202),8,"")</f>
        <v/>
      </c>
      <c r="AZ202" s="34">
        <f>IF(AND(AZ$5&gt;=$F202,AZ$5&lt;=$G202),8,"")</f>
        <v/>
      </c>
      <c r="BA202" s="34">
        <f>IF(AND(BA$5&gt;=$F202,BA$5&lt;=$G202),8,"")</f>
        <v/>
      </c>
      <c r="BB202" s="34">
        <f>IF(AND(BB$5&gt;=$F202,BB$5&lt;=$G202),8,"")</f>
        <v/>
      </c>
      <c r="BC202" s="34">
        <f>IF(AND(BC$5&gt;=$F202,BC$5&lt;=$G202),8,"")</f>
        <v/>
      </c>
      <c r="BD202" s="34">
        <f>IF(AND(BD$5&gt;=$F202,BD$5&lt;=$G202),8,"")</f>
        <v/>
      </c>
      <c r="BE202" s="34">
        <f>IF(AND(BE$5&gt;=$F202,BE$5&lt;=$G202),8,"")</f>
        <v/>
      </c>
      <c r="BF202" s="34">
        <f>IF(AND(BF$5&gt;=$F202,BF$5&lt;=$G202),8,"")</f>
        <v/>
      </c>
      <c r="BG202" s="34">
        <f>IF(AND(BG$5&gt;=$F202,BG$5&lt;=$G202),8,"")</f>
        <v/>
      </c>
      <c r="BH202" s="34">
        <f>IF(AND(BH$5&gt;=$F202,BH$5&lt;=$G202),8,"")</f>
        <v/>
      </c>
      <c r="BI202" s="34">
        <f>IF(AND(BI$5&gt;=$F202,BI$5&lt;=$G202),8,"")</f>
        <v/>
      </c>
      <c r="BJ202" s="34">
        <f>IF(AND(BJ$5&gt;=$F202,BJ$5&lt;=$G202),8,"")</f>
        <v/>
      </c>
      <c r="BK202" s="34">
        <f>IF(AND(BK$5&gt;=$F202,BK$5&lt;=$G202),8,"")</f>
        <v/>
      </c>
      <c r="BL202" s="34">
        <f>IF(AND(BL$5&gt;=$F202,BL$5&lt;=$G202),8,"")</f>
        <v/>
      </c>
      <c r="BM202" s="34">
        <f>IF(AND(BM$5&gt;=$F202,BM$5&lt;=$G202),8,"")</f>
        <v/>
      </c>
      <c r="BN202" s="34">
        <f>IF(AND(BN$5&gt;=$F202,BN$5&lt;=$G202),8,"")</f>
        <v/>
      </c>
    </row>
    <row r="203" ht="14.25" customHeight="1" s="36">
      <c r="A203" s="13" t="inlineStr">
        <is>
          <t>8 Operación y soporte</t>
        </is>
      </c>
      <c r="B203" s="13" t="inlineStr">
        <is>
          <t>8.1.3</t>
        </is>
      </c>
      <c r="C203" s="13" t="inlineStr">
        <is>
          <t>Servicio de continuidad y pruebas semestrales de recuperación ante desastres durante los 36 meses de operación</t>
        </is>
      </c>
      <c r="D203" s="13" t="inlineStr">
        <is>
          <t>G</t>
        </is>
      </c>
      <c r="E203" s="13" t="inlineStr">
        <is>
          <t>Operación / SRE</t>
        </is>
      </c>
      <c r="F203" s="13" t="n">
        <v>21</v>
      </c>
      <c r="G203" s="13" t="n">
        <v>56</v>
      </c>
      <c r="H203" s="13">
        <f>G203-F203+1</f>
        <v/>
      </c>
      <c r="I203" s="31" t="n">
        <v>80</v>
      </c>
      <c r="J203" s="13" t="inlineStr">
        <is>
          <t>Esfuerzo continuo (por quincena u ocurrencia)</t>
        </is>
      </c>
      <c r="K203" s="34">
        <f>IF(AND(K$5&gt;=$F203,K$5&lt;=$G203),8,"")</f>
        <v/>
      </c>
      <c r="L203" s="34">
        <f>IF(AND(L$5&gt;=$F203,L$5&lt;=$G203),8,"")</f>
        <v/>
      </c>
      <c r="M203" s="34">
        <f>IF(AND(M$5&gt;=$F203,M$5&lt;=$G203),8,"")</f>
        <v/>
      </c>
      <c r="N203" s="34">
        <f>IF(AND(N$5&gt;=$F203,N$5&lt;=$G203),8,"")</f>
        <v/>
      </c>
      <c r="O203" s="34">
        <f>IF(AND(O$5&gt;=$F203,O$5&lt;=$G203),8,"")</f>
        <v/>
      </c>
      <c r="P203" s="34">
        <f>IF(AND(P$5&gt;=$F203,P$5&lt;=$G203),8,"")</f>
        <v/>
      </c>
      <c r="Q203" s="34">
        <f>IF(AND(Q$5&gt;=$F203,Q$5&lt;=$G203),8,"")</f>
        <v/>
      </c>
      <c r="R203" s="34">
        <f>IF(AND(R$5&gt;=$F203,R$5&lt;=$G203),8,"")</f>
        <v/>
      </c>
      <c r="S203" s="34">
        <f>IF(AND(S$5&gt;=$F203,S$5&lt;=$G203),8,"")</f>
        <v/>
      </c>
      <c r="T203" s="34">
        <f>IF(AND(T$5&gt;=$F203,T$5&lt;=$G203),8,"")</f>
        <v/>
      </c>
      <c r="U203" s="34">
        <f>IF(AND(U$5&gt;=$F203,U$5&lt;=$G203),8,"")</f>
        <v/>
      </c>
      <c r="V203" s="34">
        <f>IF(AND(V$5&gt;=$F203,V$5&lt;=$G203),8,"")</f>
        <v/>
      </c>
      <c r="W203" s="34">
        <f>IF(AND(W$5&gt;=$F203,W$5&lt;=$G203),8,"")</f>
        <v/>
      </c>
      <c r="X203" s="34">
        <f>IF(AND(X$5&gt;=$F203,X$5&lt;=$G203),8,"")</f>
        <v/>
      </c>
      <c r="Y203" s="34">
        <f>IF(AND(Y$5&gt;=$F203,Y$5&lt;=$G203),8,"")</f>
        <v/>
      </c>
      <c r="Z203" s="34">
        <f>IF(AND(Z$5&gt;=$F203,Z$5&lt;=$G203),8,"")</f>
        <v/>
      </c>
      <c r="AA203" s="34">
        <f>IF(AND(AA$5&gt;=$F203,AA$5&lt;=$G203),8,"")</f>
        <v/>
      </c>
      <c r="AB203" s="34">
        <f>IF(AND(AB$5&gt;=$F203,AB$5&lt;=$G203),8,"")</f>
        <v/>
      </c>
      <c r="AC203" s="34">
        <f>IF(AND(AC$5&gt;=$F203,AC$5&lt;=$G203),8,"")</f>
        <v/>
      </c>
      <c r="AD203" s="34">
        <f>IF(AND(AD$5&gt;=$F203,AD$5&lt;=$G203),8,"")</f>
        <v/>
      </c>
      <c r="AE203" s="34">
        <f>IF(AND(AE$5&gt;=$F203,AE$5&lt;=$G203),8,"")</f>
        <v/>
      </c>
      <c r="AF203" s="34">
        <f>IF(AND(AF$5&gt;=$F203,AF$5&lt;=$G203),8,"")</f>
        <v/>
      </c>
      <c r="AG203" s="34">
        <f>IF(AND(AG$5&gt;=$F203,AG$5&lt;=$G203),8,"")</f>
        <v/>
      </c>
      <c r="AH203" s="34">
        <f>IF(AND(AH$5&gt;=$F203,AH$5&lt;=$G203),8,"")</f>
        <v/>
      </c>
      <c r="AI203" s="34">
        <f>IF(AND(AI$5&gt;=$F203,AI$5&lt;=$G203),8,"")</f>
        <v/>
      </c>
      <c r="AJ203" s="34">
        <f>IF(AND(AJ$5&gt;=$F203,AJ$5&lt;=$G203),8,"")</f>
        <v/>
      </c>
      <c r="AK203" s="34">
        <f>IF(AND(AK$5&gt;=$F203,AK$5&lt;=$G203),8,"")</f>
        <v/>
      </c>
      <c r="AL203" s="34">
        <f>IF(AND(AL$5&gt;=$F203,AL$5&lt;=$G203),8,"")</f>
        <v/>
      </c>
      <c r="AM203" s="34">
        <f>IF(AND(AM$5&gt;=$F203,AM$5&lt;=$G203),8,"")</f>
        <v/>
      </c>
      <c r="AN203" s="34">
        <f>IF(AND(AN$5&gt;=$F203,AN$5&lt;=$G203),8,"")</f>
        <v/>
      </c>
      <c r="AO203" s="34">
        <f>IF(AND(AO$5&gt;=$F203,AO$5&lt;=$G203),8,"")</f>
        <v/>
      </c>
      <c r="AP203" s="34">
        <f>IF(AND(AP$5&gt;=$F203,AP$5&lt;=$G203),8,"")</f>
        <v/>
      </c>
      <c r="AQ203" s="34">
        <f>IF(AND(AQ$5&gt;=$F203,AQ$5&lt;=$G203),8,"")</f>
        <v/>
      </c>
      <c r="AR203" s="34">
        <f>IF(AND(AR$5&gt;=$F203,AR$5&lt;=$G203),8,"")</f>
        <v/>
      </c>
      <c r="AS203" s="34">
        <f>IF(AND(AS$5&gt;=$F203,AS$5&lt;=$G203),8,"")</f>
        <v/>
      </c>
      <c r="AT203" s="34">
        <f>IF(AND(AT$5&gt;=$F203,AT$5&lt;=$G203),8,"")</f>
        <v/>
      </c>
      <c r="AU203" s="34">
        <f>IF(AND(AU$5&gt;=$F203,AU$5&lt;=$G203),8,"")</f>
        <v/>
      </c>
      <c r="AV203" s="34">
        <f>IF(AND(AV$5&gt;=$F203,AV$5&lt;=$G203),8,"")</f>
        <v/>
      </c>
      <c r="AW203" s="34">
        <f>IF(AND(AW$5&gt;=$F203,AW$5&lt;=$G203),8,"")</f>
        <v/>
      </c>
      <c r="AX203" s="34">
        <f>IF(AND(AX$5&gt;=$F203,AX$5&lt;=$G203),8,"")</f>
        <v/>
      </c>
      <c r="AY203" s="34">
        <f>IF(AND(AY$5&gt;=$F203,AY$5&lt;=$G203),8,"")</f>
        <v/>
      </c>
      <c r="AZ203" s="34">
        <f>IF(AND(AZ$5&gt;=$F203,AZ$5&lt;=$G203),8,"")</f>
        <v/>
      </c>
      <c r="BA203" s="34">
        <f>IF(AND(BA$5&gt;=$F203,BA$5&lt;=$G203),8,"")</f>
        <v/>
      </c>
      <c r="BB203" s="34">
        <f>IF(AND(BB$5&gt;=$F203,BB$5&lt;=$G203),8,"")</f>
        <v/>
      </c>
      <c r="BC203" s="34">
        <f>IF(AND(BC$5&gt;=$F203,BC$5&lt;=$G203),8,"")</f>
        <v/>
      </c>
      <c r="BD203" s="34">
        <f>IF(AND(BD$5&gt;=$F203,BD$5&lt;=$G203),8,"")</f>
        <v/>
      </c>
      <c r="BE203" s="34">
        <f>IF(AND(BE$5&gt;=$F203,BE$5&lt;=$G203),8,"")</f>
        <v/>
      </c>
      <c r="BF203" s="34">
        <f>IF(AND(BF$5&gt;=$F203,BF$5&lt;=$G203),8,"")</f>
        <v/>
      </c>
      <c r="BG203" s="34">
        <f>IF(AND(BG$5&gt;=$F203,BG$5&lt;=$G203),8,"")</f>
        <v/>
      </c>
      <c r="BH203" s="34">
        <f>IF(AND(BH$5&gt;=$F203,BH$5&lt;=$G203),8,"")</f>
        <v/>
      </c>
      <c r="BI203" s="34">
        <f>IF(AND(BI$5&gt;=$F203,BI$5&lt;=$G203),8,"")</f>
        <v/>
      </c>
      <c r="BJ203" s="34">
        <f>IF(AND(BJ$5&gt;=$F203,BJ$5&lt;=$G203),8,"")</f>
        <v/>
      </c>
      <c r="BK203" s="34">
        <f>IF(AND(BK$5&gt;=$F203,BK$5&lt;=$G203),8,"")</f>
        <v/>
      </c>
      <c r="BL203" s="34">
        <f>IF(AND(BL$5&gt;=$F203,BL$5&lt;=$G203),8,"")</f>
        <v/>
      </c>
      <c r="BM203" s="34">
        <f>IF(AND(BM$5&gt;=$F203,BM$5&lt;=$G203),8,"")</f>
        <v/>
      </c>
      <c r="BN203" s="34">
        <f>IF(AND(BN$5&gt;=$F203,BN$5&lt;=$G203),8,"")</f>
        <v/>
      </c>
    </row>
    <row r="204" ht="14.25" customHeight="1" s="36">
      <c r="A204" s="13" t="inlineStr">
        <is>
          <t>8 Operación y soporte</t>
        </is>
      </c>
      <c r="B204" s="13" t="inlineStr">
        <is>
          <t>8.1.4</t>
        </is>
      </c>
      <c r="C204" s="13" t="inlineStr">
        <is>
          <t>Actualizaciones anuales del Plan de Reversibilidad durante los 36 meses de operación</t>
        </is>
      </c>
      <c r="D204" s="13" t="inlineStr">
        <is>
          <t>R</t>
        </is>
      </c>
      <c r="E204" s="13" t="inlineStr">
        <is>
          <t>Jefe de Proyecto</t>
        </is>
      </c>
      <c r="F204" s="13" t="n">
        <v>21</v>
      </c>
      <c r="G204" s="13" t="n">
        <v>56</v>
      </c>
      <c r="H204" s="13">
        <f>G204-F204+1</f>
        <v/>
      </c>
      <c r="I204" s="31" t="n">
        <v>288</v>
      </c>
      <c r="J204" s="13" t="inlineStr">
        <is>
          <t>Esfuerzo continuo (por quincena u ocurrencia)</t>
        </is>
      </c>
      <c r="K204" s="34">
        <f>IF(AND(K$5&gt;=$F204,K$5&lt;=$G204),8,"")</f>
        <v/>
      </c>
      <c r="L204" s="34">
        <f>IF(AND(L$5&gt;=$F204,L$5&lt;=$G204),8,"")</f>
        <v/>
      </c>
      <c r="M204" s="34">
        <f>IF(AND(M$5&gt;=$F204,M$5&lt;=$G204),8,"")</f>
        <v/>
      </c>
      <c r="N204" s="34">
        <f>IF(AND(N$5&gt;=$F204,N$5&lt;=$G204),8,"")</f>
        <v/>
      </c>
      <c r="O204" s="34">
        <f>IF(AND(O$5&gt;=$F204,O$5&lt;=$G204),8,"")</f>
        <v/>
      </c>
      <c r="P204" s="34">
        <f>IF(AND(P$5&gt;=$F204,P$5&lt;=$G204),8,"")</f>
        <v/>
      </c>
      <c r="Q204" s="34">
        <f>IF(AND(Q$5&gt;=$F204,Q$5&lt;=$G204),8,"")</f>
        <v/>
      </c>
      <c r="R204" s="34">
        <f>IF(AND(R$5&gt;=$F204,R$5&lt;=$G204),8,"")</f>
        <v/>
      </c>
      <c r="S204" s="34">
        <f>IF(AND(S$5&gt;=$F204,S$5&lt;=$G204),8,"")</f>
        <v/>
      </c>
      <c r="T204" s="34">
        <f>IF(AND(T$5&gt;=$F204,T$5&lt;=$G204),8,"")</f>
        <v/>
      </c>
      <c r="U204" s="34">
        <f>IF(AND(U$5&gt;=$F204,U$5&lt;=$G204),8,"")</f>
        <v/>
      </c>
      <c r="V204" s="34">
        <f>IF(AND(V$5&gt;=$F204,V$5&lt;=$G204),8,"")</f>
        <v/>
      </c>
      <c r="W204" s="34">
        <f>IF(AND(W$5&gt;=$F204,W$5&lt;=$G204),8,"")</f>
        <v/>
      </c>
      <c r="X204" s="34">
        <f>IF(AND(X$5&gt;=$F204,X$5&lt;=$G204),8,"")</f>
        <v/>
      </c>
      <c r="Y204" s="34">
        <f>IF(AND(Y$5&gt;=$F204,Y$5&lt;=$G204),8,"")</f>
        <v/>
      </c>
      <c r="Z204" s="34">
        <f>IF(AND(Z$5&gt;=$F204,Z$5&lt;=$G204),8,"")</f>
        <v/>
      </c>
      <c r="AA204" s="34">
        <f>IF(AND(AA$5&gt;=$F204,AA$5&lt;=$G204),8,"")</f>
        <v/>
      </c>
      <c r="AB204" s="34">
        <f>IF(AND(AB$5&gt;=$F204,AB$5&lt;=$G204),8,"")</f>
        <v/>
      </c>
      <c r="AC204" s="34">
        <f>IF(AND(AC$5&gt;=$F204,AC$5&lt;=$G204),8,"")</f>
        <v/>
      </c>
      <c r="AD204" s="34">
        <f>IF(AND(AD$5&gt;=$F204,AD$5&lt;=$G204),8,"")</f>
        <v/>
      </c>
      <c r="AE204" s="34">
        <f>IF(AND(AE$5&gt;=$F204,AE$5&lt;=$G204),8,"")</f>
        <v/>
      </c>
      <c r="AF204" s="34">
        <f>IF(AND(AF$5&gt;=$F204,AF$5&lt;=$G204),8,"")</f>
        <v/>
      </c>
      <c r="AG204" s="34">
        <f>IF(AND(AG$5&gt;=$F204,AG$5&lt;=$G204),8,"")</f>
        <v/>
      </c>
      <c r="AH204" s="34">
        <f>IF(AND(AH$5&gt;=$F204,AH$5&lt;=$G204),8,"")</f>
        <v/>
      </c>
      <c r="AI204" s="34">
        <f>IF(AND(AI$5&gt;=$F204,AI$5&lt;=$G204),8,"")</f>
        <v/>
      </c>
      <c r="AJ204" s="34">
        <f>IF(AND(AJ$5&gt;=$F204,AJ$5&lt;=$G204),8,"")</f>
        <v/>
      </c>
      <c r="AK204" s="34">
        <f>IF(AND(AK$5&gt;=$F204,AK$5&lt;=$G204),8,"")</f>
        <v/>
      </c>
      <c r="AL204" s="34">
        <f>IF(AND(AL$5&gt;=$F204,AL$5&lt;=$G204),8,"")</f>
        <v/>
      </c>
      <c r="AM204" s="34">
        <f>IF(AND(AM$5&gt;=$F204,AM$5&lt;=$G204),8,"")</f>
        <v/>
      </c>
      <c r="AN204" s="34">
        <f>IF(AND(AN$5&gt;=$F204,AN$5&lt;=$G204),8,"")</f>
        <v/>
      </c>
      <c r="AO204" s="34">
        <f>IF(AND(AO$5&gt;=$F204,AO$5&lt;=$G204),8,"")</f>
        <v/>
      </c>
      <c r="AP204" s="34">
        <f>IF(AND(AP$5&gt;=$F204,AP$5&lt;=$G204),8,"")</f>
        <v/>
      </c>
      <c r="AQ204" s="34">
        <f>IF(AND(AQ$5&gt;=$F204,AQ$5&lt;=$G204),8,"")</f>
        <v/>
      </c>
      <c r="AR204" s="34">
        <f>IF(AND(AR$5&gt;=$F204,AR$5&lt;=$G204),8,"")</f>
        <v/>
      </c>
      <c r="AS204" s="34">
        <f>IF(AND(AS$5&gt;=$F204,AS$5&lt;=$G204),8,"")</f>
        <v/>
      </c>
      <c r="AT204" s="34">
        <f>IF(AND(AT$5&gt;=$F204,AT$5&lt;=$G204),8,"")</f>
        <v/>
      </c>
      <c r="AU204" s="34">
        <f>IF(AND(AU$5&gt;=$F204,AU$5&lt;=$G204),8,"")</f>
        <v/>
      </c>
      <c r="AV204" s="34">
        <f>IF(AND(AV$5&gt;=$F204,AV$5&lt;=$G204),8,"")</f>
        <v/>
      </c>
      <c r="AW204" s="34">
        <f>IF(AND(AW$5&gt;=$F204,AW$5&lt;=$G204),8,"")</f>
        <v/>
      </c>
      <c r="AX204" s="34">
        <f>IF(AND(AX$5&gt;=$F204,AX$5&lt;=$G204),8,"")</f>
        <v/>
      </c>
      <c r="AY204" s="34">
        <f>IF(AND(AY$5&gt;=$F204,AY$5&lt;=$G204),8,"")</f>
        <v/>
      </c>
      <c r="AZ204" s="34">
        <f>IF(AND(AZ$5&gt;=$F204,AZ$5&lt;=$G204),8,"")</f>
        <v/>
      </c>
      <c r="BA204" s="34">
        <f>IF(AND(BA$5&gt;=$F204,BA$5&lt;=$G204),8,"")</f>
        <v/>
      </c>
      <c r="BB204" s="34">
        <f>IF(AND(BB$5&gt;=$F204,BB$5&lt;=$G204),8,"")</f>
        <v/>
      </c>
      <c r="BC204" s="34">
        <f>IF(AND(BC$5&gt;=$F204,BC$5&lt;=$G204),8,"")</f>
        <v/>
      </c>
      <c r="BD204" s="34">
        <f>IF(AND(BD$5&gt;=$F204,BD$5&lt;=$G204),8,"")</f>
        <v/>
      </c>
      <c r="BE204" s="34">
        <f>IF(AND(BE$5&gt;=$F204,BE$5&lt;=$G204),8,"")</f>
        <v/>
      </c>
      <c r="BF204" s="34">
        <f>IF(AND(BF$5&gt;=$F204,BF$5&lt;=$G204),8,"")</f>
        <v/>
      </c>
      <c r="BG204" s="34">
        <f>IF(AND(BG$5&gt;=$F204,BG$5&lt;=$G204),8,"")</f>
        <v/>
      </c>
      <c r="BH204" s="34">
        <f>IF(AND(BH$5&gt;=$F204,BH$5&lt;=$G204),8,"")</f>
        <v/>
      </c>
      <c r="BI204" s="34">
        <f>IF(AND(BI$5&gt;=$F204,BI$5&lt;=$G204),8,"")</f>
        <v/>
      </c>
      <c r="BJ204" s="34">
        <f>IF(AND(BJ$5&gt;=$F204,BJ$5&lt;=$G204),8,"")</f>
        <v/>
      </c>
      <c r="BK204" s="34">
        <f>IF(AND(BK$5&gt;=$F204,BK$5&lt;=$G204),8,"")</f>
        <v/>
      </c>
      <c r="BL204" s="34">
        <f>IF(AND(BL$5&gt;=$F204,BL$5&lt;=$G204),8,"")</f>
        <v/>
      </c>
      <c r="BM204" s="34">
        <f>IF(AND(BM$5&gt;=$F204,BM$5&lt;=$G204),8,"")</f>
        <v/>
      </c>
      <c r="BN204" s="34">
        <f>IF(AND(BN$5&gt;=$F204,BN$5&lt;=$G204),8,"")</f>
        <v/>
      </c>
    </row>
    <row r="205" ht="14.25" customHeight="1" s="36">
      <c r="A205" s="13" t="inlineStr">
        <is>
          <t>8 Operación y soporte</t>
        </is>
      </c>
      <c r="B205" s="13" t="inlineStr">
        <is>
          <t>8.1.5</t>
        </is>
      </c>
      <c r="C205" s="13" t="inlineStr">
        <is>
          <t>Servicio de centro de operaciones de seguridad 24×7 con SIEM durante los 36 meses de operación</t>
        </is>
      </c>
      <c r="D205" s="13" t="inlineStr">
        <is>
          <t>C</t>
        </is>
      </c>
      <c r="E205" s="13" t="inlineStr">
        <is>
          <t>Seguridad</t>
        </is>
      </c>
      <c r="F205" s="13" t="n">
        <v>13</v>
      </c>
      <c r="G205" s="13" t="n">
        <v>56</v>
      </c>
      <c r="H205" s="13">
        <f>G205-F205+1</f>
        <v/>
      </c>
      <c r="I205" s="31" t="n">
        <v>32112</v>
      </c>
      <c r="J205" s="13" t="inlineStr">
        <is>
          <t>Esfuerzo continuo (por quincena u ocurrencia)</t>
        </is>
      </c>
      <c r="K205" s="34">
        <f>IF(AND(K$5&gt;=$F205,K$5&lt;=$G205),8,"")</f>
        <v/>
      </c>
      <c r="L205" s="34">
        <f>IF(AND(L$5&gt;=$F205,L$5&lt;=$G205),8,"")</f>
        <v/>
      </c>
      <c r="M205" s="34">
        <f>IF(AND(M$5&gt;=$F205,M$5&lt;=$G205),8,"")</f>
        <v/>
      </c>
      <c r="N205" s="34">
        <f>IF(AND(N$5&gt;=$F205,N$5&lt;=$G205),8,"")</f>
        <v/>
      </c>
      <c r="O205" s="34">
        <f>IF(AND(O$5&gt;=$F205,O$5&lt;=$G205),8,"")</f>
        <v/>
      </c>
      <c r="P205" s="34">
        <f>IF(AND(P$5&gt;=$F205,P$5&lt;=$G205),8,"")</f>
        <v/>
      </c>
      <c r="Q205" s="34">
        <f>IF(AND(Q$5&gt;=$F205,Q$5&lt;=$G205),8,"")</f>
        <v/>
      </c>
      <c r="R205" s="34">
        <f>IF(AND(R$5&gt;=$F205,R$5&lt;=$G205),8,"")</f>
        <v/>
      </c>
      <c r="S205" s="34">
        <f>IF(AND(S$5&gt;=$F205,S$5&lt;=$G205),8,"")</f>
        <v/>
      </c>
      <c r="T205" s="34">
        <f>IF(AND(T$5&gt;=$F205,T$5&lt;=$G205),8,"")</f>
        <v/>
      </c>
      <c r="U205" s="34">
        <f>IF(AND(U$5&gt;=$F205,U$5&lt;=$G205),8,"")</f>
        <v/>
      </c>
      <c r="V205" s="34">
        <f>IF(AND(V$5&gt;=$F205,V$5&lt;=$G205),8,"")</f>
        <v/>
      </c>
      <c r="W205" s="34">
        <f>IF(AND(W$5&gt;=$F205,W$5&lt;=$G205),8,"")</f>
        <v/>
      </c>
      <c r="X205" s="34">
        <f>IF(AND(X$5&gt;=$F205,X$5&lt;=$G205),8,"")</f>
        <v/>
      </c>
      <c r="Y205" s="34">
        <f>IF(AND(Y$5&gt;=$F205,Y$5&lt;=$G205),8,"")</f>
        <v/>
      </c>
      <c r="Z205" s="34">
        <f>IF(AND(Z$5&gt;=$F205,Z$5&lt;=$G205),8,"")</f>
        <v/>
      </c>
      <c r="AA205" s="34">
        <f>IF(AND(AA$5&gt;=$F205,AA$5&lt;=$G205),8,"")</f>
        <v/>
      </c>
      <c r="AB205" s="34">
        <f>IF(AND(AB$5&gt;=$F205,AB$5&lt;=$G205),8,"")</f>
        <v/>
      </c>
      <c r="AC205" s="34">
        <f>IF(AND(AC$5&gt;=$F205,AC$5&lt;=$G205),8,"")</f>
        <v/>
      </c>
      <c r="AD205" s="34">
        <f>IF(AND(AD$5&gt;=$F205,AD$5&lt;=$G205),8,"")</f>
        <v/>
      </c>
      <c r="AE205" s="34">
        <f>IF(AND(AE$5&gt;=$F205,AE$5&lt;=$G205),8,"")</f>
        <v/>
      </c>
      <c r="AF205" s="34">
        <f>IF(AND(AF$5&gt;=$F205,AF$5&lt;=$G205),8,"")</f>
        <v/>
      </c>
      <c r="AG205" s="34">
        <f>IF(AND(AG$5&gt;=$F205,AG$5&lt;=$G205),8,"")</f>
        <v/>
      </c>
      <c r="AH205" s="34">
        <f>IF(AND(AH$5&gt;=$F205,AH$5&lt;=$G205),8,"")</f>
        <v/>
      </c>
      <c r="AI205" s="34">
        <f>IF(AND(AI$5&gt;=$F205,AI$5&lt;=$G205),8,"")</f>
        <v/>
      </c>
      <c r="AJ205" s="34">
        <f>IF(AND(AJ$5&gt;=$F205,AJ$5&lt;=$G205),8,"")</f>
        <v/>
      </c>
      <c r="AK205" s="34">
        <f>IF(AND(AK$5&gt;=$F205,AK$5&lt;=$G205),8,"")</f>
        <v/>
      </c>
      <c r="AL205" s="34">
        <f>IF(AND(AL$5&gt;=$F205,AL$5&lt;=$G205),8,"")</f>
        <v/>
      </c>
      <c r="AM205" s="34">
        <f>IF(AND(AM$5&gt;=$F205,AM$5&lt;=$G205),8,"")</f>
        <v/>
      </c>
      <c r="AN205" s="34">
        <f>IF(AND(AN$5&gt;=$F205,AN$5&lt;=$G205),8,"")</f>
        <v/>
      </c>
      <c r="AO205" s="34">
        <f>IF(AND(AO$5&gt;=$F205,AO$5&lt;=$G205),8,"")</f>
        <v/>
      </c>
      <c r="AP205" s="34">
        <f>IF(AND(AP$5&gt;=$F205,AP$5&lt;=$G205),8,"")</f>
        <v/>
      </c>
      <c r="AQ205" s="34">
        <f>IF(AND(AQ$5&gt;=$F205,AQ$5&lt;=$G205),8,"")</f>
        <v/>
      </c>
      <c r="AR205" s="34">
        <f>IF(AND(AR$5&gt;=$F205,AR$5&lt;=$G205),8,"")</f>
        <v/>
      </c>
      <c r="AS205" s="34">
        <f>IF(AND(AS$5&gt;=$F205,AS$5&lt;=$G205),8,"")</f>
        <v/>
      </c>
      <c r="AT205" s="34">
        <f>IF(AND(AT$5&gt;=$F205,AT$5&lt;=$G205),8,"")</f>
        <v/>
      </c>
      <c r="AU205" s="34">
        <f>IF(AND(AU$5&gt;=$F205,AU$5&lt;=$G205),8,"")</f>
        <v/>
      </c>
      <c r="AV205" s="34">
        <f>IF(AND(AV$5&gt;=$F205,AV$5&lt;=$G205),8,"")</f>
        <v/>
      </c>
      <c r="AW205" s="34">
        <f>IF(AND(AW$5&gt;=$F205,AW$5&lt;=$G205),8,"")</f>
        <v/>
      </c>
      <c r="AX205" s="34">
        <f>IF(AND(AX$5&gt;=$F205,AX$5&lt;=$G205),8,"")</f>
        <v/>
      </c>
      <c r="AY205" s="34">
        <f>IF(AND(AY$5&gt;=$F205,AY$5&lt;=$G205),8,"")</f>
        <v/>
      </c>
      <c r="AZ205" s="34">
        <f>IF(AND(AZ$5&gt;=$F205,AZ$5&lt;=$G205),8,"")</f>
        <v/>
      </c>
      <c r="BA205" s="34">
        <f>IF(AND(BA$5&gt;=$F205,BA$5&lt;=$G205),8,"")</f>
        <v/>
      </c>
      <c r="BB205" s="34">
        <f>IF(AND(BB$5&gt;=$F205,BB$5&lt;=$G205),8,"")</f>
        <v/>
      </c>
      <c r="BC205" s="34">
        <f>IF(AND(BC$5&gt;=$F205,BC$5&lt;=$G205),8,"")</f>
        <v/>
      </c>
      <c r="BD205" s="34">
        <f>IF(AND(BD$5&gt;=$F205,BD$5&lt;=$G205),8,"")</f>
        <v/>
      </c>
      <c r="BE205" s="34">
        <f>IF(AND(BE$5&gt;=$F205,BE$5&lt;=$G205),8,"")</f>
        <v/>
      </c>
      <c r="BF205" s="34">
        <f>IF(AND(BF$5&gt;=$F205,BF$5&lt;=$G205),8,"")</f>
        <v/>
      </c>
      <c r="BG205" s="34">
        <f>IF(AND(BG$5&gt;=$F205,BG$5&lt;=$G205),8,"")</f>
        <v/>
      </c>
      <c r="BH205" s="34">
        <f>IF(AND(BH$5&gt;=$F205,BH$5&lt;=$G205),8,"")</f>
        <v/>
      </c>
      <c r="BI205" s="34">
        <f>IF(AND(BI$5&gt;=$F205,BI$5&lt;=$G205),8,"")</f>
        <v/>
      </c>
      <c r="BJ205" s="34">
        <f>IF(AND(BJ$5&gt;=$F205,BJ$5&lt;=$G205),8,"")</f>
        <v/>
      </c>
      <c r="BK205" s="34">
        <f>IF(AND(BK$5&gt;=$F205,BK$5&lt;=$G205),8,"")</f>
        <v/>
      </c>
      <c r="BL205" s="34">
        <f>IF(AND(BL$5&gt;=$F205,BL$5&lt;=$G205),8,"")</f>
        <v/>
      </c>
      <c r="BM205" s="34">
        <f>IF(AND(BM$5&gt;=$F205,BM$5&lt;=$G205),8,"")</f>
        <v/>
      </c>
      <c r="BN205" s="34">
        <f>IF(AND(BN$5&gt;=$F205,BN$5&lt;=$G205),8,"")</f>
        <v/>
      </c>
    </row>
    <row r="206" ht="14.25" customHeight="1" s="36">
      <c r="A206" s="13" t="inlineStr">
        <is>
          <t>8 Operación y soporte</t>
        </is>
      </c>
      <c r="B206" s="13" t="inlineStr">
        <is>
          <t>8.1.6</t>
        </is>
      </c>
      <c r="C206" s="13" t="inlineStr">
        <is>
          <t>Pruebas mensuales de restauración de respaldos durante los 36 meses de operación</t>
        </is>
      </c>
      <c r="D206" s="13" t="inlineStr">
        <is>
          <t>R</t>
        </is>
      </c>
      <c r="E206" s="13" t="inlineStr">
        <is>
          <t>Operación / SRE</t>
        </is>
      </c>
      <c r="F206" s="13" t="n">
        <v>21</v>
      </c>
      <c r="G206" s="13" t="n">
        <v>56</v>
      </c>
      <c r="H206" s="13">
        <f>G206-F206+1</f>
        <v/>
      </c>
      <c r="I206" s="31" t="n">
        <v>576</v>
      </c>
      <c r="J206" s="13" t="inlineStr">
        <is>
          <t>Esfuerzo continuo (por quincena u ocurrencia)</t>
        </is>
      </c>
      <c r="K206" s="34">
        <f>IF(AND(K$5&gt;=$F206,K$5&lt;=$G206),8,"")</f>
        <v/>
      </c>
      <c r="L206" s="34">
        <f>IF(AND(L$5&gt;=$F206,L$5&lt;=$G206),8,"")</f>
        <v/>
      </c>
      <c r="M206" s="34">
        <f>IF(AND(M$5&gt;=$F206,M$5&lt;=$G206),8,"")</f>
        <v/>
      </c>
      <c r="N206" s="34">
        <f>IF(AND(N$5&gt;=$F206,N$5&lt;=$G206),8,"")</f>
        <v/>
      </c>
      <c r="O206" s="34">
        <f>IF(AND(O$5&gt;=$F206,O$5&lt;=$G206),8,"")</f>
        <v/>
      </c>
      <c r="P206" s="34">
        <f>IF(AND(P$5&gt;=$F206,P$5&lt;=$G206),8,"")</f>
        <v/>
      </c>
      <c r="Q206" s="34">
        <f>IF(AND(Q$5&gt;=$F206,Q$5&lt;=$G206),8,"")</f>
        <v/>
      </c>
      <c r="R206" s="34">
        <f>IF(AND(R$5&gt;=$F206,R$5&lt;=$G206),8,"")</f>
        <v/>
      </c>
      <c r="S206" s="34">
        <f>IF(AND(S$5&gt;=$F206,S$5&lt;=$G206),8,"")</f>
        <v/>
      </c>
      <c r="T206" s="34">
        <f>IF(AND(T$5&gt;=$F206,T$5&lt;=$G206),8,"")</f>
        <v/>
      </c>
      <c r="U206" s="34">
        <f>IF(AND(U$5&gt;=$F206,U$5&lt;=$G206),8,"")</f>
        <v/>
      </c>
      <c r="V206" s="34">
        <f>IF(AND(V$5&gt;=$F206,V$5&lt;=$G206),8,"")</f>
        <v/>
      </c>
      <c r="W206" s="34">
        <f>IF(AND(W$5&gt;=$F206,W$5&lt;=$G206),8,"")</f>
        <v/>
      </c>
      <c r="X206" s="34">
        <f>IF(AND(X$5&gt;=$F206,X$5&lt;=$G206),8,"")</f>
        <v/>
      </c>
      <c r="Y206" s="34">
        <f>IF(AND(Y$5&gt;=$F206,Y$5&lt;=$G206),8,"")</f>
        <v/>
      </c>
      <c r="Z206" s="34">
        <f>IF(AND(Z$5&gt;=$F206,Z$5&lt;=$G206),8,"")</f>
        <v/>
      </c>
      <c r="AA206" s="34">
        <f>IF(AND(AA$5&gt;=$F206,AA$5&lt;=$G206),8,"")</f>
        <v/>
      </c>
      <c r="AB206" s="34">
        <f>IF(AND(AB$5&gt;=$F206,AB$5&lt;=$G206),8,"")</f>
        <v/>
      </c>
      <c r="AC206" s="34">
        <f>IF(AND(AC$5&gt;=$F206,AC$5&lt;=$G206),8,"")</f>
        <v/>
      </c>
      <c r="AD206" s="34">
        <f>IF(AND(AD$5&gt;=$F206,AD$5&lt;=$G206),8,"")</f>
        <v/>
      </c>
      <c r="AE206" s="34">
        <f>IF(AND(AE$5&gt;=$F206,AE$5&lt;=$G206),8,"")</f>
        <v/>
      </c>
      <c r="AF206" s="34">
        <f>IF(AND(AF$5&gt;=$F206,AF$5&lt;=$G206),8,"")</f>
        <v/>
      </c>
      <c r="AG206" s="34">
        <f>IF(AND(AG$5&gt;=$F206,AG$5&lt;=$G206),8,"")</f>
        <v/>
      </c>
      <c r="AH206" s="34">
        <f>IF(AND(AH$5&gt;=$F206,AH$5&lt;=$G206),8,"")</f>
        <v/>
      </c>
      <c r="AI206" s="34">
        <f>IF(AND(AI$5&gt;=$F206,AI$5&lt;=$G206),8,"")</f>
        <v/>
      </c>
      <c r="AJ206" s="34">
        <f>IF(AND(AJ$5&gt;=$F206,AJ$5&lt;=$G206),8,"")</f>
        <v/>
      </c>
      <c r="AK206" s="34">
        <f>IF(AND(AK$5&gt;=$F206,AK$5&lt;=$G206),8,"")</f>
        <v/>
      </c>
      <c r="AL206" s="34">
        <f>IF(AND(AL$5&gt;=$F206,AL$5&lt;=$G206),8,"")</f>
        <v/>
      </c>
      <c r="AM206" s="34">
        <f>IF(AND(AM$5&gt;=$F206,AM$5&lt;=$G206),8,"")</f>
        <v/>
      </c>
      <c r="AN206" s="34">
        <f>IF(AND(AN$5&gt;=$F206,AN$5&lt;=$G206),8,"")</f>
        <v/>
      </c>
      <c r="AO206" s="34">
        <f>IF(AND(AO$5&gt;=$F206,AO$5&lt;=$G206),8,"")</f>
        <v/>
      </c>
      <c r="AP206" s="34">
        <f>IF(AND(AP$5&gt;=$F206,AP$5&lt;=$G206),8,"")</f>
        <v/>
      </c>
      <c r="AQ206" s="34">
        <f>IF(AND(AQ$5&gt;=$F206,AQ$5&lt;=$G206),8,"")</f>
        <v/>
      </c>
      <c r="AR206" s="34">
        <f>IF(AND(AR$5&gt;=$F206,AR$5&lt;=$G206),8,"")</f>
        <v/>
      </c>
      <c r="AS206" s="34">
        <f>IF(AND(AS$5&gt;=$F206,AS$5&lt;=$G206),8,"")</f>
        <v/>
      </c>
      <c r="AT206" s="34">
        <f>IF(AND(AT$5&gt;=$F206,AT$5&lt;=$G206),8,"")</f>
        <v/>
      </c>
      <c r="AU206" s="34">
        <f>IF(AND(AU$5&gt;=$F206,AU$5&lt;=$G206),8,"")</f>
        <v/>
      </c>
      <c r="AV206" s="34">
        <f>IF(AND(AV$5&gt;=$F206,AV$5&lt;=$G206),8,"")</f>
        <v/>
      </c>
      <c r="AW206" s="34">
        <f>IF(AND(AW$5&gt;=$F206,AW$5&lt;=$G206),8,"")</f>
        <v/>
      </c>
      <c r="AX206" s="34">
        <f>IF(AND(AX$5&gt;=$F206,AX$5&lt;=$G206),8,"")</f>
        <v/>
      </c>
      <c r="AY206" s="34">
        <f>IF(AND(AY$5&gt;=$F206,AY$5&lt;=$G206),8,"")</f>
        <v/>
      </c>
      <c r="AZ206" s="34">
        <f>IF(AND(AZ$5&gt;=$F206,AZ$5&lt;=$G206),8,"")</f>
        <v/>
      </c>
      <c r="BA206" s="34">
        <f>IF(AND(BA$5&gt;=$F206,BA$5&lt;=$G206),8,"")</f>
        <v/>
      </c>
      <c r="BB206" s="34">
        <f>IF(AND(BB$5&gt;=$F206,BB$5&lt;=$G206),8,"")</f>
        <v/>
      </c>
      <c r="BC206" s="34">
        <f>IF(AND(BC$5&gt;=$F206,BC$5&lt;=$G206),8,"")</f>
        <v/>
      </c>
      <c r="BD206" s="34">
        <f>IF(AND(BD$5&gt;=$F206,BD$5&lt;=$G206),8,"")</f>
        <v/>
      </c>
      <c r="BE206" s="34">
        <f>IF(AND(BE$5&gt;=$F206,BE$5&lt;=$G206),8,"")</f>
        <v/>
      </c>
      <c r="BF206" s="34">
        <f>IF(AND(BF$5&gt;=$F206,BF$5&lt;=$G206),8,"")</f>
        <v/>
      </c>
      <c r="BG206" s="34">
        <f>IF(AND(BG$5&gt;=$F206,BG$5&lt;=$G206),8,"")</f>
        <v/>
      </c>
      <c r="BH206" s="34">
        <f>IF(AND(BH$5&gt;=$F206,BH$5&lt;=$G206),8,"")</f>
        <v/>
      </c>
      <c r="BI206" s="34">
        <f>IF(AND(BI$5&gt;=$F206,BI$5&lt;=$G206),8,"")</f>
        <v/>
      </c>
      <c r="BJ206" s="34">
        <f>IF(AND(BJ$5&gt;=$F206,BJ$5&lt;=$G206),8,"")</f>
        <v/>
      </c>
      <c r="BK206" s="34">
        <f>IF(AND(BK$5&gt;=$F206,BK$5&lt;=$G206),8,"")</f>
        <v/>
      </c>
      <c r="BL206" s="34">
        <f>IF(AND(BL$5&gt;=$F206,BL$5&lt;=$G206),8,"")</f>
        <v/>
      </c>
      <c r="BM206" s="34">
        <f>IF(AND(BM$5&gt;=$F206,BM$5&lt;=$G206),8,"")</f>
        <v/>
      </c>
      <c r="BN206" s="34">
        <f>IF(AND(BN$5&gt;=$F206,BN$5&lt;=$G206),8,"")</f>
        <v/>
      </c>
    </row>
    <row r="207" ht="14.25" customHeight="1" s="36">
      <c r="A207" s="13" t="inlineStr">
        <is>
          <t>8 Operación y soporte</t>
        </is>
      </c>
      <c r="B207" s="13" t="inlineStr">
        <is>
          <t>8.2.1</t>
        </is>
      </c>
      <c r="C207" s="13" t="inlineStr">
        <is>
          <t>Mantenimiento correctivo y evolutivo del software durante los 36 meses de operación, con bolsa anual de horas y fuera de las ventanas de congelamiento</t>
        </is>
      </c>
      <c r="D207" s="13" t="inlineStr">
        <is>
          <t>R</t>
        </is>
      </c>
      <c r="E207" s="13" t="inlineStr">
        <is>
          <t>Desarrollo</t>
        </is>
      </c>
      <c r="F207" s="13" t="n">
        <v>21</v>
      </c>
      <c r="G207" s="13" t="n">
        <v>56</v>
      </c>
      <c r="H207" s="13">
        <f>G207-F207+1</f>
        <v/>
      </c>
      <c r="I207" s="31" t="n">
        <v>4608</v>
      </c>
      <c r="J207" s="13" t="inlineStr">
        <is>
          <t>Esfuerzo continuo (por quincena u ocurrencia)</t>
        </is>
      </c>
      <c r="K207" s="34">
        <f>IF(AND(K$5&gt;=$F207,K$5&lt;=$G207),8,"")</f>
        <v/>
      </c>
      <c r="L207" s="34">
        <f>IF(AND(L$5&gt;=$F207,L$5&lt;=$G207),8,"")</f>
        <v/>
      </c>
      <c r="M207" s="34">
        <f>IF(AND(M$5&gt;=$F207,M$5&lt;=$G207),8,"")</f>
        <v/>
      </c>
      <c r="N207" s="34">
        <f>IF(AND(N$5&gt;=$F207,N$5&lt;=$G207),8,"")</f>
        <v/>
      </c>
      <c r="O207" s="34">
        <f>IF(AND(O$5&gt;=$F207,O$5&lt;=$G207),8,"")</f>
        <v/>
      </c>
      <c r="P207" s="34">
        <f>IF(AND(P$5&gt;=$F207,P$5&lt;=$G207),8,"")</f>
        <v/>
      </c>
      <c r="Q207" s="34">
        <f>IF(AND(Q$5&gt;=$F207,Q$5&lt;=$G207),8,"")</f>
        <v/>
      </c>
      <c r="R207" s="34">
        <f>IF(AND(R$5&gt;=$F207,R$5&lt;=$G207),8,"")</f>
        <v/>
      </c>
      <c r="S207" s="34">
        <f>IF(AND(S$5&gt;=$F207,S$5&lt;=$G207),8,"")</f>
        <v/>
      </c>
      <c r="T207" s="34">
        <f>IF(AND(T$5&gt;=$F207,T$5&lt;=$G207),8,"")</f>
        <v/>
      </c>
      <c r="U207" s="34">
        <f>IF(AND(U$5&gt;=$F207,U$5&lt;=$G207),8,"")</f>
        <v/>
      </c>
      <c r="V207" s="34">
        <f>IF(AND(V$5&gt;=$F207,V$5&lt;=$G207),8,"")</f>
        <v/>
      </c>
      <c r="W207" s="34">
        <f>IF(AND(W$5&gt;=$F207,W$5&lt;=$G207),8,"")</f>
        <v/>
      </c>
      <c r="X207" s="34">
        <f>IF(AND(X$5&gt;=$F207,X$5&lt;=$G207),8,"")</f>
        <v/>
      </c>
      <c r="Y207" s="34">
        <f>IF(AND(Y$5&gt;=$F207,Y$5&lt;=$G207),8,"")</f>
        <v/>
      </c>
      <c r="Z207" s="34">
        <f>IF(AND(Z$5&gt;=$F207,Z$5&lt;=$G207),8,"")</f>
        <v/>
      </c>
      <c r="AA207" s="34">
        <f>IF(AND(AA$5&gt;=$F207,AA$5&lt;=$G207),8,"")</f>
        <v/>
      </c>
      <c r="AB207" s="34">
        <f>IF(AND(AB$5&gt;=$F207,AB$5&lt;=$G207),8,"")</f>
        <v/>
      </c>
      <c r="AC207" s="34">
        <f>IF(AND(AC$5&gt;=$F207,AC$5&lt;=$G207),8,"")</f>
        <v/>
      </c>
      <c r="AD207" s="34">
        <f>IF(AND(AD$5&gt;=$F207,AD$5&lt;=$G207),8,"")</f>
        <v/>
      </c>
      <c r="AE207" s="34">
        <f>IF(AND(AE$5&gt;=$F207,AE$5&lt;=$G207),8,"")</f>
        <v/>
      </c>
      <c r="AF207" s="34">
        <f>IF(AND(AF$5&gt;=$F207,AF$5&lt;=$G207),8,"")</f>
        <v/>
      </c>
      <c r="AG207" s="34">
        <f>IF(AND(AG$5&gt;=$F207,AG$5&lt;=$G207),8,"")</f>
        <v/>
      </c>
      <c r="AH207" s="34">
        <f>IF(AND(AH$5&gt;=$F207,AH$5&lt;=$G207),8,"")</f>
        <v/>
      </c>
      <c r="AI207" s="34">
        <f>IF(AND(AI$5&gt;=$F207,AI$5&lt;=$G207),8,"")</f>
        <v/>
      </c>
      <c r="AJ207" s="34">
        <f>IF(AND(AJ$5&gt;=$F207,AJ$5&lt;=$G207),8,"")</f>
        <v/>
      </c>
      <c r="AK207" s="34">
        <f>IF(AND(AK$5&gt;=$F207,AK$5&lt;=$G207),8,"")</f>
        <v/>
      </c>
      <c r="AL207" s="34">
        <f>IF(AND(AL$5&gt;=$F207,AL$5&lt;=$G207),8,"")</f>
        <v/>
      </c>
      <c r="AM207" s="34">
        <f>IF(AND(AM$5&gt;=$F207,AM$5&lt;=$G207),8,"")</f>
        <v/>
      </c>
      <c r="AN207" s="34">
        <f>IF(AND(AN$5&gt;=$F207,AN$5&lt;=$G207),8,"")</f>
        <v/>
      </c>
      <c r="AO207" s="34">
        <f>IF(AND(AO$5&gt;=$F207,AO$5&lt;=$G207),8,"")</f>
        <v/>
      </c>
      <c r="AP207" s="34">
        <f>IF(AND(AP$5&gt;=$F207,AP$5&lt;=$G207),8,"")</f>
        <v/>
      </c>
      <c r="AQ207" s="34">
        <f>IF(AND(AQ$5&gt;=$F207,AQ$5&lt;=$G207),8,"")</f>
        <v/>
      </c>
      <c r="AR207" s="34">
        <f>IF(AND(AR$5&gt;=$F207,AR$5&lt;=$G207),8,"")</f>
        <v/>
      </c>
      <c r="AS207" s="34">
        <f>IF(AND(AS$5&gt;=$F207,AS$5&lt;=$G207),8,"")</f>
        <v/>
      </c>
      <c r="AT207" s="34">
        <f>IF(AND(AT$5&gt;=$F207,AT$5&lt;=$G207),8,"")</f>
        <v/>
      </c>
      <c r="AU207" s="34">
        <f>IF(AND(AU$5&gt;=$F207,AU$5&lt;=$G207),8,"")</f>
        <v/>
      </c>
      <c r="AV207" s="34">
        <f>IF(AND(AV$5&gt;=$F207,AV$5&lt;=$G207),8,"")</f>
        <v/>
      </c>
      <c r="AW207" s="34">
        <f>IF(AND(AW$5&gt;=$F207,AW$5&lt;=$G207),8,"")</f>
        <v/>
      </c>
      <c r="AX207" s="34">
        <f>IF(AND(AX$5&gt;=$F207,AX$5&lt;=$G207),8,"")</f>
        <v/>
      </c>
      <c r="AY207" s="34">
        <f>IF(AND(AY$5&gt;=$F207,AY$5&lt;=$G207),8,"")</f>
        <v/>
      </c>
      <c r="AZ207" s="34">
        <f>IF(AND(AZ$5&gt;=$F207,AZ$5&lt;=$G207),8,"")</f>
        <v/>
      </c>
      <c r="BA207" s="34">
        <f>IF(AND(BA$5&gt;=$F207,BA$5&lt;=$G207),8,"")</f>
        <v/>
      </c>
      <c r="BB207" s="34">
        <f>IF(AND(BB$5&gt;=$F207,BB$5&lt;=$G207),8,"")</f>
        <v/>
      </c>
      <c r="BC207" s="34">
        <f>IF(AND(BC$5&gt;=$F207,BC$5&lt;=$G207),8,"")</f>
        <v/>
      </c>
      <c r="BD207" s="34">
        <f>IF(AND(BD$5&gt;=$F207,BD$5&lt;=$G207),8,"")</f>
        <v/>
      </c>
      <c r="BE207" s="34">
        <f>IF(AND(BE$5&gt;=$F207,BE$5&lt;=$G207),8,"")</f>
        <v/>
      </c>
      <c r="BF207" s="34">
        <f>IF(AND(BF$5&gt;=$F207,BF$5&lt;=$G207),8,"")</f>
        <v/>
      </c>
      <c r="BG207" s="34">
        <f>IF(AND(BG$5&gt;=$F207,BG$5&lt;=$G207),8,"")</f>
        <v/>
      </c>
      <c r="BH207" s="34">
        <f>IF(AND(BH$5&gt;=$F207,BH$5&lt;=$G207),8,"")</f>
        <v/>
      </c>
      <c r="BI207" s="34">
        <f>IF(AND(BI$5&gt;=$F207,BI$5&lt;=$G207),8,"")</f>
        <v/>
      </c>
      <c r="BJ207" s="34">
        <f>IF(AND(BJ$5&gt;=$F207,BJ$5&lt;=$G207),8,"")</f>
        <v/>
      </c>
      <c r="BK207" s="34">
        <f>IF(AND(BK$5&gt;=$F207,BK$5&lt;=$G207),8,"")</f>
        <v/>
      </c>
      <c r="BL207" s="34">
        <f>IF(AND(BL$5&gt;=$F207,BL$5&lt;=$G207),8,"")</f>
        <v/>
      </c>
      <c r="BM207" s="34">
        <f>IF(AND(BM$5&gt;=$F207,BM$5&lt;=$G207),8,"")</f>
        <v/>
      </c>
      <c r="BN207" s="34">
        <f>IF(AND(BN$5&gt;=$F207,BN$5&lt;=$G207),8,"")</f>
        <v/>
      </c>
    </row>
    <row r="208" ht="14.25" customHeight="1" s="36">
      <c r="A208" s="13" t="inlineStr">
        <is>
          <t>8 Operación y soporte</t>
        </is>
      </c>
      <c r="B208" s="13" t="inlineStr">
        <is>
          <t>8.2.2</t>
        </is>
      </c>
      <c r="C208" s="13" t="inlineStr">
        <is>
          <t>Mantenimiento de ciberseguridad durante los 36 meses de operación: vulnerabilidades, intrusión anual e inyección de fallas</t>
        </is>
      </c>
      <c r="D208" s="13" t="inlineStr">
        <is>
          <t>R</t>
        </is>
      </c>
      <c r="E208" s="13" t="inlineStr">
        <is>
          <t>Seguridad</t>
        </is>
      </c>
      <c r="F208" s="13" t="n">
        <v>21</v>
      </c>
      <c r="G208" s="13" t="n">
        <v>56</v>
      </c>
      <c r="H208" s="13">
        <f>G208-F208+1</f>
        <v/>
      </c>
      <c r="I208" s="31" t="n">
        <v>1152</v>
      </c>
      <c r="J208" s="13" t="inlineStr">
        <is>
          <t>Esfuerzo continuo (por quincena u ocurrencia)</t>
        </is>
      </c>
      <c r="K208" s="34">
        <f>IF(AND(K$5&gt;=$F208,K$5&lt;=$G208),8,"")</f>
        <v/>
      </c>
      <c r="L208" s="34">
        <f>IF(AND(L$5&gt;=$F208,L$5&lt;=$G208),8,"")</f>
        <v/>
      </c>
      <c r="M208" s="34">
        <f>IF(AND(M$5&gt;=$F208,M$5&lt;=$G208),8,"")</f>
        <v/>
      </c>
      <c r="N208" s="34">
        <f>IF(AND(N$5&gt;=$F208,N$5&lt;=$G208),8,"")</f>
        <v/>
      </c>
      <c r="O208" s="34">
        <f>IF(AND(O$5&gt;=$F208,O$5&lt;=$G208),8,"")</f>
        <v/>
      </c>
      <c r="P208" s="34">
        <f>IF(AND(P$5&gt;=$F208,P$5&lt;=$G208),8,"")</f>
        <v/>
      </c>
      <c r="Q208" s="34">
        <f>IF(AND(Q$5&gt;=$F208,Q$5&lt;=$G208),8,"")</f>
        <v/>
      </c>
      <c r="R208" s="34">
        <f>IF(AND(R$5&gt;=$F208,R$5&lt;=$G208),8,"")</f>
        <v/>
      </c>
      <c r="S208" s="34">
        <f>IF(AND(S$5&gt;=$F208,S$5&lt;=$G208),8,"")</f>
        <v/>
      </c>
      <c r="T208" s="34">
        <f>IF(AND(T$5&gt;=$F208,T$5&lt;=$G208),8,"")</f>
        <v/>
      </c>
      <c r="U208" s="34">
        <f>IF(AND(U$5&gt;=$F208,U$5&lt;=$G208),8,"")</f>
        <v/>
      </c>
      <c r="V208" s="34">
        <f>IF(AND(V$5&gt;=$F208,V$5&lt;=$G208),8,"")</f>
        <v/>
      </c>
      <c r="W208" s="34">
        <f>IF(AND(W$5&gt;=$F208,W$5&lt;=$G208),8,"")</f>
        <v/>
      </c>
      <c r="X208" s="34">
        <f>IF(AND(X$5&gt;=$F208,X$5&lt;=$G208),8,"")</f>
        <v/>
      </c>
      <c r="Y208" s="34">
        <f>IF(AND(Y$5&gt;=$F208,Y$5&lt;=$G208),8,"")</f>
        <v/>
      </c>
      <c r="Z208" s="34">
        <f>IF(AND(Z$5&gt;=$F208,Z$5&lt;=$G208),8,"")</f>
        <v/>
      </c>
      <c r="AA208" s="34">
        <f>IF(AND(AA$5&gt;=$F208,AA$5&lt;=$G208),8,"")</f>
        <v/>
      </c>
      <c r="AB208" s="34">
        <f>IF(AND(AB$5&gt;=$F208,AB$5&lt;=$G208),8,"")</f>
        <v/>
      </c>
      <c r="AC208" s="34">
        <f>IF(AND(AC$5&gt;=$F208,AC$5&lt;=$G208),8,"")</f>
        <v/>
      </c>
      <c r="AD208" s="34">
        <f>IF(AND(AD$5&gt;=$F208,AD$5&lt;=$G208),8,"")</f>
        <v/>
      </c>
      <c r="AE208" s="34">
        <f>IF(AND(AE$5&gt;=$F208,AE$5&lt;=$G208),8,"")</f>
        <v/>
      </c>
      <c r="AF208" s="34">
        <f>IF(AND(AF$5&gt;=$F208,AF$5&lt;=$G208),8,"")</f>
        <v/>
      </c>
      <c r="AG208" s="34">
        <f>IF(AND(AG$5&gt;=$F208,AG$5&lt;=$G208),8,"")</f>
        <v/>
      </c>
      <c r="AH208" s="34">
        <f>IF(AND(AH$5&gt;=$F208,AH$5&lt;=$G208),8,"")</f>
        <v/>
      </c>
      <c r="AI208" s="34">
        <f>IF(AND(AI$5&gt;=$F208,AI$5&lt;=$G208),8,"")</f>
        <v/>
      </c>
      <c r="AJ208" s="34">
        <f>IF(AND(AJ$5&gt;=$F208,AJ$5&lt;=$G208),8,"")</f>
        <v/>
      </c>
      <c r="AK208" s="34">
        <f>IF(AND(AK$5&gt;=$F208,AK$5&lt;=$G208),8,"")</f>
        <v/>
      </c>
      <c r="AL208" s="34">
        <f>IF(AND(AL$5&gt;=$F208,AL$5&lt;=$G208),8,"")</f>
        <v/>
      </c>
      <c r="AM208" s="34">
        <f>IF(AND(AM$5&gt;=$F208,AM$5&lt;=$G208),8,"")</f>
        <v/>
      </c>
      <c r="AN208" s="34">
        <f>IF(AND(AN$5&gt;=$F208,AN$5&lt;=$G208),8,"")</f>
        <v/>
      </c>
      <c r="AO208" s="34">
        <f>IF(AND(AO$5&gt;=$F208,AO$5&lt;=$G208),8,"")</f>
        <v/>
      </c>
      <c r="AP208" s="34">
        <f>IF(AND(AP$5&gt;=$F208,AP$5&lt;=$G208),8,"")</f>
        <v/>
      </c>
      <c r="AQ208" s="34">
        <f>IF(AND(AQ$5&gt;=$F208,AQ$5&lt;=$G208),8,"")</f>
        <v/>
      </c>
      <c r="AR208" s="34">
        <f>IF(AND(AR$5&gt;=$F208,AR$5&lt;=$G208),8,"")</f>
        <v/>
      </c>
      <c r="AS208" s="34">
        <f>IF(AND(AS$5&gt;=$F208,AS$5&lt;=$G208),8,"")</f>
        <v/>
      </c>
      <c r="AT208" s="34">
        <f>IF(AND(AT$5&gt;=$F208,AT$5&lt;=$G208),8,"")</f>
        <v/>
      </c>
      <c r="AU208" s="34">
        <f>IF(AND(AU$5&gt;=$F208,AU$5&lt;=$G208),8,"")</f>
        <v/>
      </c>
      <c r="AV208" s="34">
        <f>IF(AND(AV$5&gt;=$F208,AV$5&lt;=$G208),8,"")</f>
        <v/>
      </c>
      <c r="AW208" s="34">
        <f>IF(AND(AW$5&gt;=$F208,AW$5&lt;=$G208),8,"")</f>
        <v/>
      </c>
      <c r="AX208" s="34">
        <f>IF(AND(AX$5&gt;=$F208,AX$5&lt;=$G208),8,"")</f>
        <v/>
      </c>
      <c r="AY208" s="34">
        <f>IF(AND(AY$5&gt;=$F208,AY$5&lt;=$G208),8,"")</f>
        <v/>
      </c>
      <c r="AZ208" s="34">
        <f>IF(AND(AZ$5&gt;=$F208,AZ$5&lt;=$G208),8,"")</f>
        <v/>
      </c>
      <c r="BA208" s="34">
        <f>IF(AND(BA$5&gt;=$F208,BA$5&lt;=$G208),8,"")</f>
        <v/>
      </c>
      <c r="BB208" s="34">
        <f>IF(AND(BB$5&gt;=$F208,BB$5&lt;=$G208),8,"")</f>
        <v/>
      </c>
      <c r="BC208" s="34">
        <f>IF(AND(BC$5&gt;=$F208,BC$5&lt;=$G208),8,"")</f>
        <v/>
      </c>
      <c r="BD208" s="34">
        <f>IF(AND(BD$5&gt;=$F208,BD$5&lt;=$G208),8,"")</f>
        <v/>
      </c>
      <c r="BE208" s="34">
        <f>IF(AND(BE$5&gt;=$F208,BE$5&lt;=$G208),8,"")</f>
        <v/>
      </c>
      <c r="BF208" s="34">
        <f>IF(AND(BF$5&gt;=$F208,BF$5&lt;=$G208),8,"")</f>
        <v/>
      </c>
      <c r="BG208" s="34">
        <f>IF(AND(BG$5&gt;=$F208,BG$5&lt;=$G208),8,"")</f>
        <v/>
      </c>
      <c r="BH208" s="34">
        <f>IF(AND(BH$5&gt;=$F208,BH$5&lt;=$G208),8,"")</f>
        <v/>
      </c>
      <c r="BI208" s="34">
        <f>IF(AND(BI$5&gt;=$F208,BI$5&lt;=$G208),8,"")</f>
        <v/>
      </c>
      <c r="BJ208" s="34">
        <f>IF(AND(BJ$5&gt;=$F208,BJ$5&lt;=$G208),8,"")</f>
        <v/>
      </c>
      <c r="BK208" s="34">
        <f>IF(AND(BK$5&gt;=$F208,BK$5&lt;=$G208),8,"")</f>
        <v/>
      </c>
      <c r="BL208" s="34">
        <f>IF(AND(BL$5&gt;=$F208,BL$5&lt;=$G208),8,"")</f>
        <v/>
      </c>
      <c r="BM208" s="34">
        <f>IF(AND(BM$5&gt;=$F208,BM$5&lt;=$G208),8,"")</f>
        <v/>
      </c>
      <c r="BN208" s="34">
        <f>IF(AND(BN$5&gt;=$F208,BN$5&lt;=$G208),8,"")</f>
        <v/>
      </c>
    </row>
    <row r="209" ht="14.25" customHeight="1" s="36">
      <c r="A209" s="13" t="inlineStr">
        <is>
          <t>8 Operación y soporte</t>
        </is>
      </c>
      <c r="B209" s="13" t="inlineStr">
        <is>
          <t>8.2.3</t>
        </is>
      </c>
      <c r="C209" s="13" t="inlineStr">
        <is>
          <t>Mantenimiento del hardware durante los 36 meses de operación: sala técnica, racks, gabinetes de borde y equipamiento de terreno</t>
        </is>
      </c>
      <c r="D209" s="13" t="inlineStr">
        <is>
          <t>R</t>
        </is>
      </c>
      <c r="E209" s="13" t="inlineStr">
        <is>
          <t>Operación / SRE</t>
        </is>
      </c>
      <c r="F209" s="13" t="n">
        <v>21</v>
      </c>
      <c r="G209" s="13" t="n">
        <v>56</v>
      </c>
      <c r="H209" s="13">
        <f>G209-F209+1</f>
        <v/>
      </c>
      <c r="I209" s="31" t="n">
        <v>1152</v>
      </c>
      <c r="J209" s="13" t="inlineStr">
        <is>
          <t>Esfuerzo continuo (por quincena u ocurrencia)</t>
        </is>
      </c>
      <c r="K209" s="34">
        <f>IF(AND(K$5&gt;=$F209,K$5&lt;=$G209),8,"")</f>
        <v/>
      </c>
      <c r="L209" s="34">
        <f>IF(AND(L$5&gt;=$F209,L$5&lt;=$G209),8,"")</f>
        <v/>
      </c>
      <c r="M209" s="34">
        <f>IF(AND(M$5&gt;=$F209,M$5&lt;=$G209),8,"")</f>
        <v/>
      </c>
      <c r="N209" s="34">
        <f>IF(AND(N$5&gt;=$F209,N$5&lt;=$G209),8,"")</f>
        <v/>
      </c>
      <c r="O209" s="34">
        <f>IF(AND(O$5&gt;=$F209,O$5&lt;=$G209),8,"")</f>
        <v/>
      </c>
      <c r="P209" s="34">
        <f>IF(AND(P$5&gt;=$F209,P$5&lt;=$G209),8,"")</f>
        <v/>
      </c>
      <c r="Q209" s="34">
        <f>IF(AND(Q$5&gt;=$F209,Q$5&lt;=$G209),8,"")</f>
        <v/>
      </c>
      <c r="R209" s="34">
        <f>IF(AND(R$5&gt;=$F209,R$5&lt;=$G209),8,"")</f>
        <v/>
      </c>
      <c r="S209" s="34">
        <f>IF(AND(S$5&gt;=$F209,S$5&lt;=$G209),8,"")</f>
        <v/>
      </c>
      <c r="T209" s="34">
        <f>IF(AND(T$5&gt;=$F209,T$5&lt;=$G209),8,"")</f>
        <v/>
      </c>
      <c r="U209" s="34">
        <f>IF(AND(U$5&gt;=$F209,U$5&lt;=$G209),8,"")</f>
        <v/>
      </c>
      <c r="V209" s="34">
        <f>IF(AND(V$5&gt;=$F209,V$5&lt;=$G209),8,"")</f>
        <v/>
      </c>
      <c r="W209" s="34">
        <f>IF(AND(W$5&gt;=$F209,W$5&lt;=$G209),8,"")</f>
        <v/>
      </c>
      <c r="X209" s="34">
        <f>IF(AND(X$5&gt;=$F209,X$5&lt;=$G209),8,"")</f>
        <v/>
      </c>
      <c r="Y209" s="34">
        <f>IF(AND(Y$5&gt;=$F209,Y$5&lt;=$G209),8,"")</f>
        <v/>
      </c>
      <c r="Z209" s="34">
        <f>IF(AND(Z$5&gt;=$F209,Z$5&lt;=$G209),8,"")</f>
        <v/>
      </c>
      <c r="AA209" s="34">
        <f>IF(AND(AA$5&gt;=$F209,AA$5&lt;=$G209),8,"")</f>
        <v/>
      </c>
      <c r="AB209" s="34">
        <f>IF(AND(AB$5&gt;=$F209,AB$5&lt;=$G209),8,"")</f>
        <v/>
      </c>
      <c r="AC209" s="34">
        <f>IF(AND(AC$5&gt;=$F209,AC$5&lt;=$G209),8,"")</f>
        <v/>
      </c>
      <c r="AD209" s="34">
        <f>IF(AND(AD$5&gt;=$F209,AD$5&lt;=$G209),8,"")</f>
        <v/>
      </c>
      <c r="AE209" s="34">
        <f>IF(AND(AE$5&gt;=$F209,AE$5&lt;=$G209),8,"")</f>
        <v/>
      </c>
      <c r="AF209" s="34">
        <f>IF(AND(AF$5&gt;=$F209,AF$5&lt;=$G209),8,"")</f>
        <v/>
      </c>
      <c r="AG209" s="34">
        <f>IF(AND(AG$5&gt;=$F209,AG$5&lt;=$G209),8,"")</f>
        <v/>
      </c>
      <c r="AH209" s="34">
        <f>IF(AND(AH$5&gt;=$F209,AH$5&lt;=$G209),8,"")</f>
        <v/>
      </c>
      <c r="AI209" s="34">
        <f>IF(AND(AI$5&gt;=$F209,AI$5&lt;=$G209),8,"")</f>
        <v/>
      </c>
      <c r="AJ209" s="34">
        <f>IF(AND(AJ$5&gt;=$F209,AJ$5&lt;=$G209),8,"")</f>
        <v/>
      </c>
      <c r="AK209" s="34">
        <f>IF(AND(AK$5&gt;=$F209,AK$5&lt;=$G209),8,"")</f>
        <v/>
      </c>
      <c r="AL209" s="34">
        <f>IF(AND(AL$5&gt;=$F209,AL$5&lt;=$G209),8,"")</f>
        <v/>
      </c>
      <c r="AM209" s="34">
        <f>IF(AND(AM$5&gt;=$F209,AM$5&lt;=$G209),8,"")</f>
        <v/>
      </c>
      <c r="AN209" s="34">
        <f>IF(AND(AN$5&gt;=$F209,AN$5&lt;=$G209),8,"")</f>
        <v/>
      </c>
      <c r="AO209" s="34">
        <f>IF(AND(AO$5&gt;=$F209,AO$5&lt;=$G209),8,"")</f>
        <v/>
      </c>
      <c r="AP209" s="34">
        <f>IF(AND(AP$5&gt;=$F209,AP$5&lt;=$G209),8,"")</f>
        <v/>
      </c>
      <c r="AQ209" s="34">
        <f>IF(AND(AQ$5&gt;=$F209,AQ$5&lt;=$G209),8,"")</f>
        <v/>
      </c>
      <c r="AR209" s="34">
        <f>IF(AND(AR$5&gt;=$F209,AR$5&lt;=$G209),8,"")</f>
        <v/>
      </c>
      <c r="AS209" s="34">
        <f>IF(AND(AS$5&gt;=$F209,AS$5&lt;=$G209),8,"")</f>
        <v/>
      </c>
      <c r="AT209" s="34">
        <f>IF(AND(AT$5&gt;=$F209,AT$5&lt;=$G209),8,"")</f>
        <v/>
      </c>
      <c r="AU209" s="34">
        <f>IF(AND(AU$5&gt;=$F209,AU$5&lt;=$G209),8,"")</f>
        <v/>
      </c>
      <c r="AV209" s="34">
        <f>IF(AND(AV$5&gt;=$F209,AV$5&lt;=$G209),8,"")</f>
        <v/>
      </c>
      <c r="AW209" s="34">
        <f>IF(AND(AW$5&gt;=$F209,AW$5&lt;=$G209),8,"")</f>
        <v/>
      </c>
      <c r="AX209" s="34">
        <f>IF(AND(AX$5&gt;=$F209,AX$5&lt;=$G209),8,"")</f>
        <v/>
      </c>
      <c r="AY209" s="34">
        <f>IF(AND(AY$5&gt;=$F209,AY$5&lt;=$G209),8,"")</f>
        <v/>
      </c>
      <c r="AZ209" s="34">
        <f>IF(AND(AZ$5&gt;=$F209,AZ$5&lt;=$G209),8,"")</f>
        <v/>
      </c>
      <c r="BA209" s="34">
        <f>IF(AND(BA$5&gt;=$F209,BA$5&lt;=$G209),8,"")</f>
        <v/>
      </c>
      <c r="BB209" s="34">
        <f>IF(AND(BB$5&gt;=$F209,BB$5&lt;=$G209),8,"")</f>
        <v/>
      </c>
      <c r="BC209" s="34">
        <f>IF(AND(BC$5&gt;=$F209,BC$5&lt;=$G209),8,"")</f>
        <v/>
      </c>
      <c r="BD209" s="34">
        <f>IF(AND(BD$5&gt;=$F209,BD$5&lt;=$G209),8,"")</f>
        <v/>
      </c>
      <c r="BE209" s="34">
        <f>IF(AND(BE$5&gt;=$F209,BE$5&lt;=$G209),8,"")</f>
        <v/>
      </c>
      <c r="BF209" s="34">
        <f>IF(AND(BF$5&gt;=$F209,BF$5&lt;=$G209),8,"")</f>
        <v/>
      </c>
      <c r="BG209" s="34">
        <f>IF(AND(BG$5&gt;=$F209,BG$5&lt;=$G209),8,"")</f>
        <v/>
      </c>
      <c r="BH209" s="34">
        <f>IF(AND(BH$5&gt;=$F209,BH$5&lt;=$G209),8,"")</f>
        <v/>
      </c>
      <c r="BI209" s="34">
        <f>IF(AND(BI$5&gt;=$F209,BI$5&lt;=$G209),8,"")</f>
        <v/>
      </c>
      <c r="BJ209" s="34">
        <f>IF(AND(BJ$5&gt;=$F209,BJ$5&lt;=$G209),8,"")</f>
        <v/>
      </c>
      <c r="BK209" s="34">
        <f>IF(AND(BK$5&gt;=$F209,BK$5&lt;=$G209),8,"")</f>
        <v/>
      </c>
      <c r="BL209" s="34">
        <f>IF(AND(BL$5&gt;=$F209,BL$5&lt;=$G209),8,"")</f>
        <v/>
      </c>
      <c r="BM209" s="34">
        <f>IF(AND(BM$5&gt;=$F209,BM$5&lt;=$G209),8,"")</f>
        <v/>
      </c>
      <c r="BN209" s="34">
        <f>IF(AND(BN$5&gt;=$F209,BN$5&lt;=$G209),8,"")</f>
        <v/>
      </c>
    </row>
    <row r="210" ht="14.25" customHeight="1" s="36">
      <c r="A210" s="13" t="inlineStr">
        <is>
          <t>8 Operación y soporte</t>
        </is>
      </c>
      <c r="B210" s="13" t="inlineStr">
        <is>
          <t>8.2.4</t>
        </is>
      </c>
      <c r="C210" s="13" t="inlineStr">
        <is>
          <t>Registro y reducción de la deuda técnica durante los 36 meses de operación</t>
        </is>
      </c>
      <c r="D210" s="13" t="inlineStr">
        <is>
          <t>R</t>
        </is>
      </c>
      <c r="E210" s="13" t="inlineStr">
        <is>
          <t>Desarrollo</t>
        </is>
      </c>
      <c r="F210" s="13" t="n">
        <v>21</v>
      </c>
      <c r="G210" s="13" t="n">
        <v>56</v>
      </c>
      <c r="H210" s="13">
        <f>G210-F210+1</f>
        <v/>
      </c>
      <c r="I210" s="31" t="n">
        <v>2304</v>
      </c>
      <c r="J210" s="13" t="inlineStr">
        <is>
          <t>Esfuerzo continuo (por quincena u ocurrencia)</t>
        </is>
      </c>
      <c r="K210" s="34">
        <f>IF(AND(K$5&gt;=$F210,K$5&lt;=$G210),8,"")</f>
        <v/>
      </c>
      <c r="L210" s="34">
        <f>IF(AND(L$5&gt;=$F210,L$5&lt;=$G210),8,"")</f>
        <v/>
      </c>
      <c r="M210" s="34">
        <f>IF(AND(M$5&gt;=$F210,M$5&lt;=$G210),8,"")</f>
        <v/>
      </c>
      <c r="N210" s="34">
        <f>IF(AND(N$5&gt;=$F210,N$5&lt;=$G210),8,"")</f>
        <v/>
      </c>
      <c r="O210" s="34">
        <f>IF(AND(O$5&gt;=$F210,O$5&lt;=$G210),8,"")</f>
        <v/>
      </c>
      <c r="P210" s="34">
        <f>IF(AND(P$5&gt;=$F210,P$5&lt;=$G210),8,"")</f>
        <v/>
      </c>
      <c r="Q210" s="34">
        <f>IF(AND(Q$5&gt;=$F210,Q$5&lt;=$G210),8,"")</f>
        <v/>
      </c>
      <c r="R210" s="34">
        <f>IF(AND(R$5&gt;=$F210,R$5&lt;=$G210),8,"")</f>
        <v/>
      </c>
      <c r="S210" s="34">
        <f>IF(AND(S$5&gt;=$F210,S$5&lt;=$G210),8,"")</f>
        <v/>
      </c>
      <c r="T210" s="34">
        <f>IF(AND(T$5&gt;=$F210,T$5&lt;=$G210),8,"")</f>
        <v/>
      </c>
      <c r="U210" s="34">
        <f>IF(AND(U$5&gt;=$F210,U$5&lt;=$G210),8,"")</f>
        <v/>
      </c>
      <c r="V210" s="34">
        <f>IF(AND(V$5&gt;=$F210,V$5&lt;=$G210),8,"")</f>
        <v/>
      </c>
      <c r="W210" s="34">
        <f>IF(AND(W$5&gt;=$F210,W$5&lt;=$G210),8,"")</f>
        <v/>
      </c>
      <c r="X210" s="34">
        <f>IF(AND(X$5&gt;=$F210,X$5&lt;=$G210),8,"")</f>
        <v/>
      </c>
      <c r="Y210" s="34">
        <f>IF(AND(Y$5&gt;=$F210,Y$5&lt;=$G210),8,"")</f>
        <v/>
      </c>
      <c r="Z210" s="34">
        <f>IF(AND(Z$5&gt;=$F210,Z$5&lt;=$G210),8,"")</f>
        <v/>
      </c>
      <c r="AA210" s="34">
        <f>IF(AND(AA$5&gt;=$F210,AA$5&lt;=$G210),8,"")</f>
        <v/>
      </c>
      <c r="AB210" s="34">
        <f>IF(AND(AB$5&gt;=$F210,AB$5&lt;=$G210),8,"")</f>
        <v/>
      </c>
      <c r="AC210" s="34">
        <f>IF(AND(AC$5&gt;=$F210,AC$5&lt;=$G210),8,"")</f>
        <v/>
      </c>
      <c r="AD210" s="34">
        <f>IF(AND(AD$5&gt;=$F210,AD$5&lt;=$G210),8,"")</f>
        <v/>
      </c>
      <c r="AE210" s="34">
        <f>IF(AND(AE$5&gt;=$F210,AE$5&lt;=$G210),8,"")</f>
        <v/>
      </c>
      <c r="AF210" s="34">
        <f>IF(AND(AF$5&gt;=$F210,AF$5&lt;=$G210),8,"")</f>
        <v/>
      </c>
      <c r="AG210" s="34">
        <f>IF(AND(AG$5&gt;=$F210,AG$5&lt;=$G210),8,"")</f>
        <v/>
      </c>
      <c r="AH210" s="34">
        <f>IF(AND(AH$5&gt;=$F210,AH$5&lt;=$G210),8,"")</f>
        <v/>
      </c>
      <c r="AI210" s="34">
        <f>IF(AND(AI$5&gt;=$F210,AI$5&lt;=$G210),8,"")</f>
        <v/>
      </c>
      <c r="AJ210" s="34">
        <f>IF(AND(AJ$5&gt;=$F210,AJ$5&lt;=$G210),8,"")</f>
        <v/>
      </c>
      <c r="AK210" s="34">
        <f>IF(AND(AK$5&gt;=$F210,AK$5&lt;=$G210),8,"")</f>
        <v/>
      </c>
      <c r="AL210" s="34">
        <f>IF(AND(AL$5&gt;=$F210,AL$5&lt;=$G210),8,"")</f>
        <v/>
      </c>
      <c r="AM210" s="34">
        <f>IF(AND(AM$5&gt;=$F210,AM$5&lt;=$G210),8,"")</f>
        <v/>
      </c>
      <c r="AN210" s="34">
        <f>IF(AND(AN$5&gt;=$F210,AN$5&lt;=$G210),8,"")</f>
        <v/>
      </c>
      <c r="AO210" s="34">
        <f>IF(AND(AO$5&gt;=$F210,AO$5&lt;=$G210),8,"")</f>
        <v/>
      </c>
      <c r="AP210" s="34">
        <f>IF(AND(AP$5&gt;=$F210,AP$5&lt;=$G210),8,"")</f>
        <v/>
      </c>
      <c r="AQ210" s="34">
        <f>IF(AND(AQ$5&gt;=$F210,AQ$5&lt;=$G210),8,"")</f>
        <v/>
      </c>
      <c r="AR210" s="34">
        <f>IF(AND(AR$5&gt;=$F210,AR$5&lt;=$G210),8,"")</f>
        <v/>
      </c>
      <c r="AS210" s="34">
        <f>IF(AND(AS$5&gt;=$F210,AS$5&lt;=$G210),8,"")</f>
        <v/>
      </c>
      <c r="AT210" s="34">
        <f>IF(AND(AT$5&gt;=$F210,AT$5&lt;=$G210),8,"")</f>
        <v/>
      </c>
      <c r="AU210" s="34">
        <f>IF(AND(AU$5&gt;=$F210,AU$5&lt;=$G210),8,"")</f>
        <v/>
      </c>
      <c r="AV210" s="34">
        <f>IF(AND(AV$5&gt;=$F210,AV$5&lt;=$G210),8,"")</f>
        <v/>
      </c>
      <c r="AW210" s="34">
        <f>IF(AND(AW$5&gt;=$F210,AW$5&lt;=$G210),8,"")</f>
        <v/>
      </c>
      <c r="AX210" s="34">
        <f>IF(AND(AX$5&gt;=$F210,AX$5&lt;=$G210),8,"")</f>
        <v/>
      </c>
      <c r="AY210" s="34">
        <f>IF(AND(AY$5&gt;=$F210,AY$5&lt;=$G210),8,"")</f>
        <v/>
      </c>
      <c r="AZ210" s="34">
        <f>IF(AND(AZ$5&gt;=$F210,AZ$5&lt;=$G210),8,"")</f>
        <v/>
      </c>
      <c r="BA210" s="34">
        <f>IF(AND(BA$5&gt;=$F210,BA$5&lt;=$G210),8,"")</f>
        <v/>
      </c>
      <c r="BB210" s="34">
        <f>IF(AND(BB$5&gt;=$F210,BB$5&lt;=$G210),8,"")</f>
        <v/>
      </c>
      <c r="BC210" s="34">
        <f>IF(AND(BC$5&gt;=$F210,BC$5&lt;=$G210),8,"")</f>
        <v/>
      </c>
      <c r="BD210" s="34">
        <f>IF(AND(BD$5&gt;=$F210,BD$5&lt;=$G210),8,"")</f>
        <v/>
      </c>
      <c r="BE210" s="34">
        <f>IF(AND(BE$5&gt;=$F210,BE$5&lt;=$G210),8,"")</f>
        <v/>
      </c>
      <c r="BF210" s="34">
        <f>IF(AND(BF$5&gt;=$F210,BF$5&lt;=$G210),8,"")</f>
        <v/>
      </c>
      <c r="BG210" s="34">
        <f>IF(AND(BG$5&gt;=$F210,BG$5&lt;=$G210),8,"")</f>
        <v/>
      </c>
      <c r="BH210" s="34">
        <f>IF(AND(BH$5&gt;=$F210,BH$5&lt;=$G210),8,"")</f>
        <v/>
      </c>
      <c r="BI210" s="34">
        <f>IF(AND(BI$5&gt;=$F210,BI$5&lt;=$G210),8,"")</f>
        <v/>
      </c>
      <c r="BJ210" s="34">
        <f>IF(AND(BJ$5&gt;=$F210,BJ$5&lt;=$G210),8,"")</f>
        <v/>
      </c>
      <c r="BK210" s="34">
        <f>IF(AND(BK$5&gt;=$F210,BK$5&lt;=$G210),8,"")</f>
        <v/>
      </c>
      <c r="BL210" s="34">
        <f>IF(AND(BL$5&gt;=$F210,BL$5&lt;=$G210),8,"")</f>
        <v/>
      </c>
      <c r="BM210" s="34">
        <f>IF(AND(BM$5&gt;=$F210,BM$5&lt;=$G210),8,"")</f>
        <v/>
      </c>
      <c r="BN210" s="34">
        <f>IF(AND(BN$5&gt;=$F210,BN$5&lt;=$G210),8,"")</f>
        <v/>
      </c>
    </row>
    <row r="211" ht="14.25" customHeight="1" s="36">
      <c r="A211" s="13" t="inlineStr">
        <is>
          <t>8 Operación y soporte</t>
        </is>
      </c>
      <c r="B211" s="13" t="inlineStr">
        <is>
          <t>8.2.5</t>
        </is>
      </c>
      <c r="C211" s="13" t="inlineStr">
        <is>
          <t>Actualizaciones anuales de los componentes de base durante los 36 meses de operación</t>
        </is>
      </c>
      <c r="D211" s="13" t="inlineStr">
        <is>
          <t>R</t>
        </is>
      </c>
      <c r="E211" s="13" t="inlineStr">
        <is>
          <t>Operación / SRE</t>
        </is>
      </c>
      <c r="F211" s="13" t="n">
        <v>21</v>
      </c>
      <c r="G211" s="13" t="n">
        <v>56</v>
      </c>
      <c r="H211" s="13">
        <f>G211-F211+1</f>
        <v/>
      </c>
      <c r="I211" s="31" t="n">
        <v>288</v>
      </c>
      <c r="J211" s="13" t="inlineStr">
        <is>
          <t>Esfuerzo continuo (por quincena u ocurrencia)</t>
        </is>
      </c>
      <c r="K211" s="34">
        <f>IF(AND(K$5&gt;=$F211,K$5&lt;=$G211),8,"")</f>
        <v/>
      </c>
      <c r="L211" s="34">
        <f>IF(AND(L$5&gt;=$F211,L$5&lt;=$G211),8,"")</f>
        <v/>
      </c>
      <c r="M211" s="34">
        <f>IF(AND(M$5&gt;=$F211,M$5&lt;=$G211),8,"")</f>
        <v/>
      </c>
      <c r="N211" s="34">
        <f>IF(AND(N$5&gt;=$F211,N$5&lt;=$G211),8,"")</f>
        <v/>
      </c>
      <c r="O211" s="34">
        <f>IF(AND(O$5&gt;=$F211,O$5&lt;=$G211),8,"")</f>
        <v/>
      </c>
      <c r="P211" s="34">
        <f>IF(AND(P$5&gt;=$F211,P$5&lt;=$G211),8,"")</f>
        <v/>
      </c>
      <c r="Q211" s="34">
        <f>IF(AND(Q$5&gt;=$F211,Q$5&lt;=$G211),8,"")</f>
        <v/>
      </c>
      <c r="R211" s="34">
        <f>IF(AND(R$5&gt;=$F211,R$5&lt;=$G211),8,"")</f>
        <v/>
      </c>
      <c r="S211" s="34">
        <f>IF(AND(S$5&gt;=$F211,S$5&lt;=$G211),8,"")</f>
        <v/>
      </c>
      <c r="T211" s="34">
        <f>IF(AND(T$5&gt;=$F211,T$5&lt;=$G211),8,"")</f>
        <v/>
      </c>
      <c r="U211" s="34">
        <f>IF(AND(U$5&gt;=$F211,U$5&lt;=$G211),8,"")</f>
        <v/>
      </c>
      <c r="V211" s="34">
        <f>IF(AND(V$5&gt;=$F211,V$5&lt;=$G211),8,"")</f>
        <v/>
      </c>
      <c r="W211" s="34">
        <f>IF(AND(W$5&gt;=$F211,W$5&lt;=$G211),8,"")</f>
        <v/>
      </c>
      <c r="X211" s="34">
        <f>IF(AND(X$5&gt;=$F211,X$5&lt;=$G211),8,"")</f>
        <v/>
      </c>
      <c r="Y211" s="34">
        <f>IF(AND(Y$5&gt;=$F211,Y$5&lt;=$G211),8,"")</f>
        <v/>
      </c>
      <c r="Z211" s="34">
        <f>IF(AND(Z$5&gt;=$F211,Z$5&lt;=$G211),8,"")</f>
        <v/>
      </c>
      <c r="AA211" s="34">
        <f>IF(AND(AA$5&gt;=$F211,AA$5&lt;=$G211),8,"")</f>
        <v/>
      </c>
      <c r="AB211" s="34">
        <f>IF(AND(AB$5&gt;=$F211,AB$5&lt;=$G211),8,"")</f>
        <v/>
      </c>
      <c r="AC211" s="34">
        <f>IF(AND(AC$5&gt;=$F211,AC$5&lt;=$G211),8,"")</f>
        <v/>
      </c>
      <c r="AD211" s="34">
        <f>IF(AND(AD$5&gt;=$F211,AD$5&lt;=$G211),8,"")</f>
        <v/>
      </c>
      <c r="AE211" s="34">
        <f>IF(AND(AE$5&gt;=$F211,AE$5&lt;=$G211),8,"")</f>
        <v/>
      </c>
      <c r="AF211" s="34">
        <f>IF(AND(AF$5&gt;=$F211,AF$5&lt;=$G211),8,"")</f>
        <v/>
      </c>
      <c r="AG211" s="34">
        <f>IF(AND(AG$5&gt;=$F211,AG$5&lt;=$G211),8,"")</f>
        <v/>
      </c>
      <c r="AH211" s="34">
        <f>IF(AND(AH$5&gt;=$F211,AH$5&lt;=$G211),8,"")</f>
        <v/>
      </c>
      <c r="AI211" s="34">
        <f>IF(AND(AI$5&gt;=$F211,AI$5&lt;=$G211),8,"")</f>
        <v/>
      </c>
      <c r="AJ211" s="34">
        <f>IF(AND(AJ$5&gt;=$F211,AJ$5&lt;=$G211),8,"")</f>
        <v/>
      </c>
      <c r="AK211" s="34">
        <f>IF(AND(AK$5&gt;=$F211,AK$5&lt;=$G211),8,"")</f>
        <v/>
      </c>
      <c r="AL211" s="34">
        <f>IF(AND(AL$5&gt;=$F211,AL$5&lt;=$G211),8,"")</f>
        <v/>
      </c>
      <c r="AM211" s="34">
        <f>IF(AND(AM$5&gt;=$F211,AM$5&lt;=$G211),8,"")</f>
        <v/>
      </c>
      <c r="AN211" s="34">
        <f>IF(AND(AN$5&gt;=$F211,AN$5&lt;=$G211),8,"")</f>
        <v/>
      </c>
      <c r="AO211" s="34">
        <f>IF(AND(AO$5&gt;=$F211,AO$5&lt;=$G211),8,"")</f>
        <v/>
      </c>
      <c r="AP211" s="34">
        <f>IF(AND(AP$5&gt;=$F211,AP$5&lt;=$G211),8,"")</f>
        <v/>
      </c>
      <c r="AQ211" s="34">
        <f>IF(AND(AQ$5&gt;=$F211,AQ$5&lt;=$G211),8,"")</f>
        <v/>
      </c>
      <c r="AR211" s="34">
        <f>IF(AND(AR$5&gt;=$F211,AR$5&lt;=$G211),8,"")</f>
        <v/>
      </c>
      <c r="AS211" s="34">
        <f>IF(AND(AS$5&gt;=$F211,AS$5&lt;=$G211),8,"")</f>
        <v/>
      </c>
      <c r="AT211" s="34">
        <f>IF(AND(AT$5&gt;=$F211,AT$5&lt;=$G211),8,"")</f>
        <v/>
      </c>
      <c r="AU211" s="34">
        <f>IF(AND(AU$5&gt;=$F211,AU$5&lt;=$G211),8,"")</f>
        <v/>
      </c>
      <c r="AV211" s="34">
        <f>IF(AND(AV$5&gt;=$F211,AV$5&lt;=$G211),8,"")</f>
        <v/>
      </c>
      <c r="AW211" s="34">
        <f>IF(AND(AW$5&gt;=$F211,AW$5&lt;=$G211),8,"")</f>
        <v/>
      </c>
      <c r="AX211" s="34">
        <f>IF(AND(AX$5&gt;=$F211,AX$5&lt;=$G211),8,"")</f>
        <v/>
      </c>
      <c r="AY211" s="34">
        <f>IF(AND(AY$5&gt;=$F211,AY$5&lt;=$G211),8,"")</f>
        <v/>
      </c>
      <c r="AZ211" s="34">
        <f>IF(AND(AZ$5&gt;=$F211,AZ$5&lt;=$G211),8,"")</f>
        <v/>
      </c>
      <c r="BA211" s="34">
        <f>IF(AND(BA$5&gt;=$F211,BA$5&lt;=$G211),8,"")</f>
        <v/>
      </c>
      <c r="BB211" s="34">
        <f>IF(AND(BB$5&gt;=$F211,BB$5&lt;=$G211),8,"")</f>
        <v/>
      </c>
      <c r="BC211" s="34">
        <f>IF(AND(BC$5&gt;=$F211,BC$5&lt;=$G211),8,"")</f>
        <v/>
      </c>
      <c r="BD211" s="34">
        <f>IF(AND(BD$5&gt;=$F211,BD$5&lt;=$G211),8,"")</f>
        <v/>
      </c>
      <c r="BE211" s="34">
        <f>IF(AND(BE$5&gt;=$F211,BE$5&lt;=$G211),8,"")</f>
        <v/>
      </c>
      <c r="BF211" s="34">
        <f>IF(AND(BF$5&gt;=$F211,BF$5&lt;=$G211),8,"")</f>
        <v/>
      </c>
      <c r="BG211" s="34">
        <f>IF(AND(BG$5&gt;=$F211,BG$5&lt;=$G211),8,"")</f>
        <v/>
      </c>
      <c r="BH211" s="34">
        <f>IF(AND(BH$5&gt;=$F211,BH$5&lt;=$G211),8,"")</f>
        <v/>
      </c>
      <c r="BI211" s="34">
        <f>IF(AND(BI$5&gt;=$F211,BI$5&lt;=$G211),8,"")</f>
        <v/>
      </c>
      <c r="BJ211" s="34">
        <f>IF(AND(BJ$5&gt;=$F211,BJ$5&lt;=$G211),8,"")</f>
        <v/>
      </c>
      <c r="BK211" s="34">
        <f>IF(AND(BK$5&gt;=$F211,BK$5&lt;=$G211),8,"")</f>
        <v/>
      </c>
      <c r="BL211" s="34">
        <f>IF(AND(BL$5&gt;=$F211,BL$5&lt;=$G211),8,"")</f>
        <v/>
      </c>
      <c r="BM211" s="34">
        <f>IF(AND(BM$5&gt;=$F211,BM$5&lt;=$G211),8,"")</f>
        <v/>
      </c>
      <c r="BN211" s="34">
        <f>IF(AND(BN$5&gt;=$F211,BN$5&lt;=$G211),8,"")</f>
        <v/>
      </c>
    </row>
    <row r="212" ht="14.25" customHeight="1" s="36">
      <c r="A212" s="13" t="inlineStr">
        <is>
          <t>8 Operación y soporte</t>
        </is>
      </c>
      <c r="B212" s="13" t="inlineStr">
        <is>
          <t>8.2.6</t>
        </is>
      </c>
      <c r="C212" s="13" t="inlineStr">
        <is>
          <t>Revisiones semestrales de las instalaciones eléctricas de la sala durante los 36 meses de operación</t>
        </is>
      </c>
      <c r="D212" s="13" t="inlineStr">
        <is>
          <t>R</t>
        </is>
      </c>
      <c r="E212" s="13" t="inlineStr">
        <is>
          <t>Operación / SRE</t>
        </is>
      </c>
      <c r="F212" s="13" t="n">
        <v>21</v>
      </c>
      <c r="G212" s="13" t="n">
        <v>56</v>
      </c>
      <c r="H212" s="13">
        <f>G212-F212+1</f>
        <v/>
      </c>
      <c r="I212" s="31" t="n">
        <v>288</v>
      </c>
      <c r="J212" s="13" t="inlineStr">
        <is>
          <t>Esfuerzo continuo (por quincena u ocurrencia)</t>
        </is>
      </c>
      <c r="K212" s="34">
        <f>IF(AND(K$5&gt;=$F212,K$5&lt;=$G212),8,"")</f>
        <v/>
      </c>
      <c r="L212" s="34">
        <f>IF(AND(L$5&gt;=$F212,L$5&lt;=$G212),8,"")</f>
        <v/>
      </c>
      <c r="M212" s="34">
        <f>IF(AND(M$5&gt;=$F212,M$5&lt;=$G212),8,"")</f>
        <v/>
      </c>
      <c r="N212" s="34">
        <f>IF(AND(N$5&gt;=$F212,N$5&lt;=$G212),8,"")</f>
        <v/>
      </c>
      <c r="O212" s="34">
        <f>IF(AND(O$5&gt;=$F212,O$5&lt;=$G212),8,"")</f>
        <v/>
      </c>
      <c r="P212" s="34">
        <f>IF(AND(P$5&gt;=$F212,P$5&lt;=$G212),8,"")</f>
        <v/>
      </c>
      <c r="Q212" s="34">
        <f>IF(AND(Q$5&gt;=$F212,Q$5&lt;=$G212),8,"")</f>
        <v/>
      </c>
      <c r="R212" s="34">
        <f>IF(AND(R$5&gt;=$F212,R$5&lt;=$G212),8,"")</f>
        <v/>
      </c>
      <c r="S212" s="34">
        <f>IF(AND(S$5&gt;=$F212,S$5&lt;=$G212),8,"")</f>
        <v/>
      </c>
      <c r="T212" s="34">
        <f>IF(AND(T$5&gt;=$F212,T$5&lt;=$G212),8,"")</f>
        <v/>
      </c>
      <c r="U212" s="34">
        <f>IF(AND(U$5&gt;=$F212,U$5&lt;=$G212),8,"")</f>
        <v/>
      </c>
      <c r="V212" s="34">
        <f>IF(AND(V$5&gt;=$F212,V$5&lt;=$G212),8,"")</f>
        <v/>
      </c>
      <c r="W212" s="34">
        <f>IF(AND(W$5&gt;=$F212,W$5&lt;=$G212),8,"")</f>
        <v/>
      </c>
      <c r="X212" s="34">
        <f>IF(AND(X$5&gt;=$F212,X$5&lt;=$G212),8,"")</f>
        <v/>
      </c>
      <c r="Y212" s="34">
        <f>IF(AND(Y$5&gt;=$F212,Y$5&lt;=$G212),8,"")</f>
        <v/>
      </c>
      <c r="Z212" s="34">
        <f>IF(AND(Z$5&gt;=$F212,Z$5&lt;=$G212),8,"")</f>
        <v/>
      </c>
      <c r="AA212" s="34">
        <f>IF(AND(AA$5&gt;=$F212,AA$5&lt;=$G212),8,"")</f>
        <v/>
      </c>
      <c r="AB212" s="34">
        <f>IF(AND(AB$5&gt;=$F212,AB$5&lt;=$G212),8,"")</f>
        <v/>
      </c>
      <c r="AC212" s="34">
        <f>IF(AND(AC$5&gt;=$F212,AC$5&lt;=$G212),8,"")</f>
        <v/>
      </c>
      <c r="AD212" s="34">
        <f>IF(AND(AD$5&gt;=$F212,AD$5&lt;=$G212),8,"")</f>
        <v/>
      </c>
      <c r="AE212" s="34">
        <f>IF(AND(AE$5&gt;=$F212,AE$5&lt;=$G212),8,"")</f>
        <v/>
      </c>
      <c r="AF212" s="34">
        <f>IF(AND(AF$5&gt;=$F212,AF$5&lt;=$G212),8,"")</f>
        <v/>
      </c>
      <c r="AG212" s="34">
        <f>IF(AND(AG$5&gt;=$F212,AG$5&lt;=$G212),8,"")</f>
        <v/>
      </c>
      <c r="AH212" s="34">
        <f>IF(AND(AH$5&gt;=$F212,AH$5&lt;=$G212),8,"")</f>
        <v/>
      </c>
      <c r="AI212" s="34">
        <f>IF(AND(AI$5&gt;=$F212,AI$5&lt;=$G212),8,"")</f>
        <v/>
      </c>
      <c r="AJ212" s="34">
        <f>IF(AND(AJ$5&gt;=$F212,AJ$5&lt;=$G212),8,"")</f>
        <v/>
      </c>
      <c r="AK212" s="34">
        <f>IF(AND(AK$5&gt;=$F212,AK$5&lt;=$G212),8,"")</f>
        <v/>
      </c>
      <c r="AL212" s="34">
        <f>IF(AND(AL$5&gt;=$F212,AL$5&lt;=$G212),8,"")</f>
        <v/>
      </c>
      <c r="AM212" s="34">
        <f>IF(AND(AM$5&gt;=$F212,AM$5&lt;=$G212),8,"")</f>
        <v/>
      </c>
      <c r="AN212" s="34">
        <f>IF(AND(AN$5&gt;=$F212,AN$5&lt;=$G212),8,"")</f>
        <v/>
      </c>
      <c r="AO212" s="34">
        <f>IF(AND(AO$5&gt;=$F212,AO$5&lt;=$G212),8,"")</f>
        <v/>
      </c>
      <c r="AP212" s="34">
        <f>IF(AND(AP$5&gt;=$F212,AP$5&lt;=$G212),8,"")</f>
        <v/>
      </c>
      <c r="AQ212" s="34">
        <f>IF(AND(AQ$5&gt;=$F212,AQ$5&lt;=$G212),8,"")</f>
        <v/>
      </c>
      <c r="AR212" s="34">
        <f>IF(AND(AR$5&gt;=$F212,AR$5&lt;=$G212),8,"")</f>
        <v/>
      </c>
      <c r="AS212" s="34">
        <f>IF(AND(AS$5&gt;=$F212,AS$5&lt;=$G212),8,"")</f>
        <v/>
      </c>
      <c r="AT212" s="34">
        <f>IF(AND(AT$5&gt;=$F212,AT$5&lt;=$G212),8,"")</f>
        <v/>
      </c>
      <c r="AU212" s="34">
        <f>IF(AND(AU$5&gt;=$F212,AU$5&lt;=$G212),8,"")</f>
        <v/>
      </c>
      <c r="AV212" s="34">
        <f>IF(AND(AV$5&gt;=$F212,AV$5&lt;=$G212),8,"")</f>
        <v/>
      </c>
      <c r="AW212" s="34">
        <f>IF(AND(AW$5&gt;=$F212,AW$5&lt;=$G212),8,"")</f>
        <v/>
      </c>
      <c r="AX212" s="34">
        <f>IF(AND(AX$5&gt;=$F212,AX$5&lt;=$G212),8,"")</f>
        <v/>
      </c>
      <c r="AY212" s="34">
        <f>IF(AND(AY$5&gt;=$F212,AY$5&lt;=$G212),8,"")</f>
        <v/>
      </c>
      <c r="AZ212" s="34">
        <f>IF(AND(AZ$5&gt;=$F212,AZ$5&lt;=$G212),8,"")</f>
        <v/>
      </c>
      <c r="BA212" s="34">
        <f>IF(AND(BA$5&gt;=$F212,BA$5&lt;=$G212),8,"")</f>
        <v/>
      </c>
      <c r="BB212" s="34">
        <f>IF(AND(BB$5&gt;=$F212,BB$5&lt;=$G212),8,"")</f>
        <v/>
      </c>
      <c r="BC212" s="34">
        <f>IF(AND(BC$5&gt;=$F212,BC$5&lt;=$G212),8,"")</f>
        <v/>
      </c>
      <c r="BD212" s="34">
        <f>IF(AND(BD$5&gt;=$F212,BD$5&lt;=$G212),8,"")</f>
        <v/>
      </c>
      <c r="BE212" s="34">
        <f>IF(AND(BE$5&gt;=$F212,BE$5&lt;=$G212),8,"")</f>
        <v/>
      </c>
      <c r="BF212" s="34">
        <f>IF(AND(BF$5&gt;=$F212,BF$5&lt;=$G212),8,"")</f>
        <v/>
      </c>
      <c r="BG212" s="34">
        <f>IF(AND(BG$5&gt;=$F212,BG$5&lt;=$G212),8,"")</f>
        <v/>
      </c>
      <c r="BH212" s="34">
        <f>IF(AND(BH$5&gt;=$F212,BH$5&lt;=$G212),8,"")</f>
        <v/>
      </c>
      <c r="BI212" s="34">
        <f>IF(AND(BI$5&gt;=$F212,BI$5&lt;=$G212),8,"")</f>
        <v/>
      </c>
      <c r="BJ212" s="34">
        <f>IF(AND(BJ$5&gt;=$F212,BJ$5&lt;=$G212),8,"")</f>
        <v/>
      </c>
      <c r="BK212" s="34">
        <f>IF(AND(BK$5&gt;=$F212,BK$5&lt;=$G212),8,"")</f>
        <v/>
      </c>
      <c r="BL212" s="34">
        <f>IF(AND(BL$5&gt;=$F212,BL$5&lt;=$G212),8,"")</f>
        <v/>
      </c>
      <c r="BM212" s="34">
        <f>IF(AND(BM$5&gt;=$F212,BM$5&lt;=$G212),8,"")</f>
        <v/>
      </c>
      <c r="BN212" s="34">
        <f>IF(AND(BN$5&gt;=$F212,BN$5&lt;=$G212),8,"")</f>
        <v/>
      </c>
    </row>
    <row r="213" ht="14.25" customHeight="1" s="36">
      <c r="A213" s="13" t="inlineStr">
        <is>
          <t>8 Operación y soporte</t>
        </is>
      </c>
      <c r="B213" s="13" t="inlineStr">
        <is>
          <t>8.2.7</t>
        </is>
      </c>
      <c r="C213" s="13" t="inlineStr">
        <is>
          <t>Ciclo de vida del equipamiento durante los 36 meses de operación: reposición y disposición final</t>
        </is>
      </c>
      <c r="D213" s="13" t="inlineStr">
        <is>
          <t>R</t>
        </is>
      </c>
      <c r="E213" s="13" t="inlineStr">
        <is>
          <t>Operación / SRE</t>
        </is>
      </c>
      <c r="F213" s="13" t="n">
        <v>21</v>
      </c>
      <c r="G213" s="13" t="n">
        <v>56</v>
      </c>
      <c r="H213" s="13">
        <f>G213-F213+1</f>
        <v/>
      </c>
      <c r="I213" s="31" t="n">
        <v>864</v>
      </c>
      <c r="J213" s="13" t="inlineStr">
        <is>
          <t>Esfuerzo continuo (por quincena u ocurrencia)</t>
        </is>
      </c>
      <c r="K213" s="34">
        <f>IF(AND(K$5&gt;=$F213,K$5&lt;=$G213),8,"")</f>
        <v/>
      </c>
      <c r="L213" s="34">
        <f>IF(AND(L$5&gt;=$F213,L$5&lt;=$G213),8,"")</f>
        <v/>
      </c>
      <c r="M213" s="34">
        <f>IF(AND(M$5&gt;=$F213,M$5&lt;=$G213),8,"")</f>
        <v/>
      </c>
      <c r="N213" s="34">
        <f>IF(AND(N$5&gt;=$F213,N$5&lt;=$G213),8,"")</f>
        <v/>
      </c>
      <c r="O213" s="34">
        <f>IF(AND(O$5&gt;=$F213,O$5&lt;=$G213),8,"")</f>
        <v/>
      </c>
      <c r="P213" s="34">
        <f>IF(AND(P$5&gt;=$F213,P$5&lt;=$G213),8,"")</f>
        <v/>
      </c>
      <c r="Q213" s="34">
        <f>IF(AND(Q$5&gt;=$F213,Q$5&lt;=$G213),8,"")</f>
        <v/>
      </c>
      <c r="R213" s="34">
        <f>IF(AND(R$5&gt;=$F213,R$5&lt;=$G213),8,"")</f>
        <v/>
      </c>
      <c r="S213" s="34">
        <f>IF(AND(S$5&gt;=$F213,S$5&lt;=$G213),8,"")</f>
        <v/>
      </c>
      <c r="T213" s="34">
        <f>IF(AND(T$5&gt;=$F213,T$5&lt;=$G213),8,"")</f>
        <v/>
      </c>
      <c r="U213" s="34">
        <f>IF(AND(U$5&gt;=$F213,U$5&lt;=$G213),8,"")</f>
        <v/>
      </c>
      <c r="V213" s="34">
        <f>IF(AND(V$5&gt;=$F213,V$5&lt;=$G213),8,"")</f>
        <v/>
      </c>
      <c r="W213" s="34">
        <f>IF(AND(W$5&gt;=$F213,W$5&lt;=$G213),8,"")</f>
        <v/>
      </c>
      <c r="X213" s="34">
        <f>IF(AND(X$5&gt;=$F213,X$5&lt;=$G213),8,"")</f>
        <v/>
      </c>
      <c r="Y213" s="34">
        <f>IF(AND(Y$5&gt;=$F213,Y$5&lt;=$G213),8,"")</f>
        <v/>
      </c>
      <c r="Z213" s="34">
        <f>IF(AND(Z$5&gt;=$F213,Z$5&lt;=$G213),8,"")</f>
        <v/>
      </c>
      <c r="AA213" s="34">
        <f>IF(AND(AA$5&gt;=$F213,AA$5&lt;=$G213),8,"")</f>
        <v/>
      </c>
      <c r="AB213" s="34">
        <f>IF(AND(AB$5&gt;=$F213,AB$5&lt;=$G213),8,"")</f>
        <v/>
      </c>
      <c r="AC213" s="34">
        <f>IF(AND(AC$5&gt;=$F213,AC$5&lt;=$G213),8,"")</f>
        <v/>
      </c>
      <c r="AD213" s="34">
        <f>IF(AND(AD$5&gt;=$F213,AD$5&lt;=$G213),8,"")</f>
        <v/>
      </c>
      <c r="AE213" s="34">
        <f>IF(AND(AE$5&gt;=$F213,AE$5&lt;=$G213),8,"")</f>
        <v/>
      </c>
      <c r="AF213" s="34">
        <f>IF(AND(AF$5&gt;=$F213,AF$5&lt;=$G213),8,"")</f>
        <v/>
      </c>
      <c r="AG213" s="34">
        <f>IF(AND(AG$5&gt;=$F213,AG$5&lt;=$G213),8,"")</f>
        <v/>
      </c>
      <c r="AH213" s="34">
        <f>IF(AND(AH$5&gt;=$F213,AH$5&lt;=$G213),8,"")</f>
        <v/>
      </c>
      <c r="AI213" s="34">
        <f>IF(AND(AI$5&gt;=$F213,AI$5&lt;=$G213),8,"")</f>
        <v/>
      </c>
      <c r="AJ213" s="34">
        <f>IF(AND(AJ$5&gt;=$F213,AJ$5&lt;=$G213),8,"")</f>
        <v/>
      </c>
      <c r="AK213" s="34">
        <f>IF(AND(AK$5&gt;=$F213,AK$5&lt;=$G213),8,"")</f>
        <v/>
      </c>
      <c r="AL213" s="34">
        <f>IF(AND(AL$5&gt;=$F213,AL$5&lt;=$G213),8,"")</f>
        <v/>
      </c>
      <c r="AM213" s="34">
        <f>IF(AND(AM$5&gt;=$F213,AM$5&lt;=$G213),8,"")</f>
        <v/>
      </c>
      <c r="AN213" s="34">
        <f>IF(AND(AN$5&gt;=$F213,AN$5&lt;=$G213),8,"")</f>
        <v/>
      </c>
      <c r="AO213" s="34">
        <f>IF(AND(AO$5&gt;=$F213,AO$5&lt;=$G213),8,"")</f>
        <v/>
      </c>
      <c r="AP213" s="34">
        <f>IF(AND(AP$5&gt;=$F213,AP$5&lt;=$G213),8,"")</f>
        <v/>
      </c>
      <c r="AQ213" s="34">
        <f>IF(AND(AQ$5&gt;=$F213,AQ$5&lt;=$G213),8,"")</f>
        <v/>
      </c>
      <c r="AR213" s="34">
        <f>IF(AND(AR$5&gt;=$F213,AR$5&lt;=$G213),8,"")</f>
        <v/>
      </c>
      <c r="AS213" s="34">
        <f>IF(AND(AS$5&gt;=$F213,AS$5&lt;=$G213),8,"")</f>
        <v/>
      </c>
      <c r="AT213" s="34">
        <f>IF(AND(AT$5&gt;=$F213,AT$5&lt;=$G213),8,"")</f>
        <v/>
      </c>
      <c r="AU213" s="34">
        <f>IF(AND(AU$5&gt;=$F213,AU$5&lt;=$G213),8,"")</f>
        <v/>
      </c>
      <c r="AV213" s="34">
        <f>IF(AND(AV$5&gt;=$F213,AV$5&lt;=$G213),8,"")</f>
        <v/>
      </c>
      <c r="AW213" s="34">
        <f>IF(AND(AW$5&gt;=$F213,AW$5&lt;=$G213),8,"")</f>
        <v/>
      </c>
      <c r="AX213" s="34">
        <f>IF(AND(AX$5&gt;=$F213,AX$5&lt;=$G213),8,"")</f>
        <v/>
      </c>
      <c r="AY213" s="34">
        <f>IF(AND(AY$5&gt;=$F213,AY$5&lt;=$G213),8,"")</f>
        <v/>
      </c>
      <c r="AZ213" s="34">
        <f>IF(AND(AZ$5&gt;=$F213,AZ$5&lt;=$G213),8,"")</f>
        <v/>
      </c>
      <c r="BA213" s="34">
        <f>IF(AND(BA$5&gt;=$F213,BA$5&lt;=$G213),8,"")</f>
        <v/>
      </c>
      <c r="BB213" s="34">
        <f>IF(AND(BB$5&gt;=$F213,BB$5&lt;=$G213),8,"")</f>
        <v/>
      </c>
      <c r="BC213" s="34">
        <f>IF(AND(BC$5&gt;=$F213,BC$5&lt;=$G213),8,"")</f>
        <v/>
      </c>
      <c r="BD213" s="34">
        <f>IF(AND(BD$5&gt;=$F213,BD$5&lt;=$G213),8,"")</f>
        <v/>
      </c>
      <c r="BE213" s="34">
        <f>IF(AND(BE$5&gt;=$F213,BE$5&lt;=$G213),8,"")</f>
        <v/>
      </c>
      <c r="BF213" s="34">
        <f>IF(AND(BF$5&gt;=$F213,BF$5&lt;=$G213),8,"")</f>
        <v/>
      </c>
      <c r="BG213" s="34">
        <f>IF(AND(BG$5&gt;=$F213,BG$5&lt;=$G213),8,"")</f>
        <v/>
      </c>
      <c r="BH213" s="34">
        <f>IF(AND(BH$5&gt;=$F213,BH$5&lt;=$G213),8,"")</f>
        <v/>
      </c>
      <c r="BI213" s="34">
        <f>IF(AND(BI$5&gt;=$F213,BI$5&lt;=$G213),8,"")</f>
        <v/>
      </c>
      <c r="BJ213" s="34">
        <f>IF(AND(BJ$5&gt;=$F213,BJ$5&lt;=$G213),8,"")</f>
        <v/>
      </c>
      <c r="BK213" s="34">
        <f>IF(AND(BK$5&gt;=$F213,BK$5&lt;=$G213),8,"")</f>
        <v/>
      </c>
      <c r="BL213" s="34">
        <f>IF(AND(BL$5&gt;=$F213,BL$5&lt;=$G213),8,"")</f>
        <v/>
      </c>
      <c r="BM213" s="34">
        <f>IF(AND(BM$5&gt;=$F213,BM$5&lt;=$G213),8,"")</f>
        <v/>
      </c>
      <c r="BN213" s="34">
        <f>IF(AND(BN$5&gt;=$F213,BN$5&lt;=$G213),8,"")</f>
        <v/>
      </c>
    </row>
    <row r="214" ht="14.25" customHeight="1" s="36">
      <c r="A214" s="13" t="inlineStr">
        <is>
          <t>8 Operación y soporte</t>
        </is>
      </c>
      <c r="B214" s="13" t="inlineStr">
        <is>
          <t>8.3.1</t>
        </is>
      </c>
      <c r="C214" s="13" t="inlineStr">
        <is>
          <t>Innovación 2: mantenimiento de escenarios de regresión (INN-02.P4, segunda parte)</t>
        </is>
      </c>
      <c r="D214" s="13" t="inlineStr">
        <is>
          <t>R</t>
        </is>
      </c>
      <c r="E214" s="13" t="inlineStr">
        <is>
          <t>Calidad y pruebas</t>
        </is>
      </c>
      <c r="F214" s="13" t="n">
        <v>21</v>
      </c>
      <c r="G214" s="13" t="n">
        <v>56</v>
      </c>
      <c r="H214" s="13">
        <f>G214-F214+1</f>
        <v/>
      </c>
      <c r="I214" s="31" t="n">
        <v>576</v>
      </c>
      <c r="J214" s="13" t="inlineStr">
        <is>
          <t>Esfuerzo continuo (por quincena u ocurrencia)</t>
        </is>
      </c>
      <c r="K214" s="34">
        <f>IF(AND(K$5&gt;=$F214,K$5&lt;=$G214),8,"")</f>
        <v/>
      </c>
      <c r="L214" s="34">
        <f>IF(AND(L$5&gt;=$F214,L$5&lt;=$G214),8,"")</f>
        <v/>
      </c>
      <c r="M214" s="34">
        <f>IF(AND(M$5&gt;=$F214,M$5&lt;=$G214),8,"")</f>
        <v/>
      </c>
      <c r="N214" s="34">
        <f>IF(AND(N$5&gt;=$F214,N$5&lt;=$G214),8,"")</f>
        <v/>
      </c>
      <c r="O214" s="34">
        <f>IF(AND(O$5&gt;=$F214,O$5&lt;=$G214),8,"")</f>
        <v/>
      </c>
      <c r="P214" s="34">
        <f>IF(AND(P$5&gt;=$F214,P$5&lt;=$G214),8,"")</f>
        <v/>
      </c>
      <c r="Q214" s="34">
        <f>IF(AND(Q$5&gt;=$F214,Q$5&lt;=$G214),8,"")</f>
        <v/>
      </c>
      <c r="R214" s="34">
        <f>IF(AND(R$5&gt;=$F214,R$5&lt;=$G214),8,"")</f>
        <v/>
      </c>
      <c r="S214" s="34">
        <f>IF(AND(S$5&gt;=$F214,S$5&lt;=$G214),8,"")</f>
        <v/>
      </c>
      <c r="T214" s="34">
        <f>IF(AND(T$5&gt;=$F214,T$5&lt;=$G214),8,"")</f>
        <v/>
      </c>
      <c r="U214" s="34">
        <f>IF(AND(U$5&gt;=$F214,U$5&lt;=$G214),8,"")</f>
        <v/>
      </c>
      <c r="V214" s="34">
        <f>IF(AND(V$5&gt;=$F214,V$5&lt;=$G214),8,"")</f>
        <v/>
      </c>
      <c r="W214" s="34">
        <f>IF(AND(W$5&gt;=$F214,W$5&lt;=$G214),8,"")</f>
        <v/>
      </c>
      <c r="X214" s="34">
        <f>IF(AND(X$5&gt;=$F214,X$5&lt;=$G214),8,"")</f>
        <v/>
      </c>
      <c r="Y214" s="34">
        <f>IF(AND(Y$5&gt;=$F214,Y$5&lt;=$G214),8,"")</f>
        <v/>
      </c>
      <c r="Z214" s="34">
        <f>IF(AND(Z$5&gt;=$F214,Z$5&lt;=$G214),8,"")</f>
        <v/>
      </c>
      <c r="AA214" s="34">
        <f>IF(AND(AA$5&gt;=$F214,AA$5&lt;=$G214),8,"")</f>
        <v/>
      </c>
      <c r="AB214" s="34">
        <f>IF(AND(AB$5&gt;=$F214,AB$5&lt;=$G214),8,"")</f>
        <v/>
      </c>
      <c r="AC214" s="34">
        <f>IF(AND(AC$5&gt;=$F214,AC$5&lt;=$G214),8,"")</f>
        <v/>
      </c>
      <c r="AD214" s="34">
        <f>IF(AND(AD$5&gt;=$F214,AD$5&lt;=$G214),8,"")</f>
        <v/>
      </c>
      <c r="AE214" s="34">
        <f>IF(AND(AE$5&gt;=$F214,AE$5&lt;=$G214),8,"")</f>
        <v/>
      </c>
      <c r="AF214" s="34">
        <f>IF(AND(AF$5&gt;=$F214,AF$5&lt;=$G214),8,"")</f>
        <v/>
      </c>
      <c r="AG214" s="34">
        <f>IF(AND(AG$5&gt;=$F214,AG$5&lt;=$G214),8,"")</f>
        <v/>
      </c>
      <c r="AH214" s="34">
        <f>IF(AND(AH$5&gt;=$F214,AH$5&lt;=$G214),8,"")</f>
        <v/>
      </c>
      <c r="AI214" s="34">
        <f>IF(AND(AI$5&gt;=$F214,AI$5&lt;=$G214),8,"")</f>
        <v/>
      </c>
      <c r="AJ214" s="34">
        <f>IF(AND(AJ$5&gt;=$F214,AJ$5&lt;=$G214),8,"")</f>
        <v/>
      </c>
      <c r="AK214" s="34">
        <f>IF(AND(AK$5&gt;=$F214,AK$5&lt;=$G214),8,"")</f>
        <v/>
      </c>
      <c r="AL214" s="34">
        <f>IF(AND(AL$5&gt;=$F214,AL$5&lt;=$G214),8,"")</f>
        <v/>
      </c>
      <c r="AM214" s="34">
        <f>IF(AND(AM$5&gt;=$F214,AM$5&lt;=$G214),8,"")</f>
        <v/>
      </c>
      <c r="AN214" s="34">
        <f>IF(AND(AN$5&gt;=$F214,AN$5&lt;=$G214),8,"")</f>
        <v/>
      </c>
      <c r="AO214" s="34">
        <f>IF(AND(AO$5&gt;=$F214,AO$5&lt;=$G214),8,"")</f>
        <v/>
      </c>
      <c r="AP214" s="34">
        <f>IF(AND(AP$5&gt;=$F214,AP$5&lt;=$G214),8,"")</f>
        <v/>
      </c>
      <c r="AQ214" s="34">
        <f>IF(AND(AQ$5&gt;=$F214,AQ$5&lt;=$G214),8,"")</f>
        <v/>
      </c>
      <c r="AR214" s="34">
        <f>IF(AND(AR$5&gt;=$F214,AR$5&lt;=$G214),8,"")</f>
        <v/>
      </c>
      <c r="AS214" s="34">
        <f>IF(AND(AS$5&gt;=$F214,AS$5&lt;=$G214),8,"")</f>
        <v/>
      </c>
      <c r="AT214" s="34">
        <f>IF(AND(AT$5&gt;=$F214,AT$5&lt;=$G214),8,"")</f>
        <v/>
      </c>
      <c r="AU214" s="34">
        <f>IF(AND(AU$5&gt;=$F214,AU$5&lt;=$G214),8,"")</f>
        <v/>
      </c>
      <c r="AV214" s="34">
        <f>IF(AND(AV$5&gt;=$F214,AV$5&lt;=$G214),8,"")</f>
        <v/>
      </c>
      <c r="AW214" s="34">
        <f>IF(AND(AW$5&gt;=$F214,AW$5&lt;=$G214),8,"")</f>
        <v/>
      </c>
      <c r="AX214" s="34">
        <f>IF(AND(AX$5&gt;=$F214,AX$5&lt;=$G214),8,"")</f>
        <v/>
      </c>
      <c r="AY214" s="34">
        <f>IF(AND(AY$5&gt;=$F214,AY$5&lt;=$G214),8,"")</f>
        <v/>
      </c>
      <c r="AZ214" s="34">
        <f>IF(AND(AZ$5&gt;=$F214,AZ$5&lt;=$G214),8,"")</f>
        <v/>
      </c>
      <c r="BA214" s="34">
        <f>IF(AND(BA$5&gt;=$F214,BA$5&lt;=$G214),8,"")</f>
        <v/>
      </c>
      <c r="BB214" s="34">
        <f>IF(AND(BB$5&gt;=$F214,BB$5&lt;=$G214),8,"")</f>
        <v/>
      </c>
      <c r="BC214" s="34">
        <f>IF(AND(BC$5&gt;=$F214,BC$5&lt;=$G214),8,"")</f>
        <v/>
      </c>
      <c r="BD214" s="34">
        <f>IF(AND(BD$5&gt;=$F214,BD$5&lt;=$G214),8,"")</f>
        <v/>
      </c>
      <c r="BE214" s="34">
        <f>IF(AND(BE$5&gt;=$F214,BE$5&lt;=$G214),8,"")</f>
        <v/>
      </c>
      <c r="BF214" s="34">
        <f>IF(AND(BF$5&gt;=$F214,BF$5&lt;=$G214),8,"")</f>
        <v/>
      </c>
      <c r="BG214" s="34">
        <f>IF(AND(BG$5&gt;=$F214,BG$5&lt;=$G214),8,"")</f>
        <v/>
      </c>
      <c r="BH214" s="34">
        <f>IF(AND(BH$5&gt;=$F214,BH$5&lt;=$G214),8,"")</f>
        <v/>
      </c>
      <c r="BI214" s="34">
        <f>IF(AND(BI$5&gt;=$F214,BI$5&lt;=$G214),8,"")</f>
        <v/>
      </c>
      <c r="BJ214" s="34">
        <f>IF(AND(BJ$5&gt;=$F214,BJ$5&lt;=$G214),8,"")</f>
        <v/>
      </c>
      <c r="BK214" s="34">
        <f>IF(AND(BK$5&gt;=$F214,BK$5&lt;=$G214),8,"")</f>
        <v/>
      </c>
      <c r="BL214" s="34">
        <f>IF(AND(BL$5&gt;=$F214,BL$5&lt;=$G214),8,"")</f>
        <v/>
      </c>
      <c r="BM214" s="34">
        <f>IF(AND(BM$5&gt;=$F214,BM$5&lt;=$G214),8,"")</f>
        <v/>
      </c>
      <c r="BN214" s="34">
        <f>IF(AND(BN$5&gt;=$F214,BN$5&lt;=$G214),8,"")</f>
        <v/>
      </c>
    </row>
    <row r="215" ht="14.25" customHeight="1" s="36">
      <c r="A215" s="13" t="inlineStr">
        <is>
          <t>8 Operación y soporte</t>
        </is>
      </c>
      <c r="B215" s="13" t="inlineStr">
        <is>
          <t>8.3.2</t>
        </is>
      </c>
      <c r="C215" s="13" t="inlineStr">
        <is>
          <t>Innovación 3: revisión semestral de parámetros durante los 36 meses de operación (INN-03.P5)</t>
        </is>
      </c>
      <c r="D215" s="13" t="inlineStr">
        <is>
          <t>R</t>
        </is>
      </c>
      <c r="E215" s="13" t="inlineStr">
        <is>
          <t>Datos</t>
        </is>
      </c>
      <c r="F215" s="13" t="n">
        <v>21</v>
      </c>
      <c r="G215" s="13" t="n">
        <v>56</v>
      </c>
      <c r="H215" s="13">
        <f>G215-F215+1</f>
        <v/>
      </c>
      <c r="I215" s="31" t="n">
        <v>288</v>
      </c>
      <c r="J215" s="13" t="inlineStr">
        <is>
          <t>Esfuerzo continuo (por quincena u ocurrencia)</t>
        </is>
      </c>
      <c r="K215" s="34">
        <f>IF(AND(K$5&gt;=$F215,K$5&lt;=$G215),8,"")</f>
        <v/>
      </c>
      <c r="L215" s="34">
        <f>IF(AND(L$5&gt;=$F215,L$5&lt;=$G215),8,"")</f>
        <v/>
      </c>
      <c r="M215" s="34">
        <f>IF(AND(M$5&gt;=$F215,M$5&lt;=$G215),8,"")</f>
        <v/>
      </c>
      <c r="N215" s="34">
        <f>IF(AND(N$5&gt;=$F215,N$5&lt;=$G215),8,"")</f>
        <v/>
      </c>
      <c r="O215" s="34">
        <f>IF(AND(O$5&gt;=$F215,O$5&lt;=$G215),8,"")</f>
        <v/>
      </c>
      <c r="P215" s="34">
        <f>IF(AND(P$5&gt;=$F215,P$5&lt;=$G215),8,"")</f>
        <v/>
      </c>
      <c r="Q215" s="34">
        <f>IF(AND(Q$5&gt;=$F215,Q$5&lt;=$G215),8,"")</f>
        <v/>
      </c>
      <c r="R215" s="34">
        <f>IF(AND(R$5&gt;=$F215,R$5&lt;=$G215),8,"")</f>
        <v/>
      </c>
      <c r="S215" s="34">
        <f>IF(AND(S$5&gt;=$F215,S$5&lt;=$G215),8,"")</f>
        <v/>
      </c>
      <c r="T215" s="34">
        <f>IF(AND(T$5&gt;=$F215,T$5&lt;=$G215),8,"")</f>
        <v/>
      </c>
      <c r="U215" s="34">
        <f>IF(AND(U$5&gt;=$F215,U$5&lt;=$G215),8,"")</f>
        <v/>
      </c>
      <c r="V215" s="34">
        <f>IF(AND(V$5&gt;=$F215,V$5&lt;=$G215),8,"")</f>
        <v/>
      </c>
      <c r="W215" s="34">
        <f>IF(AND(W$5&gt;=$F215,W$5&lt;=$G215),8,"")</f>
        <v/>
      </c>
      <c r="X215" s="34">
        <f>IF(AND(X$5&gt;=$F215,X$5&lt;=$G215),8,"")</f>
        <v/>
      </c>
      <c r="Y215" s="34">
        <f>IF(AND(Y$5&gt;=$F215,Y$5&lt;=$G215),8,"")</f>
        <v/>
      </c>
      <c r="Z215" s="34">
        <f>IF(AND(Z$5&gt;=$F215,Z$5&lt;=$G215),8,"")</f>
        <v/>
      </c>
      <c r="AA215" s="34">
        <f>IF(AND(AA$5&gt;=$F215,AA$5&lt;=$G215),8,"")</f>
        <v/>
      </c>
      <c r="AB215" s="34">
        <f>IF(AND(AB$5&gt;=$F215,AB$5&lt;=$G215),8,"")</f>
        <v/>
      </c>
      <c r="AC215" s="34">
        <f>IF(AND(AC$5&gt;=$F215,AC$5&lt;=$G215),8,"")</f>
        <v/>
      </c>
      <c r="AD215" s="34">
        <f>IF(AND(AD$5&gt;=$F215,AD$5&lt;=$G215),8,"")</f>
        <v/>
      </c>
      <c r="AE215" s="34">
        <f>IF(AND(AE$5&gt;=$F215,AE$5&lt;=$G215),8,"")</f>
        <v/>
      </c>
      <c r="AF215" s="34">
        <f>IF(AND(AF$5&gt;=$F215,AF$5&lt;=$G215),8,"")</f>
        <v/>
      </c>
      <c r="AG215" s="34">
        <f>IF(AND(AG$5&gt;=$F215,AG$5&lt;=$G215),8,"")</f>
        <v/>
      </c>
      <c r="AH215" s="34">
        <f>IF(AND(AH$5&gt;=$F215,AH$5&lt;=$G215),8,"")</f>
        <v/>
      </c>
      <c r="AI215" s="34">
        <f>IF(AND(AI$5&gt;=$F215,AI$5&lt;=$G215),8,"")</f>
        <v/>
      </c>
      <c r="AJ215" s="34">
        <f>IF(AND(AJ$5&gt;=$F215,AJ$5&lt;=$G215),8,"")</f>
        <v/>
      </c>
      <c r="AK215" s="34">
        <f>IF(AND(AK$5&gt;=$F215,AK$5&lt;=$G215),8,"")</f>
        <v/>
      </c>
      <c r="AL215" s="34">
        <f>IF(AND(AL$5&gt;=$F215,AL$5&lt;=$G215),8,"")</f>
        <v/>
      </c>
      <c r="AM215" s="34">
        <f>IF(AND(AM$5&gt;=$F215,AM$5&lt;=$G215),8,"")</f>
        <v/>
      </c>
      <c r="AN215" s="34">
        <f>IF(AND(AN$5&gt;=$F215,AN$5&lt;=$G215),8,"")</f>
        <v/>
      </c>
      <c r="AO215" s="34">
        <f>IF(AND(AO$5&gt;=$F215,AO$5&lt;=$G215),8,"")</f>
        <v/>
      </c>
      <c r="AP215" s="34">
        <f>IF(AND(AP$5&gt;=$F215,AP$5&lt;=$G215),8,"")</f>
        <v/>
      </c>
      <c r="AQ215" s="34">
        <f>IF(AND(AQ$5&gt;=$F215,AQ$5&lt;=$G215),8,"")</f>
        <v/>
      </c>
      <c r="AR215" s="34">
        <f>IF(AND(AR$5&gt;=$F215,AR$5&lt;=$G215),8,"")</f>
        <v/>
      </c>
      <c r="AS215" s="34">
        <f>IF(AND(AS$5&gt;=$F215,AS$5&lt;=$G215),8,"")</f>
        <v/>
      </c>
      <c r="AT215" s="34">
        <f>IF(AND(AT$5&gt;=$F215,AT$5&lt;=$G215),8,"")</f>
        <v/>
      </c>
      <c r="AU215" s="34">
        <f>IF(AND(AU$5&gt;=$F215,AU$5&lt;=$G215),8,"")</f>
        <v/>
      </c>
      <c r="AV215" s="34">
        <f>IF(AND(AV$5&gt;=$F215,AV$5&lt;=$G215),8,"")</f>
        <v/>
      </c>
      <c r="AW215" s="34">
        <f>IF(AND(AW$5&gt;=$F215,AW$5&lt;=$G215),8,"")</f>
        <v/>
      </c>
      <c r="AX215" s="34">
        <f>IF(AND(AX$5&gt;=$F215,AX$5&lt;=$G215),8,"")</f>
        <v/>
      </c>
      <c r="AY215" s="34">
        <f>IF(AND(AY$5&gt;=$F215,AY$5&lt;=$G215),8,"")</f>
        <v/>
      </c>
      <c r="AZ215" s="34">
        <f>IF(AND(AZ$5&gt;=$F215,AZ$5&lt;=$G215),8,"")</f>
        <v/>
      </c>
      <c r="BA215" s="34">
        <f>IF(AND(BA$5&gt;=$F215,BA$5&lt;=$G215),8,"")</f>
        <v/>
      </c>
      <c r="BB215" s="34">
        <f>IF(AND(BB$5&gt;=$F215,BB$5&lt;=$G215),8,"")</f>
        <v/>
      </c>
      <c r="BC215" s="34">
        <f>IF(AND(BC$5&gt;=$F215,BC$5&lt;=$G215),8,"")</f>
        <v/>
      </c>
      <c r="BD215" s="34">
        <f>IF(AND(BD$5&gt;=$F215,BD$5&lt;=$G215),8,"")</f>
        <v/>
      </c>
      <c r="BE215" s="34">
        <f>IF(AND(BE$5&gt;=$F215,BE$5&lt;=$G215),8,"")</f>
        <v/>
      </c>
      <c r="BF215" s="34">
        <f>IF(AND(BF$5&gt;=$F215,BF$5&lt;=$G215),8,"")</f>
        <v/>
      </c>
      <c r="BG215" s="34">
        <f>IF(AND(BG$5&gt;=$F215,BG$5&lt;=$G215),8,"")</f>
        <v/>
      </c>
      <c r="BH215" s="34">
        <f>IF(AND(BH$5&gt;=$F215,BH$5&lt;=$G215),8,"")</f>
        <v/>
      </c>
      <c r="BI215" s="34">
        <f>IF(AND(BI$5&gt;=$F215,BI$5&lt;=$G215),8,"")</f>
        <v/>
      </c>
      <c r="BJ215" s="34">
        <f>IF(AND(BJ$5&gt;=$F215,BJ$5&lt;=$G215),8,"")</f>
        <v/>
      </c>
      <c r="BK215" s="34">
        <f>IF(AND(BK$5&gt;=$F215,BK$5&lt;=$G215),8,"")</f>
        <v/>
      </c>
      <c r="BL215" s="34">
        <f>IF(AND(BL$5&gt;=$F215,BL$5&lt;=$G215),8,"")</f>
        <v/>
      </c>
      <c r="BM215" s="34">
        <f>IF(AND(BM$5&gt;=$F215,BM$5&lt;=$G215),8,"")</f>
        <v/>
      </c>
      <c r="BN215" s="34">
        <f>IF(AND(BN$5&gt;=$F215,BN$5&lt;=$G215),8,"")</f>
        <v/>
      </c>
    </row>
    <row r="216" ht="14.25" customHeight="1" s="36">
      <c r="A216" s="13" t="inlineStr">
        <is>
          <t>8 Operación y soporte</t>
        </is>
      </c>
      <c r="B216" s="13" t="inlineStr">
        <is>
          <t>8.3.3</t>
        </is>
      </c>
      <c r="C216" s="13" t="inlineStr">
        <is>
          <t>Innovación 4: línea base y liquidaciones en sombra (INN-04.P2)</t>
        </is>
      </c>
      <c r="D216" s="13" t="inlineStr">
        <is>
          <t>G</t>
        </is>
      </c>
      <c r="E216" s="13" t="inlineStr">
        <is>
          <t>Jefe de Proyecto</t>
        </is>
      </c>
      <c r="F216" s="13" t="n">
        <v>21</v>
      </c>
      <c r="G216" s="13" t="n">
        <v>23</v>
      </c>
      <c r="H216" s="13">
        <f>G216-F216+1</f>
        <v/>
      </c>
      <c r="I216" s="31" t="n">
        <v>80</v>
      </c>
      <c r="J216" s="13" t="inlineStr">
        <is>
          <t>Esfuerzo continuo (por quincena u ocurrencia)</t>
        </is>
      </c>
      <c r="K216" s="34">
        <f>IF(AND(K$5&gt;=$F216,K$5&lt;=$G216),8,"")</f>
        <v/>
      </c>
      <c r="L216" s="34">
        <f>IF(AND(L$5&gt;=$F216,L$5&lt;=$G216),8,"")</f>
        <v/>
      </c>
      <c r="M216" s="34">
        <f>IF(AND(M$5&gt;=$F216,M$5&lt;=$G216),8,"")</f>
        <v/>
      </c>
      <c r="N216" s="34">
        <f>IF(AND(N$5&gt;=$F216,N$5&lt;=$G216),8,"")</f>
        <v/>
      </c>
      <c r="O216" s="34">
        <f>IF(AND(O$5&gt;=$F216,O$5&lt;=$G216),8,"")</f>
        <v/>
      </c>
      <c r="P216" s="34">
        <f>IF(AND(P$5&gt;=$F216,P$5&lt;=$G216),8,"")</f>
        <v/>
      </c>
      <c r="Q216" s="34">
        <f>IF(AND(Q$5&gt;=$F216,Q$5&lt;=$G216),8,"")</f>
        <v/>
      </c>
      <c r="R216" s="34">
        <f>IF(AND(R$5&gt;=$F216,R$5&lt;=$G216),8,"")</f>
        <v/>
      </c>
      <c r="S216" s="34">
        <f>IF(AND(S$5&gt;=$F216,S$5&lt;=$G216),8,"")</f>
        <v/>
      </c>
      <c r="T216" s="34">
        <f>IF(AND(T$5&gt;=$F216,T$5&lt;=$G216),8,"")</f>
        <v/>
      </c>
      <c r="U216" s="34">
        <f>IF(AND(U$5&gt;=$F216,U$5&lt;=$G216),8,"")</f>
        <v/>
      </c>
      <c r="V216" s="34">
        <f>IF(AND(V$5&gt;=$F216,V$5&lt;=$G216),8,"")</f>
        <v/>
      </c>
      <c r="W216" s="34">
        <f>IF(AND(W$5&gt;=$F216,W$5&lt;=$G216),8,"")</f>
        <v/>
      </c>
      <c r="X216" s="34">
        <f>IF(AND(X$5&gt;=$F216,X$5&lt;=$G216),8,"")</f>
        <v/>
      </c>
      <c r="Y216" s="34">
        <f>IF(AND(Y$5&gt;=$F216,Y$5&lt;=$G216),8,"")</f>
        <v/>
      </c>
      <c r="Z216" s="34">
        <f>IF(AND(Z$5&gt;=$F216,Z$5&lt;=$G216),8,"")</f>
        <v/>
      </c>
      <c r="AA216" s="34">
        <f>IF(AND(AA$5&gt;=$F216,AA$5&lt;=$G216),8,"")</f>
        <v/>
      </c>
      <c r="AB216" s="34">
        <f>IF(AND(AB$5&gt;=$F216,AB$5&lt;=$G216),8,"")</f>
        <v/>
      </c>
      <c r="AC216" s="34">
        <f>IF(AND(AC$5&gt;=$F216,AC$5&lt;=$G216),8,"")</f>
        <v/>
      </c>
      <c r="AD216" s="34">
        <f>IF(AND(AD$5&gt;=$F216,AD$5&lt;=$G216),8,"")</f>
        <v/>
      </c>
      <c r="AE216" s="34">
        <f>IF(AND(AE$5&gt;=$F216,AE$5&lt;=$G216),8,"")</f>
        <v/>
      </c>
      <c r="AF216" s="34">
        <f>IF(AND(AF$5&gt;=$F216,AF$5&lt;=$G216),8,"")</f>
        <v/>
      </c>
      <c r="AG216" s="34">
        <f>IF(AND(AG$5&gt;=$F216,AG$5&lt;=$G216),8,"")</f>
        <v/>
      </c>
      <c r="AH216" s="34">
        <f>IF(AND(AH$5&gt;=$F216,AH$5&lt;=$G216),8,"")</f>
        <v/>
      </c>
      <c r="AI216" s="34">
        <f>IF(AND(AI$5&gt;=$F216,AI$5&lt;=$G216),8,"")</f>
        <v/>
      </c>
      <c r="AJ216" s="34">
        <f>IF(AND(AJ$5&gt;=$F216,AJ$5&lt;=$G216),8,"")</f>
        <v/>
      </c>
      <c r="AK216" s="34">
        <f>IF(AND(AK$5&gt;=$F216,AK$5&lt;=$G216),8,"")</f>
        <v/>
      </c>
      <c r="AL216" s="34">
        <f>IF(AND(AL$5&gt;=$F216,AL$5&lt;=$G216),8,"")</f>
        <v/>
      </c>
      <c r="AM216" s="34">
        <f>IF(AND(AM$5&gt;=$F216,AM$5&lt;=$G216),8,"")</f>
        <v/>
      </c>
      <c r="AN216" s="34">
        <f>IF(AND(AN$5&gt;=$F216,AN$5&lt;=$G216),8,"")</f>
        <v/>
      </c>
      <c r="AO216" s="34">
        <f>IF(AND(AO$5&gt;=$F216,AO$5&lt;=$G216),8,"")</f>
        <v/>
      </c>
      <c r="AP216" s="34">
        <f>IF(AND(AP$5&gt;=$F216,AP$5&lt;=$G216),8,"")</f>
        <v/>
      </c>
      <c r="AQ216" s="34">
        <f>IF(AND(AQ$5&gt;=$F216,AQ$5&lt;=$G216),8,"")</f>
        <v/>
      </c>
      <c r="AR216" s="34">
        <f>IF(AND(AR$5&gt;=$F216,AR$5&lt;=$G216),8,"")</f>
        <v/>
      </c>
      <c r="AS216" s="34">
        <f>IF(AND(AS$5&gt;=$F216,AS$5&lt;=$G216),8,"")</f>
        <v/>
      </c>
      <c r="AT216" s="34">
        <f>IF(AND(AT$5&gt;=$F216,AT$5&lt;=$G216),8,"")</f>
        <v/>
      </c>
      <c r="AU216" s="34">
        <f>IF(AND(AU$5&gt;=$F216,AU$5&lt;=$G216),8,"")</f>
        <v/>
      </c>
      <c r="AV216" s="34">
        <f>IF(AND(AV$5&gt;=$F216,AV$5&lt;=$G216),8,"")</f>
        <v/>
      </c>
      <c r="AW216" s="34">
        <f>IF(AND(AW$5&gt;=$F216,AW$5&lt;=$G216),8,"")</f>
        <v/>
      </c>
      <c r="AX216" s="34">
        <f>IF(AND(AX$5&gt;=$F216,AX$5&lt;=$G216),8,"")</f>
        <v/>
      </c>
      <c r="AY216" s="34">
        <f>IF(AND(AY$5&gt;=$F216,AY$5&lt;=$G216),8,"")</f>
        <v/>
      </c>
      <c r="AZ216" s="34">
        <f>IF(AND(AZ$5&gt;=$F216,AZ$5&lt;=$G216),8,"")</f>
        <v/>
      </c>
      <c r="BA216" s="34">
        <f>IF(AND(BA$5&gt;=$F216,BA$5&lt;=$G216),8,"")</f>
        <v/>
      </c>
      <c r="BB216" s="34">
        <f>IF(AND(BB$5&gt;=$F216,BB$5&lt;=$G216),8,"")</f>
        <v/>
      </c>
      <c r="BC216" s="34">
        <f>IF(AND(BC$5&gt;=$F216,BC$5&lt;=$G216),8,"")</f>
        <v/>
      </c>
      <c r="BD216" s="34">
        <f>IF(AND(BD$5&gt;=$F216,BD$5&lt;=$G216),8,"")</f>
        <v/>
      </c>
      <c r="BE216" s="34">
        <f>IF(AND(BE$5&gt;=$F216,BE$5&lt;=$G216),8,"")</f>
        <v/>
      </c>
      <c r="BF216" s="34">
        <f>IF(AND(BF$5&gt;=$F216,BF$5&lt;=$G216),8,"")</f>
        <v/>
      </c>
      <c r="BG216" s="34">
        <f>IF(AND(BG$5&gt;=$F216,BG$5&lt;=$G216),8,"")</f>
        <v/>
      </c>
      <c r="BH216" s="34">
        <f>IF(AND(BH$5&gt;=$F216,BH$5&lt;=$G216),8,"")</f>
        <v/>
      </c>
      <c r="BI216" s="34">
        <f>IF(AND(BI$5&gt;=$F216,BI$5&lt;=$G216),8,"")</f>
        <v/>
      </c>
      <c r="BJ216" s="34">
        <f>IF(AND(BJ$5&gt;=$F216,BJ$5&lt;=$G216),8,"")</f>
        <v/>
      </c>
      <c r="BK216" s="34">
        <f>IF(AND(BK$5&gt;=$F216,BK$5&lt;=$G216),8,"")</f>
        <v/>
      </c>
      <c r="BL216" s="34">
        <f>IF(AND(BL$5&gt;=$F216,BL$5&lt;=$G216),8,"")</f>
        <v/>
      </c>
      <c r="BM216" s="34">
        <f>IF(AND(BM$5&gt;=$F216,BM$5&lt;=$G216),8,"")</f>
        <v/>
      </c>
      <c r="BN216" s="34">
        <f>IF(AND(BN$5&gt;=$F216,BN$5&lt;=$G216),8,"")</f>
        <v/>
      </c>
    </row>
    <row r="217" ht="14.25" customHeight="1" s="36">
      <c r="A217" s="13" t="inlineStr">
        <is>
          <t>8 Operación y soporte</t>
        </is>
      </c>
      <c r="B217" s="13" t="inlineStr">
        <is>
          <t>8.3.4</t>
        </is>
      </c>
      <c r="C217" s="13" t="inlineStr">
        <is>
          <t>Innovación 4: liquidación mensual del tramo variable, meses 24 a 56 (INN-04.P3)</t>
        </is>
      </c>
      <c r="D217" s="13" t="inlineStr">
        <is>
          <t>R</t>
        </is>
      </c>
      <c r="E217" s="13" t="inlineStr">
        <is>
          <t>Jefe de Proyecto</t>
        </is>
      </c>
      <c r="F217" s="13" t="n">
        <v>24</v>
      </c>
      <c r="G217" s="13" t="n">
        <v>56</v>
      </c>
      <c r="H217" s="13">
        <f>G217-F217+1</f>
        <v/>
      </c>
      <c r="I217" s="31" t="n">
        <v>528</v>
      </c>
      <c r="J217" s="13" t="inlineStr">
        <is>
          <t>Esfuerzo continuo (por quincena u ocurrencia)</t>
        </is>
      </c>
      <c r="K217" s="34">
        <f>IF(AND(K$5&gt;=$F217,K$5&lt;=$G217),8,"")</f>
        <v/>
      </c>
      <c r="L217" s="34">
        <f>IF(AND(L$5&gt;=$F217,L$5&lt;=$G217),8,"")</f>
        <v/>
      </c>
      <c r="M217" s="34">
        <f>IF(AND(M$5&gt;=$F217,M$5&lt;=$G217),8,"")</f>
        <v/>
      </c>
      <c r="N217" s="34">
        <f>IF(AND(N$5&gt;=$F217,N$5&lt;=$G217),8,"")</f>
        <v/>
      </c>
      <c r="O217" s="34">
        <f>IF(AND(O$5&gt;=$F217,O$5&lt;=$G217),8,"")</f>
        <v/>
      </c>
      <c r="P217" s="34">
        <f>IF(AND(P$5&gt;=$F217,P$5&lt;=$G217),8,"")</f>
        <v/>
      </c>
      <c r="Q217" s="34">
        <f>IF(AND(Q$5&gt;=$F217,Q$5&lt;=$G217),8,"")</f>
        <v/>
      </c>
      <c r="R217" s="34">
        <f>IF(AND(R$5&gt;=$F217,R$5&lt;=$G217),8,"")</f>
        <v/>
      </c>
      <c r="S217" s="34">
        <f>IF(AND(S$5&gt;=$F217,S$5&lt;=$G217),8,"")</f>
        <v/>
      </c>
      <c r="T217" s="34">
        <f>IF(AND(T$5&gt;=$F217,T$5&lt;=$G217),8,"")</f>
        <v/>
      </c>
      <c r="U217" s="34">
        <f>IF(AND(U$5&gt;=$F217,U$5&lt;=$G217),8,"")</f>
        <v/>
      </c>
      <c r="V217" s="34">
        <f>IF(AND(V$5&gt;=$F217,V$5&lt;=$G217),8,"")</f>
        <v/>
      </c>
      <c r="W217" s="34">
        <f>IF(AND(W$5&gt;=$F217,W$5&lt;=$G217),8,"")</f>
        <v/>
      </c>
      <c r="X217" s="34">
        <f>IF(AND(X$5&gt;=$F217,X$5&lt;=$G217),8,"")</f>
        <v/>
      </c>
      <c r="Y217" s="34">
        <f>IF(AND(Y$5&gt;=$F217,Y$5&lt;=$G217),8,"")</f>
        <v/>
      </c>
      <c r="Z217" s="34">
        <f>IF(AND(Z$5&gt;=$F217,Z$5&lt;=$G217),8,"")</f>
        <v/>
      </c>
      <c r="AA217" s="34">
        <f>IF(AND(AA$5&gt;=$F217,AA$5&lt;=$G217),8,"")</f>
        <v/>
      </c>
      <c r="AB217" s="34">
        <f>IF(AND(AB$5&gt;=$F217,AB$5&lt;=$G217),8,"")</f>
        <v/>
      </c>
      <c r="AC217" s="34">
        <f>IF(AND(AC$5&gt;=$F217,AC$5&lt;=$G217),8,"")</f>
        <v/>
      </c>
      <c r="AD217" s="34">
        <f>IF(AND(AD$5&gt;=$F217,AD$5&lt;=$G217),8,"")</f>
        <v/>
      </c>
      <c r="AE217" s="34">
        <f>IF(AND(AE$5&gt;=$F217,AE$5&lt;=$G217),8,"")</f>
        <v/>
      </c>
      <c r="AF217" s="34">
        <f>IF(AND(AF$5&gt;=$F217,AF$5&lt;=$G217),8,"")</f>
        <v/>
      </c>
      <c r="AG217" s="34">
        <f>IF(AND(AG$5&gt;=$F217,AG$5&lt;=$G217),8,"")</f>
        <v/>
      </c>
      <c r="AH217" s="34">
        <f>IF(AND(AH$5&gt;=$F217,AH$5&lt;=$G217),8,"")</f>
        <v/>
      </c>
      <c r="AI217" s="34">
        <f>IF(AND(AI$5&gt;=$F217,AI$5&lt;=$G217),8,"")</f>
        <v/>
      </c>
      <c r="AJ217" s="34">
        <f>IF(AND(AJ$5&gt;=$F217,AJ$5&lt;=$G217),8,"")</f>
        <v/>
      </c>
      <c r="AK217" s="34">
        <f>IF(AND(AK$5&gt;=$F217,AK$5&lt;=$G217),8,"")</f>
        <v/>
      </c>
      <c r="AL217" s="34">
        <f>IF(AND(AL$5&gt;=$F217,AL$5&lt;=$G217),8,"")</f>
        <v/>
      </c>
      <c r="AM217" s="34">
        <f>IF(AND(AM$5&gt;=$F217,AM$5&lt;=$G217),8,"")</f>
        <v/>
      </c>
      <c r="AN217" s="34">
        <f>IF(AND(AN$5&gt;=$F217,AN$5&lt;=$G217),8,"")</f>
        <v/>
      </c>
      <c r="AO217" s="34">
        <f>IF(AND(AO$5&gt;=$F217,AO$5&lt;=$G217),8,"")</f>
        <v/>
      </c>
      <c r="AP217" s="34">
        <f>IF(AND(AP$5&gt;=$F217,AP$5&lt;=$G217),8,"")</f>
        <v/>
      </c>
      <c r="AQ217" s="34">
        <f>IF(AND(AQ$5&gt;=$F217,AQ$5&lt;=$G217),8,"")</f>
        <v/>
      </c>
      <c r="AR217" s="34">
        <f>IF(AND(AR$5&gt;=$F217,AR$5&lt;=$G217),8,"")</f>
        <v/>
      </c>
      <c r="AS217" s="34">
        <f>IF(AND(AS$5&gt;=$F217,AS$5&lt;=$G217),8,"")</f>
        <v/>
      </c>
      <c r="AT217" s="34">
        <f>IF(AND(AT$5&gt;=$F217,AT$5&lt;=$G217),8,"")</f>
        <v/>
      </c>
      <c r="AU217" s="34">
        <f>IF(AND(AU$5&gt;=$F217,AU$5&lt;=$G217),8,"")</f>
        <v/>
      </c>
      <c r="AV217" s="34">
        <f>IF(AND(AV$5&gt;=$F217,AV$5&lt;=$G217),8,"")</f>
        <v/>
      </c>
      <c r="AW217" s="34">
        <f>IF(AND(AW$5&gt;=$F217,AW$5&lt;=$G217),8,"")</f>
        <v/>
      </c>
      <c r="AX217" s="34">
        <f>IF(AND(AX$5&gt;=$F217,AX$5&lt;=$G217),8,"")</f>
        <v/>
      </c>
      <c r="AY217" s="34">
        <f>IF(AND(AY$5&gt;=$F217,AY$5&lt;=$G217),8,"")</f>
        <v/>
      </c>
      <c r="AZ217" s="34">
        <f>IF(AND(AZ$5&gt;=$F217,AZ$5&lt;=$G217),8,"")</f>
        <v/>
      </c>
      <c r="BA217" s="34">
        <f>IF(AND(BA$5&gt;=$F217,BA$5&lt;=$G217),8,"")</f>
        <v/>
      </c>
      <c r="BB217" s="34">
        <f>IF(AND(BB$5&gt;=$F217,BB$5&lt;=$G217),8,"")</f>
        <v/>
      </c>
      <c r="BC217" s="34">
        <f>IF(AND(BC$5&gt;=$F217,BC$5&lt;=$G217),8,"")</f>
        <v/>
      </c>
      <c r="BD217" s="34">
        <f>IF(AND(BD$5&gt;=$F217,BD$5&lt;=$G217),8,"")</f>
        <v/>
      </c>
      <c r="BE217" s="34">
        <f>IF(AND(BE$5&gt;=$F217,BE$5&lt;=$G217),8,"")</f>
        <v/>
      </c>
      <c r="BF217" s="34">
        <f>IF(AND(BF$5&gt;=$F217,BF$5&lt;=$G217),8,"")</f>
        <v/>
      </c>
      <c r="BG217" s="34">
        <f>IF(AND(BG$5&gt;=$F217,BG$5&lt;=$G217),8,"")</f>
        <v/>
      </c>
      <c r="BH217" s="34">
        <f>IF(AND(BH$5&gt;=$F217,BH$5&lt;=$G217),8,"")</f>
        <v/>
      </c>
      <c r="BI217" s="34">
        <f>IF(AND(BI$5&gt;=$F217,BI$5&lt;=$G217),8,"")</f>
        <v/>
      </c>
      <c r="BJ217" s="34">
        <f>IF(AND(BJ$5&gt;=$F217,BJ$5&lt;=$G217),8,"")</f>
        <v/>
      </c>
      <c r="BK217" s="34">
        <f>IF(AND(BK$5&gt;=$F217,BK$5&lt;=$G217),8,"")</f>
        <v/>
      </c>
      <c r="BL217" s="34">
        <f>IF(AND(BL$5&gt;=$F217,BL$5&lt;=$G217),8,"")</f>
        <v/>
      </c>
      <c r="BM217" s="34">
        <f>IF(AND(BM$5&gt;=$F217,BM$5&lt;=$G217),8,"")</f>
        <v/>
      </c>
      <c r="BN217" s="34">
        <f>IF(AND(BN$5&gt;=$F217,BN$5&lt;=$G217),8,"")</f>
        <v/>
      </c>
    </row>
    <row r="218" ht="14.25" customHeight="1" s="36">
      <c r="A218" s="13" t="inlineStr">
        <is>
          <t>8 Operación y soporte</t>
        </is>
      </c>
      <c r="B218" s="13" t="inlineStr">
        <is>
          <t>8.3.5</t>
        </is>
      </c>
      <c r="C218" s="13" t="inlineStr">
        <is>
          <t>Innovación 5: despliegue gradual por rutas (INN-05.P4, segunda parte)</t>
        </is>
      </c>
      <c r="D218" s="13" t="inlineStr">
        <is>
          <t>G</t>
        </is>
      </c>
      <c r="E218" s="13" t="inlineStr">
        <is>
          <t>Implantación y gestión del cambio</t>
        </is>
      </c>
      <c r="F218" s="13" t="n">
        <v>22</v>
      </c>
      <c r="G218" s="13" t="n">
        <v>26</v>
      </c>
      <c r="H218" s="13">
        <f>G218-F218+1</f>
        <v/>
      </c>
      <c r="I218" s="31" t="n">
        <v>80</v>
      </c>
      <c r="J218" s="13" t="inlineStr">
        <is>
          <t>Esfuerzo continuo (por quincena u ocurrencia)</t>
        </is>
      </c>
      <c r="K218" s="34">
        <f>IF(AND(K$5&gt;=$F218,K$5&lt;=$G218),8,"")</f>
        <v/>
      </c>
      <c r="L218" s="34">
        <f>IF(AND(L$5&gt;=$F218,L$5&lt;=$G218),8,"")</f>
        <v/>
      </c>
      <c r="M218" s="34">
        <f>IF(AND(M$5&gt;=$F218,M$5&lt;=$G218),8,"")</f>
        <v/>
      </c>
      <c r="N218" s="34">
        <f>IF(AND(N$5&gt;=$F218,N$5&lt;=$G218),8,"")</f>
        <v/>
      </c>
      <c r="O218" s="34">
        <f>IF(AND(O$5&gt;=$F218,O$5&lt;=$G218),8,"")</f>
        <v/>
      </c>
      <c r="P218" s="34">
        <f>IF(AND(P$5&gt;=$F218,P$5&lt;=$G218),8,"")</f>
        <v/>
      </c>
      <c r="Q218" s="34">
        <f>IF(AND(Q$5&gt;=$F218,Q$5&lt;=$G218),8,"")</f>
        <v/>
      </c>
      <c r="R218" s="34">
        <f>IF(AND(R$5&gt;=$F218,R$5&lt;=$G218),8,"")</f>
        <v/>
      </c>
      <c r="S218" s="34">
        <f>IF(AND(S$5&gt;=$F218,S$5&lt;=$G218),8,"")</f>
        <v/>
      </c>
      <c r="T218" s="34">
        <f>IF(AND(T$5&gt;=$F218,T$5&lt;=$G218),8,"")</f>
        <v/>
      </c>
      <c r="U218" s="34">
        <f>IF(AND(U$5&gt;=$F218,U$5&lt;=$G218),8,"")</f>
        <v/>
      </c>
      <c r="V218" s="34">
        <f>IF(AND(V$5&gt;=$F218,V$5&lt;=$G218),8,"")</f>
        <v/>
      </c>
      <c r="W218" s="34">
        <f>IF(AND(W$5&gt;=$F218,W$5&lt;=$G218),8,"")</f>
        <v/>
      </c>
      <c r="X218" s="34">
        <f>IF(AND(X$5&gt;=$F218,X$5&lt;=$G218),8,"")</f>
        <v/>
      </c>
      <c r="Y218" s="34">
        <f>IF(AND(Y$5&gt;=$F218,Y$5&lt;=$G218),8,"")</f>
        <v/>
      </c>
      <c r="Z218" s="34">
        <f>IF(AND(Z$5&gt;=$F218,Z$5&lt;=$G218),8,"")</f>
        <v/>
      </c>
      <c r="AA218" s="34">
        <f>IF(AND(AA$5&gt;=$F218,AA$5&lt;=$G218),8,"")</f>
        <v/>
      </c>
      <c r="AB218" s="34">
        <f>IF(AND(AB$5&gt;=$F218,AB$5&lt;=$G218),8,"")</f>
        <v/>
      </c>
      <c r="AC218" s="34">
        <f>IF(AND(AC$5&gt;=$F218,AC$5&lt;=$G218),8,"")</f>
        <v/>
      </c>
      <c r="AD218" s="34">
        <f>IF(AND(AD$5&gt;=$F218,AD$5&lt;=$G218),8,"")</f>
        <v/>
      </c>
      <c r="AE218" s="34">
        <f>IF(AND(AE$5&gt;=$F218,AE$5&lt;=$G218),8,"")</f>
        <v/>
      </c>
      <c r="AF218" s="34">
        <f>IF(AND(AF$5&gt;=$F218,AF$5&lt;=$G218),8,"")</f>
        <v/>
      </c>
      <c r="AG218" s="34">
        <f>IF(AND(AG$5&gt;=$F218,AG$5&lt;=$G218),8,"")</f>
        <v/>
      </c>
      <c r="AH218" s="34">
        <f>IF(AND(AH$5&gt;=$F218,AH$5&lt;=$G218),8,"")</f>
        <v/>
      </c>
      <c r="AI218" s="34">
        <f>IF(AND(AI$5&gt;=$F218,AI$5&lt;=$G218),8,"")</f>
        <v/>
      </c>
      <c r="AJ218" s="34">
        <f>IF(AND(AJ$5&gt;=$F218,AJ$5&lt;=$G218),8,"")</f>
        <v/>
      </c>
      <c r="AK218" s="34">
        <f>IF(AND(AK$5&gt;=$F218,AK$5&lt;=$G218),8,"")</f>
        <v/>
      </c>
      <c r="AL218" s="34">
        <f>IF(AND(AL$5&gt;=$F218,AL$5&lt;=$G218),8,"")</f>
        <v/>
      </c>
      <c r="AM218" s="34">
        <f>IF(AND(AM$5&gt;=$F218,AM$5&lt;=$G218),8,"")</f>
        <v/>
      </c>
      <c r="AN218" s="34">
        <f>IF(AND(AN$5&gt;=$F218,AN$5&lt;=$G218),8,"")</f>
        <v/>
      </c>
      <c r="AO218" s="34">
        <f>IF(AND(AO$5&gt;=$F218,AO$5&lt;=$G218),8,"")</f>
        <v/>
      </c>
      <c r="AP218" s="34">
        <f>IF(AND(AP$5&gt;=$F218,AP$5&lt;=$G218),8,"")</f>
        <v/>
      </c>
      <c r="AQ218" s="34">
        <f>IF(AND(AQ$5&gt;=$F218,AQ$5&lt;=$G218),8,"")</f>
        <v/>
      </c>
      <c r="AR218" s="34">
        <f>IF(AND(AR$5&gt;=$F218,AR$5&lt;=$G218),8,"")</f>
        <v/>
      </c>
      <c r="AS218" s="34">
        <f>IF(AND(AS$5&gt;=$F218,AS$5&lt;=$G218),8,"")</f>
        <v/>
      </c>
      <c r="AT218" s="34">
        <f>IF(AND(AT$5&gt;=$F218,AT$5&lt;=$G218),8,"")</f>
        <v/>
      </c>
      <c r="AU218" s="34">
        <f>IF(AND(AU$5&gt;=$F218,AU$5&lt;=$G218),8,"")</f>
        <v/>
      </c>
      <c r="AV218" s="34">
        <f>IF(AND(AV$5&gt;=$F218,AV$5&lt;=$G218),8,"")</f>
        <v/>
      </c>
      <c r="AW218" s="34">
        <f>IF(AND(AW$5&gt;=$F218,AW$5&lt;=$G218),8,"")</f>
        <v/>
      </c>
      <c r="AX218" s="34">
        <f>IF(AND(AX$5&gt;=$F218,AX$5&lt;=$G218),8,"")</f>
        <v/>
      </c>
      <c r="AY218" s="34">
        <f>IF(AND(AY$5&gt;=$F218,AY$5&lt;=$G218),8,"")</f>
        <v/>
      </c>
      <c r="AZ218" s="34">
        <f>IF(AND(AZ$5&gt;=$F218,AZ$5&lt;=$G218),8,"")</f>
        <v/>
      </c>
      <c r="BA218" s="34">
        <f>IF(AND(BA$5&gt;=$F218,BA$5&lt;=$G218),8,"")</f>
        <v/>
      </c>
      <c r="BB218" s="34">
        <f>IF(AND(BB$5&gt;=$F218,BB$5&lt;=$G218),8,"")</f>
        <v/>
      </c>
      <c r="BC218" s="34">
        <f>IF(AND(BC$5&gt;=$F218,BC$5&lt;=$G218),8,"")</f>
        <v/>
      </c>
      <c r="BD218" s="34">
        <f>IF(AND(BD$5&gt;=$F218,BD$5&lt;=$G218),8,"")</f>
        <v/>
      </c>
      <c r="BE218" s="34">
        <f>IF(AND(BE$5&gt;=$F218,BE$5&lt;=$G218),8,"")</f>
        <v/>
      </c>
      <c r="BF218" s="34">
        <f>IF(AND(BF$5&gt;=$F218,BF$5&lt;=$G218),8,"")</f>
        <v/>
      </c>
      <c r="BG218" s="34">
        <f>IF(AND(BG$5&gt;=$F218,BG$5&lt;=$G218),8,"")</f>
        <v/>
      </c>
      <c r="BH218" s="34">
        <f>IF(AND(BH$5&gt;=$F218,BH$5&lt;=$G218),8,"")</f>
        <v/>
      </c>
      <c r="BI218" s="34">
        <f>IF(AND(BI$5&gt;=$F218,BI$5&lt;=$G218),8,"")</f>
        <v/>
      </c>
      <c r="BJ218" s="34">
        <f>IF(AND(BJ$5&gt;=$F218,BJ$5&lt;=$G218),8,"")</f>
        <v/>
      </c>
      <c r="BK218" s="34">
        <f>IF(AND(BK$5&gt;=$F218,BK$5&lt;=$G218),8,"")</f>
        <v/>
      </c>
      <c r="BL218" s="34">
        <f>IF(AND(BL$5&gt;=$F218,BL$5&lt;=$G218),8,"")</f>
        <v/>
      </c>
      <c r="BM218" s="34">
        <f>IF(AND(BM$5&gt;=$F218,BM$5&lt;=$G218),8,"")</f>
        <v/>
      </c>
      <c r="BN218" s="34">
        <f>IF(AND(BN$5&gt;=$F218,BN$5&lt;=$G218),8,"")</f>
        <v/>
      </c>
    </row>
    <row r="219" ht="14.25" customHeight="1" s="36">
      <c r="A219" s="13" t="inlineStr">
        <is>
          <t>8 Operación y soporte</t>
        </is>
      </c>
      <c r="B219" s="13" t="inlineStr">
        <is>
          <t>8.3.6</t>
        </is>
      </c>
      <c r="C219" s="13" t="inlineStr">
        <is>
          <t>Innovación 5: bloque 4 condicionado (INN-05.P5)</t>
        </is>
      </c>
      <c r="D219" s="13" t="inlineStr">
        <is>
          <t>G</t>
        </is>
      </c>
      <c r="E219" s="13" t="inlineStr">
        <is>
          <t>Implantación y gestión del cambio</t>
        </is>
      </c>
      <c r="F219" s="13" t="n">
        <v>24</v>
      </c>
      <c r="G219" s="13" t="n">
        <v>27</v>
      </c>
      <c r="H219" s="13">
        <f>G219-F219+1</f>
        <v/>
      </c>
      <c r="I219" s="31" t="n">
        <v>80</v>
      </c>
      <c r="J219" s="13" t="inlineStr">
        <is>
          <t>Esfuerzo continuo (por quincena u ocurrencia)</t>
        </is>
      </c>
      <c r="K219" s="34">
        <f>IF(AND(K$5&gt;=$F219,K$5&lt;=$G219),8,"")</f>
        <v/>
      </c>
      <c r="L219" s="34">
        <f>IF(AND(L$5&gt;=$F219,L$5&lt;=$G219),8,"")</f>
        <v/>
      </c>
      <c r="M219" s="34">
        <f>IF(AND(M$5&gt;=$F219,M$5&lt;=$G219),8,"")</f>
        <v/>
      </c>
      <c r="N219" s="34">
        <f>IF(AND(N$5&gt;=$F219,N$5&lt;=$G219),8,"")</f>
        <v/>
      </c>
      <c r="O219" s="34">
        <f>IF(AND(O$5&gt;=$F219,O$5&lt;=$G219),8,"")</f>
        <v/>
      </c>
      <c r="P219" s="34">
        <f>IF(AND(P$5&gt;=$F219,P$5&lt;=$G219),8,"")</f>
        <v/>
      </c>
      <c r="Q219" s="34">
        <f>IF(AND(Q$5&gt;=$F219,Q$5&lt;=$G219),8,"")</f>
        <v/>
      </c>
      <c r="R219" s="34">
        <f>IF(AND(R$5&gt;=$F219,R$5&lt;=$G219),8,"")</f>
        <v/>
      </c>
      <c r="S219" s="34">
        <f>IF(AND(S$5&gt;=$F219,S$5&lt;=$G219),8,"")</f>
        <v/>
      </c>
      <c r="T219" s="34">
        <f>IF(AND(T$5&gt;=$F219,T$5&lt;=$G219),8,"")</f>
        <v/>
      </c>
      <c r="U219" s="34">
        <f>IF(AND(U$5&gt;=$F219,U$5&lt;=$G219),8,"")</f>
        <v/>
      </c>
      <c r="V219" s="34">
        <f>IF(AND(V$5&gt;=$F219,V$5&lt;=$G219),8,"")</f>
        <v/>
      </c>
      <c r="W219" s="34">
        <f>IF(AND(W$5&gt;=$F219,W$5&lt;=$G219),8,"")</f>
        <v/>
      </c>
      <c r="X219" s="34">
        <f>IF(AND(X$5&gt;=$F219,X$5&lt;=$G219),8,"")</f>
        <v/>
      </c>
      <c r="Y219" s="34">
        <f>IF(AND(Y$5&gt;=$F219,Y$5&lt;=$G219),8,"")</f>
        <v/>
      </c>
      <c r="Z219" s="34">
        <f>IF(AND(Z$5&gt;=$F219,Z$5&lt;=$G219),8,"")</f>
        <v/>
      </c>
      <c r="AA219" s="34">
        <f>IF(AND(AA$5&gt;=$F219,AA$5&lt;=$G219),8,"")</f>
        <v/>
      </c>
      <c r="AB219" s="34">
        <f>IF(AND(AB$5&gt;=$F219,AB$5&lt;=$G219),8,"")</f>
        <v/>
      </c>
      <c r="AC219" s="34">
        <f>IF(AND(AC$5&gt;=$F219,AC$5&lt;=$G219),8,"")</f>
        <v/>
      </c>
      <c r="AD219" s="34">
        <f>IF(AND(AD$5&gt;=$F219,AD$5&lt;=$G219),8,"")</f>
        <v/>
      </c>
      <c r="AE219" s="34">
        <f>IF(AND(AE$5&gt;=$F219,AE$5&lt;=$G219),8,"")</f>
        <v/>
      </c>
      <c r="AF219" s="34">
        <f>IF(AND(AF$5&gt;=$F219,AF$5&lt;=$G219),8,"")</f>
        <v/>
      </c>
      <c r="AG219" s="34">
        <f>IF(AND(AG$5&gt;=$F219,AG$5&lt;=$G219),8,"")</f>
        <v/>
      </c>
      <c r="AH219" s="34">
        <f>IF(AND(AH$5&gt;=$F219,AH$5&lt;=$G219),8,"")</f>
        <v/>
      </c>
      <c r="AI219" s="34">
        <f>IF(AND(AI$5&gt;=$F219,AI$5&lt;=$G219),8,"")</f>
        <v/>
      </c>
      <c r="AJ219" s="34">
        <f>IF(AND(AJ$5&gt;=$F219,AJ$5&lt;=$G219),8,"")</f>
        <v/>
      </c>
      <c r="AK219" s="34">
        <f>IF(AND(AK$5&gt;=$F219,AK$5&lt;=$G219),8,"")</f>
        <v/>
      </c>
      <c r="AL219" s="34">
        <f>IF(AND(AL$5&gt;=$F219,AL$5&lt;=$G219),8,"")</f>
        <v/>
      </c>
      <c r="AM219" s="34">
        <f>IF(AND(AM$5&gt;=$F219,AM$5&lt;=$G219),8,"")</f>
        <v/>
      </c>
      <c r="AN219" s="34">
        <f>IF(AND(AN$5&gt;=$F219,AN$5&lt;=$G219),8,"")</f>
        <v/>
      </c>
      <c r="AO219" s="34">
        <f>IF(AND(AO$5&gt;=$F219,AO$5&lt;=$G219),8,"")</f>
        <v/>
      </c>
      <c r="AP219" s="34">
        <f>IF(AND(AP$5&gt;=$F219,AP$5&lt;=$G219),8,"")</f>
        <v/>
      </c>
      <c r="AQ219" s="34">
        <f>IF(AND(AQ$5&gt;=$F219,AQ$5&lt;=$G219),8,"")</f>
        <v/>
      </c>
      <c r="AR219" s="34">
        <f>IF(AND(AR$5&gt;=$F219,AR$5&lt;=$G219),8,"")</f>
        <v/>
      </c>
      <c r="AS219" s="34">
        <f>IF(AND(AS$5&gt;=$F219,AS$5&lt;=$G219),8,"")</f>
        <v/>
      </c>
      <c r="AT219" s="34">
        <f>IF(AND(AT$5&gt;=$F219,AT$5&lt;=$G219),8,"")</f>
        <v/>
      </c>
      <c r="AU219" s="34">
        <f>IF(AND(AU$5&gt;=$F219,AU$5&lt;=$G219),8,"")</f>
        <v/>
      </c>
      <c r="AV219" s="34">
        <f>IF(AND(AV$5&gt;=$F219,AV$5&lt;=$G219),8,"")</f>
        <v/>
      </c>
      <c r="AW219" s="34">
        <f>IF(AND(AW$5&gt;=$F219,AW$5&lt;=$G219),8,"")</f>
        <v/>
      </c>
      <c r="AX219" s="34">
        <f>IF(AND(AX$5&gt;=$F219,AX$5&lt;=$G219),8,"")</f>
        <v/>
      </c>
      <c r="AY219" s="34">
        <f>IF(AND(AY$5&gt;=$F219,AY$5&lt;=$G219),8,"")</f>
        <v/>
      </c>
      <c r="AZ219" s="34">
        <f>IF(AND(AZ$5&gt;=$F219,AZ$5&lt;=$G219),8,"")</f>
        <v/>
      </c>
      <c r="BA219" s="34">
        <f>IF(AND(BA$5&gt;=$F219,BA$5&lt;=$G219),8,"")</f>
        <v/>
      </c>
      <c r="BB219" s="34">
        <f>IF(AND(BB$5&gt;=$F219,BB$5&lt;=$G219),8,"")</f>
        <v/>
      </c>
      <c r="BC219" s="34">
        <f>IF(AND(BC$5&gt;=$F219,BC$5&lt;=$G219),8,"")</f>
        <v/>
      </c>
      <c r="BD219" s="34">
        <f>IF(AND(BD$5&gt;=$F219,BD$5&lt;=$G219),8,"")</f>
        <v/>
      </c>
      <c r="BE219" s="34">
        <f>IF(AND(BE$5&gt;=$F219,BE$5&lt;=$G219),8,"")</f>
        <v/>
      </c>
      <c r="BF219" s="34">
        <f>IF(AND(BF$5&gt;=$F219,BF$5&lt;=$G219),8,"")</f>
        <v/>
      </c>
      <c r="BG219" s="34">
        <f>IF(AND(BG$5&gt;=$F219,BG$5&lt;=$G219),8,"")</f>
        <v/>
      </c>
      <c r="BH219" s="34">
        <f>IF(AND(BH$5&gt;=$F219,BH$5&lt;=$G219),8,"")</f>
        <v/>
      </c>
      <c r="BI219" s="34">
        <f>IF(AND(BI$5&gt;=$F219,BI$5&lt;=$G219),8,"")</f>
        <v/>
      </c>
      <c r="BJ219" s="34">
        <f>IF(AND(BJ$5&gt;=$F219,BJ$5&lt;=$G219),8,"")</f>
        <v/>
      </c>
      <c r="BK219" s="34">
        <f>IF(AND(BK$5&gt;=$F219,BK$5&lt;=$G219),8,"")</f>
        <v/>
      </c>
      <c r="BL219" s="34">
        <f>IF(AND(BL$5&gt;=$F219,BL$5&lt;=$G219),8,"")</f>
        <v/>
      </c>
      <c r="BM219" s="34">
        <f>IF(AND(BM$5&gt;=$F219,BM$5&lt;=$G219),8,"")</f>
        <v/>
      </c>
      <c r="BN219" s="34">
        <f>IF(AND(BN$5&gt;=$F219,BN$5&lt;=$G219),8,"")</f>
        <v/>
      </c>
    </row>
    <row r="220" ht="14.25" customHeight="1" s="36">
      <c r="A220" s="13" t="inlineStr">
        <is>
          <t>8 Operación y soporte</t>
        </is>
      </c>
      <c r="B220" s="13" t="inlineStr">
        <is>
          <t>8.4.1</t>
        </is>
      </c>
      <c r="C220" s="13" t="inlineStr">
        <is>
          <t>Gestión de la capacidad con proyección trimestral durante los 36 meses de operación</t>
        </is>
      </c>
      <c r="D220" s="13" t="inlineStr">
        <is>
          <t>R</t>
        </is>
      </c>
      <c r="E220" s="13" t="inlineStr">
        <is>
          <t>Operación / SRE</t>
        </is>
      </c>
      <c r="F220" s="13" t="n">
        <v>21</v>
      </c>
      <c r="G220" s="13" t="n">
        <v>56</v>
      </c>
      <c r="H220" s="13">
        <f>G220-F220+1</f>
        <v/>
      </c>
      <c r="I220" s="31" t="n">
        <v>576</v>
      </c>
      <c r="J220" s="13" t="inlineStr">
        <is>
          <t>Esfuerzo continuo (por quincena u ocurrencia)</t>
        </is>
      </c>
      <c r="K220" s="34">
        <f>IF(AND(K$5&gt;=$F220,K$5&lt;=$G220),8,"")</f>
        <v/>
      </c>
      <c r="L220" s="34">
        <f>IF(AND(L$5&gt;=$F220,L$5&lt;=$G220),8,"")</f>
        <v/>
      </c>
      <c r="M220" s="34">
        <f>IF(AND(M$5&gt;=$F220,M$5&lt;=$G220),8,"")</f>
        <v/>
      </c>
      <c r="N220" s="34">
        <f>IF(AND(N$5&gt;=$F220,N$5&lt;=$G220),8,"")</f>
        <v/>
      </c>
      <c r="O220" s="34">
        <f>IF(AND(O$5&gt;=$F220,O$5&lt;=$G220),8,"")</f>
        <v/>
      </c>
      <c r="P220" s="34">
        <f>IF(AND(P$5&gt;=$F220,P$5&lt;=$G220),8,"")</f>
        <v/>
      </c>
      <c r="Q220" s="34">
        <f>IF(AND(Q$5&gt;=$F220,Q$5&lt;=$G220),8,"")</f>
        <v/>
      </c>
      <c r="R220" s="34">
        <f>IF(AND(R$5&gt;=$F220,R$5&lt;=$G220),8,"")</f>
        <v/>
      </c>
      <c r="S220" s="34">
        <f>IF(AND(S$5&gt;=$F220,S$5&lt;=$G220),8,"")</f>
        <v/>
      </c>
      <c r="T220" s="34">
        <f>IF(AND(T$5&gt;=$F220,T$5&lt;=$G220),8,"")</f>
        <v/>
      </c>
      <c r="U220" s="34">
        <f>IF(AND(U$5&gt;=$F220,U$5&lt;=$G220),8,"")</f>
        <v/>
      </c>
      <c r="V220" s="34">
        <f>IF(AND(V$5&gt;=$F220,V$5&lt;=$G220),8,"")</f>
        <v/>
      </c>
      <c r="W220" s="34">
        <f>IF(AND(W$5&gt;=$F220,W$5&lt;=$G220),8,"")</f>
        <v/>
      </c>
      <c r="X220" s="34">
        <f>IF(AND(X$5&gt;=$F220,X$5&lt;=$G220),8,"")</f>
        <v/>
      </c>
      <c r="Y220" s="34">
        <f>IF(AND(Y$5&gt;=$F220,Y$5&lt;=$G220),8,"")</f>
        <v/>
      </c>
      <c r="Z220" s="34">
        <f>IF(AND(Z$5&gt;=$F220,Z$5&lt;=$G220),8,"")</f>
        <v/>
      </c>
      <c r="AA220" s="34">
        <f>IF(AND(AA$5&gt;=$F220,AA$5&lt;=$G220),8,"")</f>
        <v/>
      </c>
      <c r="AB220" s="34">
        <f>IF(AND(AB$5&gt;=$F220,AB$5&lt;=$G220),8,"")</f>
        <v/>
      </c>
      <c r="AC220" s="34">
        <f>IF(AND(AC$5&gt;=$F220,AC$5&lt;=$G220),8,"")</f>
        <v/>
      </c>
      <c r="AD220" s="34">
        <f>IF(AND(AD$5&gt;=$F220,AD$5&lt;=$G220),8,"")</f>
        <v/>
      </c>
      <c r="AE220" s="34">
        <f>IF(AND(AE$5&gt;=$F220,AE$5&lt;=$G220),8,"")</f>
        <v/>
      </c>
      <c r="AF220" s="34">
        <f>IF(AND(AF$5&gt;=$F220,AF$5&lt;=$G220),8,"")</f>
        <v/>
      </c>
      <c r="AG220" s="34">
        <f>IF(AND(AG$5&gt;=$F220,AG$5&lt;=$G220),8,"")</f>
        <v/>
      </c>
      <c r="AH220" s="34">
        <f>IF(AND(AH$5&gt;=$F220,AH$5&lt;=$G220),8,"")</f>
        <v/>
      </c>
      <c r="AI220" s="34">
        <f>IF(AND(AI$5&gt;=$F220,AI$5&lt;=$G220),8,"")</f>
        <v/>
      </c>
      <c r="AJ220" s="34">
        <f>IF(AND(AJ$5&gt;=$F220,AJ$5&lt;=$G220),8,"")</f>
        <v/>
      </c>
      <c r="AK220" s="34">
        <f>IF(AND(AK$5&gt;=$F220,AK$5&lt;=$G220),8,"")</f>
        <v/>
      </c>
      <c r="AL220" s="34">
        <f>IF(AND(AL$5&gt;=$F220,AL$5&lt;=$G220),8,"")</f>
        <v/>
      </c>
      <c r="AM220" s="34">
        <f>IF(AND(AM$5&gt;=$F220,AM$5&lt;=$G220),8,"")</f>
        <v/>
      </c>
      <c r="AN220" s="34">
        <f>IF(AND(AN$5&gt;=$F220,AN$5&lt;=$G220),8,"")</f>
        <v/>
      </c>
      <c r="AO220" s="34">
        <f>IF(AND(AO$5&gt;=$F220,AO$5&lt;=$G220),8,"")</f>
        <v/>
      </c>
      <c r="AP220" s="34">
        <f>IF(AND(AP$5&gt;=$F220,AP$5&lt;=$G220),8,"")</f>
        <v/>
      </c>
      <c r="AQ220" s="34">
        <f>IF(AND(AQ$5&gt;=$F220,AQ$5&lt;=$G220),8,"")</f>
        <v/>
      </c>
      <c r="AR220" s="34">
        <f>IF(AND(AR$5&gt;=$F220,AR$5&lt;=$G220),8,"")</f>
        <v/>
      </c>
      <c r="AS220" s="34">
        <f>IF(AND(AS$5&gt;=$F220,AS$5&lt;=$G220),8,"")</f>
        <v/>
      </c>
      <c r="AT220" s="34">
        <f>IF(AND(AT$5&gt;=$F220,AT$5&lt;=$G220),8,"")</f>
        <v/>
      </c>
      <c r="AU220" s="34">
        <f>IF(AND(AU$5&gt;=$F220,AU$5&lt;=$G220),8,"")</f>
        <v/>
      </c>
      <c r="AV220" s="34">
        <f>IF(AND(AV$5&gt;=$F220,AV$5&lt;=$G220),8,"")</f>
        <v/>
      </c>
      <c r="AW220" s="34">
        <f>IF(AND(AW$5&gt;=$F220,AW$5&lt;=$G220),8,"")</f>
        <v/>
      </c>
      <c r="AX220" s="34">
        <f>IF(AND(AX$5&gt;=$F220,AX$5&lt;=$G220),8,"")</f>
        <v/>
      </c>
      <c r="AY220" s="34">
        <f>IF(AND(AY$5&gt;=$F220,AY$5&lt;=$G220),8,"")</f>
        <v/>
      </c>
      <c r="AZ220" s="34">
        <f>IF(AND(AZ$5&gt;=$F220,AZ$5&lt;=$G220),8,"")</f>
        <v/>
      </c>
      <c r="BA220" s="34">
        <f>IF(AND(BA$5&gt;=$F220,BA$5&lt;=$G220),8,"")</f>
        <v/>
      </c>
      <c r="BB220" s="34">
        <f>IF(AND(BB$5&gt;=$F220,BB$5&lt;=$G220),8,"")</f>
        <v/>
      </c>
      <c r="BC220" s="34">
        <f>IF(AND(BC$5&gt;=$F220,BC$5&lt;=$G220),8,"")</f>
        <v/>
      </c>
      <c r="BD220" s="34">
        <f>IF(AND(BD$5&gt;=$F220,BD$5&lt;=$G220),8,"")</f>
        <v/>
      </c>
      <c r="BE220" s="34">
        <f>IF(AND(BE$5&gt;=$F220,BE$5&lt;=$G220),8,"")</f>
        <v/>
      </c>
      <c r="BF220" s="34">
        <f>IF(AND(BF$5&gt;=$F220,BF$5&lt;=$G220),8,"")</f>
        <v/>
      </c>
      <c r="BG220" s="34">
        <f>IF(AND(BG$5&gt;=$F220,BG$5&lt;=$G220),8,"")</f>
        <v/>
      </c>
      <c r="BH220" s="34">
        <f>IF(AND(BH$5&gt;=$F220,BH$5&lt;=$G220),8,"")</f>
        <v/>
      </c>
      <c r="BI220" s="34">
        <f>IF(AND(BI$5&gt;=$F220,BI$5&lt;=$G220),8,"")</f>
        <v/>
      </c>
      <c r="BJ220" s="34">
        <f>IF(AND(BJ$5&gt;=$F220,BJ$5&lt;=$G220),8,"")</f>
        <v/>
      </c>
      <c r="BK220" s="34">
        <f>IF(AND(BK$5&gt;=$F220,BK$5&lt;=$G220),8,"")</f>
        <v/>
      </c>
      <c r="BL220" s="34">
        <f>IF(AND(BL$5&gt;=$F220,BL$5&lt;=$G220),8,"")</f>
        <v/>
      </c>
      <c r="BM220" s="34">
        <f>IF(AND(BM$5&gt;=$F220,BM$5&lt;=$G220),8,"")</f>
        <v/>
      </c>
      <c r="BN220" s="34">
        <f>IF(AND(BN$5&gt;=$F220,BN$5&lt;=$G220),8,"")</f>
        <v/>
      </c>
    </row>
    <row r="221" ht="14.25" customHeight="1" s="36">
      <c r="A221" s="13" t="inlineStr">
        <is>
          <t>8 Operación y soporte</t>
        </is>
      </c>
      <c r="B221" s="13" t="inlineStr">
        <is>
          <t>8.4.2</t>
        </is>
      </c>
      <c r="C221" s="13" t="inlineStr">
        <is>
          <t>Informes mensuales de consumo de nube (FinOps) durante los 36 meses de operación</t>
        </is>
      </c>
      <c r="D221" s="13" t="inlineStr">
        <is>
          <t>R</t>
        </is>
      </c>
      <c r="E221" s="13" t="inlineStr">
        <is>
          <t>Operación / SRE</t>
        </is>
      </c>
      <c r="F221" s="13" t="n">
        <v>21</v>
      </c>
      <c r="G221" s="13" t="n">
        <v>56</v>
      </c>
      <c r="H221" s="13">
        <f>G221-F221+1</f>
        <v/>
      </c>
      <c r="I221" s="31" t="n">
        <v>576</v>
      </c>
      <c r="J221" s="13" t="inlineStr">
        <is>
          <t>Esfuerzo continuo (por quincena u ocurrencia)</t>
        </is>
      </c>
      <c r="K221" s="34">
        <f>IF(AND(K$5&gt;=$F221,K$5&lt;=$G221),8,"")</f>
        <v/>
      </c>
      <c r="L221" s="34">
        <f>IF(AND(L$5&gt;=$F221,L$5&lt;=$G221),8,"")</f>
        <v/>
      </c>
      <c r="M221" s="34">
        <f>IF(AND(M$5&gt;=$F221,M$5&lt;=$G221),8,"")</f>
        <v/>
      </c>
      <c r="N221" s="34">
        <f>IF(AND(N$5&gt;=$F221,N$5&lt;=$G221),8,"")</f>
        <v/>
      </c>
      <c r="O221" s="34">
        <f>IF(AND(O$5&gt;=$F221,O$5&lt;=$G221),8,"")</f>
        <v/>
      </c>
      <c r="P221" s="34">
        <f>IF(AND(P$5&gt;=$F221,P$5&lt;=$G221),8,"")</f>
        <v/>
      </c>
      <c r="Q221" s="34">
        <f>IF(AND(Q$5&gt;=$F221,Q$5&lt;=$G221),8,"")</f>
        <v/>
      </c>
      <c r="R221" s="34">
        <f>IF(AND(R$5&gt;=$F221,R$5&lt;=$G221),8,"")</f>
        <v/>
      </c>
      <c r="S221" s="34">
        <f>IF(AND(S$5&gt;=$F221,S$5&lt;=$G221),8,"")</f>
        <v/>
      </c>
      <c r="T221" s="34">
        <f>IF(AND(T$5&gt;=$F221,T$5&lt;=$G221),8,"")</f>
        <v/>
      </c>
      <c r="U221" s="34">
        <f>IF(AND(U$5&gt;=$F221,U$5&lt;=$G221),8,"")</f>
        <v/>
      </c>
      <c r="V221" s="34">
        <f>IF(AND(V$5&gt;=$F221,V$5&lt;=$G221),8,"")</f>
        <v/>
      </c>
      <c r="W221" s="34">
        <f>IF(AND(W$5&gt;=$F221,W$5&lt;=$G221),8,"")</f>
        <v/>
      </c>
      <c r="X221" s="34">
        <f>IF(AND(X$5&gt;=$F221,X$5&lt;=$G221),8,"")</f>
        <v/>
      </c>
      <c r="Y221" s="34">
        <f>IF(AND(Y$5&gt;=$F221,Y$5&lt;=$G221),8,"")</f>
        <v/>
      </c>
      <c r="Z221" s="34">
        <f>IF(AND(Z$5&gt;=$F221,Z$5&lt;=$G221),8,"")</f>
        <v/>
      </c>
      <c r="AA221" s="34">
        <f>IF(AND(AA$5&gt;=$F221,AA$5&lt;=$G221),8,"")</f>
        <v/>
      </c>
      <c r="AB221" s="34">
        <f>IF(AND(AB$5&gt;=$F221,AB$5&lt;=$G221),8,"")</f>
        <v/>
      </c>
      <c r="AC221" s="34">
        <f>IF(AND(AC$5&gt;=$F221,AC$5&lt;=$G221),8,"")</f>
        <v/>
      </c>
      <c r="AD221" s="34">
        <f>IF(AND(AD$5&gt;=$F221,AD$5&lt;=$G221),8,"")</f>
        <v/>
      </c>
      <c r="AE221" s="34">
        <f>IF(AND(AE$5&gt;=$F221,AE$5&lt;=$G221),8,"")</f>
        <v/>
      </c>
      <c r="AF221" s="34">
        <f>IF(AND(AF$5&gt;=$F221,AF$5&lt;=$G221),8,"")</f>
        <v/>
      </c>
      <c r="AG221" s="34">
        <f>IF(AND(AG$5&gt;=$F221,AG$5&lt;=$G221),8,"")</f>
        <v/>
      </c>
      <c r="AH221" s="34">
        <f>IF(AND(AH$5&gt;=$F221,AH$5&lt;=$G221),8,"")</f>
        <v/>
      </c>
      <c r="AI221" s="34">
        <f>IF(AND(AI$5&gt;=$F221,AI$5&lt;=$G221),8,"")</f>
        <v/>
      </c>
      <c r="AJ221" s="34">
        <f>IF(AND(AJ$5&gt;=$F221,AJ$5&lt;=$G221),8,"")</f>
        <v/>
      </c>
      <c r="AK221" s="34">
        <f>IF(AND(AK$5&gt;=$F221,AK$5&lt;=$G221),8,"")</f>
        <v/>
      </c>
      <c r="AL221" s="34">
        <f>IF(AND(AL$5&gt;=$F221,AL$5&lt;=$G221),8,"")</f>
        <v/>
      </c>
      <c r="AM221" s="34">
        <f>IF(AND(AM$5&gt;=$F221,AM$5&lt;=$G221),8,"")</f>
        <v/>
      </c>
      <c r="AN221" s="34">
        <f>IF(AND(AN$5&gt;=$F221,AN$5&lt;=$G221),8,"")</f>
        <v/>
      </c>
      <c r="AO221" s="34">
        <f>IF(AND(AO$5&gt;=$F221,AO$5&lt;=$G221),8,"")</f>
        <v/>
      </c>
      <c r="AP221" s="34">
        <f>IF(AND(AP$5&gt;=$F221,AP$5&lt;=$G221),8,"")</f>
        <v/>
      </c>
      <c r="AQ221" s="34">
        <f>IF(AND(AQ$5&gt;=$F221,AQ$5&lt;=$G221),8,"")</f>
        <v/>
      </c>
      <c r="AR221" s="34">
        <f>IF(AND(AR$5&gt;=$F221,AR$5&lt;=$G221),8,"")</f>
        <v/>
      </c>
      <c r="AS221" s="34">
        <f>IF(AND(AS$5&gt;=$F221,AS$5&lt;=$G221),8,"")</f>
        <v/>
      </c>
      <c r="AT221" s="34">
        <f>IF(AND(AT$5&gt;=$F221,AT$5&lt;=$G221),8,"")</f>
        <v/>
      </c>
      <c r="AU221" s="34">
        <f>IF(AND(AU$5&gt;=$F221,AU$5&lt;=$G221),8,"")</f>
        <v/>
      </c>
      <c r="AV221" s="34">
        <f>IF(AND(AV$5&gt;=$F221,AV$5&lt;=$G221),8,"")</f>
        <v/>
      </c>
      <c r="AW221" s="34">
        <f>IF(AND(AW$5&gt;=$F221,AW$5&lt;=$G221),8,"")</f>
        <v/>
      </c>
      <c r="AX221" s="34">
        <f>IF(AND(AX$5&gt;=$F221,AX$5&lt;=$G221),8,"")</f>
        <v/>
      </c>
      <c r="AY221" s="34">
        <f>IF(AND(AY$5&gt;=$F221,AY$5&lt;=$G221),8,"")</f>
        <v/>
      </c>
      <c r="AZ221" s="34">
        <f>IF(AND(AZ$5&gt;=$F221,AZ$5&lt;=$G221),8,"")</f>
        <v/>
      </c>
      <c r="BA221" s="34">
        <f>IF(AND(BA$5&gt;=$F221,BA$5&lt;=$G221),8,"")</f>
        <v/>
      </c>
      <c r="BB221" s="34">
        <f>IF(AND(BB$5&gt;=$F221,BB$5&lt;=$G221),8,"")</f>
        <v/>
      </c>
      <c r="BC221" s="34">
        <f>IF(AND(BC$5&gt;=$F221,BC$5&lt;=$G221),8,"")</f>
        <v/>
      </c>
      <c r="BD221" s="34">
        <f>IF(AND(BD$5&gt;=$F221,BD$5&lt;=$G221),8,"")</f>
        <v/>
      </c>
      <c r="BE221" s="34">
        <f>IF(AND(BE$5&gt;=$F221,BE$5&lt;=$G221),8,"")</f>
        <v/>
      </c>
      <c r="BF221" s="34">
        <f>IF(AND(BF$5&gt;=$F221,BF$5&lt;=$G221),8,"")</f>
        <v/>
      </c>
      <c r="BG221" s="34">
        <f>IF(AND(BG$5&gt;=$F221,BG$5&lt;=$G221),8,"")</f>
        <v/>
      </c>
      <c r="BH221" s="34">
        <f>IF(AND(BH$5&gt;=$F221,BH$5&lt;=$G221),8,"")</f>
        <v/>
      </c>
      <c r="BI221" s="34">
        <f>IF(AND(BI$5&gt;=$F221,BI$5&lt;=$G221),8,"")</f>
        <v/>
      </c>
      <c r="BJ221" s="34">
        <f>IF(AND(BJ$5&gt;=$F221,BJ$5&lt;=$G221),8,"")</f>
        <v/>
      </c>
      <c r="BK221" s="34">
        <f>IF(AND(BK$5&gt;=$F221,BK$5&lt;=$G221),8,"")</f>
        <v/>
      </c>
      <c r="BL221" s="34">
        <f>IF(AND(BL$5&gt;=$F221,BL$5&lt;=$G221),8,"")</f>
        <v/>
      </c>
      <c r="BM221" s="34">
        <f>IF(AND(BM$5&gt;=$F221,BM$5&lt;=$G221),8,"")</f>
        <v/>
      </c>
      <c r="BN221" s="34">
        <f>IF(AND(BN$5&gt;=$F221,BN$5&lt;=$G221),8,"")</f>
        <v/>
      </c>
    </row>
    <row r="222" ht="14.25" customHeight="1" s="36">
      <c r="A222" s="13" t="inlineStr">
        <is>
          <t>8 Operación y soporte</t>
        </is>
      </c>
      <c r="B222" s="13" t="inlineStr">
        <is>
          <t>8.4.3</t>
        </is>
      </c>
      <c r="C222" s="13" t="inlineStr">
        <is>
          <t>Estimaciones anuales de la huella de carbono de la operación</t>
        </is>
      </c>
      <c r="D222" s="13" t="inlineStr">
        <is>
          <t>R</t>
        </is>
      </c>
      <c r="E222" s="13" t="inlineStr">
        <is>
          <t>Operación / SRE</t>
        </is>
      </c>
      <c r="F222" s="13" t="n">
        <v>21</v>
      </c>
      <c r="G222" s="13" t="n">
        <v>56</v>
      </c>
      <c r="H222" s="13">
        <f>G222-F222+1</f>
        <v/>
      </c>
      <c r="I222" s="31" t="n">
        <v>288</v>
      </c>
      <c r="J222" s="13" t="inlineStr">
        <is>
          <t>Esfuerzo continuo (por quincena u ocurrencia)</t>
        </is>
      </c>
      <c r="K222" s="34">
        <f>IF(AND(K$5&gt;=$F222,K$5&lt;=$G222),8,"")</f>
        <v/>
      </c>
      <c r="L222" s="34">
        <f>IF(AND(L$5&gt;=$F222,L$5&lt;=$G222),8,"")</f>
        <v/>
      </c>
      <c r="M222" s="34">
        <f>IF(AND(M$5&gt;=$F222,M$5&lt;=$G222),8,"")</f>
        <v/>
      </c>
      <c r="N222" s="34">
        <f>IF(AND(N$5&gt;=$F222,N$5&lt;=$G222),8,"")</f>
        <v/>
      </c>
      <c r="O222" s="34">
        <f>IF(AND(O$5&gt;=$F222,O$5&lt;=$G222),8,"")</f>
        <v/>
      </c>
      <c r="P222" s="34">
        <f>IF(AND(P$5&gt;=$F222,P$5&lt;=$G222),8,"")</f>
        <v/>
      </c>
      <c r="Q222" s="34">
        <f>IF(AND(Q$5&gt;=$F222,Q$5&lt;=$G222),8,"")</f>
        <v/>
      </c>
      <c r="R222" s="34">
        <f>IF(AND(R$5&gt;=$F222,R$5&lt;=$G222),8,"")</f>
        <v/>
      </c>
      <c r="S222" s="34">
        <f>IF(AND(S$5&gt;=$F222,S$5&lt;=$G222),8,"")</f>
        <v/>
      </c>
      <c r="T222" s="34">
        <f>IF(AND(T$5&gt;=$F222,T$5&lt;=$G222),8,"")</f>
        <v/>
      </c>
      <c r="U222" s="34">
        <f>IF(AND(U$5&gt;=$F222,U$5&lt;=$G222),8,"")</f>
        <v/>
      </c>
      <c r="V222" s="34">
        <f>IF(AND(V$5&gt;=$F222,V$5&lt;=$G222),8,"")</f>
        <v/>
      </c>
      <c r="W222" s="34">
        <f>IF(AND(W$5&gt;=$F222,W$5&lt;=$G222),8,"")</f>
        <v/>
      </c>
      <c r="X222" s="34">
        <f>IF(AND(X$5&gt;=$F222,X$5&lt;=$G222),8,"")</f>
        <v/>
      </c>
      <c r="Y222" s="34">
        <f>IF(AND(Y$5&gt;=$F222,Y$5&lt;=$G222),8,"")</f>
        <v/>
      </c>
      <c r="Z222" s="34">
        <f>IF(AND(Z$5&gt;=$F222,Z$5&lt;=$G222),8,"")</f>
        <v/>
      </c>
      <c r="AA222" s="34">
        <f>IF(AND(AA$5&gt;=$F222,AA$5&lt;=$G222),8,"")</f>
        <v/>
      </c>
      <c r="AB222" s="34">
        <f>IF(AND(AB$5&gt;=$F222,AB$5&lt;=$G222),8,"")</f>
        <v/>
      </c>
      <c r="AC222" s="34">
        <f>IF(AND(AC$5&gt;=$F222,AC$5&lt;=$G222),8,"")</f>
        <v/>
      </c>
      <c r="AD222" s="34">
        <f>IF(AND(AD$5&gt;=$F222,AD$5&lt;=$G222),8,"")</f>
        <v/>
      </c>
      <c r="AE222" s="34">
        <f>IF(AND(AE$5&gt;=$F222,AE$5&lt;=$G222),8,"")</f>
        <v/>
      </c>
      <c r="AF222" s="34">
        <f>IF(AND(AF$5&gt;=$F222,AF$5&lt;=$G222),8,"")</f>
        <v/>
      </c>
      <c r="AG222" s="34">
        <f>IF(AND(AG$5&gt;=$F222,AG$5&lt;=$G222),8,"")</f>
        <v/>
      </c>
      <c r="AH222" s="34">
        <f>IF(AND(AH$5&gt;=$F222,AH$5&lt;=$G222),8,"")</f>
        <v/>
      </c>
      <c r="AI222" s="34">
        <f>IF(AND(AI$5&gt;=$F222,AI$5&lt;=$G222),8,"")</f>
        <v/>
      </c>
      <c r="AJ222" s="34">
        <f>IF(AND(AJ$5&gt;=$F222,AJ$5&lt;=$G222),8,"")</f>
        <v/>
      </c>
      <c r="AK222" s="34">
        <f>IF(AND(AK$5&gt;=$F222,AK$5&lt;=$G222),8,"")</f>
        <v/>
      </c>
      <c r="AL222" s="34">
        <f>IF(AND(AL$5&gt;=$F222,AL$5&lt;=$G222),8,"")</f>
        <v/>
      </c>
      <c r="AM222" s="34">
        <f>IF(AND(AM$5&gt;=$F222,AM$5&lt;=$G222),8,"")</f>
        <v/>
      </c>
      <c r="AN222" s="34">
        <f>IF(AND(AN$5&gt;=$F222,AN$5&lt;=$G222),8,"")</f>
        <v/>
      </c>
      <c r="AO222" s="34">
        <f>IF(AND(AO$5&gt;=$F222,AO$5&lt;=$G222),8,"")</f>
        <v/>
      </c>
      <c r="AP222" s="34">
        <f>IF(AND(AP$5&gt;=$F222,AP$5&lt;=$G222),8,"")</f>
        <v/>
      </c>
      <c r="AQ222" s="34">
        <f>IF(AND(AQ$5&gt;=$F222,AQ$5&lt;=$G222),8,"")</f>
        <v/>
      </c>
      <c r="AR222" s="34">
        <f>IF(AND(AR$5&gt;=$F222,AR$5&lt;=$G222),8,"")</f>
        <v/>
      </c>
      <c r="AS222" s="34">
        <f>IF(AND(AS$5&gt;=$F222,AS$5&lt;=$G222),8,"")</f>
        <v/>
      </c>
      <c r="AT222" s="34">
        <f>IF(AND(AT$5&gt;=$F222,AT$5&lt;=$G222),8,"")</f>
        <v/>
      </c>
      <c r="AU222" s="34">
        <f>IF(AND(AU$5&gt;=$F222,AU$5&lt;=$G222),8,"")</f>
        <v/>
      </c>
      <c r="AV222" s="34">
        <f>IF(AND(AV$5&gt;=$F222,AV$5&lt;=$G222),8,"")</f>
        <v/>
      </c>
      <c r="AW222" s="34">
        <f>IF(AND(AW$5&gt;=$F222,AW$5&lt;=$G222),8,"")</f>
        <v/>
      </c>
      <c r="AX222" s="34">
        <f>IF(AND(AX$5&gt;=$F222,AX$5&lt;=$G222),8,"")</f>
        <v/>
      </c>
      <c r="AY222" s="34">
        <f>IF(AND(AY$5&gt;=$F222,AY$5&lt;=$G222),8,"")</f>
        <v/>
      </c>
      <c r="AZ222" s="34">
        <f>IF(AND(AZ$5&gt;=$F222,AZ$5&lt;=$G222),8,"")</f>
        <v/>
      </c>
      <c r="BA222" s="34">
        <f>IF(AND(BA$5&gt;=$F222,BA$5&lt;=$G222),8,"")</f>
        <v/>
      </c>
      <c r="BB222" s="34">
        <f>IF(AND(BB$5&gt;=$F222,BB$5&lt;=$G222),8,"")</f>
        <v/>
      </c>
      <c r="BC222" s="34">
        <f>IF(AND(BC$5&gt;=$F222,BC$5&lt;=$G222),8,"")</f>
        <v/>
      </c>
      <c r="BD222" s="34">
        <f>IF(AND(BD$5&gt;=$F222,BD$5&lt;=$G222),8,"")</f>
        <v/>
      </c>
      <c r="BE222" s="34">
        <f>IF(AND(BE$5&gt;=$F222,BE$5&lt;=$G222),8,"")</f>
        <v/>
      </c>
      <c r="BF222" s="34">
        <f>IF(AND(BF$5&gt;=$F222,BF$5&lt;=$G222),8,"")</f>
        <v/>
      </c>
      <c r="BG222" s="34">
        <f>IF(AND(BG$5&gt;=$F222,BG$5&lt;=$G222),8,"")</f>
        <v/>
      </c>
      <c r="BH222" s="34">
        <f>IF(AND(BH$5&gt;=$F222,BH$5&lt;=$G222),8,"")</f>
        <v/>
      </c>
      <c r="BI222" s="34">
        <f>IF(AND(BI$5&gt;=$F222,BI$5&lt;=$G222),8,"")</f>
        <v/>
      </c>
      <c r="BJ222" s="34">
        <f>IF(AND(BJ$5&gt;=$F222,BJ$5&lt;=$G222),8,"")</f>
        <v/>
      </c>
      <c r="BK222" s="34">
        <f>IF(AND(BK$5&gt;=$F222,BK$5&lt;=$G222),8,"")</f>
        <v/>
      </c>
      <c r="BL222" s="34">
        <f>IF(AND(BL$5&gt;=$F222,BL$5&lt;=$G222),8,"")</f>
        <v/>
      </c>
      <c r="BM222" s="34">
        <f>IF(AND(BM$5&gt;=$F222,BM$5&lt;=$G222),8,"")</f>
        <v/>
      </c>
      <c r="BN222" s="34">
        <f>IF(AND(BN$5&gt;=$F222,BN$5&lt;=$G222),8,"")</f>
        <v/>
      </c>
    </row>
    <row r="223" ht="14.25" customHeight="1" s="36">
      <c r="A223" s="13" t="inlineStr">
        <is>
          <t>8 Operación y soporte</t>
        </is>
      </c>
      <c r="B223" s="13" t="inlineStr">
        <is>
          <t>8.4.4</t>
        </is>
      </c>
      <c r="C223" s="13" t="inlineStr">
        <is>
          <t>Actualizaciones semestrales del depósito de custodia de fuentes durante los 36 meses de operación</t>
        </is>
      </c>
      <c r="D223" s="13" t="inlineStr">
        <is>
          <t>R</t>
        </is>
      </c>
      <c r="E223" s="13" t="inlineStr">
        <is>
          <t>Jefe de Proyecto</t>
        </is>
      </c>
      <c r="F223" s="13" t="n">
        <v>21</v>
      </c>
      <c r="G223" s="13" t="n">
        <v>56</v>
      </c>
      <c r="H223" s="13">
        <f>G223-F223+1</f>
        <v/>
      </c>
      <c r="I223" s="31" t="n">
        <v>288</v>
      </c>
      <c r="J223" s="13" t="inlineStr">
        <is>
          <t>Esfuerzo continuo (por quincena u ocurrencia)</t>
        </is>
      </c>
      <c r="K223" s="34">
        <f>IF(AND(K$5&gt;=$F223,K$5&lt;=$G223),8,"")</f>
        <v/>
      </c>
      <c r="L223" s="34">
        <f>IF(AND(L$5&gt;=$F223,L$5&lt;=$G223),8,"")</f>
        <v/>
      </c>
      <c r="M223" s="34">
        <f>IF(AND(M$5&gt;=$F223,M$5&lt;=$G223),8,"")</f>
        <v/>
      </c>
      <c r="N223" s="34">
        <f>IF(AND(N$5&gt;=$F223,N$5&lt;=$G223),8,"")</f>
        <v/>
      </c>
      <c r="O223" s="34">
        <f>IF(AND(O$5&gt;=$F223,O$5&lt;=$G223),8,"")</f>
        <v/>
      </c>
      <c r="P223" s="34">
        <f>IF(AND(P$5&gt;=$F223,P$5&lt;=$G223),8,"")</f>
        <v/>
      </c>
      <c r="Q223" s="34">
        <f>IF(AND(Q$5&gt;=$F223,Q$5&lt;=$G223),8,"")</f>
        <v/>
      </c>
      <c r="R223" s="34">
        <f>IF(AND(R$5&gt;=$F223,R$5&lt;=$G223),8,"")</f>
        <v/>
      </c>
      <c r="S223" s="34">
        <f>IF(AND(S$5&gt;=$F223,S$5&lt;=$G223),8,"")</f>
        <v/>
      </c>
      <c r="T223" s="34">
        <f>IF(AND(T$5&gt;=$F223,T$5&lt;=$G223),8,"")</f>
        <v/>
      </c>
      <c r="U223" s="34">
        <f>IF(AND(U$5&gt;=$F223,U$5&lt;=$G223),8,"")</f>
        <v/>
      </c>
      <c r="V223" s="34">
        <f>IF(AND(V$5&gt;=$F223,V$5&lt;=$G223),8,"")</f>
        <v/>
      </c>
      <c r="W223" s="34">
        <f>IF(AND(W$5&gt;=$F223,W$5&lt;=$G223),8,"")</f>
        <v/>
      </c>
      <c r="X223" s="34">
        <f>IF(AND(X$5&gt;=$F223,X$5&lt;=$G223),8,"")</f>
        <v/>
      </c>
      <c r="Y223" s="34">
        <f>IF(AND(Y$5&gt;=$F223,Y$5&lt;=$G223),8,"")</f>
        <v/>
      </c>
      <c r="Z223" s="34">
        <f>IF(AND(Z$5&gt;=$F223,Z$5&lt;=$G223),8,"")</f>
        <v/>
      </c>
      <c r="AA223" s="34">
        <f>IF(AND(AA$5&gt;=$F223,AA$5&lt;=$G223),8,"")</f>
        <v/>
      </c>
      <c r="AB223" s="34">
        <f>IF(AND(AB$5&gt;=$F223,AB$5&lt;=$G223),8,"")</f>
        <v/>
      </c>
      <c r="AC223" s="34">
        <f>IF(AND(AC$5&gt;=$F223,AC$5&lt;=$G223),8,"")</f>
        <v/>
      </c>
      <c r="AD223" s="34">
        <f>IF(AND(AD$5&gt;=$F223,AD$5&lt;=$G223),8,"")</f>
        <v/>
      </c>
      <c r="AE223" s="34">
        <f>IF(AND(AE$5&gt;=$F223,AE$5&lt;=$G223),8,"")</f>
        <v/>
      </c>
      <c r="AF223" s="34">
        <f>IF(AND(AF$5&gt;=$F223,AF$5&lt;=$G223),8,"")</f>
        <v/>
      </c>
      <c r="AG223" s="34">
        <f>IF(AND(AG$5&gt;=$F223,AG$5&lt;=$G223),8,"")</f>
        <v/>
      </c>
      <c r="AH223" s="34">
        <f>IF(AND(AH$5&gt;=$F223,AH$5&lt;=$G223),8,"")</f>
        <v/>
      </c>
      <c r="AI223" s="34">
        <f>IF(AND(AI$5&gt;=$F223,AI$5&lt;=$G223),8,"")</f>
        <v/>
      </c>
      <c r="AJ223" s="34">
        <f>IF(AND(AJ$5&gt;=$F223,AJ$5&lt;=$G223),8,"")</f>
        <v/>
      </c>
      <c r="AK223" s="34">
        <f>IF(AND(AK$5&gt;=$F223,AK$5&lt;=$G223),8,"")</f>
        <v/>
      </c>
      <c r="AL223" s="34">
        <f>IF(AND(AL$5&gt;=$F223,AL$5&lt;=$G223),8,"")</f>
        <v/>
      </c>
      <c r="AM223" s="34">
        <f>IF(AND(AM$5&gt;=$F223,AM$5&lt;=$G223),8,"")</f>
        <v/>
      </c>
      <c r="AN223" s="34">
        <f>IF(AND(AN$5&gt;=$F223,AN$5&lt;=$G223),8,"")</f>
        <v/>
      </c>
      <c r="AO223" s="34">
        <f>IF(AND(AO$5&gt;=$F223,AO$5&lt;=$G223),8,"")</f>
        <v/>
      </c>
      <c r="AP223" s="34">
        <f>IF(AND(AP$5&gt;=$F223,AP$5&lt;=$G223),8,"")</f>
        <v/>
      </c>
      <c r="AQ223" s="34">
        <f>IF(AND(AQ$5&gt;=$F223,AQ$5&lt;=$G223),8,"")</f>
        <v/>
      </c>
      <c r="AR223" s="34">
        <f>IF(AND(AR$5&gt;=$F223,AR$5&lt;=$G223),8,"")</f>
        <v/>
      </c>
      <c r="AS223" s="34">
        <f>IF(AND(AS$5&gt;=$F223,AS$5&lt;=$G223),8,"")</f>
        <v/>
      </c>
      <c r="AT223" s="34">
        <f>IF(AND(AT$5&gt;=$F223,AT$5&lt;=$G223),8,"")</f>
        <v/>
      </c>
      <c r="AU223" s="34">
        <f>IF(AND(AU$5&gt;=$F223,AU$5&lt;=$G223),8,"")</f>
        <v/>
      </c>
      <c r="AV223" s="34">
        <f>IF(AND(AV$5&gt;=$F223,AV$5&lt;=$G223),8,"")</f>
        <v/>
      </c>
      <c r="AW223" s="34">
        <f>IF(AND(AW$5&gt;=$F223,AW$5&lt;=$G223),8,"")</f>
        <v/>
      </c>
      <c r="AX223" s="34">
        <f>IF(AND(AX$5&gt;=$F223,AX$5&lt;=$G223),8,"")</f>
        <v/>
      </c>
      <c r="AY223" s="34">
        <f>IF(AND(AY$5&gt;=$F223,AY$5&lt;=$G223),8,"")</f>
        <v/>
      </c>
      <c r="AZ223" s="34">
        <f>IF(AND(AZ$5&gt;=$F223,AZ$5&lt;=$G223),8,"")</f>
        <v/>
      </c>
      <c r="BA223" s="34">
        <f>IF(AND(BA$5&gt;=$F223,BA$5&lt;=$G223),8,"")</f>
        <v/>
      </c>
      <c r="BB223" s="34">
        <f>IF(AND(BB$5&gt;=$F223,BB$5&lt;=$G223),8,"")</f>
        <v/>
      </c>
      <c r="BC223" s="34">
        <f>IF(AND(BC$5&gt;=$F223,BC$5&lt;=$G223),8,"")</f>
        <v/>
      </c>
      <c r="BD223" s="34">
        <f>IF(AND(BD$5&gt;=$F223,BD$5&lt;=$G223),8,"")</f>
        <v/>
      </c>
      <c r="BE223" s="34">
        <f>IF(AND(BE$5&gt;=$F223,BE$5&lt;=$G223),8,"")</f>
        <v/>
      </c>
      <c r="BF223" s="34">
        <f>IF(AND(BF$5&gt;=$F223,BF$5&lt;=$G223),8,"")</f>
        <v/>
      </c>
      <c r="BG223" s="34">
        <f>IF(AND(BG$5&gt;=$F223,BG$5&lt;=$G223),8,"")</f>
        <v/>
      </c>
      <c r="BH223" s="34">
        <f>IF(AND(BH$5&gt;=$F223,BH$5&lt;=$G223),8,"")</f>
        <v/>
      </c>
      <c r="BI223" s="34">
        <f>IF(AND(BI$5&gt;=$F223,BI$5&lt;=$G223),8,"")</f>
        <v/>
      </c>
      <c r="BJ223" s="34">
        <f>IF(AND(BJ$5&gt;=$F223,BJ$5&lt;=$G223),8,"")</f>
        <v/>
      </c>
      <c r="BK223" s="34">
        <f>IF(AND(BK$5&gt;=$F223,BK$5&lt;=$G223),8,"")</f>
        <v/>
      </c>
      <c r="BL223" s="34">
        <f>IF(AND(BL$5&gt;=$F223,BL$5&lt;=$G223),8,"")</f>
        <v/>
      </c>
      <c r="BM223" s="34">
        <f>IF(AND(BM$5&gt;=$F223,BM$5&lt;=$G223),8,"")</f>
        <v/>
      </c>
      <c r="BN223" s="34">
        <f>IF(AND(BN$5&gt;=$F223,BN$5&lt;=$G223),8,"")</f>
        <v/>
      </c>
    </row>
    <row r="224" ht="14.25" customHeight="1" s="36">
      <c r="A224" s="13" t="inlineStr">
        <is>
          <t>8 Operación y soporte</t>
        </is>
      </c>
      <c r="B224" s="13" t="inlineStr">
        <is>
          <t>8.5.1</t>
        </is>
      </c>
      <c r="C224" s="13" t="inlineStr">
        <is>
          <t>Dos jornadas anuales de actualización y capacitación del personal nuevo durante los 36 meses de operación</t>
        </is>
      </c>
      <c r="D224" s="13" t="inlineStr">
        <is>
          <t>R</t>
        </is>
      </c>
      <c r="E224" s="13" t="inlineStr">
        <is>
          <t>Implantación y gestión del cambio</t>
        </is>
      </c>
      <c r="F224" s="13" t="n">
        <v>21</v>
      </c>
      <c r="G224" s="13" t="n">
        <v>56</v>
      </c>
      <c r="H224" s="13">
        <f>G224-F224+1</f>
        <v/>
      </c>
      <c r="I224" s="31" t="n">
        <v>1152</v>
      </c>
      <c r="J224" s="13" t="inlineStr">
        <is>
          <t>Esfuerzo continuo (por quincena u ocurrencia)</t>
        </is>
      </c>
      <c r="K224" s="34">
        <f>IF(AND(K$5&gt;=$F224,K$5&lt;=$G224),8,"")</f>
        <v/>
      </c>
      <c r="L224" s="34">
        <f>IF(AND(L$5&gt;=$F224,L$5&lt;=$G224),8,"")</f>
        <v/>
      </c>
      <c r="M224" s="34">
        <f>IF(AND(M$5&gt;=$F224,M$5&lt;=$G224),8,"")</f>
        <v/>
      </c>
      <c r="N224" s="34">
        <f>IF(AND(N$5&gt;=$F224,N$5&lt;=$G224),8,"")</f>
        <v/>
      </c>
      <c r="O224" s="34">
        <f>IF(AND(O$5&gt;=$F224,O$5&lt;=$G224),8,"")</f>
        <v/>
      </c>
      <c r="P224" s="34">
        <f>IF(AND(P$5&gt;=$F224,P$5&lt;=$G224),8,"")</f>
        <v/>
      </c>
      <c r="Q224" s="34">
        <f>IF(AND(Q$5&gt;=$F224,Q$5&lt;=$G224),8,"")</f>
        <v/>
      </c>
      <c r="R224" s="34">
        <f>IF(AND(R$5&gt;=$F224,R$5&lt;=$G224),8,"")</f>
        <v/>
      </c>
      <c r="S224" s="34">
        <f>IF(AND(S$5&gt;=$F224,S$5&lt;=$G224),8,"")</f>
        <v/>
      </c>
      <c r="T224" s="34">
        <f>IF(AND(T$5&gt;=$F224,T$5&lt;=$G224),8,"")</f>
        <v/>
      </c>
      <c r="U224" s="34">
        <f>IF(AND(U$5&gt;=$F224,U$5&lt;=$G224),8,"")</f>
        <v/>
      </c>
      <c r="V224" s="34">
        <f>IF(AND(V$5&gt;=$F224,V$5&lt;=$G224),8,"")</f>
        <v/>
      </c>
      <c r="W224" s="34">
        <f>IF(AND(W$5&gt;=$F224,W$5&lt;=$G224),8,"")</f>
        <v/>
      </c>
      <c r="X224" s="34">
        <f>IF(AND(X$5&gt;=$F224,X$5&lt;=$G224),8,"")</f>
        <v/>
      </c>
      <c r="Y224" s="34">
        <f>IF(AND(Y$5&gt;=$F224,Y$5&lt;=$G224),8,"")</f>
        <v/>
      </c>
      <c r="Z224" s="34">
        <f>IF(AND(Z$5&gt;=$F224,Z$5&lt;=$G224),8,"")</f>
        <v/>
      </c>
      <c r="AA224" s="34">
        <f>IF(AND(AA$5&gt;=$F224,AA$5&lt;=$G224),8,"")</f>
        <v/>
      </c>
      <c r="AB224" s="34">
        <f>IF(AND(AB$5&gt;=$F224,AB$5&lt;=$G224),8,"")</f>
        <v/>
      </c>
      <c r="AC224" s="34">
        <f>IF(AND(AC$5&gt;=$F224,AC$5&lt;=$G224),8,"")</f>
        <v/>
      </c>
      <c r="AD224" s="34">
        <f>IF(AND(AD$5&gt;=$F224,AD$5&lt;=$G224),8,"")</f>
        <v/>
      </c>
      <c r="AE224" s="34">
        <f>IF(AND(AE$5&gt;=$F224,AE$5&lt;=$G224),8,"")</f>
        <v/>
      </c>
      <c r="AF224" s="34">
        <f>IF(AND(AF$5&gt;=$F224,AF$5&lt;=$G224),8,"")</f>
        <v/>
      </c>
      <c r="AG224" s="34">
        <f>IF(AND(AG$5&gt;=$F224,AG$5&lt;=$G224),8,"")</f>
        <v/>
      </c>
      <c r="AH224" s="34">
        <f>IF(AND(AH$5&gt;=$F224,AH$5&lt;=$G224),8,"")</f>
        <v/>
      </c>
      <c r="AI224" s="34">
        <f>IF(AND(AI$5&gt;=$F224,AI$5&lt;=$G224),8,"")</f>
        <v/>
      </c>
      <c r="AJ224" s="34">
        <f>IF(AND(AJ$5&gt;=$F224,AJ$5&lt;=$G224),8,"")</f>
        <v/>
      </c>
      <c r="AK224" s="34">
        <f>IF(AND(AK$5&gt;=$F224,AK$5&lt;=$G224),8,"")</f>
        <v/>
      </c>
      <c r="AL224" s="34">
        <f>IF(AND(AL$5&gt;=$F224,AL$5&lt;=$G224),8,"")</f>
        <v/>
      </c>
      <c r="AM224" s="34">
        <f>IF(AND(AM$5&gt;=$F224,AM$5&lt;=$G224),8,"")</f>
        <v/>
      </c>
      <c r="AN224" s="34">
        <f>IF(AND(AN$5&gt;=$F224,AN$5&lt;=$G224),8,"")</f>
        <v/>
      </c>
      <c r="AO224" s="34">
        <f>IF(AND(AO$5&gt;=$F224,AO$5&lt;=$G224),8,"")</f>
        <v/>
      </c>
      <c r="AP224" s="34">
        <f>IF(AND(AP$5&gt;=$F224,AP$5&lt;=$G224),8,"")</f>
        <v/>
      </c>
      <c r="AQ224" s="34">
        <f>IF(AND(AQ$5&gt;=$F224,AQ$5&lt;=$G224),8,"")</f>
        <v/>
      </c>
      <c r="AR224" s="34">
        <f>IF(AND(AR$5&gt;=$F224,AR$5&lt;=$G224),8,"")</f>
        <v/>
      </c>
      <c r="AS224" s="34">
        <f>IF(AND(AS$5&gt;=$F224,AS$5&lt;=$G224),8,"")</f>
        <v/>
      </c>
      <c r="AT224" s="34">
        <f>IF(AND(AT$5&gt;=$F224,AT$5&lt;=$G224),8,"")</f>
        <v/>
      </c>
      <c r="AU224" s="34">
        <f>IF(AND(AU$5&gt;=$F224,AU$5&lt;=$G224),8,"")</f>
        <v/>
      </c>
      <c r="AV224" s="34">
        <f>IF(AND(AV$5&gt;=$F224,AV$5&lt;=$G224),8,"")</f>
        <v/>
      </c>
      <c r="AW224" s="34">
        <f>IF(AND(AW$5&gt;=$F224,AW$5&lt;=$G224),8,"")</f>
        <v/>
      </c>
      <c r="AX224" s="34">
        <f>IF(AND(AX$5&gt;=$F224,AX$5&lt;=$G224),8,"")</f>
        <v/>
      </c>
      <c r="AY224" s="34">
        <f>IF(AND(AY$5&gt;=$F224,AY$5&lt;=$G224),8,"")</f>
        <v/>
      </c>
      <c r="AZ224" s="34">
        <f>IF(AND(AZ$5&gt;=$F224,AZ$5&lt;=$G224),8,"")</f>
        <v/>
      </c>
      <c r="BA224" s="34">
        <f>IF(AND(BA$5&gt;=$F224,BA$5&lt;=$G224),8,"")</f>
        <v/>
      </c>
      <c r="BB224" s="34">
        <f>IF(AND(BB$5&gt;=$F224,BB$5&lt;=$G224),8,"")</f>
        <v/>
      </c>
      <c r="BC224" s="34">
        <f>IF(AND(BC$5&gt;=$F224,BC$5&lt;=$G224),8,"")</f>
        <v/>
      </c>
      <c r="BD224" s="34">
        <f>IF(AND(BD$5&gt;=$F224,BD$5&lt;=$G224),8,"")</f>
        <v/>
      </c>
      <c r="BE224" s="34">
        <f>IF(AND(BE$5&gt;=$F224,BE$5&lt;=$G224),8,"")</f>
        <v/>
      </c>
      <c r="BF224" s="34">
        <f>IF(AND(BF$5&gt;=$F224,BF$5&lt;=$G224),8,"")</f>
        <v/>
      </c>
      <c r="BG224" s="34">
        <f>IF(AND(BG$5&gt;=$F224,BG$5&lt;=$G224),8,"")</f>
        <v/>
      </c>
      <c r="BH224" s="34">
        <f>IF(AND(BH$5&gt;=$F224,BH$5&lt;=$G224),8,"")</f>
        <v/>
      </c>
      <c r="BI224" s="34">
        <f>IF(AND(BI$5&gt;=$F224,BI$5&lt;=$G224),8,"")</f>
        <v/>
      </c>
      <c r="BJ224" s="34">
        <f>IF(AND(BJ$5&gt;=$F224,BJ$5&lt;=$G224),8,"")</f>
        <v/>
      </c>
      <c r="BK224" s="34">
        <f>IF(AND(BK$5&gt;=$F224,BK$5&lt;=$G224),8,"")</f>
        <v/>
      </c>
      <c r="BL224" s="34">
        <f>IF(AND(BL$5&gt;=$F224,BL$5&lt;=$G224),8,"")</f>
        <v/>
      </c>
      <c r="BM224" s="34">
        <f>IF(AND(BM$5&gt;=$F224,BM$5&lt;=$G224),8,"")</f>
        <v/>
      </c>
      <c r="BN224" s="34">
        <f>IF(AND(BN$5&gt;=$F224,BN$5&lt;=$G224),8,"")</f>
        <v/>
      </c>
    </row>
    <row r="225" ht="14.25" customHeight="1" s="36">
      <c r="A225" s="13" t="inlineStr">
        <is>
          <t>8 Operación y soporte</t>
        </is>
      </c>
      <c r="B225" s="13" t="inlineStr">
        <is>
          <t>8.5.2</t>
        </is>
      </c>
      <c r="C225" s="13" t="inlineStr">
        <is>
          <t>Mentoría al equipo técnico del CLIENTE durante los seis meses posteriores al mes 21</t>
        </is>
      </c>
      <c r="D225" s="13" t="inlineStr">
        <is>
          <t>G</t>
        </is>
      </c>
      <c r="E225" s="13" t="inlineStr">
        <is>
          <t>Implantación y gestión del cambio</t>
        </is>
      </c>
      <c r="F225" s="13" t="n">
        <v>21</v>
      </c>
      <c r="G225" s="13" t="n">
        <v>27</v>
      </c>
      <c r="H225" s="13">
        <f>G225-F225+1</f>
        <v/>
      </c>
      <c r="I225" s="31" t="n">
        <v>80</v>
      </c>
      <c r="J225" s="13" t="inlineStr">
        <is>
          <t>Esfuerzo continuo (por quincena u ocurrencia)</t>
        </is>
      </c>
      <c r="K225" s="34">
        <f>IF(AND(K$5&gt;=$F225,K$5&lt;=$G225),8,"")</f>
        <v/>
      </c>
      <c r="L225" s="34">
        <f>IF(AND(L$5&gt;=$F225,L$5&lt;=$G225),8,"")</f>
        <v/>
      </c>
      <c r="M225" s="34">
        <f>IF(AND(M$5&gt;=$F225,M$5&lt;=$G225),8,"")</f>
        <v/>
      </c>
      <c r="N225" s="34">
        <f>IF(AND(N$5&gt;=$F225,N$5&lt;=$G225),8,"")</f>
        <v/>
      </c>
      <c r="O225" s="34">
        <f>IF(AND(O$5&gt;=$F225,O$5&lt;=$G225),8,"")</f>
        <v/>
      </c>
      <c r="P225" s="34">
        <f>IF(AND(P$5&gt;=$F225,P$5&lt;=$G225),8,"")</f>
        <v/>
      </c>
      <c r="Q225" s="34">
        <f>IF(AND(Q$5&gt;=$F225,Q$5&lt;=$G225),8,"")</f>
        <v/>
      </c>
      <c r="R225" s="34">
        <f>IF(AND(R$5&gt;=$F225,R$5&lt;=$G225),8,"")</f>
        <v/>
      </c>
      <c r="S225" s="34">
        <f>IF(AND(S$5&gt;=$F225,S$5&lt;=$G225),8,"")</f>
        <v/>
      </c>
      <c r="T225" s="34">
        <f>IF(AND(T$5&gt;=$F225,T$5&lt;=$G225),8,"")</f>
        <v/>
      </c>
      <c r="U225" s="34">
        <f>IF(AND(U$5&gt;=$F225,U$5&lt;=$G225),8,"")</f>
        <v/>
      </c>
      <c r="V225" s="34">
        <f>IF(AND(V$5&gt;=$F225,V$5&lt;=$G225),8,"")</f>
        <v/>
      </c>
      <c r="W225" s="34">
        <f>IF(AND(W$5&gt;=$F225,W$5&lt;=$G225),8,"")</f>
        <v/>
      </c>
      <c r="X225" s="34">
        <f>IF(AND(X$5&gt;=$F225,X$5&lt;=$G225),8,"")</f>
        <v/>
      </c>
      <c r="Y225" s="34">
        <f>IF(AND(Y$5&gt;=$F225,Y$5&lt;=$G225),8,"")</f>
        <v/>
      </c>
      <c r="Z225" s="34">
        <f>IF(AND(Z$5&gt;=$F225,Z$5&lt;=$G225),8,"")</f>
        <v/>
      </c>
      <c r="AA225" s="34">
        <f>IF(AND(AA$5&gt;=$F225,AA$5&lt;=$G225),8,"")</f>
        <v/>
      </c>
      <c r="AB225" s="34">
        <f>IF(AND(AB$5&gt;=$F225,AB$5&lt;=$G225),8,"")</f>
        <v/>
      </c>
      <c r="AC225" s="34">
        <f>IF(AND(AC$5&gt;=$F225,AC$5&lt;=$G225),8,"")</f>
        <v/>
      </c>
      <c r="AD225" s="34">
        <f>IF(AND(AD$5&gt;=$F225,AD$5&lt;=$G225),8,"")</f>
        <v/>
      </c>
      <c r="AE225" s="34">
        <f>IF(AND(AE$5&gt;=$F225,AE$5&lt;=$G225),8,"")</f>
        <v/>
      </c>
      <c r="AF225" s="34">
        <f>IF(AND(AF$5&gt;=$F225,AF$5&lt;=$G225),8,"")</f>
        <v/>
      </c>
      <c r="AG225" s="34">
        <f>IF(AND(AG$5&gt;=$F225,AG$5&lt;=$G225),8,"")</f>
        <v/>
      </c>
      <c r="AH225" s="34">
        <f>IF(AND(AH$5&gt;=$F225,AH$5&lt;=$G225),8,"")</f>
        <v/>
      </c>
      <c r="AI225" s="34">
        <f>IF(AND(AI$5&gt;=$F225,AI$5&lt;=$G225),8,"")</f>
        <v/>
      </c>
      <c r="AJ225" s="34">
        <f>IF(AND(AJ$5&gt;=$F225,AJ$5&lt;=$G225),8,"")</f>
        <v/>
      </c>
      <c r="AK225" s="34">
        <f>IF(AND(AK$5&gt;=$F225,AK$5&lt;=$G225),8,"")</f>
        <v/>
      </c>
      <c r="AL225" s="34">
        <f>IF(AND(AL$5&gt;=$F225,AL$5&lt;=$G225),8,"")</f>
        <v/>
      </c>
      <c r="AM225" s="34">
        <f>IF(AND(AM$5&gt;=$F225,AM$5&lt;=$G225),8,"")</f>
        <v/>
      </c>
      <c r="AN225" s="34">
        <f>IF(AND(AN$5&gt;=$F225,AN$5&lt;=$G225),8,"")</f>
        <v/>
      </c>
      <c r="AO225" s="34">
        <f>IF(AND(AO$5&gt;=$F225,AO$5&lt;=$G225),8,"")</f>
        <v/>
      </c>
      <c r="AP225" s="34">
        <f>IF(AND(AP$5&gt;=$F225,AP$5&lt;=$G225),8,"")</f>
        <v/>
      </c>
      <c r="AQ225" s="34">
        <f>IF(AND(AQ$5&gt;=$F225,AQ$5&lt;=$G225),8,"")</f>
        <v/>
      </c>
      <c r="AR225" s="34">
        <f>IF(AND(AR$5&gt;=$F225,AR$5&lt;=$G225),8,"")</f>
        <v/>
      </c>
      <c r="AS225" s="34">
        <f>IF(AND(AS$5&gt;=$F225,AS$5&lt;=$G225),8,"")</f>
        <v/>
      </c>
      <c r="AT225" s="34">
        <f>IF(AND(AT$5&gt;=$F225,AT$5&lt;=$G225),8,"")</f>
        <v/>
      </c>
      <c r="AU225" s="34">
        <f>IF(AND(AU$5&gt;=$F225,AU$5&lt;=$G225),8,"")</f>
        <v/>
      </c>
      <c r="AV225" s="34">
        <f>IF(AND(AV$5&gt;=$F225,AV$5&lt;=$G225),8,"")</f>
        <v/>
      </c>
      <c r="AW225" s="34">
        <f>IF(AND(AW$5&gt;=$F225,AW$5&lt;=$G225),8,"")</f>
        <v/>
      </c>
      <c r="AX225" s="34">
        <f>IF(AND(AX$5&gt;=$F225,AX$5&lt;=$G225),8,"")</f>
        <v/>
      </c>
      <c r="AY225" s="34">
        <f>IF(AND(AY$5&gt;=$F225,AY$5&lt;=$G225),8,"")</f>
        <v/>
      </c>
      <c r="AZ225" s="34">
        <f>IF(AND(AZ$5&gt;=$F225,AZ$5&lt;=$G225),8,"")</f>
        <v/>
      </c>
      <c r="BA225" s="34">
        <f>IF(AND(BA$5&gt;=$F225,BA$5&lt;=$G225),8,"")</f>
        <v/>
      </c>
      <c r="BB225" s="34">
        <f>IF(AND(BB$5&gt;=$F225,BB$5&lt;=$G225),8,"")</f>
        <v/>
      </c>
      <c r="BC225" s="34">
        <f>IF(AND(BC$5&gt;=$F225,BC$5&lt;=$G225),8,"")</f>
        <v/>
      </c>
      <c r="BD225" s="34">
        <f>IF(AND(BD$5&gt;=$F225,BD$5&lt;=$G225),8,"")</f>
        <v/>
      </c>
      <c r="BE225" s="34">
        <f>IF(AND(BE$5&gt;=$F225,BE$5&lt;=$G225),8,"")</f>
        <v/>
      </c>
      <c r="BF225" s="34">
        <f>IF(AND(BF$5&gt;=$F225,BF$5&lt;=$G225),8,"")</f>
        <v/>
      </c>
      <c r="BG225" s="34">
        <f>IF(AND(BG$5&gt;=$F225,BG$5&lt;=$G225),8,"")</f>
        <v/>
      </c>
      <c r="BH225" s="34">
        <f>IF(AND(BH$5&gt;=$F225,BH$5&lt;=$G225),8,"")</f>
        <v/>
      </c>
      <c r="BI225" s="34">
        <f>IF(AND(BI$5&gt;=$F225,BI$5&lt;=$G225),8,"")</f>
        <v/>
      </c>
      <c r="BJ225" s="34">
        <f>IF(AND(BJ$5&gt;=$F225,BJ$5&lt;=$G225),8,"")</f>
        <v/>
      </c>
      <c r="BK225" s="34">
        <f>IF(AND(BK$5&gt;=$F225,BK$5&lt;=$G225),8,"")</f>
        <v/>
      </c>
      <c r="BL225" s="34">
        <f>IF(AND(BL$5&gt;=$F225,BL$5&lt;=$G225),8,"")</f>
        <v/>
      </c>
      <c r="BM225" s="34">
        <f>IF(AND(BM$5&gt;=$F225,BM$5&lt;=$G225),8,"")</f>
        <v/>
      </c>
      <c r="BN225" s="34">
        <f>IF(AND(BN$5&gt;=$F225,BN$5&lt;=$G225),8,"")</f>
        <v/>
      </c>
    </row>
    <row r="226" ht="14.25" customHeight="1" s="36">
      <c r="A226" s="13" t="inlineStr">
        <is>
          <t>8 Operación y soporte</t>
        </is>
      </c>
      <c r="B226" s="13" t="inlineStr">
        <is>
          <t>8.5.3</t>
        </is>
      </c>
      <c r="C226" s="13" t="inlineStr">
        <is>
          <t>Mantenimiento de la base de conocimiento durante los 36 meses de operación, con métricas de uso</t>
        </is>
      </c>
      <c r="D226" s="13" t="inlineStr">
        <is>
          <t>R</t>
        </is>
      </c>
      <c r="E226" s="13" t="inlineStr">
        <is>
          <t>Operación / SRE</t>
        </is>
      </c>
      <c r="F226" s="13" t="n">
        <v>21</v>
      </c>
      <c r="G226" s="13" t="n">
        <v>56</v>
      </c>
      <c r="H226" s="13">
        <f>G226-F226+1</f>
        <v/>
      </c>
      <c r="I226" s="31" t="n">
        <v>576</v>
      </c>
      <c r="J226" s="13" t="inlineStr">
        <is>
          <t>Esfuerzo continuo (por quincena u ocurrencia)</t>
        </is>
      </c>
      <c r="K226" s="34">
        <f>IF(AND(K$5&gt;=$F226,K$5&lt;=$G226),8,"")</f>
        <v/>
      </c>
      <c r="L226" s="34">
        <f>IF(AND(L$5&gt;=$F226,L$5&lt;=$G226),8,"")</f>
        <v/>
      </c>
      <c r="M226" s="34">
        <f>IF(AND(M$5&gt;=$F226,M$5&lt;=$G226),8,"")</f>
        <v/>
      </c>
      <c r="N226" s="34">
        <f>IF(AND(N$5&gt;=$F226,N$5&lt;=$G226),8,"")</f>
        <v/>
      </c>
      <c r="O226" s="34">
        <f>IF(AND(O$5&gt;=$F226,O$5&lt;=$G226),8,"")</f>
        <v/>
      </c>
      <c r="P226" s="34">
        <f>IF(AND(P$5&gt;=$F226,P$5&lt;=$G226),8,"")</f>
        <v/>
      </c>
      <c r="Q226" s="34">
        <f>IF(AND(Q$5&gt;=$F226,Q$5&lt;=$G226),8,"")</f>
        <v/>
      </c>
      <c r="R226" s="34">
        <f>IF(AND(R$5&gt;=$F226,R$5&lt;=$G226),8,"")</f>
        <v/>
      </c>
      <c r="S226" s="34">
        <f>IF(AND(S$5&gt;=$F226,S$5&lt;=$G226),8,"")</f>
        <v/>
      </c>
      <c r="T226" s="34">
        <f>IF(AND(T$5&gt;=$F226,T$5&lt;=$G226),8,"")</f>
        <v/>
      </c>
      <c r="U226" s="34">
        <f>IF(AND(U$5&gt;=$F226,U$5&lt;=$G226),8,"")</f>
        <v/>
      </c>
      <c r="V226" s="34">
        <f>IF(AND(V$5&gt;=$F226,V$5&lt;=$G226),8,"")</f>
        <v/>
      </c>
      <c r="W226" s="34">
        <f>IF(AND(W$5&gt;=$F226,W$5&lt;=$G226),8,"")</f>
        <v/>
      </c>
      <c r="X226" s="34">
        <f>IF(AND(X$5&gt;=$F226,X$5&lt;=$G226),8,"")</f>
        <v/>
      </c>
      <c r="Y226" s="34">
        <f>IF(AND(Y$5&gt;=$F226,Y$5&lt;=$G226),8,"")</f>
        <v/>
      </c>
      <c r="Z226" s="34">
        <f>IF(AND(Z$5&gt;=$F226,Z$5&lt;=$G226),8,"")</f>
        <v/>
      </c>
      <c r="AA226" s="34">
        <f>IF(AND(AA$5&gt;=$F226,AA$5&lt;=$G226),8,"")</f>
        <v/>
      </c>
      <c r="AB226" s="34">
        <f>IF(AND(AB$5&gt;=$F226,AB$5&lt;=$G226),8,"")</f>
        <v/>
      </c>
      <c r="AC226" s="34">
        <f>IF(AND(AC$5&gt;=$F226,AC$5&lt;=$G226),8,"")</f>
        <v/>
      </c>
      <c r="AD226" s="34">
        <f>IF(AND(AD$5&gt;=$F226,AD$5&lt;=$G226),8,"")</f>
        <v/>
      </c>
      <c r="AE226" s="34">
        <f>IF(AND(AE$5&gt;=$F226,AE$5&lt;=$G226),8,"")</f>
        <v/>
      </c>
      <c r="AF226" s="34">
        <f>IF(AND(AF$5&gt;=$F226,AF$5&lt;=$G226),8,"")</f>
        <v/>
      </c>
      <c r="AG226" s="34">
        <f>IF(AND(AG$5&gt;=$F226,AG$5&lt;=$G226),8,"")</f>
        <v/>
      </c>
      <c r="AH226" s="34">
        <f>IF(AND(AH$5&gt;=$F226,AH$5&lt;=$G226),8,"")</f>
        <v/>
      </c>
      <c r="AI226" s="34">
        <f>IF(AND(AI$5&gt;=$F226,AI$5&lt;=$G226),8,"")</f>
        <v/>
      </c>
      <c r="AJ226" s="34">
        <f>IF(AND(AJ$5&gt;=$F226,AJ$5&lt;=$G226),8,"")</f>
        <v/>
      </c>
      <c r="AK226" s="34">
        <f>IF(AND(AK$5&gt;=$F226,AK$5&lt;=$G226),8,"")</f>
        <v/>
      </c>
      <c r="AL226" s="34">
        <f>IF(AND(AL$5&gt;=$F226,AL$5&lt;=$G226),8,"")</f>
        <v/>
      </c>
      <c r="AM226" s="34">
        <f>IF(AND(AM$5&gt;=$F226,AM$5&lt;=$G226),8,"")</f>
        <v/>
      </c>
      <c r="AN226" s="34">
        <f>IF(AND(AN$5&gt;=$F226,AN$5&lt;=$G226),8,"")</f>
        <v/>
      </c>
      <c r="AO226" s="34">
        <f>IF(AND(AO$5&gt;=$F226,AO$5&lt;=$G226),8,"")</f>
        <v/>
      </c>
      <c r="AP226" s="34">
        <f>IF(AND(AP$5&gt;=$F226,AP$5&lt;=$G226),8,"")</f>
        <v/>
      </c>
      <c r="AQ226" s="34">
        <f>IF(AND(AQ$5&gt;=$F226,AQ$5&lt;=$G226),8,"")</f>
        <v/>
      </c>
      <c r="AR226" s="34">
        <f>IF(AND(AR$5&gt;=$F226,AR$5&lt;=$G226),8,"")</f>
        <v/>
      </c>
      <c r="AS226" s="34">
        <f>IF(AND(AS$5&gt;=$F226,AS$5&lt;=$G226),8,"")</f>
        <v/>
      </c>
      <c r="AT226" s="34">
        <f>IF(AND(AT$5&gt;=$F226,AT$5&lt;=$G226),8,"")</f>
        <v/>
      </c>
      <c r="AU226" s="34">
        <f>IF(AND(AU$5&gt;=$F226,AU$5&lt;=$G226),8,"")</f>
        <v/>
      </c>
      <c r="AV226" s="34">
        <f>IF(AND(AV$5&gt;=$F226,AV$5&lt;=$G226),8,"")</f>
        <v/>
      </c>
      <c r="AW226" s="34">
        <f>IF(AND(AW$5&gt;=$F226,AW$5&lt;=$G226),8,"")</f>
        <v/>
      </c>
      <c r="AX226" s="34">
        <f>IF(AND(AX$5&gt;=$F226,AX$5&lt;=$G226),8,"")</f>
        <v/>
      </c>
      <c r="AY226" s="34">
        <f>IF(AND(AY$5&gt;=$F226,AY$5&lt;=$G226),8,"")</f>
        <v/>
      </c>
      <c r="AZ226" s="34">
        <f>IF(AND(AZ$5&gt;=$F226,AZ$5&lt;=$G226),8,"")</f>
        <v/>
      </c>
      <c r="BA226" s="34">
        <f>IF(AND(BA$5&gt;=$F226,BA$5&lt;=$G226),8,"")</f>
        <v/>
      </c>
      <c r="BB226" s="34">
        <f>IF(AND(BB$5&gt;=$F226,BB$5&lt;=$G226),8,"")</f>
        <v/>
      </c>
      <c r="BC226" s="34">
        <f>IF(AND(BC$5&gt;=$F226,BC$5&lt;=$G226),8,"")</f>
        <v/>
      </c>
      <c r="BD226" s="34">
        <f>IF(AND(BD$5&gt;=$F226,BD$5&lt;=$G226),8,"")</f>
        <v/>
      </c>
      <c r="BE226" s="34">
        <f>IF(AND(BE$5&gt;=$F226,BE$5&lt;=$G226),8,"")</f>
        <v/>
      </c>
      <c r="BF226" s="34">
        <f>IF(AND(BF$5&gt;=$F226,BF$5&lt;=$G226),8,"")</f>
        <v/>
      </c>
      <c r="BG226" s="34">
        <f>IF(AND(BG$5&gt;=$F226,BG$5&lt;=$G226),8,"")</f>
        <v/>
      </c>
      <c r="BH226" s="34">
        <f>IF(AND(BH$5&gt;=$F226,BH$5&lt;=$G226),8,"")</f>
        <v/>
      </c>
      <c r="BI226" s="34">
        <f>IF(AND(BI$5&gt;=$F226,BI$5&lt;=$G226),8,"")</f>
        <v/>
      </c>
      <c r="BJ226" s="34">
        <f>IF(AND(BJ$5&gt;=$F226,BJ$5&lt;=$G226),8,"")</f>
        <v/>
      </c>
      <c r="BK226" s="34">
        <f>IF(AND(BK$5&gt;=$F226,BK$5&lt;=$G226),8,"")</f>
        <v/>
      </c>
      <c r="BL226" s="34">
        <f>IF(AND(BL$5&gt;=$F226,BL$5&lt;=$G226),8,"")</f>
        <v/>
      </c>
      <c r="BM226" s="34">
        <f>IF(AND(BM$5&gt;=$F226,BM$5&lt;=$G226),8,"")</f>
        <v/>
      </c>
      <c r="BN226" s="34">
        <f>IF(AND(BN$5&gt;=$F226,BN$5&lt;=$G226),8,"")</f>
        <v/>
      </c>
    </row>
    <row r="227" ht="14.25" customHeight="1" s="36">
      <c r="A227" s="13" t="inlineStr">
        <is>
          <t>9 Cierre</t>
        </is>
      </c>
      <c r="B227" s="13" t="inlineStr">
        <is>
          <t>9.1.1</t>
        </is>
      </c>
      <c r="C227" s="13" t="inlineStr">
        <is>
          <t>Entrega del código fuente, la infraestructura como código y los procedimientos de despliegue</t>
        </is>
      </c>
      <c r="D227" s="13" t="inlineStr">
        <is>
          <t>G</t>
        </is>
      </c>
      <c r="E227" s="13" t="inlineStr">
        <is>
          <t>Desarrollo</t>
        </is>
      </c>
      <c r="F227" s="13" t="n">
        <v>21</v>
      </c>
      <c r="G227" s="13" t="n">
        <v>21</v>
      </c>
      <c r="H227" s="13">
        <f>G227-F227+1</f>
        <v/>
      </c>
      <c r="I227" s="31" t="n">
        <v>80</v>
      </c>
      <c r="J227" s="13" t="inlineStr">
        <is>
          <t>Con entregable (detalle por planificación gradual)</t>
        </is>
      </c>
      <c r="K227" s="34">
        <f>IF(AND(K$5&gt;=$F227,K$5&lt;=$G227),9,"")</f>
        <v/>
      </c>
      <c r="L227" s="34">
        <f>IF(AND(L$5&gt;=$F227,L$5&lt;=$G227),9,"")</f>
        <v/>
      </c>
      <c r="M227" s="34">
        <f>IF(AND(M$5&gt;=$F227,M$5&lt;=$G227),9,"")</f>
        <v/>
      </c>
      <c r="N227" s="34">
        <f>IF(AND(N$5&gt;=$F227,N$5&lt;=$G227),9,"")</f>
        <v/>
      </c>
      <c r="O227" s="34">
        <f>IF(AND(O$5&gt;=$F227,O$5&lt;=$G227),9,"")</f>
        <v/>
      </c>
      <c r="P227" s="34">
        <f>IF(AND(P$5&gt;=$F227,P$5&lt;=$G227),9,"")</f>
        <v/>
      </c>
      <c r="Q227" s="34">
        <f>IF(AND(Q$5&gt;=$F227,Q$5&lt;=$G227),9,"")</f>
        <v/>
      </c>
      <c r="R227" s="34">
        <f>IF(AND(R$5&gt;=$F227,R$5&lt;=$G227),9,"")</f>
        <v/>
      </c>
      <c r="S227" s="34">
        <f>IF(AND(S$5&gt;=$F227,S$5&lt;=$G227),9,"")</f>
        <v/>
      </c>
      <c r="T227" s="34">
        <f>IF(AND(T$5&gt;=$F227,T$5&lt;=$G227),9,"")</f>
        <v/>
      </c>
      <c r="U227" s="34">
        <f>IF(AND(U$5&gt;=$F227,U$5&lt;=$G227),9,"")</f>
        <v/>
      </c>
      <c r="V227" s="34">
        <f>IF(AND(V$5&gt;=$F227,V$5&lt;=$G227),9,"")</f>
        <v/>
      </c>
      <c r="W227" s="34">
        <f>IF(AND(W$5&gt;=$F227,W$5&lt;=$G227),9,"")</f>
        <v/>
      </c>
      <c r="X227" s="34">
        <f>IF(AND(X$5&gt;=$F227,X$5&lt;=$G227),9,"")</f>
        <v/>
      </c>
      <c r="Y227" s="34">
        <f>IF(AND(Y$5&gt;=$F227,Y$5&lt;=$G227),9,"")</f>
        <v/>
      </c>
      <c r="Z227" s="34">
        <f>IF(AND(Z$5&gt;=$F227,Z$5&lt;=$G227),9,"")</f>
        <v/>
      </c>
      <c r="AA227" s="34">
        <f>IF(AND(AA$5&gt;=$F227,AA$5&lt;=$G227),9,"")</f>
        <v/>
      </c>
      <c r="AB227" s="34">
        <f>IF(AND(AB$5&gt;=$F227,AB$5&lt;=$G227),9,"")</f>
        <v/>
      </c>
      <c r="AC227" s="34">
        <f>IF(AND(AC$5&gt;=$F227,AC$5&lt;=$G227),9,"")</f>
        <v/>
      </c>
      <c r="AD227" s="34">
        <f>IF(AND(AD$5&gt;=$F227,AD$5&lt;=$G227),9,"")</f>
        <v/>
      </c>
      <c r="AE227" s="34">
        <f>IF(AND(AE$5&gt;=$F227,AE$5&lt;=$G227),9,"")</f>
        <v/>
      </c>
      <c r="AF227" s="34">
        <f>IF(AND(AF$5&gt;=$F227,AF$5&lt;=$G227),9,"")</f>
        <v/>
      </c>
      <c r="AG227" s="34">
        <f>IF(AND(AG$5&gt;=$F227,AG$5&lt;=$G227),9,"")</f>
        <v/>
      </c>
      <c r="AH227" s="34">
        <f>IF(AND(AH$5&gt;=$F227,AH$5&lt;=$G227),9,"")</f>
        <v/>
      </c>
      <c r="AI227" s="34">
        <f>IF(AND(AI$5&gt;=$F227,AI$5&lt;=$G227),9,"")</f>
        <v/>
      </c>
      <c r="AJ227" s="34">
        <f>IF(AND(AJ$5&gt;=$F227,AJ$5&lt;=$G227),9,"")</f>
        <v/>
      </c>
      <c r="AK227" s="34">
        <f>IF(AND(AK$5&gt;=$F227,AK$5&lt;=$G227),9,"")</f>
        <v/>
      </c>
      <c r="AL227" s="34">
        <f>IF(AND(AL$5&gt;=$F227,AL$5&lt;=$G227),9,"")</f>
        <v/>
      </c>
      <c r="AM227" s="34">
        <f>IF(AND(AM$5&gt;=$F227,AM$5&lt;=$G227),9,"")</f>
        <v/>
      </c>
      <c r="AN227" s="34">
        <f>IF(AND(AN$5&gt;=$F227,AN$5&lt;=$G227),9,"")</f>
        <v/>
      </c>
      <c r="AO227" s="34">
        <f>IF(AND(AO$5&gt;=$F227,AO$5&lt;=$G227),9,"")</f>
        <v/>
      </c>
      <c r="AP227" s="34">
        <f>IF(AND(AP$5&gt;=$F227,AP$5&lt;=$G227),9,"")</f>
        <v/>
      </c>
      <c r="AQ227" s="34">
        <f>IF(AND(AQ$5&gt;=$F227,AQ$5&lt;=$G227),9,"")</f>
        <v/>
      </c>
      <c r="AR227" s="34">
        <f>IF(AND(AR$5&gt;=$F227,AR$5&lt;=$G227),9,"")</f>
        <v/>
      </c>
      <c r="AS227" s="34">
        <f>IF(AND(AS$5&gt;=$F227,AS$5&lt;=$G227),9,"")</f>
        <v/>
      </c>
      <c r="AT227" s="34">
        <f>IF(AND(AT$5&gt;=$F227,AT$5&lt;=$G227),9,"")</f>
        <v/>
      </c>
      <c r="AU227" s="34">
        <f>IF(AND(AU$5&gt;=$F227,AU$5&lt;=$G227),9,"")</f>
        <v/>
      </c>
      <c r="AV227" s="34">
        <f>IF(AND(AV$5&gt;=$F227,AV$5&lt;=$G227),9,"")</f>
        <v/>
      </c>
      <c r="AW227" s="34">
        <f>IF(AND(AW$5&gt;=$F227,AW$5&lt;=$G227),9,"")</f>
        <v/>
      </c>
      <c r="AX227" s="34">
        <f>IF(AND(AX$5&gt;=$F227,AX$5&lt;=$G227),9,"")</f>
        <v/>
      </c>
      <c r="AY227" s="34">
        <f>IF(AND(AY$5&gt;=$F227,AY$5&lt;=$G227),9,"")</f>
        <v/>
      </c>
      <c r="AZ227" s="34">
        <f>IF(AND(AZ$5&gt;=$F227,AZ$5&lt;=$G227),9,"")</f>
        <v/>
      </c>
      <c r="BA227" s="34">
        <f>IF(AND(BA$5&gt;=$F227,BA$5&lt;=$G227),9,"")</f>
        <v/>
      </c>
      <c r="BB227" s="34">
        <f>IF(AND(BB$5&gt;=$F227,BB$5&lt;=$G227),9,"")</f>
        <v/>
      </c>
      <c r="BC227" s="34">
        <f>IF(AND(BC$5&gt;=$F227,BC$5&lt;=$G227),9,"")</f>
        <v/>
      </c>
      <c r="BD227" s="34">
        <f>IF(AND(BD$5&gt;=$F227,BD$5&lt;=$G227),9,"")</f>
        <v/>
      </c>
      <c r="BE227" s="34">
        <f>IF(AND(BE$5&gt;=$F227,BE$5&lt;=$G227),9,"")</f>
        <v/>
      </c>
      <c r="BF227" s="34">
        <f>IF(AND(BF$5&gt;=$F227,BF$5&lt;=$G227),9,"")</f>
        <v/>
      </c>
      <c r="BG227" s="34">
        <f>IF(AND(BG$5&gt;=$F227,BG$5&lt;=$G227),9,"")</f>
        <v/>
      </c>
      <c r="BH227" s="34">
        <f>IF(AND(BH$5&gt;=$F227,BH$5&lt;=$G227),9,"")</f>
        <v/>
      </c>
      <c r="BI227" s="34">
        <f>IF(AND(BI$5&gt;=$F227,BI$5&lt;=$G227),9,"")</f>
        <v/>
      </c>
      <c r="BJ227" s="34">
        <f>IF(AND(BJ$5&gt;=$F227,BJ$5&lt;=$G227),9,"")</f>
        <v/>
      </c>
      <c r="BK227" s="34">
        <f>IF(AND(BK$5&gt;=$F227,BK$5&lt;=$G227),9,"")</f>
        <v/>
      </c>
      <c r="BL227" s="34">
        <f>IF(AND(BL$5&gt;=$F227,BL$5&lt;=$G227),9,"")</f>
        <v/>
      </c>
      <c r="BM227" s="34">
        <f>IF(AND(BM$5&gt;=$F227,BM$5&lt;=$G227),9,"")</f>
        <v/>
      </c>
      <c r="BN227" s="34">
        <f>IF(AND(BN$5&gt;=$F227,BN$5&lt;=$G227),9,"")</f>
        <v/>
      </c>
    </row>
    <row r="228" ht="14.25" customHeight="1" s="36">
      <c r="A228" s="13" t="inlineStr">
        <is>
          <t>9 Cierre</t>
        </is>
      </c>
      <c r="B228" s="13" t="inlineStr">
        <is>
          <t>9.1.2</t>
        </is>
      </c>
      <c r="C228" s="13" t="inlineStr">
        <is>
          <t>Informe de lecciones aprendidas y archivo de la implementación</t>
        </is>
      </c>
      <c r="D228" s="13" t="inlineStr">
        <is>
          <t>G</t>
        </is>
      </c>
      <c r="E228" s="13" t="inlineStr">
        <is>
          <t>Jefe de Proyecto</t>
        </is>
      </c>
      <c r="F228" s="13" t="n">
        <v>21</v>
      </c>
      <c r="G228" s="13" t="n">
        <v>21</v>
      </c>
      <c r="H228" s="13">
        <f>G228-F228+1</f>
        <v/>
      </c>
      <c r="I228" s="31" t="n">
        <v>80</v>
      </c>
      <c r="J228" s="13" t="inlineStr">
        <is>
          <t>Con entregable (detalle por planificación gradual)</t>
        </is>
      </c>
      <c r="K228" s="34">
        <f>IF(AND(K$5&gt;=$F228,K$5&lt;=$G228),9,"")</f>
        <v/>
      </c>
      <c r="L228" s="34">
        <f>IF(AND(L$5&gt;=$F228,L$5&lt;=$G228),9,"")</f>
        <v/>
      </c>
      <c r="M228" s="34">
        <f>IF(AND(M$5&gt;=$F228,M$5&lt;=$G228),9,"")</f>
        <v/>
      </c>
      <c r="N228" s="34">
        <f>IF(AND(N$5&gt;=$F228,N$5&lt;=$G228),9,"")</f>
        <v/>
      </c>
      <c r="O228" s="34">
        <f>IF(AND(O$5&gt;=$F228,O$5&lt;=$G228),9,"")</f>
        <v/>
      </c>
      <c r="P228" s="34">
        <f>IF(AND(P$5&gt;=$F228,P$5&lt;=$G228),9,"")</f>
        <v/>
      </c>
      <c r="Q228" s="34">
        <f>IF(AND(Q$5&gt;=$F228,Q$5&lt;=$G228),9,"")</f>
        <v/>
      </c>
      <c r="R228" s="34">
        <f>IF(AND(R$5&gt;=$F228,R$5&lt;=$G228),9,"")</f>
        <v/>
      </c>
      <c r="S228" s="34">
        <f>IF(AND(S$5&gt;=$F228,S$5&lt;=$G228),9,"")</f>
        <v/>
      </c>
      <c r="T228" s="34">
        <f>IF(AND(T$5&gt;=$F228,T$5&lt;=$G228),9,"")</f>
        <v/>
      </c>
      <c r="U228" s="34">
        <f>IF(AND(U$5&gt;=$F228,U$5&lt;=$G228),9,"")</f>
        <v/>
      </c>
      <c r="V228" s="34">
        <f>IF(AND(V$5&gt;=$F228,V$5&lt;=$G228),9,"")</f>
        <v/>
      </c>
      <c r="W228" s="34">
        <f>IF(AND(W$5&gt;=$F228,W$5&lt;=$G228),9,"")</f>
        <v/>
      </c>
      <c r="X228" s="34">
        <f>IF(AND(X$5&gt;=$F228,X$5&lt;=$G228),9,"")</f>
        <v/>
      </c>
      <c r="Y228" s="34">
        <f>IF(AND(Y$5&gt;=$F228,Y$5&lt;=$G228),9,"")</f>
        <v/>
      </c>
      <c r="Z228" s="34">
        <f>IF(AND(Z$5&gt;=$F228,Z$5&lt;=$G228),9,"")</f>
        <v/>
      </c>
      <c r="AA228" s="34">
        <f>IF(AND(AA$5&gt;=$F228,AA$5&lt;=$G228),9,"")</f>
        <v/>
      </c>
      <c r="AB228" s="34">
        <f>IF(AND(AB$5&gt;=$F228,AB$5&lt;=$G228),9,"")</f>
        <v/>
      </c>
      <c r="AC228" s="34">
        <f>IF(AND(AC$5&gt;=$F228,AC$5&lt;=$G228),9,"")</f>
        <v/>
      </c>
      <c r="AD228" s="34">
        <f>IF(AND(AD$5&gt;=$F228,AD$5&lt;=$G228),9,"")</f>
        <v/>
      </c>
      <c r="AE228" s="34">
        <f>IF(AND(AE$5&gt;=$F228,AE$5&lt;=$G228),9,"")</f>
        <v/>
      </c>
      <c r="AF228" s="34">
        <f>IF(AND(AF$5&gt;=$F228,AF$5&lt;=$G228),9,"")</f>
        <v/>
      </c>
      <c r="AG228" s="34">
        <f>IF(AND(AG$5&gt;=$F228,AG$5&lt;=$G228),9,"")</f>
        <v/>
      </c>
      <c r="AH228" s="34">
        <f>IF(AND(AH$5&gt;=$F228,AH$5&lt;=$G228),9,"")</f>
        <v/>
      </c>
      <c r="AI228" s="34">
        <f>IF(AND(AI$5&gt;=$F228,AI$5&lt;=$G228),9,"")</f>
        <v/>
      </c>
      <c r="AJ228" s="34">
        <f>IF(AND(AJ$5&gt;=$F228,AJ$5&lt;=$G228),9,"")</f>
        <v/>
      </c>
      <c r="AK228" s="34">
        <f>IF(AND(AK$5&gt;=$F228,AK$5&lt;=$G228),9,"")</f>
        <v/>
      </c>
      <c r="AL228" s="34">
        <f>IF(AND(AL$5&gt;=$F228,AL$5&lt;=$G228),9,"")</f>
        <v/>
      </c>
      <c r="AM228" s="34">
        <f>IF(AND(AM$5&gt;=$F228,AM$5&lt;=$G228),9,"")</f>
        <v/>
      </c>
      <c r="AN228" s="34">
        <f>IF(AND(AN$5&gt;=$F228,AN$5&lt;=$G228),9,"")</f>
        <v/>
      </c>
      <c r="AO228" s="34">
        <f>IF(AND(AO$5&gt;=$F228,AO$5&lt;=$G228),9,"")</f>
        <v/>
      </c>
      <c r="AP228" s="34">
        <f>IF(AND(AP$5&gt;=$F228,AP$5&lt;=$G228),9,"")</f>
        <v/>
      </c>
      <c r="AQ228" s="34">
        <f>IF(AND(AQ$5&gt;=$F228,AQ$5&lt;=$G228),9,"")</f>
        <v/>
      </c>
      <c r="AR228" s="34">
        <f>IF(AND(AR$5&gt;=$F228,AR$5&lt;=$G228),9,"")</f>
        <v/>
      </c>
      <c r="AS228" s="34">
        <f>IF(AND(AS$5&gt;=$F228,AS$5&lt;=$G228),9,"")</f>
        <v/>
      </c>
      <c r="AT228" s="34">
        <f>IF(AND(AT$5&gt;=$F228,AT$5&lt;=$G228),9,"")</f>
        <v/>
      </c>
      <c r="AU228" s="34">
        <f>IF(AND(AU$5&gt;=$F228,AU$5&lt;=$G228),9,"")</f>
        <v/>
      </c>
      <c r="AV228" s="34">
        <f>IF(AND(AV$5&gt;=$F228,AV$5&lt;=$G228),9,"")</f>
        <v/>
      </c>
      <c r="AW228" s="34">
        <f>IF(AND(AW$5&gt;=$F228,AW$5&lt;=$G228),9,"")</f>
        <v/>
      </c>
      <c r="AX228" s="34">
        <f>IF(AND(AX$5&gt;=$F228,AX$5&lt;=$G228),9,"")</f>
        <v/>
      </c>
      <c r="AY228" s="34">
        <f>IF(AND(AY$5&gt;=$F228,AY$5&lt;=$G228),9,"")</f>
        <v/>
      </c>
      <c r="AZ228" s="34">
        <f>IF(AND(AZ$5&gt;=$F228,AZ$5&lt;=$G228),9,"")</f>
        <v/>
      </c>
      <c r="BA228" s="34">
        <f>IF(AND(BA$5&gt;=$F228,BA$5&lt;=$G228),9,"")</f>
        <v/>
      </c>
      <c r="BB228" s="34">
        <f>IF(AND(BB$5&gt;=$F228,BB$5&lt;=$G228),9,"")</f>
        <v/>
      </c>
      <c r="BC228" s="34">
        <f>IF(AND(BC$5&gt;=$F228,BC$5&lt;=$G228),9,"")</f>
        <v/>
      </c>
      <c r="BD228" s="34">
        <f>IF(AND(BD$5&gt;=$F228,BD$5&lt;=$G228),9,"")</f>
        <v/>
      </c>
      <c r="BE228" s="34">
        <f>IF(AND(BE$5&gt;=$F228,BE$5&lt;=$G228),9,"")</f>
        <v/>
      </c>
      <c r="BF228" s="34">
        <f>IF(AND(BF$5&gt;=$F228,BF$5&lt;=$G228),9,"")</f>
        <v/>
      </c>
      <c r="BG228" s="34">
        <f>IF(AND(BG$5&gt;=$F228,BG$5&lt;=$G228),9,"")</f>
        <v/>
      </c>
      <c r="BH228" s="34">
        <f>IF(AND(BH$5&gt;=$F228,BH$5&lt;=$G228),9,"")</f>
        <v/>
      </c>
      <c r="BI228" s="34">
        <f>IF(AND(BI$5&gt;=$F228,BI$5&lt;=$G228),9,"")</f>
        <v/>
      </c>
      <c r="BJ228" s="34">
        <f>IF(AND(BJ$5&gt;=$F228,BJ$5&lt;=$G228),9,"")</f>
        <v/>
      </c>
      <c r="BK228" s="34">
        <f>IF(AND(BK$5&gt;=$F228,BK$5&lt;=$G228),9,"")</f>
        <v/>
      </c>
      <c r="BL228" s="34">
        <f>IF(AND(BL$5&gt;=$F228,BL$5&lt;=$G228),9,"")</f>
        <v/>
      </c>
      <c r="BM228" s="34">
        <f>IF(AND(BM$5&gt;=$F228,BM$5&lt;=$G228),9,"")</f>
        <v/>
      </c>
      <c r="BN228" s="34">
        <f>IF(AND(BN$5&gt;=$F228,BN$5&lt;=$G228),9,"")</f>
        <v/>
      </c>
    </row>
    <row r="229" ht="14.25" customHeight="1" s="36">
      <c r="A229" s="13" t="inlineStr">
        <is>
          <t>9 Cierre</t>
        </is>
      </c>
      <c r="B229" s="13" t="inlineStr">
        <is>
          <t>9.2.1</t>
        </is>
      </c>
      <c r="C229" s="13" t="inlineStr">
        <is>
          <t>Ejecución del Plan de Reversibilidad y acompañamiento de 90 días</t>
        </is>
      </c>
      <c r="D229" s="13" t="inlineStr">
        <is>
          <t>G</t>
        </is>
      </c>
      <c r="E229" s="13" t="inlineStr">
        <is>
          <t>Jefe de Proyecto</t>
        </is>
      </c>
      <c r="F229" s="13" t="n">
        <v>54</v>
      </c>
      <c r="G229" s="13" t="n">
        <v>56</v>
      </c>
      <c r="H229" s="13">
        <f>G229-F229+1</f>
        <v/>
      </c>
      <c r="I229" s="31" t="n">
        <v>80</v>
      </c>
      <c r="J229" s="13" t="inlineStr">
        <is>
          <t>Esfuerzo continuo (por quincena u ocurrencia)</t>
        </is>
      </c>
      <c r="K229" s="34">
        <f>IF(AND(K$5&gt;=$F229,K$5&lt;=$G229),9,"")</f>
        <v/>
      </c>
      <c r="L229" s="34">
        <f>IF(AND(L$5&gt;=$F229,L$5&lt;=$G229),9,"")</f>
        <v/>
      </c>
      <c r="M229" s="34">
        <f>IF(AND(M$5&gt;=$F229,M$5&lt;=$G229),9,"")</f>
        <v/>
      </c>
      <c r="N229" s="34">
        <f>IF(AND(N$5&gt;=$F229,N$5&lt;=$G229),9,"")</f>
        <v/>
      </c>
      <c r="O229" s="34">
        <f>IF(AND(O$5&gt;=$F229,O$5&lt;=$G229),9,"")</f>
        <v/>
      </c>
      <c r="P229" s="34">
        <f>IF(AND(P$5&gt;=$F229,P$5&lt;=$G229),9,"")</f>
        <v/>
      </c>
      <c r="Q229" s="34">
        <f>IF(AND(Q$5&gt;=$F229,Q$5&lt;=$G229),9,"")</f>
        <v/>
      </c>
      <c r="R229" s="34">
        <f>IF(AND(R$5&gt;=$F229,R$5&lt;=$G229),9,"")</f>
        <v/>
      </c>
      <c r="S229" s="34">
        <f>IF(AND(S$5&gt;=$F229,S$5&lt;=$G229),9,"")</f>
        <v/>
      </c>
      <c r="T229" s="34">
        <f>IF(AND(T$5&gt;=$F229,T$5&lt;=$G229),9,"")</f>
        <v/>
      </c>
      <c r="U229" s="34">
        <f>IF(AND(U$5&gt;=$F229,U$5&lt;=$G229),9,"")</f>
        <v/>
      </c>
      <c r="V229" s="34">
        <f>IF(AND(V$5&gt;=$F229,V$5&lt;=$G229),9,"")</f>
        <v/>
      </c>
      <c r="W229" s="34">
        <f>IF(AND(W$5&gt;=$F229,W$5&lt;=$G229),9,"")</f>
        <v/>
      </c>
      <c r="X229" s="34">
        <f>IF(AND(X$5&gt;=$F229,X$5&lt;=$G229),9,"")</f>
        <v/>
      </c>
      <c r="Y229" s="34">
        <f>IF(AND(Y$5&gt;=$F229,Y$5&lt;=$G229),9,"")</f>
        <v/>
      </c>
      <c r="Z229" s="34">
        <f>IF(AND(Z$5&gt;=$F229,Z$5&lt;=$G229),9,"")</f>
        <v/>
      </c>
      <c r="AA229" s="34">
        <f>IF(AND(AA$5&gt;=$F229,AA$5&lt;=$G229),9,"")</f>
        <v/>
      </c>
      <c r="AB229" s="34">
        <f>IF(AND(AB$5&gt;=$F229,AB$5&lt;=$G229),9,"")</f>
        <v/>
      </c>
      <c r="AC229" s="34">
        <f>IF(AND(AC$5&gt;=$F229,AC$5&lt;=$G229),9,"")</f>
        <v/>
      </c>
      <c r="AD229" s="34">
        <f>IF(AND(AD$5&gt;=$F229,AD$5&lt;=$G229),9,"")</f>
        <v/>
      </c>
      <c r="AE229" s="34">
        <f>IF(AND(AE$5&gt;=$F229,AE$5&lt;=$G229),9,"")</f>
        <v/>
      </c>
      <c r="AF229" s="34">
        <f>IF(AND(AF$5&gt;=$F229,AF$5&lt;=$G229),9,"")</f>
        <v/>
      </c>
      <c r="AG229" s="34">
        <f>IF(AND(AG$5&gt;=$F229,AG$5&lt;=$G229),9,"")</f>
        <v/>
      </c>
      <c r="AH229" s="34">
        <f>IF(AND(AH$5&gt;=$F229,AH$5&lt;=$G229),9,"")</f>
        <v/>
      </c>
      <c r="AI229" s="34">
        <f>IF(AND(AI$5&gt;=$F229,AI$5&lt;=$G229),9,"")</f>
        <v/>
      </c>
      <c r="AJ229" s="34">
        <f>IF(AND(AJ$5&gt;=$F229,AJ$5&lt;=$G229),9,"")</f>
        <v/>
      </c>
      <c r="AK229" s="34">
        <f>IF(AND(AK$5&gt;=$F229,AK$5&lt;=$G229),9,"")</f>
        <v/>
      </c>
      <c r="AL229" s="34">
        <f>IF(AND(AL$5&gt;=$F229,AL$5&lt;=$G229),9,"")</f>
        <v/>
      </c>
      <c r="AM229" s="34">
        <f>IF(AND(AM$5&gt;=$F229,AM$5&lt;=$G229),9,"")</f>
        <v/>
      </c>
      <c r="AN229" s="34">
        <f>IF(AND(AN$5&gt;=$F229,AN$5&lt;=$G229),9,"")</f>
        <v/>
      </c>
      <c r="AO229" s="34">
        <f>IF(AND(AO$5&gt;=$F229,AO$5&lt;=$G229),9,"")</f>
        <v/>
      </c>
      <c r="AP229" s="34">
        <f>IF(AND(AP$5&gt;=$F229,AP$5&lt;=$G229),9,"")</f>
        <v/>
      </c>
      <c r="AQ229" s="34">
        <f>IF(AND(AQ$5&gt;=$F229,AQ$5&lt;=$G229),9,"")</f>
        <v/>
      </c>
      <c r="AR229" s="34">
        <f>IF(AND(AR$5&gt;=$F229,AR$5&lt;=$G229),9,"")</f>
        <v/>
      </c>
      <c r="AS229" s="34">
        <f>IF(AND(AS$5&gt;=$F229,AS$5&lt;=$G229),9,"")</f>
        <v/>
      </c>
      <c r="AT229" s="34">
        <f>IF(AND(AT$5&gt;=$F229,AT$5&lt;=$G229),9,"")</f>
        <v/>
      </c>
      <c r="AU229" s="34">
        <f>IF(AND(AU$5&gt;=$F229,AU$5&lt;=$G229),9,"")</f>
        <v/>
      </c>
      <c r="AV229" s="34">
        <f>IF(AND(AV$5&gt;=$F229,AV$5&lt;=$G229),9,"")</f>
        <v/>
      </c>
      <c r="AW229" s="34">
        <f>IF(AND(AW$5&gt;=$F229,AW$5&lt;=$G229),9,"")</f>
        <v/>
      </c>
      <c r="AX229" s="34">
        <f>IF(AND(AX$5&gt;=$F229,AX$5&lt;=$G229),9,"")</f>
        <v/>
      </c>
      <c r="AY229" s="34">
        <f>IF(AND(AY$5&gt;=$F229,AY$5&lt;=$G229),9,"")</f>
        <v/>
      </c>
      <c r="AZ229" s="34">
        <f>IF(AND(AZ$5&gt;=$F229,AZ$5&lt;=$G229),9,"")</f>
        <v/>
      </c>
      <c r="BA229" s="34">
        <f>IF(AND(BA$5&gt;=$F229,BA$5&lt;=$G229),9,"")</f>
        <v/>
      </c>
      <c r="BB229" s="34">
        <f>IF(AND(BB$5&gt;=$F229,BB$5&lt;=$G229),9,"")</f>
        <v/>
      </c>
      <c r="BC229" s="34">
        <f>IF(AND(BC$5&gt;=$F229,BC$5&lt;=$G229),9,"")</f>
        <v/>
      </c>
      <c r="BD229" s="34">
        <f>IF(AND(BD$5&gt;=$F229,BD$5&lt;=$G229),9,"")</f>
        <v/>
      </c>
      <c r="BE229" s="34">
        <f>IF(AND(BE$5&gt;=$F229,BE$5&lt;=$G229),9,"")</f>
        <v/>
      </c>
      <c r="BF229" s="34">
        <f>IF(AND(BF$5&gt;=$F229,BF$5&lt;=$G229),9,"")</f>
        <v/>
      </c>
      <c r="BG229" s="34">
        <f>IF(AND(BG$5&gt;=$F229,BG$5&lt;=$G229),9,"")</f>
        <v/>
      </c>
      <c r="BH229" s="34">
        <f>IF(AND(BH$5&gt;=$F229,BH$5&lt;=$G229),9,"")</f>
        <v/>
      </c>
      <c r="BI229" s="34">
        <f>IF(AND(BI$5&gt;=$F229,BI$5&lt;=$G229),9,"")</f>
        <v/>
      </c>
      <c r="BJ229" s="34">
        <f>IF(AND(BJ$5&gt;=$F229,BJ$5&lt;=$G229),9,"")</f>
        <v/>
      </c>
      <c r="BK229" s="34">
        <f>IF(AND(BK$5&gt;=$F229,BK$5&lt;=$G229),9,"")</f>
        <v/>
      </c>
      <c r="BL229" s="34">
        <f>IF(AND(BL$5&gt;=$F229,BL$5&lt;=$G229),9,"")</f>
        <v/>
      </c>
      <c r="BM229" s="34">
        <f>IF(AND(BM$5&gt;=$F229,BM$5&lt;=$G229),9,"")</f>
        <v/>
      </c>
      <c r="BN229" s="34">
        <f>IF(AND(BN$5&gt;=$F229,BN$5&lt;=$G229),9,"")</f>
        <v/>
      </c>
    </row>
    <row r="230" ht="14.25" customHeight="1" s="36">
      <c r="A230" s="13" t="inlineStr">
        <is>
          <t>9 Cierre</t>
        </is>
      </c>
      <c r="B230" s="13" t="inlineStr">
        <is>
          <t>9.2.2</t>
        </is>
      </c>
      <c r="C230" s="13" t="inlineStr">
        <is>
          <t>Certificado de devolución o eliminación de datos personales</t>
        </is>
      </c>
      <c r="D230" s="13" t="inlineStr">
        <is>
          <t>G</t>
        </is>
      </c>
      <c r="E230" s="13" t="inlineStr">
        <is>
          <t>Seguridad</t>
        </is>
      </c>
      <c r="F230" s="13" t="n">
        <v>56</v>
      </c>
      <c r="G230" s="13" t="n">
        <v>56</v>
      </c>
      <c r="H230" s="13">
        <f>G230-F230+1</f>
        <v/>
      </c>
      <c r="I230" s="31" t="n">
        <v>80</v>
      </c>
      <c r="J230" s="13" t="inlineStr">
        <is>
          <t>Con entregable (detalle por planificación gradual)</t>
        </is>
      </c>
      <c r="K230" s="34">
        <f>IF(AND(K$5&gt;=$F230,K$5&lt;=$G230),9,"")</f>
        <v/>
      </c>
      <c r="L230" s="34">
        <f>IF(AND(L$5&gt;=$F230,L$5&lt;=$G230),9,"")</f>
        <v/>
      </c>
      <c r="M230" s="34">
        <f>IF(AND(M$5&gt;=$F230,M$5&lt;=$G230),9,"")</f>
        <v/>
      </c>
      <c r="N230" s="34">
        <f>IF(AND(N$5&gt;=$F230,N$5&lt;=$G230),9,"")</f>
        <v/>
      </c>
      <c r="O230" s="34">
        <f>IF(AND(O$5&gt;=$F230,O$5&lt;=$G230),9,"")</f>
        <v/>
      </c>
      <c r="P230" s="34">
        <f>IF(AND(P$5&gt;=$F230,P$5&lt;=$G230),9,"")</f>
        <v/>
      </c>
      <c r="Q230" s="34">
        <f>IF(AND(Q$5&gt;=$F230,Q$5&lt;=$G230),9,"")</f>
        <v/>
      </c>
      <c r="R230" s="34">
        <f>IF(AND(R$5&gt;=$F230,R$5&lt;=$G230),9,"")</f>
        <v/>
      </c>
      <c r="S230" s="34">
        <f>IF(AND(S$5&gt;=$F230,S$5&lt;=$G230),9,"")</f>
        <v/>
      </c>
      <c r="T230" s="34">
        <f>IF(AND(T$5&gt;=$F230,T$5&lt;=$G230),9,"")</f>
        <v/>
      </c>
      <c r="U230" s="34">
        <f>IF(AND(U$5&gt;=$F230,U$5&lt;=$G230),9,"")</f>
        <v/>
      </c>
      <c r="V230" s="34">
        <f>IF(AND(V$5&gt;=$F230,V$5&lt;=$G230),9,"")</f>
        <v/>
      </c>
      <c r="W230" s="34">
        <f>IF(AND(W$5&gt;=$F230,W$5&lt;=$G230),9,"")</f>
        <v/>
      </c>
      <c r="X230" s="34">
        <f>IF(AND(X$5&gt;=$F230,X$5&lt;=$G230),9,"")</f>
        <v/>
      </c>
      <c r="Y230" s="34">
        <f>IF(AND(Y$5&gt;=$F230,Y$5&lt;=$G230),9,"")</f>
        <v/>
      </c>
      <c r="Z230" s="34">
        <f>IF(AND(Z$5&gt;=$F230,Z$5&lt;=$G230),9,"")</f>
        <v/>
      </c>
      <c r="AA230" s="34">
        <f>IF(AND(AA$5&gt;=$F230,AA$5&lt;=$G230),9,"")</f>
        <v/>
      </c>
      <c r="AB230" s="34">
        <f>IF(AND(AB$5&gt;=$F230,AB$5&lt;=$G230),9,"")</f>
        <v/>
      </c>
      <c r="AC230" s="34">
        <f>IF(AND(AC$5&gt;=$F230,AC$5&lt;=$G230),9,"")</f>
        <v/>
      </c>
      <c r="AD230" s="34">
        <f>IF(AND(AD$5&gt;=$F230,AD$5&lt;=$G230),9,"")</f>
        <v/>
      </c>
      <c r="AE230" s="34">
        <f>IF(AND(AE$5&gt;=$F230,AE$5&lt;=$G230),9,"")</f>
        <v/>
      </c>
      <c r="AF230" s="34">
        <f>IF(AND(AF$5&gt;=$F230,AF$5&lt;=$G230),9,"")</f>
        <v/>
      </c>
      <c r="AG230" s="34">
        <f>IF(AND(AG$5&gt;=$F230,AG$5&lt;=$G230),9,"")</f>
        <v/>
      </c>
      <c r="AH230" s="34">
        <f>IF(AND(AH$5&gt;=$F230,AH$5&lt;=$G230),9,"")</f>
        <v/>
      </c>
      <c r="AI230" s="34">
        <f>IF(AND(AI$5&gt;=$F230,AI$5&lt;=$G230),9,"")</f>
        <v/>
      </c>
      <c r="AJ230" s="34">
        <f>IF(AND(AJ$5&gt;=$F230,AJ$5&lt;=$G230),9,"")</f>
        <v/>
      </c>
      <c r="AK230" s="34">
        <f>IF(AND(AK$5&gt;=$F230,AK$5&lt;=$G230),9,"")</f>
        <v/>
      </c>
      <c r="AL230" s="34">
        <f>IF(AND(AL$5&gt;=$F230,AL$5&lt;=$G230),9,"")</f>
        <v/>
      </c>
      <c r="AM230" s="34">
        <f>IF(AND(AM$5&gt;=$F230,AM$5&lt;=$G230),9,"")</f>
        <v/>
      </c>
      <c r="AN230" s="34">
        <f>IF(AND(AN$5&gt;=$F230,AN$5&lt;=$G230),9,"")</f>
        <v/>
      </c>
      <c r="AO230" s="34">
        <f>IF(AND(AO$5&gt;=$F230,AO$5&lt;=$G230),9,"")</f>
        <v/>
      </c>
      <c r="AP230" s="34">
        <f>IF(AND(AP$5&gt;=$F230,AP$5&lt;=$G230),9,"")</f>
        <v/>
      </c>
      <c r="AQ230" s="34">
        <f>IF(AND(AQ$5&gt;=$F230,AQ$5&lt;=$G230),9,"")</f>
        <v/>
      </c>
      <c r="AR230" s="34">
        <f>IF(AND(AR$5&gt;=$F230,AR$5&lt;=$G230),9,"")</f>
        <v/>
      </c>
      <c r="AS230" s="34">
        <f>IF(AND(AS$5&gt;=$F230,AS$5&lt;=$G230),9,"")</f>
        <v/>
      </c>
      <c r="AT230" s="34">
        <f>IF(AND(AT$5&gt;=$F230,AT$5&lt;=$G230),9,"")</f>
        <v/>
      </c>
      <c r="AU230" s="34">
        <f>IF(AND(AU$5&gt;=$F230,AU$5&lt;=$G230),9,"")</f>
        <v/>
      </c>
      <c r="AV230" s="34">
        <f>IF(AND(AV$5&gt;=$F230,AV$5&lt;=$G230),9,"")</f>
        <v/>
      </c>
      <c r="AW230" s="34">
        <f>IF(AND(AW$5&gt;=$F230,AW$5&lt;=$G230),9,"")</f>
        <v/>
      </c>
      <c r="AX230" s="34">
        <f>IF(AND(AX$5&gt;=$F230,AX$5&lt;=$G230),9,"")</f>
        <v/>
      </c>
      <c r="AY230" s="34">
        <f>IF(AND(AY$5&gt;=$F230,AY$5&lt;=$G230),9,"")</f>
        <v/>
      </c>
      <c r="AZ230" s="34">
        <f>IF(AND(AZ$5&gt;=$F230,AZ$5&lt;=$G230),9,"")</f>
        <v/>
      </c>
      <c r="BA230" s="34">
        <f>IF(AND(BA$5&gt;=$F230,BA$5&lt;=$G230),9,"")</f>
        <v/>
      </c>
      <c r="BB230" s="34">
        <f>IF(AND(BB$5&gt;=$F230,BB$5&lt;=$G230),9,"")</f>
        <v/>
      </c>
      <c r="BC230" s="34">
        <f>IF(AND(BC$5&gt;=$F230,BC$5&lt;=$G230),9,"")</f>
        <v/>
      </c>
      <c r="BD230" s="34">
        <f>IF(AND(BD$5&gt;=$F230,BD$5&lt;=$G230),9,"")</f>
        <v/>
      </c>
      <c r="BE230" s="34">
        <f>IF(AND(BE$5&gt;=$F230,BE$5&lt;=$G230),9,"")</f>
        <v/>
      </c>
      <c r="BF230" s="34">
        <f>IF(AND(BF$5&gt;=$F230,BF$5&lt;=$G230),9,"")</f>
        <v/>
      </c>
      <c r="BG230" s="34">
        <f>IF(AND(BG$5&gt;=$F230,BG$5&lt;=$G230),9,"")</f>
        <v/>
      </c>
      <c r="BH230" s="34">
        <f>IF(AND(BH$5&gt;=$F230,BH$5&lt;=$G230),9,"")</f>
        <v/>
      </c>
      <c r="BI230" s="34">
        <f>IF(AND(BI$5&gt;=$F230,BI$5&lt;=$G230),9,"")</f>
        <v/>
      </c>
      <c r="BJ230" s="34">
        <f>IF(AND(BJ$5&gt;=$F230,BJ$5&lt;=$G230),9,"")</f>
        <v/>
      </c>
      <c r="BK230" s="34">
        <f>IF(AND(BK$5&gt;=$F230,BK$5&lt;=$G230),9,"")</f>
        <v/>
      </c>
      <c r="BL230" s="34">
        <f>IF(AND(BL$5&gt;=$F230,BL$5&lt;=$G230),9,"")</f>
        <v/>
      </c>
      <c r="BM230" s="34">
        <f>IF(AND(BM$5&gt;=$F230,BM$5&lt;=$G230),9,"")</f>
        <v/>
      </c>
      <c r="BN230" s="34">
        <f>IF(AND(BN$5&gt;=$F230,BN$5&lt;=$G230),9,"")</f>
        <v/>
      </c>
    </row>
    <row r="231" ht="14.25" customHeight="1" s="36">
      <c r="C231" s="3" t="inlineStr">
        <is>
          <t>Total HH esperadas de los 222 paquetes</t>
        </is>
      </c>
      <c r="I231" s="35">
        <f>SUM(I9:I230)</f>
        <v/>
      </c>
    </row>
    <row r="232" ht="14.25" customHeight="1" s="36">
      <c r="C232" s="25" t="inlineStr">
        <is>
          <t>Fuente: Formulario T-15, sección 4.2. El total programado del T-15 (216.935 HH) suma además 9.336 HH de soporte puente y 3.072 HH de reserva protegida de la Etapa 1.</t>
        </is>
      </c>
    </row>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conditionalFormatting sqref="K5:BN230">
    <cfRule type="expression" priority="1" dxfId="0">
      <formula>K$7="C"</formula>
    </cfRule>
  </conditionalFormatting>
  <conditionalFormatting sqref="K9:BN230">
    <cfRule type="expression" priority="2" dxfId="2">
      <formula>K9=1</formula>
    </cfRule>
    <cfRule type="expression" priority="3" dxfId="3">
      <formula>K9=2</formula>
    </cfRule>
    <cfRule type="expression" priority="4" dxfId="4">
      <formula>K9=3</formula>
    </cfRule>
    <cfRule type="expression" priority="5" dxfId="5">
      <formula>K9=4</formula>
    </cfRule>
    <cfRule type="expression" priority="6" dxfId="6">
      <formula>K9=5</formula>
    </cfRule>
    <cfRule type="expression" priority="7" dxfId="7">
      <formula>K9=6</formula>
    </cfRule>
    <cfRule type="expression" priority="8" dxfId="8">
      <formula>K9=7</formula>
    </cfRule>
    <cfRule type="expression" priority="9" dxfId="9">
      <formula>K9=8</formula>
    </cfRule>
    <cfRule type="expression" priority="10" dxfId="10">
      <formula>K9=9</formula>
    </cfRule>
  </conditionalFormatting>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L11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 customWidth="1" style="36" min="1" max="1"/>
    <col width="9" customWidth="1" style="36" min="2" max="2"/>
    <col width="52" customWidth="1" style="36" min="3" max="3"/>
    <col width="22" customWidth="1" style="36" min="4" max="4"/>
    <col width="10" customWidth="1" style="36" min="5" max="5"/>
    <col width="7" customWidth="1" style="36" min="6" max="6"/>
    <col width="12" customWidth="1" style="36" min="7" max="8"/>
    <col width="10" customWidth="1" style="36" min="9" max="9"/>
    <col width="60" customWidth="1" style="36" min="10" max="10"/>
    <col width="12" customWidth="1" style="36" min="11" max="12"/>
    <col width="8.859999999999999" customWidth="1" style="36" min="13" max="26"/>
  </cols>
  <sheetData>
    <row r="1" ht="14.25" customHeight="1" s="36">
      <c r="A1" s="4" t="inlineStr">
        <is>
          <t>Actividad</t>
        </is>
      </c>
      <c r="B1" s="4" t="inlineStr">
        <is>
          <t>Paquete</t>
        </is>
      </c>
      <c r="C1" s="4" t="inlineStr">
        <is>
          <t>Nombre de la actividad</t>
        </is>
      </c>
      <c r="D1" s="4" t="inlineStr">
        <is>
          <t>Responsable (familia de rol)</t>
        </is>
      </c>
      <c r="E1" s="4" t="inlineStr">
        <is>
          <t>Personas asignadas</t>
        </is>
      </c>
      <c r="F1" s="4" t="inlineStr">
        <is>
          <t>HH</t>
        </is>
      </c>
      <c r="G1" s="4" t="inlineStr">
        <is>
          <t>Inicio</t>
        </is>
      </c>
      <c r="H1" s="4" t="inlineStr">
        <is>
          <t>Fin</t>
        </is>
      </c>
      <c r="I1" s="4" t="inlineStr">
        <is>
          <t>Días hábiles</t>
        </is>
      </c>
      <c r="J1" s="4" t="inlineStr">
        <is>
          <t>Predecesoras</t>
        </is>
      </c>
      <c r="K1" s="4" t="inlineStr">
        <is>
          <t>Día hábil n.º de inicio (dato T-15)</t>
        </is>
      </c>
      <c r="L1" s="4" t="inlineStr">
        <is>
          <t>Día hábil n.º de fin (dato T-15)</t>
        </is>
      </c>
    </row>
    <row r="2" ht="14.25" customHeight="1" s="36">
      <c r="A2" s="13" t="inlineStr">
        <is>
          <t>1.1.1.A01</t>
        </is>
      </c>
      <c r="B2" s="13" t="inlineStr">
        <is>
          <t>1.1.1</t>
        </is>
      </c>
      <c r="C2" s="13" t="inlineStr">
        <is>
          <t>Elaboración, revisión y aprobación del entregable</t>
        </is>
      </c>
      <c r="D2" s="13" t="inlineStr">
        <is>
          <t>Jefe de Proyecto</t>
        </is>
      </c>
      <c r="E2" s="13" t="n">
        <v>2</v>
      </c>
      <c r="F2" s="13" t="n">
        <v>80</v>
      </c>
      <c r="G2" s="12">
        <f>WORKDAY('Parámetros'!$B$3-1,K2+1)</f>
        <v/>
      </c>
      <c r="H2" s="12">
        <f>WORKDAY('Parámetros'!$B$3-1,L2+1)</f>
        <v/>
      </c>
      <c r="I2" s="13">
        <f>NETWORKDAYS(G2,H2)</f>
        <v/>
      </c>
      <c r="J2" s="13" t="inlineStr">
        <is>
          <t>—</t>
        </is>
      </c>
      <c r="K2" s="13" t="n">
        <v>0</v>
      </c>
      <c r="L2" s="13" t="n">
        <v>6</v>
      </c>
    </row>
    <row r="3" ht="14.25" customHeight="1" s="36">
      <c r="A3" s="13" t="inlineStr">
        <is>
          <t>1.1.2.A01</t>
        </is>
      </c>
      <c r="B3" s="13" t="inlineStr">
        <is>
          <t>1.1.2</t>
        </is>
      </c>
      <c r="C3" s="13" t="inlineStr">
        <is>
          <t>Elaboración, revisión y aprobación del entregable</t>
        </is>
      </c>
      <c r="D3" s="13" t="inlineStr">
        <is>
          <t>Jefe de Proyecto</t>
        </is>
      </c>
      <c r="E3" s="13" t="n">
        <v>2</v>
      </c>
      <c r="F3" s="13" t="n">
        <v>80</v>
      </c>
      <c r="G3" s="12">
        <f>WORKDAY('Parámetros'!$B$3-1,K3+1)</f>
        <v/>
      </c>
      <c r="H3" s="12">
        <f>WORKDAY('Parámetros'!$B$3-1,L3+1)</f>
        <v/>
      </c>
      <c r="I3" s="13">
        <f>NETWORKDAYS(G3,H3)</f>
        <v/>
      </c>
      <c r="J3" s="13" t="inlineStr">
        <is>
          <t>—</t>
        </is>
      </c>
      <c r="K3" s="13" t="n">
        <v>0</v>
      </c>
      <c r="L3" s="13" t="n">
        <v>6</v>
      </c>
    </row>
    <row r="4" ht="14.25" customHeight="1" s="36">
      <c r="A4" s="13" t="inlineStr">
        <is>
          <t>1.1.3.A01</t>
        </is>
      </c>
      <c r="B4" s="13" t="inlineStr">
        <is>
          <t>1.1.3</t>
        </is>
      </c>
      <c r="C4" s="13" t="inlineStr">
        <is>
          <t>Elaboración, revisión y aprobación del entregable</t>
        </is>
      </c>
      <c r="D4" s="13" t="inlineStr">
        <is>
          <t>Jefe de Proyecto</t>
        </is>
      </c>
      <c r="E4" s="13" t="n">
        <v>2</v>
      </c>
      <c r="F4" s="13" t="n">
        <v>80</v>
      </c>
      <c r="G4" s="12">
        <f>WORKDAY('Parámetros'!$B$3-1,K4+1)</f>
        <v/>
      </c>
      <c r="H4" s="12">
        <f>WORKDAY('Parámetros'!$B$3-1,L4+1)</f>
        <v/>
      </c>
      <c r="I4" s="13">
        <f>NETWORKDAYS(G4,H4)</f>
        <v/>
      </c>
      <c r="J4" s="13" t="inlineStr">
        <is>
          <t>—</t>
        </is>
      </c>
      <c r="K4" s="13" t="n">
        <v>0</v>
      </c>
      <c r="L4" s="13" t="n">
        <v>6</v>
      </c>
    </row>
    <row r="5" ht="14.25" customHeight="1" s="36">
      <c r="A5" s="13" t="inlineStr">
        <is>
          <t>1.2.1.A01</t>
        </is>
      </c>
      <c r="B5" s="13" t="inlineStr">
        <is>
          <t>1.2.1</t>
        </is>
      </c>
      <c r="C5" s="13" t="inlineStr">
        <is>
          <t>Elaboración, revisión y aprobación del entregable</t>
        </is>
      </c>
      <c r="D5" s="13" t="inlineStr">
        <is>
          <t>Arquitectura</t>
        </is>
      </c>
      <c r="E5" s="13" t="n">
        <v>2</v>
      </c>
      <c r="F5" s="13" t="n">
        <v>80</v>
      </c>
      <c r="G5" s="12">
        <f>WORKDAY('Parámetros'!$B$3-1,K5+1)</f>
        <v/>
      </c>
      <c r="H5" s="12">
        <f>WORKDAY('Parámetros'!$B$3-1,L5+1)</f>
        <v/>
      </c>
      <c r="I5" s="13">
        <f>NETWORKDAYS(G5,H5)</f>
        <v/>
      </c>
      <c r="J5" s="13" t="inlineStr">
        <is>
          <t>—</t>
        </is>
      </c>
      <c r="K5" s="13" t="n">
        <v>0</v>
      </c>
      <c r="L5" s="13" t="n">
        <v>6</v>
      </c>
    </row>
    <row r="6" ht="14.25" customHeight="1" s="36">
      <c r="A6" s="13" t="inlineStr">
        <is>
          <t>1.2.3.A01</t>
        </is>
      </c>
      <c r="B6" s="13" t="inlineStr">
        <is>
          <t>1.2.3</t>
        </is>
      </c>
      <c r="C6" s="13" t="inlineStr">
        <is>
          <t>Elaboración, revisión y aprobación del entregable</t>
        </is>
      </c>
      <c r="D6" s="13" t="inlineStr">
        <is>
          <t>Arquitectura</t>
        </is>
      </c>
      <c r="E6" s="13" t="n">
        <v>2</v>
      </c>
      <c r="F6" s="13" t="n">
        <v>80</v>
      </c>
      <c r="G6" s="12">
        <f>WORKDAY('Parámetros'!$B$3-1,K6+1)</f>
        <v/>
      </c>
      <c r="H6" s="12">
        <f>WORKDAY('Parámetros'!$B$3-1,L6+1)</f>
        <v/>
      </c>
      <c r="I6" s="13">
        <f>NETWORKDAYS(G6,H6)</f>
        <v/>
      </c>
      <c r="J6" s="13" t="inlineStr">
        <is>
          <t>—</t>
        </is>
      </c>
      <c r="K6" s="13" t="n">
        <v>0</v>
      </c>
      <c r="L6" s="13" t="n">
        <v>6</v>
      </c>
    </row>
    <row r="7" ht="14.25" customHeight="1" s="36">
      <c r="A7" s="13" t="inlineStr">
        <is>
          <t>1.2.4.A01</t>
        </is>
      </c>
      <c r="B7" s="13" t="inlineStr">
        <is>
          <t>1.2.4</t>
        </is>
      </c>
      <c r="C7" s="13" t="inlineStr">
        <is>
          <t>Elaboración, revisión y aprobación del entregable</t>
        </is>
      </c>
      <c r="D7" s="13" t="inlineStr">
        <is>
          <t>Calidad y pruebas</t>
        </is>
      </c>
      <c r="E7" s="13" t="n">
        <v>2</v>
      </c>
      <c r="F7" s="13" t="n">
        <v>80</v>
      </c>
      <c r="G7" s="12">
        <f>WORKDAY('Parámetros'!$B$3-1,K7+1)</f>
        <v/>
      </c>
      <c r="H7" s="12">
        <f>WORKDAY('Parámetros'!$B$3-1,L7+1)</f>
        <v/>
      </c>
      <c r="I7" s="13">
        <f>NETWORKDAYS(G7,H7)</f>
        <v/>
      </c>
      <c r="J7" s="13" t="inlineStr">
        <is>
          <t>—</t>
        </is>
      </c>
      <c r="K7" s="13" t="n">
        <v>20</v>
      </c>
      <c r="L7" s="13" t="n">
        <v>26</v>
      </c>
    </row>
    <row r="8" ht="14.25" customHeight="1" s="36">
      <c r="A8" s="13" t="inlineStr">
        <is>
          <t>1.3.1.A01</t>
        </is>
      </c>
      <c r="B8" s="13" t="inlineStr">
        <is>
          <t>1.3.1</t>
        </is>
      </c>
      <c r="C8" s="13" t="inlineStr">
        <is>
          <t>Elaboración, revisión y aprobación del entregable</t>
        </is>
      </c>
      <c r="D8" s="13" t="inlineStr">
        <is>
          <t>Jefe de Proyecto</t>
        </is>
      </c>
      <c r="E8" s="13" t="n">
        <v>2</v>
      </c>
      <c r="F8" s="13" t="n">
        <v>80</v>
      </c>
      <c r="G8" s="12">
        <f>WORKDAY('Parámetros'!$B$3-1,K8+1)</f>
        <v/>
      </c>
      <c r="H8" s="12">
        <f>WORKDAY('Parámetros'!$B$3-1,L8+1)</f>
        <v/>
      </c>
      <c r="I8" s="13">
        <f>NETWORKDAYS(G8,H8)</f>
        <v/>
      </c>
      <c r="J8" s="13" t="inlineStr">
        <is>
          <t>—</t>
        </is>
      </c>
      <c r="K8" s="13" t="n">
        <v>7</v>
      </c>
      <c r="L8" s="13" t="n">
        <v>13</v>
      </c>
    </row>
    <row r="9" ht="14.25" customHeight="1" s="36">
      <c r="A9" s="13" t="inlineStr">
        <is>
          <t>1.3.2.A01</t>
        </is>
      </c>
      <c r="B9" s="13" t="inlineStr">
        <is>
          <t>1.3.2</t>
        </is>
      </c>
      <c r="C9" s="13" t="inlineStr">
        <is>
          <t>Elaboración, revisión y aprobación del entregable</t>
        </is>
      </c>
      <c r="D9" s="13" t="inlineStr">
        <is>
          <t>Jefe de Proyecto</t>
        </is>
      </c>
      <c r="E9" s="13" t="n">
        <v>2</v>
      </c>
      <c r="F9" s="13" t="n">
        <v>80</v>
      </c>
      <c r="G9" s="12">
        <f>WORKDAY('Parámetros'!$B$3-1,K9+1)</f>
        <v/>
      </c>
      <c r="H9" s="12">
        <f>WORKDAY('Parámetros'!$B$3-1,L9+1)</f>
        <v/>
      </c>
      <c r="I9" s="13">
        <f>NETWORKDAYS(G9,H9)</f>
        <v/>
      </c>
      <c r="J9" s="13" t="inlineStr">
        <is>
          <t>—</t>
        </is>
      </c>
      <c r="K9" s="13" t="n">
        <v>20</v>
      </c>
      <c r="L9" s="13" t="n">
        <v>26</v>
      </c>
    </row>
    <row r="10" ht="14.25" customHeight="1" s="36">
      <c r="A10" s="13" t="inlineStr">
        <is>
          <t>1.3.3.A01</t>
        </is>
      </c>
      <c r="B10" s="13" t="inlineStr">
        <is>
          <t>1.3.3</t>
        </is>
      </c>
      <c r="C10" s="13" t="inlineStr">
        <is>
          <t>Elaboración, revisión y aprobación del entregable</t>
        </is>
      </c>
      <c r="D10" s="13" t="inlineStr">
        <is>
          <t>Jefe de Proyecto</t>
        </is>
      </c>
      <c r="E10" s="13" t="n">
        <v>2</v>
      </c>
      <c r="F10" s="13" t="n">
        <v>80</v>
      </c>
      <c r="G10" s="12">
        <f>WORKDAY('Parámetros'!$B$3-1,K10+1)</f>
        <v/>
      </c>
      <c r="H10" s="12">
        <f>WORKDAY('Parámetros'!$B$3-1,L10+1)</f>
        <v/>
      </c>
      <c r="I10" s="13">
        <f>NETWORKDAYS(G10,H10)</f>
        <v/>
      </c>
      <c r="J10" s="13" t="inlineStr">
        <is>
          <t>—</t>
        </is>
      </c>
      <c r="K10" s="13" t="n">
        <v>20</v>
      </c>
      <c r="L10" s="13" t="n">
        <v>26</v>
      </c>
    </row>
    <row r="11" ht="14.25" customHeight="1" s="36">
      <c r="A11" s="13" t="inlineStr">
        <is>
          <t>1.3.4.A01</t>
        </is>
      </c>
      <c r="B11" s="13" t="inlineStr">
        <is>
          <t>1.3.4</t>
        </is>
      </c>
      <c r="C11" s="13" t="inlineStr">
        <is>
          <t>Elaboración, revisión y aprobación del entregable</t>
        </is>
      </c>
      <c r="D11" s="13" t="inlineStr">
        <is>
          <t>Jefe de Proyecto</t>
        </is>
      </c>
      <c r="E11" s="13" t="n">
        <v>2</v>
      </c>
      <c r="F11" s="13" t="n">
        <v>80</v>
      </c>
      <c r="G11" s="12">
        <f>WORKDAY('Parámetros'!$B$3-1,K11+1)</f>
        <v/>
      </c>
      <c r="H11" s="12">
        <f>WORKDAY('Parámetros'!$B$3-1,L11+1)</f>
        <v/>
      </c>
      <c r="I11" s="13">
        <f>NETWORKDAYS(G11,H11)</f>
        <v/>
      </c>
      <c r="J11" s="13" t="inlineStr">
        <is>
          <t>—</t>
        </is>
      </c>
      <c r="K11" s="13" t="n">
        <v>20</v>
      </c>
      <c r="L11" s="13" t="n">
        <v>26</v>
      </c>
    </row>
    <row r="12" ht="14.25" customHeight="1" s="36">
      <c r="A12" s="13" t="inlineStr">
        <is>
          <t>1.4.1.A01</t>
        </is>
      </c>
      <c r="B12" s="13" t="inlineStr">
        <is>
          <t>1.4.1</t>
        </is>
      </c>
      <c r="C12" s="13" t="inlineStr">
        <is>
          <t>Elaboración, revisión y aprobación del entregable</t>
        </is>
      </c>
      <c r="D12" s="13" t="inlineStr">
        <is>
          <t>Jefe de Proyecto</t>
        </is>
      </c>
      <c r="E12" s="13" t="n">
        <v>2</v>
      </c>
      <c r="F12" s="13" t="n">
        <v>80</v>
      </c>
      <c r="G12" s="12">
        <f>WORKDAY('Parámetros'!$B$3-1,K12+1)</f>
        <v/>
      </c>
      <c r="H12" s="12">
        <f>WORKDAY('Parámetros'!$B$3-1,L12+1)</f>
        <v/>
      </c>
      <c r="I12" s="13">
        <f>NETWORKDAYS(G12,H12)</f>
        <v/>
      </c>
      <c r="J12" s="13" t="inlineStr">
        <is>
          <t>—</t>
        </is>
      </c>
      <c r="K12" s="13" t="n">
        <v>0</v>
      </c>
      <c r="L12" s="13" t="n">
        <v>6</v>
      </c>
    </row>
    <row r="13" ht="14.25" customHeight="1" s="36">
      <c r="A13" s="13" t="inlineStr">
        <is>
          <t>1.4.2.A01</t>
        </is>
      </c>
      <c r="B13" s="13" t="inlineStr">
        <is>
          <t>1.4.2</t>
        </is>
      </c>
      <c r="C13" s="13" t="inlineStr">
        <is>
          <t>Elaboración, revisión y aprobación del entregable</t>
        </is>
      </c>
      <c r="D13" s="13" t="inlineStr">
        <is>
          <t>Jefe de Proyecto</t>
        </is>
      </c>
      <c r="E13" s="13" t="n">
        <v>2</v>
      </c>
      <c r="F13" s="13" t="n">
        <v>80</v>
      </c>
      <c r="G13" s="12">
        <f>WORKDAY('Parámetros'!$B$3-1,K13+1)</f>
        <v/>
      </c>
      <c r="H13" s="12">
        <f>WORKDAY('Parámetros'!$B$3-1,L13+1)</f>
        <v/>
      </c>
      <c r="I13" s="13">
        <f>NETWORKDAYS(G13,H13)</f>
        <v/>
      </c>
      <c r="J13" s="13" t="inlineStr">
        <is>
          <t>—</t>
        </is>
      </c>
      <c r="K13" s="13" t="n">
        <v>0</v>
      </c>
      <c r="L13" s="13" t="n">
        <v>6</v>
      </c>
    </row>
    <row r="14" ht="14.25" customHeight="1" s="36">
      <c r="A14" s="13" t="inlineStr">
        <is>
          <t>1.5.1.A01</t>
        </is>
      </c>
      <c r="B14" s="13" t="inlineStr">
        <is>
          <t>1.5.1</t>
        </is>
      </c>
      <c r="C14" s="13" t="inlineStr">
        <is>
          <t>Elaboración, revisión y aprobación del entregable</t>
        </is>
      </c>
      <c r="D14" s="13" t="inlineStr">
        <is>
          <t>Calidad y pruebas</t>
        </is>
      </c>
      <c r="E14" s="13" t="n">
        <v>2</v>
      </c>
      <c r="F14" s="13" t="n">
        <v>80</v>
      </c>
      <c r="G14" s="12">
        <f>WORKDAY('Parámetros'!$B$3-1,K14+1)</f>
        <v/>
      </c>
      <c r="H14" s="12">
        <f>WORKDAY('Parámetros'!$B$3-1,L14+1)</f>
        <v/>
      </c>
      <c r="I14" s="13">
        <f>NETWORKDAYS(G14,H14)</f>
        <v/>
      </c>
      <c r="J14" s="13" t="inlineStr">
        <is>
          <t>—</t>
        </is>
      </c>
      <c r="K14" s="13" t="n">
        <v>20</v>
      </c>
      <c r="L14" s="13" t="n">
        <v>26</v>
      </c>
    </row>
    <row r="15" ht="14.25" customHeight="1" s="36">
      <c r="A15" s="13" t="inlineStr">
        <is>
          <t>1.6.1.A01</t>
        </is>
      </c>
      <c r="B15" s="13" t="inlineStr">
        <is>
          <t>1.6.1</t>
        </is>
      </c>
      <c r="C15" s="13" t="inlineStr">
        <is>
          <t>Elaboración, revisión y aprobación del entregable</t>
        </is>
      </c>
      <c r="D15" s="13" t="inlineStr">
        <is>
          <t>Jefe de Proyecto</t>
        </is>
      </c>
      <c r="E15" s="13" t="n">
        <v>2</v>
      </c>
      <c r="F15" s="13" t="n">
        <v>80</v>
      </c>
      <c r="G15" s="12">
        <f>WORKDAY('Parámetros'!$B$3-1,K15+1)</f>
        <v/>
      </c>
      <c r="H15" s="12">
        <f>WORKDAY('Parámetros'!$B$3-1,L15+1)</f>
        <v/>
      </c>
      <c r="I15" s="13">
        <f>NETWORKDAYS(G15,H15)</f>
        <v/>
      </c>
      <c r="J15" s="13" t="inlineStr">
        <is>
          <t>—</t>
        </is>
      </c>
      <c r="K15" s="13" t="n">
        <v>20</v>
      </c>
      <c r="L15" s="13" t="n">
        <v>26</v>
      </c>
    </row>
    <row r="16" ht="14.25" customHeight="1" s="36">
      <c r="A16" s="13" t="inlineStr">
        <is>
          <t>1.7.1.A01</t>
        </is>
      </c>
      <c r="B16" s="13" t="inlineStr">
        <is>
          <t>1.7.1</t>
        </is>
      </c>
      <c r="C16" s="13" t="inlineStr">
        <is>
          <t>Elaboración, revisión y aprobación del entregable</t>
        </is>
      </c>
      <c r="D16" s="13" t="inlineStr">
        <is>
          <t>Jefe de Proyecto</t>
        </is>
      </c>
      <c r="E16" s="13" t="n">
        <v>2</v>
      </c>
      <c r="F16" s="13" t="n">
        <v>80</v>
      </c>
      <c r="G16" s="12">
        <f>WORKDAY('Parámetros'!$B$3-1,K16+1)</f>
        <v/>
      </c>
      <c r="H16" s="12">
        <f>WORKDAY('Parámetros'!$B$3-1,L16+1)</f>
        <v/>
      </c>
      <c r="I16" s="13">
        <f>NETWORKDAYS(G16,H16)</f>
        <v/>
      </c>
      <c r="J16" s="13" t="inlineStr">
        <is>
          <t>—</t>
        </is>
      </c>
      <c r="K16" s="13" t="n">
        <v>43</v>
      </c>
      <c r="L16" s="13" t="n">
        <v>49</v>
      </c>
    </row>
    <row r="17" ht="14.25" customHeight="1" s="36">
      <c r="A17" s="13" t="inlineStr">
        <is>
          <t>1.9.1.A01</t>
        </is>
      </c>
      <c r="B17" s="13" t="inlineStr">
        <is>
          <t>1.9.1</t>
        </is>
      </c>
      <c r="C17" s="13" t="inlineStr">
        <is>
          <t>Elaboración, revisión y aprobación del entregable</t>
        </is>
      </c>
      <c r="D17" s="13" t="inlineStr">
        <is>
          <t>Seguridad</t>
        </is>
      </c>
      <c r="E17" s="13" t="n">
        <v>2</v>
      </c>
      <c r="F17" s="13" t="n">
        <v>80</v>
      </c>
      <c r="G17" s="12">
        <f>WORKDAY('Parámetros'!$B$3-1,K17+1)</f>
        <v/>
      </c>
      <c r="H17" s="12">
        <f>WORKDAY('Parámetros'!$B$3-1,L17+1)</f>
        <v/>
      </c>
      <c r="I17" s="13">
        <f>NETWORKDAYS(G17,H17)</f>
        <v/>
      </c>
      <c r="J17" s="13" t="inlineStr">
        <is>
          <t>—</t>
        </is>
      </c>
      <c r="K17" s="13" t="n">
        <v>0</v>
      </c>
      <c r="L17" s="13" t="n">
        <v>6</v>
      </c>
    </row>
    <row r="18" ht="14.25" customHeight="1" s="36">
      <c r="A18" s="13" t="inlineStr">
        <is>
          <t>1.9.2.A01</t>
        </is>
      </c>
      <c r="B18" s="13" t="inlineStr">
        <is>
          <t>1.9.2</t>
        </is>
      </c>
      <c r="C18" s="13" t="inlineStr">
        <is>
          <t>Elaboración, revisión y aprobación del entregable</t>
        </is>
      </c>
      <c r="D18" s="13" t="inlineStr">
        <is>
          <t>Seguridad</t>
        </is>
      </c>
      <c r="E18" s="13" t="n">
        <v>2</v>
      </c>
      <c r="F18" s="13" t="n">
        <v>80</v>
      </c>
      <c r="G18" s="12">
        <f>WORKDAY('Parámetros'!$B$3-1,K18+1)</f>
        <v/>
      </c>
      <c r="H18" s="12">
        <f>WORKDAY('Parámetros'!$B$3-1,L18+1)</f>
        <v/>
      </c>
      <c r="I18" s="13">
        <f>NETWORKDAYS(G18,H18)</f>
        <v/>
      </c>
      <c r="J18" s="13" t="inlineStr">
        <is>
          <t>—</t>
        </is>
      </c>
      <c r="K18" s="13" t="n">
        <v>0</v>
      </c>
      <c r="L18" s="13" t="n">
        <v>6</v>
      </c>
    </row>
    <row r="19" ht="14.25" customHeight="1" s="36">
      <c r="A19" s="13" t="inlineStr">
        <is>
          <t>1.9.3.A01</t>
        </is>
      </c>
      <c r="B19" s="13" t="inlineStr">
        <is>
          <t>1.9.3</t>
        </is>
      </c>
      <c r="C19" s="13" t="inlineStr">
        <is>
          <t>Elaboración, revisión y aprobación del entregable</t>
        </is>
      </c>
      <c r="D19" s="13" t="inlineStr">
        <is>
          <t>Seguridad</t>
        </is>
      </c>
      <c r="E19" s="13" t="n">
        <v>2</v>
      </c>
      <c r="F19" s="13" t="n">
        <v>80</v>
      </c>
      <c r="G19" s="12">
        <f>WORKDAY('Parámetros'!$B$3-1,K19+1)</f>
        <v/>
      </c>
      <c r="H19" s="12">
        <f>WORKDAY('Parámetros'!$B$3-1,L19+1)</f>
        <v/>
      </c>
      <c r="I19" s="13">
        <f>NETWORKDAYS(G19,H19)</f>
        <v/>
      </c>
      <c r="J19" s="13" t="inlineStr">
        <is>
          <t>—</t>
        </is>
      </c>
      <c r="K19" s="13" t="n">
        <v>20</v>
      </c>
      <c r="L19" s="13" t="n">
        <v>26</v>
      </c>
    </row>
    <row r="20" ht="14.25" customHeight="1" s="36">
      <c r="A20" s="13" t="inlineStr">
        <is>
          <t>2.1.1.A01</t>
        </is>
      </c>
      <c r="B20" s="13" t="inlineStr">
        <is>
          <t>2.1.1</t>
        </is>
      </c>
      <c r="C20" s="13" t="inlineStr">
        <is>
          <t>Levantamiento de insumos y análisis</t>
        </is>
      </c>
      <c r="D20" s="13" t="inlineStr">
        <is>
          <t>Arquitectura</t>
        </is>
      </c>
      <c r="E20" s="13" t="n">
        <v>2</v>
      </c>
      <c r="F20" s="13" t="n">
        <v>80</v>
      </c>
      <c r="G20" s="12">
        <f>WORKDAY('Parámetros'!$B$3-1,K20+1)</f>
        <v/>
      </c>
      <c r="H20" s="12">
        <f>WORKDAY('Parámetros'!$B$3-1,L20+1)</f>
        <v/>
      </c>
      <c r="I20" s="13">
        <f>NETWORKDAYS(G20,H20)</f>
        <v/>
      </c>
      <c r="J20" s="13" t="inlineStr">
        <is>
          <t>1.2.1.A01</t>
        </is>
      </c>
      <c r="K20" s="13" t="n">
        <v>20</v>
      </c>
      <c r="L20" s="13" t="n">
        <v>26</v>
      </c>
    </row>
    <row r="21" ht="14.25" customHeight="1" s="36">
      <c r="A21" s="13" t="inlineStr">
        <is>
          <t>2.1.1.A02</t>
        </is>
      </c>
      <c r="B21" s="13" t="inlineStr">
        <is>
          <t>2.1.1</t>
        </is>
      </c>
      <c r="C21" s="13" t="inlineStr">
        <is>
          <t>Elaboración del entregable</t>
        </is>
      </c>
      <c r="D21" s="13" t="inlineStr">
        <is>
          <t>Arquitectura</t>
        </is>
      </c>
      <c r="E21" s="13" t="n">
        <v>2</v>
      </c>
      <c r="F21" s="13" t="n">
        <v>80</v>
      </c>
      <c r="G21" s="12">
        <f>WORKDAY('Parámetros'!$B$3-1,K21+1)</f>
        <v/>
      </c>
      <c r="H21" s="12">
        <f>WORKDAY('Parámetros'!$B$3-1,L21+1)</f>
        <v/>
      </c>
      <c r="I21" s="13">
        <f>NETWORKDAYS(G21,H21)</f>
        <v/>
      </c>
      <c r="J21" s="13" t="inlineStr">
        <is>
          <t>2.1.1.A01</t>
        </is>
      </c>
      <c r="K21" s="13" t="n">
        <v>27</v>
      </c>
      <c r="L21" s="13" t="n">
        <v>33</v>
      </c>
    </row>
    <row r="22" ht="14.25" customHeight="1" s="36">
      <c r="A22" s="13" t="inlineStr">
        <is>
          <t>2.1.1.A03</t>
        </is>
      </c>
      <c r="B22" s="13" t="inlineStr">
        <is>
          <t>2.1.1</t>
        </is>
      </c>
      <c r="C22" s="13" t="inlineStr">
        <is>
          <t>Revisión, corrección y presentación para aprobación</t>
        </is>
      </c>
      <c r="D22" s="13" t="inlineStr">
        <is>
          <t>Arquitectura</t>
        </is>
      </c>
      <c r="E22" s="13" t="n">
        <v>2</v>
      </c>
      <c r="F22" s="13" t="n">
        <v>80</v>
      </c>
      <c r="G22" s="12">
        <f>WORKDAY('Parámetros'!$B$3-1,K22+1)</f>
        <v/>
      </c>
      <c r="H22" s="12">
        <f>WORKDAY('Parámetros'!$B$3-1,L22+1)</f>
        <v/>
      </c>
      <c r="I22" s="13">
        <f>NETWORKDAYS(G22,H22)</f>
        <v/>
      </c>
      <c r="J22" s="13" t="inlineStr">
        <is>
          <t>2.1.1.A02</t>
        </is>
      </c>
      <c r="K22" s="13" t="n">
        <v>34</v>
      </c>
      <c r="L22" s="13" t="n">
        <v>40</v>
      </c>
    </row>
    <row r="23" ht="14.25" customHeight="1" s="36">
      <c r="A23" s="13" t="inlineStr">
        <is>
          <t>2.1.2.A01</t>
        </is>
      </c>
      <c r="B23" s="13" t="inlineStr">
        <is>
          <t>2.1.2</t>
        </is>
      </c>
      <c r="C23" s="13" t="inlineStr">
        <is>
          <t>Levantamiento de insumos y análisis</t>
        </is>
      </c>
      <c r="D23" s="13" t="inlineStr">
        <is>
          <t>Arquitectura</t>
        </is>
      </c>
      <c r="E23" s="13" t="n">
        <v>2</v>
      </c>
      <c r="F23" s="13" t="n">
        <v>80</v>
      </c>
      <c r="G23" s="12">
        <f>WORKDAY('Parámetros'!$B$3-1,K23+1)</f>
        <v/>
      </c>
      <c r="H23" s="12">
        <f>WORKDAY('Parámetros'!$B$3-1,L23+1)</f>
        <v/>
      </c>
      <c r="I23" s="13">
        <f>NETWORKDAYS(G23,H23)</f>
        <v/>
      </c>
      <c r="J23" s="13" t="inlineStr">
        <is>
          <t>—</t>
        </is>
      </c>
      <c r="K23" s="13" t="n">
        <v>20</v>
      </c>
      <c r="L23" s="13" t="n">
        <v>26</v>
      </c>
    </row>
    <row r="24" ht="14.25" customHeight="1" s="36">
      <c r="A24" s="13" t="inlineStr">
        <is>
          <t>2.1.2.A02</t>
        </is>
      </c>
      <c r="B24" s="13" t="inlineStr">
        <is>
          <t>2.1.2</t>
        </is>
      </c>
      <c r="C24" s="13" t="inlineStr">
        <is>
          <t>Elaboración del entregable</t>
        </is>
      </c>
      <c r="D24" s="13" t="inlineStr">
        <is>
          <t>Arquitectura</t>
        </is>
      </c>
      <c r="E24" s="13" t="n">
        <v>2</v>
      </c>
      <c r="F24" s="13" t="n">
        <v>80</v>
      </c>
      <c r="G24" s="12">
        <f>WORKDAY('Parámetros'!$B$3-1,K24+1)</f>
        <v/>
      </c>
      <c r="H24" s="12">
        <f>WORKDAY('Parámetros'!$B$3-1,L24+1)</f>
        <v/>
      </c>
      <c r="I24" s="13">
        <f>NETWORKDAYS(G24,H24)</f>
        <v/>
      </c>
      <c r="J24" s="13" t="inlineStr">
        <is>
          <t>2.1.2.A01</t>
        </is>
      </c>
      <c r="K24" s="13" t="n">
        <v>27</v>
      </c>
      <c r="L24" s="13" t="n">
        <v>33</v>
      </c>
    </row>
    <row r="25" ht="14.25" customHeight="1" s="36">
      <c r="A25" s="13" t="inlineStr">
        <is>
          <t>2.1.2.A03</t>
        </is>
      </c>
      <c r="B25" s="13" t="inlineStr">
        <is>
          <t>2.1.2</t>
        </is>
      </c>
      <c r="C25" s="13" t="inlineStr">
        <is>
          <t>Revisión, corrección y presentación para aprobación</t>
        </is>
      </c>
      <c r="D25" s="13" t="inlineStr">
        <is>
          <t>Arquitectura</t>
        </is>
      </c>
      <c r="E25" s="13" t="n">
        <v>2</v>
      </c>
      <c r="F25" s="13" t="n">
        <v>80</v>
      </c>
      <c r="G25" s="12">
        <f>WORKDAY('Parámetros'!$B$3-1,K25+1)</f>
        <v/>
      </c>
      <c r="H25" s="12">
        <f>WORKDAY('Parámetros'!$B$3-1,L25+1)</f>
        <v/>
      </c>
      <c r="I25" s="13">
        <f>NETWORKDAYS(G25,H25)</f>
        <v/>
      </c>
      <c r="J25" s="13" t="inlineStr">
        <is>
          <t>2.1.2.A02</t>
        </is>
      </c>
      <c r="K25" s="13" t="n">
        <v>34</v>
      </c>
      <c r="L25" s="13" t="n">
        <v>40</v>
      </c>
    </row>
    <row r="26" ht="14.25" customHeight="1" s="36">
      <c r="A26" s="13" t="inlineStr">
        <is>
          <t>2.1.3.A01</t>
        </is>
      </c>
      <c r="B26" s="13" t="inlineStr">
        <is>
          <t>2.1.3</t>
        </is>
      </c>
      <c r="C26" s="13" t="inlineStr">
        <is>
          <t>Levantamiento de insumos y análisis</t>
        </is>
      </c>
      <c r="D26" s="13" t="inlineStr">
        <is>
          <t>Datos</t>
        </is>
      </c>
      <c r="E26" s="13" t="n">
        <v>2</v>
      </c>
      <c r="F26" s="13" t="n">
        <v>80</v>
      </c>
      <c r="G26" s="12">
        <f>WORKDAY('Parámetros'!$B$3-1,K26+1)</f>
        <v/>
      </c>
      <c r="H26" s="12">
        <f>WORKDAY('Parámetros'!$B$3-1,L26+1)</f>
        <v/>
      </c>
      <c r="I26" s="13">
        <f>NETWORKDAYS(G26,H26)</f>
        <v/>
      </c>
      <c r="J26" s="13" t="inlineStr">
        <is>
          <t>—</t>
        </is>
      </c>
      <c r="K26" s="13" t="n">
        <v>20</v>
      </c>
      <c r="L26" s="13" t="n">
        <v>26</v>
      </c>
    </row>
    <row r="27" ht="14.25" customHeight="1" s="36">
      <c r="A27" s="13" t="inlineStr">
        <is>
          <t>2.1.3.A02</t>
        </is>
      </c>
      <c r="B27" s="13" t="inlineStr">
        <is>
          <t>2.1.3</t>
        </is>
      </c>
      <c r="C27" s="13" t="inlineStr">
        <is>
          <t>Elaboración del entregable</t>
        </is>
      </c>
      <c r="D27" s="13" t="inlineStr">
        <is>
          <t>Datos</t>
        </is>
      </c>
      <c r="E27" s="13" t="n">
        <v>2</v>
      </c>
      <c r="F27" s="13" t="n">
        <v>80</v>
      </c>
      <c r="G27" s="12">
        <f>WORKDAY('Parámetros'!$B$3-1,K27+1)</f>
        <v/>
      </c>
      <c r="H27" s="12">
        <f>WORKDAY('Parámetros'!$B$3-1,L27+1)</f>
        <v/>
      </c>
      <c r="I27" s="13">
        <f>NETWORKDAYS(G27,H27)</f>
        <v/>
      </c>
      <c r="J27" s="13" t="inlineStr">
        <is>
          <t>2.1.3.A01</t>
        </is>
      </c>
      <c r="K27" s="13" t="n">
        <v>27</v>
      </c>
      <c r="L27" s="13" t="n">
        <v>33</v>
      </c>
    </row>
    <row r="28" ht="14.25" customHeight="1" s="36">
      <c r="A28" s="13" t="inlineStr">
        <is>
          <t>2.1.3.A03</t>
        </is>
      </c>
      <c r="B28" s="13" t="inlineStr">
        <is>
          <t>2.1.3</t>
        </is>
      </c>
      <c r="C28" s="13" t="inlineStr">
        <is>
          <t>Revisión, corrección y presentación para aprobación</t>
        </is>
      </c>
      <c r="D28" s="13" t="inlineStr">
        <is>
          <t>Datos</t>
        </is>
      </c>
      <c r="E28" s="13" t="n">
        <v>2</v>
      </c>
      <c r="F28" s="13" t="n">
        <v>80</v>
      </c>
      <c r="G28" s="12">
        <f>WORKDAY('Parámetros'!$B$3-1,K28+1)</f>
        <v/>
      </c>
      <c r="H28" s="12">
        <f>WORKDAY('Parámetros'!$B$3-1,L28+1)</f>
        <v/>
      </c>
      <c r="I28" s="13">
        <f>NETWORKDAYS(G28,H28)</f>
        <v/>
      </c>
      <c r="J28" s="13" t="inlineStr">
        <is>
          <t>2.1.3.A02</t>
        </is>
      </c>
      <c r="K28" s="13" t="n">
        <v>34</v>
      </c>
      <c r="L28" s="13" t="n">
        <v>40</v>
      </c>
    </row>
    <row r="29" ht="14.25" customHeight="1" s="36">
      <c r="A29" s="13" t="inlineStr">
        <is>
          <t>2.2.1.A01</t>
        </is>
      </c>
      <c r="B29" s="13" t="inlineStr">
        <is>
          <t>2.2.1</t>
        </is>
      </c>
      <c r="C29" s="13" t="inlineStr">
        <is>
          <t>Levantamiento de insumos y análisis</t>
        </is>
      </c>
      <c r="D29" s="13" t="inlineStr">
        <is>
          <t>Seguridad</t>
        </is>
      </c>
      <c r="E29" s="13" t="n">
        <v>2</v>
      </c>
      <c r="F29" s="13" t="n">
        <v>80</v>
      </c>
      <c r="G29" s="12">
        <f>WORKDAY('Parámetros'!$B$3-1,K29+1)</f>
        <v/>
      </c>
      <c r="H29" s="12">
        <f>WORKDAY('Parámetros'!$B$3-1,L29+1)</f>
        <v/>
      </c>
      <c r="I29" s="13">
        <f>NETWORKDAYS(G29,H29)</f>
        <v/>
      </c>
      <c r="J29" s="13" t="inlineStr">
        <is>
          <t>—</t>
        </is>
      </c>
      <c r="K29" s="13" t="n">
        <v>20</v>
      </c>
      <c r="L29" s="13" t="n">
        <v>26</v>
      </c>
    </row>
    <row r="30" ht="14.25" customHeight="1" s="36">
      <c r="A30" s="13" t="inlineStr">
        <is>
          <t>2.2.1.A02</t>
        </is>
      </c>
      <c r="B30" s="13" t="inlineStr">
        <is>
          <t>2.2.1</t>
        </is>
      </c>
      <c r="C30" s="13" t="inlineStr">
        <is>
          <t>Elaboración del entregable</t>
        </is>
      </c>
      <c r="D30" s="13" t="inlineStr">
        <is>
          <t>Seguridad</t>
        </is>
      </c>
      <c r="E30" s="13" t="n">
        <v>2</v>
      </c>
      <c r="F30" s="13" t="n">
        <v>80</v>
      </c>
      <c r="G30" s="12">
        <f>WORKDAY('Parámetros'!$B$3-1,K30+1)</f>
        <v/>
      </c>
      <c r="H30" s="12">
        <f>WORKDAY('Parámetros'!$B$3-1,L30+1)</f>
        <v/>
      </c>
      <c r="I30" s="13">
        <f>NETWORKDAYS(G30,H30)</f>
        <v/>
      </c>
      <c r="J30" s="13" t="inlineStr">
        <is>
          <t>2.2.1.A01</t>
        </is>
      </c>
      <c r="K30" s="13" t="n">
        <v>27</v>
      </c>
      <c r="L30" s="13" t="n">
        <v>33</v>
      </c>
    </row>
    <row r="31" ht="14.25" customHeight="1" s="36">
      <c r="A31" s="13" t="inlineStr">
        <is>
          <t>2.2.1.A03</t>
        </is>
      </c>
      <c r="B31" s="13" t="inlineStr">
        <is>
          <t>2.2.1</t>
        </is>
      </c>
      <c r="C31" s="13" t="inlineStr">
        <is>
          <t>Revisión, corrección y presentación para aprobación</t>
        </is>
      </c>
      <c r="D31" s="13" t="inlineStr">
        <is>
          <t>Seguridad</t>
        </is>
      </c>
      <c r="E31" s="13" t="n">
        <v>2</v>
      </c>
      <c r="F31" s="13" t="n">
        <v>80</v>
      </c>
      <c r="G31" s="12">
        <f>WORKDAY('Parámetros'!$B$3-1,K31+1)</f>
        <v/>
      </c>
      <c r="H31" s="12">
        <f>WORKDAY('Parámetros'!$B$3-1,L31+1)</f>
        <v/>
      </c>
      <c r="I31" s="13">
        <f>NETWORKDAYS(G31,H31)</f>
        <v/>
      </c>
      <c r="J31" s="13" t="inlineStr">
        <is>
          <t>2.2.1.A02</t>
        </is>
      </c>
      <c r="K31" s="13" t="n">
        <v>34</v>
      </c>
      <c r="L31" s="13" t="n">
        <v>40</v>
      </c>
    </row>
    <row r="32" ht="14.25" customHeight="1" s="36">
      <c r="A32" s="13" t="inlineStr">
        <is>
          <t>2.2.3.A01</t>
        </is>
      </c>
      <c r="B32" s="13" t="inlineStr">
        <is>
          <t>2.2.3</t>
        </is>
      </c>
      <c r="C32" s="13" t="inlineStr">
        <is>
          <t>Levantamiento de insumos y análisis</t>
        </is>
      </c>
      <c r="D32" s="13" t="inlineStr">
        <is>
          <t>Seguridad</t>
        </is>
      </c>
      <c r="E32" s="13" t="n">
        <v>4</v>
      </c>
      <c r="F32" s="13" t="n">
        <v>80</v>
      </c>
      <c r="G32" s="12">
        <f>WORKDAY('Parámetros'!$B$3-1,K32+1)</f>
        <v/>
      </c>
      <c r="H32" s="12">
        <f>WORKDAY('Parámetros'!$B$3-1,L32+1)</f>
        <v/>
      </c>
      <c r="I32" s="13">
        <f>NETWORKDAYS(G32,H32)</f>
        <v/>
      </c>
      <c r="J32" s="13" t="inlineStr">
        <is>
          <t>—</t>
        </is>
      </c>
      <c r="K32" s="13" t="n">
        <v>43</v>
      </c>
      <c r="L32" s="13" t="n">
        <v>46</v>
      </c>
    </row>
    <row r="33" ht="14.25" customHeight="1" s="36">
      <c r="A33" s="13" t="inlineStr">
        <is>
          <t>2.2.3.A02</t>
        </is>
      </c>
      <c r="B33" s="13" t="inlineStr">
        <is>
          <t>2.2.3</t>
        </is>
      </c>
      <c r="C33" s="13" t="inlineStr">
        <is>
          <t>Elaboración del entregable</t>
        </is>
      </c>
      <c r="D33" s="13" t="inlineStr">
        <is>
          <t>Seguridad</t>
        </is>
      </c>
      <c r="E33" s="13" t="n">
        <v>4</v>
      </c>
      <c r="F33" s="13" t="n">
        <v>80</v>
      </c>
      <c r="G33" s="12">
        <f>WORKDAY('Parámetros'!$B$3-1,K33+1)</f>
        <v/>
      </c>
      <c r="H33" s="12">
        <f>WORKDAY('Parámetros'!$B$3-1,L33+1)</f>
        <v/>
      </c>
      <c r="I33" s="13">
        <f>NETWORKDAYS(G33,H33)</f>
        <v/>
      </c>
      <c r="J33" s="13" t="inlineStr">
        <is>
          <t>2.2.3.A01</t>
        </is>
      </c>
      <c r="K33" s="13" t="n">
        <v>47</v>
      </c>
      <c r="L33" s="13" t="n">
        <v>50</v>
      </c>
    </row>
    <row r="34" ht="14.25" customHeight="1" s="36">
      <c r="A34" s="13" t="inlineStr">
        <is>
          <t>2.2.3.A03</t>
        </is>
      </c>
      <c r="B34" s="13" t="inlineStr">
        <is>
          <t>2.2.3</t>
        </is>
      </c>
      <c r="C34" s="13" t="inlineStr">
        <is>
          <t>Revisión, corrección y presentación para aprobación</t>
        </is>
      </c>
      <c r="D34" s="13" t="inlineStr">
        <is>
          <t>Seguridad</t>
        </is>
      </c>
      <c r="E34" s="13" t="n">
        <v>4</v>
      </c>
      <c r="F34" s="13" t="n">
        <v>80</v>
      </c>
      <c r="G34" s="12">
        <f>WORKDAY('Parámetros'!$B$3-1,K34+1)</f>
        <v/>
      </c>
      <c r="H34" s="12">
        <f>WORKDAY('Parámetros'!$B$3-1,L34+1)</f>
        <v/>
      </c>
      <c r="I34" s="13">
        <f>NETWORKDAYS(G34,H34)</f>
        <v/>
      </c>
      <c r="J34" s="13" t="inlineStr">
        <is>
          <t>2.2.3.A02</t>
        </is>
      </c>
      <c r="K34" s="13" t="n">
        <v>51</v>
      </c>
      <c r="L34" s="13" t="n">
        <v>54</v>
      </c>
    </row>
    <row r="35" ht="14.25" customHeight="1" s="36">
      <c r="A35" s="13" t="inlineStr">
        <is>
          <t>2.2.4.A01</t>
        </is>
      </c>
      <c r="B35" s="13" t="inlineStr">
        <is>
          <t>2.2.4</t>
        </is>
      </c>
      <c r="C35" s="13" t="inlineStr">
        <is>
          <t>Levantamiento de insumos y análisis</t>
        </is>
      </c>
      <c r="D35" s="13" t="inlineStr">
        <is>
          <t>Seguridad</t>
        </is>
      </c>
      <c r="E35" s="13" t="n">
        <v>2</v>
      </c>
      <c r="F35" s="13" t="n">
        <v>80</v>
      </c>
      <c r="G35" s="12">
        <f>WORKDAY('Parámetros'!$B$3-1,K35+1)</f>
        <v/>
      </c>
      <c r="H35" s="12">
        <f>WORKDAY('Parámetros'!$B$3-1,L35+1)</f>
        <v/>
      </c>
      <c r="I35" s="13">
        <f>NETWORKDAYS(G35,H35)</f>
        <v/>
      </c>
      <c r="J35" s="13" t="inlineStr">
        <is>
          <t>—</t>
        </is>
      </c>
      <c r="K35" s="13" t="n">
        <v>20</v>
      </c>
      <c r="L35" s="13" t="n">
        <v>26</v>
      </c>
    </row>
    <row r="36" ht="14.25" customHeight="1" s="36">
      <c r="A36" s="13" t="inlineStr">
        <is>
          <t>2.2.4.A02</t>
        </is>
      </c>
      <c r="B36" s="13" t="inlineStr">
        <is>
          <t>2.2.4</t>
        </is>
      </c>
      <c r="C36" s="13" t="inlineStr">
        <is>
          <t>Elaboración del entregable</t>
        </is>
      </c>
      <c r="D36" s="13" t="inlineStr">
        <is>
          <t>Seguridad</t>
        </is>
      </c>
      <c r="E36" s="13" t="n">
        <v>2</v>
      </c>
      <c r="F36" s="13" t="n">
        <v>80</v>
      </c>
      <c r="G36" s="12">
        <f>WORKDAY('Parámetros'!$B$3-1,K36+1)</f>
        <v/>
      </c>
      <c r="H36" s="12">
        <f>WORKDAY('Parámetros'!$B$3-1,L36+1)</f>
        <v/>
      </c>
      <c r="I36" s="13">
        <f>NETWORKDAYS(G36,H36)</f>
        <v/>
      </c>
      <c r="J36" s="13" t="inlineStr">
        <is>
          <t>2.2.4.A01</t>
        </is>
      </c>
      <c r="K36" s="13" t="n">
        <v>27</v>
      </c>
      <c r="L36" s="13" t="n">
        <v>33</v>
      </c>
    </row>
    <row r="37" ht="14.25" customHeight="1" s="36">
      <c r="A37" s="13" t="inlineStr">
        <is>
          <t>2.2.4.A03</t>
        </is>
      </c>
      <c r="B37" s="13" t="inlineStr">
        <is>
          <t>2.2.4</t>
        </is>
      </c>
      <c r="C37" s="13" t="inlineStr">
        <is>
          <t>Revisión, corrección y presentación para aprobación</t>
        </is>
      </c>
      <c r="D37" s="13" t="inlineStr">
        <is>
          <t>Seguridad</t>
        </is>
      </c>
      <c r="E37" s="13" t="n">
        <v>2</v>
      </c>
      <c r="F37" s="13" t="n">
        <v>80</v>
      </c>
      <c r="G37" s="12">
        <f>WORKDAY('Parámetros'!$B$3-1,K37+1)</f>
        <v/>
      </c>
      <c r="H37" s="12">
        <f>WORKDAY('Parámetros'!$B$3-1,L37+1)</f>
        <v/>
      </c>
      <c r="I37" s="13">
        <f>NETWORKDAYS(G37,H37)</f>
        <v/>
      </c>
      <c r="J37" s="13" t="inlineStr">
        <is>
          <t>2.2.4.A02</t>
        </is>
      </c>
      <c r="K37" s="13" t="n">
        <v>34</v>
      </c>
      <c r="L37" s="13" t="n">
        <v>40</v>
      </c>
    </row>
    <row r="38" ht="14.25" customHeight="1" s="36">
      <c r="A38" s="13" t="inlineStr">
        <is>
          <t>2.3.1.A01</t>
        </is>
      </c>
      <c r="B38" s="13" t="inlineStr">
        <is>
          <t>2.3.1</t>
        </is>
      </c>
      <c r="C38" s="13" t="inlineStr">
        <is>
          <t>Levantamiento de insumos y análisis</t>
        </is>
      </c>
      <c r="D38" s="13" t="inlineStr">
        <is>
          <t>Operación / SRE</t>
        </is>
      </c>
      <c r="E38" s="13" t="n">
        <v>2</v>
      </c>
      <c r="F38" s="13" t="n">
        <v>80</v>
      </c>
      <c r="G38" s="12">
        <f>WORKDAY('Parámetros'!$B$3-1,K38+1)</f>
        <v/>
      </c>
      <c r="H38" s="12">
        <f>WORKDAY('Parámetros'!$B$3-1,L38+1)</f>
        <v/>
      </c>
      <c r="I38" s="13">
        <f>NETWORKDAYS(G38,H38)</f>
        <v/>
      </c>
      <c r="J38" s="13" t="inlineStr">
        <is>
          <t>—</t>
        </is>
      </c>
      <c r="K38" s="13" t="n">
        <v>0</v>
      </c>
      <c r="L38" s="13" t="n">
        <v>6</v>
      </c>
    </row>
    <row r="39" ht="14.25" customHeight="1" s="36">
      <c r="A39" s="13" t="inlineStr">
        <is>
          <t>2.3.1.A02</t>
        </is>
      </c>
      <c r="B39" s="13" t="inlineStr">
        <is>
          <t>2.3.1</t>
        </is>
      </c>
      <c r="C39" s="13" t="inlineStr">
        <is>
          <t>Elaboración del entregable</t>
        </is>
      </c>
      <c r="D39" s="13" t="inlineStr">
        <is>
          <t>Operación / SRE</t>
        </is>
      </c>
      <c r="E39" s="13" t="n">
        <v>2</v>
      </c>
      <c r="F39" s="13" t="n">
        <v>80</v>
      </c>
      <c r="G39" s="12">
        <f>WORKDAY('Parámetros'!$B$3-1,K39+1)</f>
        <v/>
      </c>
      <c r="H39" s="12">
        <f>WORKDAY('Parámetros'!$B$3-1,L39+1)</f>
        <v/>
      </c>
      <c r="I39" s="13">
        <f>NETWORKDAYS(G39,H39)</f>
        <v/>
      </c>
      <c r="J39" s="13" t="inlineStr">
        <is>
          <t>2.3.1.A01</t>
        </is>
      </c>
      <c r="K39" s="13" t="n">
        <v>7</v>
      </c>
      <c r="L39" s="13" t="n">
        <v>13</v>
      </c>
    </row>
    <row r="40" ht="14.25" customHeight="1" s="36">
      <c r="A40" s="13" t="inlineStr">
        <is>
          <t>2.3.1.A03</t>
        </is>
      </c>
      <c r="B40" s="13" t="inlineStr">
        <is>
          <t>2.3.1</t>
        </is>
      </c>
      <c r="C40" s="13" t="inlineStr">
        <is>
          <t>Revisión, corrección y presentación para aprobación</t>
        </is>
      </c>
      <c r="D40" s="13" t="inlineStr">
        <is>
          <t>Operación / SRE</t>
        </is>
      </c>
      <c r="E40" s="13" t="n">
        <v>2</v>
      </c>
      <c r="F40" s="13" t="n">
        <v>80</v>
      </c>
      <c r="G40" s="12">
        <f>WORKDAY('Parámetros'!$B$3-1,K40+1)</f>
        <v/>
      </c>
      <c r="H40" s="12">
        <f>WORKDAY('Parámetros'!$B$3-1,L40+1)</f>
        <v/>
      </c>
      <c r="I40" s="13">
        <f>NETWORKDAYS(G40,H40)</f>
        <v/>
      </c>
      <c r="J40" s="13" t="inlineStr">
        <is>
          <t>2.3.1.A02</t>
        </is>
      </c>
      <c r="K40" s="13" t="n">
        <v>14</v>
      </c>
      <c r="L40" s="13" t="n">
        <v>20</v>
      </c>
    </row>
    <row r="41" ht="14.25" customHeight="1" s="36">
      <c r="A41" s="13" t="inlineStr">
        <is>
          <t>2.3.2.A01</t>
        </is>
      </c>
      <c r="B41" s="13" t="inlineStr">
        <is>
          <t>2.3.2</t>
        </is>
      </c>
      <c r="C41" s="13" t="inlineStr">
        <is>
          <t>Levantamiento de insumos y análisis</t>
        </is>
      </c>
      <c r="D41" s="13" t="inlineStr">
        <is>
          <t>Operación / SRE</t>
        </is>
      </c>
      <c r="E41" s="13" t="n">
        <v>2</v>
      </c>
      <c r="F41" s="13" t="n">
        <v>80</v>
      </c>
      <c r="G41" s="12">
        <f>WORKDAY('Parámetros'!$B$3-1,K41+1)</f>
        <v/>
      </c>
      <c r="H41" s="12">
        <f>WORKDAY('Parámetros'!$B$3-1,L41+1)</f>
        <v/>
      </c>
      <c r="I41" s="13">
        <f>NETWORKDAYS(G41,H41)</f>
        <v/>
      </c>
      <c r="J41" s="13" t="inlineStr">
        <is>
          <t>—</t>
        </is>
      </c>
      <c r="K41" s="13" t="n">
        <v>0</v>
      </c>
      <c r="L41" s="13" t="n">
        <v>6</v>
      </c>
    </row>
    <row r="42" ht="14.25" customHeight="1" s="36">
      <c r="A42" s="13" t="inlineStr">
        <is>
          <t>2.3.2.A02</t>
        </is>
      </c>
      <c r="B42" s="13" t="inlineStr">
        <is>
          <t>2.3.2</t>
        </is>
      </c>
      <c r="C42" s="13" t="inlineStr">
        <is>
          <t>Elaboración del entregable</t>
        </is>
      </c>
      <c r="D42" s="13" t="inlineStr">
        <is>
          <t>Operación / SRE</t>
        </is>
      </c>
      <c r="E42" s="13" t="n">
        <v>2</v>
      </c>
      <c r="F42" s="13" t="n">
        <v>80</v>
      </c>
      <c r="G42" s="12">
        <f>WORKDAY('Parámetros'!$B$3-1,K42+1)</f>
        <v/>
      </c>
      <c r="H42" s="12">
        <f>WORKDAY('Parámetros'!$B$3-1,L42+1)</f>
        <v/>
      </c>
      <c r="I42" s="13">
        <f>NETWORKDAYS(G42,H42)</f>
        <v/>
      </c>
      <c r="J42" s="13" t="inlineStr">
        <is>
          <t>2.3.2.A01</t>
        </is>
      </c>
      <c r="K42" s="13" t="n">
        <v>7</v>
      </c>
      <c r="L42" s="13" t="n">
        <v>13</v>
      </c>
    </row>
    <row r="43" ht="14.25" customHeight="1" s="36">
      <c r="A43" s="13" t="inlineStr">
        <is>
          <t>2.3.2.A03</t>
        </is>
      </c>
      <c r="B43" s="13" t="inlineStr">
        <is>
          <t>2.3.2</t>
        </is>
      </c>
      <c r="C43" s="13" t="inlineStr">
        <is>
          <t>Revisión, corrección y presentación para aprobación</t>
        </is>
      </c>
      <c r="D43" s="13" t="inlineStr">
        <is>
          <t>Operación / SRE</t>
        </is>
      </c>
      <c r="E43" s="13" t="n">
        <v>2</v>
      </c>
      <c r="F43" s="13" t="n">
        <v>80</v>
      </c>
      <c r="G43" s="12">
        <f>WORKDAY('Parámetros'!$B$3-1,K43+1)</f>
        <v/>
      </c>
      <c r="H43" s="12">
        <f>WORKDAY('Parámetros'!$B$3-1,L43+1)</f>
        <v/>
      </c>
      <c r="I43" s="13">
        <f>NETWORKDAYS(G43,H43)</f>
        <v/>
      </c>
      <c r="J43" s="13" t="inlineStr">
        <is>
          <t>2.3.2.A02</t>
        </is>
      </c>
      <c r="K43" s="13" t="n">
        <v>14</v>
      </c>
      <c r="L43" s="13" t="n">
        <v>20</v>
      </c>
    </row>
    <row r="44" ht="14.25" customHeight="1" s="36">
      <c r="A44" s="13" t="inlineStr">
        <is>
          <t>2.3.3.A01</t>
        </is>
      </c>
      <c r="B44" s="13" t="inlineStr">
        <is>
          <t>2.3.3</t>
        </is>
      </c>
      <c r="C44" s="13" t="inlineStr">
        <is>
          <t>Levantamiento de insumos y análisis</t>
        </is>
      </c>
      <c r="D44" s="13" t="inlineStr">
        <is>
          <t>Operación / SRE</t>
        </is>
      </c>
      <c r="E44" s="13" t="n">
        <v>2</v>
      </c>
      <c r="F44" s="13" t="n">
        <v>80</v>
      </c>
      <c r="G44" s="12">
        <f>WORKDAY('Parámetros'!$B$3-1,K44+1)</f>
        <v/>
      </c>
      <c r="H44" s="12">
        <f>WORKDAY('Parámetros'!$B$3-1,L44+1)</f>
        <v/>
      </c>
      <c r="I44" s="13">
        <f>NETWORKDAYS(G44,H44)</f>
        <v/>
      </c>
      <c r="J44" s="13" t="inlineStr">
        <is>
          <t>—</t>
        </is>
      </c>
      <c r="K44" s="13" t="n">
        <v>20</v>
      </c>
      <c r="L44" s="13" t="n">
        <v>26</v>
      </c>
    </row>
    <row r="45" ht="14.25" customHeight="1" s="36">
      <c r="A45" s="13" t="inlineStr">
        <is>
          <t>2.3.3.A02</t>
        </is>
      </c>
      <c r="B45" s="13" t="inlineStr">
        <is>
          <t>2.3.3</t>
        </is>
      </c>
      <c r="C45" s="13" t="inlineStr">
        <is>
          <t>Elaboración del entregable</t>
        </is>
      </c>
      <c r="D45" s="13" t="inlineStr">
        <is>
          <t>Operación / SRE</t>
        </is>
      </c>
      <c r="E45" s="13" t="n">
        <v>2</v>
      </c>
      <c r="F45" s="13" t="n">
        <v>80</v>
      </c>
      <c r="G45" s="12">
        <f>WORKDAY('Parámetros'!$B$3-1,K45+1)</f>
        <v/>
      </c>
      <c r="H45" s="12">
        <f>WORKDAY('Parámetros'!$B$3-1,L45+1)</f>
        <v/>
      </c>
      <c r="I45" s="13">
        <f>NETWORKDAYS(G45,H45)</f>
        <v/>
      </c>
      <c r="J45" s="13" t="inlineStr">
        <is>
          <t>2.3.3.A01</t>
        </is>
      </c>
      <c r="K45" s="13" t="n">
        <v>27</v>
      </c>
      <c r="L45" s="13" t="n">
        <v>33</v>
      </c>
    </row>
    <row r="46" ht="14.25" customHeight="1" s="36">
      <c r="A46" s="13" t="inlineStr">
        <is>
          <t>2.3.3.A03</t>
        </is>
      </c>
      <c r="B46" s="13" t="inlineStr">
        <is>
          <t>2.3.3</t>
        </is>
      </c>
      <c r="C46" s="13" t="inlineStr">
        <is>
          <t>Revisión, corrección y presentación para aprobación</t>
        </is>
      </c>
      <c r="D46" s="13" t="inlineStr">
        <is>
          <t>Operación / SRE</t>
        </is>
      </c>
      <c r="E46" s="13" t="n">
        <v>2</v>
      </c>
      <c r="F46" s="13" t="n">
        <v>80</v>
      </c>
      <c r="G46" s="12">
        <f>WORKDAY('Parámetros'!$B$3-1,K46+1)</f>
        <v/>
      </c>
      <c r="H46" s="12">
        <f>WORKDAY('Parámetros'!$B$3-1,L46+1)</f>
        <v/>
      </c>
      <c r="I46" s="13">
        <f>NETWORKDAYS(G46,H46)</f>
        <v/>
      </c>
      <c r="J46" s="13" t="inlineStr">
        <is>
          <t>2.3.3.A02</t>
        </is>
      </c>
      <c r="K46" s="13" t="n">
        <v>34</v>
      </c>
      <c r="L46" s="13" t="n">
        <v>40</v>
      </c>
    </row>
    <row r="47" ht="14.25" customHeight="1" s="36">
      <c r="A47" s="13" t="inlineStr">
        <is>
          <t>2.4.1.A01</t>
        </is>
      </c>
      <c r="B47" s="13" t="inlineStr">
        <is>
          <t>2.4.1</t>
        </is>
      </c>
      <c r="C47" s="13" t="inlineStr">
        <is>
          <t>Levantamiento de insumos y análisis</t>
        </is>
      </c>
      <c r="D47" s="13" t="inlineStr">
        <is>
          <t>Arquitectura</t>
        </is>
      </c>
      <c r="E47" s="13" t="n">
        <v>5</v>
      </c>
      <c r="F47" s="13" t="n">
        <v>80</v>
      </c>
      <c r="G47" s="12">
        <f>WORKDAY('Parámetros'!$B$3-1,K47+1)</f>
        <v/>
      </c>
      <c r="H47" s="12">
        <f>WORKDAY('Parámetros'!$B$3-1,L47+1)</f>
        <v/>
      </c>
      <c r="I47" s="13">
        <f>NETWORKDAYS(G47,H47)</f>
        <v/>
      </c>
      <c r="J47" s="13" t="inlineStr">
        <is>
          <t>2.1.1.A03, 2.1.3.A03, 2.2.1.A03, 2.2.3.A03, 2.2.4.A03</t>
        </is>
      </c>
      <c r="K47" s="13" t="n">
        <v>55</v>
      </c>
      <c r="L47" s="13" t="n">
        <v>57</v>
      </c>
    </row>
    <row r="48" ht="14.25" customHeight="1" s="36">
      <c r="A48" s="13" t="inlineStr">
        <is>
          <t>2.4.1.A02</t>
        </is>
      </c>
      <c r="B48" s="13" t="inlineStr">
        <is>
          <t>2.4.1</t>
        </is>
      </c>
      <c r="C48" s="13" t="inlineStr">
        <is>
          <t>Elaboración del entregable</t>
        </is>
      </c>
      <c r="D48" s="13" t="inlineStr">
        <is>
          <t>Arquitectura</t>
        </is>
      </c>
      <c r="E48" s="13" t="n">
        <v>5</v>
      </c>
      <c r="F48" s="13" t="n">
        <v>80</v>
      </c>
      <c r="G48" s="12">
        <f>WORKDAY('Parámetros'!$B$3-1,K48+1)</f>
        <v/>
      </c>
      <c r="H48" s="12">
        <f>WORKDAY('Parámetros'!$B$3-1,L48+1)</f>
        <v/>
      </c>
      <c r="I48" s="13">
        <f>NETWORKDAYS(G48,H48)</f>
        <v/>
      </c>
      <c r="J48" s="13" t="inlineStr">
        <is>
          <t>2.4.1.A01</t>
        </is>
      </c>
      <c r="K48" s="13" t="n">
        <v>58</v>
      </c>
      <c r="L48" s="13" t="n">
        <v>60</v>
      </c>
    </row>
    <row r="49" ht="14.25" customHeight="1" s="36">
      <c r="A49" s="13" t="inlineStr">
        <is>
          <t>2.4.1.A03</t>
        </is>
      </c>
      <c r="B49" s="13" t="inlineStr">
        <is>
          <t>2.4.1</t>
        </is>
      </c>
      <c r="C49" s="13" t="inlineStr">
        <is>
          <t>Revisión, corrección y presentación para aprobación</t>
        </is>
      </c>
      <c r="D49" s="13" t="inlineStr">
        <is>
          <t>Arquitectura</t>
        </is>
      </c>
      <c r="E49" s="13" t="n">
        <v>5</v>
      </c>
      <c r="F49" s="13" t="n">
        <v>80</v>
      </c>
      <c r="G49" s="12">
        <f>WORKDAY('Parámetros'!$B$3-1,K49+1)</f>
        <v/>
      </c>
      <c r="H49" s="12">
        <f>WORKDAY('Parámetros'!$B$3-1,L49+1)</f>
        <v/>
      </c>
      <c r="I49" s="13">
        <f>NETWORKDAYS(G49,H49)</f>
        <v/>
      </c>
      <c r="J49" s="13" t="inlineStr">
        <is>
          <t>2.4.1.A02</t>
        </is>
      </c>
      <c r="K49" s="13" t="n">
        <v>61</v>
      </c>
      <c r="L49" s="13" t="n">
        <v>63</v>
      </c>
    </row>
    <row r="50" ht="14.25" customHeight="1" s="36">
      <c r="A50" s="13" t="inlineStr">
        <is>
          <t>2.5.1.A01</t>
        </is>
      </c>
      <c r="B50" s="13" t="inlineStr">
        <is>
          <t>2.5.1</t>
        </is>
      </c>
      <c r="C50" s="13" t="inlineStr">
        <is>
          <t>Levantamiento de insumos y análisis</t>
        </is>
      </c>
      <c r="D50" s="13" t="inlineStr">
        <is>
          <t>Operación / SRE</t>
        </is>
      </c>
      <c r="E50" s="13" t="n">
        <v>2</v>
      </c>
      <c r="F50" s="13" t="n">
        <v>80</v>
      </c>
      <c r="G50" s="12">
        <f>WORKDAY('Parámetros'!$B$3-1,K50+1)</f>
        <v/>
      </c>
      <c r="H50" s="12">
        <f>WORKDAY('Parámetros'!$B$3-1,L50+1)</f>
        <v/>
      </c>
      <c r="I50" s="13">
        <f>NETWORKDAYS(G50,H50)</f>
        <v/>
      </c>
      <c r="J50" s="13" t="inlineStr">
        <is>
          <t>—</t>
        </is>
      </c>
      <c r="K50" s="13" t="n">
        <v>43</v>
      </c>
      <c r="L50" s="13" t="n">
        <v>49</v>
      </c>
    </row>
    <row r="51" ht="14.25" customHeight="1" s="36">
      <c r="A51" s="13" t="inlineStr">
        <is>
          <t>2.5.1.A02</t>
        </is>
      </c>
      <c r="B51" s="13" t="inlineStr">
        <is>
          <t>2.5.1</t>
        </is>
      </c>
      <c r="C51" s="13" t="inlineStr">
        <is>
          <t>Elaboración del entregable</t>
        </is>
      </c>
      <c r="D51" s="13" t="inlineStr">
        <is>
          <t>Operación / SRE</t>
        </is>
      </c>
      <c r="E51" s="13" t="n">
        <v>2</v>
      </c>
      <c r="F51" s="13" t="n">
        <v>80</v>
      </c>
      <c r="G51" s="12">
        <f>WORKDAY('Parámetros'!$B$3-1,K51+1)</f>
        <v/>
      </c>
      <c r="H51" s="12">
        <f>WORKDAY('Parámetros'!$B$3-1,L51+1)</f>
        <v/>
      </c>
      <c r="I51" s="13">
        <f>NETWORKDAYS(G51,H51)</f>
        <v/>
      </c>
      <c r="J51" s="13" t="inlineStr">
        <is>
          <t>2.5.1.A01</t>
        </is>
      </c>
      <c r="K51" s="13" t="n">
        <v>50</v>
      </c>
      <c r="L51" s="13" t="n">
        <v>56</v>
      </c>
    </row>
    <row r="52" ht="14.25" customHeight="1" s="36">
      <c r="A52" s="13" t="inlineStr">
        <is>
          <t>2.5.1.A03</t>
        </is>
      </c>
      <c r="B52" s="13" t="inlineStr">
        <is>
          <t>2.5.1</t>
        </is>
      </c>
      <c r="C52" s="13" t="inlineStr">
        <is>
          <t>Revisión, corrección y presentación para aprobación</t>
        </is>
      </c>
      <c r="D52" s="13" t="inlineStr">
        <is>
          <t>Operación / SRE</t>
        </is>
      </c>
      <c r="E52" s="13" t="n">
        <v>2</v>
      </c>
      <c r="F52" s="13" t="n">
        <v>80</v>
      </c>
      <c r="G52" s="12">
        <f>WORKDAY('Parámetros'!$B$3-1,K52+1)</f>
        <v/>
      </c>
      <c r="H52" s="12">
        <f>WORKDAY('Parámetros'!$B$3-1,L52+1)</f>
        <v/>
      </c>
      <c r="I52" s="13">
        <f>NETWORKDAYS(G52,H52)</f>
        <v/>
      </c>
      <c r="J52" s="13" t="inlineStr">
        <is>
          <t>2.5.1.A02</t>
        </is>
      </c>
      <c r="K52" s="13" t="n">
        <v>57</v>
      </c>
      <c r="L52" s="13" t="n">
        <v>63</v>
      </c>
    </row>
    <row r="53" ht="14.25" customHeight="1" s="36">
      <c r="A53" s="13" t="inlineStr">
        <is>
          <t>2.5.2.A01</t>
        </is>
      </c>
      <c r="B53" s="13" t="inlineStr">
        <is>
          <t>2.5.2</t>
        </is>
      </c>
      <c r="C53" s="13" t="inlineStr">
        <is>
          <t>Levantamiento de insumos y análisis</t>
        </is>
      </c>
      <c r="D53" s="13" t="inlineStr">
        <is>
          <t>Operación / SRE</t>
        </is>
      </c>
      <c r="E53" s="13" t="n">
        <v>2</v>
      </c>
      <c r="F53" s="13" t="n">
        <v>80</v>
      </c>
      <c r="G53" s="12">
        <f>WORKDAY('Parámetros'!$B$3-1,K53+1)</f>
        <v/>
      </c>
      <c r="H53" s="12">
        <f>WORKDAY('Parámetros'!$B$3-1,L53+1)</f>
        <v/>
      </c>
      <c r="I53" s="13">
        <f>NETWORKDAYS(G53,H53)</f>
        <v/>
      </c>
      <c r="J53" s="13" t="inlineStr">
        <is>
          <t>—</t>
        </is>
      </c>
      <c r="K53" s="13" t="n">
        <v>43</v>
      </c>
      <c r="L53" s="13" t="n">
        <v>49</v>
      </c>
    </row>
    <row r="54" ht="14.25" customHeight="1" s="36">
      <c r="A54" s="13" t="inlineStr">
        <is>
          <t>2.5.2.A02</t>
        </is>
      </c>
      <c r="B54" s="13" t="inlineStr">
        <is>
          <t>2.5.2</t>
        </is>
      </c>
      <c r="C54" s="13" t="inlineStr">
        <is>
          <t>Elaboración del entregable</t>
        </is>
      </c>
      <c r="D54" s="13" t="inlineStr">
        <is>
          <t>Operación / SRE</t>
        </is>
      </c>
      <c r="E54" s="13" t="n">
        <v>2</v>
      </c>
      <c r="F54" s="13" t="n">
        <v>80</v>
      </c>
      <c r="G54" s="12">
        <f>WORKDAY('Parámetros'!$B$3-1,K54+1)</f>
        <v/>
      </c>
      <c r="H54" s="12">
        <f>WORKDAY('Parámetros'!$B$3-1,L54+1)</f>
        <v/>
      </c>
      <c r="I54" s="13">
        <f>NETWORKDAYS(G54,H54)</f>
        <v/>
      </c>
      <c r="J54" s="13" t="inlineStr">
        <is>
          <t>2.5.2.A01</t>
        </is>
      </c>
      <c r="K54" s="13" t="n">
        <v>50</v>
      </c>
      <c r="L54" s="13" t="n">
        <v>56</v>
      </c>
    </row>
    <row r="55" ht="14.25" customHeight="1" s="36">
      <c r="A55" s="13" t="inlineStr">
        <is>
          <t>2.5.2.A03</t>
        </is>
      </c>
      <c r="B55" s="13" t="inlineStr">
        <is>
          <t>2.5.2</t>
        </is>
      </c>
      <c r="C55" s="13" t="inlineStr">
        <is>
          <t>Revisión, corrección y presentación para aprobación</t>
        </is>
      </c>
      <c r="D55" s="13" t="inlineStr">
        <is>
          <t>Operación / SRE</t>
        </is>
      </c>
      <c r="E55" s="13" t="n">
        <v>2</v>
      </c>
      <c r="F55" s="13" t="n">
        <v>80</v>
      </c>
      <c r="G55" s="12">
        <f>WORKDAY('Parámetros'!$B$3-1,K55+1)</f>
        <v/>
      </c>
      <c r="H55" s="12">
        <f>WORKDAY('Parámetros'!$B$3-1,L55+1)</f>
        <v/>
      </c>
      <c r="I55" s="13">
        <f>NETWORKDAYS(G55,H55)</f>
        <v/>
      </c>
      <c r="J55" s="13" t="inlineStr">
        <is>
          <t>2.5.2.A02</t>
        </is>
      </c>
      <c r="K55" s="13" t="n">
        <v>57</v>
      </c>
      <c r="L55" s="13" t="n">
        <v>63</v>
      </c>
    </row>
    <row r="56" ht="14.25" customHeight="1" s="36">
      <c r="A56" s="13" t="inlineStr">
        <is>
          <t>2.6.1.A01</t>
        </is>
      </c>
      <c r="B56" s="13" t="inlineStr">
        <is>
          <t>2.6.1</t>
        </is>
      </c>
      <c r="C56" s="13" t="inlineStr">
        <is>
          <t>Levantamiento de insumos y análisis</t>
        </is>
      </c>
      <c r="D56" s="13" t="inlineStr">
        <is>
          <t>Implantación</t>
        </is>
      </c>
      <c r="E56" s="13" t="n">
        <v>2</v>
      </c>
      <c r="F56" s="13" t="n">
        <v>80</v>
      </c>
      <c r="G56" s="12">
        <f>WORKDAY('Parámetros'!$B$3-1,K56+1)</f>
        <v/>
      </c>
      <c r="H56" s="12">
        <f>WORKDAY('Parámetros'!$B$3-1,L56+1)</f>
        <v/>
      </c>
      <c r="I56" s="13">
        <f>NETWORKDAYS(G56,H56)</f>
        <v/>
      </c>
      <c r="J56" s="13" t="inlineStr">
        <is>
          <t>—</t>
        </is>
      </c>
      <c r="K56" s="13" t="n">
        <v>20</v>
      </c>
      <c r="L56" s="13" t="n">
        <v>26</v>
      </c>
    </row>
    <row r="57" ht="14.25" customHeight="1" s="36">
      <c r="A57" s="13" t="inlineStr">
        <is>
          <t>2.6.1.A02</t>
        </is>
      </c>
      <c r="B57" s="13" t="inlineStr">
        <is>
          <t>2.6.1</t>
        </is>
      </c>
      <c r="C57" s="13" t="inlineStr">
        <is>
          <t>Elaboración del entregable</t>
        </is>
      </c>
      <c r="D57" s="13" t="inlineStr">
        <is>
          <t>Implantación</t>
        </is>
      </c>
      <c r="E57" s="13" t="n">
        <v>2</v>
      </c>
      <c r="F57" s="13" t="n">
        <v>80</v>
      </c>
      <c r="G57" s="12">
        <f>WORKDAY('Parámetros'!$B$3-1,K57+1)</f>
        <v/>
      </c>
      <c r="H57" s="12">
        <f>WORKDAY('Parámetros'!$B$3-1,L57+1)</f>
        <v/>
      </c>
      <c r="I57" s="13">
        <f>NETWORKDAYS(G57,H57)</f>
        <v/>
      </c>
      <c r="J57" s="13" t="inlineStr">
        <is>
          <t>2.6.1.A01</t>
        </is>
      </c>
      <c r="K57" s="13" t="n">
        <v>27</v>
      </c>
      <c r="L57" s="13" t="n">
        <v>33</v>
      </c>
    </row>
    <row r="58" ht="14.25" customHeight="1" s="36">
      <c r="A58" s="13" t="inlineStr">
        <is>
          <t>2.6.1.A03</t>
        </is>
      </c>
      <c r="B58" s="13" t="inlineStr">
        <is>
          <t>2.6.1</t>
        </is>
      </c>
      <c r="C58" s="13" t="inlineStr">
        <is>
          <t>Revisión, corrección y presentación para aprobación</t>
        </is>
      </c>
      <c r="D58" s="13" t="inlineStr">
        <is>
          <t>Implantación</t>
        </is>
      </c>
      <c r="E58" s="13" t="n">
        <v>2</v>
      </c>
      <c r="F58" s="13" t="n">
        <v>80</v>
      </c>
      <c r="G58" s="12">
        <f>WORKDAY('Parámetros'!$B$3-1,K58+1)</f>
        <v/>
      </c>
      <c r="H58" s="12">
        <f>WORKDAY('Parámetros'!$B$3-1,L58+1)</f>
        <v/>
      </c>
      <c r="I58" s="13">
        <f>NETWORKDAYS(G58,H58)</f>
        <v/>
      </c>
      <c r="J58" s="13" t="inlineStr">
        <is>
          <t>2.6.1.A02</t>
        </is>
      </c>
      <c r="K58" s="13" t="n">
        <v>34</v>
      </c>
      <c r="L58" s="13" t="n">
        <v>40</v>
      </c>
    </row>
    <row r="59" ht="14.25" customHeight="1" s="36">
      <c r="A59" s="13" t="inlineStr">
        <is>
          <t>2.6.2.A01</t>
        </is>
      </c>
      <c r="B59" s="13" t="inlineStr">
        <is>
          <t>2.6.2</t>
        </is>
      </c>
      <c r="C59" s="13" t="inlineStr">
        <is>
          <t>Levantamiento de insumos y análisis</t>
        </is>
      </c>
      <c r="D59" s="13" t="inlineStr">
        <is>
          <t>Implantación</t>
        </is>
      </c>
      <c r="E59" s="13" t="n">
        <v>2</v>
      </c>
      <c r="F59" s="13" t="n">
        <v>80</v>
      </c>
      <c r="G59" s="12">
        <f>WORKDAY('Parámetros'!$B$3-1,K59+1)</f>
        <v/>
      </c>
      <c r="H59" s="12">
        <f>WORKDAY('Parámetros'!$B$3-1,L59+1)</f>
        <v/>
      </c>
      <c r="I59" s="13">
        <f>NETWORKDAYS(G59,H59)</f>
        <v/>
      </c>
      <c r="J59" s="13" t="inlineStr">
        <is>
          <t>—</t>
        </is>
      </c>
      <c r="K59" s="13" t="n">
        <v>43</v>
      </c>
      <c r="L59" s="13" t="n">
        <v>49</v>
      </c>
    </row>
    <row r="60" ht="14.25" customHeight="1" s="36">
      <c r="A60" s="13" t="inlineStr">
        <is>
          <t>2.6.2.A02</t>
        </is>
      </c>
      <c r="B60" s="13" t="inlineStr">
        <is>
          <t>2.6.2</t>
        </is>
      </c>
      <c r="C60" s="13" t="inlineStr">
        <is>
          <t>Elaboración del entregable</t>
        </is>
      </c>
      <c r="D60" s="13" t="inlineStr">
        <is>
          <t>Implantación</t>
        </is>
      </c>
      <c r="E60" s="13" t="n">
        <v>2</v>
      </c>
      <c r="F60" s="13" t="n">
        <v>80</v>
      </c>
      <c r="G60" s="12">
        <f>WORKDAY('Parámetros'!$B$3-1,K60+1)</f>
        <v/>
      </c>
      <c r="H60" s="12">
        <f>WORKDAY('Parámetros'!$B$3-1,L60+1)</f>
        <v/>
      </c>
      <c r="I60" s="13">
        <f>NETWORKDAYS(G60,H60)</f>
        <v/>
      </c>
      <c r="J60" s="13" t="inlineStr">
        <is>
          <t>2.6.2.A01</t>
        </is>
      </c>
      <c r="K60" s="13" t="n">
        <v>50</v>
      </c>
      <c r="L60" s="13" t="n">
        <v>56</v>
      </c>
    </row>
    <row r="61" ht="14.25" customHeight="1" s="36">
      <c r="A61" s="13" t="inlineStr">
        <is>
          <t>2.6.2.A03</t>
        </is>
      </c>
      <c r="B61" s="13" t="inlineStr">
        <is>
          <t>2.6.2</t>
        </is>
      </c>
      <c r="C61" s="13" t="inlineStr">
        <is>
          <t>Revisión, corrección y presentación para aprobación</t>
        </is>
      </c>
      <c r="D61" s="13" t="inlineStr">
        <is>
          <t>Implantación</t>
        </is>
      </c>
      <c r="E61" s="13" t="n">
        <v>2</v>
      </c>
      <c r="F61" s="13" t="n">
        <v>80</v>
      </c>
      <c r="G61" s="12">
        <f>WORKDAY('Parámetros'!$B$3-1,K61+1)</f>
        <v/>
      </c>
      <c r="H61" s="12">
        <f>WORKDAY('Parámetros'!$B$3-1,L61+1)</f>
        <v/>
      </c>
      <c r="I61" s="13">
        <f>NETWORKDAYS(G61,H61)</f>
        <v/>
      </c>
      <c r="J61" s="13" t="inlineStr">
        <is>
          <t>2.6.2.A02</t>
        </is>
      </c>
      <c r="K61" s="13" t="n">
        <v>57</v>
      </c>
      <c r="L61" s="13" t="n">
        <v>63</v>
      </c>
    </row>
    <row r="62" ht="14.25" customHeight="1" s="36">
      <c r="A62" s="13" t="inlineStr">
        <is>
          <t>2.6.3.A01</t>
        </is>
      </c>
      <c r="B62" s="13" t="inlineStr">
        <is>
          <t>2.6.3</t>
        </is>
      </c>
      <c r="C62" s="13" t="inlineStr">
        <is>
          <t>Levantamiento de insumos y análisis</t>
        </is>
      </c>
      <c r="D62" s="13" t="inlineStr">
        <is>
          <t>Implantación</t>
        </is>
      </c>
      <c r="E62" s="13" t="n">
        <v>2</v>
      </c>
      <c r="F62" s="13" t="n">
        <v>80</v>
      </c>
      <c r="G62" s="12">
        <f>WORKDAY('Parámetros'!$B$3-1,K62+1)</f>
        <v/>
      </c>
      <c r="H62" s="12">
        <f>WORKDAY('Parámetros'!$B$3-1,L62+1)</f>
        <v/>
      </c>
      <c r="I62" s="13">
        <f>NETWORKDAYS(G62,H62)</f>
        <v/>
      </c>
      <c r="J62" s="13" t="inlineStr">
        <is>
          <t>—</t>
        </is>
      </c>
      <c r="K62" s="13" t="n">
        <v>65</v>
      </c>
      <c r="L62" s="13" t="n">
        <v>71</v>
      </c>
    </row>
    <row r="63" ht="14.25" customHeight="1" s="36">
      <c r="A63" s="13" t="inlineStr">
        <is>
          <t>2.6.3.A02</t>
        </is>
      </c>
      <c r="B63" s="13" t="inlineStr">
        <is>
          <t>2.6.3</t>
        </is>
      </c>
      <c r="C63" s="13" t="inlineStr">
        <is>
          <t>Elaboración del entregable</t>
        </is>
      </c>
      <c r="D63" s="13" t="inlineStr">
        <is>
          <t>Implantación</t>
        </is>
      </c>
      <c r="E63" s="13" t="n">
        <v>2</v>
      </c>
      <c r="F63" s="13" t="n">
        <v>80</v>
      </c>
      <c r="G63" s="12">
        <f>WORKDAY('Parámetros'!$B$3-1,K63+1)</f>
        <v/>
      </c>
      <c r="H63" s="12">
        <f>WORKDAY('Parámetros'!$B$3-1,L63+1)</f>
        <v/>
      </c>
      <c r="I63" s="13">
        <f>NETWORKDAYS(G63,H63)</f>
        <v/>
      </c>
      <c r="J63" s="13" t="inlineStr">
        <is>
          <t>2.6.3.A01</t>
        </is>
      </c>
      <c r="K63" s="13" t="n">
        <v>72</v>
      </c>
      <c r="L63" s="13" t="n">
        <v>78</v>
      </c>
    </row>
    <row r="64" ht="14.25" customHeight="1" s="36">
      <c r="A64" s="13" t="inlineStr">
        <is>
          <t>2.6.3.A03</t>
        </is>
      </c>
      <c r="B64" s="13" t="inlineStr">
        <is>
          <t>2.6.3</t>
        </is>
      </c>
      <c r="C64" s="13" t="inlineStr">
        <is>
          <t>Revisión, corrección y presentación para aprobación</t>
        </is>
      </c>
      <c r="D64" s="13" t="inlineStr">
        <is>
          <t>Implantación</t>
        </is>
      </c>
      <c r="E64" s="13" t="n">
        <v>2</v>
      </c>
      <c r="F64" s="13" t="n">
        <v>80</v>
      </c>
      <c r="G64" s="12">
        <f>WORKDAY('Parámetros'!$B$3-1,K64+1)</f>
        <v/>
      </c>
      <c r="H64" s="12">
        <f>WORKDAY('Parámetros'!$B$3-1,L64+1)</f>
        <v/>
      </c>
      <c r="I64" s="13">
        <f>NETWORKDAYS(G64,H64)</f>
        <v/>
      </c>
      <c r="J64" s="13" t="inlineStr">
        <is>
          <t>2.6.3.A02</t>
        </is>
      </c>
      <c r="K64" s="13" t="n">
        <v>79</v>
      </c>
      <c r="L64" s="13" t="n">
        <v>85</v>
      </c>
    </row>
    <row r="65" ht="14.25" customHeight="1" s="36">
      <c r="A65" s="13" t="inlineStr">
        <is>
          <t>3.1.4.A01</t>
        </is>
      </c>
      <c r="B65" s="13" t="inlineStr">
        <is>
          <t>3.1.4</t>
        </is>
      </c>
      <c r="C65" s="13" t="inlineStr">
        <is>
          <t>Levantamiento de insumos y análisis</t>
        </is>
      </c>
      <c r="D65" s="13" t="inlineStr">
        <is>
          <t>Operación / SRE</t>
        </is>
      </c>
      <c r="E65" s="13" t="n">
        <v>2</v>
      </c>
      <c r="F65" s="13" t="n">
        <v>80</v>
      </c>
      <c r="G65" s="12">
        <f>WORKDAY('Parámetros'!$B$3-1,K65+1)</f>
        <v/>
      </c>
      <c r="H65" s="12">
        <f>WORKDAY('Parámetros'!$B$3-1,L65+1)</f>
        <v/>
      </c>
      <c r="I65" s="13">
        <f>NETWORKDAYS(G65,H65)</f>
        <v/>
      </c>
      <c r="J65" s="13" t="inlineStr">
        <is>
          <t>—</t>
        </is>
      </c>
      <c r="K65" s="13" t="n">
        <v>65</v>
      </c>
      <c r="L65" s="13" t="n">
        <v>71</v>
      </c>
    </row>
    <row r="66" ht="14.25" customHeight="1" s="36">
      <c r="A66" s="13" t="inlineStr">
        <is>
          <t>3.1.4.A02</t>
        </is>
      </c>
      <c r="B66" s="13" t="inlineStr">
        <is>
          <t>3.1.4</t>
        </is>
      </c>
      <c r="C66" s="13" t="inlineStr">
        <is>
          <t>Elaboración del entregable</t>
        </is>
      </c>
      <c r="D66" s="13" t="inlineStr">
        <is>
          <t>Operación / SRE</t>
        </is>
      </c>
      <c r="E66" s="13" t="n">
        <v>2</v>
      </c>
      <c r="F66" s="13" t="n">
        <v>80</v>
      </c>
      <c r="G66" s="12">
        <f>WORKDAY('Parámetros'!$B$3-1,K66+1)</f>
        <v/>
      </c>
      <c r="H66" s="12">
        <f>WORKDAY('Parámetros'!$B$3-1,L66+1)</f>
        <v/>
      </c>
      <c r="I66" s="13">
        <f>NETWORKDAYS(G66,H66)</f>
        <v/>
      </c>
      <c r="J66" s="13" t="inlineStr">
        <is>
          <t>3.1.4.A01</t>
        </is>
      </c>
      <c r="K66" s="13" t="n">
        <v>72</v>
      </c>
      <c r="L66" s="13" t="n">
        <v>78</v>
      </c>
    </row>
    <row r="67" ht="14.25" customHeight="1" s="36">
      <c r="A67" s="13" t="inlineStr">
        <is>
          <t>3.1.4.A03</t>
        </is>
      </c>
      <c r="B67" s="13" t="inlineStr">
        <is>
          <t>3.1.4</t>
        </is>
      </c>
      <c r="C67" s="13" t="inlineStr">
        <is>
          <t>Revisión, corrección y presentación para aprobación</t>
        </is>
      </c>
      <c r="D67" s="13" t="inlineStr">
        <is>
          <t>Operación / SRE</t>
        </is>
      </c>
      <c r="E67" s="13" t="n">
        <v>2</v>
      </c>
      <c r="F67" s="13" t="n">
        <v>80</v>
      </c>
      <c r="G67" s="12">
        <f>WORKDAY('Parámetros'!$B$3-1,K67+1)</f>
        <v/>
      </c>
      <c r="H67" s="12">
        <f>WORKDAY('Parámetros'!$B$3-1,L67+1)</f>
        <v/>
      </c>
      <c r="I67" s="13">
        <f>NETWORKDAYS(G67,H67)</f>
        <v/>
      </c>
      <c r="J67" s="13" t="inlineStr">
        <is>
          <t>3.1.4.A02</t>
        </is>
      </c>
      <c r="K67" s="13" t="n">
        <v>79</v>
      </c>
      <c r="L67" s="13" t="n">
        <v>85</v>
      </c>
    </row>
    <row r="68" ht="14.25" customHeight="1" s="36">
      <c r="A68" s="13" t="inlineStr">
        <is>
          <t>3.2.1.A01</t>
        </is>
      </c>
      <c r="B68" s="13" t="inlineStr">
        <is>
          <t>3.2.1</t>
        </is>
      </c>
      <c r="C68" s="13" t="inlineStr">
        <is>
          <t>Levantamiento de insumos y análisis</t>
        </is>
      </c>
      <c r="D68" s="13" t="inlineStr">
        <is>
          <t>Operación / SRE</t>
        </is>
      </c>
      <c r="E68" s="13" t="n">
        <v>2</v>
      </c>
      <c r="F68" s="13" t="n">
        <v>80</v>
      </c>
      <c r="G68" s="12">
        <f>WORKDAY('Parámetros'!$B$3-1,K68+1)</f>
        <v/>
      </c>
      <c r="H68" s="12">
        <f>WORKDAY('Parámetros'!$B$3-1,L68+1)</f>
        <v/>
      </c>
      <c r="I68" s="13">
        <f>NETWORKDAYS(G68,H68)</f>
        <v/>
      </c>
      <c r="J68" s="13" t="inlineStr">
        <is>
          <t>5.2.1.A01</t>
        </is>
      </c>
      <c r="K68" s="13" t="n">
        <v>65</v>
      </c>
      <c r="L68" s="13" t="n">
        <v>71</v>
      </c>
    </row>
    <row r="69" ht="14.25" customHeight="1" s="36">
      <c r="A69" s="13" t="inlineStr">
        <is>
          <t>3.2.1.A02</t>
        </is>
      </c>
      <c r="B69" s="13" t="inlineStr">
        <is>
          <t>3.2.1</t>
        </is>
      </c>
      <c r="C69" s="13" t="inlineStr">
        <is>
          <t>Elaboración del entregable</t>
        </is>
      </c>
      <c r="D69" s="13" t="inlineStr">
        <is>
          <t>Operación / SRE</t>
        </is>
      </c>
      <c r="E69" s="13" t="n">
        <v>2</v>
      </c>
      <c r="F69" s="13" t="n">
        <v>80</v>
      </c>
      <c r="G69" s="12">
        <f>WORKDAY('Parámetros'!$B$3-1,K69+1)</f>
        <v/>
      </c>
      <c r="H69" s="12">
        <f>WORKDAY('Parámetros'!$B$3-1,L69+1)</f>
        <v/>
      </c>
      <c r="I69" s="13">
        <f>NETWORKDAYS(G69,H69)</f>
        <v/>
      </c>
      <c r="J69" s="13" t="inlineStr">
        <is>
          <t>3.2.1.A01</t>
        </is>
      </c>
      <c r="K69" s="13" t="n">
        <v>72</v>
      </c>
      <c r="L69" s="13" t="n">
        <v>78</v>
      </c>
    </row>
    <row r="70" ht="14.25" customHeight="1" s="36">
      <c r="A70" s="13" t="inlineStr">
        <is>
          <t>3.2.1.A03</t>
        </is>
      </c>
      <c r="B70" s="13" t="inlineStr">
        <is>
          <t>3.2.1</t>
        </is>
      </c>
      <c r="C70" s="13" t="inlineStr">
        <is>
          <t>Revisión, corrección y presentación para aprobación</t>
        </is>
      </c>
      <c r="D70" s="13" t="inlineStr">
        <is>
          <t>Operación / SRE</t>
        </is>
      </c>
      <c r="E70" s="13" t="n">
        <v>2</v>
      </c>
      <c r="F70" s="13" t="n">
        <v>80</v>
      </c>
      <c r="G70" s="12">
        <f>WORKDAY('Parámetros'!$B$3-1,K70+1)</f>
        <v/>
      </c>
      <c r="H70" s="12">
        <f>WORKDAY('Parámetros'!$B$3-1,L70+1)</f>
        <v/>
      </c>
      <c r="I70" s="13">
        <f>NETWORKDAYS(G70,H70)</f>
        <v/>
      </c>
      <c r="J70" s="13" t="inlineStr">
        <is>
          <t>3.2.1.A02</t>
        </is>
      </c>
      <c r="K70" s="13" t="n">
        <v>79</v>
      </c>
      <c r="L70" s="13" t="n">
        <v>85</v>
      </c>
    </row>
    <row r="71" ht="14.25" customHeight="1" s="36">
      <c r="A71" s="13" t="inlineStr">
        <is>
          <t>3.2.2.A01</t>
        </is>
      </c>
      <c r="B71" s="13" t="inlineStr">
        <is>
          <t>3.2.2</t>
        </is>
      </c>
      <c r="C71" s="13" t="inlineStr">
        <is>
          <t>Levantamiento de insumos y análisis</t>
        </is>
      </c>
      <c r="D71" s="13" t="inlineStr">
        <is>
          <t>Operación / SRE</t>
        </is>
      </c>
      <c r="E71" s="13" t="n">
        <v>2</v>
      </c>
      <c r="F71" s="13" t="n">
        <v>80</v>
      </c>
      <c r="G71" s="12">
        <f>WORKDAY('Parámetros'!$B$3-1,K71+1)</f>
        <v/>
      </c>
      <c r="H71" s="12">
        <f>WORKDAY('Parámetros'!$B$3-1,L71+1)</f>
        <v/>
      </c>
      <c r="I71" s="13">
        <f>NETWORKDAYS(G71,H71)</f>
        <v/>
      </c>
      <c r="J71" s="13" t="inlineStr">
        <is>
          <t>5.2.1.A01</t>
        </is>
      </c>
      <c r="K71" s="13" t="n">
        <v>65</v>
      </c>
      <c r="L71" s="13" t="n">
        <v>71</v>
      </c>
    </row>
    <row r="72" ht="14.25" customHeight="1" s="36">
      <c r="A72" s="13" t="inlineStr">
        <is>
          <t>3.2.2.A02</t>
        </is>
      </c>
      <c r="B72" s="13" t="inlineStr">
        <is>
          <t>3.2.2</t>
        </is>
      </c>
      <c r="C72" s="13" t="inlineStr">
        <is>
          <t>Elaboración del entregable</t>
        </is>
      </c>
      <c r="D72" s="13" t="inlineStr">
        <is>
          <t>Operación / SRE</t>
        </is>
      </c>
      <c r="E72" s="13" t="n">
        <v>2</v>
      </c>
      <c r="F72" s="13" t="n">
        <v>80</v>
      </c>
      <c r="G72" s="12">
        <f>WORKDAY('Parámetros'!$B$3-1,K72+1)</f>
        <v/>
      </c>
      <c r="H72" s="12">
        <f>WORKDAY('Parámetros'!$B$3-1,L72+1)</f>
        <v/>
      </c>
      <c r="I72" s="13">
        <f>NETWORKDAYS(G72,H72)</f>
        <v/>
      </c>
      <c r="J72" s="13" t="inlineStr">
        <is>
          <t>3.2.2.A01</t>
        </is>
      </c>
      <c r="K72" s="13" t="n">
        <v>72</v>
      </c>
      <c r="L72" s="13" t="n">
        <v>78</v>
      </c>
    </row>
    <row r="73" ht="14.25" customHeight="1" s="36">
      <c r="A73" s="13" t="inlineStr">
        <is>
          <t>3.2.2.A03</t>
        </is>
      </c>
      <c r="B73" s="13" t="inlineStr">
        <is>
          <t>3.2.2</t>
        </is>
      </c>
      <c r="C73" s="13" t="inlineStr">
        <is>
          <t>Revisión, corrección y presentación para aprobación</t>
        </is>
      </c>
      <c r="D73" s="13" t="inlineStr">
        <is>
          <t>Operación / SRE</t>
        </is>
      </c>
      <c r="E73" s="13" t="n">
        <v>2</v>
      </c>
      <c r="F73" s="13" t="n">
        <v>80</v>
      </c>
      <c r="G73" s="12">
        <f>WORKDAY('Parámetros'!$B$3-1,K73+1)</f>
        <v/>
      </c>
      <c r="H73" s="12">
        <f>WORKDAY('Parámetros'!$B$3-1,L73+1)</f>
        <v/>
      </c>
      <c r="I73" s="13">
        <f>NETWORKDAYS(G73,H73)</f>
        <v/>
      </c>
      <c r="J73" s="13" t="inlineStr">
        <is>
          <t>3.2.2.A02</t>
        </is>
      </c>
      <c r="K73" s="13" t="n">
        <v>79</v>
      </c>
      <c r="L73" s="13" t="n">
        <v>85</v>
      </c>
    </row>
    <row r="74" ht="14.25" customHeight="1" s="36">
      <c r="A74" s="13" t="inlineStr">
        <is>
          <t>3.2.3.A01</t>
        </is>
      </c>
      <c r="B74" s="13" t="inlineStr">
        <is>
          <t>3.2.3</t>
        </is>
      </c>
      <c r="C74" s="13" t="inlineStr">
        <is>
          <t>Levantamiento de insumos y análisis</t>
        </is>
      </c>
      <c r="D74" s="13" t="inlineStr">
        <is>
          <t>Operación / SRE</t>
        </is>
      </c>
      <c r="E74" s="13" t="n">
        <v>2</v>
      </c>
      <c r="F74" s="13" t="n">
        <v>80</v>
      </c>
      <c r="G74" s="12">
        <f>WORKDAY('Parámetros'!$B$3-1,K74+1)</f>
        <v/>
      </c>
      <c r="H74" s="12">
        <f>WORKDAY('Parámetros'!$B$3-1,L74+1)</f>
        <v/>
      </c>
      <c r="I74" s="13">
        <f>NETWORKDAYS(G74,H74)</f>
        <v/>
      </c>
      <c r="J74" s="13" t="inlineStr">
        <is>
          <t>5.2.1.A01</t>
        </is>
      </c>
      <c r="K74" s="13" t="n">
        <v>65</v>
      </c>
      <c r="L74" s="13" t="n">
        <v>71</v>
      </c>
    </row>
    <row r="75" ht="14.25" customHeight="1" s="36">
      <c r="A75" s="13" t="inlineStr">
        <is>
          <t>3.2.3.A02</t>
        </is>
      </c>
      <c r="B75" s="13" t="inlineStr">
        <is>
          <t>3.2.3</t>
        </is>
      </c>
      <c r="C75" s="13" t="inlineStr">
        <is>
          <t>Elaboración del entregable</t>
        </is>
      </c>
      <c r="D75" s="13" t="inlineStr">
        <is>
          <t>Operación / SRE</t>
        </is>
      </c>
      <c r="E75" s="13" t="n">
        <v>2</v>
      </c>
      <c r="F75" s="13" t="n">
        <v>80</v>
      </c>
      <c r="G75" s="12">
        <f>WORKDAY('Parámetros'!$B$3-1,K75+1)</f>
        <v/>
      </c>
      <c r="H75" s="12">
        <f>WORKDAY('Parámetros'!$B$3-1,L75+1)</f>
        <v/>
      </c>
      <c r="I75" s="13">
        <f>NETWORKDAYS(G75,H75)</f>
        <v/>
      </c>
      <c r="J75" s="13" t="inlineStr">
        <is>
          <t>3.2.3.A01</t>
        </is>
      </c>
      <c r="K75" s="13" t="n">
        <v>72</v>
      </c>
      <c r="L75" s="13" t="n">
        <v>78</v>
      </c>
    </row>
    <row r="76" ht="14.25" customHeight="1" s="36">
      <c r="A76" s="13" t="inlineStr">
        <is>
          <t>3.2.3.A03</t>
        </is>
      </c>
      <c r="B76" s="13" t="inlineStr">
        <is>
          <t>3.2.3</t>
        </is>
      </c>
      <c r="C76" s="13" t="inlineStr">
        <is>
          <t>Revisión, corrección y presentación para aprobación</t>
        </is>
      </c>
      <c r="D76" s="13" t="inlineStr">
        <is>
          <t>Operación / SRE</t>
        </is>
      </c>
      <c r="E76" s="13" t="n">
        <v>2</v>
      </c>
      <c r="F76" s="13" t="n">
        <v>80</v>
      </c>
      <c r="G76" s="12">
        <f>WORKDAY('Parámetros'!$B$3-1,K76+1)</f>
        <v/>
      </c>
      <c r="H76" s="12">
        <f>WORKDAY('Parámetros'!$B$3-1,L76+1)</f>
        <v/>
      </c>
      <c r="I76" s="13">
        <f>NETWORKDAYS(G76,H76)</f>
        <v/>
      </c>
      <c r="J76" s="13" t="inlineStr">
        <is>
          <t>3.2.3.A02</t>
        </is>
      </c>
      <c r="K76" s="13" t="n">
        <v>79</v>
      </c>
      <c r="L76" s="13" t="n">
        <v>85</v>
      </c>
    </row>
    <row r="77" ht="14.25" customHeight="1" s="36">
      <c r="A77" s="13" t="inlineStr">
        <is>
          <t>3.2.4.A01</t>
        </is>
      </c>
      <c r="B77" s="13" t="inlineStr">
        <is>
          <t>3.2.4</t>
        </is>
      </c>
      <c r="C77" s="13" t="inlineStr">
        <is>
          <t>Levantamiento de insumos y análisis</t>
        </is>
      </c>
      <c r="D77" s="13" t="inlineStr">
        <is>
          <t>Operación / SRE</t>
        </is>
      </c>
      <c r="E77" s="13" t="n">
        <v>2</v>
      </c>
      <c r="F77" s="13" t="n">
        <v>80</v>
      </c>
      <c r="G77" s="12">
        <f>WORKDAY('Parámetros'!$B$3-1,K77+1)</f>
        <v/>
      </c>
      <c r="H77" s="12">
        <f>WORKDAY('Parámetros'!$B$3-1,L77+1)</f>
        <v/>
      </c>
      <c r="I77" s="13">
        <f>NETWORKDAYS(G77,H77)</f>
        <v/>
      </c>
      <c r="J77" s="13" t="inlineStr">
        <is>
          <t>5.2.1.A01</t>
        </is>
      </c>
      <c r="K77" s="13" t="n">
        <v>65</v>
      </c>
      <c r="L77" s="13" t="n">
        <v>71</v>
      </c>
    </row>
    <row r="78" ht="14.25" customHeight="1" s="36">
      <c r="A78" s="13" t="inlineStr">
        <is>
          <t>3.2.4.A02</t>
        </is>
      </c>
      <c r="B78" s="13" t="inlineStr">
        <is>
          <t>3.2.4</t>
        </is>
      </c>
      <c r="C78" s="13" t="inlineStr">
        <is>
          <t>Elaboración del entregable</t>
        </is>
      </c>
      <c r="D78" s="13" t="inlineStr">
        <is>
          <t>Operación / SRE</t>
        </is>
      </c>
      <c r="E78" s="13" t="n">
        <v>2</v>
      </c>
      <c r="F78" s="13" t="n">
        <v>80</v>
      </c>
      <c r="G78" s="12">
        <f>WORKDAY('Parámetros'!$B$3-1,K78+1)</f>
        <v/>
      </c>
      <c r="H78" s="12">
        <f>WORKDAY('Parámetros'!$B$3-1,L78+1)</f>
        <v/>
      </c>
      <c r="I78" s="13">
        <f>NETWORKDAYS(G78,H78)</f>
        <v/>
      </c>
      <c r="J78" s="13" t="inlineStr">
        <is>
          <t>3.2.4.A01</t>
        </is>
      </c>
      <c r="K78" s="13" t="n">
        <v>72</v>
      </c>
      <c r="L78" s="13" t="n">
        <v>78</v>
      </c>
    </row>
    <row r="79" ht="14.25" customHeight="1" s="36">
      <c r="A79" s="13" t="inlineStr">
        <is>
          <t>3.2.4.A03</t>
        </is>
      </c>
      <c r="B79" s="13" t="inlineStr">
        <is>
          <t>3.2.4</t>
        </is>
      </c>
      <c r="C79" s="13" t="inlineStr">
        <is>
          <t>Revisión, corrección y presentación para aprobación</t>
        </is>
      </c>
      <c r="D79" s="13" t="inlineStr">
        <is>
          <t>Operación / SRE</t>
        </is>
      </c>
      <c r="E79" s="13" t="n">
        <v>2</v>
      </c>
      <c r="F79" s="13" t="n">
        <v>80</v>
      </c>
      <c r="G79" s="12">
        <f>WORKDAY('Parámetros'!$B$3-1,K79+1)</f>
        <v/>
      </c>
      <c r="H79" s="12">
        <f>WORKDAY('Parámetros'!$B$3-1,L79+1)</f>
        <v/>
      </c>
      <c r="I79" s="13">
        <f>NETWORKDAYS(G79,H79)</f>
        <v/>
      </c>
      <c r="J79" s="13" t="inlineStr">
        <is>
          <t>3.2.4.A02</t>
        </is>
      </c>
      <c r="K79" s="13" t="n">
        <v>79</v>
      </c>
      <c r="L79" s="13" t="n">
        <v>85</v>
      </c>
    </row>
    <row r="80" ht="14.25" customHeight="1" s="36">
      <c r="A80" s="13" t="inlineStr">
        <is>
          <t>3.2.5.A01</t>
        </is>
      </c>
      <c r="B80" s="13" t="inlineStr">
        <is>
          <t>3.2.5</t>
        </is>
      </c>
      <c r="C80" s="13" t="inlineStr">
        <is>
          <t>Levantamiento de insumos y análisis</t>
        </is>
      </c>
      <c r="D80" s="13" t="inlineStr">
        <is>
          <t>Seguridad</t>
        </is>
      </c>
      <c r="E80" s="13" t="n">
        <v>2</v>
      </c>
      <c r="F80" s="13" t="n">
        <v>80</v>
      </c>
      <c r="G80" s="12">
        <f>WORKDAY('Parámetros'!$B$3-1,K80+1)</f>
        <v/>
      </c>
      <c r="H80" s="12">
        <f>WORKDAY('Parámetros'!$B$3-1,L80+1)</f>
        <v/>
      </c>
      <c r="I80" s="13">
        <f>NETWORKDAYS(G80,H80)</f>
        <v/>
      </c>
      <c r="J80" s="13" t="inlineStr">
        <is>
          <t>5.2.1.A01</t>
        </is>
      </c>
      <c r="K80" s="13" t="n">
        <v>65</v>
      </c>
      <c r="L80" s="13" t="n">
        <v>71</v>
      </c>
    </row>
    <row r="81" ht="14.25" customHeight="1" s="36">
      <c r="A81" s="13" t="inlineStr">
        <is>
          <t>3.2.5.A02</t>
        </is>
      </c>
      <c r="B81" s="13" t="inlineStr">
        <is>
          <t>3.2.5</t>
        </is>
      </c>
      <c r="C81" s="13" t="inlineStr">
        <is>
          <t>Elaboración del entregable</t>
        </is>
      </c>
      <c r="D81" s="13" t="inlineStr">
        <is>
          <t>Seguridad</t>
        </is>
      </c>
      <c r="E81" s="13" t="n">
        <v>2</v>
      </c>
      <c r="F81" s="13" t="n">
        <v>80</v>
      </c>
      <c r="G81" s="12">
        <f>WORKDAY('Parámetros'!$B$3-1,K81+1)</f>
        <v/>
      </c>
      <c r="H81" s="12">
        <f>WORKDAY('Parámetros'!$B$3-1,L81+1)</f>
        <v/>
      </c>
      <c r="I81" s="13">
        <f>NETWORKDAYS(G81,H81)</f>
        <v/>
      </c>
      <c r="J81" s="13" t="inlineStr">
        <is>
          <t>3.2.5.A01</t>
        </is>
      </c>
      <c r="K81" s="13" t="n">
        <v>72</v>
      </c>
      <c r="L81" s="13" t="n">
        <v>78</v>
      </c>
    </row>
    <row r="82" ht="14.25" customHeight="1" s="36">
      <c r="A82" s="13" t="inlineStr">
        <is>
          <t>3.2.5.A03</t>
        </is>
      </c>
      <c r="B82" s="13" t="inlineStr">
        <is>
          <t>3.2.5</t>
        </is>
      </c>
      <c r="C82" s="13" t="inlineStr">
        <is>
          <t>Revisión, corrección y presentación para aprobación</t>
        </is>
      </c>
      <c r="D82" s="13" t="inlineStr">
        <is>
          <t>Seguridad</t>
        </is>
      </c>
      <c r="E82" s="13" t="n">
        <v>2</v>
      </c>
      <c r="F82" s="13" t="n">
        <v>80</v>
      </c>
      <c r="G82" s="12">
        <f>WORKDAY('Parámetros'!$B$3-1,K82+1)</f>
        <v/>
      </c>
      <c r="H82" s="12">
        <f>WORKDAY('Parámetros'!$B$3-1,L82+1)</f>
        <v/>
      </c>
      <c r="I82" s="13">
        <f>NETWORKDAYS(G82,H82)</f>
        <v/>
      </c>
      <c r="J82" s="13" t="inlineStr">
        <is>
          <t>3.2.5.A02</t>
        </is>
      </c>
      <c r="K82" s="13" t="n">
        <v>79</v>
      </c>
      <c r="L82" s="13" t="n">
        <v>85</v>
      </c>
    </row>
    <row r="83" ht="14.25" customHeight="1" s="36">
      <c r="A83" s="13" t="inlineStr">
        <is>
          <t>3.10.2.1.A01</t>
        </is>
      </c>
      <c r="B83" s="13" t="inlineStr">
        <is>
          <t>3.10.2.1</t>
        </is>
      </c>
      <c r="C83" s="13" t="inlineStr">
        <is>
          <t>Levantamiento de insumos y análisis</t>
        </is>
      </c>
      <c r="D83" s="13" t="inlineStr">
        <is>
          <t>Calidad y pruebas</t>
        </is>
      </c>
      <c r="E83" s="13" t="n">
        <v>2</v>
      </c>
      <c r="F83" s="13" t="n">
        <v>80</v>
      </c>
      <c r="G83" s="12">
        <f>WORKDAY('Parámetros'!$B$3-1,K83+1)</f>
        <v/>
      </c>
      <c r="H83" s="12">
        <f>WORKDAY('Parámetros'!$B$3-1,L83+1)</f>
        <v/>
      </c>
      <c r="I83" s="13">
        <f>NETWORKDAYS(G83,H83)</f>
        <v/>
      </c>
      <c r="J83" s="13" t="inlineStr">
        <is>
          <t>—</t>
        </is>
      </c>
      <c r="K83" s="13" t="n">
        <v>20</v>
      </c>
      <c r="L83" s="13" t="n">
        <v>26</v>
      </c>
    </row>
    <row r="84" ht="14.25" customHeight="1" s="36">
      <c r="A84" s="13" t="inlineStr">
        <is>
          <t>3.10.2.1.A02</t>
        </is>
      </c>
      <c r="B84" s="13" t="inlineStr">
        <is>
          <t>3.10.2.1</t>
        </is>
      </c>
      <c r="C84" s="13" t="inlineStr">
        <is>
          <t>Elaboración del entregable</t>
        </is>
      </c>
      <c r="D84" s="13" t="inlineStr">
        <is>
          <t>Calidad y pruebas</t>
        </is>
      </c>
      <c r="E84" s="13" t="n">
        <v>2</v>
      </c>
      <c r="F84" s="13" t="n">
        <v>80</v>
      </c>
      <c r="G84" s="12">
        <f>WORKDAY('Parámetros'!$B$3-1,K84+1)</f>
        <v/>
      </c>
      <c r="H84" s="12">
        <f>WORKDAY('Parámetros'!$B$3-1,L84+1)</f>
        <v/>
      </c>
      <c r="I84" s="13">
        <f>NETWORKDAYS(G84,H84)</f>
        <v/>
      </c>
      <c r="J84" s="13" t="inlineStr">
        <is>
          <t>3.10.2.1.A01</t>
        </is>
      </c>
      <c r="K84" s="13" t="n">
        <v>35</v>
      </c>
      <c r="L84" s="13" t="n">
        <v>41</v>
      </c>
    </row>
    <row r="85" ht="14.25" customHeight="1" s="36">
      <c r="A85" s="13" t="inlineStr">
        <is>
          <t>3.10.2.1.A03</t>
        </is>
      </c>
      <c r="B85" s="13" t="inlineStr">
        <is>
          <t>3.10.2.1</t>
        </is>
      </c>
      <c r="C85" s="13" t="inlineStr">
        <is>
          <t>Revisión, corrección y presentación para aprobación</t>
        </is>
      </c>
      <c r="D85" s="13" t="inlineStr">
        <is>
          <t>Calidad y pruebas</t>
        </is>
      </c>
      <c r="E85" s="13" t="n">
        <v>2</v>
      </c>
      <c r="F85" s="13" t="n">
        <v>80</v>
      </c>
      <c r="G85" s="12">
        <f>WORKDAY('Parámetros'!$B$3-1,K85+1)</f>
        <v/>
      </c>
      <c r="H85" s="12">
        <f>WORKDAY('Parámetros'!$B$3-1,L85+1)</f>
        <v/>
      </c>
      <c r="I85" s="13">
        <f>NETWORKDAYS(G85,H85)</f>
        <v/>
      </c>
      <c r="J85" s="13" t="inlineStr">
        <is>
          <t>3.10.2.1.A02</t>
        </is>
      </c>
      <c r="K85" s="13" t="n">
        <v>50</v>
      </c>
      <c r="L85" s="13" t="n">
        <v>56</v>
      </c>
    </row>
    <row r="86" ht="14.25" customHeight="1" s="36">
      <c r="A86" s="13" t="inlineStr">
        <is>
          <t>5.1.1.A01</t>
        </is>
      </c>
      <c r="B86" s="13" t="inlineStr">
        <is>
          <t>5.1.1</t>
        </is>
      </c>
      <c r="C86" s="13" t="inlineStr">
        <is>
          <t>Elaboración, revisión y aprobación del entregable</t>
        </is>
      </c>
      <c r="D86" s="13" t="inlineStr">
        <is>
          <t>Arquitectura</t>
        </is>
      </c>
      <c r="E86" s="13" t="n">
        <v>2</v>
      </c>
      <c r="F86" s="13" t="n">
        <v>80</v>
      </c>
      <c r="G86" s="12">
        <f>WORKDAY('Parámetros'!$B$3-1,K86+1)</f>
        <v/>
      </c>
      <c r="H86" s="12">
        <f>WORKDAY('Parámetros'!$B$3-1,L86+1)</f>
        <v/>
      </c>
      <c r="I86" s="13">
        <f>NETWORKDAYS(G86,H86)</f>
        <v/>
      </c>
      <c r="J86" s="13" t="inlineStr">
        <is>
          <t>—</t>
        </is>
      </c>
      <c r="K86" s="13" t="n">
        <v>20</v>
      </c>
      <c r="L86" s="13" t="n">
        <v>26</v>
      </c>
    </row>
    <row r="87" ht="14.25" customHeight="1" s="36">
      <c r="A87" s="13" t="inlineStr">
        <is>
          <t>5.1.2.A01</t>
        </is>
      </c>
      <c r="B87" s="13" t="inlineStr">
        <is>
          <t>5.1.2</t>
        </is>
      </c>
      <c r="C87" s="13" t="inlineStr">
        <is>
          <t>Elaboración, revisión y aprobación del entregable</t>
        </is>
      </c>
      <c r="D87" s="13" t="inlineStr">
        <is>
          <t>Arquitectura</t>
        </is>
      </c>
      <c r="E87" s="13" t="n">
        <v>2</v>
      </c>
      <c r="F87" s="13" t="n">
        <v>80</v>
      </c>
      <c r="G87" s="12">
        <f>WORKDAY('Parámetros'!$B$3-1,K87+1)</f>
        <v/>
      </c>
      <c r="H87" s="12">
        <f>WORKDAY('Parámetros'!$B$3-1,L87+1)</f>
        <v/>
      </c>
      <c r="I87" s="13">
        <f>NETWORKDAYS(G87,H87)</f>
        <v/>
      </c>
      <c r="J87" s="13" t="inlineStr">
        <is>
          <t>2.3.1.A03, 2.3.2.A03</t>
        </is>
      </c>
      <c r="K87" s="13" t="n">
        <v>21</v>
      </c>
      <c r="L87" s="13" t="n">
        <v>27</v>
      </c>
    </row>
    <row r="88" ht="14.25" customHeight="1" s="36">
      <c r="A88" s="13" t="inlineStr">
        <is>
          <t>5.2.1.A01</t>
        </is>
      </c>
      <c r="B88" s="13" t="inlineStr">
        <is>
          <t>5.2.1</t>
        </is>
      </c>
      <c r="C88" s="13" t="inlineStr">
        <is>
          <t>Elaboración, revisión y aprobación del entregable</t>
        </is>
      </c>
      <c r="D88" s="13" t="inlineStr">
        <is>
          <t>Operación / SRE</t>
        </is>
      </c>
      <c r="E88" s="13" t="n">
        <v>2</v>
      </c>
      <c r="F88" s="13" t="n">
        <v>80</v>
      </c>
      <c r="G88" s="12">
        <f>WORKDAY('Parámetros'!$B$3-1,K88+1)</f>
        <v/>
      </c>
      <c r="H88" s="12">
        <f>WORKDAY('Parámetros'!$B$3-1,L88+1)</f>
        <v/>
      </c>
      <c r="I88" s="13">
        <f>NETWORKDAYS(G88,H88)</f>
        <v/>
      </c>
      <c r="J88" s="13" t="inlineStr">
        <is>
          <t>—</t>
        </is>
      </c>
      <c r="K88" s="13" t="n">
        <v>20</v>
      </c>
      <c r="L88" s="13" t="n">
        <v>26</v>
      </c>
    </row>
    <row r="89" ht="14.25" customHeight="1" s="36">
      <c r="A89" s="13" t="inlineStr">
        <is>
          <t>5.2.2.A01</t>
        </is>
      </c>
      <c r="B89" s="13" t="inlineStr">
        <is>
          <t>5.2.2</t>
        </is>
      </c>
      <c r="C89" s="13" t="inlineStr">
        <is>
          <t>Elaboración, revisión y aprobación del entregable</t>
        </is>
      </c>
      <c r="D89" s="13" t="inlineStr">
        <is>
          <t>Operación / SRE</t>
        </is>
      </c>
      <c r="E89" s="13" t="n">
        <v>2</v>
      </c>
      <c r="F89" s="13" t="n">
        <v>80</v>
      </c>
      <c r="G89" s="12">
        <f>WORKDAY('Parámetros'!$B$3-1,K89+1)</f>
        <v/>
      </c>
      <c r="H89" s="12">
        <f>WORKDAY('Parámetros'!$B$3-1,L89+1)</f>
        <v/>
      </c>
      <c r="I89" s="13">
        <f>NETWORKDAYS(G89,H89)</f>
        <v/>
      </c>
      <c r="J89" s="13" t="inlineStr">
        <is>
          <t>—</t>
        </is>
      </c>
      <c r="K89" s="13" t="n">
        <v>65</v>
      </c>
      <c r="L89" s="13" t="n">
        <v>71</v>
      </c>
    </row>
    <row r="90" ht="14.25" customHeight="1" s="36">
      <c r="A90" s="13" t="inlineStr">
        <is>
          <t>5.2.3.A01</t>
        </is>
      </c>
      <c r="B90" s="13" t="inlineStr">
        <is>
          <t>5.2.3</t>
        </is>
      </c>
      <c r="C90" s="13" t="inlineStr">
        <is>
          <t>Elaboración, revisión y aprobación del entregable</t>
        </is>
      </c>
      <c r="D90" s="13" t="inlineStr">
        <is>
          <t>Arquitectura</t>
        </is>
      </c>
      <c r="E90" s="13" t="n">
        <v>2</v>
      </c>
      <c r="F90" s="13" t="n">
        <v>80</v>
      </c>
      <c r="G90" s="12">
        <f>WORKDAY('Parámetros'!$B$3-1,K90+1)</f>
        <v/>
      </c>
      <c r="H90" s="12">
        <f>WORKDAY('Parámetros'!$B$3-1,L90+1)</f>
        <v/>
      </c>
      <c r="I90" s="13">
        <f>NETWORKDAYS(G90,H90)</f>
        <v/>
      </c>
      <c r="J90" s="13" t="inlineStr">
        <is>
          <t>—</t>
        </is>
      </c>
      <c r="K90" s="13" t="n">
        <v>65</v>
      </c>
      <c r="L90" s="13" t="n">
        <v>71</v>
      </c>
    </row>
    <row r="91" ht="14.25" customHeight="1" s="36">
      <c r="A91" s="13" t="inlineStr">
        <is>
          <t>5.3.1.A01</t>
        </is>
      </c>
      <c r="B91" s="13" t="inlineStr">
        <is>
          <t>5.3.1</t>
        </is>
      </c>
      <c r="C91" s="13" t="inlineStr">
        <is>
          <t>Elaboración, revisión y aprobación del entregable</t>
        </is>
      </c>
      <c r="D91" s="13" t="inlineStr">
        <is>
          <t>Operación / SRE</t>
        </is>
      </c>
      <c r="E91" s="13" t="n">
        <v>2</v>
      </c>
      <c r="F91" s="13" t="n">
        <v>80</v>
      </c>
      <c r="G91" s="12">
        <f>WORKDAY('Parámetros'!$B$3-1,K91+1)</f>
        <v/>
      </c>
      <c r="H91" s="12">
        <f>WORKDAY('Parámetros'!$B$3-1,L91+1)</f>
        <v/>
      </c>
      <c r="I91" s="13">
        <f>NETWORKDAYS(G91,H91)</f>
        <v/>
      </c>
      <c r="J91" s="13" t="inlineStr">
        <is>
          <t>—</t>
        </is>
      </c>
      <c r="K91" s="13" t="n">
        <v>65</v>
      </c>
      <c r="L91" s="13" t="n">
        <v>71</v>
      </c>
    </row>
    <row r="92" ht="14.25" customHeight="1" s="36">
      <c r="A92" s="13" t="inlineStr">
        <is>
          <t>5.3.2.A01</t>
        </is>
      </c>
      <c r="B92" s="13" t="inlineStr">
        <is>
          <t>5.3.2</t>
        </is>
      </c>
      <c r="C92" s="13" t="inlineStr">
        <is>
          <t>Elaboración, revisión y aprobación del entregable</t>
        </is>
      </c>
      <c r="D92" s="13" t="inlineStr">
        <is>
          <t>Operación / SRE</t>
        </is>
      </c>
      <c r="E92" s="13" t="n">
        <v>2</v>
      </c>
      <c r="F92" s="13" t="n">
        <v>80</v>
      </c>
      <c r="G92" s="12">
        <f>WORKDAY('Parámetros'!$B$3-1,K92+1)</f>
        <v/>
      </c>
      <c r="H92" s="12">
        <f>WORKDAY('Parámetros'!$B$3-1,L92+1)</f>
        <v/>
      </c>
      <c r="I92" s="13">
        <f>NETWORKDAYS(G92,H92)</f>
        <v/>
      </c>
      <c r="J92" s="13" t="inlineStr">
        <is>
          <t>—</t>
        </is>
      </c>
      <c r="K92" s="13" t="n">
        <v>65</v>
      </c>
      <c r="L92" s="13" t="n">
        <v>71</v>
      </c>
    </row>
    <row r="93" ht="14.25" customHeight="1" s="36">
      <c r="A93" s="13" t="inlineStr">
        <is>
          <t>5.3.3.A01</t>
        </is>
      </c>
      <c r="B93" s="13" t="inlineStr">
        <is>
          <t>5.3.3</t>
        </is>
      </c>
      <c r="C93" s="13" t="inlineStr">
        <is>
          <t>Elaboración, revisión y aprobación del entregable</t>
        </is>
      </c>
      <c r="D93" s="13" t="inlineStr">
        <is>
          <t>Operación / SRE</t>
        </is>
      </c>
      <c r="E93" s="13" t="n">
        <v>2</v>
      </c>
      <c r="F93" s="13" t="n">
        <v>80</v>
      </c>
      <c r="G93" s="12">
        <f>WORKDAY('Parámetros'!$B$3-1,K93+1)</f>
        <v/>
      </c>
      <c r="H93" s="12">
        <f>WORKDAY('Parámetros'!$B$3-1,L93+1)</f>
        <v/>
      </c>
      <c r="I93" s="13">
        <f>NETWORKDAYS(G93,H93)</f>
        <v/>
      </c>
      <c r="J93" s="13" t="inlineStr">
        <is>
          <t>—</t>
        </is>
      </c>
      <c r="K93" s="13" t="n">
        <v>65</v>
      </c>
      <c r="L93" s="13" t="n">
        <v>71</v>
      </c>
    </row>
    <row r="94" ht="14.25" customHeight="1" s="36">
      <c r="A94" s="13" t="inlineStr">
        <is>
          <t>6.1.1.A01</t>
        </is>
      </c>
      <c r="B94" s="13" t="inlineStr">
        <is>
          <t>6.1.1</t>
        </is>
      </c>
      <c r="C94" s="13" t="inlineStr">
        <is>
          <t>Preparación y ejecución de la instalación o de la capacitación</t>
        </is>
      </c>
      <c r="D94" s="13" t="inlineStr">
        <is>
          <t>Operación / SRE</t>
        </is>
      </c>
      <c r="E94" s="13" t="n">
        <v>2</v>
      </c>
      <c r="F94" s="13" t="n">
        <v>80</v>
      </c>
      <c r="G94" s="12">
        <f>WORKDAY('Parámetros'!$B$3-1,K94+1)</f>
        <v/>
      </c>
      <c r="H94" s="12">
        <f>WORKDAY('Parámetros'!$B$3-1,L94+1)</f>
        <v/>
      </c>
      <c r="I94" s="13">
        <f>NETWORKDAYS(G94,H94)</f>
        <v/>
      </c>
      <c r="J94" s="13" t="inlineStr">
        <is>
          <t>5.1.2.A01</t>
        </is>
      </c>
      <c r="K94" s="13" t="n">
        <v>43</v>
      </c>
      <c r="L94" s="13" t="n">
        <v>49</v>
      </c>
    </row>
    <row r="95" ht="14.25" customHeight="1" s="36">
      <c r="A95" s="13" t="inlineStr">
        <is>
          <t>6.1.1.A02</t>
        </is>
      </c>
      <c r="B95" s="13" t="inlineStr">
        <is>
          <t>6.1.1</t>
        </is>
      </c>
      <c r="C95" s="13" t="inlineStr">
        <is>
          <t>Prueba o evaluación, corrección y acta</t>
        </is>
      </c>
      <c r="D95" s="13" t="inlineStr">
        <is>
          <t>Operación / SRE</t>
        </is>
      </c>
      <c r="E95" s="13" t="n">
        <v>2</v>
      </c>
      <c r="F95" s="13" t="n">
        <v>80</v>
      </c>
      <c r="G95" s="12">
        <f>WORKDAY('Parámetros'!$B$3-1,K95+1)</f>
        <v/>
      </c>
      <c r="H95" s="12">
        <f>WORKDAY('Parámetros'!$B$3-1,L95+1)</f>
        <v/>
      </c>
      <c r="I95" s="13">
        <f>NETWORKDAYS(G95,H95)</f>
        <v/>
      </c>
      <c r="J95" s="13" t="inlineStr">
        <is>
          <t>6.1.1.A01</t>
        </is>
      </c>
      <c r="K95" s="13" t="n">
        <v>50</v>
      </c>
      <c r="L95" s="13" t="n">
        <v>56</v>
      </c>
    </row>
    <row r="96" ht="14.25" customHeight="1" s="36">
      <c r="A96" s="13" t="inlineStr">
        <is>
          <t>6.1.2.A01</t>
        </is>
      </c>
      <c r="B96" s="13" t="inlineStr">
        <is>
          <t>6.1.2</t>
        </is>
      </c>
      <c r="C96" s="13" t="inlineStr">
        <is>
          <t>Preparación y ejecución de la instalación o de la capacitación</t>
        </is>
      </c>
      <c r="D96" s="13" t="inlineStr">
        <is>
          <t>Operación / SRE</t>
        </is>
      </c>
      <c r="E96" s="13" t="n">
        <v>2</v>
      </c>
      <c r="F96" s="13" t="n">
        <v>80</v>
      </c>
      <c r="G96" s="12">
        <f>WORKDAY('Parámetros'!$B$3-1,K96+1)</f>
        <v/>
      </c>
      <c r="H96" s="12">
        <f>WORKDAY('Parámetros'!$B$3-1,L96+1)</f>
        <v/>
      </c>
      <c r="I96" s="13">
        <f>NETWORKDAYS(G96,H96)</f>
        <v/>
      </c>
      <c r="J96" s="13" t="inlineStr">
        <is>
          <t>5.1.2.A01</t>
        </is>
      </c>
      <c r="K96" s="13" t="n">
        <v>43</v>
      </c>
      <c r="L96" s="13" t="n">
        <v>49</v>
      </c>
    </row>
    <row r="97" ht="14.25" customHeight="1" s="36">
      <c r="A97" s="13" t="inlineStr">
        <is>
          <t>6.1.2.A02</t>
        </is>
      </c>
      <c r="B97" s="13" t="inlineStr">
        <is>
          <t>6.1.2</t>
        </is>
      </c>
      <c r="C97" s="13" t="inlineStr">
        <is>
          <t>Prueba o evaluación, corrección y acta</t>
        </is>
      </c>
      <c r="D97" s="13" t="inlineStr">
        <is>
          <t>Operación / SRE</t>
        </is>
      </c>
      <c r="E97" s="13" t="n">
        <v>2</v>
      </c>
      <c r="F97" s="13" t="n">
        <v>80</v>
      </c>
      <c r="G97" s="12">
        <f>WORKDAY('Parámetros'!$B$3-1,K97+1)</f>
        <v/>
      </c>
      <c r="H97" s="12">
        <f>WORKDAY('Parámetros'!$B$3-1,L97+1)</f>
        <v/>
      </c>
      <c r="I97" s="13">
        <f>NETWORKDAYS(G97,H97)</f>
        <v/>
      </c>
      <c r="J97" s="13" t="inlineStr">
        <is>
          <t>6.1.2.A01</t>
        </is>
      </c>
      <c r="K97" s="13" t="n">
        <v>50</v>
      </c>
      <c r="L97" s="13" t="n">
        <v>56</v>
      </c>
    </row>
    <row r="98" ht="14.25" customHeight="1" s="36">
      <c r="A98" s="13" t="inlineStr">
        <is>
          <t>6.1.3.A01</t>
        </is>
      </c>
      <c r="B98" s="13" t="inlineStr">
        <is>
          <t>6.1.3</t>
        </is>
      </c>
      <c r="C98" s="13" t="inlineStr">
        <is>
          <t>Preparación y ejecución de la instalación o de la capacitación</t>
        </is>
      </c>
      <c r="D98" s="13" t="inlineStr">
        <is>
          <t>Operación / SRE</t>
        </is>
      </c>
      <c r="E98" s="13" t="n">
        <v>2</v>
      </c>
      <c r="F98" s="13" t="n">
        <v>80</v>
      </c>
      <c r="G98" s="12">
        <f>WORKDAY('Parámetros'!$B$3-1,K98+1)</f>
        <v/>
      </c>
      <c r="H98" s="12">
        <f>WORKDAY('Parámetros'!$B$3-1,L98+1)</f>
        <v/>
      </c>
      <c r="I98" s="13">
        <f>NETWORKDAYS(G98,H98)</f>
        <v/>
      </c>
      <c r="J98" s="13" t="inlineStr">
        <is>
          <t>5.1.2.A01</t>
        </is>
      </c>
      <c r="K98" s="13" t="n">
        <v>43</v>
      </c>
      <c r="L98" s="13" t="n">
        <v>49</v>
      </c>
    </row>
    <row r="99" ht="14.25" customHeight="1" s="36">
      <c r="A99" s="13" t="inlineStr">
        <is>
          <t>6.1.3.A02</t>
        </is>
      </c>
      <c r="B99" s="13" t="inlineStr">
        <is>
          <t>6.1.3</t>
        </is>
      </c>
      <c r="C99" s="13" t="inlineStr">
        <is>
          <t>Prueba o evaluación, corrección y acta</t>
        </is>
      </c>
      <c r="D99" s="13" t="inlineStr">
        <is>
          <t>Operación / SRE</t>
        </is>
      </c>
      <c r="E99" s="13" t="n">
        <v>2</v>
      </c>
      <c r="F99" s="13" t="n">
        <v>80</v>
      </c>
      <c r="G99" s="12">
        <f>WORKDAY('Parámetros'!$B$3-1,K99+1)</f>
        <v/>
      </c>
      <c r="H99" s="12">
        <f>WORKDAY('Parámetros'!$B$3-1,L99+1)</f>
        <v/>
      </c>
      <c r="I99" s="13">
        <f>NETWORKDAYS(G99,H99)</f>
        <v/>
      </c>
      <c r="J99" s="13" t="inlineStr">
        <is>
          <t>6.1.3.A01</t>
        </is>
      </c>
      <c r="K99" s="13" t="n">
        <v>50</v>
      </c>
      <c r="L99" s="13" t="n">
        <v>56</v>
      </c>
    </row>
    <row r="100" ht="14.25" customHeight="1" s="36">
      <c r="A100" s="13" t="inlineStr">
        <is>
          <t>6.1.4.A01</t>
        </is>
      </c>
      <c r="B100" s="13" t="inlineStr">
        <is>
          <t>6.1.4</t>
        </is>
      </c>
      <c r="C100" s="13" t="inlineStr">
        <is>
          <t>Preparación y ejecución de la instalación o de la capacitación</t>
        </is>
      </c>
      <c r="D100" s="13" t="inlineStr">
        <is>
          <t>Operación / SRE</t>
        </is>
      </c>
      <c r="E100" s="13" t="n">
        <v>2</v>
      </c>
      <c r="F100" s="13" t="n">
        <v>80</v>
      </c>
      <c r="G100" s="12">
        <f>WORKDAY('Parámetros'!$B$3-1,K100+1)</f>
        <v/>
      </c>
      <c r="H100" s="12">
        <f>WORKDAY('Parámetros'!$B$3-1,L100+1)</f>
        <v/>
      </c>
      <c r="I100" s="13">
        <f>NETWORKDAYS(G100,H100)</f>
        <v/>
      </c>
      <c r="J100" s="13" t="inlineStr">
        <is>
          <t>5.1.2.A01</t>
        </is>
      </c>
      <c r="K100" s="13" t="n">
        <v>43</v>
      </c>
      <c r="L100" s="13" t="n">
        <v>49</v>
      </c>
    </row>
    <row r="101" ht="14.25" customHeight="1" s="36">
      <c r="A101" s="13" t="inlineStr">
        <is>
          <t>6.1.4.A02</t>
        </is>
      </c>
      <c r="B101" s="13" t="inlineStr">
        <is>
          <t>6.1.4</t>
        </is>
      </c>
      <c r="C101" s="13" t="inlineStr">
        <is>
          <t>Prueba o evaluación, corrección y acta</t>
        </is>
      </c>
      <c r="D101" s="13" t="inlineStr">
        <is>
          <t>Operación / SRE</t>
        </is>
      </c>
      <c r="E101" s="13" t="n">
        <v>2</v>
      </c>
      <c r="F101" s="13" t="n">
        <v>80</v>
      </c>
      <c r="G101" s="12">
        <f>WORKDAY('Parámetros'!$B$3-1,K101+1)</f>
        <v/>
      </c>
      <c r="H101" s="12">
        <f>WORKDAY('Parámetros'!$B$3-1,L101+1)</f>
        <v/>
      </c>
      <c r="I101" s="13">
        <f>NETWORKDAYS(G101,H101)</f>
        <v/>
      </c>
      <c r="J101" s="13" t="inlineStr">
        <is>
          <t>6.1.4.A01</t>
        </is>
      </c>
      <c r="K101" s="13" t="n">
        <v>50</v>
      </c>
      <c r="L101" s="13" t="n">
        <v>56</v>
      </c>
    </row>
    <row r="102" ht="14.25" customHeight="1" s="36">
      <c r="A102" s="13" t="inlineStr">
        <is>
          <t>6.1.5.A01</t>
        </is>
      </c>
      <c r="B102" s="13" t="inlineStr">
        <is>
          <t>6.1.5</t>
        </is>
      </c>
      <c r="C102" s="13" t="inlineStr">
        <is>
          <t>Preparación y ejecución de la instalación o de la capacitación</t>
        </is>
      </c>
      <c r="D102" s="13" t="inlineStr">
        <is>
          <t>Operación / SRE</t>
        </is>
      </c>
      <c r="E102" s="13" t="n">
        <v>2</v>
      </c>
      <c r="F102" s="13" t="n">
        <v>80</v>
      </c>
      <c r="G102" s="12">
        <f>WORKDAY('Parámetros'!$B$3-1,K102+1)</f>
        <v/>
      </c>
      <c r="H102" s="12">
        <f>WORKDAY('Parámetros'!$B$3-1,L102+1)</f>
        <v/>
      </c>
      <c r="I102" s="13">
        <f>NETWORKDAYS(G102,H102)</f>
        <v/>
      </c>
      <c r="J102" s="13" t="inlineStr">
        <is>
          <t>5.1.2.A01</t>
        </is>
      </c>
      <c r="K102" s="13" t="n">
        <v>65</v>
      </c>
      <c r="L102" s="13" t="n">
        <v>71</v>
      </c>
    </row>
    <row r="103" ht="14.25" customHeight="1" s="36">
      <c r="A103" s="13" t="inlineStr">
        <is>
          <t>6.1.5.A02</t>
        </is>
      </c>
      <c r="B103" s="13" t="inlineStr">
        <is>
          <t>6.1.5</t>
        </is>
      </c>
      <c r="C103" s="13" t="inlineStr">
        <is>
          <t>Prueba o evaluación, corrección y acta</t>
        </is>
      </c>
      <c r="D103" s="13" t="inlineStr">
        <is>
          <t>Operación / SRE</t>
        </is>
      </c>
      <c r="E103" s="13" t="n">
        <v>2</v>
      </c>
      <c r="F103" s="13" t="n">
        <v>80</v>
      </c>
      <c r="G103" s="12">
        <f>WORKDAY('Parámetros'!$B$3-1,K103+1)</f>
        <v/>
      </c>
      <c r="H103" s="12">
        <f>WORKDAY('Parámetros'!$B$3-1,L103+1)</f>
        <v/>
      </c>
      <c r="I103" s="13">
        <f>NETWORKDAYS(G103,H103)</f>
        <v/>
      </c>
      <c r="J103" s="13" t="inlineStr">
        <is>
          <t>6.1.5.A01</t>
        </is>
      </c>
      <c r="K103" s="13" t="n">
        <v>72</v>
      </c>
      <c r="L103" s="13" t="n">
        <v>78</v>
      </c>
    </row>
    <row r="104" ht="14.25" customHeight="1" s="36">
      <c r="A104" s="13" t="inlineStr">
        <is>
          <t>6.2.1.A01</t>
        </is>
      </c>
      <c r="B104" s="13" t="inlineStr">
        <is>
          <t>6.2.1</t>
        </is>
      </c>
      <c r="C104" s="13" t="inlineStr">
        <is>
          <t>Preparación y ejecución de la instalación o de la capacitación</t>
        </is>
      </c>
      <c r="D104" s="13" t="inlineStr">
        <is>
          <t>Operación / SRE</t>
        </is>
      </c>
      <c r="E104" s="13" t="n">
        <v>2</v>
      </c>
      <c r="F104" s="13" t="n">
        <v>80</v>
      </c>
      <c r="G104" s="12">
        <f>WORKDAY('Parámetros'!$B$3-1,K104+1)</f>
        <v/>
      </c>
      <c r="H104" s="12">
        <f>WORKDAY('Parámetros'!$B$3-1,L104+1)</f>
        <v/>
      </c>
      <c r="I104" s="13">
        <f>NETWORKDAYS(G104,H104)</f>
        <v/>
      </c>
      <c r="J104" s="13" t="inlineStr">
        <is>
          <t>—</t>
        </is>
      </c>
      <c r="K104" s="13" t="n">
        <v>65</v>
      </c>
      <c r="L104" s="13" t="n">
        <v>71</v>
      </c>
    </row>
    <row r="105" ht="14.25" customHeight="1" s="36">
      <c r="A105" s="13" t="inlineStr">
        <is>
          <t>6.2.1.A02</t>
        </is>
      </c>
      <c r="B105" s="13" t="inlineStr">
        <is>
          <t>6.2.1</t>
        </is>
      </c>
      <c r="C105" s="13" t="inlineStr">
        <is>
          <t>Prueba o evaluación, corrección y acta</t>
        </is>
      </c>
      <c r="D105" s="13" t="inlineStr">
        <is>
          <t>Operación / SRE</t>
        </is>
      </c>
      <c r="E105" s="13" t="n">
        <v>2</v>
      </c>
      <c r="F105" s="13" t="n">
        <v>80</v>
      </c>
      <c r="G105" s="12">
        <f>WORKDAY('Parámetros'!$B$3-1,K105+1)</f>
        <v/>
      </c>
      <c r="H105" s="12">
        <f>WORKDAY('Parámetros'!$B$3-1,L105+1)</f>
        <v/>
      </c>
      <c r="I105" s="13">
        <f>NETWORKDAYS(G105,H105)</f>
        <v/>
      </c>
      <c r="J105" s="13" t="inlineStr">
        <is>
          <t>6.2.1.A01</t>
        </is>
      </c>
      <c r="K105" s="13" t="n">
        <v>72</v>
      </c>
      <c r="L105" s="13" t="n">
        <v>78</v>
      </c>
    </row>
    <row r="106" ht="14.25" customHeight="1" s="36">
      <c r="A106" s="13" t="inlineStr">
        <is>
          <t>6.3.3.A01</t>
        </is>
      </c>
      <c r="B106" s="13" t="inlineStr">
        <is>
          <t>6.3.3</t>
        </is>
      </c>
      <c r="C106" s="13" t="inlineStr">
        <is>
          <t>Preparación y ejecución de la instalación o de la capacitación</t>
        </is>
      </c>
      <c r="D106" s="13" t="inlineStr">
        <is>
          <t>Operación / SRE</t>
        </is>
      </c>
      <c r="E106" s="13" t="n">
        <v>2</v>
      </c>
      <c r="F106" s="13" t="n">
        <v>80</v>
      </c>
      <c r="G106" s="12">
        <f>WORKDAY('Parámetros'!$B$3-1,K106+1)</f>
        <v/>
      </c>
      <c r="H106" s="12">
        <f>WORKDAY('Parámetros'!$B$3-1,L106+1)</f>
        <v/>
      </c>
      <c r="I106" s="13">
        <f>NETWORKDAYS(G106,H106)</f>
        <v/>
      </c>
      <c r="J106" s="13" t="inlineStr">
        <is>
          <t>—</t>
        </is>
      </c>
      <c r="K106" s="13" t="n">
        <v>65</v>
      </c>
      <c r="L106" s="13" t="n">
        <v>71</v>
      </c>
    </row>
    <row r="107" ht="14.25" customHeight="1" s="36">
      <c r="A107" s="13" t="inlineStr">
        <is>
          <t>6.3.3.A02</t>
        </is>
      </c>
      <c r="B107" s="13" t="inlineStr">
        <is>
          <t>6.3.3</t>
        </is>
      </c>
      <c r="C107" s="13" t="inlineStr">
        <is>
          <t>Prueba o evaluación, corrección y acta</t>
        </is>
      </c>
      <c r="D107" s="13" t="inlineStr">
        <is>
          <t>Operación / SRE</t>
        </is>
      </c>
      <c r="E107" s="13" t="n">
        <v>2</v>
      </c>
      <c r="F107" s="13" t="n">
        <v>80</v>
      </c>
      <c r="G107" s="12">
        <f>WORKDAY('Parámetros'!$B$3-1,K107+1)</f>
        <v/>
      </c>
      <c r="H107" s="12">
        <f>WORKDAY('Parámetros'!$B$3-1,L107+1)</f>
        <v/>
      </c>
      <c r="I107" s="13">
        <f>NETWORKDAYS(G107,H107)</f>
        <v/>
      </c>
      <c r="J107" s="13" t="inlineStr">
        <is>
          <t>6.3.3.A01</t>
        </is>
      </c>
      <c r="K107" s="13" t="n">
        <v>72</v>
      </c>
      <c r="L107" s="13" t="n">
        <v>78</v>
      </c>
    </row>
    <row r="108" ht="14.25" customHeight="1" s="36">
      <c r="A108" s="13" t="inlineStr">
        <is>
          <t>7.2.3.A01</t>
        </is>
      </c>
      <c r="B108" s="13" t="inlineStr">
        <is>
          <t>7.2.3</t>
        </is>
      </c>
      <c r="C108" s="13" t="inlineStr">
        <is>
          <t>Preparación y ejecución de la instalación o de la capacitación</t>
        </is>
      </c>
      <c r="D108" s="13" t="inlineStr">
        <is>
          <t>Implantación</t>
        </is>
      </c>
      <c r="E108" s="13" t="n">
        <v>2</v>
      </c>
      <c r="F108" s="13" t="n">
        <v>80</v>
      </c>
      <c r="G108" s="12">
        <f>WORKDAY('Parámetros'!$B$3-1,K108+1)</f>
        <v/>
      </c>
      <c r="H108" s="12">
        <f>WORKDAY('Parámetros'!$B$3-1,L108+1)</f>
        <v/>
      </c>
      <c r="I108" s="13">
        <f>NETWORKDAYS(G108,H108)</f>
        <v/>
      </c>
      <c r="J108" s="13" t="inlineStr">
        <is>
          <t>—</t>
        </is>
      </c>
      <c r="K108" s="13" t="n">
        <v>20</v>
      </c>
      <c r="L108" s="13" t="n">
        <v>26</v>
      </c>
    </row>
    <row r="109" ht="14.25" customHeight="1" s="36">
      <c r="A109" s="13" t="inlineStr">
        <is>
          <t>7.2.3.A02</t>
        </is>
      </c>
      <c r="B109" s="13" t="inlineStr">
        <is>
          <t>7.2.3</t>
        </is>
      </c>
      <c r="C109" s="13" t="inlineStr">
        <is>
          <t>Prueba o evaluación, corrección y acta</t>
        </is>
      </c>
      <c r="D109" s="13" t="inlineStr">
        <is>
          <t>Implantación</t>
        </is>
      </c>
      <c r="E109" s="13" t="n">
        <v>2</v>
      </c>
      <c r="F109" s="13" t="n">
        <v>80</v>
      </c>
      <c r="G109" s="12">
        <f>WORKDAY('Parámetros'!$B$3-1,K109+1)</f>
        <v/>
      </c>
      <c r="H109" s="12">
        <f>WORKDAY('Parámetros'!$B$3-1,L109+1)</f>
        <v/>
      </c>
      <c r="I109" s="13">
        <f>NETWORKDAYS(G109,H109)</f>
        <v/>
      </c>
      <c r="J109" s="13" t="inlineStr">
        <is>
          <t>7.2.3.A01</t>
        </is>
      </c>
      <c r="K109" s="13" t="n">
        <v>75</v>
      </c>
      <c r="L109" s="13" t="n">
        <v>81</v>
      </c>
    </row>
    <row r="110" ht="14.25" customHeight="1" s="36">
      <c r="A110" s="13" t="n"/>
      <c r="B110" s="13" t="n"/>
      <c r="C110" s="13" t="n"/>
      <c r="D110" s="13" t="n"/>
      <c r="E110" s="13" t="n"/>
      <c r="F110" s="13" t="n"/>
      <c r="G110" s="12" t="n"/>
      <c r="H110" s="12" t="n"/>
      <c r="I110" s="13" t="n"/>
      <c r="J110" s="13" t="n"/>
      <c r="K110" s="13" t="n"/>
      <c r="L110" s="13" t="n"/>
    </row>
    <row r="111" ht="14.25" customHeight="1" s="36">
      <c r="A111" s="13" t="inlineStr">
        <is>
          <t>Fuente: Formulario T-15, Tabla 6.1b. Se muestran las 108 actividades de los paquetes que terminan hasta el H2; los demás paquetes se detallan por planificación gradual antes de cada fase (T-15, sección 6.1 y Figura T15.3).</t>
        </is>
      </c>
      <c r="B111" s="13" t="n"/>
      <c r="C111" s="13" t="n"/>
      <c r="D111" s="13" t="n"/>
      <c r="E111" s="13" t="n"/>
      <c r="F111" s="13" t="n"/>
      <c r="G111" s="12" t="n"/>
      <c r="H111" s="12" t="n"/>
      <c r="I111" s="13" t="n"/>
      <c r="J111" s="13" t="n"/>
      <c r="K111" s="13" t="n"/>
      <c r="L111" s="13" t="n"/>
    </row>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autoFilter ref="$A$1:$L$565"/>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6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9" customWidth="1" style="36" min="1" max="1"/>
    <col width="52" customWidth="1" style="36" min="2" max="2"/>
    <col width="6" customWidth="1" style="36" min="3" max="3"/>
    <col width="8" customWidth="1" style="36" min="4" max="5"/>
    <col width="10" customWidth="1" style="36" min="6" max="6"/>
    <col width="60" customWidth="1" style="36" min="7" max="7"/>
    <col width="12" customWidth="1" style="36" min="8" max="9"/>
    <col width="8.859999999999999" customWidth="1" style="36" min="10" max="26"/>
  </cols>
  <sheetData>
    <row r="1" ht="14.25" customHeight="1" s="36">
      <c r="A1" s="4" t="inlineStr">
        <is>
          <t>Paquete</t>
        </is>
      </c>
      <c r="B1" s="4" t="inlineStr">
        <is>
          <t>Nombre del paquete</t>
        </is>
      </c>
      <c r="C1" s="4" t="inlineStr">
        <is>
          <t>Clase</t>
        </is>
      </c>
      <c r="D1" s="4" t="inlineStr">
        <is>
          <t>Inicio (mes)</t>
        </is>
      </c>
      <c r="E1" s="4" t="inlineStr">
        <is>
          <t>Fin (mes)</t>
        </is>
      </c>
      <c r="F1" s="4" t="inlineStr">
        <is>
          <t>HH (E)</t>
        </is>
      </c>
      <c r="G1" s="4" t="inlineStr">
        <is>
          <t>Regla de programación</t>
        </is>
      </c>
      <c r="H1" s="4" t="inlineStr">
        <is>
          <t>Relevos u ocurrencias</t>
        </is>
      </c>
      <c r="I1" s="4" t="inlineStr">
        <is>
          <t>HH máximas por relevo u ocurrencia</t>
        </is>
      </c>
    </row>
    <row r="2" ht="14.25" customHeight="1" s="36">
      <c r="A2" s="13" t="inlineStr">
        <is>
          <t>1.2.2</t>
        </is>
      </c>
      <c r="B2" s="13" t="inlineStr">
        <is>
          <t>Documento de reglas de ruteo capturadas al planificador de rutas</t>
        </is>
      </c>
      <c r="C2" s="13" t="inlineStr">
        <is>
          <t>G</t>
        </is>
      </c>
      <c r="D2" s="13" t="n">
        <v>1</v>
      </c>
      <c r="E2" s="13" t="n">
        <v>3</v>
      </c>
      <c r="F2" s="31" t="n">
        <v>80</v>
      </c>
      <c r="G2" s="13" t="inlineStr">
        <is>
          <t>Una actividad por quincena, por presencia continua o periódica</t>
        </is>
      </c>
      <c r="H2" s="13" t="n">
        <v>6</v>
      </c>
      <c r="I2" s="13" t="n">
        <v>13.3</v>
      </c>
    </row>
    <row r="3" ht="14.25" customHeight="1" s="36">
      <c r="A3" s="13" t="inlineStr">
        <is>
          <t>1.3.5</t>
        </is>
      </c>
      <c r="B3" s="13" t="inlineStr">
        <is>
          <t>Reunión semanal de seguimiento con su informe semanal</t>
        </is>
      </c>
      <c r="C3" s="13" t="inlineStr">
        <is>
          <t>R</t>
        </is>
      </c>
      <c r="D3" s="13" t="n">
        <v>1</v>
      </c>
      <c r="E3" s="13" t="n">
        <v>20</v>
      </c>
      <c r="F3" s="31" t="n">
        <v>480</v>
      </c>
      <c r="G3" s="13" t="inlineStr">
        <is>
          <t>Una actividad de nivel de esfuerzo por quincena</t>
        </is>
      </c>
      <c r="H3" s="13" t="n">
        <v>40</v>
      </c>
      <c r="I3" s="13" t="n">
        <v>12</v>
      </c>
    </row>
    <row r="4" ht="14.25" customHeight="1" s="36">
      <c r="A4" s="13" t="inlineStr">
        <is>
          <t>1.4.3</t>
        </is>
      </c>
      <c r="B4" s="13" t="inlineStr">
        <is>
          <t>Registro de solicitudes de cambio con análisis de impacto</t>
        </is>
      </c>
      <c r="C4" s="13" t="inlineStr">
        <is>
          <t>R</t>
        </is>
      </c>
      <c r="D4" s="13" t="n">
        <v>1</v>
      </c>
      <c r="E4" s="13" t="n">
        <v>56</v>
      </c>
      <c r="F4" s="31" t="n">
        <v>896</v>
      </c>
      <c r="G4" s="13" t="inlineStr">
        <is>
          <t>Una actividad de nivel de esfuerzo por quincena</t>
        </is>
      </c>
      <c r="H4" s="13" t="n">
        <v>112</v>
      </c>
      <c r="I4" s="13" t="n">
        <v>8</v>
      </c>
    </row>
    <row r="5" ht="14.25" customHeight="1" s="36">
      <c r="A5" s="13" t="inlineStr">
        <is>
          <t>1.5.2</t>
        </is>
      </c>
      <c r="B5" s="13" t="inlineStr">
        <is>
          <t>Puertas de calidad automáticas en la cadena de integración (cobertura mínima del 80 %)</t>
        </is>
      </c>
      <c r="C5" s="13" t="inlineStr">
        <is>
          <t>G</t>
        </is>
      </c>
      <c r="D5" s="13" t="n">
        <v>6</v>
      </c>
      <c r="E5" s="13" t="n">
        <v>20</v>
      </c>
      <c r="F5" s="31" t="n">
        <v>80</v>
      </c>
      <c r="G5" s="13" t="inlineStr">
        <is>
          <t>Una actividad cada 3 quincenas, por presencia continua o periódica</t>
        </is>
      </c>
      <c r="H5" s="13" t="n">
        <v>10</v>
      </c>
      <c r="I5" s="13" t="n">
        <v>8</v>
      </c>
    </row>
    <row r="6" ht="14.25" customHeight="1" s="36">
      <c r="A6" s="13" t="inlineStr">
        <is>
          <t>1.6.2</t>
        </is>
      </c>
      <c r="B6" s="13" t="inlineStr">
        <is>
          <t>Registro de riesgos revisado en cada Comité de Proyecto</t>
        </is>
      </c>
      <c r="C6" s="13" t="inlineStr">
        <is>
          <t>R</t>
        </is>
      </c>
      <c r="D6" s="13" t="n">
        <v>1</v>
      </c>
      <c r="E6" s="13" t="n">
        <v>20</v>
      </c>
      <c r="F6" s="31" t="n">
        <v>160</v>
      </c>
      <c r="G6" s="13" t="inlineStr">
        <is>
          <t>Una actividad por ocurrencia (quincenal, en cada Comité de Proyecto), ejecutada dentro de una quincena; 1 actividad(es) por ocurrencia</t>
        </is>
      </c>
      <c r="H6" s="13" t="n">
        <v>40</v>
      </c>
      <c r="I6" s="13" t="n">
        <v>4</v>
      </c>
    </row>
    <row r="7" ht="14.25" customHeight="1" s="36">
      <c r="A7" s="13" t="inlineStr">
        <is>
          <t>1.8.1</t>
        </is>
      </c>
      <c r="B7" s="13" t="inlineStr">
        <is>
          <t>Oficina de gestión del proyecto con metodología basada en el PMBOK</t>
        </is>
      </c>
      <c r="C7" s="13" t="inlineStr">
        <is>
          <t>R</t>
        </is>
      </c>
      <c r="D7" s="13" t="n">
        <v>1</v>
      </c>
      <c r="E7" s="13" t="n">
        <v>20</v>
      </c>
      <c r="F7" s="31" t="n">
        <v>320</v>
      </c>
      <c r="G7" s="13" t="inlineStr">
        <is>
          <t>Una actividad de nivel de esfuerzo por quincena</t>
        </is>
      </c>
      <c r="H7" s="13" t="n">
        <v>40</v>
      </c>
      <c r="I7" s="13" t="n">
        <v>8</v>
      </c>
    </row>
    <row r="8" ht="14.25" customHeight="1" s="36">
      <c r="A8" s="13" t="inlineStr">
        <is>
          <t>1.8.2</t>
        </is>
      </c>
      <c r="B8" s="13" t="inlineStr">
        <is>
          <t>Actas del Comité Ejecutivo mensual, con la aprobación de los cambios de alcance</t>
        </is>
      </c>
      <c r="C8" s="13" t="inlineStr">
        <is>
          <t>R</t>
        </is>
      </c>
      <c r="D8" s="13" t="n">
        <v>1</v>
      </c>
      <c r="E8" s="13" t="n">
        <v>56</v>
      </c>
      <c r="F8" s="31" t="n">
        <v>448</v>
      </c>
      <c r="G8" s="13" t="inlineStr">
        <is>
          <t>Una actividad por ocurrencia (mensual), ejecutada dentro de una quincena; 1 actividad(es) por ocurrencia</t>
        </is>
      </c>
      <c r="H8" s="13" t="n">
        <v>56</v>
      </c>
      <c r="I8" s="13" t="n">
        <v>8</v>
      </c>
    </row>
    <row r="9" ht="14.25" customHeight="1" s="36">
      <c r="A9" s="13" t="inlineStr">
        <is>
          <t>1.8.3</t>
        </is>
      </c>
      <c r="B9" s="13" t="inlineStr">
        <is>
          <t>Actas del Comité de Proyecto quincenal</t>
        </is>
      </c>
      <c r="C9" s="13" t="inlineStr">
        <is>
          <t>R</t>
        </is>
      </c>
      <c r="D9" s="13" t="n">
        <v>1</v>
      </c>
      <c r="E9" s="13" t="n">
        <v>20</v>
      </c>
      <c r="F9" s="31" t="n">
        <v>240</v>
      </c>
      <c r="G9" s="13" t="inlineStr">
        <is>
          <t>Una actividad por ocurrencia (quincenal), ejecutada dentro de una quincena; 1 actividad(es) por ocurrencia</t>
        </is>
      </c>
      <c r="H9" s="13" t="n">
        <v>40</v>
      </c>
      <c r="I9" s="13" t="n">
        <v>6</v>
      </c>
    </row>
    <row r="10" ht="14.25" customHeight="1" s="36">
      <c r="A10" s="13" t="inlineStr">
        <is>
          <t>1.8.4</t>
        </is>
      </c>
      <c r="B10" s="13" t="inlineStr">
        <is>
          <t>Actas del Comité de Arquitectura mensual</t>
        </is>
      </c>
      <c r="C10" s="13" t="inlineStr">
        <is>
          <t>R</t>
        </is>
      </c>
      <c r="D10" s="13" t="n">
        <v>1</v>
      </c>
      <c r="E10" s="13" t="n">
        <v>56</v>
      </c>
      <c r="F10" s="31" t="n">
        <v>448</v>
      </c>
      <c r="G10" s="13" t="inlineStr">
        <is>
          <t>Una actividad por ocurrencia (mensual), ejecutada dentro de una quincena; 1 actividad(es) por ocurrencia</t>
        </is>
      </c>
      <c r="H10" s="13" t="n">
        <v>56</v>
      </c>
      <c r="I10" s="13" t="n">
        <v>8</v>
      </c>
    </row>
    <row r="11" ht="14.25" customHeight="1" s="36">
      <c r="A11" s="13" t="inlineStr">
        <is>
          <t>1.8.5</t>
        </is>
      </c>
      <c r="B11" s="13" t="inlineStr">
        <is>
          <t>Actas del Comité de Operación mensual, desde el mes 13</t>
        </is>
      </c>
      <c r="C11" s="13" t="inlineStr">
        <is>
          <t>R</t>
        </is>
      </c>
      <c r="D11" s="13" t="n">
        <v>13</v>
      </c>
      <c r="E11" s="13" t="n">
        <v>56</v>
      </c>
      <c r="F11" s="31" t="n">
        <v>352</v>
      </c>
      <c r="G11" s="13" t="inlineStr">
        <is>
          <t>Una actividad por ocurrencia (mensual), ejecutada dentro de una quincena; 1 actividad(es) por ocurrencia</t>
        </is>
      </c>
      <c r="H11" s="13" t="n">
        <v>44</v>
      </c>
      <c r="I11" s="13" t="n">
        <v>8</v>
      </c>
    </row>
    <row r="12" ht="14.25" customHeight="1" s="36">
      <c r="A12" s="13" t="inlineStr">
        <is>
          <t>1.8.6</t>
        </is>
      </c>
      <c r="B12" s="13" t="inlineStr">
        <is>
          <t>Informe mensual de avance con valor ganado</t>
        </is>
      </c>
      <c r="C12" s="13" t="inlineStr">
        <is>
          <t>R</t>
        </is>
      </c>
      <c r="D12" s="13" t="n">
        <v>1</v>
      </c>
      <c r="E12" s="13" t="n">
        <v>20</v>
      </c>
      <c r="F12" s="31" t="n">
        <v>480</v>
      </c>
      <c r="G12" s="13" t="inlineStr">
        <is>
          <t>Una actividad por ocurrencia (mensual), ejecutada dentro de una quincena; 1 actividad(es) por ocurrencia</t>
        </is>
      </c>
      <c r="H12" s="13" t="n">
        <v>20</v>
      </c>
      <c r="I12" s="13" t="n">
        <v>24</v>
      </c>
    </row>
    <row r="13" ht="14.25" customHeight="1" s="36">
      <c r="A13" s="13" t="inlineStr">
        <is>
          <t>1.8.7</t>
        </is>
      </c>
      <c r="B13" s="13" t="inlineStr">
        <is>
          <t>Tablero de estado del proyecto disponible para el CLIENTE</t>
        </is>
      </c>
      <c r="C13" s="13" t="inlineStr">
        <is>
          <t>R</t>
        </is>
      </c>
      <c r="D13" s="13" t="n">
        <v>2</v>
      </c>
      <c r="E13" s="13" t="n">
        <v>56</v>
      </c>
      <c r="F13" s="31" t="n">
        <v>440</v>
      </c>
      <c r="G13" s="13" t="inlineStr">
        <is>
          <t>Una actividad cada 2 quincenas, ejecutada en la última quincena del grupo</t>
        </is>
      </c>
      <c r="H13" s="13" t="n">
        <v>55</v>
      </c>
      <c r="I13" s="13" t="n">
        <v>8</v>
      </c>
    </row>
    <row r="14" ht="14.25" customHeight="1" s="36">
      <c r="A14" s="13" t="inlineStr">
        <is>
          <t>1.8.8</t>
        </is>
      </c>
      <c r="B14" s="13" t="inlineStr">
        <is>
          <t>Espacio colaborativo con la documentación, los entregables, las actas, los riesgos y los cambios</t>
        </is>
      </c>
      <c r="C14" s="13" t="inlineStr">
        <is>
          <t>R</t>
        </is>
      </c>
      <c r="D14" s="13" t="n">
        <v>1</v>
      </c>
      <c r="E14" s="13" t="n">
        <v>56</v>
      </c>
      <c r="F14" s="31" t="n">
        <v>448</v>
      </c>
      <c r="G14" s="13" t="inlineStr">
        <is>
          <t>Una actividad cada 2 quincenas, ejecutada en la última quincena del grupo</t>
        </is>
      </c>
      <c r="H14" s="13" t="n">
        <v>56</v>
      </c>
      <c r="I14" s="13" t="n">
        <v>8</v>
      </c>
    </row>
    <row r="15" ht="14.25" customHeight="1" s="36">
      <c r="A15" s="13" t="inlineStr">
        <is>
          <t>1.9.4</t>
        </is>
      </c>
      <c r="B15" s="13" t="inlineStr">
        <is>
          <t>Certificación ISO/IEC 27001 vigente y entrega anual de los informes de certificación</t>
        </is>
      </c>
      <c r="C15" s="13" t="inlineStr">
        <is>
          <t>R</t>
        </is>
      </c>
      <c r="D15" s="13" t="n">
        <v>1</v>
      </c>
      <c r="E15" s="13" t="n">
        <v>56</v>
      </c>
      <c r="F15" s="31" t="n">
        <v>224</v>
      </c>
      <c r="G15" s="13" t="inlineStr">
        <is>
          <t>Una actividad por ocurrencia (anual), ejecutada dentro de una quincena; 1 actividad(es) por ocurrencia</t>
        </is>
      </c>
      <c r="H15" s="13" t="n">
        <v>5</v>
      </c>
      <c r="I15" s="13" t="n">
        <v>44.8</v>
      </c>
    </row>
    <row r="16" ht="14.25" customHeight="1" s="36">
      <c r="A16" s="13" t="inlineStr">
        <is>
          <t>1.9.5</t>
        </is>
      </c>
      <c r="B16" s="13" t="inlineStr">
        <is>
          <t>Garantía de fiel cumplimiento, seguros y certificados laborales vigentes durante el contrato</t>
        </is>
      </c>
      <c r="C16" s="13" t="inlineStr">
        <is>
          <t>R</t>
        </is>
      </c>
      <c r="D16" s="13" t="n">
        <v>1</v>
      </c>
      <c r="E16" s="13" t="n">
        <v>56</v>
      </c>
      <c r="F16" s="31" t="n">
        <v>224</v>
      </c>
      <c r="G16" s="13" t="inlineStr">
        <is>
          <t>Una actividad cada 4 quincenas, ejecutada en la última quincena del grupo</t>
        </is>
      </c>
      <c r="H16" s="13" t="n">
        <v>28</v>
      </c>
      <c r="I16" s="13" t="n">
        <v>8</v>
      </c>
    </row>
    <row r="17" ht="14.25" customHeight="1" s="36">
      <c r="A17" s="13" t="inlineStr">
        <is>
          <t>2.2.2</t>
        </is>
      </c>
      <c r="B17" s="13" t="inlineStr">
        <is>
          <t>Modelado de amenazas por componente y por integración externa, actualizado ante cada cambio</t>
        </is>
      </c>
      <c r="C17" s="13" t="inlineStr">
        <is>
          <t>E</t>
        </is>
      </c>
      <c r="D17" s="13" t="n">
        <v>3</v>
      </c>
      <c r="E17" s="13" t="n">
        <v>10</v>
      </c>
      <c r="F17" s="31" t="n">
        <v>240</v>
      </c>
      <c r="G17" s="13" t="inlineStr">
        <is>
          <t>Una actividad por quincena, por presencia continua o periódica</t>
        </is>
      </c>
      <c r="H17" s="13" t="n">
        <v>16</v>
      </c>
      <c r="I17" s="13" t="n">
        <v>15</v>
      </c>
    </row>
    <row r="18" ht="14.25" customHeight="1" s="36">
      <c r="A18" s="13" t="inlineStr">
        <is>
          <t>3.11.1</t>
        </is>
      </c>
      <c r="B18" s="13" t="inlineStr">
        <is>
          <t>Documentación técnica, funcional, de arquitectura, de operación y de seguridad</t>
        </is>
      </c>
      <c r="C18" s="13" t="inlineStr">
        <is>
          <t>G</t>
        </is>
      </c>
      <c r="D18" s="13" t="n">
        <v>15</v>
      </c>
      <c r="E18" s="13" t="n">
        <v>21</v>
      </c>
      <c r="F18" s="31" t="n">
        <v>80</v>
      </c>
      <c r="G18" s="13" t="inlineStr">
        <is>
          <t>Una actividad cada 2 quincenas, por presencia continua o periódica</t>
        </is>
      </c>
      <c r="H18" s="13" t="n">
        <v>7</v>
      </c>
      <c r="I18" s="13" t="n">
        <v>11.4</v>
      </c>
    </row>
    <row r="19" ht="14.25" customHeight="1" s="36">
      <c r="A19" s="13" t="inlineStr">
        <is>
          <t>3.11.2</t>
        </is>
      </c>
      <c r="B19" s="13" t="inlineStr">
        <is>
          <t>Base de conocimiento de incidentes y decisiones de diseño</t>
        </is>
      </c>
      <c r="C19" s="13" t="inlineStr">
        <is>
          <t>G</t>
        </is>
      </c>
      <c r="D19" s="13" t="n">
        <v>10</v>
      </c>
      <c r="E19" s="13" t="n">
        <v>20</v>
      </c>
      <c r="F19" s="31" t="n">
        <v>80</v>
      </c>
      <c r="G19" s="13" t="inlineStr">
        <is>
          <t>Una actividad cada 3 quincenas, por presencia continua o periódica</t>
        </is>
      </c>
      <c r="H19" s="13" t="n">
        <v>8</v>
      </c>
      <c r="I19" s="13" t="n">
        <v>10</v>
      </c>
    </row>
    <row r="20" ht="14.25" customHeight="1" s="36">
      <c r="A20" s="13" t="inlineStr">
        <is>
          <t>3.11.3</t>
        </is>
      </c>
      <c r="B20" s="13" t="inlineStr">
        <is>
          <t>Estándares de codificación y documentación de interfaces en OpenAPI y AsyncAPI</t>
        </is>
      </c>
      <c r="C20" s="13" t="inlineStr">
        <is>
          <t>G</t>
        </is>
      </c>
      <c r="D20" s="13" t="n">
        <v>4</v>
      </c>
      <c r="E20" s="13" t="n">
        <v>20</v>
      </c>
      <c r="F20" s="31" t="n">
        <v>80</v>
      </c>
      <c r="G20" s="13" t="inlineStr">
        <is>
          <t>Una actividad cada 4 quincenas, por presencia continua o periódica</t>
        </is>
      </c>
      <c r="H20" s="13" t="n">
        <v>9</v>
      </c>
      <c r="I20" s="13" t="n">
        <v>8.9</v>
      </c>
    </row>
    <row r="21" ht="14.25" customHeight="1" s="36">
      <c r="A21" s="13" t="inlineStr">
        <is>
          <t>3.11.4</t>
        </is>
      </c>
      <c r="B21" s="13" t="inlineStr">
        <is>
          <t>Inventario de componentes (SBOM) con sus licencias de código abierto</t>
        </is>
      </c>
      <c r="C21" s="13" t="inlineStr">
        <is>
          <t>G</t>
        </is>
      </c>
      <c r="D21" s="13" t="n">
        <v>4</v>
      </c>
      <c r="E21" s="13" t="n">
        <v>20</v>
      </c>
      <c r="F21" s="31" t="n">
        <v>80</v>
      </c>
      <c r="G21" s="13" t="inlineStr">
        <is>
          <t>Una actividad cada 4 quincenas, por presencia continua o periódica</t>
        </is>
      </c>
      <c r="H21" s="13" t="n">
        <v>9</v>
      </c>
      <c r="I21" s="13" t="n">
        <v>8.9</v>
      </c>
    </row>
    <row r="22" ht="14.25" customHeight="1" s="36">
      <c r="A22" s="13" t="inlineStr">
        <is>
          <t>3.11.5</t>
        </is>
      </c>
      <c r="B22" s="13" t="inlineStr">
        <is>
          <t>Depósito del código fuente en el repositorio del CLIENTE en cada liberación</t>
        </is>
      </c>
      <c r="C22" s="13" t="inlineStr">
        <is>
          <t>G</t>
        </is>
      </c>
      <c r="D22" s="13" t="n">
        <v>6</v>
      </c>
      <c r="E22" s="13" t="n">
        <v>20</v>
      </c>
      <c r="F22" s="31" t="n">
        <v>80</v>
      </c>
      <c r="G22" s="13" t="inlineStr">
        <is>
          <t>Una actividad cada 3 quincenas, por presencia continua o periódica</t>
        </is>
      </c>
      <c r="H22" s="13" t="n">
        <v>10</v>
      </c>
      <c r="I22" s="13" t="n">
        <v>8</v>
      </c>
    </row>
    <row r="23" ht="14.25" customHeight="1" s="36">
      <c r="A23" s="13" t="inlineStr">
        <is>
          <t>4.2.1</t>
        </is>
      </c>
      <c r="B23" s="13" t="inlineStr">
        <is>
          <t>Marcha blanca de la Etapa 1 con conciliación diaria (H6)</t>
        </is>
      </c>
      <c r="C23" s="13" t="inlineStr">
        <is>
          <t>A</t>
        </is>
      </c>
      <c r="D23" s="13" t="n">
        <v>13</v>
      </c>
      <c r="E23" s="13" t="n">
        <v>15</v>
      </c>
      <c r="F23" s="31" t="n">
        <v>7392</v>
      </c>
      <c r="G23" s="13" t="inlineStr">
        <is>
          <t>Una actividad de nivel de esfuerzo por quincena, dividida en 20 relevos o puestos</t>
        </is>
      </c>
      <c r="H23" s="13" t="n">
        <v>120</v>
      </c>
      <c r="I23" s="13" t="n">
        <v>61.6</v>
      </c>
    </row>
    <row r="24" ht="14.25" customHeight="1" s="36">
      <c r="A24" s="13" t="inlineStr">
        <is>
          <t>4.2.2</t>
        </is>
      </c>
      <c r="B24" s="13" t="inlineStr">
        <is>
          <t>Estabilización de la Etapa 1 en el turno de noche y acompañamiento en ruta</t>
        </is>
      </c>
      <c r="C24" s="13" t="inlineStr">
        <is>
          <t>A</t>
        </is>
      </c>
      <c r="D24" s="13" t="n">
        <v>16</v>
      </c>
      <c r="E24" s="13" t="n">
        <v>20</v>
      </c>
      <c r="F24" s="31" t="n">
        <v>5408</v>
      </c>
      <c r="G24" s="13" t="inlineStr">
        <is>
          <t>Una actividad de nivel de esfuerzo por quincena, dividida en relevos o puestos según la HH de cada mes</t>
        </is>
      </c>
      <c r="H24" s="13" t="n">
        <v>92</v>
      </c>
      <c r="I24" s="13" t="n">
        <v>61.6</v>
      </c>
    </row>
    <row r="25" ht="14.25" customHeight="1" s="36">
      <c r="A25" s="13" t="inlineStr">
        <is>
          <t>4.3.1</t>
        </is>
      </c>
      <c r="B25" s="13" t="inlineStr">
        <is>
          <t>Marcha blanca de la Etapa 2 en convivencia con la Etapa 1 y fuente única de datos (H11)</t>
        </is>
      </c>
      <c r="C25" s="13" t="inlineStr">
        <is>
          <t>A</t>
        </is>
      </c>
      <c r="D25" s="13" t="n">
        <v>19</v>
      </c>
      <c r="E25" s="13" t="n">
        <v>20</v>
      </c>
      <c r="F25" s="31" t="n">
        <v>4928</v>
      </c>
      <c r="G25" s="13" t="inlineStr">
        <is>
          <t>Una actividad de nivel de esfuerzo por quincena, dividida en 20 relevos o puestos</t>
        </is>
      </c>
      <c r="H25" s="13" t="n">
        <v>80</v>
      </c>
      <c r="I25" s="13" t="n">
        <v>61.6</v>
      </c>
    </row>
    <row r="26" ht="14.25" customHeight="1" s="36">
      <c r="A26" s="13" t="inlineStr">
        <is>
          <t>4.3.2</t>
        </is>
      </c>
      <c r="B26" s="13" t="inlineStr">
        <is>
          <t>Estabilización de la Etapa 2 con Comercial, Finanzas, cadenas y transportistas</t>
        </is>
      </c>
      <c r="C26" s="13" t="inlineStr">
        <is>
          <t>A</t>
        </is>
      </c>
      <c r="D26" s="13" t="n">
        <v>21</v>
      </c>
      <c r="E26" s="13" t="n">
        <v>22</v>
      </c>
      <c r="F26" s="31" t="n">
        <v>2464</v>
      </c>
      <c r="G26" s="13" t="inlineStr">
        <is>
          <t>Una actividad de nivel de esfuerzo por quincena, dividida en relevos o puestos según la HH de cada mes</t>
        </is>
      </c>
      <c r="H26" s="13" t="n">
        <v>40</v>
      </c>
      <c r="I26" s="13" t="n">
        <v>62.1</v>
      </c>
    </row>
    <row r="27" ht="14.25" customHeight="1" s="36">
      <c r="A27" s="13" t="inlineStr">
        <is>
          <t>7.1.2</t>
        </is>
      </c>
      <c r="B27" s="13" t="inlineStr">
        <is>
          <t>Programa de capacitación continua del turno de noche por la rotación del 38 %</t>
        </is>
      </c>
      <c r="C27" s="13" t="inlineStr">
        <is>
          <t>R</t>
        </is>
      </c>
      <c r="D27" s="13" t="n">
        <v>13</v>
      </c>
      <c r="E27" s="13" t="n">
        <v>56</v>
      </c>
      <c r="F27" s="31" t="n">
        <v>2816</v>
      </c>
      <c r="G27" s="13" t="inlineStr">
        <is>
          <t>Una actividad de nivel de esfuerzo por quincena</t>
        </is>
      </c>
      <c r="H27" s="13" t="n">
        <v>88</v>
      </c>
      <c r="I27" s="13" t="n">
        <v>32</v>
      </c>
    </row>
    <row r="28" ht="14.25" customHeight="1" s="36">
      <c r="A28" s="13" t="inlineStr">
        <is>
          <t>7.1.3</t>
        </is>
      </c>
      <c r="B28" s="13" t="inlineStr">
        <is>
          <t>Procedimiento de incorporación de los conductores de los transportistas en el andén</t>
        </is>
      </c>
      <c r="C28" s="13" t="inlineStr">
        <is>
          <t>T</t>
        </is>
      </c>
      <c r="D28" s="13" t="n">
        <v>13</v>
      </c>
      <c r="E28" s="13" t="n">
        <v>20</v>
      </c>
      <c r="F28" s="31" t="n">
        <v>160</v>
      </c>
      <c r="G28" s="13" t="inlineStr">
        <is>
          <t>Una actividad por quincena, por presencia continua o periódica</t>
        </is>
      </c>
      <c r="H28" s="13" t="n">
        <v>16</v>
      </c>
      <c r="I28" s="13" t="n">
        <v>10</v>
      </c>
    </row>
    <row r="29" ht="14.25" customHeight="1" s="36">
      <c r="A29" s="13" t="inlineStr">
        <is>
          <t>7.1.4</t>
        </is>
      </c>
      <c r="B29" s="13" t="inlineStr">
        <is>
          <t>Traspaso al equipo de TI de cuatro personas del CLIENTE</t>
        </is>
      </c>
      <c r="C29" s="13" t="inlineStr">
        <is>
          <t>T</t>
        </is>
      </c>
      <c r="D29" s="13" t="n">
        <v>15</v>
      </c>
      <c r="E29" s="13" t="n">
        <v>20</v>
      </c>
      <c r="F29" s="31" t="n">
        <v>160</v>
      </c>
      <c r="G29" s="13" t="inlineStr">
        <is>
          <t>2 ocurrencias en la ventana, por presencia continua o periódica</t>
        </is>
      </c>
      <c r="H29" s="13" t="n">
        <v>2</v>
      </c>
      <c r="I29" s="13" t="n">
        <v>80</v>
      </c>
    </row>
    <row r="30" ht="14.25" customHeight="1" s="36">
      <c r="A30" s="13" t="inlineStr">
        <is>
          <t>7.1.5</t>
        </is>
      </c>
      <c r="B30" s="13" t="inlineStr">
        <is>
          <t>Materiales de capacitación: manuales por perfil, guías rápidas, preguntas frecuentes y videos tutoriales</t>
        </is>
      </c>
      <c r="C30" s="13" t="inlineStr">
        <is>
          <t>T</t>
        </is>
      </c>
      <c r="D30" s="13" t="n">
        <v>10</v>
      </c>
      <c r="E30" s="13" t="n">
        <v>18</v>
      </c>
      <c r="F30" s="31" t="n">
        <v>160</v>
      </c>
      <c r="G30" s="13" t="inlineStr">
        <is>
          <t>2 ocurrencias en la ventana, por presencia continua o periódica</t>
        </is>
      </c>
      <c r="H30" s="13" t="n">
        <v>2</v>
      </c>
      <c r="I30" s="13" t="n">
        <v>80</v>
      </c>
    </row>
    <row r="31" ht="14.25" customHeight="1" s="36">
      <c r="A31" s="13" t="inlineStr">
        <is>
          <t>7.2.1</t>
        </is>
      </c>
      <c r="B31" s="13" t="inlineStr">
        <is>
          <t>Acompañamiento del personal con 20 o 30 años en la compañía</t>
        </is>
      </c>
      <c r="C31" s="13" t="inlineStr">
        <is>
          <t>T</t>
        </is>
      </c>
      <c r="D31" s="13" t="n">
        <v>10</v>
      </c>
      <c r="E31" s="13" t="n">
        <v>16</v>
      </c>
      <c r="F31" s="31" t="n">
        <v>160</v>
      </c>
      <c r="G31" s="13" t="inlineStr">
        <is>
          <t>Una actividad por quincena, por presencia continua o periódica</t>
        </is>
      </c>
      <c r="H31" s="13" t="n">
        <v>14</v>
      </c>
      <c r="I31" s="13" t="n">
        <v>11.4</v>
      </c>
    </row>
    <row r="32" ht="14.25" customHeight="1" s="36">
      <c r="A32" s="13" t="inlineStr">
        <is>
          <t>7.2.4</t>
        </is>
      </c>
      <c r="B32" s="13" t="inlineStr">
        <is>
          <t>Procedimientos operativos afectados, rediseñados y documentados</t>
        </is>
      </c>
      <c r="C32" s="13" t="inlineStr">
        <is>
          <t>T</t>
        </is>
      </c>
      <c r="D32" s="13" t="n">
        <v>11</v>
      </c>
      <c r="E32" s="13" t="n">
        <v>20</v>
      </c>
      <c r="F32" s="31" t="n">
        <v>160</v>
      </c>
      <c r="G32" s="13" t="inlineStr">
        <is>
          <t>Una actividad por quincena, por presencia continua o periódica</t>
        </is>
      </c>
      <c r="H32" s="13" t="n">
        <v>20</v>
      </c>
      <c r="I32" s="13" t="n">
        <v>8</v>
      </c>
    </row>
    <row r="33" ht="14.25" customHeight="1" s="36">
      <c r="A33" s="13" t="inlineStr">
        <is>
          <t>7.2.5</t>
        </is>
      </c>
      <c r="B33" s="13" t="inlineStr">
        <is>
          <t>Medición de la adopción y plan de acción correctiva</t>
        </is>
      </c>
      <c r="C33" s="13" t="inlineStr">
        <is>
          <t>T</t>
        </is>
      </c>
      <c r="D33" s="13" t="n">
        <v>13</v>
      </c>
      <c r="E33" s="13" t="n">
        <v>21</v>
      </c>
      <c r="F33" s="31" t="n">
        <v>160</v>
      </c>
      <c r="G33" s="13" t="inlineStr">
        <is>
          <t>Una actividad por quincena, por presencia continua o periódica</t>
        </is>
      </c>
      <c r="H33" s="13" t="n">
        <v>18</v>
      </c>
      <c r="I33" s="13" t="n">
        <v>8.9</v>
      </c>
    </row>
    <row r="34" ht="14.25" customHeight="1" s="36">
      <c r="A34" s="13" t="inlineStr">
        <is>
          <t>8.1.1</t>
        </is>
      </c>
      <c r="B34" s="13" t="inlineStr">
        <is>
          <t>Servicio de centro de operaciones 24×7 y mesa de servicio durante los 36 meses de operación (04:00 a 22:00; 24×7 en septiembre y diciembre)</t>
        </is>
      </c>
      <c r="C34" s="13" t="inlineStr">
        <is>
          <t>C</t>
        </is>
      </c>
      <c r="D34" s="13" t="n">
        <v>21</v>
      </c>
      <c r="E34" s="13" t="n">
        <v>56</v>
      </c>
      <c r="F34" s="31" t="n">
        <v>26280</v>
      </c>
      <c r="G34" s="13" t="inlineStr">
        <is>
          <t>Una actividad de nivel de esfuerzo por quincena, dividida en relevos o puestos según la HH de cada mes</t>
        </is>
      </c>
      <c r="H34" s="13" t="n">
        <v>432</v>
      </c>
      <c r="I34" s="13" t="n">
        <v>62</v>
      </c>
    </row>
    <row r="35" ht="14.25" customHeight="1" s="36">
      <c r="A35" s="13" t="inlineStr">
        <is>
          <t>8.1.2</t>
        </is>
      </c>
      <c r="B35" s="13" t="inlineStr">
        <is>
          <t>Servicio de gestión de incidentes, problemas y niveles de servicio del Art. 78° durante los 36 meses de operación (tercer agente en franjas valle desde el mes 25)</t>
        </is>
      </c>
      <c r="C35" s="13" t="inlineStr">
        <is>
          <t>C</t>
        </is>
      </c>
      <c r="D35" s="13" t="n">
        <v>21</v>
      </c>
      <c r="E35" s="13" t="n">
        <v>56</v>
      </c>
      <c r="F35" s="31" t="n">
        <v>54239</v>
      </c>
      <c r="G35" s="13" t="inlineStr">
        <is>
          <t>Una actividad de nivel de esfuerzo por quincena, dividida en relevos o puestos según la HH de cada mes</t>
        </is>
      </c>
      <c r="H35" s="13" t="n">
        <v>679</v>
      </c>
      <c r="I35" s="13" t="n">
        <v>79.90000000000001</v>
      </c>
    </row>
    <row r="36" ht="14.25" customHeight="1" s="36">
      <c r="A36" s="13" t="inlineStr">
        <is>
          <t>8.1.3</t>
        </is>
      </c>
      <c r="B36" s="13" t="inlineStr">
        <is>
          <t>Servicio de continuidad y pruebas semestrales de recuperación ante desastres durante los 36 meses de operación</t>
        </is>
      </c>
      <c r="C36" s="13" t="inlineStr">
        <is>
          <t>G</t>
        </is>
      </c>
      <c r="D36" s="13" t="n">
        <v>21</v>
      </c>
      <c r="E36" s="13" t="n">
        <v>56</v>
      </c>
      <c r="F36" s="31" t="n">
        <v>80</v>
      </c>
      <c r="G36" s="13" t="inlineStr">
        <is>
          <t>6 ocurrencias en la ventana, por presencia continua o periódica</t>
        </is>
      </c>
      <c r="H36" s="13" t="n">
        <v>6</v>
      </c>
      <c r="I36" s="13" t="n">
        <v>13.3</v>
      </c>
    </row>
    <row r="37" ht="14.25" customHeight="1" s="36">
      <c r="A37" s="13" t="inlineStr">
        <is>
          <t>8.1.4</t>
        </is>
      </c>
      <c r="B37" s="13" t="inlineStr">
        <is>
          <t>Actualizaciones anuales del Plan de Reversibilidad durante los 36 meses de operación</t>
        </is>
      </c>
      <c r="C37" s="13" t="inlineStr">
        <is>
          <t>R</t>
        </is>
      </c>
      <c r="D37" s="13" t="n">
        <v>21</v>
      </c>
      <c r="E37" s="13" t="n">
        <v>56</v>
      </c>
      <c r="F37" s="31" t="n">
        <v>288</v>
      </c>
      <c r="G37" s="13" t="inlineStr">
        <is>
          <t>Una actividad por ocurrencia (anual), ejecutada dentro de una quincena; 2 actividad(es) por ocurrencia</t>
        </is>
      </c>
      <c r="H37" s="13" t="n">
        <v>6</v>
      </c>
      <c r="I37" s="13" t="n">
        <v>48</v>
      </c>
    </row>
    <row r="38" ht="14.25" customHeight="1" s="36">
      <c r="A38" s="13" t="inlineStr">
        <is>
          <t>8.1.5</t>
        </is>
      </c>
      <c r="B38" s="13" t="inlineStr">
        <is>
          <t>Servicio de centro de operaciones de seguridad 24×7 con SIEM durante los 36 meses de operación</t>
        </is>
      </c>
      <c r="C38" s="13" t="inlineStr">
        <is>
          <t>C</t>
        </is>
      </c>
      <c r="D38" s="13" t="n">
        <v>13</v>
      </c>
      <c r="E38" s="13" t="n">
        <v>56</v>
      </c>
      <c r="F38" s="31" t="n">
        <v>32112</v>
      </c>
      <c r="G38" s="13" t="inlineStr">
        <is>
          <t>Una actividad de nivel de esfuerzo por quincena, dividida en relevos o puestos según la HH de cada mes</t>
        </is>
      </c>
      <c r="H38" s="13" t="n">
        <v>528</v>
      </c>
      <c r="I38" s="13" t="n">
        <v>62</v>
      </c>
    </row>
    <row r="39" ht="14.25" customHeight="1" s="36">
      <c r="A39" s="13" t="inlineStr">
        <is>
          <t>8.1.6</t>
        </is>
      </c>
      <c r="B39" s="13" t="inlineStr">
        <is>
          <t>Pruebas mensuales de restauración de respaldos durante los 36 meses de operación</t>
        </is>
      </c>
      <c r="C39" s="13" t="inlineStr">
        <is>
          <t>R</t>
        </is>
      </c>
      <c r="D39" s="13" t="n">
        <v>21</v>
      </c>
      <c r="E39" s="13" t="n">
        <v>56</v>
      </c>
      <c r="F39" s="31" t="n">
        <v>576</v>
      </c>
      <c r="G39" s="13" t="inlineStr">
        <is>
          <t>Una actividad por ocurrencia (mensual), ejecutada dentro de una quincena; 1 actividad(es) por ocurrencia</t>
        </is>
      </c>
      <c r="H39" s="13" t="n">
        <v>36</v>
      </c>
      <c r="I39" s="13" t="n">
        <v>16</v>
      </c>
    </row>
    <row r="40" ht="14.25" customHeight="1" s="36">
      <c r="A40" s="13" t="inlineStr">
        <is>
          <t>8.2.1</t>
        </is>
      </c>
      <c r="B40" s="13" t="inlineStr">
        <is>
          <t>Mantenimiento correctivo y evolutivo del software durante los 36 meses de operación, con bolsa anual de horas y fuera de las ventanas de congelamiento</t>
        </is>
      </c>
      <c r="C40" s="13" t="inlineStr">
        <is>
          <t>R</t>
        </is>
      </c>
      <c r="D40" s="13" t="n">
        <v>21</v>
      </c>
      <c r="E40" s="13" t="n">
        <v>56</v>
      </c>
      <c r="F40" s="31" t="n">
        <v>4608</v>
      </c>
      <c r="G40" s="13" t="inlineStr">
        <is>
          <t>Una actividad de nivel de esfuerzo por quincena</t>
        </is>
      </c>
      <c r="H40" s="13" t="n">
        <v>72</v>
      </c>
      <c r="I40" s="13" t="n">
        <v>64</v>
      </c>
    </row>
    <row r="41" ht="14.25" customHeight="1" s="36">
      <c r="A41" s="13" t="inlineStr">
        <is>
          <t>8.2.2</t>
        </is>
      </c>
      <c r="B41" s="13" t="inlineStr">
        <is>
          <t>Mantenimiento de ciberseguridad durante los 36 meses de operación: vulnerabilidades, intrusión anual e inyección de fallas</t>
        </is>
      </c>
      <c r="C41" s="13" t="inlineStr">
        <is>
          <t>R</t>
        </is>
      </c>
      <c r="D41" s="13" t="n">
        <v>21</v>
      </c>
      <c r="E41" s="13" t="n">
        <v>56</v>
      </c>
      <c r="F41" s="31" t="n">
        <v>1152</v>
      </c>
      <c r="G41" s="13" t="inlineStr">
        <is>
          <t>Una actividad de nivel de esfuerzo por quincena</t>
        </is>
      </c>
      <c r="H41" s="13" t="n">
        <v>72</v>
      </c>
      <c r="I41" s="13" t="n">
        <v>16</v>
      </c>
    </row>
    <row r="42" ht="14.25" customHeight="1" s="36">
      <c r="A42" s="13" t="inlineStr">
        <is>
          <t>8.2.3</t>
        </is>
      </c>
      <c r="B42" s="13" t="inlineStr">
        <is>
          <t>Mantenimiento del hardware durante los 36 meses de operación: sala técnica, racks, gabinetes de borde y equipamiento de terreno</t>
        </is>
      </c>
      <c r="C42" s="13" t="inlineStr">
        <is>
          <t>R</t>
        </is>
      </c>
      <c r="D42" s="13" t="n">
        <v>21</v>
      </c>
      <c r="E42" s="13" t="n">
        <v>56</v>
      </c>
      <c r="F42" s="31" t="n">
        <v>1152</v>
      </c>
      <c r="G42" s="13" t="inlineStr">
        <is>
          <t>Una actividad de nivel de esfuerzo por quincena</t>
        </is>
      </c>
      <c r="H42" s="13" t="n">
        <v>72</v>
      </c>
      <c r="I42" s="13" t="n">
        <v>16</v>
      </c>
    </row>
    <row r="43" ht="14.25" customHeight="1" s="36">
      <c r="A43" s="13" t="inlineStr">
        <is>
          <t>8.2.4</t>
        </is>
      </c>
      <c r="B43" s="13" t="inlineStr">
        <is>
          <t>Registro y reducción de la deuda técnica durante los 36 meses de operación</t>
        </is>
      </c>
      <c r="C43" s="13" t="inlineStr">
        <is>
          <t>R</t>
        </is>
      </c>
      <c r="D43" s="13" t="n">
        <v>21</v>
      </c>
      <c r="E43" s="13" t="n">
        <v>56</v>
      </c>
      <c r="F43" s="31" t="n">
        <v>2304</v>
      </c>
      <c r="G43" s="13" t="inlineStr">
        <is>
          <t>Una actividad de nivel de esfuerzo por quincena</t>
        </is>
      </c>
      <c r="H43" s="13" t="n">
        <v>72</v>
      </c>
      <c r="I43" s="13" t="n">
        <v>32</v>
      </c>
    </row>
    <row r="44" ht="14.25" customHeight="1" s="36">
      <c r="A44" s="13" t="inlineStr">
        <is>
          <t>8.2.5</t>
        </is>
      </c>
      <c r="B44" s="13" t="inlineStr">
        <is>
          <t>Actualizaciones anuales de los componentes de base durante los 36 meses de operación</t>
        </is>
      </c>
      <c r="C44" s="13" t="inlineStr">
        <is>
          <t>R</t>
        </is>
      </c>
      <c r="D44" s="13" t="n">
        <v>21</v>
      </c>
      <c r="E44" s="13" t="n">
        <v>56</v>
      </c>
      <c r="F44" s="31" t="n">
        <v>288</v>
      </c>
      <c r="G44" s="13" t="inlineStr">
        <is>
          <t>Una actividad por ocurrencia (anual), ejecutada dentro de una quincena; 2 actividad(es) por ocurrencia</t>
        </is>
      </c>
      <c r="H44" s="13" t="n">
        <v>6</v>
      </c>
      <c r="I44" s="13" t="n">
        <v>48</v>
      </c>
    </row>
    <row r="45" ht="14.25" customHeight="1" s="36">
      <c r="A45" s="13" t="inlineStr">
        <is>
          <t>8.2.6</t>
        </is>
      </c>
      <c r="B45" s="13" t="inlineStr">
        <is>
          <t>Revisiones semestrales de las instalaciones eléctricas de la sala durante los 36 meses de operación</t>
        </is>
      </c>
      <c r="C45" s="13" t="inlineStr">
        <is>
          <t>R</t>
        </is>
      </c>
      <c r="D45" s="13" t="n">
        <v>21</v>
      </c>
      <c r="E45" s="13" t="n">
        <v>56</v>
      </c>
      <c r="F45" s="31" t="n">
        <v>288</v>
      </c>
      <c r="G45" s="13" t="inlineStr">
        <is>
          <t>Una actividad por ocurrencia (semestral), ejecutada dentro de una quincena; 1 actividad(es) por ocurrencia</t>
        </is>
      </c>
      <c r="H45" s="13" t="n">
        <v>6</v>
      </c>
      <c r="I45" s="13" t="n">
        <v>48</v>
      </c>
    </row>
    <row r="46" ht="14.25" customHeight="1" s="36">
      <c r="A46" s="13" t="inlineStr">
        <is>
          <t>8.2.7</t>
        </is>
      </c>
      <c r="B46" s="13" t="inlineStr">
        <is>
          <t>Ciclo de vida del equipamiento durante los 36 meses de operación: reposición y disposición final</t>
        </is>
      </c>
      <c r="C46" s="13" t="inlineStr">
        <is>
          <t>R</t>
        </is>
      </c>
      <c r="D46" s="13" t="n">
        <v>21</v>
      </c>
      <c r="E46" s="13" t="n">
        <v>56</v>
      </c>
      <c r="F46" s="31" t="n">
        <v>864</v>
      </c>
      <c r="G46" s="13" t="inlineStr">
        <is>
          <t>Una actividad de nivel de esfuerzo por quincena</t>
        </is>
      </c>
      <c r="H46" s="13" t="n">
        <v>72</v>
      </c>
      <c r="I46" s="13" t="n">
        <v>12</v>
      </c>
    </row>
    <row r="47" ht="14.25" customHeight="1" s="36">
      <c r="A47" s="13" t="inlineStr">
        <is>
          <t>8.3.1</t>
        </is>
      </c>
      <c r="B47" s="13" t="inlineStr">
        <is>
          <t>Innovación 2: mantenimiento de escenarios de regresión (INN-02.P4, segunda parte)</t>
        </is>
      </c>
      <c r="C47" s="13" t="inlineStr">
        <is>
          <t>R</t>
        </is>
      </c>
      <c r="D47" s="13" t="n">
        <v>21</v>
      </c>
      <c r="E47" s="13" t="n">
        <v>56</v>
      </c>
      <c r="F47" s="31" t="n">
        <v>576</v>
      </c>
      <c r="G47" s="13" t="inlineStr">
        <is>
          <t>Una actividad de nivel de esfuerzo por quincena</t>
        </is>
      </c>
      <c r="H47" s="13" t="n">
        <v>72</v>
      </c>
      <c r="I47" s="13" t="n">
        <v>8</v>
      </c>
    </row>
    <row r="48" ht="14.25" customHeight="1" s="36">
      <c r="A48" s="13" t="inlineStr">
        <is>
          <t>8.3.2</t>
        </is>
      </c>
      <c r="B48" s="13" t="inlineStr">
        <is>
          <t>Innovación 3: revisión semestral de parámetros durante los 36 meses de operación (INN-03.P5)</t>
        </is>
      </c>
      <c r="C48" s="13" t="inlineStr">
        <is>
          <t>R</t>
        </is>
      </c>
      <c r="D48" s="13" t="n">
        <v>21</v>
      </c>
      <c r="E48" s="13" t="n">
        <v>56</v>
      </c>
      <c r="F48" s="31" t="n">
        <v>288</v>
      </c>
      <c r="G48" s="13" t="inlineStr">
        <is>
          <t>Una actividad por ocurrencia (semestral), ejecutada dentro de una quincena; 1 actividad(es) por ocurrencia</t>
        </is>
      </c>
      <c r="H48" s="13" t="n">
        <v>6</v>
      </c>
      <c r="I48" s="13" t="n">
        <v>48</v>
      </c>
    </row>
    <row r="49" ht="14.25" customHeight="1" s="36">
      <c r="A49" s="13" t="inlineStr">
        <is>
          <t>8.3.3</t>
        </is>
      </c>
      <c r="B49" s="13" t="inlineStr">
        <is>
          <t>Innovación 4: línea base y liquidaciones en sombra (INN-04.P2)</t>
        </is>
      </c>
      <c r="C49" s="13" t="inlineStr">
        <is>
          <t>G</t>
        </is>
      </c>
      <c r="D49" s="13" t="n">
        <v>21</v>
      </c>
      <c r="E49" s="13" t="n">
        <v>23</v>
      </c>
      <c r="F49" s="31" t="n">
        <v>80</v>
      </c>
      <c r="G49" s="13" t="inlineStr">
        <is>
          <t>3 ocurrencias en la ventana, por presencia continua o periódica</t>
        </is>
      </c>
      <c r="H49" s="13" t="n">
        <v>3</v>
      </c>
      <c r="I49" s="13" t="n">
        <v>26.7</v>
      </c>
    </row>
    <row r="50" ht="14.25" customHeight="1" s="36">
      <c r="A50" s="13" t="inlineStr">
        <is>
          <t>8.3.4</t>
        </is>
      </c>
      <c r="B50" s="13" t="inlineStr">
        <is>
          <t>Innovación 4: liquidación mensual del tramo variable, meses 24 a 56 (INN-04.P3)</t>
        </is>
      </c>
      <c r="C50" s="13" t="inlineStr">
        <is>
          <t>R</t>
        </is>
      </c>
      <c r="D50" s="13" t="n">
        <v>24</v>
      </c>
      <c r="E50" s="13" t="n">
        <v>56</v>
      </c>
      <c r="F50" s="31" t="n">
        <v>528</v>
      </c>
      <c r="G50" s="13" t="inlineStr">
        <is>
          <t>Una actividad por ocurrencia (mensual), ejecutada dentro de una quincena; 1 actividad(es) por ocurrencia</t>
        </is>
      </c>
      <c r="H50" s="13" t="n">
        <v>33</v>
      </c>
      <c r="I50" s="13" t="n">
        <v>16</v>
      </c>
    </row>
    <row r="51" ht="14.25" customHeight="1" s="36">
      <c r="A51" s="13" t="inlineStr">
        <is>
          <t>8.3.5</t>
        </is>
      </c>
      <c r="B51" s="13" t="inlineStr">
        <is>
          <t>Innovación 5: despliegue gradual por rutas (INN-05.P4, segunda parte)</t>
        </is>
      </c>
      <c r="C51" s="13" t="inlineStr">
        <is>
          <t>G</t>
        </is>
      </c>
      <c r="D51" s="13" t="n">
        <v>22</v>
      </c>
      <c r="E51" s="13" t="n">
        <v>26</v>
      </c>
      <c r="F51" s="31" t="n">
        <v>80</v>
      </c>
      <c r="G51" s="13" t="inlineStr">
        <is>
          <t>Una actividad por quincena, por presencia continua o periódica</t>
        </is>
      </c>
      <c r="H51" s="13" t="n">
        <v>10</v>
      </c>
      <c r="I51" s="13" t="n">
        <v>8</v>
      </c>
    </row>
    <row r="52" ht="14.25" customHeight="1" s="36">
      <c r="A52" s="13" t="inlineStr">
        <is>
          <t>8.3.6</t>
        </is>
      </c>
      <c r="B52" s="13" t="inlineStr">
        <is>
          <t>Innovación 5: bloque 4 condicionado (INN-05.P5)</t>
        </is>
      </c>
      <c r="C52" s="13" t="inlineStr">
        <is>
          <t>G</t>
        </is>
      </c>
      <c r="D52" s="13" t="n">
        <v>24</v>
      </c>
      <c r="E52" s="13" t="n">
        <v>27</v>
      </c>
      <c r="F52" s="31" t="n">
        <v>80</v>
      </c>
      <c r="G52" s="13" t="inlineStr">
        <is>
          <t>Una actividad por quincena, por presencia continua o periódica</t>
        </is>
      </c>
      <c r="H52" s="13" t="n">
        <v>8</v>
      </c>
      <c r="I52" s="13" t="n">
        <v>10</v>
      </c>
    </row>
    <row r="53" ht="14.25" customHeight="1" s="36">
      <c r="A53" s="13" t="inlineStr">
        <is>
          <t>8.4.1</t>
        </is>
      </c>
      <c r="B53" s="13" t="inlineStr">
        <is>
          <t>Gestión de la capacidad con proyección trimestral durante los 36 meses de operación</t>
        </is>
      </c>
      <c r="C53" s="13" t="inlineStr">
        <is>
          <t>R</t>
        </is>
      </c>
      <c r="D53" s="13" t="n">
        <v>21</v>
      </c>
      <c r="E53" s="13" t="n">
        <v>56</v>
      </c>
      <c r="F53" s="31" t="n">
        <v>576</v>
      </c>
      <c r="G53" s="13" t="inlineStr">
        <is>
          <t>Una actividad por ocurrencia (trimestral), ejecutada dentro de una quincena; 1 actividad(es) por ocurrencia</t>
        </is>
      </c>
      <c r="H53" s="13" t="n">
        <v>12</v>
      </c>
      <c r="I53" s="13" t="n">
        <v>48</v>
      </c>
    </row>
    <row r="54" ht="14.25" customHeight="1" s="36">
      <c r="A54" s="13" t="inlineStr">
        <is>
          <t>8.4.2</t>
        </is>
      </c>
      <c r="B54" s="13" t="inlineStr">
        <is>
          <t>Informes mensuales de consumo de nube (FinOps) durante los 36 meses de operación</t>
        </is>
      </c>
      <c r="C54" s="13" t="inlineStr">
        <is>
          <t>R</t>
        </is>
      </c>
      <c r="D54" s="13" t="n">
        <v>21</v>
      </c>
      <c r="E54" s="13" t="n">
        <v>56</v>
      </c>
      <c r="F54" s="31" t="n">
        <v>576</v>
      </c>
      <c r="G54" s="13" t="inlineStr">
        <is>
          <t>Una actividad por ocurrencia (mensual), ejecutada dentro de una quincena; 1 actividad(es) por ocurrencia</t>
        </is>
      </c>
      <c r="H54" s="13" t="n">
        <v>36</v>
      </c>
      <c r="I54" s="13" t="n">
        <v>16</v>
      </c>
    </row>
    <row r="55" ht="14.25" customHeight="1" s="36">
      <c r="A55" s="13" t="inlineStr">
        <is>
          <t>8.4.3</t>
        </is>
      </c>
      <c r="B55" s="13" t="inlineStr">
        <is>
          <t>Estimaciones anuales de la huella de carbono de la operación</t>
        </is>
      </c>
      <c r="C55" s="13" t="inlineStr">
        <is>
          <t>R</t>
        </is>
      </c>
      <c r="D55" s="13" t="n">
        <v>21</v>
      </c>
      <c r="E55" s="13" t="n">
        <v>56</v>
      </c>
      <c r="F55" s="31" t="n">
        <v>288</v>
      </c>
      <c r="G55" s="13" t="inlineStr">
        <is>
          <t>Una actividad por ocurrencia (anual), ejecutada dentro de una quincena; 2 actividad(es) por ocurrencia</t>
        </is>
      </c>
      <c r="H55" s="13" t="n">
        <v>6</v>
      </c>
      <c r="I55" s="13" t="n">
        <v>48</v>
      </c>
    </row>
    <row r="56" ht="14.25" customHeight="1" s="36">
      <c r="A56" s="13" t="inlineStr">
        <is>
          <t>8.4.4</t>
        </is>
      </c>
      <c r="B56" s="13" t="inlineStr">
        <is>
          <t>Actualizaciones semestrales del depósito de custodia de fuentes durante los 36 meses de operación</t>
        </is>
      </c>
      <c r="C56" s="13" t="inlineStr">
        <is>
          <t>R</t>
        </is>
      </c>
      <c r="D56" s="13" t="n">
        <v>21</v>
      </c>
      <c r="E56" s="13" t="n">
        <v>56</v>
      </c>
      <c r="F56" s="31" t="n">
        <v>288</v>
      </c>
      <c r="G56" s="13" t="inlineStr">
        <is>
          <t>Una actividad por ocurrencia (semestral), ejecutada dentro de una quincena; 1 actividad(es) por ocurrencia</t>
        </is>
      </c>
      <c r="H56" s="13" t="n">
        <v>6</v>
      </c>
      <c r="I56" s="13" t="n">
        <v>48</v>
      </c>
    </row>
    <row r="57" ht="14.25" customHeight="1" s="36">
      <c r="A57" s="13" t="inlineStr">
        <is>
          <t>8.5.1</t>
        </is>
      </c>
      <c r="B57" s="13" t="inlineStr">
        <is>
          <t>Dos jornadas anuales de actualización y capacitación del personal nuevo durante los 36 meses de operación</t>
        </is>
      </c>
      <c r="C57" s="13" t="inlineStr">
        <is>
          <t>R</t>
        </is>
      </c>
      <c r="D57" s="13" t="n">
        <v>21</v>
      </c>
      <c r="E57" s="13" t="n">
        <v>56</v>
      </c>
      <c r="F57" s="31" t="n">
        <v>1152</v>
      </c>
      <c r="G57" s="13" t="inlineStr">
        <is>
          <t>Una actividad por ocurrencia (dos jornadas por año), ejecutada dentro de una quincena; 3 actividad(es) por ocurrencia</t>
        </is>
      </c>
      <c r="H57" s="13" t="n">
        <v>18</v>
      </c>
      <c r="I57" s="13" t="n">
        <v>64</v>
      </c>
    </row>
    <row r="58" ht="14.25" customHeight="1" s="36">
      <c r="A58" s="13" t="inlineStr">
        <is>
          <t>8.5.2</t>
        </is>
      </c>
      <c r="B58" s="13" t="inlineStr">
        <is>
          <t>Mentoría al equipo técnico del CLIENTE durante los seis meses posteriores al mes 21</t>
        </is>
      </c>
      <c r="C58" s="13" t="inlineStr">
        <is>
          <t>G</t>
        </is>
      </c>
      <c r="D58" s="13" t="n">
        <v>21</v>
      </c>
      <c r="E58" s="13" t="n">
        <v>27</v>
      </c>
      <c r="F58" s="31" t="n">
        <v>80</v>
      </c>
      <c r="G58" s="13" t="inlineStr">
        <is>
          <t>Una actividad cada 2 quincenas, por presencia continua o periódica</t>
        </is>
      </c>
      <c r="H58" s="13" t="n">
        <v>7</v>
      </c>
      <c r="I58" s="13" t="n">
        <v>11.4</v>
      </c>
    </row>
    <row r="59" ht="14.25" customHeight="1" s="36">
      <c r="A59" s="13" t="inlineStr">
        <is>
          <t>8.5.3</t>
        </is>
      </c>
      <c r="B59" s="13" t="inlineStr">
        <is>
          <t>Mantenimiento de la base de conocimiento durante los 36 meses de operación, con métricas de uso</t>
        </is>
      </c>
      <c r="C59" s="13" t="inlineStr">
        <is>
          <t>R</t>
        </is>
      </c>
      <c r="D59" s="13" t="n">
        <v>21</v>
      </c>
      <c r="E59" s="13" t="n">
        <v>56</v>
      </c>
      <c r="F59" s="31" t="n">
        <v>576</v>
      </c>
      <c r="G59" s="13" t="inlineStr">
        <is>
          <t>Una actividad de nivel de esfuerzo por quincena</t>
        </is>
      </c>
      <c r="H59" s="13" t="n">
        <v>72</v>
      </c>
      <c r="I59" s="13" t="n">
        <v>8</v>
      </c>
    </row>
    <row r="60" ht="14.25" customHeight="1" s="36">
      <c r="A60" s="13" t="inlineStr">
        <is>
          <t>9.2.1</t>
        </is>
      </c>
      <c r="B60" s="13" t="inlineStr">
        <is>
          <t>Ejecución del Plan de Reversibilidad y acompañamiento de 90 días</t>
        </is>
      </c>
      <c r="C60" s="13" t="inlineStr">
        <is>
          <t>G</t>
        </is>
      </c>
      <c r="D60" s="13" t="n">
        <v>54</v>
      </c>
      <c r="E60" s="13" t="n">
        <v>56</v>
      </c>
      <c r="F60" s="31" t="n">
        <v>80</v>
      </c>
      <c r="G60" s="13" t="inlineStr">
        <is>
          <t>Una actividad por quincena, por presencia continua o periódica</t>
        </is>
      </c>
      <c r="H60" s="13" t="n">
        <v>6</v>
      </c>
      <c r="I60" s="13" t="n">
        <v>13.3</v>
      </c>
    </row>
    <row r="61" ht="14.25" customHeight="1" s="36"/>
    <row r="62" ht="14.25" customHeight="1" s="36">
      <c r="B62" s="25" t="inlineStr">
        <is>
          <t>Fuente: Formulario T-15, Tabla 6.2. Estos paquetes no producen un entregable único sino un servicio o una reunión que se repite; por eso no se dividen en actividades distintas.</t>
        </is>
      </c>
    </row>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6" customWidth="1" style="36" min="1" max="1"/>
    <col width="70" customWidth="1" style="36" min="2" max="2"/>
    <col width="60" customWidth="1" style="36" min="3" max="3"/>
    <col width="30" customWidth="1" style="36" min="4" max="4"/>
    <col width="8.859999999999999" customWidth="1" style="36" min="5" max="26"/>
  </cols>
  <sheetData>
    <row r="1" ht="14.25" customHeight="1" s="36">
      <c r="A1" s="4" t="inlineStr">
        <is>
          <t>Término</t>
        </is>
      </c>
      <c r="B1" s="4" t="inlineStr">
        <is>
          <t>Qué es</t>
        </is>
      </c>
      <c r="C1" s="4" t="inlineStr">
        <is>
          <t>Ejemplo en este proyecto</t>
        </is>
      </c>
      <c r="D1" s="4" t="inlineStr">
        <is>
          <t>Fuente</t>
        </is>
      </c>
    </row>
    <row r="2" ht="14.25" customHeight="1" s="36">
      <c r="A2" s="32" t="inlineStr">
        <is>
          <t>Carta Gantt</t>
        </is>
      </c>
      <c r="B2" s="9" t="inlineStr">
        <is>
          <t>Cronograma representado con barras sobre una línea de tiempo: cada fila es un trabajo y su barra va de su inicio a su fin.</t>
        </is>
      </c>
      <c r="C2" s="9" t="inlineStr">
        <is>
          <t>Hojas «Gantt cuentas» y «Gantt paquetes».</t>
        </is>
      </c>
      <c r="D2" s="9" t="inlineStr">
        <is>
          <t>Formulario T-14, sección 3.1</t>
        </is>
      </c>
    </row>
    <row r="3" ht="14.25" customHeight="1" s="36">
      <c r="A3" s="32" t="inlineStr">
        <is>
          <t>Hito</t>
        </is>
      </c>
      <c r="B3" s="9" t="inlineStr">
        <is>
          <t>Punto verificable del cronograma contractual, sin duración, asociado a entregables, criterios de aceptación y, cuando corresponde, a un pago. Se cumple sólo con el acta firmada por la Contraparte Técnica.</t>
        </is>
      </c>
      <c r="C3" s="9" t="inlineStr">
        <is>
          <t>H4: entrega del software de la Etapa 1 para pruebas, mes 10, 10 % del pago de la implementación.</t>
        </is>
      </c>
      <c r="D3" s="9" t="inlineStr">
        <is>
          <t>Bases Administrativas, glosario, Art. 18.1 y Formulario E-25</t>
        </is>
      </c>
    </row>
    <row r="4" ht="14.25" customHeight="1" s="36">
      <c r="A4" s="32" t="inlineStr">
        <is>
          <t>Acta de aceptación</t>
        </is>
      </c>
      <c r="B4" s="9" t="inlineStr">
        <is>
          <t>Documento con que la Contraparte Técnica del CLIENTE da por cumplido un hito.</t>
        </is>
      </c>
      <c r="C4" s="9" t="inlineStr">
        <is>
          <t>Acta del H5 (paquete 3.8.7).</t>
        </is>
      </c>
      <c r="D4" s="9" t="inlineStr">
        <is>
          <t>Bases Administrativas, Art. 18.1</t>
        </is>
      </c>
    </row>
    <row r="5" ht="14.25" customHeight="1" s="36">
      <c r="A5" s="32" t="inlineStr">
        <is>
          <t>Revisión del CLIENTE</t>
        </is>
      </c>
      <c r="B5" s="9" t="inlineStr">
        <is>
          <t>Plazo de diez días hábiles que tiene el CLIENTE para revisar un entregable; si formula observaciones, LafroX tiene otros diez para subsanarlas.</t>
        </is>
      </c>
      <c r="C5" s="9" t="inlineStr">
        <is>
          <t>La entrega del H4 es el 20-10-2027 y su fecha límite el 16-11-2027.</t>
        </is>
      </c>
      <c r="D5" s="9" t="inlineStr">
        <is>
          <t>Bases Administrativas, Art. 18.3</t>
        </is>
      </c>
    </row>
    <row r="6" ht="14.25" customHeight="1" s="36">
      <c r="A6" s="32" t="inlineStr">
        <is>
          <t>Mes contractual</t>
        </is>
      </c>
      <c r="B6" s="9" t="inlineStr">
        <is>
          <t>Mes contado desde el inicio del contrato (1 a 56). Las Bases fijan los meses, no las fechas.</t>
        </is>
      </c>
      <c r="C6" s="9" t="inlineStr">
        <is>
          <t>El H7 ocurre en el mes 16.</t>
        </is>
      </c>
      <c r="D6" s="9" t="inlineStr">
        <is>
          <t>Bases Administrativas, Art. 17°</t>
        </is>
      </c>
    </row>
    <row r="7" ht="14.25" customHeight="1" s="36">
      <c r="A7" s="32" t="inlineStr">
        <is>
          <t>Mes calendario</t>
        </is>
      </c>
      <c r="B7" s="9" t="inlineStr">
        <is>
          <t>Mes real que corresponde a un mes contractual según la fecha de inicio.</t>
        </is>
      </c>
      <c r="C7" s="9" t="inlineStr">
        <is>
          <t>Con inicio en febrero de 2027, el mes 16 es mayo de 2028.</t>
        </is>
      </c>
      <c r="D7" s="9" t="inlineStr">
        <is>
          <t>SD7, Anexo 7.A</t>
        </is>
      </c>
    </row>
    <row r="8" ht="14.25" customHeight="1" s="36">
      <c r="A8" s="32" t="inlineStr">
        <is>
          <t>Etapa</t>
        </is>
      </c>
      <c r="B8" s="9" t="inlineStr">
        <is>
          <t>Cada una de las dos entregas de la solución: la Etapa 1 (operación de bodega y reparto) y la Etapa 2 (canal moderno, portales y costo de servir).</t>
        </is>
      </c>
      <c r="C8" s="9" t="inlineStr">
        <is>
          <t>Etapa 1: desarrollo meses 1 a 12.</t>
        </is>
      </c>
      <c r="D8" s="9" t="inlineStr">
        <is>
          <t>Bases Administrativas, Art. 17°; SD3</t>
        </is>
      </c>
    </row>
    <row r="9" ht="14.25" customHeight="1" s="36">
      <c r="A9" s="32" t="inlineStr">
        <is>
          <t>Marcha blanca</t>
        </is>
      </c>
      <c r="B9" s="9" t="inlineStr">
        <is>
          <t>Período en que la solución opera con usuarios y volumen reales, en convivencia con la forma actual de trabajar, hasta cumplir las condiciones de cierre.</t>
        </is>
      </c>
      <c r="C9" s="9" t="inlineStr">
        <is>
          <t>Etapa 1: meses 13 a 15; Etapa 2: meses 19 y 20.</t>
        </is>
      </c>
      <c r="D9" s="9" t="inlineStr">
        <is>
          <t>Bases Administrativas, Art. 17.3</t>
        </is>
      </c>
    </row>
    <row r="10" ht="14.25" customHeight="1" s="36">
      <c r="A10" s="32" t="inlineStr">
        <is>
          <t>Paso a producción</t>
        </is>
      </c>
      <c r="B10" s="9" t="inlineStr">
        <is>
          <t>Momento en que la solución reemplaza formalmente la forma anterior de trabajar, con acta.</t>
        </is>
      </c>
      <c r="C10" s="9" t="inlineStr">
        <is>
          <t>H7 en el mes 16 y H12 en el mes 21.</t>
        </is>
      </c>
      <c r="D10" s="9" t="inlineStr">
        <is>
          <t>Formulario E-25</t>
        </is>
      </c>
    </row>
    <row r="11" ht="14.25" customHeight="1" s="36">
      <c r="A11" s="32" t="inlineStr">
        <is>
          <t>Congelamiento</t>
        </is>
      </c>
      <c r="B11" s="9" t="inlineStr">
        <is>
          <t>Período en que el caso prohíbe pasos a producción o cambios con impacto: del 1 al 25 de septiembre, todo diciembre y los tres primeros días hábiles de cada mes.</t>
        </is>
      </c>
      <c r="C11" s="9" t="inlineStr">
        <is>
          <t>Mes 20 (septiembre de 2028).</t>
        </is>
      </c>
      <c r="D11" s="9" t="inlineStr">
        <is>
          <t>Caso 02, RT-10.05 y sección 13.3</t>
        </is>
      </c>
    </row>
    <row r="12" ht="14.25" customHeight="1" s="36">
      <c r="A12" s="32" t="inlineStr">
        <is>
          <t>EDT</t>
        </is>
      </c>
      <c r="B12" s="9" t="inlineStr">
        <is>
          <t>Estructura de descomposición del trabajo: árbol que divide el 100 % del alcance en fases, cuentas de control y paquetes de trabajo.</t>
        </is>
      </c>
      <c r="C12" s="9" t="inlineStr">
        <is>
          <t>9 fases, 49 cuentas de control y 222 paquetes.</t>
        </is>
      </c>
      <c r="D12" s="9" t="inlineStr">
        <is>
          <t>Formulario T-14; PMBOK 6.ª ed., cap. 5</t>
        </is>
      </c>
    </row>
    <row r="13" ht="14.25" customHeight="1" s="36">
      <c r="A13" s="32" t="inlineStr">
        <is>
          <t>Fase</t>
        </is>
      </c>
      <c r="B13" s="9" t="inlineStr">
        <is>
          <t>Primer nivel de la EDT. Las fases 1 a 4 siguen el proceso de desarrollo (Inicio, Elaboración, Construcción y Transición); las 5 a 9 agrupan adquisiciones, infraestructura, capacitación, operación y cierre.</t>
        </is>
      </c>
      <c r="C13" s="9" t="inlineStr">
        <is>
          <t>Fase 3 Construcción.</t>
        </is>
      </c>
      <c r="D13" s="9" t="inlineStr">
        <is>
          <t>Formulario T-14</t>
        </is>
      </c>
    </row>
    <row r="14" ht="14.25" customHeight="1" s="36">
      <c r="A14" s="32" t="inlineStr">
        <is>
          <t>Cuenta de control</t>
        </is>
      </c>
      <c r="B14" s="9" t="inlineStr">
        <is>
          <t>Punto de gestión de la EDT donde se integran alcance, presupuesto y cronograma, y se mide el valor ganado. Agrupa paquetes.</t>
        </is>
      </c>
      <c r="C14" s="9" t="inlineStr">
        <is>
          <t>3.4 Módulos de la Etapa 1.</t>
        </is>
      </c>
      <c r="D14" s="9" t="inlineStr">
        <is>
          <t>PMBOK 6.ª ed., p. 161</t>
        </is>
      </c>
    </row>
    <row r="15" ht="14.25" customHeight="1" s="36">
      <c r="A15" s="32" t="inlineStr">
        <is>
          <t>Paquete de trabajo</t>
        </is>
      </c>
      <c r="B15" s="9" t="inlineStr">
        <is>
          <t>Nivel más bajo de la EDT: un entregable verificable, con responsable y criterio de aceptación, que se puede estimar y asignar.</t>
        </is>
      </c>
      <c r="C15" s="9" t="inlineStr">
        <is>
          <t>3.4.1 Recepción de mercadería (M1), 960 HH, meses 5 a 7.</t>
        </is>
      </c>
      <c r="D15" s="9" t="inlineStr">
        <is>
          <t>PMBOK 6.ª ed., p. 161; Formulario T-14</t>
        </is>
      </c>
    </row>
    <row r="16" ht="14.25" customHeight="1" s="36">
      <c r="A16" s="32" t="inlineStr">
        <is>
          <t>Actividad</t>
        </is>
      </c>
      <c r="B16" s="9" t="inlineStr">
        <is>
          <t>Acción concreta que se ejecuta para producir un paquete. Está fuera de la EDT, en el cronograma; tiene duración, personas y predecesoras.</t>
        </is>
      </c>
      <c r="C16" s="9" t="inlineStr">
        <is>
          <t>3.4.1.A03 Construcción, incremento 1: 80 HH, 2 personas. Se detallan en la oferta sólo hasta el H2; después, por planificación gradual.</t>
        </is>
      </c>
      <c r="D16" s="9" t="inlineStr">
        <is>
          <t>PMBOK 6.ª ed., p. 183; FEP02</t>
        </is>
      </c>
    </row>
    <row r="17" ht="14.25" customHeight="1" s="36">
      <c r="A17" s="32" t="inlineStr">
        <is>
          <t>Regla del 8/80</t>
        </is>
      </c>
      <c r="B17" s="9" t="inlineStr">
        <is>
          <t>Cada actividad requiere entre 8 y 80 horas hombre de esfuerzo.</t>
        </is>
      </c>
      <c r="C17" s="9" t="inlineStr">
        <is>
          <t>Un módulo de 960 HH se divide en 12 actividades de 80 HH.</t>
        </is>
      </c>
      <c r="D17" s="9" t="inlineStr">
        <is>
          <t>Clase FEP02, diapositiva 56</t>
        </is>
      </c>
    </row>
    <row r="18" ht="14.25" customHeight="1" s="36">
      <c r="A18" s="32" t="inlineStr">
        <is>
          <t>Regla del período de reporte</t>
        </is>
      </c>
      <c r="B18" s="9" t="inlineStr">
        <is>
          <t>Cada actividad cabe en el período en que se informa el avance (una quincena).</t>
        </is>
      </c>
      <c r="C18" s="9" t="inlineStr">
        <is>
          <t>Ninguna actividad supera diez días hábiles.</t>
        </is>
      </c>
      <c r="D18" s="9" t="inlineStr">
        <is>
          <t>Clase FEP02, diapositiva 56</t>
        </is>
      </c>
    </row>
    <row r="19" ht="14.25" customHeight="1" s="36">
      <c r="A19" s="32" t="inlineStr">
        <is>
          <t>Esfuerzo continuo</t>
        </is>
      </c>
      <c r="B19" s="9" t="inlineStr">
        <is>
          <t>Paquete que no produce un entregable único sino un servicio o reunión que se repite; se programa por quincena u ocurrencia, en relevos.</t>
        </is>
      </c>
      <c r="C19" s="9" t="inlineStr">
        <is>
          <t>8.1.1 NOC 24×7: seis relevos por quincena.</t>
        </is>
      </c>
      <c r="D19" s="9" t="inlineStr">
        <is>
          <t>Formulario T-15, Tabla 6.2</t>
        </is>
      </c>
    </row>
    <row r="20" ht="14.25" customHeight="1" s="36">
      <c r="A20" s="32" t="inlineStr">
        <is>
          <t>Horas hombre (HH)</t>
        </is>
      </c>
      <c r="B20" s="9" t="inlineStr">
        <is>
          <t>Unidad de esfuerzo: una hora de trabajo de una persona.</t>
        </is>
      </c>
      <c r="C20" s="9" t="inlineStr">
        <is>
          <t>Total programado: 216.935 HH.</t>
        </is>
      </c>
      <c r="D20" s="9" t="inlineStr">
        <is>
          <t>Formulario T-15</t>
        </is>
      </c>
    </row>
    <row r="21" ht="14.25" customHeight="1" s="36">
      <c r="A21" s="32" t="inlineStr">
        <is>
          <t>Clase de paquete</t>
        </is>
      </c>
      <c r="B21" s="9" t="inlineStr">
        <is>
          <t>Tipo de paquete que define su tamaño supuesto: G gestión, E diseño o configuración, D módulo, I integración, V prueba, T instalación o capacitación, R recurrente, A acompañamiento, C cobertura.</t>
        </is>
      </c>
      <c r="C21" s="9" t="inlineStr">
        <is>
          <t>D = 960 HH por módulo.</t>
        </is>
      </c>
      <c r="D21" s="9" t="inlineStr">
        <is>
          <t>Formulario T-15, sección 4.1</t>
        </is>
      </c>
    </row>
    <row r="22" ht="14.25" customHeight="1" s="36">
      <c r="A22" s="32" t="inlineStr">
        <is>
          <t>Dependencia FC</t>
        </is>
      </c>
      <c r="B22" s="9" t="inlineStr">
        <is>
          <t>Fin-comienzo: el sucesor empieza cuando el predecesor termina.</t>
        </is>
      </c>
      <c r="C22" s="9" t="inlineStr">
        <is>
          <t>D-20: los módulos E1 y las integraciones externas antes de la prueba de integración.</t>
        </is>
      </c>
      <c r="D22" s="9" t="inlineStr">
        <is>
          <t>SD7, Anexo 7.B</t>
        </is>
      </c>
    </row>
    <row r="23" ht="14.25" customHeight="1" s="36">
      <c r="A23" s="32" t="inlineStr">
        <is>
          <t>Dependencia CC</t>
        </is>
      </c>
      <c r="B23" s="9" t="inlineStr">
        <is>
          <t>Comienzo-comienzo: el sucesor puede empezar cuando el predecesor empezó.</t>
        </is>
      </c>
      <c r="C23" s="9" t="inlineStr">
        <is>
          <t>D-15: base compartida y módulos E1.</t>
        </is>
      </c>
      <c r="D23" s="9" t="inlineStr">
        <is>
          <t>SD7, Anexo 7.B</t>
        </is>
      </c>
    </row>
    <row r="24" ht="14.25" customHeight="1" s="36">
      <c r="A24" s="32" t="inlineStr">
        <is>
          <t>Dependencia por interfaz</t>
        </is>
      </c>
      <c r="B24" s="9" t="inlineStr">
        <is>
          <t>El sucesor construye cuando el predecesor fijó sus contratos de interfaz e integra cuando el predecesor entregó.</t>
        </is>
      </c>
      <c r="C24" s="9" t="inlineStr">
        <is>
          <t>D-18: preparación y preventa → rutas y reparto.</t>
        </is>
      </c>
      <c r="D24" s="9" t="inlineStr">
        <is>
          <t>SD7, Anexo 7.B</t>
        </is>
      </c>
    </row>
    <row r="25" ht="14.25" customHeight="1" s="36">
      <c r="A25" s="32" t="inlineStr">
        <is>
          <t>Ruta crítica</t>
        </is>
      </c>
      <c r="B25" s="9" t="inlineStr">
        <is>
          <t>Secuencia de trabajos con menor holgura hasta un hito: si se atrasa, se atrasa el hito.</t>
        </is>
      </c>
      <c r="C25" s="9" t="inlineStr">
        <is>
          <t>Módulos E2 y prueba de integración E2 hasta el H9.</t>
        </is>
      </c>
      <c r="D25" s="9" t="inlineStr">
        <is>
          <t>Formulario T-15, sección 2</t>
        </is>
      </c>
    </row>
    <row r="26" ht="14.25" customHeight="1" s="36">
      <c r="A26" s="32" t="inlineStr">
        <is>
          <t>Holgura o reserva de cronograma</t>
        </is>
      </c>
      <c r="B26" s="9" t="inlineStr">
        <is>
          <t>Tiempo entre la entrega programada y la fecha límite de un hito. Absorbe atrasos sin mover el hito.</t>
        </is>
      </c>
      <c r="C26" s="9" t="inlineStr">
        <is>
          <t>H9: 21 días hábiles.</t>
        </is>
      </c>
      <c r="D26" s="9" t="inlineStr">
        <is>
          <t>Formulario T-15, Tabla 5.2</t>
        </is>
      </c>
    </row>
    <row r="27" ht="14.25" customHeight="1" s="36">
      <c r="A27" s="32" t="inlineStr">
        <is>
          <t>PERT</t>
        </is>
      </c>
      <c r="B27" s="9" t="inlineStr">
        <is>
          <t>Técnica que estima con tres valores (optimista, más probable y pesimista) y calcula un valor esperado y una desviación.</t>
        </is>
      </c>
      <c r="C27" s="9" t="inlineStr">
        <is>
          <t>O = 0,75 d, M = d, P = 1,25 d.</t>
        </is>
      </c>
      <c r="D27" s="9" t="inlineStr">
        <is>
          <t>Formulario T-15, sección 5.3</t>
        </is>
      </c>
    </row>
    <row r="28" ht="14.25" customHeight="1" s="36">
      <c r="A28" s="32" t="inlineStr">
        <is>
          <t>Simulación de Monte Carlo</t>
        </is>
      </c>
      <c r="B28" s="9" t="inlineStr">
        <is>
          <t>Cálculo que repite el cronograma miles de veces con duraciones y riesgos aleatorios para obtener la probabilidad de cumplir cada fecha.</t>
        </is>
      </c>
      <c r="C28" s="9" t="inlineStr">
        <is>
          <t>5.000 iteraciones; P(H4) = 86,5 %, el hito más expuesto.</t>
        </is>
      </c>
      <c r="D28" s="9" t="inlineStr">
        <is>
          <t>SD8, Anexo 8.C</t>
        </is>
      </c>
    </row>
    <row r="29" ht="14.25" customHeight="1" s="36">
      <c r="A29" s="32" t="inlineStr">
        <is>
          <t>P50 / P80</t>
        </is>
      </c>
      <c r="B29" s="9" t="inlineStr">
        <is>
          <t>Fecha que se alcanza en el 50 % / 80 % de las iteraciones de la simulación. El plan se compromete al P80.</t>
        </is>
      </c>
      <c r="C29" s="9" t="inlineStr">
        <is>
          <t>P80 del H5: 13-01-2028, antes de su límite 17-01-2028.</t>
        </is>
      </c>
      <c r="D29" s="9" t="inlineStr">
        <is>
          <t>SD8, Anexo 8.C</t>
        </is>
      </c>
    </row>
    <row r="30" ht="14.25" customHeight="1" s="36">
      <c r="A30" s="32" t="inlineStr">
        <is>
          <t>Nivelación de recursos</t>
        </is>
      </c>
      <c r="B30" s="9" t="inlineStr">
        <is>
          <t>Ajuste de fechas para que ningún día se pida más personas que las disponibles.</t>
        </is>
      </c>
      <c r="C30" s="9" t="inlineStr">
        <is>
          <t>Desarrollo: máximo 40 personas por día, de las 48 de la división.</t>
        </is>
      </c>
      <c r="D30" s="9" t="inlineStr">
        <is>
          <t>Formulario T-15, sección 5.1</t>
        </is>
      </c>
    </row>
    <row r="31" ht="14.25" customHeight="1" s="36">
      <c r="A31" s="32" t="inlineStr">
        <is>
          <t>Valor ganado</t>
        </is>
      </c>
      <c r="B31" s="9" t="inlineStr">
        <is>
          <t>Medición del avance que acredita horas sólo por actividades terminadas, no por porcentajes declarados.</t>
        </is>
      </c>
      <c r="C31" s="9" t="inlineStr">
        <is>
          <t>Informe mensual de avance (paquete 1.8.6).</t>
        </is>
      </c>
      <c r="D31" s="9" t="inlineStr">
        <is>
          <t>SD6, sección 6.1.5; BTT RT-19.07</t>
        </is>
      </c>
    </row>
    <row r="32" ht="14.25" customHeight="1" s="36">
      <c r="A32" s="32" t="inlineStr">
        <is>
          <t>Operación</t>
        </is>
      </c>
      <c r="B32" s="9" t="inlineStr">
        <is>
          <t>Fase de 36 meses (21 a 56) en que LafroX opera y mantiene la solución con niveles de servicio, pagada con un hito mensual.</t>
        </is>
      </c>
      <c r="C32" s="9" t="inlineStr">
        <is>
          <t>Fase 8 de la EDT.</t>
        </is>
      </c>
      <c r="D32" s="9" t="inlineStr">
        <is>
          <t>Bases Administrativas, Art. 17° y E-25</t>
        </is>
      </c>
    </row>
    <row r="33" ht="14.25" customHeight="1" s="36">
      <c r="A33" s="32" t="inlineStr">
        <is>
          <t>Planificación gradual</t>
        </is>
      </c>
      <c r="B33" s="9" t="inlineStr">
        <is>
          <t>Técnica que detalla en actividades sólo el trabajo cercano y deja el trabajo futuro a nivel de paquete hasta que se conoce mejor.</t>
        </is>
      </c>
      <c r="C33" s="9" t="inlineStr">
        <is>
          <t>Actividades detalladas hasta el H2; las fases siguientes se detallan antes del H2, H4, H8 y H9.</t>
        </is>
      </c>
      <c r="D33" s="9" t="inlineStr">
        <is>
          <t>PMBOK 6.ª ed., p. 185; Formulario T-15, sección 6.1</t>
        </is>
      </c>
    </row>
    <row r="34" ht="14.25" customHeight="1" s="36"/>
    <row r="35" ht="14.25" customHeight="1" s="36"/>
    <row r="36" ht="14.25" customHeight="1" s="36"/>
    <row r="37" ht="14.25" customHeight="1" s="36"/>
    <row r="38" ht="14.25" customHeight="1" s="36"/>
    <row r="39" ht="14.25" customHeight="1" s="36"/>
    <row r="40" ht="14.25" customHeight="1" s="36"/>
    <row r="41" ht="14.25" customHeight="1" s="36"/>
    <row r="42" ht="14.25" customHeight="1" s="36"/>
    <row r="43" ht="14.25" customHeight="1" s="36"/>
    <row r="44" ht="14.25" customHeight="1" s="36"/>
    <row r="45" ht="14.25" customHeight="1" s="36"/>
    <row r="46" ht="14.25" customHeight="1" s="36"/>
    <row r="47" ht="14.25" customHeight="1" s="36"/>
    <row r="48" ht="14.25" customHeight="1" s="36"/>
    <row r="49" ht="14.25" customHeight="1" s="36"/>
    <row r="50" ht="14.25" customHeight="1" s="36"/>
    <row r="51" ht="14.25" customHeight="1" s="36"/>
    <row r="52" ht="14.25" customHeight="1" s="36"/>
    <row r="53" ht="14.25" customHeight="1" s="36"/>
    <row r="54" ht="14.25" customHeight="1" s="36"/>
    <row r="55" ht="14.25" customHeight="1" s="36"/>
    <row r="56" ht="14.25" customHeight="1" s="36"/>
    <row r="57" ht="14.25" customHeight="1" s="36"/>
    <row r="58" ht="14.25" customHeight="1" s="36"/>
    <row r="59" ht="14.25" customHeight="1" s="36"/>
    <row r="60" ht="14.25" customHeight="1" s="36"/>
    <row r="61" ht="14.25" customHeight="1" s="36"/>
    <row r="62" ht="14.25" customHeight="1" s="36"/>
    <row r="63" ht="14.25" customHeight="1" s="36"/>
    <row r="64" ht="14.25" customHeight="1" s="36"/>
    <row r="65" ht="14.25" customHeight="1" s="36"/>
    <row r="66" ht="14.25" customHeight="1" s="36"/>
    <row r="67" ht="14.25" customHeight="1" s="36"/>
    <row r="68" ht="14.25" customHeight="1" s="36"/>
    <row r="69" ht="14.25" customHeight="1" s="36"/>
    <row r="70" ht="14.25" customHeight="1" s="36"/>
    <row r="71" ht="14.25" customHeight="1" s="36"/>
    <row r="72" ht="14.25" customHeight="1" s="36"/>
    <row r="73" ht="14.25" customHeight="1" s="36"/>
    <row r="74" ht="14.25" customHeight="1" s="36"/>
    <row r="75" ht="14.25" customHeight="1" s="36"/>
    <row r="76" ht="14.25" customHeight="1" s="36"/>
    <row r="77" ht="14.25" customHeight="1" s="36"/>
    <row r="78" ht="14.25" customHeight="1" s="36"/>
    <row r="79" ht="14.25" customHeight="1" s="36"/>
    <row r="80" ht="14.25" customHeight="1" s="36"/>
    <row r="81" ht="14.25" customHeight="1" s="36"/>
    <row r="82" ht="14.25" customHeight="1" s="36"/>
    <row r="83" ht="14.25" customHeight="1" s="36"/>
    <row r="84" ht="14.25" customHeight="1" s="36"/>
    <row r="85" ht="14.25" customHeight="1" s="36"/>
    <row r="86" ht="14.25" customHeight="1" s="36"/>
    <row r="87" ht="14.25" customHeight="1" s="36"/>
    <row r="88" ht="14.25" customHeight="1" s="36"/>
    <row r="89" ht="14.25" customHeight="1" s="36"/>
    <row r="90" ht="14.25" customHeight="1" s="36"/>
    <row r="91" ht="14.25" customHeight="1" s="36"/>
    <row r="92" ht="14.25" customHeight="1" s="36"/>
    <row r="93" ht="14.25" customHeight="1" s="36"/>
    <row r="94" ht="14.25" customHeight="1" s="36"/>
    <row r="95" ht="14.25" customHeight="1" s="36"/>
    <row r="96" ht="14.25" customHeight="1" s="36"/>
    <row r="97" ht="14.25" customHeight="1" s="36"/>
    <row r="98" ht="14.25" customHeight="1" s="36"/>
    <row r="99" ht="14.25" customHeight="1" s="36"/>
    <row r="100" ht="14.25" customHeight="1" s="36"/>
    <row r="101" ht="14.25" customHeight="1" s="36"/>
    <row r="102" ht="14.25" customHeight="1" s="36"/>
    <row r="103" ht="14.25" customHeight="1" s="36"/>
    <row r="104" ht="14.25" customHeight="1" s="36"/>
    <row r="105" ht="14.25" customHeight="1" s="36"/>
    <row r="106" ht="14.25" customHeight="1" s="36"/>
    <row r="107" ht="14.25" customHeight="1" s="36"/>
    <row r="108" ht="14.25" customHeight="1" s="36"/>
    <row r="109" ht="14.25" customHeight="1" s="36"/>
    <row r="110" ht="14.25" customHeight="1" s="36"/>
    <row r="111" ht="14.25" customHeight="1" s="36"/>
    <row r="112" ht="14.25" customHeight="1" s="36"/>
    <row r="113" ht="14.25" customHeight="1" s="36"/>
    <row r="114" ht="14.25" customHeight="1" s="36"/>
    <row r="115" ht="14.25" customHeight="1" s="36"/>
    <row r="116" ht="14.25" customHeight="1" s="36"/>
    <row r="117" ht="14.25" customHeight="1" s="36"/>
    <row r="118" ht="14.25" customHeight="1" s="36"/>
    <row r="119" ht="14.25" customHeight="1" s="36"/>
    <row r="120" ht="14.25" customHeight="1" s="36"/>
    <row r="121" ht="14.25" customHeight="1" s="36"/>
    <row r="122" ht="14.25" customHeight="1" s="36"/>
    <row r="123" ht="14.25" customHeight="1" s="36"/>
    <row r="124" ht="14.25" customHeight="1" s="36"/>
    <row r="125" ht="14.25" customHeight="1" s="36"/>
    <row r="126" ht="14.25" customHeight="1" s="36"/>
    <row r="127" ht="14.25" customHeight="1" s="36"/>
    <row r="128" ht="14.25" customHeight="1" s="36"/>
    <row r="129" ht="14.25" customHeight="1" s="36"/>
    <row r="130" ht="14.25" customHeight="1" s="36"/>
    <row r="131" ht="14.25" customHeight="1" s="36"/>
    <row r="132" ht="14.25" customHeight="1" s="36"/>
    <row r="133" ht="14.25" customHeight="1" s="36"/>
    <row r="134" ht="14.25" customHeight="1" s="36"/>
    <row r="135" ht="14.25" customHeight="1" s="36"/>
    <row r="136" ht="14.25" customHeight="1" s="36"/>
    <row r="137" ht="14.25" customHeight="1" s="36"/>
    <row r="138" ht="14.25" customHeight="1" s="36"/>
    <row r="139" ht="14.25" customHeight="1" s="36"/>
    <row r="140" ht="14.25" customHeight="1" s="36"/>
    <row r="141" ht="14.25" customHeight="1" s="36"/>
    <row r="142" ht="14.25" customHeight="1" s="36"/>
    <row r="143" ht="14.25" customHeight="1" s="36"/>
    <row r="144" ht="14.25" customHeight="1" s="36"/>
    <row r="145" ht="14.25" customHeight="1" s="36"/>
    <row r="146" ht="14.25" customHeight="1" s="36"/>
    <row r="147" ht="14.25" customHeight="1" s="36"/>
    <row r="148" ht="14.25" customHeight="1" s="36"/>
    <row r="149" ht="14.25" customHeight="1" s="36"/>
    <row r="150" ht="14.25" customHeight="1" s="36"/>
    <row r="151" ht="14.25" customHeight="1" s="36"/>
    <row r="152" ht="14.25" customHeight="1" s="36"/>
    <row r="153" ht="14.25" customHeight="1" s="36"/>
    <row r="154" ht="14.25" customHeight="1" s="36"/>
    <row r="155" ht="14.25" customHeight="1" s="36"/>
    <row r="156" ht="14.25" customHeight="1" s="36"/>
    <row r="157" ht="14.25" customHeight="1" s="36"/>
    <row r="158" ht="14.25" customHeight="1" s="36"/>
    <row r="159" ht="14.25" customHeight="1" s="36"/>
    <row r="160" ht="14.25" customHeight="1" s="36"/>
    <row r="161" ht="14.25" customHeight="1" s="36"/>
    <row r="162" ht="14.25" customHeight="1" s="36"/>
    <row r="163" ht="14.25" customHeight="1" s="36"/>
    <row r="164" ht="14.25" customHeight="1" s="36"/>
    <row r="165" ht="14.25" customHeight="1" s="36"/>
    <row r="166" ht="14.25" customHeight="1" s="36"/>
    <row r="167" ht="14.25" customHeight="1" s="36"/>
    <row r="168" ht="14.25" customHeight="1" s="36"/>
    <row r="169" ht="14.25" customHeight="1" s="36"/>
    <row r="170" ht="14.25" customHeight="1" s="36"/>
    <row r="171" ht="14.25" customHeight="1" s="36"/>
    <row r="172" ht="14.25" customHeight="1" s="36"/>
    <row r="173" ht="14.25" customHeight="1" s="36"/>
    <row r="174" ht="14.25" customHeight="1" s="36"/>
    <row r="175" ht="14.25" customHeight="1" s="36"/>
    <row r="176" ht="14.25" customHeight="1" s="36"/>
    <row r="177" ht="14.25" customHeight="1" s="36"/>
    <row r="178" ht="14.25" customHeight="1" s="36"/>
    <row r="179" ht="14.25" customHeight="1" s="36"/>
    <row r="180" ht="14.25" customHeight="1" s="36"/>
    <row r="181" ht="14.25" customHeight="1" s="36"/>
    <row r="182" ht="14.25" customHeight="1" s="36"/>
    <row r="183" ht="14.25" customHeight="1" s="36"/>
    <row r="184" ht="14.25" customHeight="1" s="36"/>
    <row r="185" ht="14.25" customHeight="1" s="36"/>
    <row r="186" ht="14.25" customHeight="1" s="36"/>
    <row r="187" ht="14.25" customHeight="1" s="36"/>
    <row r="188" ht="14.25" customHeight="1" s="36"/>
    <row r="189" ht="14.25" customHeight="1" s="36"/>
    <row r="190" ht="14.25" customHeight="1" s="36"/>
    <row r="191" ht="14.25" customHeight="1" s="36"/>
    <row r="192" ht="14.25" customHeight="1" s="36"/>
    <row r="193" ht="14.25" customHeight="1" s="36"/>
    <row r="194" ht="14.25" customHeight="1" s="36"/>
    <row r="195" ht="14.25" customHeight="1" s="36"/>
    <row r="196" ht="14.25" customHeight="1" s="36"/>
    <row r="197" ht="14.25" customHeight="1" s="36"/>
    <row r="198" ht="14.25" customHeight="1" s="36"/>
    <row r="199" ht="14.25" customHeight="1" s="36"/>
    <row r="200" ht="14.25" customHeight="1" s="36"/>
    <row r="201" ht="14.25" customHeight="1" s="36"/>
    <row r="202" ht="14.25" customHeight="1" s="36"/>
    <row r="203" ht="14.25" customHeight="1" s="36"/>
    <row r="204" ht="14.25" customHeight="1" s="36"/>
    <row r="205" ht="14.25" customHeight="1" s="36"/>
    <row r="206" ht="14.25" customHeight="1" s="36"/>
    <row r="207" ht="14.25" customHeight="1" s="36"/>
    <row r="208" ht="14.25" customHeight="1" s="36"/>
    <row r="209" ht="14.25" customHeight="1" s="36"/>
    <row r="210" ht="14.25" customHeight="1" s="36"/>
    <row r="211" ht="14.25" customHeight="1" s="36"/>
    <row r="212" ht="14.25" customHeight="1" s="36"/>
    <row r="213" ht="14.25" customHeight="1" s="36"/>
    <row r="214" ht="14.25" customHeight="1" s="36"/>
    <row r="215" ht="14.25" customHeight="1" s="36"/>
    <row r="216" ht="14.25" customHeight="1" s="36"/>
    <row r="217" ht="14.25" customHeight="1" s="36"/>
    <row r="218" ht="14.25" customHeight="1" s="36"/>
    <row r="219" ht="14.25" customHeight="1" s="36"/>
    <row r="220" ht="14.25" customHeight="1" s="36"/>
    <row r="221" ht="14.25" customHeight="1" s="36"/>
    <row r="222" ht="14.25" customHeight="1" s="36"/>
    <row r="223" ht="14.25" customHeight="1" s="36"/>
    <row r="224" ht="14.25" customHeight="1" s="36"/>
    <row r="225" ht="14.25" customHeight="1" s="36"/>
    <row r="226" ht="14.25" customHeight="1" s="36"/>
    <row r="227" ht="14.25" customHeight="1" s="36"/>
    <row r="228" ht="14.25" customHeight="1" s="36"/>
    <row r="229" ht="14.25" customHeight="1" s="36"/>
    <row r="230" ht="14.25" customHeight="1" s="36"/>
    <row r="231" ht="14.25" customHeight="1" s="36"/>
    <row r="232" ht="14.25" customHeight="1" s="36"/>
    <row r="233" ht="14.25" customHeight="1" s="36"/>
    <row r="234" ht="14.25" customHeight="1" s="36"/>
    <row r="235" ht="14.25" customHeight="1" s="36"/>
    <row r="236" ht="14.25" customHeight="1" s="36"/>
    <row r="237" ht="14.25" customHeight="1" s="36"/>
    <row r="238" ht="14.25" customHeight="1" s="36"/>
    <row r="239" ht="14.25" customHeight="1" s="36"/>
    <row r="240" ht="14.25" customHeight="1" s="36"/>
    <row r="241" ht="14.25" customHeight="1" s="36"/>
    <row r="242" ht="14.25" customHeight="1" s="36"/>
    <row r="243" ht="14.25" customHeight="1" s="36"/>
    <row r="244" ht="14.25" customHeight="1" s="36"/>
    <row r="245" ht="14.25" customHeight="1" s="36"/>
    <row r="246" ht="14.25" customHeight="1" s="36"/>
    <row r="247" ht="14.25" customHeight="1" s="36"/>
    <row r="248" ht="14.25" customHeight="1" s="36"/>
    <row r="249" ht="14.25" customHeight="1" s="36"/>
    <row r="250" ht="14.25" customHeight="1" s="36"/>
    <row r="251" ht="14.25" customHeight="1" s="36"/>
    <row r="252" ht="14.25" customHeight="1" s="36"/>
    <row r="253" ht="14.25" customHeight="1" s="36"/>
    <row r="254" ht="14.25" customHeight="1" s="36"/>
    <row r="255" ht="14.25" customHeight="1" s="36"/>
    <row r="256" ht="14.25" customHeight="1" s="36"/>
    <row r="257" ht="14.25" customHeight="1" s="36"/>
    <row r="258" ht="14.25" customHeight="1" s="36"/>
    <row r="259" ht="14.25" customHeight="1" s="36"/>
    <row r="260" ht="14.25" customHeight="1" s="36"/>
    <row r="261" ht="14.25" customHeight="1" s="36"/>
    <row r="262" ht="14.25" customHeight="1" s="36"/>
    <row r="263" ht="14.25" customHeight="1" s="36"/>
    <row r="264" ht="14.25" customHeight="1" s="36"/>
    <row r="265" ht="14.25" customHeight="1" s="36"/>
    <row r="266" ht="14.25" customHeight="1" s="36"/>
    <row r="267" ht="14.25" customHeight="1" s="36"/>
    <row r="268" ht="14.25" customHeight="1" s="36"/>
    <row r="269" ht="14.25" customHeight="1" s="36"/>
    <row r="270" ht="14.25" customHeight="1" s="36"/>
    <row r="271" ht="14.25" customHeight="1" s="36"/>
    <row r="272" ht="14.25" customHeight="1" s="36"/>
    <row r="273" ht="14.25" customHeight="1" s="36"/>
    <row r="274" ht="14.25" customHeight="1" s="36"/>
    <row r="275" ht="14.25" customHeight="1" s="36"/>
    <row r="276" ht="14.25" customHeight="1" s="36"/>
    <row r="277" ht="14.25" customHeight="1" s="36"/>
    <row r="278" ht="14.25" customHeight="1" s="36"/>
    <row r="279" ht="14.25" customHeight="1" s="36"/>
    <row r="280" ht="14.25" customHeight="1" s="36"/>
    <row r="281" ht="14.25" customHeight="1" s="36"/>
    <row r="282" ht="14.25" customHeight="1" s="36"/>
    <row r="283" ht="14.25" customHeight="1" s="36"/>
    <row r="284" ht="14.25" customHeight="1" s="36"/>
    <row r="285" ht="14.25" customHeight="1" s="36"/>
    <row r="286" ht="14.25" customHeight="1" s="36"/>
    <row r="287" ht="14.25" customHeight="1" s="36"/>
    <row r="288" ht="14.25" customHeight="1" s="36"/>
    <row r="289" ht="14.25" customHeight="1" s="36"/>
    <row r="290" ht="14.25" customHeight="1" s="36"/>
    <row r="291" ht="14.25" customHeight="1" s="36"/>
    <row r="292" ht="14.25" customHeight="1" s="36"/>
    <row r="293" ht="14.25" customHeight="1" s="36"/>
    <row r="294" ht="14.25" customHeight="1" s="36"/>
    <row r="295" ht="14.25" customHeight="1" s="36"/>
    <row r="296" ht="14.25" customHeight="1" s="36"/>
    <row r="297" ht="14.25" customHeight="1" s="36"/>
    <row r="298" ht="14.25" customHeight="1" s="36"/>
    <row r="299" ht="14.25" customHeight="1" s="36"/>
    <row r="300" ht="14.25" customHeight="1" s="36"/>
    <row r="301" ht="14.25" customHeight="1" s="36"/>
    <row r="302" ht="14.25" customHeight="1" s="36"/>
    <row r="303" ht="14.25" customHeight="1" s="36"/>
    <row r="304" ht="14.25" customHeight="1" s="36"/>
    <row r="305" ht="14.25" customHeight="1" s="36"/>
    <row r="306" ht="14.25" customHeight="1" s="36"/>
    <row r="307" ht="14.25" customHeight="1" s="36"/>
    <row r="308" ht="14.25" customHeight="1" s="36"/>
    <row r="309" ht="14.25" customHeight="1" s="36"/>
    <row r="310" ht="14.25" customHeight="1" s="36"/>
    <row r="311" ht="14.25" customHeight="1" s="36"/>
    <row r="312" ht="14.25" customHeight="1" s="36"/>
    <row r="313" ht="14.25" customHeight="1" s="36"/>
    <row r="314" ht="14.25" customHeight="1" s="36"/>
    <row r="315" ht="14.25" customHeight="1" s="36"/>
    <row r="316" ht="14.25" customHeight="1" s="36"/>
    <row r="317" ht="14.25" customHeight="1" s="36"/>
    <row r="318" ht="14.25" customHeight="1" s="36"/>
    <row r="319" ht="14.25" customHeight="1" s="36"/>
    <row r="320" ht="14.25" customHeight="1" s="36"/>
    <row r="321" ht="14.25" customHeight="1" s="36"/>
    <row r="322" ht="14.25" customHeight="1" s="36"/>
    <row r="323" ht="14.25" customHeight="1" s="36"/>
    <row r="324" ht="14.25" customHeight="1" s="36"/>
    <row r="325" ht="14.25" customHeight="1" s="36"/>
    <row r="326" ht="14.25" customHeight="1" s="36"/>
    <row r="327" ht="14.25" customHeight="1" s="36"/>
    <row r="328" ht="14.25" customHeight="1" s="36"/>
    <row r="329" ht="14.25" customHeight="1" s="36"/>
    <row r="330" ht="14.25" customHeight="1" s="36"/>
    <row r="331" ht="14.25" customHeight="1" s="36"/>
    <row r="332" ht="14.25" customHeight="1" s="36"/>
    <row r="333" ht="14.25" customHeight="1" s="36"/>
    <row r="334" ht="14.25" customHeight="1" s="36"/>
    <row r="335" ht="14.25" customHeight="1" s="36"/>
    <row r="336" ht="14.25" customHeight="1" s="36"/>
    <row r="337" ht="14.25" customHeight="1" s="36"/>
    <row r="338" ht="14.25" customHeight="1" s="36"/>
    <row r="339" ht="14.25" customHeight="1" s="36"/>
    <row r="340" ht="14.25" customHeight="1" s="36"/>
    <row r="341" ht="14.25" customHeight="1" s="36"/>
    <row r="342" ht="14.25" customHeight="1" s="36"/>
    <row r="343" ht="14.25" customHeight="1" s="36"/>
    <row r="344" ht="14.25" customHeight="1" s="36"/>
    <row r="345" ht="14.25" customHeight="1" s="36"/>
    <row r="346" ht="14.25" customHeight="1" s="36"/>
    <row r="347" ht="14.25" customHeight="1" s="36"/>
    <row r="348" ht="14.25" customHeight="1" s="36"/>
    <row r="349" ht="14.25" customHeight="1" s="36"/>
    <row r="350" ht="14.25" customHeight="1" s="36"/>
    <row r="351" ht="14.25" customHeight="1" s="36"/>
    <row r="352" ht="14.25" customHeight="1" s="36"/>
    <row r="353" ht="14.25" customHeight="1" s="36"/>
    <row r="354" ht="14.25" customHeight="1" s="36"/>
    <row r="355" ht="14.25" customHeight="1" s="36"/>
    <row r="356" ht="14.25" customHeight="1" s="36"/>
    <row r="357" ht="14.25" customHeight="1" s="36"/>
    <row r="358" ht="14.25" customHeight="1" s="36"/>
    <row r="359" ht="14.25" customHeight="1" s="36"/>
    <row r="360" ht="14.25" customHeight="1" s="36"/>
    <row r="361" ht="14.25" customHeight="1" s="36"/>
    <row r="362" ht="14.25" customHeight="1" s="36"/>
    <row r="363" ht="14.25" customHeight="1" s="36"/>
    <row r="364" ht="14.25" customHeight="1" s="36"/>
    <row r="365" ht="14.25" customHeight="1" s="36"/>
    <row r="366" ht="14.25" customHeight="1" s="36"/>
    <row r="367" ht="14.25" customHeight="1" s="36"/>
    <row r="368" ht="14.25" customHeight="1" s="36"/>
    <row r="369" ht="14.25" customHeight="1" s="36"/>
    <row r="370" ht="14.25" customHeight="1" s="36"/>
    <row r="371" ht="14.25" customHeight="1" s="36"/>
    <row r="372" ht="14.25" customHeight="1" s="36"/>
    <row r="373" ht="14.25" customHeight="1" s="36"/>
    <row r="374" ht="14.25" customHeight="1" s="36"/>
    <row r="375" ht="14.25" customHeight="1" s="36"/>
    <row r="376" ht="14.25" customHeight="1" s="36"/>
    <row r="377" ht="14.25" customHeight="1" s="36"/>
    <row r="378" ht="14.25" customHeight="1" s="36"/>
    <row r="379" ht="14.25" customHeight="1" s="36"/>
    <row r="380" ht="14.25" customHeight="1" s="36"/>
    <row r="381" ht="14.25" customHeight="1" s="36"/>
    <row r="382" ht="14.25" customHeight="1" s="36"/>
    <row r="383" ht="14.25" customHeight="1" s="36"/>
    <row r="384" ht="14.25" customHeight="1" s="36"/>
    <row r="385" ht="14.25" customHeight="1" s="36"/>
    <row r="386" ht="14.25" customHeight="1" s="36"/>
    <row r="387" ht="14.25" customHeight="1" s="36"/>
    <row r="388" ht="14.25" customHeight="1" s="36"/>
    <row r="389" ht="14.25" customHeight="1" s="36"/>
    <row r="390" ht="14.25" customHeight="1" s="36"/>
    <row r="391" ht="14.25" customHeight="1" s="36"/>
    <row r="392" ht="14.25" customHeight="1" s="36"/>
    <row r="393" ht="14.25" customHeight="1" s="36"/>
    <row r="394" ht="14.25" customHeight="1" s="36"/>
    <row r="395" ht="14.25" customHeight="1" s="36"/>
    <row r="396" ht="14.25" customHeight="1" s="36"/>
    <row r="397" ht="14.25" customHeight="1" s="36"/>
    <row r="398" ht="14.25" customHeight="1" s="36"/>
    <row r="399" ht="14.25" customHeight="1" s="36"/>
    <row r="400" ht="14.25" customHeight="1" s="36"/>
    <row r="401" ht="14.25" customHeight="1" s="36"/>
    <row r="402" ht="14.25" customHeight="1" s="36"/>
    <row r="403" ht="14.25" customHeight="1" s="36"/>
    <row r="404" ht="14.25" customHeight="1" s="36"/>
    <row r="405" ht="14.25" customHeight="1" s="36"/>
    <row r="406" ht="14.25" customHeight="1" s="36"/>
    <row r="407" ht="14.25" customHeight="1" s="36"/>
    <row r="408" ht="14.25" customHeight="1" s="36"/>
    <row r="409" ht="14.25" customHeight="1" s="36"/>
    <row r="410" ht="14.25" customHeight="1" s="36"/>
    <row r="411" ht="14.25" customHeight="1" s="36"/>
    <row r="412" ht="14.25" customHeight="1" s="36"/>
    <row r="413" ht="14.25" customHeight="1" s="36"/>
    <row r="414" ht="14.25" customHeight="1" s="36"/>
    <row r="415" ht="14.25" customHeight="1" s="36"/>
    <row r="416" ht="14.25" customHeight="1" s="36"/>
    <row r="417" ht="14.25" customHeight="1" s="36"/>
    <row r="418" ht="14.25" customHeight="1" s="36"/>
    <row r="419" ht="14.25" customHeight="1" s="36"/>
    <row r="420" ht="14.25" customHeight="1" s="36"/>
    <row r="421" ht="14.25" customHeight="1" s="36"/>
    <row r="422" ht="14.25" customHeight="1" s="36"/>
    <row r="423" ht="14.25" customHeight="1" s="36"/>
    <row r="424" ht="14.25" customHeight="1" s="36"/>
    <row r="425" ht="14.25" customHeight="1" s="36"/>
    <row r="426" ht="14.25" customHeight="1" s="36"/>
    <row r="427" ht="14.25" customHeight="1" s="36"/>
    <row r="428" ht="14.25" customHeight="1" s="36"/>
    <row r="429" ht="14.25" customHeight="1" s="36"/>
    <row r="430" ht="14.25" customHeight="1" s="36"/>
    <row r="431" ht="14.25" customHeight="1" s="36"/>
    <row r="432" ht="14.25" customHeight="1" s="36"/>
    <row r="433" ht="14.25" customHeight="1" s="36"/>
    <row r="434" ht="14.25" customHeight="1" s="36"/>
    <row r="435" ht="14.25" customHeight="1" s="36"/>
    <row r="436" ht="14.25" customHeight="1" s="36"/>
    <row r="437" ht="14.25" customHeight="1" s="36"/>
    <row r="438" ht="14.25" customHeight="1" s="36"/>
    <row r="439" ht="14.25" customHeight="1" s="36"/>
    <row r="440" ht="14.25" customHeight="1" s="36"/>
    <row r="441" ht="14.25" customHeight="1" s="36"/>
    <row r="442" ht="14.25" customHeight="1" s="36"/>
    <row r="443" ht="14.25" customHeight="1" s="36"/>
    <row r="444" ht="14.25" customHeight="1" s="36"/>
    <row r="445" ht="14.25" customHeight="1" s="36"/>
    <row r="446" ht="14.25" customHeight="1" s="36"/>
    <row r="447" ht="14.25" customHeight="1" s="36"/>
    <row r="448" ht="14.25" customHeight="1" s="36"/>
    <row r="449" ht="14.25" customHeight="1" s="36"/>
    <row r="450" ht="14.25" customHeight="1" s="36"/>
    <row r="451" ht="14.25" customHeight="1" s="36"/>
    <row r="452" ht="14.25" customHeight="1" s="36"/>
    <row r="453" ht="14.25" customHeight="1" s="36"/>
    <row r="454" ht="14.25" customHeight="1" s="36"/>
    <row r="455" ht="14.25" customHeight="1" s="36"/>
    <row r="456" ht="14.25" customHeight="1" s="36"/>
    <row r="457" ht="14.25" customHeight="1" s="36"/>
    <row r="458" ht="14.25" customHeight="1" s="36"/>
    <row r="459" ht="14.25" customHeight="1" s="36"/>
    <row r="460" ht="14.25" customHeight="1" s="36"/>
    <row r="461" ht="14.25" customHeight="1" s="36"/>
    <row r="462" ht="14.25" customHeight="1" s="36"/>
    <row r="463" ht="14.25" customHeight="1" s="36"/>
    <row r="464" ht="14.25" customHeight="1" s="36"/>
    <row r="465" ht="14.25" customHeight="1" s="36"/>
    <row r="466" ht="14.25" customHeight="1" s="36"/>
    <row r="467" ht="14.25" customHeight="1" s="36"/>
    <row r="468" ht="14.25" customHeight="1" s="36"/>
    <row r="469" ht="14.25" customHeight="1" s="36"/>
    <row r="470" ht="14.25" customHeight="1" s="36"/>
    <row r="471" ht="14.25" customHeight="1" s="36"/>
    <row r="472" ht="14.25" customHeight="1" s="36"/>
    <row r="473" ht="14.25" customHeight="1" s="36"/>
    <row r="474" ht="14.25" customHeight="1" s="36"/>
    <row r="475" ht="14.25" customHeight="1" s="36"/>
    <row r="476" ht="14.25" customHeight="1" s="36"/>
    <row r="477" ht="14.25" customHeight="1" s="36"/>
    <row r="478" ht="14.25" customHeight="1" s="36"/>
    <row r="479" ht="14.25" customHeight="1" s="36"/>
    <row r="480" ht="14.25" customHeight="1" s="36"/>
    <row r="481" ht="14.25" customHeight="1" s="36"/>
    <row r="482" ht="14.25" customHeight="1" s="36"/>
    <row r="483" ht="14.25" customHeight="1" s="36"/>
    <row r="484" ht="14.25" customHeight="1" s="36"/>
    <row r="485" ht="14.25" customHeight="1" s="36"/>
    <row r="486" ht="14.25" customHeight="1" s="36"/>
    <row r="487" ht="14.25" customHeight="1" s="36"/>
    <row r="488" ht="14.25" customHeight="1" s="36"/>
    <row r="489" ht="14.25" customHeight="1" s="36"/>
    <row r="490" ht="14.25" customHeight="1" s="36"/>
    <row r="491" ht="14.25" customHeight="1" s="36"/>
    <row r="492" ht="14.25" customHeight="1" s="36"/>
    <row r="493" ht="14.25" customHeight="1" s="36"/>
    <row r="494" ht="14.25" customHeight="1" s="36"/>
    <row r="495" ht="14.25" customHeight="1" s="36"/>
    <row r="496" ht="14.25" customHeight="1" s="36"/>
    <row r="497" ht="14.25" customHeight="1" s="36"/>
    <row r="498" ht="14.25" customHeight="1" s="36"/>
    <row r="499" ht="14.25" customHeight="1" s="36"/>
    <row r="500" ht="14.25" customHeight="1" s="36"/>
    <row r="501" ht="14.25" customHeight="1" s="36"/>
    <row r="502" ht="14.25" customHeight="1" s="36"/>
    <row r="503" ht="14.25" customHeight="1" s="36"/>
    <row r="504" ht="14.25" customHeight="1" s="36"/>
    <row r="505" ht="14.25" customHeight="1" s="36"/>
    <row r="506" ht="14.25" customHeight="1" s="36"/>
    <row r="507" ht="14.25" customHeight="1" s="36"/>
    <row r="508" ht="14.25" customHeight="1" s="36"/>
    <row r="509" ht="14.25" customHeight="1" s="36"/>
    <row r="510" ht="14.25" customHeight="1" s="36"/>
    <row r="511" ht="14.25" customHeight="1" s="36"/>
    <row r="512" ht="14.25" customHeight="1" s="36"/>
    <row r="513" ht="14.25" customHeight="1" s="36"/>
    <row r="514" ht="14.25" customHeight="1" s="36"/>
    <row r="515" ht="14.25" customHeight="1" s="36"/>
    <row r="516" ht="14.25" customHeight="1" s="36"/>
    <row r="517" ht="14.25" customHeight="1" s="36"/>
    <row r="518" ht="14.25" customHeight="1" s="36"/>
    <row r="519" ht="14.25" customHeight="1" s="36"/>
    <row r="520" ht="14.25" customHeight="1" s="36"/>
    <row r="521" ht="14.25" customHeight="1" s="36"/>
    <row r="522" ht="14.25" customHeight="1" s="36"/>
    <row r="523" ht="14.25" customHeight="1" s="36"/>
    <row r="524" ht="14.25" customHeight="1" s="36"/>
    <row r="525" ht="14.25" customHeight="1" s="36"/>
    <row r="526" ht="14.25" customHeight="1" s="36"/>
    <row r="527" ht="14.25" customHeight="1" s="36"/>
    <row r="528" ht="14.25" customHeight="1" s="36"/>
    <row r="529" ht="14.25" customHeight="1" s="36"/>
    <row r="530" ht="14.25" customHeight="1" s="36"/>
    <row r="531" ht="14.25" customHeight="1" s="36"/>
    <row r="532" ht="14.25" customHeight="1" s="36"/>
    <row r="533" ht="14.25" customHeight="1" s="36"/>
    <row r="534" ht="14.25" customHeight="1" s="36"/>
    <row r="535" ht="14.25" customHeight="1" s="36"/>
    <row r="536" ht="14.25" customHeight="1" s="36"/>
    <row r="537" ht="14.25" customHeight="1" s="36"/>
    <row r="538" ht="14.25" customHeight="1" s="36"/>
    <row r="539" ht="14.25" customHeight="1" s="36"/>
    <row r="540" ht="14.25" customHeight="1" s="36"/>
    <row r="541" ht="14.25" customHeight="1" s="36"/>
    <row r="542" ht="14.25" customHeight="1" s="36"/>
    <row r="543" ht="14.25" customHeight="1" s="36"/>
    <row r="544" ht="14.25" customHeight="1" s="36"/>
    <row r="545" ht="14.25" customHeight="1" s="36"/>
    <row r="546" ht="14.25" customHeight="1" s="36"/>
    <row r="547" ht="14.25" customHeight="1" s="36"/>
    <row r="548" ht="14.25" customHeight="1" s="36"/>
    <row r="549" ht="14.25" customHeight="1" s="36"/>
    <row r="550" ht="14.25" customHeight="1" s="36"/>
    <row r="551" ht="14.25" customHeight="1" s="36"/>
    <row r="552" ht="14.25" customHeight="1" s="36"/>
    <row r="553" ht="14.25" customHeight="1" s="36"/>
    <row r="554" ht="14.25" customHeight="1" s="36"/>
    <row r="555" ht="14.25" customHeight="1" s="36"/>
    <row r="556" ht="14.25" customHeight="1" s="36"/>
    <row r="557" ht="14.25" customHeight="1" s="36"/>
    <row r="558" ht="14.25" customHeight="1" s="36"/>
    <row r="559" ht="14.25" customHeight="1" s="36"/>
    <row r="560" ht="14.25" customHeight="1" s="36"/>
    <row r="561" ht="14.25" customHeight="1" s="36"/>
    <row r="562" ht="14.25" customHeight="1" s="36"/>
    <row r="563" ht="14.25" customHeight="1" s="36"/>
    <row r="564" ht="14.25" customHeight="1" s="36"/>
    <row r="565" ht="14.25" customHeight="1" s="36"/>
    <row r="566" ht="14.25" customHeight="1" s="36"/>
    <row r="567" ht="14.25" customHeight="1" s="36"/>
    <row r="568" ht="14.25" customHeight="1" s="36"/>
    <row r="569" ht="14.25" customHeight="1" s="36"/>
    <row r="570" ht="14.25" customHeight="1" s="36"/>
    <row r="571" ht="14.25" customHeight="1" s="36"/>
    <row r="572" ht="14.25" customHeight="1" s="36"/>
    <row r="573" ht="14.25" customHeight="1" s="36"/>
    <row r="574" ht="14.25" customHeight="1" s="36"/>
    <row r="575" ht="14.25" customHeight="1" s="36"/>
    <row r="576" ht="14.25" customHeight="1" s="36"/>
    <row r="577" ht="14.25" customHeight="1" s="36"/>
    <row r="578" ht="14.25" customHeight="1" s="36"/>
    <row r="579" ht="14.25" customHeight="1" s="36"/>
    <row r="580" ht="14.25" customHeight="1" s="36"/>
    <row r="581" ht="14.25" customHeight="1" s="36"/>
    <row r="582" ht="14.25" customHeight="1" s="36"/>
    <row r="583" ht="14.25" customHeight="1" s="36"/>
    <row r="584" ht="14.25" customHeight="1" s="36"/>
    <row r="585" ht="14.25" customHeight="1" s="36"/>
    <row r="586" ht="14.25" customHeight="1" s="36"/>
    <row r="587" ht="14.25" customHeight="1" s="36"/>
    <row r="588" ht="14.25" customHeight="1" s="36"/>
    <row r="589" ht="14.25" customHeight="1" s="36"/>
    <row r="590" ht="14.25" customHeight="1" s="36"/>
    <row r="591" ht="14.25" customHeight="1" s="36"/>
    <row r="592" ht="14.25" customHeight="1" s="36"/>
    <row r="593" ht="14.25" customHeight="1" s="36"/>
    <row r="594" ht="14.25" customHeight="1" s="36"/>
    <row r="595" ht="14.25" customHeight="1" s="36"/>
    <row r="596" ht="14.25" customHeight="1" s="36"/>
    <row r="597" ht="14.25" customHeight="1" s="36"/>
    <row r="598" ht="14.25" customHeight="1" s="36"/>
    <row r="599" ht="14.25" customHeight="1" s="36"/>
    <row r="600" ht="14.25" customHeight="1" s="36"/>
    <row r="601" ht="14.25" customHeight="1" s="36"/>
    <row r="602" ht="14.25" customHeight="1" s="36"/>
    <row r="603" ht="14.25" customHeight="1" s="36"/>
    <row r="604" ht="14.25" customHeight="1" s="36"/>
    <row r="605" ht="14.25" customHeight="1" s="36"/>
    <row r="606" ht="14.25" customHeight="1" s="36"/>
    <row r="607" ht="14.25" customHeight="1" s="36"/>
    <row r="608" ht="14.25" customHeight="1" s="36"/>
    <row r="609" ht="14.25" customHeight="1" s="36"/>
    <row r="610" ht="14.25" customHeight="1" s="36"/>
    <row r="611" ht="14.25" customHeight="1" s="36"/>
    <row r="612" ht="14.25" customHeight="1" s="36"/>
    <row r="613" ht="14.25" customHeight="1" s="36"/>
    <row r="614" ht="14.25" customHeight="1" s="36"/>
    <row r="615" ht="14.25" customHeight="1" s="36"/>
    <row r="616" ht="14.25" customHeight="1" s="36"/>
    <row r="617" ht="14.25" customHeight="1" s="36"/>
    <row r="618" ht="14.25" customHeight="1" s="36"/>
    <row r="619" ht="14.25" customHeight="1" s="36"/>
    <row r="620" ht="14.25" customHeight="1" s="36"/>
    <row r="621" ht="14.25" customHeight="1" s="36"/>
    <row r="622" ht="14.25" customHeight="1" s="36"/>
    <row r="623" ht="14.25" customHeight="1" s="36"/>
    <row r="624" ht="14.25" customHeight="1" s="36"/>
    <row r="625" ht="14.25" customHeight="1" s="36"/>
    <row r="626" ht="14.25" customHeight="1" s="36"/>
    <row r="627" ht="14.25" customHeight="1" s="36"/>
    <row r="628" ht="14.25" customHeight="1" s="36"/>
    <row r="629" ht="14.25" customHeight="1" s="36"/>
    <row r="630" ht="14.25" customHeight="1" s="36"/>
    <row r="631" ht="14.25" customHeight="1" s="36"/>
    <row r="632" ht="14.25" customHeight="1" s="36"/>
    <row r="633" ht="14.25" customHeight="1" s="36"/>
    <row r="634" ht="14.25" customHeight="1" s="36"/>
    <row r="635" ht="14.25" customHeight="1" s="36"/>
    <row r="636" ht="14.25" customHeight="1" s="36"/>
    <row r="637" ht="14.25" customHeight="1" s="36"/>
    <row r="638" ht="14.25" customHeight="1" s="36"/>
    <row r="639" ht="14.25" customHeight="1" s="36"/>
    <row r="640" ht="14.25" customHeight="1" s="36"/>
    <row r="641" ht="14.25" customHeight="1" s="36"/>
    <row r="642" ht="14.25" customHeight="1" s="36"/>
    <row r="643" ht="14.25" customHeight="1" s="36"/>
    <row r="644" ht="14.25" customHeight="1" s="36"/>
    <row r="645" ht="14.25" customHeight="1" s="36"/>
    <row r="646" ht="14.25" customHeight="1" s="36"/>
    <row r="647" ht="14.25" customHeight="1" s="36"/>
    <row r="648" ht="14.25" customHeight="1" s="36"/>
    <row r="649" ht="14.25" customHeight="1" s="36"/>
    <row r="650" ht="14.25" customHeight="1" s="36"/>
    <row r="651" ht="14.25" customHeight="1" s="36"/>
    <row r="652" ht="14.25" customHeight="1" s="36"/>
    <row r="653" ht="14.25" customHeight="1" s="36"/>
    <row r="654" ht="14.25" customHeight="1" s="36"/>
    <row r="655" ht="14.25" customHeight="1" s="36"/>
    <row r="656" ht="14.25" customHeight="1" s="36"/>
    <row r="657" ht="14.25" customHeight="1" s="36"/>
    <row r="658" ht="14.25" customHeight="1" s="36"/>
    <row r="659" ht="14.25" customHeight="1" s="36"/>
    <row r="660" ht="14.25" customHeight="1" s="36"/>
    <row r="661" ht="14.25" customHeight="1" s="36"/>
    <row r="662" ht="14.25" customHeight="1" s="36"/>
    <row r="663" ht="14.25" customHeight="1" s="36"/>
    <row r="664" ht="14.25" customHeight="1" s="36"/>
    <row r="665" ht="14.25" customHeight="1" s="36"/>
    <row r="666" ht="14.25" customHeight="1" s="36"/>
    <row r="667" ht="14.25" customHeight="1" s="36"/>
    <row r="668" ht="14.25" customHeight="1" s="36"/>
    <row r="669" ht="14.25" customHeight="1" s="36"/>
    <row r="670" ht="14.25" customHeight="1" s="36"/>
    <row r="671" ht="14.25" customHeight="1" s="36"/>
    <row r="672" ht="14.25" customHeight="1" s="36"/>
    <row r="673" ht="14.25" customHeight="1" s="36"/>
    <row r="674" ht="14.25" customHeight="1" s="36"/>
    <row r="675" ht="14.25" customHeight="1" s="36"/>
    <row r="676" ht="14.25" customHeight="1" s="36"/>
    <row r="677" ht="14.25" customHeight="1" s="36"/>
    <row r="678" ht="14.25" customHeight="1" s="36"/>
    <row r="679" ht="14.25" customHeight="1" s="36"/>
    <row r="680" ht="14.25" customHeight="1" s="36"/>
    <row r="681" ht="14.25" customHeight="1" s="36"/>
    <row r="682" ht="14.25" customHeight="1" s="36"/>
    <row r="683" ht="14.25" customHeight="1" s="36"/>
    <row r="684" ht="14.25" customHeight="1" s="36"/>
    <row r="685" ht="14.25" customHeight="1" s="36"/>
    <row r="686" ht="14.25" customHeight="1" s="36"/>
    <row r="687" ht="14.25" customHeight="1" s="36"/>
    <row r="688" ht="14.25" customHeight="1" s="36"/>
    <row r="689" ht="14.25" customHeight="1" s="36"/>
    <row r="690" ht="14.25" customHeight="1" s="36"/>
    <row r="691" ht="14.25" customHeight="1" s="36"/>
    <row r="692" ht="14.25" customHeight="1" s="36"/>
    <row r="693" ht="14.25" customHeight="1" s="36"/>
    <row r="694" ht="14.25" customHeight="1" s="36"/>
    <row r="695" ht="14.25" customHeight="1" s="36"/>
    <row r="696" ht="14.25" customHeight="1" s="36"/>
    <row r="697" ht="14.25" customHeight="1" s="36"/>
    <row r="698" ht="14.25" customHeight="1" s="36"/>
    <row r="699" ht="14.25" customHeight="1" s="36"/>
    <row r="700" ht="14.25" customHeight="1" s="36"/>
    <row r="701" ht="14.25" customHeight="1" s="36"/>
    <row r="702" ht="14.25" customHeight="1" s="36"/>
    <row r="703" ht="14.25" customHeight="1" s="36"/>
    <row r="704" ht="14.25" customHeight="1" s="36"/>
    <row r="705" ht="14.25" customHeight="1" s="36"/>
    <row r="706" ht="14.25" customHeight="1" s="36"/>
    <row r="707" ht="14.25" customHeight="1" s="36"/>
    <row r="708" ht="14.25" customHeight="1" s="36"/>
    <row r="709" ht="14.25" customHeight="1" s="36"/>
    <row r="710" ht="14.25" customHeight="1" s="36"/>
    <row r="711" ht="14.25" customHeight="1" s="36"/>
    <row r="712" ht="14.25" customHeight="1" s="36"/>
    <row r="713" ht="14.25" customHeight="1" s="36"/>
    <row r="714" ht="14.25" customHeight="1" s="36"/>
    <row r="715" ht="14.25" customHeight="1" s="36"/>
    <row r="716" ht="14.25" customHeight="1" s="36"/>
    <row r="717" ht="14.25" customHeight="1" s="36"/>
    <row r="718" ht="14.25" customHeight="1" s="36"/>
    <row r="719" ht="14.25" customHeight="1" s="36"/>
    <row r="720" ht="14.25" customHeight="1" s="36"/>
    <row r="721" ht="14.25" customHeight="1" s="36"/>
    <row r="722" ht="14.25" customHeight="1" s="36"/>
    <row r="723" ht="14.25" customHeight="1" s="36"/>
    <row r="724" ht="14.25" customHeight="1" s="36"/>
    <row r="725" ht="14.25" customHeight="1" s="36"/>
    <row r="726" ht="14.25" customHeight="1" s="36"/>
    <row r="727" ht="14.25" customHeight="1" s="36"/>
    <row r="728" ht="14.25" customHeight="1" s="36"/>
    <row r="729" ht="14.25" customHeight="1" s="36"/>
    <row r="730" ht="14.25" customHeight="1" s="36"/>
    <row r="731" ht="14.25" customHeight="1" s="36"/>
    <row r="732" ht="14.25" customHeight="1" s="36"/>
    <row r="733" ht="14.25" customHeight="1" s="36"/>
    <row r="734" ht="14.25" customHeight="1" s="36"/>
    <row r="735" ht="14.25" customHeight="1" s="36"/>
    <row r="736" ht="14.25" customHeight="1" s="36"/>
    <row r="737" ht="14.25" customHeight="1" s="36"/>
    <row r="738" ht="14.25" customHeight="1" s="36"/>
    <row r="739" ht="14.25" customHeight="1" s="36"/>
    <row r="740" ht="14.25" customHeight="1" s="36"/>
    <row r="741" ht="14.25" customHeight="1" s="36"/>
    <row r="742" ht="14.25" customHeight="1" s="36"/>
    <row r="743" ht="14.25" customHeight="1" s="36"/>
    <row r="744" ht="14.25" customHeight="1" s="36"/>
    <row r="745" ht="14.25" customHeight="1" s="36"/>
    <row r="746" ht="14.25" customHeight="1" s="36"/>
    <row r="747" ht="14.25" customHeight="1" s="36"/>
    <row r="748" ht="14.25" customHeight="1" s="36"/>
    <row r="749" ht="14.25" customHeight="1" s="36"/>
    <row r="750" ht="14.25" customHeight="1" s="36"/>
    <row r="751" ht="14.25" customHeight="1" s="36"/>
    <row r="752" ht="14.25" customHeight="1" s="36"/>
    <row r="753" ht="14.25" customHeight="1" s="36"/>
    <row r="754" ht="14.25" customHeight="1" s="36"/>
    <row r="755" ht="14.25" customHeight="1" s="36"/>
    <row r="756" ht="14.25" customHeight="1" s="36"/>
    <row r="757" ht="14.25" customHeight="1" s="36"/>
    <row r="758" ht="14.25" customHeight="1" s="36"/>
    <row r="759" ht="14.25" customHeight="1" s="36"/>
    <row r="760" ht="14.25" customHeight="1" s="36"/>
    <row r="761" ht="14.25" customHeight="1" s="36"/>
    <row r="762" ht="14.25" customHeight="1" s="36"/>
    <row r="763" ht="14.25" customHeight="1" s="36"/>
    <row r="764" ht="14.25" customHeight="1" s="36"/>
    <row r="765" ht="14.25" customHeight="1" s="36"/>
    <row r="766" ht="14.25" customHeight="1" s="36"/>
    <row r="767" ht="14.25" customHeight="1" s="36"/>
    <row r="768" ht="14.25" customHeight="1" s="36"/>
    <row r="769" ht="14.25" customHeight="1" s="36"/>
    <row r="770" ht="14.25" customHeight="1" s="36"/>
    <row r="771" ht="14.25" customHeight="1" s="36"/>
    <row r="772" ht="14.25" customHeight="1" s="36"/>
    <row r="773" ht="14.25" customHeight="1" s="36"/>
    <row r="774" ht="14.25" customHeight="1" s="36"/>
    <row r="775" ht="14.25" customHeight="1" s="36"/>
    <row r="776" ht="14.25" customHeight="1" s="36"/>
    <row r="777" ht="14.25" customHeight="1" s="36"/>
    <row r="778" ht="14.25" customHeight="1" s="36"/>
    <row r="779" ht="14.25" customHeight="1" s="36"/>
    <row r="780" ht="14.25" customHeight="1" s="36"/>
    <row r="781" ht="14.25" customHeight="1" s="36"/>
    <row r="782" ht="14.25" customHeight="1" s="36"/>
    <row r="783" ht="14.25" customHeight="1" s="36"/>
    <row r="784" ht="14.25" customHeight="1" s="36"/>
    <row r="785" ht="14.25" customHeight="1" s="36"/>
    <row r="786" ht="14.25" customHeight="1" s="36"/>
    <row r="787" ht="14.25" customHeight="1" s="36"/>
    <row r="788" ht="14.25" customHeight="1" s="36"/>
    <row r="789" ht="14.25" customHeight="1" s="36"/>
    <row r="790" ht="14.25" customHeight="1" s="36"/>
    <row r="791" ht="14.25" customHeight="1" s="36"/>
    <row r="792" ht="14.25" customHeight="1" s="36"/>
    <row r="793" ht="14.25" customHeight="1" s="36"/>
    <row r="794" ht="14.25" customHeight="1" s="36"/>
    <row r="795" ht="14.25" customHeight="1" s="36"/>
    <row r="796" ht="14.25" customHeight="1" s="36"/>
    <row r="797" ht="14.25" customHeight="1" s="36"/>
    <row r="798" ht="14.25" customHeight="1" s="36"/>
    <row r="799" ht="14.25" customHeight="1" s="36"/>
    <row r="800" ht="14.25" customHeight="1" s="36"/>
    <row r="801" ht="14.25" customHeight="1" s="36"/>
    <row r="802" ht="14.25" customHeight="1" s="36"/>
    <row r="803" ht="14.25" customHeight="1" s="36"/>
    <row r="804" ht="14.25" customHeight="1" s="36"/>
    <row r="805" ht="14.25" customHeight="1" s="36"/>
    <row r="806" ht="14.25" customHeight="1" s="36"/>
    <row r="807" ht="14.25" customHeight="1" s="36"/>
    <row r="808" ht="14.25" customHeight="1" s="36"/>
    <row r="809" ht="14.25" customHeight="1" s="36"/>
    <row r="810" ht="14.25" customHeight="1" s="36"/>
    <row r="811" ht="14.25" customHeight="1" s="36"/>
    <row r="812" ht="14.25" customHeight="1" s="36"/>
    <row r="813" ht="14.25" customHeight="1" s="36"/>
    <row r="814" ht="14.25" customHeight="1" s="36"/>
    <row r="815" ht="14.25" customHeight="1" s="36"/>
    <row r="816" ht="14.25" customHeight="1" s="36"/>
    <row r="817" ht="14.25" customHeight="1" s="36"/>
    <row r="818" ht="14.25" customHeight="1" s="36"/>
    <row r="819" ht="14.25" customHeight="1" s="36"/>
    <row r="820" ht="14.25" customHeight="1" s="36"/>
    <row r="821" ht="14.25" customHeight="1" s="36"/>
    <row r="822" ht="14.25" customHeight="1" s="36"/>
    <row r="823" ht="14.25" customHeight="1" s="36"/>
    <row r="824" ht="14.25" customHeight="1" s="36"/>
    <row r="825" ht="14.25" customHeight="1" s="36"/>
    <row r="826" ht="14.25" customHeight="1" s="36"/>
    <row r="827" ht="14.25" customHeight="1" s="36"/>
    <row r="828" ht="14.25" customHeight="1" s="36"/>
    <row r="829" ht="14.25" customHeight="1" s="36"/>
    <row r="830" ht="14.25" customHeight="1" s="36"/>
    <row r="831" ht="14.25" customHeight="1" s="36"/>
    <row r="832" ht="14.25" customHeight="1" s="36"/>
    <row r="833" ht="14.25" customHeight="1" s="36"/>
    <row r="834" ht="14.25" customHeight="1" s="36"/>
    <row r="835" ht="14.25" customHeight="1" s="36"/>
    <row r="836" ht="14.25" customHeight="1" s="36"/>
    <row r="837" ht="14.25" customHeight="1" s="36"/>
    <row r="838" ht="14.25" customHeight="1" s="36"/>
    <row r="839" ht="14.25" customHeight="1" s="36"/>
    <row r="840" ht="14.25" customHeight="1" s="36"/>
    <row r="841" ht="14.25" customHeight="1" s="36"/>
    <row r="842" ht="14.25" customHeight="1" s="36"/>
    <row r="843" ht="14.25" customHeight="1" s="36"/>
    <row r="844" ht="14.25" customHeight="1" s="36"/>
    <row r="845" ht="14.25" customHeight="1" s="36"/>
    <row r="846" ht="14.25" customHeight="1" s="36"/>
    <row r="847" ht="14.25" customHeight="1" s="36"/>
    <row r="848" ht="14.25" customHeight="1" s="36"/>
    <row r="849" ht="14.25" customHeight="1" s="36"/>
    <row r="850" ht="14.25" customHeight="1" s="36"/>
    <row r="851" ht="14.25" customHeight="1" s="36"/>
    <row r="852" ht="14.25" customHeight="1" s="36"/>
    <row r="853" ht="14.25" customHeight="1" s="36"/>
    <row r="854" ht="14.25" customHeight="1" s="36"/>
    <row r="855" ht="14.25" customHeight="1" s="36"/>
    <row r="856" ht="14.25" customHeight="1" s="36"/>
    <row r="857" ht="14.25" customHeight="1" s="36"/>
    <row r="858" ht="14.25" customHeight="1" s="36"/>
    <row r="859" ht="14.25" customHeight="1" s="36"/>
    <row r="860" ht="14.25" customHeight="1" s="36"/>
    <row r="861" ht="14.25" customHeight="1" s="36"/>
    <row r="862" ht="14.25" customHeight="1" s="36"/>
    <row r="863" ht="14.25" customHeight="1" s="36"/>
    <row r="864" ht="14.25" customHeight="1" s="36"/>
    <row r="865" ht="14.25" customHeight="1" s="36"/>
    <row r="866" ht="14.25" customHeight="1" s="36"/>
    <row r="867" ht="14.25" customHeight="1" s="36"/>
    <row r="868" ht="14.25" customHeight="1" s="36"/>
    <row r="869" ht="14.25" customHeight="1" s="36"/>
    <row r="870" ht="14.25" customHeight="1" s="36"/>
    <row r="871" ht="14.25" customHeight="1" s="36"/>
    <row r="872" ht="14.25" customHeight="1" s="36"/>
    <row r="873" ht="14.25" customHeight="1" s="36"/>
    <row r="874" ht="14.25" customHeight="1" s="36"/>
    <row r="875" ht="14.25" customHeight="1" s="36"/>
    <row r="876" ht="14.25" customHeight="1" s="36"/>
    <row r="877" ht="14.25" customHeight="1" s="36"/>
    <row r="878" ht="14.25" customHeight="1" s="36"/>
    <row r="879" ht="14.25" customHeight="1" s="36"/>
    <row r="880" ht="14.25" customHeight="1" s="36"/>
    <row r="881" ht="14.25" customHeight="1" s="36"/>
    <row r="882" ht="14.25" customHeight="1" s="36"/>
    <row r="883" ht="14.25" customHeight="1" s="36"/>
    <row r="884" ht="14.25" customHeight="1" s="36"/>
    <row r="885" ht="14.25" customHeight="1" s="36"/>
    <row r="886" ht="14.25" customHeight="1" s="36"/>
    <row r="887" ht="14.25" customHeight="1" s="36"/>
    <row r="888" ht="14.25" customHeight="1" s="36"/>
    <row r="889" ht="14.25" customHeight="1" s="36"/>
    <row r="890" ht="14.25" customHeight="1" s="36"/>
    <row r="891" ht="14.25" customHeight="1" s="36"/>
    <row r="892" ht="14.25" customHeight="1" s="36"/>
    <row r="893" ht="14.25" customHeight="1" s="36"/>
    <row r="894" ht="14.25" customHeight="1" s="36"/>
    <row r="895" ht="14.25" customHeight="1" s="36"/>
    <row r="896" ht="14.25" customHeight="1" s="36"/>
    <row r="897" ht="14.25" customHeight="1" s="36"/>
    <row r="898" ht="14.25" customHeight="1" s="36"/>
    <row r="899" ht="14.25" customHeight="1" s="36"/>
    <row r="900" ht="14.25" customHeight="1" s="36"/>
    <row r="901" ht="14.25" customHeight="1" s="36"/>
    <row r="902" ht="14.25" customHeight="1" s="36"/>
    <row r="903" ht="14.25" customHeight="1" s="36"/>
    <row r="904" ht="14.25" customHeight="1" s="36"/>
    <row r="905" ht="14.25" customHeight="1" s="36"/>
    <row r="906" ht="14.25" customHeight="1" s="36"/>
    <row r="907" ht="14.25" customHeight="1" s="36"/>
    <row r="908" ht="14.25" customHeight="1" s="36"/>
    <row r="909" ht="14.25" customHeight="1" s="36"/>
    <row r="910" ht="14.25" customHeight="1" s="36"/>
    <row r="911" ht="14.25" customHeight="1" s="36"/>
    <row r="912" ht="14.25" customHeight="1" s="36"/>
    <row r="913" ht="14.25" customHeight="1" s="36"/>
    <row r="914" ht="14.25" customHeight="1" s="36"/>
    <row r="915" ht="14.25" customHeight="1" s="36"/>
    <row r="916" ht="14.25" customHeight="1" s="36"/>
    <row r="917" ht="14.25" customHeight="1" s="36"/>
    <row r="918" ht="14.25" customHeight="1" s="36"/>
    <row r="919" ht="14.25" customHeight="1" s="36"/>
    <row r="920" ht="14.25" customHeight="1" s="36"/>
    <row r="921" ht="14.25" customHeight="1" s="36"/>
    <row r="922" ht="14.25" customHeight="1" s="36"/>
    <row r="923" ht="14.25" customHeight="1" s="36"/>
    <row r="924" ht="14.25" customHeight="1" s="36"/>
    <row r="925" ht="14.25" customHeight="1" s="36"/>
    <row r="926" ht="14.25" customHeight="1" s="36"/>
    <row r="927" ht="14.25" customHeight="1" s="36"/>
    <row r="928" ht="14.25" customHeight="1" s="36"/>
    <row r="929" ht="14.25" customHeight="1" s="36"/>
    <row r="930" ht="14.25" customHeight="1" s="36"/>
    <row r="931" ht="14.25" customHeight="1" s="36"/>
    <row r="932" ht="14.25" customHeight="1" s="36"/>
    <row r="933" ht="14.25" customHeight="1" s="36"/>
    <row r="934" ht="14.25" customHeight="1" s="36"/>
    <row r="935" ht="14.25" customHeight="1" s="36"/>
    <row r="936" ht="14.25" customHeight="1" s="36"/>
    <row r="937" ht="14.25" customHeight="1" s="36"/>
    <row r="938" ht="14.25" customHeight="1" s="36"/>
    <row r="939" ht="14.25" customHeight="1" s="36"/>
    <row r="940" ht="14.25" customHeight="1" s="36"/>
    <row r="941" ht="14.25" customHeight="1" s="36"/>
    <row r="942" ht="14.25" customHeight="1" s="36"/>
    <row r="943" ht="14.25" customHeight="1" s="36"/>
    <row r="944" ht="14.25" customHeight="1" s="36"/>
    <row r="945" ht="14.25" customHeight="1" s="36"/>
    <row r="946" ht="14.25" customHeight="1" s="36"/>
    <row r="947" ht="14.25" customHeight="1" s="36"/>
    <row r="948" ht="14.25" customHeight="1" s="36"/>
    <row r="949" ht="14.25" customHeight="1" s="36"/>
    <row r="950" ht="14.25" customHeight="1" s="36"/>
    <row r="951" ht="14.25" customHeight="1" s="36"/>
    <row r="952" ht="14.25" customHeight="1" s="36"/>
    <row r="953" ht="14.25" customHeight="1" s="36"/>
    <row r="954" ht="14.25" customHeight="1" s="36"/>
    <row r="955" ht="14.25" customHeight="1" s="36"/>
    <row r="956" ht="14.25" customHeight="1" s="36"/>
    <row r="957" ht="14.25" customHeight="1" s="36"/>
    <row r="958" ht="14.25" customHeight="1" s="36"/>
    <row r="959" ht="14.25" customHeight="1" s="36"/>
    <row r="960" ht="14.25" customHeight="1" s="36"/>
    <row r="961" ht="14.25" customHeight="1" s="36"/>
    <row r="962" ht="14.25" customHeight="1" s="36"/>
    <row r="963" ht="14.25" customHeight="1" s="36"/>
    <row r="964" ht="14.25" customHeight="1" s="36"/>
    <row r="965" ht="14.25" customHeight="1" s="36"/>
    <row r="966" ht="14.25" customHeight="1" s="36"/>
    <row r="967" ht="14.25" customHeight="1" s="36"/>
    <row r="968" ht="14.25" customHeight="1" s="36"/>
    <row r="969" ht="14.25" customHeight="1" s="36"/>
    <row r="970" ht="14.25" customHeight="1" s="36"/>
    <row r="971" ht="14.25" customHeight="1" s="36"/>
    <row r="972" ht="14.25" customHeight="1" s="36"/>
    <row r="973" ht="14.25" customHeight="1" s="36"/>
    <row r="974" ht="14.25" customHeight="1" s="36"/>
    <row r="975" ht="14.25" customHeight="1" s="36"/>
    <row r="976" ht="14.25" customHeight="1" s="36"/>
    <row r="977" ht="14.25" customHeight="1" s="36"/>
    <row r="978" ht="14.25" customHeight="1" s="36"/>
    <row r="979" ht="14.25" customHeight="1" s="36"/>
    <row r="980" ht="14.25" customHeight="1" s="36"/>
    <row r="981" ht="14.25" customHeight="1" s="36"/>
    <row r="982" ht="14.25" customHeight="1" s="36"/>
    <row r="983" ht="14.25" customHeight="1" s="36"/>
    <row r="984" ht="14.25" customHeight="1" s="36"/>
    <row r="985" ht="14.25" customHeight="1" s="36"/>
    <row r="986" ht="14.25" customHeight="1" s="36"/>
    <row r="987" ht="14.25" customHeight="1" s="36"/>
    <row r="988" ht="14.25" customHeight="1" s="36"/>
    <row r="989" ht="14.25" customHeight="1" s="36"/>
    <row r="990" ht="14.25" customHeight="1" s="36"/>
    <row r="991" ht="14.25" customHeight="1" s="36"/>
    <row r="992" ht="14.25" customHeight="1" s="36"/>
    <row r="993" ht="14.25" customHeight="1" s="36"/>
    <row r="994" ht="14.25" customHeight="1" s="36"/>
    <row r="995" ht="14.25" customHeight="1" s="36"/>
    <row r="996" ht="14.25" customHeight="1" s="36"/>
    <row r="997" ht="14.25" customHeight="1" s="36"/>
    <row r="998" ht="14.25" customHeight="1" s="36"/>
    <row r="999" ht="14.25" customHeight="1" s="36"/>
    <row r="1000" ht="14.25" customHeight="1" s="3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2026-10-08T00:09:01Z</dcterms:created>
  <dcterms:modified xmlns:dcterms="http://purl.org/dc/terms/" xmlns:xsi="http://www.w3.org/2001/XMLSchema-instance" xsi:type="dcterms:W3CDTF">2026-10-09T19:36:20Z</dcterms:modified>
</cp:coreProperties>
</file>