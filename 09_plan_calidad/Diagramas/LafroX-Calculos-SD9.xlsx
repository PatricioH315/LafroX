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_Base" sheetId="2" state="visible" r:id="rId2"/>
    <sheet xmlns:r="http://schemas.openxmlformats.org/officeDocument/2006/relationships" name="ISO25010" sheetId="3" state="visible" r:id="rId3"/>
    <sheet xmlns:r="http://schemas.openxmlformats.org/officeDocument/2006/relationships" name="Metricas_Codigo" sheetId="4" state="visible" r:id="rId4"/>
    <sheet xmlns:r="http://schemas.openxmlformats.org/officeDocument/2006/relationships" name="Carga_Estres" sheetId="5" state="visible" r:id="rId5"/>
    <sheet xmlns:r="http://schemas.openxmlformats.org/officeDocument/2006/relationships" name="Disponibilidad" sheetId="6" state="visible" r:id="rId6"/>
    <sheet xmlns:r="http://schemas.openxmlformats.org/officeDocument/2006/relationships" name="Casos_Prueba" sheetId="7" state="visible" r:id="rId7"/>
    <sheet xmlns:r="http://schemas.openxmlformats.org/officeDocument/2006/relationships" name="HH_Calidad" sheetId="8" state="visible" r:id="rId8"/>
    <sheet xmlns:r="http://schemas.openxmlformats.org/officeDocument/2006/relationships" name="Calendario" sheetId="9" state="visible" r:id="rId9"/>
    <sheet xmlns:r="http://schemas.openxmlformats.org/officeDocument/2006/relationships" name="Aceptacion_T17" sheetId="10" state="visible" r:id="rId10"/>
    <sheet xmlns:r="http://schemas.openxmlformats.org/officeDocument/2006/relationships" name="COQ" sheetId="11" state="visible" r:id="rId11"/>
    <sheet xmlns:r="http://schemas.openxmlformats.org/officeDocument/2006/relationships" name="Metricas_Proceso" sheetId="12" state="visible" r:id="rId12"/>
    <sheet xmlns:r="http://schemas.openxmlformats.org/officeDocument/2006/relationships" name="Inconsistencias" sheetId="13" state="visible" r:id="rId13"/>
    <sheet xmlns:r="http://schemas.openxmlformats.org/officeDocument/2006/relationships" name="Figur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##"/>
    <numFmt numFmtId="166" formatCode="0.0"/>
    <numFmt numFmtId="167" formatCode="#,##0.0"/>
    <numFmt numFmtId="168" formatCode="0;-0;"/>
    <numFmt numFmtId="169" formatCode="dd-mm-yyyy"/>
    <numFmt numFmtId="170" formatCode="#,##0.##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" fontId="3" fillId="4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" fontId="6" fillId="3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7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7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70" fontId="6" fillId="0" borderId="1" applyAlignment="1" pivotButton="0" quotePrefix="0" xfId="0">
      <alignment vertical="top" wrapText="1"/>
    </xf>
    <xf numFmtId="170" fontId="7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LafroX — Planilla de cálculos del Subdocumento 9 (Plan de calidad)</t>
        </is>
      </c>
    </row>
    <row r="2">
      <c r="A2" s="2" t="inlineStr">
        <is>
          <t>Licitación TFEP-01/2026, Caso 02 — Logística, Distribuidora Puelche S.A. Planilla de trabajo; no es entregable.</t>
        </is>
      </c>
    </row>
    <row r="4">
      <c r="A4" s="3" t="inlineStr">
        <is>
          <t>Propósito</t>
        </is>
      </c>
      <c r="B4" s="4" t="inlineStr">
        <is>
          <t>Reunir en un solo lugar los datos obligatorios y los cálculos que el SD9, sus anexos y los Formularios T-13 y T-17 deben mostrar, con fórmulas vivas que se recalculan al cambiar un dato.</t>
        </is>
      </c>
    </row>
    <row r="5">
      <c r="A5" s="3" t="inlineStr">
        <is>
          <t>Convención de colores</t>
        </is>
      </c>
      <c r="B5" s="4" t="inlineStr">
        <is>
          <t>Texto azul = dato de entrada tomado de las Bases o de otro subdocumento. Fondo amarillo = supuesto de LafroX que el grupo debe confirmar. Texto verde = vínculo a la hoja Datos_Base. Texto negro = fórmula.</t>
        </is>
      </c>
    </row>
    <row r="6">
      <c r="A6" s="3" t="inlineStr">
        <is>
          <t>Cómo se usa</t>
        </is>
      </c>
      <c r="B6" s="4" t="inlineStr">
        <is>
          <t>Cambiar un valor sólo en Datos_Base (o en una celda amarilla). Las demás hojas lo leen de allí. Excel recalcula al abrir.</t>
        </is>
      </c>
    </row>
    <row r="7">
      <c r="A7" s="3" t="inlineStr">
        <is>
          <t>Datos_Base</t>
        </is>
      </c>
      <c r="B7" s="4" t="inlineStr">
        <is>
          <t>Todos los datos con valor, unidad y fuente (archivo y sección).</t>
        </is>
      </c>
    </row>
    <row r="8">
      <c r="A8" s="3" t="inlineStr">
        <is>
          <t>ISO25010</t>
        </is>
      </c>
      <c r="B8" s="4" t="inlineStr">
        <is>
          <t>Umbrales por característica y subcaracterística (Art. 24 BA) con método, ambiente y paquete EDT.</t>
        </is>
      </c>
    </row>
    <row r="9">
      <c r="A9" s="3" t="inlineStr">
        <is>
          <t>Metricas_Codigo</t>
        </is>
      </c>
      <c r="B9" s="4" t="inlineStr">
        <is>
          <t>Umbrales bloqueantes de código por lenguaje y puerta; columna «Medido» para simular una medición.</t>
        </is>
      </c>
    </row>
    <row r="10">
      <c r="A10" s="3" t="inlineStr">
        <is>
          <t>Carga_Estres</t>
        </is>
      </c>
      <c r="B10" s="4" t="inlineStr">
        <is>
          <t>TPS, usuarios, dispositivos y mensajes para la prueba a 1,5× el peak y los escalones de estrés.</t>
        </is>
      </c>
    </row>
    <row r="11">
      <c r="A11" s="3" t="inlineStr">
        <is>
          <t>Disponibilidad</t>
        </is>
      </c>
      <c r="B11" s="4" t="inlineStr">
        <is>
          <t>Presupuesto de error por nivel de servicio (SD4 Tabla 16).</t>
        </is>
      </c>
    </row>
    <row r="12">
      <c r="A12" s="3" t="inlineStr">
        <is>
          <t>Casos_Prueba</t>
        </is>
      </c>
      <c r="B12" s="4" t="inlineStr">
        <is>
          <t>Estimación del número de casos y de la duración de la batería de regresión.</t>
        </is>
      </c>
    </row>
    <row r="13">
      <c r="A13" s="3" t="inlineStr">
        <is>
          <t>HH_Calidad</t>
        </is>
      </c>
      <c r="B13" s="4" t="inlineStr">
        <is>
          <t>Paquetes de calidad del T-15 distribuidos por mes, totales por rol y categoría de costo de la calidad, capacidad de evaluadores.</t>
        </is>
      </c>
    </row>
    <row r="14">
      <c r="A14" s="3" t="inlineStr">
        <is>
          <t>Calendario</t>
        </is>
      </c>
      <c r="B14" s="4" t="inlineStr">
        <is>
          <t>Matriz de 56 meses por tipo de prueba, con congelamientos y conteos (insumo de T-13 y Figura 9.9).</t>
        </is>
      </c>
    </row>
    <row r="15">
      <c r="A15" s="3" t="inlineStr">
        <is>
          <t>Aceptacion_T17</t>
        </is>
      </c>
      <c r="B15" s="4" t="inlineStr">
        <is>
          <t>Hitos H1–H12: entrega, revisión de 10 días hábiles, subsanación de 10 y holgura contra la reserva del T-15.</t>
        </is>
      </c>
    </row>
    <row r="16">
      <c r="A16" s="3" t="inlineStr">
        <is>
          <t>COQ</t>
        </is>
      </c>
      <c r="B16" s="4" t="inlineStr">
        <is>
          <t>Costo de la calidad en HH (PMBOK cap. 8): prevención, evaluación, fallas internas y externas.</t>
        </is>
      </c>
    </row>
    <row r="17">
      <c r="A17" s="3" t="inlineStr">
        <is>
          <t>Metricas_Proceso</t>
        </is>
      </c>
      <c r="B17" s="4" t="inlineStr">
        <is>
          <t>DRE, densidad de defectos, métricas DORA y consumo del presupuesto de error, con valores de ejemplo.</t>
        </is>
      </c>
    </row>
    <row r="18">
      <c r="A18" s="3" t="inlineStr">
        <is>
          <t>Inconsistencias</t>
        </is>
      </c>
      <c r="B18" s="4" t="inlineStr">
        <is>
          <t>Contradicciones detectadas entre subdocumentos con la corrección propuesta.</t>
        </is>
      </c>
    </row>
    <row r="19">
      <c r="A19" s="3" t="inlineStr">
        <is>
          <t>Figuras</t>
        </is>
      </c>
      <c r="B19" s="4" t="inlineStr">
        <is>
          <t>Las 10 figuras draw.io planificadas para el SD9.</t>
        </is>
      </c>
    </row>
    <row r="20">
      <c r="A20" s="3" t="inlineStr">
        <is>
          <t>Mes 1</t>
        </is>
      </c>
      <c r="B20" s="4" t="inlineStr">
        <is>
          <t>Febrero de 2027 (T-14/T-15). Mes m = febrero 2027 + (m − 1) meses.</t>
        </is>
      </c>
    </row>
    <row r="21">
      <c r="A21" s="3" t="inlineStr">
        <is>
          <t>Decisiones vigentes</t>
        </is>
      </c>
      <c r="B21" s="4" t="inlineStr">
        <is>
          <t>Cobertura: ≥70 % lógica de negocio Y ≥80 % unitaria global, ambas bloqueantes. Pruebas de intrusión: anuales y antes de cada paso a producción.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14" customWidth="1" min="4" max="4"/>
    <col width="62" customWidth="1" min="5" max="5"/>
    <col width="10" customWidth="1" min="6" max="6"/>
  </cols>
  <sheetData>
    <row r="1">
      <c r="A1" s="1" t="inlineStr">
        <is>
          <t>Datos base</t>
        </is>
      </c>
    </row>
    <row r="2">
      <c r="A2" s="2" t="inlineStr">
        <is>
          <t>Fuente de todas las demás hojas. Azul = dato de fuente; amarillo = supuesto de LafroX.</t>
        </is>
      </c>
    </row>
    <row r="4">
      <c r="A4" s="5" t="inlineStr">
        <is>
          <t>ID</t>
        </is>
      </c>
      <c r="B4" s="5" t="inlineStr">
        <is>
          <t>Dato</t>
        </is>
      </c>
      <c r="C4" s="5" t="inlineStr">
        <is>
          <t>Valor</t>
        </is>
      </c>
      <c r="D4" s="5" t="inlineStr">
        <is>
          <t>Unidad</t>
        </is>
      </c>
      <c r="E4" s="5" t="inlineStr">
        <is>
          <t>Fuente</t>
        </is>
      </c>
      <c r="F4" s="5" t="inlineStr">
        <is>
          <t>Tipo</t>
        </is>
      </c>
    </row>
    <row r="5">
      <c r="A5" s="3" t="inlineStr">
        <is>
          <t>TPS_REG</t>
        </is>
      </c>
      <c r="B5" s="4" t="inlineStr">
        <is>
          <t>Transacciones por segundo en régimen normal</t>
        </is>
      </c>
      <c r="C5" s="6" t="n">
        <v>12.34</v>
      </c>
      <c r="D5" s="4" t="inlineStr">
        <is>
          <t>TPS</t>
        </is>
      </c>
      <c r="E5" s="4" t="inlineStr">
        <is>
          <t>SD4 §4.2, Tabla 33</t>
        </is>
      </c>
      <c r="F5" s="4" t="inlineStr">
        <is>
          <t>Fuente</t>
        </is>
      </c>
    </row>
    <row r="6">
      <c r="A6" s="3" t="inlineStr">
        <is>
          <t>TPS_DESP</t>
        </is>
      </c>
      <c r="B6" s="4" t="inlineStr">
        <is>
          <t>TPS en el peak de la ventana de despacho 05:30–07:00</t>
        </is>
      </c>
      <c r="C6" s="6" t="n">
        <v>6.94</v>
      </c>
      <c r="D6" s="4" t="inlineStr">
        <is>
          <t>TPS</t>
        </is>
      </c>
      <c r="E6" s="4" t="inlineStr">
        <is>
          <t>SD4 §4.2, Tabla 33</t>
        </is>
      </c>
      <c r="F6" s="4" t="inlineStr">
        <is>
          <t>Fuente</t>
        </is>
      </c>
    </row>
    <row r="7">
      <c r="A7" s="3" t="inlineStr">
        <is>
          <t>TPS_SEP</t>
        </is>
      </c>
      <c r="B7" s="4" t="inlineStr">
        <is>
          <t>TPS en el peak de septiembre (base de la prueba de carga)</t>
        </is>
      </c>
      <c r="C7" s="6" t="n">
        <v>14.66</v>
      </c>
      <c r="D7" s="4" t="inlineStr">
        <is>
          <t>TPS</t>
        </is>
      </c>
      <c r="E7" s="4" t="inlineStr">
        <is>
          <t>SD4 §4.2, Tabla 33</t>
        </is>
      </c>
      <c r="F7" s="4" t="inlineStr">
        <is>
          <t>Fuente</t>
        </is>
      </c>
    </row>
    <row r="8">
      <c r="A8" s="3" t="inlineStr">
        <is>
          <t>FACT_CARGA</t>
        </is>
      </c>
      <c r="B8" s="4" t="inlineStr">
        <is>
          <t>Factor de la prueba de carga sobre el peak</t>
        </is>
      </c>
      <c r="C8" s="6" t="n">
        <v>1.5</v>
      </c>
      <c r="D8" s="4" t="inlineStr">
        <is>
          <t>×</t>
        </is>
      </c>
      <c r="E8" s="4" t="inlineStr">
        <is>
          <t>BA Art. 24; BTT RT-09.06; BTT §20.1</t>
        </is>
      </c>
      <c r="F8" s="4" t="inlineStr">
        <is>
          <t>Fuente</t>
        </is>
      </c>
    </row>
    <row r="9">
      <c r="A9" s="3" t="inlineStr">
        <is>
          <t>FACT_CREC</t>
        </is>
      </c>
      <c r="B9" s="4" t="inlineStr">
        <is>
          <t>Crecimiento sin rediseño en 3 años</t>
        </is>
      </c>
      <c r="C9" s="7" t="n">
        <v>3</v>
      </c>
      <c r="D9" s="4" t="inlineStr">
        <is>
          <t>×</t>
        </is>
      </c>
      <c r="E9" s="4" t="inlineStr">
        <is>
          <t>BTT RT-09.03</t>
        </is>
      </c>
      <c r="F9" s="4" t="inlineStr">
        <is>
          <t>Fuente</t>
        </is>
      </c>
    </row>
    <row r="10">
      <c r="A10" s="3" t="inlineStr">
        <is>
          <t>USR_REG</t>
        </is>
      </c>
      <c r="B10" s="4" t="inlineStr">
        <is>
          <t>Usuarios concurrentes en régimen</t>
        </is>
      </c>
      <c r="C10" s="6" t="n">
        <v>438.3</v>
      </c>
      <c r="D10" s="4" t="inlineStr">
        <is>
          <t>usuarios</t>
        </is>
      </c>
      <c r="E10" s="4" t="inlineStr">
        <is>
          <t>SD4 §4.2, Tabla 33</t>
        </is>
      </c>
      <c r="F10" s="4" t="inlineStr">
        <is>
          <t>Fuente</t>
        </is>
      </c>
    </row>
    <row r="11">
      <c r="A11" s="3" t="inlineStr">
        <is>
          <t>USR_MAX</t>
        </is>
      </c>
      <c r="B11" s="4" t="inlineStr">
        <is>
          <t>Usuarios concurrentes, cota extrema</t>
        </is>
      </c>
      <c r="C11" s="6" t="n">
        <v>775.33</v>
      </c>
      <c r="D11" s="4" t="inlineStr">
        <is>
          <t>usuarios</t>
        </is>
      </c>
      <c r="E11" s="4" t="inlineStr">
        <is>
          <t>SD4 §4.2, Tabla 33</t>
        </is>
      </c>
      <c r="F11" s="4" t="inlineStr">
        <is>
          <t>Fuente</t>
        </is>
      </c>
    </row>
    <row r="12">
      <c r="A12" s="3" t="inlineStr">
        <is>
          <t>USR_REGIS</t>
        </is>
      </c>
      <c r="B12" s="4" t="inlineStr">
        <is>
          <t>Personas usuarias registradas</t>
        </is>
      </c>
      <c r="C12" s="7" t="n">
        <v>15180</v>
      </c>
      <c r="D12" s="4" t="inlineStr">
        <is>
          <t>usuarios</t>
        </is>
      </c>
      <c r="E12" s="4" t="inlineStr">
        <is>
          <t>SD4 §4.2, Tabla 33</t>
        </is>
      </c>
      <c r="F12" s="4" t="inlineStr">
        <is>
          <t>Fuente</t>
        </is>
      </c>
    </row>
    <row r="13">
      <c r="A13" s="3" t="inlineStr">
        <is>
          <t>DISP</t>
        </is>
      </c>
      <c r="B13" s="4" t="inlineStr">
        <is>
          <t>Dispositivos de terreno en operación simultánea</t>
        </is>
      </c>
      <c r="C13" s="7" t="n">
        <v>158</v>
      </c>
      <c r="D13" s="4" t="inlineStr">
        <is>
          <t>disp.</t>
        </is>
      </c>
      <c r="E13" s="4" t="inlineStr">
        <is>
          <t>SD4 §4.2, Tabla 33</t>
        </is>
      </c>
      <c r="F13" s="4" t="inlineStr">
        <is>
          <t>Fuente</t>
        </is>
      </c>
    </row>
    <row r="14">
      <c r="A14" s="3" t="inlineStr">
        <is>
          <t>MSG_NORM</t>
        </is>
      </c>
      <c r="B14" s="4" t="inlineStr">
        <is>
          <t>Mensajes de integración por día, régimen</t>
        </is>
      </c>
      <c r="C14" s="7" t="n">
        <v>230252</v>
      </c>
      <c r="D14" s="4" t="inlineStr">
        <is>
          <t>msj/día</t>
        </is>
      </c>
      <c r="E14" s="4" t="inlineStr">
        <is>
          <t>SD4 §4.2 (INT-01 a INT-15)</t>
        </is>
      </c>
      <c r="F14" s="4" t="inlineStr">
        <is>
          <t>Fuente</t>
        </is>
      </c>
    </row>
    <row r="15">
      <c r="A15" s="3" t="inlineStr">
        <is>
          <t>MSG_PEAK</t>
        </is>
      </c>
      <c r="B15" s="4" t="inlineStr">
        <is>
          <t>Mensajes de integración por día, peak</t>
        </is>
      </c>
      <c r="C15" s="7" t="n">
        <v>353333</v>
      </c>
      <c r="D15" s="4" t="inlineStr">
        <is>
          <t>msj/día</t>
        </is>
      </c>
      <c r="E15" s="4" t="inlineStr">
        <is>
          <t>SD4 §4.2 (INT-01 a INT-15)</t>
        </is>
      </c>
      <c r="F15" s="4" t="inlineStr">
        <is>
          <t>Fuente</t>
        </is>
      </c>
    </row>
    <row r="16">
      <c r="A16" s="3" t="inlineStr">
        <is>
          <t>N_MOD</t>
        </is>
      </c>
      <c r="B16" s="4" t="inlineStr">
        <is>
          <t>Módulos del monolito modular (M1–M12)</t>
        </is>
      </c>
      <c r="C16" s="7" t="n">
        <v>12</v>
      </c>
      <c r="D16" s="4" t="inlineStr">
        <is>
          <t>módulos</t>
        </is>
      </c>
      <c r="E16" s="4" t="inlineStr">
        <is>
          <t>SD4 §4.1</t>
        </is>
      </c>
      <c r="F16" s="4" t="inlineStr">
        <is>
          <t>Fuente</t>
        </is>
      </c>
    </row>
    <row r="17">
      <c r="A17" s="3" t="inlineStr">
        <is>
          <t>N_INT</t>
        </is>
      </c>
      <c r="B17" s="4" t="inlineStr">
        <is>
          <t>Integraciones (INT-01 a INT-15)</t>
        </is>
      </c>
      <c r="C17" s="7" t="n">
        <v>15</v>
      </c>
      <c r="D17" s="4" t="inlineStr">
        <is>
          <t>integr.</t>
        </is>
      </c>
      <c r="E17" s="4" t="inlineStr">
        <is>
          <t>SD4 §4.1</t>
        </is>
      </c>
      <c r="F17" s="4" t="inlineStr">
        <is>
          <t>Fuente</t>
        </is>
      </c>
    </row>
    <row r="18">
      <c r="A18" s="3" t="inlineStr">
        <is>
          <t>SLA_CRIT</t>
        </is>
      </c>
      <c r="B18" s="4" t="inlineStr">
        <is>
          <t>Disponibilidad mensual, servicios críticos</t>
        </is>
      </c>
      <c r="C18" s="8" t="n">
        <v>0.999</v>
      </c>
      <c r="D18" s="4" t="inlineStr">
        <is>
          <t>%</t>
        </is>
      </c>
      <c r="E18" s="4" t="inlineStr">
        <is>
          <t>BTT RT-10.01; SD4 Tabla 16</t>
        </is>
      </c>
      <c r="F18" s="4" t="inlineStr">
        <is>
          <t>Fuente</t>
        </is>
      </c>
    </row>
    <row r="19">
      <c r="A19" s="3" t="inlineStr">
        <is>
          <t>SLA_ALTO</t>
        </is>
      </c>
      <c r="B19" s="4" t="inlineStr">
        <is>
          <t>Disponibilidad mensual, servicios altos</t>
        </is>
      </c>
      <c r="C19" s="8" t="n">
        <v>0.995</v>
      </c>
      <c r="D19" s="4" t="inlineStr">
        <is>
          <t>%</t>
        </is>
      </c>
      <c r="E19" s="4" t="inlineStr">
        <is>
          <t>SD4 Tabla 16</t>
        </is>
      </c>
      <c r="F19" s="4" t="inlineStr">
        <is>
          <t>Fuente</t>
        </is>
      </c>
    </row>
    <row r="20">
      <c r="A20" s="3" t="inlineStr">
        <is>
          <t>SLA_MED</t>
        </is>
      </c>
      <c r="B20" s="4" t="inlineStr">
        <is>
          <t>Disponibilidad mensual, servicios medios</t>
        </is>
      </c>
      <c r="C20" s="8" t="n">
        <v>0.99</v>
      </c>
      <c r="D20" s="4" t="inlineStr">
        <is>
          <t>%</t>
        </is>
      </c>
      <c r="E20" s="4" t="inlineStr">
        <is>
          <t>SD4 Tabla 16</t>
        </is>
      </c>
      <c r="F20" s="4" t="inlineStr">
        <is>
          <t>Fuente</t>
        </is>
      </c>
    </row>
    <row r="21">
      <c r="A21" s="3" t="inlineStr">
        <is>
          <t>SLA_BAJO</t>
        </is>
      </c>
      <c r="B21" s="4" t="inlineStr">
        <is>
          <t>Disponibilidad mensual, servicios bajos</t>
        </is>
      </c>
      <c r="C21" s="8" t="n">
        <v>0.98</v>
      </c>
      <c r="D21" s="4" t="inlineStr">
        <is>
          <t>%</t>
        </is>
      </c>
      <c r="E21" s="4" t="inlineStr">
        <is>
          <t>SD4 Tabla 16</t>
        </is>
      </c>
      <c r="F21" s="4" t="inlineStr">
        <is>
          <t>Fuente</t>
        </is>
      </c>
    </row>
    <row r="22">
      <c r="A22" s="3" t="inlineStr">
        <is>
          <t>DIAS_MES</t>
        </is>
      </c>
      <c r="B22" s="4" t="inlineStr">
        <is>
          <t>Días por mes para el presupuesto de error</t>
        </is>
      </c>
      <c r="C22" s="9" t="n">
        <v>30</v>
      </c>
      <c r="D22" s="4" t="inlineStr">
        <is>
          <t>días</t>
        </is>
      </c>
      <c r="E22" s="4" t="inlineStr">
        <is>
          <t>Convención (SD4 §4.2.4: 43 min/mes)</t>
        </is>
      </c>
      <c r="F22" s="4" t="inlineStr">
        <is>
          <t>Supuesto</t>
        </is>
      </c>
    </row>
    <row r="23">
      <c r="A23" s="3" t="inlineStr">
        <is>
          <t>RTO</t>
        </is>
      </c>
      <c r="B23" s="4" t="inlineStr">
        <is>
          <t>RTO comprometido</t>
        </is>
      </c>
      <c r="C23" s="7" t="n">
        <v>4</v>
      </c>
      <c r="D23" s="4" t="inlineStr">
        <is>
          <t>h</t>
        </is>
      </c>
      <c r="E23" s="4" t="inlineStr">
        <is>
          <t>SD4 Tabla 38; SD3 Anexos RNF</t>
        </is>
      </c>
      <c r="F23" s="4" t="inlineStr">
        <is>
          <t>Fuente</t>
        </is>
      </c>
    </row>
    <row r="24">
      <c r="A24" s="3" t="inlineStr">
        <is>
          <t>RPO</t>
        </is>
      </c>
      <c r="B24" s="4" t="inlineStr">
        <is>
          <t>RPO comprometido</t>
        </is>
      </c>
      <c r="C24" s="7" t="n">
        <v>15</v>
      </c>
      <c r="D24" s="4" t="inlineStr">
        <is>
          <t>min</t>
        </is>
      </c>
      <c r="E24" s="4" t="inlineStr">
        <is>
          <t>SD4 Tabla 38; SD3 Anexos RNF</t>
        </is>
      </c>
      <c r="F24" s="4" t="inlineStr">
        <is>
          <t>Fuente</t>
        </is>
      </c>
    </row>
    <row r="25">
      <c r="A25" s="3" t="inlineStr">
        <is>
          <t>REVERS</t>
        </is>
      </c>
      <c r="B25" s="4" t="inlineStr">
        <is>
          <t>Reversión técnica automática</t>
        </is>
      </c>
      <c r="C25" s="7" t="n">
        <v>10</v>
      </c>
      <c r="D25" s="4" t="inlineStr">
        <is>
          <t>min</t>
        </is>
      </c>
      <c r="E25" s="4" t="inlineStr">
        <is>
          <t>SD4 §4.2.4.1.2; T-18</t>
        </is>
      </c>
      <c r="F25" s="4" t="inlineStr">
        <is>
          <t>Fuente</t>
        </is>
      </c>
    </row>
    <row r="26">
      <c r="A26" s="3" t="inlineStr">
        <is>
          <t>REVERS_TOT</t>
        </is>
      </c>
      <c r="B26" s="4" t="inlineStr">
        <is>
          <t>Reversión completa en ventana de despacho</t>
        </is>
      </c>
      <c r="C26" s="7" t="n">
        <v>40</v>
      </c>
      <c r="D26" s="4" t="inlineStr">
        <is>
          <t>min</t>
        </is>
      </c>
      <c r="E26" s="4" t="inlineStr">
        <is>
          <t>SD3 §3.4; T-18</t>
        </is>
      </c>
      <c r="F26" s="4" t="inlineStr">
        <is>
          <t>Fuente</t>
        </is>
      </c>
    </row>
    <row r="27">
      <c r="A27" s="3" t="inlineStr">
        <is>
          <t>COB_NEG</t>
        </is>
      </c>
      <c r="B27" s="4" t="inlineStr">
        <is>
          <t>Cobertura mínima lógica de negocio (bloqueante)</t>
        </is>
      </c>
      <c r="C27" s="8" t="n">
        <v>0.7</v>
      </c>
      <c r="D27" s="4" t="inlineStr">
        <is>
          <t>%</t>
        </is>
      </c>
      <c r="E27" s="4" t="inlineStr">
        <is>
          <t>BA Art. 24; BTT RT-04.11</t>
        </is>
      </c>
      <c r="F27" s="4" t="inlineStr">
        <is>
          <t>Fuente</t>
        </is>
      </c>
    </row>
    <row r="28">
      <c r="A28" s="3" t="inlineStr">
        <is>
          <t>COB_GLOB</t>
        </is>
      </c>
      <c r="B28" s="4" t="inlineStr">
        <is>
          <t>Cobertura unitaria global (bloqueante)</t>
        </is>
      </c>
      <c r="C28" s="8" t="n">
        <v>0.8</v>
      </c>
      <c r="D28" s="4" t="inlineStr">
        <is>
          <t>%</t>
        </is>
      </c>
      <c r="E28" s="4" t="inlineStr">
        <is>
          <t>SD1 §1.3; SD6 §6.2 (decisión del grupo)</t>
        </is>
      </c>
      <c r="F28" s="4" t="inlineStr">
        <is>
          <t>Fuente</t>
        </is>
      </c>
    </row>
    <row r="29">
      <c r="A29" s="3" t="inlineStr">
        <is>
          <t>FALLIDOS</t>
        </is>
      </c>
      <c r="B29" s="4" t="inlineStr">
        <is>
          <t>Tasa máxima de cambios fallidos</t>
        </is>
      </c>
      <c r="C29" s="8" t="n">
        <v>0.05</v>
      </c>
      <c r="D29" s="4" t="inlineStr">
        <is>
          <t>%</t>
        </is>
      </c>
      <c r="E29" s="4" t="inlineStr">
        <is>
          <t>SD4 §4.2.4 (RT-04.12)</t>
        </is>
      </c>
      <c r="F29" s="4" t="inlineStr">
        <is>
          <t>Fuente</t>
        </is>
      </c>
    </row>
    <row r="30">
      <c r="A30" s="3" t="inlineStr">
        <is>
          <t>LEADTIME</t>
        </is>
      </c>
      <c r="B30" s="4" t="inlineStr">
        <is>
          <t>Tiempo máximo del commit a producción</t>
        </is>
      </c>
      <c r="C30" s="7" t="n">
        <v>5</v>
      </c>
      <c r="D30" s="4" t="inlineStr">
        <is>
          <t>días háb.</t>
        </is>
      </c>
      <c r="E30" s="4" t="inlineStr">
        <is>
          <t>SD4 §4.2.4 (RT-04.12)</t>
        </is>
      </c>
      <c r="F30" s="4" t="inlineStr">
        <is>
          <t>Fuente</t>
        </is>
      </c>
    </row>
    <row r="31">
      <c r="A31" s="3" t="inlineStr">
        <is>
          <t>MTTR</t>
        </is>
      </c>
      <c r="B31" s="4" t="inlineStr">
        <is>
          <t>Tiempo de restauración</t>
        </is>
      </c>
      <c r="C31" s="7" t="n">
        <v>4</v>
      </c>
      <c r="D31" s="4" t="inlineStr">
        <is>
          <t>h</t>
        </is>
      </c>
      <c r="E31" s="4" t="inlineStr">
        <is>
          <t>SD4 §4.2.4 (RT-04.12)</t>
        </is>
      </c>
      <c r="F31" s="4" t="inlineStr">
        <is>
          <t>Fuente</t>
        </is>
      </c>
    </row>
    <row r="32">
      <c r="A32" s="3" t="inlineStr">
        <is>
          <t>ITER</t>
        </is>
      </c>
      <c r="B32" s="4" t="inlineStr">
        <is>
          <t>Duración de la iteración</t>
        </is>
      </c>
      <c r="C32" s="7" t="n">
        <v>2</v>
      </c>
      <c r="D32" s="4" t="inlineStr">
        <is>
          <t>semanas</t>
        </is>
      </c>
      <c r="E32" s="4" t="inlineStr">
        <is>
          <t>SD6 §6.2</t>
        </is>
      </c>
      <c r="F32" s="4" t="inlineStr">
        <is>
          <t>Fuente</t>
        </is>
      </c>
    </row>
    <row r="33">
      <c r="A33" s="3" t="inlineStr">
        <is>
          <t>REV_DIAS</t>
        </is>
      </c>
      <c r="B33" s="4" t="inlineStr">
        <is>
          <t>Plazo de revisión del CLIENTE por entregable</t>
        </is>
      </c>
      <c r="C33" s="7" t="n">
        <v>10</v>
      </c>
      <c r="D33" s="4" t="inlineStr">
        <is>
          <t>días háb.</t>
        </is>
      </c>
      <c r="E33" s="4" t="inlineStr">
        <is>
          <t>BA Art. 18.3</t>
        </is>
      </c>
      <c r="F33" s="4" t="inlineStr">
        <is>
          <t>Fuente</t>
        </is>
      </c>
    </row>
    <row r="34">
      <c r="A34" s="3" t="inlineStr">
        <is>
          <t>SUBS_DIAS</t>
        </is>
      </c>
      <c r="B34" s="4" t="inlineStr">
        <is>
          <t>Plazo de subsanación de observaciones</t>
        </is>
      </c>
      <c r="C34" s="7" t="n">
        <v>10</v>
      </c>
      <c r="D34" s="4" t="inlineStr">
        <is>
          <t>días háb.</t>
        </is>
      </c>
      <c r="E34" s="4" t="inlineStr">
        <is>
          <t>BA Art. 18.3</t>
        </is>
      </c>
      <c r="F34" s="4" t="inlineStr">
        <is>
          <t>Fuente</t>
        </is>
      </c>
    </row>
    <row r="35">
      <c r="A35" s="3" t="inlineStr">
        <is>
          <t>N_RF</t>
        </is>
      </c>
      <c r="B35" s="4" t="inlineStr">
        <is>
          <t>Filas RF del T-12</t>
        </is>
      </c>
      <c r="C35" s="7" t="n">
        <v>181</v>
      </c>
      <c r="D35" s="4" t="inlineStr">
        <is>
          <t>req.</t>
        </is>
      </c>
      <c r="E35" s="4" t="inlineStr">
        <is>
          <t>T-12 Parte A</t>
        </is>
      </c>
      <c r="F35" s="4" t="inlineStr">
        <is>
          <t>Fuente</t>
        </is>
      </c>
    </row>
    <row r="36">
      <c r="A36" s="3" t="inlineStr">
        <is>
          <t>N_RNF</t>
        </is>
      </c>
      <c r="B36" s="4" t="inlineStr">
        <is>
          <t>Filas RNF del T-12</t>
        </is>
      </c>
      <c r="C36" s="7" t="n">
        <v>90</v>
      </c>
      <c r="D36" s="4" t="inlineStr">
        <is>
          <t>req.</t>
        </is>
      </c>
      <c r="E36" s="4" t="inlineStr">
        <is>
          <t>T-12 Parte A</t>
        </is>
      </c>
      <c r="F36" s="4" t="inlineStr">
        <is>
          <t>Fuente</t>
        </is>
      </c>
    </row>
    <row r="37">
      <c r="A37" s="3" t="inlineStr">
        <is>
          <t>N_CRIT</t>
        </is>
      </c>
      <c r="B37" s="4" t="inlineStr">
        <is>
          <t>RF/RNF ofertados de prioridad crítica</t>
        </is>
      </c>
      <c r="C37" s="7" t="n">
        <v>56</v>
      </c>
      <c r="D37" s="4" t="inlineStr">
        <is>
          <t>req.</t>
        </is>
      </c>
      <c r="E37" s="4" t="inlineStr">
        <is>
          <t>T-12 Parte A + prioridad SD3 Anexos 3.A/3.B (Anexo 9.C)</t>
        </is>
      </c>
      <c r="F37" s="4" t="inlineStr">
        <is>
          <t>Fuente</t>
        </is>
      </c>
    </row>
    <row r="38">
      <c r="A38" s="3" t="inlineStr">
        <is>
          <t>N_ALTO</t>
        </is>
      </c>
      <c r="B38" s="4" t="inlineStr">
        <is>
          <t>RF/RNF ofertados de prioridad alta</t>
        </is>
      </c>
      <c r="C38" s="7" t="n">
        <v>160</v>
      </c>
      <c r="D38" s="4" t="inlineStr">
        <is>
          <t>req.</t>
        </is>
      </c>
      <c r="E38" s="4" t="inlineStr">
        <is>
          <t>T-12 Parte A + prioridad SD3 Anexos 3.A/3.B (Anexo 9.C)</t>
        </is>
      </c>
      <c r="F38" s="4" t="inlineStr">
        <is>
          <t>Fuente</t>
        </is>
      </c>
    </row>
    <row r="39">
      <c r="A39" s="3" t="inlineStr">
        <is>
          <t>N_MEDIO</t>
        </is>
      </c>
      <c r="B39" s="4" t="inlineStr">
        <is>
          <t>RF/RNF ofertados de prioridad media</t>
        </is>
      </c>
      <c r="C39" s="7" t="n">
        <v>43</v>
      </c>
      <c r="D39" s="4" t="inlineStr">
        <is>
          <t>req.</t>
        </is>
      </c>
      <c r="E39" s="4" t="inlineStr">
        <is>
          <t>T-12 Parte A + prioridad SD3 Anexos 3.A/3.B (Anexo 9.C)</t>
        </is>
      </c>
      <c r="F39" s="4" t="inlineStr">
        <is>
          <t>Fuente</t>
        </is>
      </c>
    </row>
    <row r="40">
      <c r="A40" s="3" t="inlineStr">
        <is>
          <t>N_ABS</t>
        </is>
      </c>
      <c r="B40" s="4" t="inlineStr">
        <is>
          <t>RF/RNF absorbidos por otra fila (se prueban con ella)</t>
        </is>
      </c>
      <c r="C40" s="7" t="n">
        <v>9</v>
      </c>
      <c r="D40" s="4" t="inlineStr">
        <is>
          <t>req.</t>
        </is>
      </c>
      <c r="E40" s="4" t="inlineStr">
        <is>
          <t>SD3 Anexos 3.A y Tabla 3.A.5a (Anexo 9.C)</t>
        </is>
      </c>
      <c r="F40" s="4" t="inlineStr">
        <is>
          <t>Fuente</t>
        </is>
      </c>
    </row>
    <row r="41">
      <c r="A41" s="3" t="inlineStr">
        <is>
          <t>N_NOC_A</t>
        </is>
      </c>
      <c r="B41" s="4" t="inlineStr">
        <is>
          <t>RF/RNF en estado No cumple</t>
        </is>
      </c>
      <c r="C41" s="7" t="n">
        <v>3</v>
      </c>
      <c r="D41" s="4" t="inlineStr">
        <is>
          <t>req.</t>
        </is>
      </c>
      <c r="E41" s="4" t="inlineStr">
        <is>
          <t>T-12 Parte A</t>
        </is>
      </c>
      <c r="F41" s="4" t="inlineStr">
        <is>
          <t>Fuente</t>
        </is>
      </c>
    </row>
    <row r="42">
      <c r="A42" s="3" t="inlineStr">
        <is>
          <t>RT_CUMPLE</t>
        </is>
      </c>
      <c r="B42" s="4" t="inlineStr">
        <is>
          <t>RT del T-12 en estado Cumple</t>
        </is>
      </c>
      <c r="C42" s="7" t="n">
        <v>242</v>
      </c>
      <c r="D42" s="4" t="inlineStr">
        <is>
          <t>RT</t>
        </is>
      </c>
      <c r="E42" s="4" t="inlineStr">
        <is>
          <t>T-12 Parte B</t>
        </is>
      </c>
      <c r="F42" s="4" t="inlineStr">
        <is>
          <t>Fuente</t>
        </is>
      </c>
    </row>
    <row r="43">
      <c r="A43" s="3" t="inlineStr">
        <is>
          <t>RT_PARC</t>
        </is>
      </c>
      <c r="B43" s="4" t="inlineStr">
        <is>
          <t>RT del T-12 en estado Cumple parcialmente</t>
        </is>
      </c>
      <c r="C43" s="7" t="n">
        <v>104</v>
      </c>
      <c r="D43" s="4" t="inlineStr">
        <is>
          <t>RT</t>
        </is>
      </c>
      <c r="E43" s="4" t="inlineStr">
        <is>
          <t>T-12 Parte B</t>
        </is>
      </c>
      <c r="F43" s="4" t="inlineStr">
        <is>
          <t>Fuente</t>
        </is>
      </c>
    </row>
    <row r="44">
      <c r="A44" s="3" t="inlineStr">
        <is>
          <t>RT_NO</t>
        </is>
      </c>
      <c r="B44" s="4" t="inlineStr">
        <is>
          <t>RT del T-12 en estado No cumple</t>
        </is>
      </c>
      <c r="C44" s="7" t="n">
        <v>28</v>
      </c>
      <c r="D44" s="4" t="inlineStr">
        <is>
          <t>RT</t>
        </is>
      </c>
      <c r="E44" s="4" t="inlineStr">
        <is>
          <t>T-12 Parte B</t>
        </is>
      </c>
      <c r="F44" s="4" t="inlineStr">
        <is>
          <t>Fuente</t>
        </is>
      </c>
    </row>
    <row r="45">
      <c r="A45" s="3" t="inlineStr">
        <is>
          <t>T12_IDS</t>
        </is>
      </c>
      <c r="B45" s="4" t="inlineStr">
        <is>
          <t>IDs totales del T-12</t>
        </is>
      </c>
      <c r="C45" s="7" t="n">
        <v>645</v>
      </c>
      <c r="D45" s="4" t="inlineStr">
        <is>
          <t>IDs</t>
        </is>
      </c>
      <c r="E45" s="4" t="inlineStr">
        <is>
          <t>T-12</t>
        </is>
      </c>
      <c r="F45" s="4" t="inlineStr">
        <is>
          <t>Fuente</t>
        </is>
      </c>
    </row>
    <row r="46">
      <c r="A46" s="3" t="inlineStr">
        <is>
          <t>R18</t>
        </is>
      </c>
      <c r="B46" s="4" t="inlineStr">
        <is>
          <t>Resultados de aceptación del Caso (cap. 18)</t>
        </is>
      </c>
      <c r="C46" s="7" t="n">
        <v>16</v>
      </c>
      <c r="D46" s="4" t="inlineStr">
        <is>
          <t>result.</t>
        </is>
      </c>
      <c r="E46" s="4" t="inlineStr">
        <is>
          <t>Caso cap. 18; SD3 Anexo 3.A, Tabla 3.A.13</t>
        </is>
      </c>
      <c r="F46" s="4" t="inlineStr">
        <is>
          <t>Fuente</t>
        </is>
      </c>
    </row>
    <row r="47">
      <c r="A47" s="3" t="inlineStr">
        <is>
          <t>HH_TOTAL</t>
        </is>
      </c>
      <c r="B47" s="4" t="inlineStr">
        <is>
          <t>HH programadas del proyecto (línea base)</t>
        </is>
      </c>
      <c r="C47" s="7" t="n">
        <v>216935</v>
      </c>
      <c r="D47" s="4" t="inlineStr">
        <is>
          <t>HH</t>
        </is>
      </c>
      <c r="E47" s="4" t="inlineStr">
        <is>
          <t>T-15 §4.3</t>
        </is>
      </c>
      <c r="F47" s="4" t="inlineStr">
        <is>
          <t>Fuente</t>
        </is>
      </c>
    </row>
    <row r="48">
      <c r="A48" s="3" t="inlineStr">
        <is>
          <t>CONTING</t>
        </is>
      </c>
      <c r="B48" s="4" t="inlineStr">
        <is>
          <t>Reserva de contingencia</t>
        </is>
      </c>
      <c r="C48" s="6" t="n">
        <v>20198.98</v>
      </c>
      <c r="D48" s="4" t="inlineStr">
        <is>
          <t>HH</t>
        </is>
      </c>
      <c r="E48" s="4" t="inlineStr">
        <is>
          <t>T-15 §4.5; SD8 §8.3.2</t>
        </is>
      </c>
      <c r="F48" s="4" t="inlineStr">
        <is>
          <t>Fuente</t>
        </is>
      </c>
    </row>
    <row r="49">
      <c r="A49" s="3" t="inlineStr">
        <is>
          <t>RES_E1_CAL</t>
        </is>
      </c>
      <c r="B49" s="4" t="inlineStr">
        <is>
          <t>Reserva protegida E1 de CAL (128 HH × meses 13–20)</t>
        </is>
      </c>
      <c r="C49" s="7" t="n">
        <v>1024</v>
      </c>
      <c r="D49" s="4" t="inlineStr">
        <is>
          <t>HH</t>
        </is>
      </c>
      <c r="E49" s="4" t="inlineStr">
        <is>
          <t>T-15 §4.2</t>
        </is>
      </c>
      <c r="F49" s="4" t="inlineStr">
        <is>
          <t>Fuente</t>
        </is>
      </c>
    </row>
    <row r="50">
      <c r="A50" s="3" t="inlineStr">
        <is>
          <t>EVAL_MAX</t>
        </is>
      </c>
      <c r="B50" s="4" t="inlineStr">
        <is>
          <t>Evaluadores subcontratados por día (máximo)</t>
        </is>
      </c>
      <c r="C50" s="7" t="n">
        <v>16</v>
      </c>
      <c r="D50" s="4" t="inlineStr">
        <is>
          <t>personas</t>
        </is>
      </c>
      <c r="E50" s="4" t="inlineStr">
        <is>
          <t>SD6 §6.1.3</t>
        </is>
      </c>
      <c r="F50" s="4" t="inlineStr">
        <is>
          <t>Fuente</t>
        </is>
      </c>
    </row>
    <row r="51">
      <c r="A51" s="3" t="inlineStr">
        <is>
          <t>HORAS_DIA</t>
        </is>
      </c>
      <c r="B51" s="4" t="inlineStr">
        <is>
          <t>Horas por día hábil</t>
        </is>
      </c>
      <c r="C51" s="9" t="n">
        <v>8</v>
      </c>
      <c r="D51" s="4" t="inlineStr">
        <is>
          <t>h</t>
        </is>
      </c>
      <c r="E51" s="4" t="inlineStr">
        <is>
          <t>Supuesto de cálculo (T-15 usa jornada de 8 h)</t>
        </is>
      </c>
      <c r="F51" s="4" t="inlineStr">
        <is>
          <t>Supuesto</t>
        </is>
      </c>
    </row>
    <row r="52">
      <c r="A52" s="3" t="inlineStr">
        <is>
          <t>DIAS_HAB</t>
        </is>
      </c>
      <c r="B52" s="4" t="inlineStr">
        <is>
          <t>Días hábiles por mes</t>
        </is>
      </c>
      <c r="C52" s="9" t="n">
        <v>21</v>
      </c>
      <c r="D52" s="4" t="inlineStr">
        <is>
          <t>días</t>
        </is>
      </c>
      <c r="E52" s="4" t="inlineStr">
        <is>
          <t>Supuesto de cálculo</t>
        </is>
      </c>
      <c r="F52" s="4" t="inlineStr">
        <is>
          <t>Supuesto</t>
        </is>
      </c>
    </row>
    <row r="53">
      <c r="A53" s="3" t="inlineStr">
        <is>
          <t>MESES_OP</t>
        </is>
      </c>
      <c r="B53" s="4" t="inlineStr">
        <is>
          <t>Meses de Operación (21–56)</t>
        </is>
      </c>
      <c r="C53" s="7" t="n">
        <v>36</v>
      </c>
      <c r="D53" s="4" t="inlineStr">
        <is>
          <t>meses</t>
        </is>
      </c>
      <c r="E53" s="4" t="inlineStr">
        <is>
          <t>BA Art. 17.1</t>
        </is>
      </c>
      <c r="F53" s="4" t="inlineStr">
        <is>
          <t>Fuente</t>
        </is>
      </c>
    </row>
    <row r="54">
      <c r="A54" s="3" t="inlineStr">
        <is>
          <t>R8_18</t>
        </is>
      </c>
      <c r="B54" s="4" t="inlineStr">
        <is>
          <t>Valor esperado R8-18 (marcha blanca no cumple)</t>
        </is>
      </c>
      <c r="C54" s="6" t="n">
        <v>2956.8</v>
      </c>
      <c r="D54" s="4" t="inlineStr">
        <is>
          <t>HH</t>
        </is>
      </c>
      <c r="E54" s="4" t="inlineStr">
        <is>
          <t>SD8 Anexo 8.A</t>
        </is>
      </c>
      <c r="F54" s="4" t="inlineStr">
        <is>
          <t>Fuente</t>
        </is>
      </c>
    </row>
    <row r="55">
      <c r="A55" s="3" t="inlineStr">
        <is>
          <t>R8_31</t>
        </is>
      </c>
      <c r="B55" s="4" t="inlineStr">
        <is>
          <t>Valor esperado R8-31 (repetir certificación)</t>
        </is>
      </c>
      <c r="C55" s="6" t="n">
        <v>153.6</v>
      </c>
      <c r="D55" s="4" t="inlineStr">
        <is>
          <t>HH</t>
        </is>
      </c>
      <c r="E55" s="4" t="inlineStr">
        <is>
          <t>SD8 Anexo 8.A</t>
        </is>
      </c>
      <c r="F55" s="4" t="inlineStr">
        <is>
          <t>Fuente</t>
        </is>
      </c>
    </row>
    <row r="56">
      <c r="A56" s="3" t="inlineStr">
        <is>
          <t>R8_32</t>
        </is>
      </c>
      <c r="B56" s="4" t="inlineStr">
        <is>
          <t>Valor esperado R8-32 (evaluadores no disponibles)</t>
        </is>
      </c>
      <c r="C56" s="6" t="n">
        <v>204.8</v>
      </c>
      <c r="D56" s="4" t="inlineStr">
        <is>
          <t>HH</t>
        </is>
      </c>
      <c r="E56" s="4" t="inlineStr">
        <is>
          <t>SD8 Anexo 8.A</t>
        </is>
      </c>
      <c r="F56" s="4" t="inlineStr">
        <is>
          <t>Fuente</t>
        </is>
      </c>
    </row>
    <row r="57">
      <c r="A57" s="3" t="inlineStr">
        <is>
          <t>MIGR_GB</t>
        </is>
      </c>
      <c r="B57" s="4" t="inlineStr">
        <is>
          <t>Volumen a migrar (destino)</t>
        </is>
      </c>
      <c r="C57" s="6" t="n">
        <v>32.11</v>
      </c>
      <c r="D57" s="4" t="inlineStr">
        <is>
          <t>GB</t>
        </is>
      </c>
      <c r="E57" s="4" t="inlineStr">
        <is>
          <t>SD5 §5.3, Tabla 5.2</t>
        </is>
      </c>
      <c r="F57" s="4" t="inlineStr">
        <is>
          <t>Fuente</t>
        </is>
      </c>
    </row>
    <row r="58">
      <c r="A58" s="3" t="inlineStr">
        <is>
          <t>ENSAYOS</t>
        </is>
      </c>
      <c r="B58" s="4" t="inlineStr">
        <is>
          <t>Ensayos completos de migración previos</t>
        </is>
      </c>
      <c r="C58" s="7" t="n">
        <v>2</v>
      </c>
      <c r="D58" s="4" t="inlineStr">
        <is>
          <t>ensayos</t>
        </is>
      </c>
      <c r="E58" s="4" t="inlineStr">
        <is>
          <t>BTT §20.1; SD5 §5.3</t>
        </is>
      </c>
      <c r="F58" s="4" t="inlineStr">
        <is>
          <t>Fuente</t>
        </is>
      </c>
    </row>
    <row r="59">
      <c r="A59" s="3" t="inlineStr">
        <is>
          <t>QA_DIV</t>
        </is>
      </c>
      <c r="B59" s="4" t="inlineStr">
        <is>
          <t>Personas de la División QA de LafroX</t>
        </is>
      </c>
      <c r="C59" s="7" t="n">
        <v>10</v>
      </c>
      <c r="D59" s="4" t="inlineStr">
        <is>
          <t>personas</t>
        </is>
      </c>
      <c r="E59" s="4" t="inlineStr">
        <is>
          <t>SD1 §1.2</t>
        </is>
      </c>
      <c r="F59" s="4" t="inlineStr">
        <is>
          <t>Fuente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4" customWidth="1" min="3" max="3"/>
    <col width="18" customWidth="1" min="4" max="4"/>
    <col width="30" customWidth="1" min="5" max="5"/>
    <col width="40" customWidth="1" min="6" max="6"/>
    <col width="12" customWidth="1" min="7" max="7"/>
    <col width="14" customWidth="1" min="8" max="8"/>
  </cols>
  <sheetData>
    <row r="1">
      <c r="A1" s="1" t="inlineStr">
        <is>
          <t>Umbrales de calidad del producto según ISO/IEC 25010</t>
        </is>
      </c>
    </row>
    <row r="2">
      <c r="A2" s="2" t="inlineStr">
        <is>
          <t>Ocho características exigidas por BA Art. 24. Umbral, fuente, método de verificación, ambiente y paquete EDT.</t>
        </is>
      </c>
    </row>
    <row r="4">
      <c r="A4" s="5" t="inlineStr">
        <is>
          <t>Característica</t>
        </is>
      </c>
      <c r="B4" s="5" t="inlineStr">
        <is>
          <t>Subcaracterística</t>
        </is>
      </c>
      <c r="C4" s="5" t="inlineStr">
        <is>
          <t>Métrica</t>
        </is>
      </c>
      <c r="D4" s="5" t="inlineStr">
        <is>
          <t>Umbral</t>
        </is>
      </c>
      <c r="E4" s="5" t="inlineStr">
        <is>
          <t>Fuente del umbral</t>
        </is>
      </c>
      <c r="F4" s="5" t="inlineStr">
        <is>
          <t>Método de verificación</t>
        </is>
      </c>
      <c r="G4" s="5" t="inlineStr">
        <is>
          <t>Ambiente</t>
        </is>
      </c>
      <c r="H4" s="5" t="inlineStr">
        <is>
          <t>Paquete EDT</t>
        </is>
      </c>
    </row>
    <row r="5">
      <c r="A5" s="3" t="inlineStr">
        <is>
          <t>Funcionalidad</t>
        </is>
      </c>
      <c r="B5" s="4" t="inlineStr">
        <is>
          <t>Completitud funcional</t>
        </is>
      </c>
      <c r="C5" s="4" t="inlineStr">
        <is>
          <t>Requerimientos ofertados con caso de prueba aprobado</t>
        </is>
      </c>
      <c r="D5" s="4" t="inlineStr">
        <is>
          <t>100 %</t>
        </is>
      </c>
      <c r="E5" s="4" t="inlineStr">
        <is>
          <t>Caso cap. 17.1; T-14 1.2.4</t>
        </is>
      </c>
      <c r="F5" s="4" t="inlineStr">
        <is>
          <t>Matriz 9.C (requisito → caso → resultado)</t>
        </is>
      </c>
      <c r="G5" s="4" t="inlineStr">
        <is>
          <t>QA</t>
        </is>
      </c>
      <c r="H5" s="4" t="inlineStr">
        <is>
          <t>1.2.4, 3.8.1, 3.9.1</t>
        </is>
      </c>
    </row>
    <row r="6">
      <c r="A6" s="3" t="inlineStr">
        <is>
          <t>Funcionalidad</t>
        </is>
      </c>
      <c r="B6" s="4" t="inlineStr">
        <is>
          <t>Corrección funcional</t>
        </is>
      </c>
      <c r="C6" s="4" t="inlineStr">
        <is>
          <t>Casos de aceptación firmados sin defecto crítico/alto abierto</t>
        </is>
      </c>
      <c r="D6" s="4" t="inlineStr">
        <is>
          <t>100 % / 0</t>
        </is>
      </c>
      <c r="E6" s="4" t="inlineStr">
        <is>
          <t>BTT §20.1; BA Art. 17.3</t>
        </is>
      </c>
      <c r="F6" s="4" t="inlineStr">
        <is>
          <t>Pruebas de aceptación con la Contraparte Técnica</t>
        </is>
      </c>
      <c r="G6" s="4" t="inlineStr">
        <is>
          <t>PREPROD</t>
        </is>
      </c>
      <c r="H6" s="4" t="inlineStr">
        <is>
          <t>3.8.2, 3.9.2</t>
        </is>
      </c>
    </row>
    <row r="7">
      <c r="A7" s="3" t="inlineStr">
        <is>
          <t>Funcionalidad</t>
        </is>
      </c>
      <c r="B7" s="4" t="inlineStr">
        <is>
          <t>Pertinencia funcional</t>
        </is>
      </c>
      <c r="C7" s="4" t="inlineStr">
        <is>
          <t>Resultados R18 medidos con su método en el mes comprometido</t>
        </is>
      </c>
      <c r="D7" s="4" t="inlineStr">
        <is>
          <t>16 de 16</t>
        </is>
      </c>
      <c r="E7" s="4" t="inlineStr">
        <is>
          <t>Caso cap. 18; SD3 Tabla 3.A.13</t>
        </is>
      </c>
      <c r="F7" s="4" t="inlineStr">
        <is>
          <t>Protocolo de aceptación T-17</t>
        </is>
      </c>
      <c r="G7" s="4" t="inlineStr">
        <is>
          <t>PROD</t>
        </is>
      </c>
      <c r="H7" s="4" t="inlineStr">
        <is>
          <t>4.2, 4.3</t>
        </is>
      </c>
    </row>
    <row r="8">
      <c r="A8" s="3" t="inlineStr">
        <is>
          <t>Desempeño</t>
        </is>
      </c>
      <c r="B8" s="4" t="inlineStr">
        <is>
          <t>Comportamiento temporal</t>
        </is>
      </c>
      <c r="C8" s="4" t="inlineStr">
        <is>
          <t>p95 confirmación de línea de picking</t>
        </is>
      </c>
      <c r="D8" s="4" t="inlineStr">
        <is>
          <t>≤ 1 s</t>
        </is>
      </c>
      <c r="E8" s="4" t="inlineStr">
        <is>
          <t>Caso cap. 15 RT-09.01; SD4 Tabla 31</t>
        </is>
      </c>
      <c r="F8" s="4" t="inlineStr">
        <is>
          <t>Prueba de carga a 1,5× el peak</t>
        </is>
      </c>
      <c r="G8" s="4" t="inlineStr">
        <is>
          <t>PREPROD</t>
        </is>
      </c>
      <c r="H8" s="4" t="inlineStr">
        <is>
          <t>3.8.4, 3.9.3</t>
        </is>
      </c>
    </row>
    <row r="9">
      <c r="A9" s="3" t="inlineStr">
        <is>
          <t>Desempeño</t>
        </is>
      </c>
      <c r="B9" s="4" t="inlineStr">
        <is>
          <t>Comportamiento temporal</t>
        </is>
      </c>
      <c r="C9" s="4" t="inlineStr">
        <is>
          <t>p95 registro de entrega en el local</t>
        </is>
      </c>
      <c r="D9" s="4" t="inlineStr">
        <is>
          <t>≤ 2 s</t>
        </is>
      </c>
      <c r="E9" s="4" t="inlineStr">
        <is>
          <t>Caso cap. 15 RT-09.01</t>
        </is>
      </c>
      <c r="F9" s="4" t="inlineStr">
        <is>
          <t>Prueba de carga y prueba de terreno</t>
        </is>
      </c>
      <c r="G9" s="4" t="inlineStr">
        <is>
          <t>PREPROD</t>
        </is>
      </c>
      <c r="H9" s="4" t="inlineStr">
        <is>
          <t>3.8.4, 3.8.3</t>
        </is>
      </c>
    </row>
    <row r="10">
      <c r="A10" s="3" t="inlineStr">
        <is>
          <t>Desempeño</t>
        </is>
      </c>
      <c r="B10" s="4" t="inlineStr">
        <is>
          <t>Comportamiento temporal</t>
        </is>
      </c>
      <c r="C10" s="4" t="inlineStr">
        <is>
          <t>p95 línea de preventa / consulta de stock y crédito</t>
        </is>
      </c>
      <c r="D10" s="4" t="inlineStr">
        <is>
          <t>≤ 1,5 s / ≤ 2 s</t>
        </is>
      </c>
      <c r="E10" s="4" t="inlineStr">
        <is>
          <t>Caso cap. 15 RT-09.01</t>
        </is>
      </c>
      <c r="F10" s="4" t="inlineStr">
        <is>
          <t>Prueba de carga</t>
        </is>
      </c>
      <c r="G10" s="4" t="inlineStr">
        <is>
          <t>PREPROD</t>
        </is>
      </c>
      <c r="H10" s="4" t="inlineStr">
        <is>
          <t>3.8.4</t>
        </is>
      </c>
    </row>
    <row r="11">
      <c r="A11" s="3" t="inlineStr">
        <is>
          <t>Desempeño</t>
        </is>
      </c>
      <c r="B11" s="4" t="inlineStr">
        <is>
          <t>Comportamiento temporal</t>
        </is>
      </c>
      <c r="C11" s="4" t="inlineStr">
        <is>
          <t>p95 API consulta / escritura / carga de página</t>
        </is>
      </c>
      <c r="D11" s="4" t="inlineStr">
        <is>
          <t>≤ 500 ms / ≤ 800 ms / ≤ 2 s</t>
        </is>
      </c>
      <c r="E11" s="4" t="inlineStr">
        <is>
          <t>BTT §9.1; SD4 Tabla 31</t>
        </is>
      </c>
      <c r="F11" s="4" t="inlineStr">
        <is>
          <t>Prueba de carga + regresión de desempeño semanal</t>
        </is>
      </c>
      <c r="G11" s="4" t="inlineStr">
        <is>
          <t>QA/PREPROD</t>
        </is>
      </c>
      <c r="H11" s="4" t="inlineStr">
        <is>
          <t>1.5.2, 3.8.4</t>
        </is>
      </c>
    </row>
    <row r="12">
      <c r="A12" s="3" t="inlineStr">
        <is>
          <t>Desempeño</t>
        </is>
      </c>
      <c r="B12" s="4" t="inlineStr">
        <is>
          <t>Capacidad</t>
        </is>
      </c>
      <c r="C12" s="4" t="inlineStr">
        <is>
          <t>TPS sostenidos sin violar los p95</t>
        </is>
      </c>
      <c r="D12" s="4" t="inlineStr">
        <is>
          <t>≥ 21,99 TPS (ver Carga_Estres)</t>
        </is>
      </c>
      <c r="E12" s="4" t="inlineStr">
        <is>
          <t>BTT RT-09.06; SD4 §4.2</t>
        </is>
      </c>
      <c r="F12" s="4" t="inlineStr">
        <is>
          <t>Prueba de carga y estrés hasta el quiebre</t>
        </is>
      </c>
      <c r="G12" s="4" t="inlineStr">
        <is>
          <t>PREPROD</t>
        </is>
      </c>
      <c r="H12" s="4" t="inlineStr">
        <is>
          <t>3.8.4, 3.9.3</t>
        </is>
      </c>
    </row>
    <row r="13">
      <c r="A13" s="3" t="inlineStr">
        <is>
          <t>Desempeño</t>
        </is>
      </c>
      <c r="B13" s="4" t="inlineStr">
        <is>
          <t>Utilización de recursos</t>
        </is>
      </c>
      <c r="C13" s="4" t="inlineStr">
        <is>
          <t>CPU/memoria en el peak × 1,5</t>
        </is>
      </c>
      <c r="D13" s="4" t="inlineStr">
        <is>
          <t>≤ 70 % (supuesto)</t>
        </is>
      </c>
      <c r="E13" s="4" t="inlineStr">
        <is>
          <t>SD4 plan de capacidad</t>
        </is>
      </c>
      <c r="F13" s="4" t="inlineStr">
        <is>
          <t>Telemetría OpenTelemetry durante la prueba</t>
        </is>
      </c>
      <c r="G13" s="4" t="inlineStr">
        <is>
          <t>PREPROD</t>
        </is>
      </c>
      <c r="H13" s="4" t="inlineStr">
        <is>
          <t>3.8.4</t>
        </is>
      </c>
    </row>
    <row r="14">
      <c r="A14" s="3" t="inlineStr">
        <is>
          <t>Compatibilidad</t>
        </is>
      </c>
      <c r="B14" s="4" t="inlineStr">
        <is>
          <t>Interoperabilidad</t>
        </is>
      </c>
      <c r="C14" s="4" t="inlineStr">
        <is>
          <t>Contratos OpenAPI 3.1 / AsyncAPI sin ruptura</t>
        </is>
      </c>
      <c r="D14" s="4" t="inlineStr">
        <is>
          <t>0 contratos rotos</t>
        </is>
      </c>
      <c r="E14" s="4" t="inlineStr">
        <is>
          <t>BA Art. 23; SD6 §6.2</t>
        </is>
      </c>
      <c r="F14" s="4" t="inlineStr">
        <is>
          <t>Pruebas de contrato en CI</t>
        </is>
      </c>
      <c r="G14" s="4" t="inlineStr">
        <is>
          <t>DEV/QA</t>
        </is>
      </c>
      <c r="H14" s="4" t="inlineStr">
        <is>
          <t>1.5.2</t>
        </is>
      </c>
    </row>
    <row r="15">
      <c r="A15" s="3" t="inlineStr">
        <is>
          <t>Compatibilidad</t>
        </is>
      </c>
      <c r="B15" s="4" t="inlineStr">
        <is>
          <t>Interoperabilidad</t>
        </is>
      </c>
      <c r="C15" s="4" t="inlineStr">
        <is>
          <t>Flujos de las 15 integraciones ejecutados sin error</t>
        </is>
      </c>
      <c r="D15" s="4" t="inlineStr">
        <is>
          <t>15 de 15</t>
        </is>
      </c>
      <c r="E15" s="4" t="inlineStr">
        <is>
          <t>BTT §20.1 (integración)</t>
        </is>
      </c>
      <c r="F15" s="4" t="inlineStr">
        <is>
          <t>Pruebas de integración en QA</t>
        </is>
      </c>
      <c r="G15" s="4" t="inlineStr">
        <is>
          <t>QA</t>
        </is>
      </c>
      <c r="H15" s="4" t="inlineStr">
        <is>
          <t>3.8.1, 3.9.1</t>
        </is>
      </c>
    </row>
    <row r="16">
      <c r="A16" s="3" t="inlineStr">
        <is>
          <t>Compatibilidad</t>
        </is>
      </c>
      <c r="B16" s="4" t="inlineStr">
        <is>
          <t>Coexistencia</t>
        </is>
      </c>
      <c r="C16" s="4" t="inlineStr">
        <is>
          <t>Regresiones de la Etapa 1 al integrar la Etapa 2</t>
        </is>
      </c>
      <c r="D16" s="4" t="inlineStr">
        <is>
          <t>0</t>
        </is>
      </c>
      <c r="E16" s="4" t="inlineStr">
        <is>
          <t>BA Art. 17.2</t>
        </is>
      </c>
      <c r="F16" s="4" t="inlineStr">
        <is>
          <t>Regresión completa con E1 en producción</t>
        </is>
      </c>
      <c r="G16" s="4" t="inlineStr">
        <is>
          <t>QA/PREPROD</t>
        </is>
      </c>
      <c r="H16" s="4" t="inlineStr">
        <is>
          <t>3.9.1</t>
        </is>
      </c>
    </row>
    <row r="17">
      <c r="A17" s="3" t="inlineStr">
        <is>
          <t>Usabilidad</t>
        </is>
      </c>
      <c r="B17" s="4" t="inlineStr">
        <is>
          <t>Aprendizaje</t>
        </is>
      </c>
      <c r="C17" s="4" t="inlineStr">
        <is>
          <t>Tiempo para registrar 20 líneas sin asistencia</t>
        </is>
      </c>
      <c r="D17" s="4" t="inlineStr">
        <is>
          <t>≤ 2 h, error ≤ 5 %</t>
        </is>
      </c>
      <c r="E17" s="4" t="inlineStr">
        <is>
          <t>SD3 Anexos RNF; BTT RT-13.04</t>
        </is>
      </c>
      <c r="F17" s="4" t="inlineStr">
        <is>
          <t>Prueba de usabilidad con usuarios reales</t>
        </is>
      </c>
      <c r="G17" s="4" t="inlineStr">
        <is>
          <t>PREPROD</t>
        </is>
      </c>
      <c r="H17" s="4" t="inlineStr">
        <is>
          <t>2.6.2, 2.6.3</t>
        </is>
      </c>
    </row>
    <row r="18">
      <c r="A18" s="3" t="inlineStr">
        <is>
          <t>Usabilidad</t>
        </is>
      </c>
      <c r="B18" s="4" t="inlineStr">
        <is>
          <t>Accesibilidad</t>
        </is>
      </c>
      <c r="C18" s="4" t="inlineStr">
        <is>
          <t>Conformidad WCAG 2.2 AA (axe-core + manual)</t>
        </is>
      </c>
      <c r="D18" s="4" t="inlineStr">
        <is>
          <t>0 incumplimientos A/AA</t>
        </is>
      </c>
      <c r="E18" s="4" t="inlineStr">
        <is>
          <t>BTT RT-13.01</t>
        </is>
      </c>
      <c r="F18" s="4" t="inlineStr">
        <is>
          <t>Herramienta automática + revisión manual</t>
        </is>
      </c>
      <c r="G18" s="4" t="inlineStr">
        <is>
          <t>QA/PREPROD</t>
        </is>
      </c>
      <c r="H18" s="4" t="inlineStr">
        <is>
          <t>3.8.2, 3.9.2</t>
        </is>
      </c>
    </row>
    <row r="19">
      <c r="A19" s="3" t="inlineStr">
        <is>
          <t>Usabilidad</t>
        </is>
      </c>
      <c r="B19" s="4" t="inlineStr">
        <is>
          <t>Operabilidad en terreno</t>
        </is>
      </c>
      <c r="C19" s="4" t="inlineStr">
        <is>
          <t>Uso con guantes a −22 °C, una mano, objetivos táctiles</t>
        </is>
      </c>
      <c r="D19" s="4" t="inlineStr">
        <is>
          <t>≥ 15×15 mm; 30 min a −22 °C</t>
        </is>
      </c>
      <c r="E19" s="4" t="inlineStr">
        <is>
          <t>Caso cap. 15 RT-13.08; SD3 Anexos</t>
        </is>
      </c>
      <c r="F19" s="4" t="inlineStr">
        <is>
          <t>Prueba del perfil operacional en cámara</t>
        </is>
      </c>
      <c r="G19" s="4" t="inlineStr">
        <is>
          <t>Terreno</t>
        </is>
      </c>
      <c r="H19" s="4" t="inlineStr">
        <is>
          <t>3.8.3</t>
        </is>
      </c>
    </row>
    <row r="20">
      <c r="A20" s="3" t="inlineStr">
        <is>
          <t>Fiabilidad</t>
        </is>
      </c>
      <c r="B20" s="4" t="inlineStr">
        <is>
          <t>Disponibilidad</t>
        </is>
      </c>
      <c r="C20" s="4" t="inlineStr">
        <is>
          <t>Disponibilidad mensual de servicios críticos</t>
        </is>
      </c>
      <c r="D20" s="4" t="inlineStr">
        <is>
          <t>≥ 99,9 %; 0 min en 05:30–07:00</t>
        </is>
      </c>
      <c r="E20" s="4" t="inlineStr">
        <is>
          <t>BTT RT-10.01; Caso RT-10.05</t>
        </is>
      </c>
      <c r="F20" s="4" t="inlineStr">
        <is>
          <t>Medición sobre transacción real (marcha blanca y Operación)</t>
        </is>
      </c>
      <c r="G20" s="4" t="inlineStr">
        <is>
          <t>PROD</t>
        </is>
      </c>
      <c r="H20" s="4" t="inlineStr">
        <is>
          <t>4.2, 8.1</t>
        </is>
      </c>
    </row>
    <row r="21">
      <c r="A21" s="3" t="inlineStr">
        <is>
          <t>Fiabilidad</t>
        </is>
      </c>
      <c r="B21" s="4" t="inlineStr">
        <is>
          <t>Tolerancia a fallos</t>
        </is>
      </c>
      <c r="C21" s="4" t="inlineStr">
        <is>
          <t>Operación sin enlace del CD / sin señal del dispositivo</t>
        </is>
      </c>
      <c r="D21" s="4" t="inlineStr">
        <is>
          <t>24 h / 14 h, 0 pérdidas ni duplicados</t>
        </is>
      </c>
      <c r="E21" s="4" t="inlineStr">
        <is>
          <t>Caso RT-03.10</t>
        </is>
      </c>
      <c r="F21" s="4" t="inlineStr">
        <is>
          <t>Prueba de desconexión controlada</t>
        </is>
      </c>
      <c r="G21" s="4" t="inlineStr">
        <is>
          <t>PREPROD/Terreno</t>
        </is>
      </c>
      <c r="H21" s="4" t="inlineStr">
        <is>
          <t>3.8.3</t>
        </is>
      </c>
    </row>
    <row r="22">
      <c r="A22" s="3" t="inlineStr">
        <is>
          <t>Fiabilidad</t>
        </is>
      </c>
      <c r="B22" s="4" t="inlineStr">
        <is>
          <t>Recuperabilidad</t>
        </is>
      </c>
      <c r="C22" s="4" t="inlineStr">
        <is>
          <t>RTO / RPO en conmutación real</t>
        </is>
      </c>
      <c r="D22" s="4" t="inlineStr">
        <is>
          <t>≤ 4 h / ≤ 15 min</t>
        </is>
      </c>
      <c r="E22" s="4" t="inlineStr">
        <is>
          <t>SD4 Tabla 38</t>
        </is>
      </c>
      <c r="F22" s="4" t="inlineStr">
        <is>
          <t>Prueba DR antes del paso y semestral</t>
        </is>
      </c>
      <c r="G22" s="4" t="inlineStr">
        <is>
          <t>DR</t>
        </is>
      </c>
      <c r="H22" s="4" t="inlineStr">
        <is>
          <t>3.8.5, 3.9.4, 8.1.3</t>
        </is>
      </c>
    </row>
    <row r="23">
      <c r="A23" s="3" t="inlineStr">
        <is>
          <t>Fiabilidad</t>
        </is>
      </c>
      <c r="B23" s="4" t="inlineStr">
        <is>
          <t>Recuperabilidad</t>
        </is>
      </c>
      <c r="C23" s="4" t="inlineStr">
        <is>
          <t>Sincronización tras reconexión</t>
        </is>
      </c>
      <c r="D23" s="4" t="inlineStr">
        <is>
          <t>Dispositivo ≤ 10 min; CD ≤ 2 h</t>
        </is>
      </c>
      <c r="E23" s="4" t="inlineStr">
        <is>
          <t>Caso RT-03.13</t>
        </is>
      </c>
      <c r="F23" s="4" t="inlineStr">
        <is>
          <t>Prueba de desconexión controlada</t>
        </is>
      </c>
      <c r="G23" s="4" t="inlineStr">
        <is>
          <t>PREPROD</t>
        </is>
      </c>
      <c r="H23" s="4" t="inlineStr">
        <is>
          <t>3.8.3</t>
        </is>
      </c>
    </row>
    <row r="24">
      <c r="A24" s="3" t="inlineStr">
        <is>
          <t>Seguridad</t>
        </is>
      </c>
      <c r="B24" s="4" t="inlineStr">
        <is>
          <t>Integridad / confidencialidad</t>
        </is>
      </c>
      <c r="C24" s="4" t="inlineStr">
        <is>
          <t>Hallazgos críticos o altos abiertos (SAST, SCA, DAST, pentest)</t>
        </is>
      </c>
      <c r="D24" s="4" t="inlineStr">
        <is>
          <t>0</t>
        </is>
      </c>
      <c r="E24" s="4" t="inlineStr">
        <is>
          <t>BTT RT-04.05, RT-11.20; BTT §20.1</t>
        </is>
      </c>
      <c r="F24" s="4" t="inlineStr">
        <is>
          <t>Puertas G2/G4 y pentest por tercero</t>
        </is>
      </c>
      <c r="G24" s="4" t="inlineStr">
        <is>
          <t>QA/PREPROD</t>
        </is>
      </c>
      <c r="H24" s="4" t="inlineStr">
        <is>
          <t>1.5.2, 3.8.6, 3.9.5</t>
        </is>
      </c>
    </row>
    <row r="25">
      <c r="A25" s="3" t="inlineStr">
        <is>
          <t>Seguridad</t>
        </is>
      </c>
      <c r="B25" s="4" t="inlineStr">
        <is>
          <t>Confidencialidad</t>
        </is>
      </c>
      <c r="C25" s="4" t="inlineStr">
        <is>
          <t>Datos productivos fuera de Producción</t>
        </is>
      </c>
      <c r="D25" s="4" t="inlineStr">
        <is>
          <t>0 registros</t>
        </is>
      </c>
      <c r="E25" s="4" t="inlineStr">
        <is>
          <t>SD3 Anexos RNF; Ley 21.719</t>
        </is>
      </c>
      <c r="F25" s="4" t="inlineStr">
        <is>
          <t>Escaneo Macie de QA y PREPROD</t>
        </is>
      </c>
      <c r="G25" s="4" t="inlineStr">
        <is>
          <t>QA/PREPROD</t>
        </is>
      </c>
      <c r="H25" s="4" t="inlineStr">
        <is>
          <t>1.5.1</t>
        </is>
      </c>
    </row>
    <row r="26">
      <c r="A26" s="3" t="inlineStr">
        <is>
          <t>Seguridad</t>
        </is>
      </c>
      <c r="B26" s="4" t="inlineStr">
        <is>
          <t>Responsabilidad</t>
        </is>
      </c>
      <c r="C26" s="4" t="inlineStr">
        <is>
          <t>Trazas de auditoría de acceso a datos sensibles</t>
        </is>
      </c>
      <c r="D26" s="4" t="inlineStr">
        <is>
          <t>100 % de consultas registradas</t>
        </is>
      </c>
      <c r="E26" s="4" t="inlineStr">
        <is>
          <t>Caso RT-16.09</t>
        </is>
      </c>
      <c r="F26" s="4" t="inlineStr">
        <is>
          <t>Prueba funcional de auditoría</t>
        </is>
      </c>
      <c r="G26" s="4" t="inlineStr">
        <is>
          <t>QA</t>
        </is>
      </c>
      <c r="H26" s="4" t="inlineStr">
        <is>
          <t>3.8.2</t>
        </is>
      </c>
    </row>
    <row r="27">
      <c r="A27" s="3" t="inlineStr">
        <is>
          <t>Mantenibilidad</t>
        </is>
      </c>
      <c r="B27" s="4" t="inlineStr">
        <is>
          <t>Capacidad de prueba</t>
        </is>
      </c>
      <c r="C27" s="4" t="inlineStr">
        <is>
          <t>Cobertura lógica de negocio / global</t>
        </is>
      </c>
      <c r="D27" s="4" t="inlineStr">
        <is>
          <t>≥ 70 % / ≥ 80 %</t>
        </is>
      </c>
      <c r="E27" s="4" t="inlineStr">
        <is>
          <t>BA Art. 24; SD1; SD6</t>
        </is>
      </c>
      <c r="F27" s="4" t="inlineStr">
        <is>
          <t>Puerta G2 en CI</t>
        </is>
      </c>
      <c r="G27" s="4" t="inlineStr">
        <is>
          <t>DEV/CI</t>
        </is>
      </c>
      <c r="H27" s="4" t="inlineStr">
        <is>
          <t>1.5.2</t>
        </is>
      </c>
    </row>
    <row r="28">
      <c r="A28" s="3" t="inlineStr">
        <is>
          <t>Mantenibilidad</t>
        </is>
      </c>
      <c r="B28" s="4" t="inlineStr">
        <is>
          <t>Modularidad</t>
        </is>
      </c>
      <c r="C28" s="4" t="inlineStr">
        <is>
          <t>Dependencias prohibidas entre los 12 módulos</t>
        </is>
      </c>
      <c r="D28" s="4" t="inlineStr">
        <is>
          <t>0 violaciones</t>
        </is>
      </c>
      <c r="E28" s="4" t="inlineStr">
        <is>
          <t>BTT RT-02.02; SD4 §4.1</t>
        </is>
      </c>
      <c r="F28" s="4" t="inlineStr">
        <is>
          <t>deptrac en CI</t>
        </is>
      </c>
      <c r="G28" s="4" t="inlineStr">
        <is>
          <t>DEV/CI</t>
        </is>
      </c>
      <c r="H28" s="4" t="inlineStr">
        <is>
          <t>1.5.2</t>
        </is>
      </c>
    </row>
    <row r="29">
      <c r="A29" s="3" t="inlineStr">
        <is>
          <t>Mantenibilidad</t>
        </is>
      </c>
      <c r="B29" s="4" t="inlineStr">
        <is>
          <t>Analizabilidad</t>
        </is>
      </c>
      <c r="C29" s="4" t="inlineStr">
        <is>
          <t>Complejidad ciclomática por método / cognitiva</t>
        </is>
      </c>
      <c r="D29" s="4" t="inlineStr">
        <is>
          <t>≤ 10 / ≤ 15</t>
        </is>
      </c>
      <c r="E29" s="4" t="inlineStr">
        <is>
          <t>Supuesto LafroX (ver Metricas_Codigo)</t>
        </is>
      </c>
      <c r="F29" s="4" t="inlineStr">
        <is>
          <t>Análisis estático en CI</t>
        </is>
      </c>
      <c r="G29" s="4" t="inlineStr">
        <is>
          <t>DEV/CI</t>
        </is>
      </c>
      <c r="H29" s="4" t="inlineStr">
        <is>
          <t>1.5.2</t>
        </is>
      </c>
    </row>
    <row r="30">
      <c r="A30" s="3" t="inlineStr">
        <is>
          <t>Mantenibilidad</t>
        </is>
      </c>
      <c r="B30" s="4" t="inlineStr">
        <is>
          <t>Modificabilidad</t>
        </is>
      </c>
      <c r="C30" s="4" t="inlineStr">
        <is>
          <t>Duplicación / razón de deuda técnica</t>
        </is>
      </c>
      <c r="D30" s="4" t="inlineStr">
        <is>
          <t>≤ 3 % / ≤ 5 %</t>
        </is>
      </c>
      <c r="E30" s="4" t="inlineStr">
        <is>
          <t>Supuesto LafroX; BA Art. 24 (deuda)</t>
        </is>
      </c>
      <c r="F30" s="4" t="inlineStr">
        <is>
          <t>Análisis estático; registro 8.2.4</t>
        </is>
      </c>
      <c r="G30" s="4" t="inlineStr">
        <is>
          <t>DEV/CI</t>
        </is>
      </c>
      <c r="H30" s="4" t="inlineStr">
        <is>
          <t>1.5.2, 8.2.4</t>
        </is>
      </c>
    </row>
    <row r="31">
      <c r="A31" s="3" t="inlineStr">
        <is>
          <t>Portabilidad</t>
        </is>
      </c>
      <c r="B31" s="4" t="inlineStr">
        <is>
          <t>Instalabilidad</t>
        </is>
      </c>
      <c r="C31" s="4" t="inlineStr">
        <is>
          <t>Mismo artefacto promovido QA → PREPROD → PROD sin recompilar</t>
        </is>
      </c>
      <c r="D31" s="4" t="inlineStr">
        <is>
          <t>100 % de despliegues</t>
        </is>
      </c>
      <c r="E31" s="4" t="inlineStr">
        <is>
          <t>BTT RT-04.08</t>
        </is>
      </c>
      <c r="F31" s="4" t="inlineStr">
        <is>
          <t>Promoción por digest de imagen firmada</t>
        </is>
      </c>
      <c r="G31" s="4" t="inlineStr">
        <is>
          <t>QA→PROD</t>
        </is>
      </c>
      <c r="H31" s="4" t="inlineStr">
        <is>
          <t>3.8.8, 3.9.7</t>
        </is>
      </c>
    </row>
    <row r="32">
      <c r="A32" s="3" t="inlineStr">
        <is>
          <t>Portabilidad</t>
        </is>
      </c>
      <c r="B32" s="4" t="inlineStr">
        <is>
          <t>Adaptabilidad</t>
        </is>
      </c>
      <c r="C32" s="4" t="inlineStr">
        <is>
          <t>Ambientes reconstruidos desde IaC (Terraform/Ansible)</t>
        </is>
      </c>
      <c r="D32" s="4" t="inlineStr">
        <is>
          <t>100 %; ambiente efímero ≤ 30 min (supuesto)</t>
        </is>
      </c>
      <c r="E32" s="4" t="inlineStr">
        <is>
          <t>SD4 §4.2; BTT RT-04.14</t>
        </is>
      </c>
      <c r="F32" s="4" t="inlineStr">
        <is>
          <t>Reconstrucción desde código en QA</t>
        </is>
      </c>
      <c r="G32" s="4" t="inlineStr">
        <is>
          <t>QA</t>
        </is>
      </c>
      <c r="H32" s="4" t="inlineStr">
        <is>
          <t>1.5.2</t>
        </is>
      </c>
    </row>
    <row r="33">
      <c r="A33" s="3" t="inlineStr">
        <is>
          <t>Portabilidad</t>
        </is>
      </c>
      <c r="B33" s="4" t="inlineStr">
        <is>
          <t>Reemplazabilidad</t>
        </is>
      </c>
      <c r="C33" s="4" t="inlineStr">
        <is>
          <t>Exportación completa en formato abierto</t>
        </is>
      </c>
      <c r="D33" s="4" t="inlineStr">
        <is>
          <t>100 % de entidades</t>
        </is>
      </c>
      <c r="E33" s="4" t="inlineStr">
        <is>
          <t>BA Art. 23</t>
        </is>
      </c>
      <c r="F33" s="4" t="inlineStr">
        <is>
          <t>Prueba de exportación</t>
        </is>
      </c>
      <c r="G33" s="4" t="inlineStr">
        <is>
          <t>PREPROD</t>
        </is>
      </c>
      <c r="H33" s="4" t="inlineStr">
        <is>
          <t>3.9.2</t>
        </is>
      </c>
    </row>
    <row r="35">
      <c r="A35" s="3" t="inlineStr">
        <is>
          <t>Métricas por característica</t>
        </is>
      </c>
    </row>
    <row r="36">
      <c r="A36" s="4" t="inlineStr">
        <is>
          <t>Funcionalidad</t>
        </is>
      </c>
      <c r="B36" s="10">
        <f>COUNTIF($A$5:$A$33,A36)</f>
        <v/>
      </c>
    </row>
    <row r="37">
      <c r="A37" s="4" t="inlineStr">
        <is>
          <t>Desempeño</t>
        </is>
      </c>
      <c r="B37" s="10">
        <f>COUNTIF($A$5:$A$33,A37)</f>
        <v/>
      </c>
    </row>
    <row r="38">
      <c r="A38" s="4" t="inlineStr">
        <is>
          <t>Compatibilidad</t>
        </is>
      </c>
      <c r="B38" s="10">
        <f>COUNTIF($A$5:$A$33,A38)</f>
        <v/>
      </c>
    </row>
    <row r="39">
      <c r="A39" s="4" t="inlineStr">
        <is>
          <t>Usabilidad</t>
        </is>
      </c>
      <c r="B39" s="10">
        <f>COUNTIF($A$5:$A$33,A39)</f>
        <v/>
      </c>
    </row>
    <row r="40">
      <c r="A40" s="4" t="inlineStr">
        <is>
          <t>Fiabilidad</t>
        </is>
      </c>
      <c r="B40" s="10">
        <f>COUNTIF($A$5:$A$33,A40)</f>
        <v/>
      </c>
    </row>
    <row r="41">
      <c r="A41" s="4" t="inlineStr">
        <is>
          <t>Seguridad</t>
        </is>
      </c>
      <c r="B41" s="10">
        <f>COUNTIF($A$5:$A$33,A41)</f>
        <v/>
      </c>
    </row>
    <row r="42">
      <c r="A42" s="4" t="inlineStr">
        <is>
          <t>Mantenibilidad</t>
        </is>
      </c>
      <c r="B42" s="10">
        <f>COUNTIF($A$5:$A$33,A42)</f>
        <v/>
      </c>
    </row>
    <row r="43">
      <c r="A43" s="4" t="inlineStr">
        <is>
          <t>Portabilidad</t>
        </is>
      </c>
      <c r="B43" s="10">
        <f>COUNTIF($A$5:$A$33,A43)</f>
        <v/>
      </c>
    </row>
    <row r="44">
      <c r="A44" s="11" t="inlineStr">
        <is>
          <t>Total</t>
        </is>
      </c>
      <c r="B44" s="12">
        <f>SUM(B36:B43)</f>
        <v/>
      </c>
    </row>
    <row r="45">
      <c r="A45" s="3" t="inlineStr">
        <is>
          <t>Características sin métrica</t>
        </is>
      </c>
      <c r="B45" s="13">
        <f>COUNTIF(B36:B43,0)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9" customWidth="1" min="4" max="4"/>
    <col width="11" customWidth="1" min="5" max="5"/>
    <col width="14" customWidth="1" min="6" max="6"/>
    <col width="12" customWidth="1" min="7" max="7"/>
    <col width="9" customWidth="1" min="8" max="8"/>
    <col width="34" customWidth="1" min="9" max="9"/>
  </cols>
  <sheetData>
    <row r="1">
      <c r="A1" s="1" t="inlineStr">
        <is>
          <t>Métricas de código con umbral bloqueante</t>
        </is>
      </c>
    </row>
    <row r="2">
      <c r="A2" s="2" t="inlineStr">
        <is>
          <t>Columna «Medido» = valor de ejemplo editable (azul). «Resultado» indica si la puerta deja pasar o bloquea.</t>
        </is>
      </c>
    </row>
    <row r="4">
      <c r="A4" s="5" t="inlineStr">
        <is>
          <t>Métrica</t>
        </is>
      </c>
      <c r="B4" s="5" t="inlineStr">
        <is>
          <t>Lenguaje / capa</t>
        </is>
      </c>
      <c r="C4" s="5" t="inlineStr">
        <is>
          <t>Herramienta</t>
        </is>
      </c>
      <c r="D4" s="5" t="inlineStr">
        <is>
          <t>Operador</t>
        </is>
      </c>
      <c r="E4" s="5" t="inlineStr">
        <is>
          <t>Umbral</t>
        </is>
      </c>
      <c r="F4" s="5" t="inlineStr">
        <is>
          <t>Medido (ejemplo)</t>
        </is>
      </c>
      <c r="G4" s="5" t="inlineStr">
        <is>
          <t>Resultado</t>
        </is>
      </c>
      <c r="H4" s="5" t="inlineStr">
        <is>
          <t>Puerta</t>
        </is>
      </c>
      <c r="I4" s="5" t="inlineStr">
        <is>
          <t>Fuente del umbral</t>
        </is>
      </c>
    </row>
    <row r="5">
      <c r="A5" s="4" t="inlineStr">
        <is>
          <t>Cobertura de lógica de negocio</t>
        </is>
      </c>
      <c r="B5" s="4" t="inlineStr">
        <is>
          <t>PHP / Laravel</t>
        </is>
      </c>
      <c r="C5" s="4" t="inlineStr">
        <is>
          <t>PHPUnit + Xdebug/PCOV</t>
        </is>
      </c>
      <c r="D5" s="14" t="inlineStr">
        <is>
          <t>&gt;=</t>
        </is>
      </c>
      <c r="E5" s="15">
        <f>Datos_Base!$C$27</f>
        <v/>
      </c>
      <c r="F5" s="8" t="n">
        <v>0.74</v>
      </c>
      <c r="G5" s="16">
        <f>IF(D5="&gt;=",IF(F5&gt;=E5,"PASA","BLOQUEA"),IF(F5&lt;=E5,"PASA","BLOQUEA"))</f>
        <v/>
      </c>
      <c r="H5" s="14" t="inlineStr">
        <is>
          <t>G2</t>
        </is>
      </c>
      <c r="I5" s="4" t="inlineStr">
        <is>
          <t>BA Art. 24; RT-04.11</t>
        </is>
      </c>
    </row>
    <row r="6">
      <c r="A6" s="4" t="inlineStr">
        <is>
          <t>Cobertura unitaria global</t>
        </is>
      </c>
      <c r="B6" s="4" t="inlineStr">
        <is>
          <t>PHP / Laravel</t>
        </is>
      </c>
      <c r="C6" s="4" t="inlineStr">
        <is>
          <t>PHPUnit + Xdebug/PCOV</t>
        </is>
      </c>
      <c r="D6" s="14" t="inlineStr">
        <is>
          <t>&gt;=</t>
        </is>
      </c>
      <c r="E6" s="15">
        <f>Datos_Base!$C$28</f>
        <v/>
      </c>
      <c r="F6" s="8" t="n">
        <v>0.8100000000000001</v>
      </c>
      <c r="G6" s="16">
        <f>IF(D6="&gt;=",IF(F6&gt;=E6,"PASA","BLOQUEA"),IF(F6&lt;=E6,"PASA","BLOQUEA"))</f>
        <v/>
      </c>
      <c r="H6" s="14" t="inlineStr">
        <is>
          <t>G2</t>
        </is>
      </c>
      <c r="I6" s="4" t="inlineStr">
        <is>
          <t>SD1 §1.3; SD6 §6.2</t>
        </is>
      </c>
    </row>
    <row r="7">
      <c r="A7" s="4" t="inlineStr">
        <is>
          <t>Cobertura de lógica de negocio</t>
        </is>
      </c>
      <c r="B7" s="4" t="inlineStr">
        <is>
          <t>Kotlin / Android</t>
        </is>
      </c>
      <c r="C7" s="4" t="inlineStr">
        <is>
          <t>JUnit 5 + Kover</t>
        </is>
      </c>
      <c r="D7" s="14" t="inlineStr">
        <is>
          <t>&gt;=</t>
        </is>
      </c>
      <c r="E7" s="15">
        <f>Datos_Base!$C$27</f>
        <v/>
      </c>
      <c r="F7" s="8" t="n">
        <v>0.72</v>
      </c>
      <c r="G7" s="16">
        <f>IF(D7="&gt;=",IF(F7&gt;=E7,"PASA","BLOQUEA"),IF(F7&lt;=E7,"PASA","BLOQUEA"))</f>
        <v/>
      </c>
      <c r="H7" s="14" t="inlineStr">
        <is>
          <t>G2</t>
        </is>
      </c>
      <c r="I7" s="4" t="inlineStr">
        <is>
          <t>BA Art. 24; RT-04.11</t>
        </is>
      </c>
    </row>
    <row r="8">
      <c r="A8" s="4" t="inlineStr">
        <is>
          <t>Cobertura unitaria global</t>
        </is>
      </c>
      <c r="B8" s="4" t="inlineStr">
        <is>
          <t>Kotlin / Android</t>
        </is>
      </c>
      <c r="C8" s="4" t="inlineStr">
        <is>
          <t>JUnit 5 + Kover</t>
        </is>
      </c>
      <c r="D8" s="14" t="inlineStr">
        <is>
          <t>&gt;=</t>
        </is>
      </c>
      <c r="E8" s="15">
        <f>Datos_Base!$C$28</f>
        <v/>
      </c>
      <c r="F8" s="8" t="n">
        <v>0.78</v>
      </c>
      <c r="G8" s="16">
        <f>IF(D8="&gt;=",IF(F8&gt;=E8,"PASA","BLOQUEA"),IF(F8&lt;=E8,"PASA","BLOQUEA"))</f>
        <v/>
      </c>
      <c r="H8" s="14" t="inlineStr">
        <is>
          <t>G2</t>
        </is>
      </c>
      <c r="I8" s="4" t="inlineStr">
        <is>
          <t>SD1 §1.3; SD6 §6.2</t>
        </is>
      </c>
    </row>
    <row r="9">
      <c r="A9" s="4" t="inlineStr">
        <is>
          <t>Cobertura unitaria global</t>
        </is>
      </c>
      <c r="B9" s="4" t="inlineStr">
        <is>
          <t>Angular / TypeScript</t>
        </is>
      </c>
      <c r="C9" s="4" t="inlineStr">
        <is>
          <t>Jest (Istanbul)</t>
        </is>
      </c>
      <c r="D9" s="14" t="inlineStr">
        <is>
          <t>&gt;=</t>
        </is>
      </c>
      <c r="E9" s="15">
        <f>Datos_Base!$C$28</f>
        <v/>
      </c>
      <c r="F9" s="8" t="n">
        <v>0.83</v>
      </c>
      <c r="G9" s="16">
        <f>IF(D9="&gt;=",IF(F9&gt;=E9,"PASA","BLOQUEA"),IF(F9&lt;=E9,"PASA","BLOQUEA"))</f>
        <v/>
      </c>
      <c r="H9" s="14" t="inlineStr">
        <is>
          <t>G2</t>
        </is>
      </c>
      <c r="I9" s="4" t="inlineStr">
        <is>
          <t>SD1 §1.3; SD6 §6.2</t>
        </is>
      </c>
    </row>
    <row r="10">
      <c r="A10" s="4" t="inlineStr">
        <is>
          <t>Errores de análisis estático (nivel 8)</t>
        </is>
      </c>
      <c r="B10" s="4" t="inlineStr">
        <is>
          <t>PHP / Laravel</t>
        </is>
      </c>
      <c r="C10" s="4" t="inlineStr">
        <is>
          <t>PHPStan + Larastan</t>
        </is>
      </c>
      <c r="D10" s="14" t="inlineStr">
        <is>
          <t>&lt;=</t>
        </is>
      </c>
      <c r="E10" s="17" t="n">
        <v>0</v>
      </c>
      <c r="F10" s="17" t="n">
        <v>0</v>
      </c>
      <c r="G10" s="16">
        <f>IF(D10="&gt;=",IF(F10&gt;=E10,"PASA","BLOQUEA"),IF(F10&lt;=E10,"PASA","BLOQUEA"))</f>
        <v/>
      </c>
      <c r="H10" s="14" t="inlineStr">
        <is>
          <t>G2</t>
        </is>
      </c>
      <c r="I10" s="4" t="inlineStr">
        <is>
          <t>SD4 §4.2.4; SD6</t>
        </is>
      </c>
    </row>
    <row r="11">
      <c r="A11" s="4" t="inlineStr">
        <is>
          <t>Infracciones de estilo</t>
        </is>
      </c>
      <c r="B11" s="4" t="inlineStr">
        <is>
          <t>PHP / Laravel</t>
        </is>
      </c>
      <c r="C11" s="4" t="inlineStr">
        <is>
          <t>Laravel Pint</t>
        </is>
      </c>
      <c r="D11" s="14" t="inlineStr">
        <is>
          <t>&lt;=</t>
        </is>
      </c>
      <c r="E11" s="17" t="n">
        <v>0</v>
      </c>
      <c r="F11" s="17" t="n">
        <v>0</v>
      </c>
      <c r="G11" s="16">
        <f>IF(D11="&gt;=",IF(F11&gt;=E11,"PASA","BLOQUEA"),IF(F11&lt;=E11,"PASA","BLOQUEA"))</f>
        <v/>
      </c>
      <c r="H11" s="14" t="inlineStr">
        <is>
          <t>G1</t>
        </is>
      </c>
      <c r="I11" s="4" t="inlineStr">
        <is>
          <t>SD4 §4.2.4</t>
        </is>
      </c>
    </row>
    <row r="12">
      <c r="A12" s="4" t="inlineStr">
        <is>
          <t>Complejidad ciclomática máxima por método</t>
        </is>
      </c>
      <c r="B12" s="4" t="inlineStr">
        <is>
          <t>PHP / Kotlin / TS</t>
        </is>
      </c>
      <c r="C12" s="4" t="inlineStr">
        <is>
          <t>PHPMD · detekt · ESLint complexity</t>
        </is>
      </c>
      <c r="D12" s="14" t="inlineStr">
        <is>
          <t>&lt;=</t>
        </is>
      </c>
      <c r="E12" s="18" t="n">
        <v>10</v>
      </c>
      <c r="F12" s="17" t="n">
        <v>9</v>
      </c>
      <c r="G12" s="16">
        <f>IF(D12="&gt;=",IF(F12&gt;=E12,"PASA","BLOQUEA"),IF(F12&lt;=E12,"PASA","BLOQUEA"))</f>
        <v/>
      </c>
      <c r="H12" s="14" t="inlineStr">
        <is>
          <t>G2</t>
        </is>
      </c>
      <c r="I12" s="4" t="inlineStr">
        <is>
          <t>Supuesto LafroX (McCabe)</t>
        </is>
      </c>
    </row>
    <row r="13">
      <c r="A13" s="4" t="inlineStr">
        <is>
          <t>Complejidad cognitiva máxima por método</t>
        </is>
      </c>
      <c r="B13" s="4" t="inlineStr">
        <is>
          <t>PHP / Kotlin / TS</t>
        </is>
      </c>
      <c r="C13" s="4" t="inlineStr">
        <is>
          <t>PHPMD · detekt · eslint-plugin-sonarjs</t>
        </is>
      </c>
      <c r="D13" s="14" t="inlineStr">
        <is>
          <t>&lt;=</t>
        </is>
      </c>
      <c r="E13" s="18" t="n">
        <v>15</v>
      </c>
      <c r="F13" s="17" t="n">
        <v>12</v>
      </c>
      <c r="G13" s="16">
        <f>IF(D13="&gt;=",IF(F13&gt;=E13,"PASA","BLOQUEA"),IF(F13&lt;=E13,"PASA","BLOQUEA"))</f>
        <v/>
      </c>
      <c r="H13" s="14" t="inlineStr">
        <is>
          <t>G2</t>
        </is>
      </c>
      <c r="I13" s="4" t="inlineStr">
        <is>
          <t>Supuesto LafroX</t>
        </is>
      </c>
    </row>
    <row r="14">
      <c r="A14" s="4" t="inlineStr">
        <is>
          <t>Violaciones de dependencia entre módulos</t>
        </is>
      </c>
      <c r="B14" s="4" t="inlineStr">
        <is>
          <t>PHP / Laravel</t>
        </is>
      </c>
      <c r="C14" s="4" t="inlineStr">
        <is>
          <t>deptrac</t>
        </is>
      </c>
      <c r="D14" s="14" t="inlineStr">
        <is>
          <t>&lt;=</t>
        </is>
      </c>
      <c r="E14" s="17" t="n">
        <v>0</v>
      </c>
      <c r="F14" s="17" t="n">
        <v>0</v>
      </c>
      <c r="G14" s="16">
        <f>IF(D14="&gt;=",IF(F14&gt;=E14,"PASA","BLOQUEA"),IF(F14&lt;=E14,"PASA","BLOQUEA"))</f>
        <v/>
      </c>
      <c r="H14" s="14" t="inlineStr">
        <is>
          <t>G2</t>
        </is>
      </c>
      <c r="I14" s="4" t="inlineStr">
        <is>
          <t>BTT RT-02.02; SD4 §4.1</t>
        </is>
      </c>
    </row>
    <row r="15">
      <c r="A15" s="4" t="inlineStr">
        <is>
          <t>Inestabilidad de los módulos núcleo (Ce/(Ca+Ce))</t>
        </is>
      </c>
      <c r="B15" s="4" t="inlineStr">
        <is>
          <t>PHP / Laravel</t>
        </is>
      </c>
      <c r="C15" s="4" t="inlineStr">
        <is>
          <t>PhpMetrics</t>
        </is>
      </c>
      <c r="D15" s="14" t="inlineStr">
        <is>
          <t>&lt;=</t>
        </is>
      </c>
      <c r="E15" s="18" t="n">
        <v>0.5</v>
      </c>
      <c r="F15" s="17" t="n">
        <v>0.42</v>
      </c>
      <c r="G15" s="16">
        <f>IF(D15="&gt;=",IF(F15&gt;=E15,"PASA","BLOQUEA"),IF(F15&lt;=E15,"PASA","BLOQUEA"))</f>
        <v/>
      </c>
      <c r="H15" s="14" t="inlineStr">
        <is>
          <t>G2</t>
        </is>
      </c>
      <c r="I15" s="4" t="inlineStr">
        <is>
          <t>Supuesto LafroX (Martin)</t>
        </is>
      </c>
    </row>
    <row r="16">
      <c r="A16" s="4" t="inlineStr">
        <is>
          <t>Duplicación de código</t>
        </is>
      </c>
      <c r="B16" s="4" t="inlineStr">
        <is>
          <t>Todos</t>
        </is>
      </c>
      <c r="C16" s="4" t="inlineStr">
        <is>
          <t>PHPCPD · jscpd</t>
        </is>
      </c>
      <c r="D16" s="14" t="inlineStr">
        <is>
          <t>&lt;=</t>
        </is>
      </c>
      <c r="E16" s="19" t="n">
        <v>0.03</v>
      </c>
      <c r="F16" s="8" t="n">
        <v>0.021</v>
      </c>
      <c r="G16" s="16">
        <f>IF(D16="&gt;=",IF(F16&gt;=E16,"PASA","BLOQUEA"),IF(F16&lt;=E16,"PASA","BLOQUEA"))</f>
        <v/>
      </c>
      <c r="H16" s="14" t="inlineStr">
        <is>
          <t>G2</t>
        </is>
      </c>
      <c r="I16" s="4" t="inlineStr">
        <is>
          <t>Supuesto LafroX</t>
        </is>
      </c>
    </row>
    <row r="17">
      <c r="A17" s="4" t="inlineStr">
        <is>
          <t>Razón de deuda técnica (esfuerzo de remediación / desarrollo)</t>
        </is>
      </c>
      <c r="B17" s="4" t="inlineStr">
        <is>
          <t>Todos</t>
        </is>
      </c>
      <c r="C17" s="4" t="inlineStr">
        <is>
          <t>Registro 8.2.4 + análisis estático</t>
        </is>
      </c>
      <c r="D17" s="14" t="inlineStr">
        <is>
          <t>&lt;=</t>
        </is>
      </c>
      <c r="E17" s="8" t="n">
        <v>0.05</v>
      </c>
      <c r="F17" s="8" t="n">
        <v>0.04</v>
      </c>
      <c r="G17" s="16">
        <f>IF(D17="&gt;=",IF(F17&gt;=E17,"PASA","BLOQUEA"),IF(F17&lt;=E17,"PASA","BLOQUEA"))</f>
        <v/>
      </c>
      <c r="H17" s="14" t="inlineStr">
        <is>
          <t>G2</t>
        </is>
      </c>
      <c r="I17" s="4" t="inlineStr">
        <is>
          <t>BA Art. 24 (gestión de deuda); supuesto</t>
        </is>
      </c>
    </row>
    <row r="18">
      <c r="A18" s="4" t="inlineStr">
        <is>
          <t>Infracciones de estilo / lint</t>
        </is>
      </c>
      <c r="B18" s="4" t="inlineStr">
        <is>
          <t>Kotlin / Android</t>
        </is>
      </c>
      <c r="C18" s="4" t="inlineStr">
        <is>
          <t>detekt + ktlint</t>
        </is>
      </c>
      <c r="D18" s="14" t="inlineStr">
        <is>
          <t>&lt;=</t>
        </is>
      </c>
      <c r="E18" s="18" t="n">
        <v>0</v>
      </c>
      <c r="F18" s="17" t="n">
        <v>0</v>
      </c>
      <c r="G18" s="16">
        <f>IF(D18="&gt;=",IF(F18&gt;=E18,"PASA","BLOQUEA"),IF(F18&lt;=E18,"PASA","BLOQUEA"))</f>
        <v/>
      </c>
      <c r="H18" s="14" t="inlineStr">
        <is>
          <t>G1</t>
        </is>
      </c>
      <c r="I18" s="4" t="inlineStr">
        <is>
          <t>Supuesto LafroX</t>
        </is>
      </c>
    </row>
    <row r="19">
      <c r="A19" s="4" t="inlineStr">
        <is>
          <t>Errores de lint</t>
        </is>
      </c>
      <c r="B19" s="4" t="inlineStr">
        <is>
          <t>Angular / TypeScript</t>
        </is>
      </c>
      <c r="C19" s="4" t="inlineStr">
        <is>
          <t>ESLint</t>
        </is>
      </c>
      <c r="D19" s="14" t="inlineStr">
        <is>
          <t>&lt;=</t>
        </is>
      </c>
      <c r="E19" s="18" t="n">
        <v>0</v>
      </c>
      <c r="F19" s="17" t="n">
        <v>0</v>
      </c>
      <c r="G19" s="16">
        <f>IF(D19="&gt;=",IF(F19&gt;=E19,"PASA","BLOQUEA"),IF(F19&lt;=E19,"PASA","BLOQUEA"))</f>
        <v/>
      </c>
      <c r="H19" s="14" t="inlineStr">
        <is>
          <t>G1</t>
        </is>
      </c>
      <c r="I19" s="4" t="inlineStr">
        <is>
          <t>Supuesto LafroX</t>
        </is>
      </c>
    </row>
    <row r="20">
      <c r="A20" s="4" t="inlineStr">
        <is>
          <t>Vulnerabilidades críticas o altas (SAST/SCA)</t>
        </is>
      </c>
      <c r="B20" s="4" t="inlineStr">
        <is>
          <t>Todos</t>
        </is>
      </c>
      <c r="C20" s="4" t="inlineStr">
        <is>
          <t>GitLab SAST + composer audit / npm audit</t>
        </is>
      </c>
      <c r="D20" s="14" t="inlineStr">
        <is>
          <t>&lt;=</t>
        </is>
      </c>
      <c r="E20" s="17" t="n">
        <v>0</v>
      </c>
      <c r="F20" s="17" t="n">
        <v>0</v>
      </c>
      <c r="G20" s="16">
        <f>IF(D20="&gt;=",IF(F20&gt;=E20,"PASA","BLOQUEA"),IF(F20&lt;=E20,"PASA","BLOQUEA"))</f>
        <v/>
      </c>
      <c r="H20" s="14" t="inlineStr">
        <is>
          <t>G2</t>
        </is>
      </c>
      <c r="I20" s="4" t="inlineStr">
        <is>
          <t>BTT RT-04.05</t>
        </is>
      </c>
    </row>
    <row r="21">
      <c r="A21" s="4" t="inlineStr">
        <is>
          <t>Secretos detectados en el código</t>
        </is>
      </c>
      <c r="B21" s="4" t="inlineStr">
        <is>
          <t>Todos</t>
        </is>
      </c>
      <c r="C21" s="4" t="inlineStr">
        <is>
          <t>GitLab Secret Detection</t>
        </is>
      </c>
      <c r="D21" s="14" t="inlineStr">
        <is>
          <t>&lt;=</t>
        </is>
      </c>
      <c r="E21" s="17" t="n">
        <v>0</v>
      </c>
      <c r="F21" s="17" t="n">
        <v>0</v>
      </c>
      <c r="G21" s="16">
        <f>IF(D21="&gt;=",IF(F21&gt;=E21,"PASA","BLOQUEA"),IF(F21&lt;=E21,"PASA","BLOQUEA"))</f>
        <v/>
      </c>
      <c r="H21" s="14" t="inlineStr">
        <is>
          <t>G1</t>
        </is>
      </c>
      <c r="I21" s="4" t="inlineStr">
        <is>
          <t>BTT RT-04.05, RT-04.09</t>
        </is>
      </c>
    </row>
    <row r="22">
      <c r="A22" s="4" t="inlineStr">
        <is>
          <t>Vulnerabilidades críticas o altas en imágenes</t>
        </is>
      </c>
      <c r="B22" s="4" t="inlineStr">
        <is>
          <t>Contenedores</t>
        </is>
      </c>
      <c r="C22" s="4" t="inlineStr">
        <is>
          <t>Amazon Inspector / ECR scan</t>
        </is>
      </c>
      <c r="D22" s="14" t="inlineStr">
        <is>
          <t>&lt;=</t>
        </is>
      </c>
      <c r="E22" s="17" t="n">
        <v>0</v>
      </c>
      <c r="F22" s="17" t="n">
        <v>0</v>
      </c>
      <c r="G22" s="16">
        <f>IF(D22="&gt;=",IF(F22&gt;=E22,"PASA","BLOQUEA"),IF(F22&lt;=E22,"PASA","BLOQUEA"))</f>
        <v/>
      </c>
      <c r="H22" s="14" t="inlineStr">
        <is>
          <t>G3</t>
        </is>
      </c>
      <c r="I22" s="4" t="inlineStr">
        <is>
          <t>BTT RT-04.05</t>
        </is>
      </c>
    </row>
    <row r="23">
      <c r="A23" s="4" t="inlineStr">
        <is>
          <t>Alertas altas de DAST</t>
        </is>
      </c>
      <c r="B23" s="4" t="inlineStr">
        <is>
          <t>Portales y API</t>
        </is>
      </c>
      <c r="C23" s="4" t="inlineStr">
        <is>
          <t>OWASP ZAP</t>
        </is>
      </c>
      <c r="D23" s="14" t="inlineStr">
        <is>
          <t>&lt;=</t>
        </is>
      </c>
      <c r="E23" s="17" t="n">
        <v>0</v>
      </c>
      <c r="F23" s="17" t="n">
        <v>0</v>
      </c>
      <c r="G23" s="16">
        <f>IF(D23="&gt;=",IF(F23&gt;=E23,"PASA","BLOQUEA"),IF(F23&lt;=E23,"PASA","BLOQUEA"))</f>
        <v/>
      </c>
      <c r="H23" s="14" t="inlineStr">
        <is>
          <t>G4</t>
        </is>
      </c>
      <c r="I23" s="4" t="inlineStr">
        <is>
          <t>BTT §20.1; SD3 RNF-14.07</t>
        </is>
      </c>
    </row>
    <row r="24">
      <c r="A24" s="4" t="inlineStr">
        <is>
          <t>Contratos OpenAPI/AsyncAPI rotos</t>
        </is>
      </c>
      <c r="B24" s="4" t="inlineStr">
        <is>
          <t>API</t>
        </is>
      </c>
      <c r="C24" s="4" t="inlineStr">
        <is>
          <t>Pruebas de contrato</t>
        </is>
      </c>
      <c r="D24" s="14" t="inlineStr">
        <is>
          <t>&lt;=</t>
        </is>
      </c>
      <c r="E24" s="17" t="n">
        <v>0</v>
      </c>
      <c r="F24" s="17" t="n">
        <v>0</v>
      </c>
      <c r="G24" s="16">
        <f>IF(D24="&gt;=",IF(F24&gt;=E24,"PASA","BLOQUEA"),IF(F24&lt;=E24,"PASA","BLOQUEA"))</f>
        <v/>
      </c>
      <c r="H24" s="14" t="inlineStr">
        <is>
          <t>G2</t>
        </is>
      </c>
      <c r="I24" s="4" t="inlineStr">
        <is>
          <t>SD6 §6.2</t>
        </is>
      </c>
    </row>
    <row r="25">
      <c r="A25" s="4" t="inlineStr">
        <is>
          <t>Pruebas en falla</t>
        </is>
      </c>
      <c r="B25" s="4" t="inlineStr">
        <is>
          <t>Todos</t>
        </is>
      </c>
      <c r="C25" s="4" t="inlineStr">
        <is>
          <t>Ejecución CI</t>
        </is>
      </c>
      <c r="D25" s="14" t="inlineStr">
        <is>
          <t>&lt;=</t>
        </is>
      </c>
      <c r="E25" s="17" t="n">
        <v>0</v>
      </c>
      <c r="F25" s="17" t="n">
        <v>0</v>
      </c>
      <c r="G25" s="16">
        <f>IF(D25="&gt;=",IF(F25&gt;=E25,"PASA","BLOQUEA"),IF(F25&lt;=E25,"PASA","BLOQUEA"))</f>
        <v/>
      </c>
      <c r="H25" s="14" t="inlineStr">
        <is>
          <t>G2</t>
        </is>
      </c>
      <c r="I25" s="4" t="inlineStr">
        <is>
          <t>BTT §20.1</t>
        </is>
      </c>
    </row>
    <row r="26">
      <c r="A26" s="4" t="inlineStr">
        <is>
          <t>Regresión de p95 respecto de la versión anterior</t>
        </is>
      </c>
      <c r="B26" s="4" t="inlineStr">
        <is>
          <t>API</t>
        </is>
      </c>
      <c r="C26" s="4" t="inlineStr">
        <is>
          <t>k6 en QA (semanal)</t>
        </is>
      </c>
      <c r="D26" s="14" t="inlineStr">
        <is>
          <t>&lt;=</t>
        </is>
      </c>
      <c r="E26" s="8" t="n">
        <v>0.1</v>
      </c>
      <c r="F26" s="8" t="n">
        <v>0.04</v>
      </c>
      <c r="G26" s="16">
        <f>IF(D26="&gt;=",IF(F26&gt;=E26,"PASA","BLOQUEA"),IF(F26&lt;=E26,"PASA","BLOQUEA"))</f>
        <v/>
      </c>
      <c r="H26" s="14" t="inlineStr">
        <is>
          <t>G3</t>
        </is>
      </c>
      <c r="I26" s="4" t="inlineStr">
        <is>
          <t>SD4 §4.2.4; supuesto del 10 %</t>
        </is>
      </c>
    </row>
    <row r="27">
      <c r="A27" s="4" t="inlineStr">
        <is>
          <t>Violaciones WCAG 2.2 AA graves</t>
        </is>
      </c>
      <c r="B27" s="4" t="inlineStr">
        <is>
          <t>Portales / app</t>
        </is>
      </c>
      <c r="C27" s="4" t="inlineStr">
        <is>
          <t>axe-core</t>
        </is>
      </c>
      <c r="D27" s="14" t="inlineStr">
        <is>
          <t>&lt;=</t>
        </is>
      </c>
      <c r="E27" s="17" t="n">
        <v>0</v>
      </c>
      <c r="F27" s="17" t="n">
        <v>0</v>
      </c>
      <c r="G27" s="16">
        <f>IF(D27="&gt;=",IF(F27&gt;=E27,"PASA","BLOQUEA"),IF(F27&lt;=E27,"PASA","BLOQUEA"))</f>
        <v/>
      </c>
      <c r="H27" s="14" t="inlineStr">
        <is>
          <t>G4</t>
        </is>
      </c>
      <c r="I27" s="4" t="inlineStr">
        <is>
          <t>BTT RT-13.01</t>
        </is>
      </c>
    </row>
    <row r="28">
      <c r="A28" s="4" t="inlineStr">
        <is>
          <t>Revisores aprobadores por solicitud de fusión</t>
        </is>
      </c>
      <c r="B28" s="4" t="inlineStr">
        <is>
          <t>Todos</t>
        </is>
      </c>
      <c r="C28" s="4" t="inlineStr">
        <is>
          <t>GitLab (rama protegida)</t>
        </is>
      </c>
      <c r="D28" s="14" t="inlineStr">
        <is>
          <t>&gt;=</t>
        </is>
      </c>
      <c r="E28" s="17" t="n">
        <v>1</v>
      </c>
      <c r="F28" s="17" t="n">
        <v>1</v>
      </c>
      <c r="G28" s="16">
        <f>IF(D28="&gt;=",IF(F28&gt;=E28,"PASA","BLOQUEA"),IF(F28&lt;=E28,"PASA","BLOQUEA"))</f>
        <v/>
      </c>
      <c r="H28" s="14" t="inlineStr">
        <is>
          <t>G1</t>
        </is>
      </c>
      <c r="I28" s="4" t="inlineStr">
        <is>
          <t>BTT RT-04.03</t>
        </is>
      </c>
    </row>
    <row r="30">
      <c r="A30" s="11" t="inlineStr">
        <is>
          <t>Métricas que bloquean con los valores de ejemplo</t>
        </is>
      </c>
      <c r="B30" s="12">
        <f>COUNTIF(G5:G28,"BLOQUEA")</f>
        <v/>
      </c>
    </row>
    <row r="31">
      <c r="A31" s="3" t="inlineStr">
        <is>
          <t>Leyenda de puertas</t>
        </is>
      </c>
      <c r="B31" s="4" t="inlineStr">
        <is>
          <t>G0 compromiso local · G1 solicitud de fusión · G2 integración continua · G3 promoción a QA · G4 promoción a PREPROD · G5 paso a PROD · G6 operación</t>
        </is>
      </c>
    </row>
  </sheetData>
  <conditionalFormatting sqref="G5:G28">
    <cfRule type="expression" priority="1" dxfId="0">
      <formula>G5="BLOQUEA"</formula>
    </cfRule>
    <cfRule type="expression" priority="2" dxfId="1">
      <formula>G5="PASA"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6" customWidth="1" min="4" max="4"/>
    <col width="16" customWidth="1" min="5" max="5"/>
    <col width="14" customWidth="1" min="6" max="6"/>
    <col width="16" customWidth="1" min="7" max="7"/>
    <col width="13" customWidth="1" min="8" max="8"/>
    <col width="46" customWidth="1" min="9" max="9"/>
  </cols>
  <sheetData>
    <row r="1">
      <c r="A1" s="1" t="inlineStr">
        <is>
          <t>Prueba de carga y escalones de estrés</t>
        </is>
      </c>
    </row>
    <row r="2">
      <c r="A2" s="2" t="inlineStr">
        <is>
          <t>Base: peak de septiembre del SD4. BTT RT-09.06 exige 1,5× el peak; RT-09.03 exige soportar 3× sin rediseño.</t>
        </is>
      </c>
    </row>
    <row r="4">
      <c r="A4" s="5" t="inlineStr">
        <is>
          <t>Escenario</t>
        </is>
      </c>
      <c r="B4" s="5" t="inlineStr">
        <is>
          <t>Factor</t>
        </is>
      </c>
      <c r="C4" s="5" t="inlineStr">
        <is>
          <t>TPS</t>
        </is>
      </c>
      <c r="D4" s="5" t="inlineStr">
        <is>
          <t>Usuarios concurrentes (cota extrema)</t>
        </is>
      </c>
      <c r="E4" s="5" t="inlineStr">
        <is>
          <t>Usuarios concurrentes (régimen)</t>
        </is>
      </c>
      <c r="F4" s="5" t="inlineStr">
        <is>
          <t>Dispositivos de terreno</t>
        </is>
      </c>
      <c r="G4" s="5" t="inlineStr">
        <is>
          <t>Mensajes de integración / día</t>
        </is>
      </c>
      <c r="H4" s="5" t="inlineStr">
        <is>
          <t>Mensajes / s (promedio)</t>
        </is>
      </c>
      <c r="I4" s="5" t="inlineStr">
        <is>
          <t>Uso</t>
        </is>
      </c>
    </row>
    <row r="5">
      <c r="A5" s="3" t="inlineStr">
        <is>
          <t>Peak de septiembre (referencia)</t>
        </is>
      </c>
      <c r="B5" s="20" t="n">
        <v>1</v>
      </c>
      <c r="C5" s="21">
        <f>Datos_Base!$C$7*B5</f>
        <v/>
      </c>
      <c r="D5" s="22">
        <f>Datos_Base!$C$11*B5</f>
        <v/>
      </c>
      <c r="E5" s="22">
        <f>Datos_Base!$C$10*B5</f>
        <v/>
      </c>
      <c r="F5" s="22">
        <f>Datos_Base!$C$13*B5</f>
        <v/>
      </c>
      <c r="G5" s="22">
        <f>Datos_Base!$C$15*B5</f>
        <v/>
      </c>
      <c r="H5" s="23">
        <f>G5/86400</f>
        <v/>
      </c>
      <c r="I5" s="4" t="inlineStr">
        <is>
          <t>Línea de comparación</t>
        </is>
      </c>
    </row>
    <row r="6">
      <c r="A6" s="3" t="inlineStr">
        <is>
          <t>Prueba de carga obligatoria</t>
        </is>
      </c>
      <c r="B6" s="24">
        <f>Datos_Base!$C$8</f>
        <v/>
      </c>
      <c r="C6" s="21">
        <f>Datos_Base!$C$7*B6</f>
        <v/>
      </c>
      <c r="D6" s="22">
        <f>Datos_Base!$C$11*B6</f>
        <v/>
      </c>
      <c r="E6" s="22">
        <f>Datos_Base!$C$10*B6</f>
        <v/>
      </c>
      <c r="F6" s="22">
        <f>Datos_Base!$C$13*B6</f>
        <v/>
      </c>
      <c r="G6" s="22">
        <f>Datos_Base!$C$15*B6</f>
        <v/>
      </c>
      <c r="H6" s="23">
        <f>G6/86400</f>
        <v/>
      </c>
      <c r="I6" s="4" t="inlineStr">
        <is>
          <t>Criterio de salida: todos los p95 de ISO25010 cumplidos (BTT §20.1)</t>
        </is>
      </c>
    </row>
    <row r="7">
      <c r="A7" s="3" t="inlineStr">
        <is>
          <t>Estrés escalón 1</t>
        </is>
      </c>
      <c r="B7" s="20" t="n">
        <v>2</v>
      </c>
      <c r="C7" s="21">
        <f>Datos_Base!$C$7*B7</f>
        <v/>
      </c>
      <c r="D7" s="22">
        <f>Datos_Base!$C$11*B7</f>
        <v/>
      </c>
      <c r="E7" s="22">
        <f>Datos_Base!$C$10*B7</f>
        <v/>
      </c>
      <c r="F7" s="22">
        <f>Datos_Base!$C$13*B7</f>
        <v/>
      </c>
      <c r="G7" s="22">
        <f>Datos_Base!$C$15*B7</f>
        <v/>
      </c>
      <c r="H7" s="23">
        <f>G7/86400</f>
        <v/>
      </c>
      <c r="I7" s="4" t="inlineStr">
        <is>
          <t>Buscar el componente que se satura primero (RT-09.05)</t>
        </is>
      </c>
    </row>
    <row r="8">
      <c r="A8" s="3" t="inlineStr">
        <is>
          <t>Estrés escalón 2 = crecimiento a 3 años</t>
        </is>
      </c>
      <c r="B8" s="24">
        <f>Datos_Base!$C$9</f>
        <v/>
      </c>
      <c r="C8" s="21">
        <f>Datos_Base!$C$7*B8</f>
        <v/>
      </c>
      <c r="D8" s="22">
        <f>Datos_Base!$C$11*B8</f>
        <v/>
      </c>
      <c r="E8" s="22">
        <f>Datos_Base!$C$10*B8</f>
        <v/>
      </c>
      <c r="F8" s="22">
        <f>Datos_Base!$C$13*B8</f>
        <v/>
      </c>
      <c r="G8" s="22">
        <f>Datos_Base!$C$15*B8</f>
        <v/>
      </c>
      <c r="H8" s="23">
        <f>G8/86400</f>
        <v/>
      </c>
      <c r="I8" s="4" t="inlineStr">
        <is>
          <t>Debe sostenerse sin rediseño (RT-09.03)</t>
        </is>
      </c>
    </row>
    <row r="9">
      <c r="A9" s="3" t="inlineStr">
        <is>
          <t>Estrés escalón 3 (hasta el quiebre)</t>
        </is>
      </c>
      <c r="B9" s="20" t="n">
        <v>4</v>
      </c>
      <c r="C9" s="21">
        <f>Datos_Base!$C$7*B9</f>
        <v/>
      </c>
      <c r="D9" s="22">
        <f>Datos_Base!$C$11*B9</f>
        <v/>
      </c>
      <c r="E9" s="22">
        <f>Datos_Base!$C$10*B9</f>
        <v/>
      </c>
      <c r="F9" s="22">
        <f>Datos_Base!$C$13*B9</f>
        <v/>
      </c>
      <c r="G9" s="22">
        <f>Datos_Base!$C$15*B9</f>
        <v/>
      </c>
      <c r="H9" s="23">
        <f>G9/86400</f>
        <v/>
      </c>
      <c r="I9" s="4" t="inlineStr">
        <is>
          <t>Registrar el punto de quiebre y la degradación controlada (RT-09.08)</t>
        </is>
      </c>
    </row>
    <row r="11">
      <c r="A11" s="3" t="inlineStr">
        <is>
          <t>Ventana de despacho 05:30–07:00 a 1,5×</t>
        </is>
      </c>
      <c r="B11" s="24">
        <f>Datos_Base!$C$8</f>
        <v/>
      </c>
      <c r="C11" s="21">
        <f>Datos_Base!$C$6*B11</f>
        <v/>
      </c>
      <c r="I11" s="4" t="inlineStr">
        <is>
          <t>Escenario adicional: sin indisponibilidad en la ventana crítica (Caso RT-10.05)</t>
        </is>
      </c>
    </row>
    <row r="12">
      <c r="A12" s="3" t="inlineStr">
        <is>
          <t>Régimen normal a 1,5×</t>
        </is>
      </c>
      <c r="B12" s="24">
        <f>Datos_Base!$C$8</f>
        <v/>
      </c>
      <c r="C12" s="21">
        <f>Datos_Base!$C$5*B12</f>
        <v/>
      </c>
      <c r="I12" s="4" t="inlineStr">
        <is>
          <t>Prueba de resistencia (soak) de 8 h en turno nocturno simulado (supuesto)</t>
        </is>
      </c>
    </row>
    <row r="14">
      <c r="A14" s="3" t="inlineStr">
        <is>
          <t>Comprobación: TPS de prueba = 21,99</t>
        </is>
      </c>
      <c r="C14" s="3">
        <f>IF(ROUND(C6,2)=21.99,"OK","REVISAR")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20" customWidth="1" min="5" max="5"/>
    <col width="60" customWidth="1" min="6" max="6"/>
  </cols>
  <sheetData>
    <row r="1">
      <c r="A1" s="1" t="inlineStr">
        <is>
          <t>Presupuesto de error por nivel de servicio</t>
        </is>
      </c>
    </row>
    <row r="2">
      <c r="A2" s="2" t="inlineStr">
        <is>
          <t>Indisponibilidad admisible = (1 − disponibilidad) × días × 24 × 60. SD4 Tabla 16.</t>
        </is>
      </c>
    </row>
    <row r="4">
      <c r="A4" s="5" t="inlineStr">
        <is>
          <t>Nivel</t>
        </is>
      </c>
      <c r="B4" s="5" t="inlineStr">
        <is>
          <t>Disponibilidad</t>
        </is>
      </c>
      <c r="C4" s="5" t="inlineStr">
        <is>
          <t>Minutos admisibles / mes</t>
        </is>
      </c>
      <c r="D4" s="5" t="inlineStr">
        <is>
          <t>Horas admisibles / año</t>
        </is>
      </c>
      <c r="E4" s="5" t="inlineStr">
        <is>
          <t>Minutos admisibles en 05:30–07:00</t>
        </is>
      </c>
      <c r="F4" s="5" t="inlineStr">
        <is>
          <t>Uso en el SD9</t>
        </is>
      </c>
    </row>
    <row r="5">
      <c r="A5" s="3" t="inlineStr">
        <is>
          <t>Crítico</t>
        </is>
      </c>
      <c r="B5" s="15">
        <f>Datos_Base!$C$18</f>
        <v/>
      </c>
      <c r="C5" s="25">
        <f>(1-B5)*Datos_Base!$C$22*24*60</f>
        <v/>
      </c>
      <c r="D5" s="25">
        <f>(1-B5)*365*24</f>
        <v/>
      </c>
      <c r="E5" s="26" t="n">
        <v>0</v>
      </c>
      <c r="F5" s="4" t="inlineStr">
        <is>
          <t>Congela despliegues si se consume el 100 % (SD4 §4.2.4)</t>
        </is>
      </c>
    </row>
    <row r="6">
      <c r="A6" s="3" t="inlineStr">
        <is>
          <t>Alto</t>
        </is>
      </c>
      <c r="B6" s="15">
        <f>Datos_Base!$C$19</f>
        <v/>
      </c>
      <c r="C6" s="25">
        <f>(1-B6)*Datos_Base!$C$22*24*60</f>
        <v/>
      </c>
      <c r="D6" s="25">
        <f>(1-B6)*365*24</f>
        <v/>
      </c>
      <c r="E6" s="26" t="inlineStr">
        <is>
          <t>n/a</t>
        </is>
      </c>
      <c r="F6" s="4" t="inlineStr">
        <is>
          <t>Seguimiento mensual en el informe de calidad</t>
        </is>
      </c>
    </row>
    <row r="7">
      <c r="A7" s="3" t="inlineStr">
        <is>
          <t>Medio</t>
        </is>
      </c>
      <c r="B7" s="15">
        <f>Datos_Base!$C$20</f>
        <v/>
      </c>
      <c r="C7" s="25">
        <f>(1-B7)*Datos_Base!$C$22*24*60</f>
        <v/>
      </c>
      <c r="D7" s="25">
        <f>(1-B7)*365*24</f>
        <v/>
      </c>
      <c r="E7" s="26" t="inlineStr">
        <is>
          <t>n/a</t>
        </is>
      </c>
      <c r="F7" s="4" t="inlineStr">
        <is>
          <t>Seguimiento mensual en el informe de calidad</t>
        </is>
      </c>
    </row>
    <row r="8">
      <c r="A8" s="3" t="inlineStr">
        <is>
          <t>Bajo</t>
        </is>
      </c>
      <c r="B8" s="15">
        <f>Datos_Base!$C$21</f>
        <v/>
      </c>
      <c r="C8" s="25">
        <f>(1-B8)*Datos_Base!$C$22*24*60</f>
        <v/>
      </c>
      <c r="D8" s="25">
        <f>(1-B8)*365*24</f>
        <v/>
      </c>
      <c r="E8" s="26" t="inlineStr">
        <is>
          <t>n/a</t>
        </is>
      </c>
      <c r="F8" s="4" t="inlineStr">
        <is>
          <t>Seguimiento mensual en el informe de calidad</t>
        </is>
      </c>
    </row>
    <row r="10">
      <c r="A10" s="3" t="inlineStr">
        <is>
          <t>Comprobación crítico = 43,2 min</t>
        </is>
      </c>
      <c r="C10" s="3">
        <f>IF(ROUND(C5,1)=43.2,"OK","REVISAR")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56" customWidth="1" min="5" max="5"/>
  </cols>
  <sheetData>
    <row r="1">
      <c r="A1" s="1" t="inlineStr">
        <is>
          <t>Estimación de casos de prueba y de la batería de regresión</t>
        </is>
      </c>
    </row>
    <row r="2">
      <c r="A2" s="2" t="inlineStr">
        <is>
          <t>Celdas amarillas = supuestos de LafroX que el grupo debe confirmar antes de citarlos en el SD9.</t>
        </is>
      </c>
    </row>
    <row r="4">
      <c r="A4" s="5" t="inlineStr">
        <is>
          <t>Grupo</t>
        </is>
      </c>
      <c r="B4" s="5" t="inlineStr">
        <is>
          <t>Cantidad</t>
        </is>
      </c>
      <c r="C4" s="5" t="inlineStr">
        <is>
          <t>Casos por elemento</t>
        </is>
      </c>
      <c r="D4" s="5" t="inlineStr">
        <is>
          <t>Casos estimados</t>
        </is>
      </c>
      <c r="E4" s="5" t="inlineStr">
        <is>
          <t>Fuente / supuesto</t>
        </is>
      </c>
    </row>
    <row r="5">
      <c r="A5" s="4" t="inlineStr">
        <is>
          <t>Requerimientos de prioridad crítica</t>
        </is>
      </c>
      <c r="B5" s="27">
        <f>Datos_Base!$C$37</f>
        <v/>
      </c>
      <c r="C5" s="28" t="n">
        <v>5</v>
      </c>
      <c r="D5" s="22">
        <f>B5*C5</f>
        <v/>
      </c>
      <c r="E5" s="4" t="inlineStr">
        <is>
          <t>Supuesto: flujo normal, 2 alternativos, 2 de error</t>
        </is>
      </c>
    </row>
    <row r="6">
      <c r="A6" s="4" t="inlineStr">
        <is>
          <t>Requerimientos de prioridad alta</t>
        </is>
      </c>
      <c r="B6" s="27">
        <f>Datos_Base!$C$38</f>
        <v/>
      </c>
      <c r="C6" s="28" t="n">
        <v>3</v>
      </c>
      <c r="D6" s="22">
        <f>B6*C6</f>
        <v/>
      </c>
      <c r="E6" s="4" t="inlineStr">
        <is>
          <t>Supuesto: flujo normal, 1 alternativo, 1 de error</t>
        </is>
      </c>
    </row>
    <row r="7">
      <c r="A7" s="4" t="inlineStr">
        <is>
          <t>Requerimientos de prioridad media</t>
        </is>
      </c>
      <c r="B7" s="27">
        <f>Datos_Base!$C$39</f>
        <v/>
      </c>
      <c r="C7" s="28" t="n">
        <v>2</v>
      </c>
      <c r="D7" s="22">
        <f>B7*C7</f>
        <v/>
      </c>
      <c r="E7" s="4" t="inlineStr">
        <is>
          <t>Supuesto: flujo normal y 1 de error</t>
        </is>
      </c>
    </row>
    <row r="8">
      <c r="A8" s="4" t="inlineStr">
        <is>
          <t>RT en estado Cumple</t>
        </is>
      </c>
      <c r="B8" s="27">
        <f>Datos_Base!$C$42</f>
        <v/>
      </c>
      <c r="C8" s="28" t="n">
        <v>1</v>
      </c>
      <c r="D8" s="22">
        <f>B8*C8</f>
        <v/>
      </c>
      <c r="E8" s="4" t="inlineStr">
        <is>
          <t>Supuesto: un caso de verificación por RT</t>
        </is>
      </c>
    </row>
    <row r="9">
      <c r="A9" s="4" t="inlineStr">
        <is>
          <t>RT en estado Cumple parcialmente</t>
        </is>
      </c>
      <c r="B9" s="27">
        <f>Datos_Base!$C$43</f>
        <v/>
      </c>
      <c r="C9" s="28" t="n">
        <v>1</v>
      </c>
      <c r="D9" s="22">
        <f>B9*C9</f>
        <v/>
      </c>
      <c r="E9" s="4" t="inlineStr">
        <is>
          <t>Supuesto: verifica la parte comprometida</t>
        </is>
      </c>
    </row>
    <row r="10">
      <c r="A10" s="4" t="inlineStr">
        <is>
          <t>Integraciones (casos de contrato)</t>
        </is>
      </c>
      <c r="B10" s="27">
        <f>Datos_Base!$C$17</f>
        <v/>
      </c>
      <c r="C10" s="28" t="n">
        <v>6</v>
      </c>
      <c r="D10" s="22">
        <f>B10*C10</f>
        <v/>
      </c>
      <c r="E10" s="4" t="inlineStr">
        <is>
          <t>Supuesto: éxito, error, lentitud, duplicado, orden, versión (RT-10.08)</t>
        </is>
      </c>
    </row>
    <row r="11">
      <c r="A11" s="11" t="inlineStr">
        <is>
          <t>Total de casos</t>
        </is>
      </c>
      <c r="D11" s="29">
        <f>SUM(D5:D10)</f>
        <v/>
      </c>
    </row>
    <row r="12">
      <c r="A12" s="3" t="inlineStr">
        <is>
          <t>Comprobación: crítico+alto+medio+absorbidos+no cumple = filas RF+RNF del T-12</t>
        </is>
      </c>
      <c r="D12" s="3">
        <f>IF(B5+B6+B7+Datos_Base!$C$40+Datos_Base!$C$41=Datos_Base!$C$35+Datos_Base!$C$36,"OK","REVISAR")</f>
        <v/>
      </c>
    </row>
    <row r="14">
      <c r="A14" s="3" t="inlineStr">
        <is>
          <t>Batería de regresión</t>
        </is>
      </c>
    </row>
    <row r="15">
      <c r="A15" s="4" t="inlineStr">
        <is>
          <t>Proporción automatizada</t>
        </is>
      </c>
      <c r="C15" s="30" t="n">
        <v>0.8</v>
      </c>
      <c r="E15" s="4" t="inlineStr">
        <is>
          <t>Supuesto; el resto es manual o de terreno</t>
        </is>
      </c>
    </row>
    <row r="16">
      <c r="A16" s="4" t="inlineStr">
        <is>
          <t>Minutos por caso automatizado (paralelismo incluido)</t>
        </is>
      </c>
      <c r="C16" s="31" t="n">
        <v>0.5</v>
      </c>
      <c r="E16" s="4" t="inlineStr">
        <is>
          <t>Supuesto</t>
        </is>
      </c>
    </row>
    <row r="17">
      <c r="A17" s="4" t="inlineStr">
        <is>
          <t>Minutos por caso manual</t>
        </is>
      </c>
      <c r="C17" s="28" t="n">
        <v>15</v>
      </c>
      <c r="E17" s="4" t="inlineStr">
        <is>
          <t>Supuesto</t>
        </is>
      </c>
    </row>
    <row r="18">
      <c r="A18" s="4" t="inlineStr">
        <is>
          <t>Ciclos de regresión completos por iteración</t>
        </is>
      </c>
      <c r="C18" s="28" t="n">
        <v>1</v>
      </c>
      <c r="E18" s="4" t="inlineStr">
        <is>
          <t>Antes de cada promoción a PREPROD (BTT §20.1)</t>
        </is>
      </c>
    </row>
    <row r="19">
      <c r="A19" s="4" t="inlineStr">
        <is>
          <t>Ejecutores paralelos de la regresión</t>
        </is>
      </c>
      <c r="C19" s="28" t="n">
        <v>2</v>
      </c>
      <c r="E19" s="4" t="inlineStr">
        <is>
          <t>Supuesto; GitLab CI con dos ejecutores</t>
        </is>
      </c>
    </row>
    <row r="20">
      <c r="A20" s="4" t="inlineStr">
        <is>
          <t>Casos automatizados</t>
        </is>
      </c>
      <c r="D20" s="22">
        <f>ROUND(D11*C15,0)</f>
        <v/>
      </c>
    </row>
    <row r="21">
      <c r="A21" s="4" t="inlineStr">
        <is>
          <t>Duración de la regresión automatizada en un ejecutor (h)</t>
        </is>
      </c>
      <c r="D21" s="32">
        <f>D20*C16/60</f>
        <v/>
      </c>
    </row>
    <row r="22">
      <c r="A22" s="4" t="inlineStr">
        <is>
          <t>Duración con ejecutores paralelos (h)</t>
        </is>
      </c>
      <c r="D22" s="32">
        <f>D21/C19</f>
        <v/>
      </c>
    </row>
    <row r="23">
      <c r="A23" s="4" t="inlineStr">
        <is>
          <t>Casos manuales</t>
        </is>
      </c>
      <c r="D23" s="22">
        <f>D11-D20</f>
        <v/>
      </c>
    </row>
    <row r="24">
      <c r="A24" s="4" t="inlineStr">
        <is>
          <t>HH manuales por ciclo</t>
        </is>
      </c>
      <c r="D24" s="25">
        <f>D23*C17/60*C18</f>
        <v/>
      </c>
    </row>
    <row r="25">
      <c r="A25" s="3" t="inlineStr">
        <is>
          <t>¿La regresión automatizada cabe en una noche (≤ 8 h)?</t>
        </is>
      </c>
      <c r="D25" s="3">
        <f>IF(D22&lt;=8,"Sí","No")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57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6" customWidth="1" min="4" max="4"/>
    <col width="6" customWidth="1" min="5" max="5"/>
    <col width="8" customWidth="1" min="6" max="6"/>
    <col width="12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10" customWidth="1" min="64" max="64"/>
  </cols>
  <sheetData>
    <row r="1">
      <c r="A1" s="1" t="inlineStr">
        <is>
          <t>Paquetes de calidad del T-15 distribuidos por mes</t>
        </is>
      </c>
    </row>
    <row r="2">
      <c r="A2" s="2" t="inlineStr">
        <is>
          <t>HH uniformes entre mes inicial y final del T-15 §4.2. Categoría COQ según PMBOK cap. 8.</t>
        </is>
      </c>
    </row>
    <row r="4">
      <c r="A4" s="5" t="inlineStr">
        <is>
          <t>Paquete</t>
        </is>
      </c>
      <c r="B4" s="5" t="inlineStr">
        <is>
          <t>Nombre</t>
        </is>
      </c>
      <c r="C4" s="5" t="inlineStr">
        <is>
          <t>Rol</t>
        </is>
      </c>
      <c r="D4" s="5" t="inlineStr">
        <is>
          <t>Mes ini</t>
        </is>
      </c>
      <c r="E4" s="5" t="inlineStr">
        <is>
          <t>Mes fin</t>
        </is>
      </c>
      <c r="F4" s="5" t="inlineStr">
        <is>
          <t>HH</t>
        </is>
      </c>
      <c r="G4" s="5" t="inlineStr">
        <is>
          <t>Categoría COQ</t>
        </is>
      </c>
      <c r="H4" s="5" t="n">
        <v>1</v>
      </c>
      <c r="I4" s="5" t="n">
        <v>2</v>
      </c>
      <c r="J4" s="5" t="n">
        <v>3</v>
      </c>
      <c r="K4" s="5" t="n">
        <v>4</v>
      </c>
      <c r="L4" s="5" t="n">
        <v>5</v>
      </c>
      <c r="M4" s="5" t="n">
        <v>6</v>
      </c>
      <c r="N4" s="5" t="n">
        <v>7</v>
      </c>
      <c r="O4" s="5" t="n">
        <v>8</v>
      </c>
      <c r="P4" s="5" t="n">
        <v>9</v>
      </c>
      <c r="Q4" s="5" t="n">
        <v>10</v>
      </c>
      <c r="R4" s="5" t="n">
        <v>11</v>
      </c>
      <c r="S4" s="5" t="n">
        <v>12</v>
      </c>
      <c r="T4" s="5" t="n">
        <v>13</v>
      </c>
      <c r="U4" s="5" t="n">
        <v>14</v>
      </c>
      <c r="V4" s="5" t="n">
        <v>15</v>
      </c>
      <c r="W4" s="5" t="n">
        <v>16</v>
      </c>
      <c r="X4" s="5" t="n">
        <v>17</v>
      </c>
      <c r="Y4" s="5" t="n">
        <v>18</v>
      </c>
      <c r="Z4" s="5" t="n">
        <v>19</v>
      </c>
      <c r="AA4" s="5" t="n">
        <v>20</v>
      </c>
      <c r="AB4" s="5" t="n">
        <v>21</v>
      </c>
      <c r="AC4" s="5" t="n">
        <v>22</v>
      </c>
      <c r="AD4" s="5" t="n">
        <v>23</v>
      </c>
      <c r="AE4" s="5" t="n">
        <v>24</v>
      </c>
      <c r="AF4" s="5" t="n">
        <v>25</v>
      </c>
      <c r="AG4" s="5" t="n">
        <v>26</v>
      </c>
      <c r="AH4" s="5" t="n">
        <v>27</v>
      </c>
      <c r="AI4" s="5" t="n">
        <v>28</v>
      </c>
      <c r="AJ4" s="5" t="n">
        <v>29</v>
      </c>
      <c r="AK4" s="5" t="n">
        <v>30</v>
      </c>
      <c r="AL4" s="5" t="n">
        <v>31</v>
      </c>
      <c r="AM4" s="5" t="n">
        <v>32</v>
      </c>
      <c r="AN4" s="5" t="n">
        <v>33</v>
      </c>
      <c r="AO4" s="5" t="n">
        <v>34</v>
      </c>
      <c r="AP4" s="5" t="n">
        <v>35</v>
      </c>
      <c r="AQ4" s="5" t="n">
        <v>36</v>
      </c>
      <c r="AR4" s="5" t="n">
        <v>37</v>
      </c>
      <c r="AS4" s="5" t="n">
        <v>38</v>
      </c>
      <c r="AT4" s="5" t="n">
        <v>39</v>
      </c>
      <c r="AU4" s="5" t="n">
        <v>40</v>
      </c>
      <c r="AV4" s="5" t="n">
        <v>41</v>
      </c>
      <c r="AW4" s="5" t="n">
        <v>42</v>
      </c>
      <c r="AX4" s="5" t="n">
        <v>43</v>
      </c>
      <c r="AY4" s="5" t="n">
        <v>44</v>
      </c>
      <c r="AZ4" s="5" t="n">
        <v>45</v>
      </c>
      <c r="BA4" s="5" t="n">
        <v>46</v>
      </c>
      <c r="BB4" s="5" t="n">
        <v>47</v>
      </c>
      <c r="BC4" s="5" t="n">
        <v>48</v>
      </c>
      <c r="BD4" s="5" t="n">
        <v>49</v>
      </c>
      <c r="BE4" s="5" t="n">
        <v>50</v>
      </c>
      <c r="BF4" s="5" t="n">
        <v>51</v>
      </c>
      <c r="BG4" s="5" t="n">
        <v>52</v>
      </c>
      <c r="BH4" s="5" t="n">
        <v>53</v>
      </c>
      <c r="BI4" s="5" t="n">
        <v>54</v>
      </c>
      <c r="BJ4" s="5" t="n">
        <v>55</v>
      </c>
      <c r="BK4" s="5" t="n">
        <v>56</v>
      </c>
      <c r="BL4" s="5" t="inlineStr">
        <is>
          <t>Suma meses</t>
        </is>
      </c>
    </row>
    <row r="5">
      <c r="A5" s="3" t="inlineStr">
        <is>
          <t>1.2.4</t>
        </is>
      </c>
      <c r="B5" s="4" t="inlineStr">
        <is>
          <t>Matriz de trazabilidad (H1)</t>
        </is>
      </c>
      <c r="C5" s="14" t="inlineStr">
        <is>
          <t>CAL</t>
        </is>
      </c>
      <c r="D5" s="33" t="n">
        <v>2</v>
      </c>
      <c r="E5" s="33" t="n">
        <v>2</v>
      </c>
      <c r="F5" s="7" t="n">
        <v>80</v>
      </c>
      <c r="G5" s="4" t="inlineStr">
        <is>
          <t>Prevención</t>
        </is>
      </c>
      <c r="H5" s="34">
        <f>IF(AND(H$4*1&gt;=$D5,H$4*1&lt;=$E5),$F5/($E5-$D5+1),0)</f>
        <v/>
      </c>
      <c r="I5" s="34">
        <f>IF(AND(I$4*1&gt;=$D5,I$4*1&lt;=$E5),$F5/($E5-$D5+1),0)</f>
        <v/>
      </c>
      <c r="J5" s="34">
        <f>IF(AND(J$4*1&gt;=$D5,J$4*1&lt;=$E5),$F5/($E5-$D5+1),0)</f>
        <v/>
      </c>
      <c r="K5" s="34">
        <f>IF(AND(K$4*1&gt;=$D5,K$4*1&lt;=$E5),$F5/($E5-$D5+1),0)</f>
        <v/>
      </c>
      <c r="L5" s="34">
        <f>IF(AND(L$4*1&gt;=$D5,L$4*1&lt;=$E5),$F5/($E5-$D5+1),0)</f>
        <v/>
      </c>
      <c r="M5" s="34">
        <f>IF(AND(M$4*1&gt;=$D5,M$4*1&lt;=$E5),$F5/($E5-$D5+1),0)</f>
        <v/>
      </c>
      <c r="N5" s="34">
        <f>IF(AND(N$4*1&gt;=$D5,N$4*1&lt;=$E5),$F5/($E5-$D5+1),0)</f>
        <v/>
      </c>
      <c r="O5" s="34">
        <f>IF(AND(O$4*1&gt;=$D5,O$4*1&lt;=$E5),$F5/($E5-$D5+1),0)</f>
        <v/>
      </c>
      <c r="P5" s="34">
        <f>IF(AND(P$4*1&gt;=$D5,P$4*1&lt;=$E5),$F5/($E5-$D5+1),0)</f>
        <v/>
      </c>
      <c r="Q5" s="34">
        <f>IF(AND(Q$4*1&gt;=$D5,Q$4*1&lt;=$E5),$F5/($E5-$D5+1),0)</f>
        <v/>
      </c>
      <c r="R5" s="34">
        <f>IF(AND(R$4*1&gt;=$D5,R$4*1&lt;=$E5),$F5/($E5-$D5+1),0)</f>
        <v/>
      </c>
      <c r="S5" s="34">
        <f>IF(AND(S$4*1&gt;=$D5,S$4*1&lt;=$E5),$F5/($E5-$D5+1),0)</f>
        <v/>
      </c>
      <c r="T5" s="34">
        <f>IF(AND(T$4*1&gt;=$D5,T$4*1&lt;=$E5),$F5/($E5-$D5+1),0)</f>
        <v/>
      </c>
      <c r="U5" s="34">
        <f>IF(AND(U$4*1&gt;=$D5,U$4*1&lt;=$E5),$F5/($E5-$D5+1),0)</f>
        <v/>
      </c>
      <c r="V5" s="34">
        <f>IF(AND(V$4*1&gt;=$D5,V$4*1&lt;=$E5),$F5/($E5-$D5+1),0)</f>
        <v/>
      </c>
      <c r="W5" s="34">
        <f>IF(AND(W$4*1&gt;=$D5,W$4*1&lt;=$E5),$F5/($E5-$D5+1),0)</f>
        <v/>
      </c>
      <c r="X5" s="34">
        <f>IF(AND(X$4*1&gt;=$D5,X$4*1&lt;=$E5),$F5/($E5-$D5+1),0)</f>
        <v/>
      </c>
      <c r="Y5" s="34">
        <f>IF(AND(Y$4*1&gt;=$D5,Y$4*1&lt;=$E5),$F5/($E5-$D5+1),0)</f>
        <v/>
      </c>
      <c r="Z5" s="34">
        <f>IF(AND(Z$4*1&gt;=$D5,Z$4*1&lt;=$E5),$F5/($E5-$D5+1),0)</f>
        <v/>
      </c>
      <c r="AA5" s="34">
        <f>IF(AND(AA$4*1&gt;=$D5,AA$4*1&lt;=$E5),$F5/($E5-$D5+1),0)</f>
        <v/>
      </c>
      <c r="AB5" s="34">
        <f>IF(AND(AB$4*1&gt;=$D5,AB$4*1&lt;=$E5),$F5/($E5-$D5+1),0)</f>
        <v/>
      </c>
      <c r="AC5" s="34">
        <f>IF(AND(AC$4*1&gt;=$D5,AC$4*1&lt;=$E5),$F5/($E5-$D5+1),0)</f>
        <v/>
      </c>
      <c r="AD5" s="34">
        <f>IF(AND(AD$4*1&gt;=$D5,AD$4*1&lt;=$E5),$F5/($E5-$D5+1),0)</f>
        <v/>
      </c>
      <c r="AE5" s="34">
        <f>IF(AND(AE$4*1&gt;=$D5,AE$4*1&lt;=$E5),$F5/($E5-$D5+1),0)</f>
        <v/>
      </c>
      <c r="AF5" s="34">
        <f>IF(AND(AF$4*1&gt;=$D5,AF$4*1&lt;=$E5),$F5/($E5-$D5+1),0)</f>
        <v/>
      </c>
      <c r="AG5" s="34">
        <f>IF(AND(AG$4*1&gt;=$D5,AG$4*1&lt;=$E5),$F5/($E5-$D5+1),0)</f>
        <v/>
      </c>
      <c r="AH5" s="34">
        <f>IF(AND(AH$4*1&gt;=$D5,AH$4*1&lt;=$E5),$F5/($E5-$D5+1),0)</f>
        <v/>
      </c>
      <c r="AI5" s="34">
        <f>IF(AND(AI$4*1&gt;=$D5,AI$4*1&lt;=$E5),$F5/($E5-$D5+1),0)</f>
        <v/>
      </c>
      <c r="AJ5" s="34">
        <f>IF(AND(AJ$4*1&gt;=$D5,AJ$4*1&lt;=$E5),$F5/($E5-$D5+1),0)</f>
        <v/>
      </c>
      <c r="AK5" s="34">
        <f>IF(AND(AK$4*1&gt;=$D5,AK$4*1&lt;=$E5),$F5/($E5-$D5+1),0)</f>
        <v/>
      </c>
      <c r="AL5" s="34">
        <f>IF(AND(AL$4*1&gt;=$D5,AL$4*1&lt;=$E5),$F5/($E5-$D5+1),0)</f>
        <v/>
      </c>
      <c r="AM5" s="34">
        <f>IF(AND(AM$4*1&gt;=$D5,AM$4*1&lt;=$E5),$F5/($E5-$D5+1),0)</f>
        <v/>
      </c>
      <c r="AN5" s="34">
        <f>IF(AND(AN$4*1&gt;=$D5,AN$4*1&lt;=$E5),$F5/($E5-$D5+1),0)</f>
        <v/>
      </c>
      <c r="AO5" s="34">
        <f>IF(AND(AO$4*1&gt;=$D5,AO$4*1&lt;=$E5),$F5/($E5-$D5+1),0)</f>
        <v/>
      </c>
      <c r="AP5" s="34">
        <f>IF(AND(AP$4*1&gt;=$D5,AP$4*1&lt;=$E5),$F5/($E5-$D5+1),0)</f>
        <v/>
      </c>
      <c r="AQ5" s="34">
        <f>IF(AND(AQ$4*1&gt;=$D5,AQ$4*1&lt;=$E5),$F5/($E5-$D5+1),0)</f>
        <v/>
      </c>
      <c r="AR5" s="34">
        <f>IF(AND(AR$4*1&gt;=$D5,AR$4*1&lt;=$E5),$F5/($E5-$D5+1),0)</f>
        <v/>
      </c>
      <c r="AS5" s="34">
        <f>IF(AND(AS$4*1&gt;=$D5,AS$4*1&lt;=$E5),$F5/($E5-$D5+1),0)</f>
        <v/>
      </c>
      <c r="AT5" s="34">
        <f>IF(AND(AT$4*1&gt;=$D5,AT$4*1&lt;=$E5),$F5/($E5-$D5+1),0)</f>
        <v/>
      </c>
      <c r="AU5" s="34">
        <f>IF(AND(AU$4*1&gt;=$D5,AU$4*1&lt;=$E5),$F5/($E5-$D5+1),0)</f>
        <v/>
      </c>
      <c r="AV5" s="34">
        <f>IF(AND(AV$4*1&gt;=$D5,AV$4*1&lt;=$E5),$F5/($E5-$D5+1),0)</f>
        <v/>
      </c>
      <c r="AW5" s="34">
        <f>IF(AND(AW$4*1&gt;=$D5,AW$4*1&lt;=$E5),$F5/($E5-$D5+1),0)</f>
        <v/>
      </c>
      <c r="AX5" s="34">
        <f>IF(AND(AX$4*1&gt;=$D5,AX$4*1&lt;=$E5),$F5/($E5-$D5+1),0)</f>
        <v/>
      </c>
      <c r="AY5" s="34">
        <f>IF(AND(AY$4*1&gt;=$D5,AY$4*1&lt;=$E5),$F5/($E5-$D5+1),0)</f>
        <v/>
      </c>
      <c r="AZ5" s="34">
        <f>IF(AND(AZ$4*1&gt;=$D5,AZ$4*1&lt;=$E5),$F5/($E5-$D5+1),0)</f>
        <v/>
      </c>
      <c r="BA5" s="34">
        <f>IF(AND(BA$4*1&gt;=$D5,BA$4*1&lt;=$E5),$F5/($E5-$D5+1),0)</f>
        <v/>
      </c>
      <c r="BB5" s="34">
        <f>IF(AND(BB$4*1&gt;=$D5,BB$4*1&lt;=$E5),$F5/($E5-$D5+1),0)</f>
        <v/>
      </c>
      <c r="BC5" s="34">
        <f>IF(AND(BC$4*1&gt;=$D5,BC$4*1&lt;=$E5),$F5/($E5-$D5+1),0)</f>
        <v/>
      </c>
      <c r="BD5" s="34">
        <f>IF(AND(BD$4*1&gt;=$D5,BD$4*1&lt;=$E5),$F5/($E5-$D5+1),0)</f>
        <v/>
      </c>
      <c r="BE5" s="34">
        <f>IF(AND(BE$4*1&gt;=$D5,BE$4*1&lt;=$E5),$F5/($E5-$D5+1),0)</f>
        <v/>
      </c>
      <c r="BF5" s="34">
        <f>IF(AND(BF$4*1&gt;=$D5,BF$4*1&lt;=$E5),$F5/($E5-$D5+1),0)</f>
        <v/>
      </c>
      <c r="BG5" s="34">
        <f>IF(AND(BG$4*1&gt;=$D5,BG$4*1&lt;=$E5),$F5/($E5-$D5+1),0)</f>
        <v/>
      </c>
      <c r="BH5" s="34">
        <f>IF(AND(BH$4*1&gt;=$D5,BH$4*1&lt;=$E5),$F5/($E5-$D5+1),0)</f>
        <v/>
      </c>
      <c r="BI5" s="34">
        <f>IF(AND(BI$4*1&gt;=$D5,BI$4*1&lt;=$E5),$F5/($E5-$D5+1),0)</f>
        <v/>
      </c>
      <c r="BJ5" s="34">
        <f>IF(AND(BJ$4*1&gt;=$D5,BJ$4*1&lt;=$E5),$F5/($E5-$D5+1),0)</f>
        <v/>
      </c>
      <c r="BK5" s="34">
        <f>IF(AND(BK$4*1&gt;=$D5,BK$4*1&lt;=$E5),$F5/($E5-$D5+1),0)</f>
        <v/>
      </c>
      <c r="BL5" s="35">
        <f>SUM(H5:BK5)</f>
        <v/>
      </c>
    </row>
    <row r="6">
      <c r="A6" s="3" t="inlineStr">
        <is>
          <t>1.5.1</t>
        </is>
      </c>
      <c r="B6" s="4" t="inlineStr">
        <is>
          <t>Plan de calidad y plan de pruebas</t>
        </is>
      </c>
      <c r="C6" s="14" t="inlineStr">
        <is>
          <t>CAL</t>
        </is>
      </c>
      <c r="D6" s="33" t="n">
        <v>2</v>
      </c>
      <c r="E6" s="33" t="n">
        <v>2</v>
      </c>
      <c r="F6" s="7" t="n">
        <v>80</v>
      </c>
      <c r="G6" s="4" t="inlineStr">
        <is>
          <t>Prevención</t>
        </is>
      </c>
      <c r="H6" s="34">
        <f>IF(AND(H$4*1&gt;=$D6,H$4*1&lt;=$E6),$F6/($E6-$D6+1),0)</f>
        <v/>
      </c>
      <c r="I6" s="34">
        <f>IF(AND(I$4*1&gt;=$D6,I$4*1&lt;=$E6),$F6/($E6-$D6+1),0)</f>
        <v/>
      </c>
      <c r="J6" s="34">
        <f>IF(AND(J$4*1&gt;=$D6,J$4*1&lt;=$E6),$F6/($E6-$D6+1),0)</f>
        <v/>
      </c>
      <c r="K6" s="34">
        <f>IF(AND(K$4*1&gt;=$D6,K$4*1&lt;=$E6),$F6/($E6-$D6+1),0)</f>
        <v/>
      </c>
      <c r="L6" s="34">
        <f>IF(AND(L$4*1&gt;=$D6,L$4*1&lt;=$E6),$F6/($E6-$D6+1),0)</f>
        <v/>
      </c>
      <c r="M6" s="34">
        <f>IF(AND(M$4*1&gt;=$D6,M$4*1&lt;=$E6),$F6/($E6-$D6+1),0)</f>
        <v/>
      </c>
      <c r="N6" s="34">
        <f>IF(AND(N$4*1&gt;=$D6,N$4*1&lt;=$E6),$F6/($E6-$D6+1),0)</f>
        <v/>
      </c>
      <c r="O6" s="34">
        <f>IF(AND(O$4*1&gt;=$D6,O$4*1&lt;=$E6),$F6/($E6-$D6+1),0)</f>
        <v/>
      </c>
      <c r="P6" s="34">
        <f>IF(AND(P$4*1&gt;=$D6,P$4*1&lt;=$E6),$F6/($E6-$D6+1),0)</f>
        <v/>
      </c>
      <c r="Q6" s="34">
        <f>IF(AND(Q$4*1&gt;=$D6,Q$4*1&lt;=$E6),$F6/($E6-$D6+1),0)</f>
        <v/>
      </c>
      <c r="R6" s="34">
        <f>IF(AND(R$4*1&gt;=$D6,R$4*1&lt;=$E6),$F6/($E6-$D6+1),0)</f>
        <v/>
      </c>
      <c r="S6" s="34">
        <f>IF(AND(S$4*1&gt;=$D6,S$4*1&lt;=$E6),$F6/($E6-$D6+1),0)</f>
        <v/>
      </c>
      <c r="T6" s="34">
        <f>IF(AND(T$4*1&gt;=$D6,T$4*1&lt;=$E6),$F6/($E6-$D6+1),0)</f>
        <v/>
      </c>
      <c r="U6" s="34">
        <f>IF(AND(U$4*1&gt;=$D6,U$4*1&lt;=$E6),$F6/($E6-$D6+1),0)</f>
        <v/>
      </c>
      <c r="V6" s="34">
        <f>IF(AND(V$4*1&gt;=$D6,V$4*1&lt;=$E6),$F6/($E6-$D6+1),0)</f>
        <v/>
      </c>
      <c r="W6" s="34">
        <f>IF(AND(W$4*1&gt;=$D6,W$4*1&lt;=$E6),$F6/($E6-$D6+1),0)</f>
        <v/>
      </c>
      <c r="X6" s="34">
        <f>IF(AND(X$4*1&gt;=$D6,X$4*1&lt;=$E6),$F6/($E6-$D6+1),0)</f>
        <v/>
      </c>
      <c r="Y6" s="34">
        <f>IF(AND(Y$4*1&gt;=$D6,Y$4*1&lt;=$E6),$F6/($E6-$D6+1),0)</f>
        <v/>
      </c>
      <c r="Z6" s="34">
        <f>IF(AND(Z$4*1&gt;=$D6,Z$4*1&lt;=$E6),$F6/($E6-$D6+1),0)</f>
        <v/>
      </c>
      <c r="AA6" s="34">
        <f>IF(AND(AA$4*1&gt;=$D6,AA$4*1&lt;=$E6),$F6/($E6-$D6+1),0)</f>
        <v/>
      </c>
      <c r="AB6" s="34">
        <f>IF(AND(AB$4*1&gt;=$D6,AB$4*1&lt;=$E6),$F6/($E6-$D6+1),0)</f>
        <v/>
      </c>
      <c r="AC6" s="34">
        <f>IF(AND(AC$4*1&gt;=$D6,AC$4*1&lt;=$E6),$F6/($E6-$D6+1),0)</f>
        <v/>
      </c>
      <c r="AD6" s="34">
        <f>IF(AND(AD$4*1&gt;=$D6,AD$4*1&lt;=$E6),$F6/($E6-$D6+1),0)</f>
        <v/>
      </c>
      <c r="AE6" s="34">
        <f>IF(AND(AE$4*1&gt;=$D6,AE$4*1&lt;=$E6),$F6/($E6-$D6+1),0)</f>
        <v/>
      </c>
      <c r="AF6" s="34">
        <f>IF(AND(AF$4*1&gt;=$D6,AF$4*1&lt;=$E6),$F6/($E6-$D6+1),0)</f>
        <v/>
      </c>
      <c r="AG6" s="34">
        <f>IF(AND(AG$4*1&gt;=$D6,AG$4*1&lt;=$E6),$F6/($E6-$D6+1),0)</f>
        <v/>
      </c>
      <c r="AH6" s="34">
        <f>IF(AND(AH$4*1&gt;=$D6,AH$4*1&lt;=$E6),$F6/($E6-$D6+1),0)</f>
        <v/>
      </c>
      <c r="AI6" s="34">
        <f>IF(AND(AI$4*1&gt;=$D6,AI$4*1&lt;=$E6),$F6/($E6-$D6+1),0)</f>
        <v/>
      </c>
      <c r="AJ6" s="34">
        <f>IF(AND(AJ$4*1&gt;=$D6,AJ$4*1&lt;=$E6),$F6/($E6-$D6+1),0)</f>
        <v/>
      </c>
      <c r="AK6" s="34">
        <f>IF(AND(AK$4*1&gt;=$D6,AK$4*1&lt;=$E6),$F6/($E6-$D6+1),0)</f>
        <v/>
      </c>
      <c r="AL6" s="34">
        <f>IF(AND(AL$4*1&gt;=$D6,AL$4*1&lt;=$E6),$F6/($E6-$D6+1),0)</f>
        <v/>
      </c>
      <c r="AM6" s="34">
        <f>IF(AND(AM$4*1&gt;=$D6,AM$4*1&lt;=$E6),$F6/($E6-$D6+1),0)</f>
        <v/>
      </c>
      <c r="AN6" s="34">
        <f>IF(AND(AN$4*1&gt;=$D6,AN$4*1&lt;=$E6),$F6/($E6-$D6+1),0)</f>
        <v/>
      </c>
      <c r="AO6" s="34">
        <f>IF(AND(AO$4*1&gt;=$D6,AO$4*1&lt;=$E6),$F6/($E6-$D6+1),0)</f>
        <v/>
      </c>
      <c r="AP6" s="34">
        <f>IF(AND(AP$4*1&gt;=$D6,AP$4*1&lt;=$E6),$F6/($E6-$D6+1),0)</f>
        <v/>
      </c>
      <c r="AQ6" s="34">
        <f>IF(AND(AQ$4*1&gt;=$D6,AQ$4*1&lt;=$E6),$F6/($E6-$D6+1),0)</f>
        <v/>
      </c>
      <c r="AR6" s="34">
        <f>IF(AND(AR$4*1&gt;=$D6,AR$4*1&lt;=$E6),$F6/($E6-$D6+1),0)</f>
        <v/>
      </c>
      <c r="AS6" s="34">
        <f>IF(AND(AS$4*1&gt;=$D6,AS$4*1&lt;=$E6),$F6/($E6-$D6+1),0)</f>
        <v/>
      </c>
      <c r="AT6" s="34">
        <f>IF(AND(AT$4*1&gt;=$D6,AT$4*1&lt;=$E6),$F6/($E6-$D6+1),0)</f>
        <v/>
      </c>
      <c r="AU6" s="34">
        <f>IF(AND(AU$4*1&gt;=$D6,AU$4*1&lt;=$E6),$F6/($E6-$D6+1),0)</f>
        <v/>
      </c>
      <c r="AV6" s="34">
        <f>IF(AND(AV$4*1&gt;=$D6,AV$4*1&lt;=$E6),$F6/($E6-$D6+1),0)</f>
        <v/>
      </c>
      <c r="AW6" s="34">
        <f>IF(AND(AW$4*1&gt;=$D6,AW$4*1&lt;=$E6),$F6/($E6-$D6+1),0)</f>
        <v/>
      </c>
      <c r="AX6" s="34">
        <f>IF(AND(AX$4*1&gt;=$D6,AX$4*1&lt;=$E6),$F6/($E6-$D6+1),0)</f>
        <v/>
      </c>
      <c r="AY6" s="34">
        <f>IF(AND(AY$4*1&gt;=$D6,AY$4*1&lt;=$E6),$F6/($E6-$D6+1),0)</f>
        <v/>
      </c>
      <c r="AZ6" s="34">
        <f>IF(AND(AZ$4*1&gt;=$D6,AZ$4*1&lt;=$E6),$F6/($E6-$D6+1),0)</f>
        <v/>
      </c>
      <c r="BA6" s="34">
        <f>IF(AND(BA$4*1&gt;=$D6,BA$4*1&lt;=$E6),$F6/($E6-$D6+1),0)</f>
        <v/>
      </c>
      <c r="BB6" s="34">
        <f>IF(AND(BB$4*1&gt;=$D6,BB$4*1&lt;=$E6),$F6/($E6-$D6+1),0)</f>
        <v/>
      </c>
      <c r="BC6" s="34">
        <f>IF(AND(BC$4*1&gt;=$D6,BC$4*1&lt;=$E6),$F6/($E6-$D6+1),0)</f>
        <v/>
      </c>
      <c r="BD6" s="34">
        <f>IF(AND(BD$4*1&gt;=$D6,BD$4*1&lt;=$E6),$F6/($E6-$D6+1),0)</f>
        <v/>
      </c>
      <c r="BE6" s="34">
        <f>IF(AND(BE$4*1&gt;=$D6,BE$4*1&lt;=$E6),$F6/($E6-$D6+1),0)</f>
        <v/>
      </c>
      <c r="BF6" s="34">
        <f>IF(AND(BF$4*1&gt;=$D6,BF$4*1&lt;=$E6),$F6/($E6-$D6+1),0)</f>
        <v/>
      </c>
      <c r="BG6" s="34">
        <f>IF(AND(BG$4*1&gt;=$D6,BG$4*1&lt;=$E6),$F6/($E6-$D6+1),0)</f>
        <v/>
      </c>
      <c r="BH6" s="34">
        <f>IF(AND(BH$4*1&gt;=$D6,BH$4*1&lt;=$E6),$F6/($E6-$D6+1),0)</f>
        <v/>
      </c>
      <c r="BI6" s="34">
        <f>IF(AND(BI$4*1&gt;=$D6,BI$4*1&lt;=$E6),$F6/($E6-$D6+1),0)</f>
        <v/>
      </c>
      <c r="BJ6" s="34">
        <f>IF(AND(BJ$4*1&gt;=$D6,BJ$4*1&lt;=$E6),$F6/($E6-$D6+1),0)</f>
        <v/>
      </c>
      <c r="BK6" s="34">
        <f>IF(AND(BK$4*1&gt;=$D6,BK$4*1&lt;=$E6),$F6/($E6-$D6+1),0)</f>
        <v/>
      </c>
      <c r="BL6" s="35">
        <f>SUM(H6:BK6)</f>
        <v/>
      </c>
    </row>
    <row r="7">
      <c r="A7" s="3" t="inlineStr">
        <is>
          <t>1.5.2</t>
        </is>
      </c>
      <c r="B7" s="4" t="inlineStr">
        <is>
          <t>Puertas de calidad automáticas</t>
        </is>
      </c>
      <c r="C7" s="14" t="inlineStr">
        <is>
          <t>CAL</t>
        </is>
      </c>
      <c r="D7" s="33" t="n">
        <v>6</v>
      </c>
      <c r="E7" s="33" t="n">
        <v>20</v>
      </c>
      <c r="F7" s="7" t="n">
        <v>80</v>
      </c>
      <c r="G7" s="4" t="inlineStr">
        <is>
          <t>Prevención</t>
        </is>
      </c>
      <c r="H7" s="34">
        <f>IF(AND(H$4*1&gt;=$D7,H$4*1&lt;=$E7),$F7/($E7-$D7+1),0)</f>
        <v/>
      </c>
      <c r="I7" s="34">
        <f>IF(AND(I$4*1&gt;=$D7,I$4*1&lt;=$E7),$F7/($E7-$D7+1),0)</f>
        <v/>
      </c>
      <c r="J7" s="34">
        <f>IF(AND(J$4*1&gt;=$D7,J$4*1&lt;=$E7),$F7/($E7-$D7+1),0)</f>
        <v/>
      </c>
      <c r="K7" s="34">
        <f>IF(AND(K$4*1&gt;=$D7,K$4*1&lt;=$E7),$F7/($E7-$D7+1),0)</f>
        <v/>
      </c>
      <c r="L7" s="34">
        <f>IF(AND(L$4*1&gt;=$D7,L$4*1&lt;=$E7),$F7/($E7-$D7+1),0)</f>
        <v/>
      </c>
      <c r="M7" s="34">
        <f>IF(AND(M$4*1&gt;=$D7,M$4*1&lt;=$E7),$F7/($E7-$D7+1),0)</f>
        <v/>
      </c>
      <c r="N7" s="34">
        <f>IF(AND(N$4*1&gt;=$D7,N$4*1&lt;=$E7),$F7/($E7-$D7+1),0)</f>
        <v/>
      </c>
      <c r="O7" s="34">
        <f>IF(AND(O$4*1&gt;=$D7,O$4*1&lt;=$E7),$F7/($E7-$D7+1),0)</f>
        <v/>
      </c>
      <c r="P7" s="34">
        <f>IF(AND(P$4*1&gt;=$D7,P$4*1&lt;=$E7),$F7/($E7-$D7+1),0)</f>
        <v/>
      </c>
      <c r="Q7" s="34">
        <f>IF(AND(Q$4*1&gt;=$D7,Q$4*1&lt;=$E7),$F7/($E7-$D7+1),0)</f>
        <v/>
      </c>
      <c r="R7" s="34">
        <f>IF(AND(R$4*1&gt;=$D7,R$4*1&lt;=$E7),$F7/($E7-$D7+1),0)</f>
        <v/>
      </c>
      <c r="S7" s="34">
        <f>IF(AND(S$4*1&gt;=$D7,S$4*1&lt;=$E7),$F7/($E7-$D7+1),0)</f>
        <v/>
      </c>
      <c r="T7" s="34">
        <f>IF(AND(T$4*1&gt;=$D7,T$4*1&lt;=$E7),$F7/($E7-$D7+1),0)</f>
        <v/>
      </c>
      <c r="U7" s="34">
        <f>IF(AND(U$4*1&gt;=$D7,U$4*1&lt;=$E7),$F7/($E7-$D7+1),0)</f>
        <v/>
      </c>
      <c r="V7" s="34">
        <f>IF(AND(V$4*1&gt;=$D7,V$4*1&lt;=$E7),$F7/($E7-$D7+1),0)</f>
        <v/>
      </c>
      <c r="W7" s="34">
        <f>IF(AND(W$4*1&gt;=$D7,W$4*1&lt;=$E7),$F7/($E7-$D7+1),0)</f>
        <v/>
      </c>
      <c r="X7" s="34">
        <f>IF(AND(X$4*1&gt;=$D7,X$4*1&lt;=$E7),$F7/($E7-$D7+1),0)</f>
        <v/>
      </c>
      <c r="Y7" s="34">
        <f>IF(AND(Y$4*1&gt;=$D7,Y$4*1&lt;=$E7),$F7/($E7-$D7+1),0)</f>
        <v/>
      </c>
      <c r="Z7" s="34">
        <f>IF(AND(Z$4*1&gt;=$D7,Z$4*1&lt;=$E7),$F7/($E7-$D7+1),0)</f>
        <v/>
      </c>
      <c r="AA7" s="34">
        <f>IF(AND(AA$4*1&gt;=$D7,AA$4*1&lt;=$E7),$F7/($E7-$D7+1),0)</f>
        <v/>
      </c>
      <c r="AB7" s="34">
        <f>IF(AND(AB$4*1&gt;=$D7,AB$4*1&lt;=$E7),$F7/($E7-$D7+1),0)</f>
        <v/>
      </c>
      <c r="AC7" s="34">
        <f>IF(AND(AC$4*1&gt;=$D7,AC$4*1&lt;=$E7),$F7/($E7-$D7+1),0)</f>
        <v/>
      </c>
      <c r="AD7" s="34">
        <f>IF(AND(AD$4*1&gt;=$D7,AD$4*1&lt;=$E7),$F7/($E7-$D7+1),0)</f>
        <v/>
      </c>
      <c r="AE7" s="34">
        <f>IF(AND(AE$4*1&gt;=$D7,AE$4*1&lt;=$E7),$F7/($E7-$D7+1),0)</f>
        <v/>
      </c>
      <c r="AF7" s="34">
        <f>IF(AND(AF$4*1&gt;=$D7,AF$4*1&lt;=$E7),$F7/($E7-$D7+1),0)</f>
        <v/>
      </c>
      <c r="AG7" s="34">
        <f>IF(AND(AG$4*1&gt;=$D7,AG$4*1&lt;=$E7),$F7/($E7-$D7+1),0)</f>
        <v/>
      </c>
      <c r="AH7" s="34">
        <f>IF(AND(AH$4*1&gt;=$D7,AH$4*1&lt;=$E7),$F7/($E7-$D7+1),0)</f>
        <v/>
      </c>
      <c r="AI7" s="34">
        <f>IF(AND(AI$4*1&gt;=$D7,AI$4*1&lt;=$E7),$F7/($E7-$D7+1),0)</f>
        <v/>
      </c>
      <c r="AJ7" s="34">
        <f>IF(AND(AJ$4*1&gt;=$D7,AJ$4*1&lt;=$E7),$F7/($E7-$D7+1),0)</f>
        <v/>
      </c>
      <c r="AK7" s="34">
        <f>IF(AND(AK$4*1&gt;=$D7,AK$4*1&lt;=$E7),$F7/($E7-$D7+1),0)</f>
        <v/>
      </c>
      <c r="AL7" s="34">
        <f>IF(AND(AL$4*1&gt;=$D7,AL$4*1&lt;=$E7),$F7/($E7-$D7+1),0)</f>
        <v/>
      </c>
      <c r="AM7" s="34">
        <f>IF(AND(AM$4*1&gt;=$D7,AM$4*1&lt;=$E7),$F7/($E7-$D7+1),0)</f>
        <v/>
      </c>
      <c r="AN7" s="34">
        <f>IF(AND(AN$4*1&gt;=$D7,AN$4*1&lt;=$E7),$F7/($E7-$D7+1),0)</f>
        <v/>
      </c>
      <c r="AO7" s="34">
        <f>IF(AND(AO$4*1&gt;=$D7,AO$4*1&lt;=$E7),$F7/($E7-$D7+1),0)</f>
        <v/>
      </c>
      <c r="AP7" s="34">
        <f>IF(AND(AP$4*1&gt;=$D7,AP$4*1&lt;=$E7),$F7/($E7-$D7+1),0)</f>
        <v/>
      </c>
      <c r="AQ7" s="34">
        <f>IF(AND(AQ$4*1&gt;=$D7,AQ$4*1&lt;=$E7),$F7/($E7-$D7+1),0)</f>
        <v/>
      </c>
      <c r="AR7" s="34">
        <f>IF(AND(AR$4*1&gt;=$D7,AR$4*1&lt;=$E7),$F7/($E7-$D7+1),0)</f>
        <v/>
      </c>
      <c r="AS7" s="34">
        <f>IF(AND(AS$4*1&gt;=$D7,AS$4*1&lt;=$E7),$F7/($E7-$D7+1),0)</f>
        <v/>
      </c>
      <c r="AT7" s="34">
        <f>IF(AND(AT$4*1&gt;=$D7,AT$4*1&lt;=$E7),$F7/($E7-$D7+1),0)</f>
        <v/>
      </c>
      <c r="AU7" s="34">
        <f>IF(AND(AU$4*1&gt;=$D7,AU$4*1&lt;=$E7),$F7/($E7-$D7+1),0)</f>
        <v/>
      </c>
      <c r="AV7" s="34">
        <f>IF(AND(AV$4*1&gt;=$D7,AV$4*1&lt;=$E7),$F7/($E7-$D7+1),0)</f>
        <v/>
      </c>
      <c r="AW7" s="34">
        <f>IF(AND(AW$4*1&gt;=$D7,AW$4*1&lt;=$E7),$F7/($E7-$D7+1),0)</f>
        <v/>
      </c>
      <c r="AX7" s="34">
        <f>IF(AND(AX$4*1&gt;=$D7,AX$4*1&lt;=$E7),$F7/($E7-$D7+1),0)</f>
        <v/>
      </c>
      <c r="AY7" s="34">
        <f>IF(AND(AY$4*1&gt;=$D7,AY$4*1&lt;=$E7),$F7/($E7-$D7+1),0)</f>
        <v/>
      </c>
      <c r="AZ7" s="34">
        <f>IF(AND(AZ$4*1&gt;=$D7,AZ$4*1&lt;=$E7),$F7/($E7-$D7+1),0)</f>
        <v/>
      </c>
      <c r="BA7" s="34">
        <f>IF(AND(BA$4*1&gt;=$D7,BA$4*1&lt;=$E7),$F7/($E7-$D7+1),0)</f>
        <v/>
      </c>
      <c r="BB7" s="34">
        <f>IF(AND(BB$4*1&gt;=$D7,BB$4*1&lt;=$E7),$F7/($E7-$D7+1),0)</f>
        <v/>
      </c>
      <c r="BC7" s="34">
        <f>IF(AND(BC$4*1&gt;=$D7,BC$4*1&lt;=$E7),$F7/($E7-$D7+1),0)</f>
        <v/>
      </c>
      <c r="BD7" s="34">
        <f>IF(AND(BD$4*1&gt;=$D7,BD$4*1&lt;=$E7),$F7/($E7-$D7+1),0)</f>
        <v/>
      </c>
      <c r="BE7" s="34">
        <f>IF(AND(BE$4*1&gt;=$D7,BE$4*1&lt;=$E7),$F7/($E7-$D7+1),0)</f>
        <v/>
      </c>
      <c r="BF7" s="34">
        <f>IF(AND(BF$4*1&gt;=$D7,BF$4*1&lt;=$E7),$F7/($E7-$D7+1),0)</f>
        <v/>
      </c>
      <c r="BG7" s="34">
        <f>IF(AND(BG$4*1&gt;=$D7,BG$4*1&lt;=$E7),$F7/($E7-$D7+1),0)</f>
        <v/>
      </c>
      <c r="BH7" s="34">
        <f>IF(AND(BH$4*1&gt;=$D7,BH$4*1&lt;=$E7),$F7/($E7-$D7+1),0)</f>
        <v/>
      </c>
      <c r="BI7" s="34">
        <f>IF(AND(BI$4*1&gt;=$D7,BI$4*1&lt;=$E7),$F7/($E7-$D7+1),0)</f>
        <v/>
      </c>
      <c r="BJ7" s="34">
        <f>IF(AND(BJ$4*1&gt;=$D7,BJ$4*1&lt;=$E7),$F7/($E7-$D7+1),0)</f>
        <v/>
      </c>
      <c r="BK7" s="34">
        <f>IF(AND(BK$4*1&gt;=$D7,BK$4*1&lt;=$E7),$F7/($E7-$D7+1),0)</f>
        <v/>
      </c>
      <c r="BL7" s="35">
        <f>SUM(H7:BK7)</f>
        <v/>
      </c>
    </row>
    <row r="8">
      <c r="A8" s="3" t="inlineStr">
        <is>
          <t>2.6.1</t>
        </is>
      </c>
      <c r="B8" s="4" t="inlineStr">
        <is>
          <t>Investigación de usuarios</t>
        </is>
      </c>
      <c r="C8" s="14" t="inlineStr">
        <is>
          <t>IMP</t>
        </is>
      </c>
      <c r="D8" s="33" t="n">
        <v>2</v>
      </c>
      <c r="E8" s="33" t="n">
        <v>2</v>
      </c>
      <c r="F8" s="7" t="n">
        <v>240</v>
      </c>
      <c r="G8" s="4" t="inlineStr">
        <is>
          <t>Prevención</t>
        </is>
      </c>
      <c r="H8" s="34">
        <f>IF(AND(H$4*1&gt;=$D8,H$4*1&lt;=$E8),$F8/($E8-$D8+1),0)</f>
        <v/>
      </c>
      <c r="I8" s="34">
        <f>IF(AND(I$4*1&gt;=$D8,I$4*1&lt;=$E8),$F8/($E8-$D8+1),0)</f>
        <v/>
      </c>
      <c r="J8" s="34">
        <f>IF(AND(J$4*1&gt;=$D8,J$4*1&lt;=$E8),$F8/($E8-$D8+1),0)</f>
        <v/>
      </c>
      <c r="K8" s="34">
        <f>IF(AND(K$4*1&gt;=$D8,K$4*1&lt;=$E8),$F8/($E8-$D8+1),0)</f>
        <v/>
      </c>
      <c r="L8" s="34">
        <f>IF(AND(L$4*1&gt;=$D8,L$4*1&lt;=$E8),$F8/($E8-$D8+1),0)</f>
        <v/>
      </c>
      <c r="M8" s="34">
        <f>IF(AND(M$4*1&gt;=$D8,M$4*1&lt;=$E8),$F8/($E8-$D8+1),0)</f>
        <v/>
      </c>
      <c r="N8" s="34">
        <f>IF(AND(N$4*1&gt;=$D8,N$4*1&lt;=$E8),$F8/($E8-$D8+1),0)</f>
        <v/>
      </c>
      <c r="O8" s="34">
        <f>IF(AND(O$4*1&gt;=$D8,O$4*1&lt;=$E8),$F8/($E8-$D8+1),0)</f>
        <v/>
      </c>
      <c r="P8" s="34">
        <f>IF(AND(P$4*1&gt;=$D8,P$4*1&lt;=$E8),$F8/($E8-$D8+1),0)</f>
        <v/>
      </c>
      <c r="Q8" s="34">
        <f>IF(AND(Q$4*1&gt;=$D8,Q$4*1&lt;=$E8),$F8/($E8-$D8+1),0)</f>
        <v/>
      </c>
      <c r="R8" s="34">
        <f>IF(AND(R$4*1&gt;=$D8,R$4*1&lt;=$E8),$F8/($E8-$D8+1),0)</f>
        <v/>
      </c>
      <c r="S8" s="34">
        <f>IF(AND(S$4*1&gt;=$D8,S$4*1&lt;=$E8),$F8/($E8-$D8+1),0)</f>
        <v/>
      </c>
      <c r="T8" s="34">
        <f>IF(AND(T$4*1&gt;=$D8,T$4*1&lt;=$E8),$F8/($E8-$D8+1),0)</f>
        <v/>
      </c>
      <c r="U8" s="34">
        <f>IF(AND(U$4*1&gt;=$D8,U$4*1&lt;=$E8),$F8/($E8-$D8+1),0)</f>
        <v/>
      </c>
      <c r="V8" s="34">
        <f>IF(AND(V$4*1&gt;=$D8,V$4*1&lt;=$E8),$F8/($E8-$D8+1),0)</f>
        <v/>
      </c>
      <c r="W8" s="34">
        <f>IF(AND(W$4*1&gt;=$D8,W$4*1&lt;=$E8),$F8/($E8-$D8+1),0)</f>
        <v/>
      </c>
      <c r="X8" s="34">
        <f>IF(AND(X$4*1&gt;=$D8,X$4*1&lt;=$E8),$F8/($E8-$D8+1),0)</f>
        <v/>
      </c>
      <c r="Y8" s="34">
        <f>IF(AND(Y$4*1&gt;=$D8,Y$4*1&lt;=$E8),$F8/($E8-$D8+1),0)</f>
        <v/>
      </c>
      <c r="Z8" s="34">
        <f>IF(AND(Z$4*1&gt;=$D8,Z$4*1&lt;=$E8),$F8/($E8-$D8+1),0)</f>
        <v/>
      </c>
      <c r="AA8" s="34">
        <f>IF(AND(AA$4*1&gt;=$D8,AA$4*1&lt;=$E8),$F8/($E8-$D8+1),0)</f>
        <v/>
      </c>
      <c r="AB8" s="34">
        <f>IF(AND(AB$4*1&gt;=$D8,AB$4*1&lt;=$E8),$F8/($E8-$D8+1),0)</f>
        <v/>
      </c>
      <c r="AC8" s="34">
        <f>IF(AND(AC$4*1&gt;=$D8,AC$4*1&lt;=$E8),$F8/($E8-$D8+1),0)</f>
        <v/>
      </c>
      <c r="AD8" s="34">
        <f>IF(AND(AD$4*1&gt;=$D8,AD$4*1&lt;=$E8),$F8/($E8-$D8+1),0)</f>
        <v/>
      </c>
      <c r="AE8" s="34">
        <f>IF(AND(AE$4*1&gt;=$D8,AE$4*1&lt;=$E8),$F8/($E8-$D8+1),0)</f>
        <v/>
      </c>
      <c r="AF8" s="34">
        <f>IF(AND(AF$4*1&gt;=$D8,AF$4*1&lt;=$E8),$F8/($E8-$D8+1),0)</f>
        <v/>
      </c>
      <c r="AG8" s="34">
        <f>IF(AND(AG$4*1&gt;=$D8,AG$4*1&lt;=$E8),$F8/($E8-$D8+1),0)</f>
        <v/>
      </c>
      <c r="AH8" s="34">
        <f>IF(AND(AH$4*1&gt;=$D8,AH$4*1&lt;=$E8),$F8/($E8-$D8+1),0)</f>
        <v/>
      </c>
      <c r="AI8" s="34">
        <f>IF(AND(AI$4*1&gt;=$D8,AI$4*1&lt;=$E8),$F8/($E8-$D8+1),0)</f>
        <v/>
      </c>
      <c r="AJ8" s="34">
        <f>IF(AND(AJ$4*1&gt;=$D8,AJ$4*1&lt;=$E8),$F8/($E8-$D8+1),0)</f>
        <v/>
      </c>
      <c r="AK8" s="34">
        <f>IF(AND(AK$4*1&gt;=$D8,AK$4*1&lt;=$E8),$F8/($E8-$D8+1),0)</f>
        <v/>
      </c>
      <c r="AL8" s="34">
        <f>IF(AND(AL$4*1&gt;=$D8,AL$4*1&lt;=$E8),$F8/($E8-$D8+1),0)</f>
        <v/>
      </c>
      <c r="AM8" s="34">
        <f>IF(AND(AM$4*1&gt;=$D8,AM$4*1&lt;=$E8),$F8/($E8-$D8+1),0)</f>
        <v/>
      </c>
      <c r="AN8" s="34">
        <f>IF(AND(AN$4*1&gt;=$D8,AN$4*1&lt;=$E8),$F8/($E8-$D8+1),0)</f>
        <v/>
      </c>
      <c r="AO8" s="34">
        <f>IF(AND(AO$4*1&gt;=$D8,AO$4*1&lt;=$E8),$F8/($E8-$D8+1),0)</f>
        <v/>
      </c>
      <c r="AP8" s="34">
        <f>IF(AND(AP$4*1&gt;=$D8,AP$4*1&lt;=$E8),$F8/($E8-$D8+1),0)</f>
        <v/>
      </c>
      <c r="AQ8" s="34">
        <f>IF(AND(AQ$4*1&gt;=$D8,AQ$4*1&lt;=$E8),$F8/($E8-$D8+1),0)</f>
        <v/>
      </c>
      <c r="AR8" s="34">
        <f>IF(AND(AR$4*1&gt;=$D8,AR$4*1&lt;=$E8),$F8/($E8-$D8+1),0)</f>
        <v/>
      </c>
      <c r="AS8" s="34">
        <f>IF(AND(AS$4*1&gt;=$D8,AS$4*1&lt;=$E8),$F8/($E8-$D8+1),0)</f>
        <v/>
      </c>
      <c r="AT8" s="34">
        <f>IF(AND(AT$4*1&gt;=$D8,AT$4*1&lt;=$E8),$F8/($E8-$D8+1),0)</f>
        <v/>
      </c>
      <c r="AU8" s="34">
        <f>IF(AND(AU$4*1&gt;=$D8,AU$4*1&lt;=$E8),$F8/($E8-$D8+1),0)</f>
        <v/>
      </c>
      <c r="AV8" s="34">
        <f>IF(AND(AV$4*1&gt;=$D8,AV$4*1&lt;=$E8),$F8/($E8-$D8+1),0)</f>
        <v/>
      </c>
      <c r="AW8" s="34">
        <f>IF(AND(AW$4*1&gt;=$D8,AW$4*1&lt;=$E8),$F8/($E8-$D8+1),0)</f>
        <v/>
      </c>
      <c r="AX8" s="34">
        <f>IF(AND(AX$4*1&gt;=$D8,AX$4*1&lt;=$E8),$F8/($E8-$D8+1),0)</f>
        <v/>
      </c>
      <c r="AY8" s="34">
        <f>IF(AND(AY$4*1&gt;=$D8,AY$4*1&lt;=$E8),$F8/($E8-$D8+1),0)</f>
        <v/>
      </c>
      <c r="AZ8" s="34">
        <f>IF(AND(AZ$4*1&gt;=$D8,AZ$4*1&lt;=$E8),$F8/($E8-$D8+1),0)</f>
        <v/>
      </c>
      <c r="BA8" s="34">
        <f>IF(AND(BA$4*1&gt;=$D8,BA$4*1&lt;=$E8),$F8/($E8-$D8+1),0)</f>
        <v/>
      </c>
      <c r="BB8" s="34">
        <f>IF(AND(BB$4*1&gt;=$D8,BB$4*1&lt;=$E8),$F8/($E8-$D8+1),0)</f>
        <v/>
      </c>
      <c r="BC8" s="34">
        <f>IF(AND(BC$4*1&gt;=$D8,BC$4*1&lt;=$E8),$F8/($E8-$D8+1),0)</f>
        <v/>
      </c>
      <c r="BD8" s="34">
        <f>IF(AND(BD$4*1&gt;=$D8,BD$4*1&lt;=$E8),$F8/($E8-$D8+1),0)</f>
        <v/>
      </c>
      <c r="BE8" s="34">
        <f>IF(AND(BE$4*1&gt;=$D8,BE$4*1&lt;=$E8),$F8/($E8-$D8+1),0)</f>
        <v/>
      </c>
      <c r="BF8" s="34">
        <f>IF(AND(BF$4*1&gt;=$D8,BF$4*1&lt;=$E8),$F8/($E8-$D8+1),0)</f>
        <v/>
      </c>
      <c r="BG8" s="34">
        <f>IF(AND(BG$4*1&gt;=$D8,BG$4*1&lt;=$E8),$F8/($E8-$D8+1),0)</f>
        <v/>
      </c>
      <c r="BH8" s="34">
        <f>IF(AND(BH$4*1&gt;=$D8,BH$4*1&lt;=$E8),$F8/($E8-$D8+1),0)</f>
        <v/>
      </c>
      <c r="BI8" s="34">
        <f>IF(AND(BI$4*1&gt;=$D8,BI$4*1&lt;=$E8),$F8/($E8-$D8+1),0)</f>
        <v/>
      </c>
      <c r="BJ8" s="34">
        <f>IF(AND(BJ$4*1&gt;=$D8,BJ$4*1&lt;=$E8),$F8/($E8-$D8+1),0)</f>
        <v/>
      </c>
      <c r="BK8" s="34">
        <f>IF(AND(BK$4*1&gt;=$D8,BK$4*1&lt;=$E8),$F8/($E8-$D8+1),0)</f>
        <v/>
      </c>
      <c r="BL8" s="35">
        <f>SUM(H8:BK8)</f>
        <v/>
      </c>
    </row>
    <row r="9">
      <c r="A9" s="3" t="inlineStr">
        <is>
          <t>2.6.2</t>
        </is>
      </c>
      <c r="B9" s="4" t="inlineStr">
        <is>
          <t>Prototipos y pruebas de usabilidad</t>
        </is>
      </c>
      <c r="C9" s="14" t="inlineStr">
        <is>
          <t>IMP</t>
        </is>
      </c>
      <c r="D9" s="33" t="n">
        <v>3</v>
      </c>
      <c r="E9" s="33" t="n">
        <v>3</v>
      </c>
      <c r="F9" s="7" t="n">
        <v>240</v>
      </c>
      <c r="G9" s="4" t="inlineStr">
        <is>
          <t>Prevención</t>
        </is>
      </c>
      <c r="H9" s="34">
        <f>IF(AND(H$4*1&gt;=$D9,H$4*1&lt;=$E9),$F9/($E9-$D9+1),0)</f>
        <v/>
      </c>
      <c r="I9" s="34">
        <f>IF(AND(I$4*1&gt;=$D9,I$4*1&lt;=$E9),$F9/($E9-$D9+1),0)</f>
        <v/>
      </c>
      <c r="J9" s="34">
        <f>IF(AND(J$4*1&gt;=$D9,J$4*1&lt;=$E9),$F9/($E9-$D9+1),0)</f>
        <v/>
      </c>
      <c r="K9" s="34">
        <f>IF(AND(K$4*1&gt;=$D9,K$4*1&lt;=$E9),$F9/($E9-$D9+1),0)</f>
        <v/>
      </c>
      <c r="L9" s="34">
        <f>IF(AND(L$4*1&gt;=$D9,L$4*1&lt;=$E9),$F9/($E9-$D9+1),0)</f>
        <v/>
      </c>
      <c r="M9" s="34">
        <f>IF(AND(M$4*1&gt;=$D9,M$4*1&lt;=$E9),$F9/($E9-$D9+1),0)</f>
        <v/>
      </c>
      <c r="N9" s="34">
        <f>IF(AND(N$4*1&gt;=$D9,N$4*1&lt;=$E9),$F9/($E9-$D9+1),0)</f>
        <v/>
      </c>
      <c r="O9" s="34">
        <f>IF(AND(O$4*1&gt;=$D9,O$4*1&lt;=$E9),$F9/($E9-$D9+1),0)</f>
        <v/>
      </c>
      <c r="P9" s="34">
        <f>IF(AND(P$4*1&gt;=$D9,P$4*1&lt;=$E9),$F9/($E9-$D9+1),0)</f>
        <v/>
      </c>
      <c r="Q9" s="34">
        <f>IF(AND(Q$4*1&gt;=$D9,Q$4*1&lt;=$E9),$F9/($E9-$D9+1),0)</f>
        <v/>
      </c>
      <c r="R9" s="34">
        <f>IF(AND(R$4*1&gt;=$D9,R$4*1&lt;=$E9),$F9/($E9-$D9+1),0)</f>
        <v/>
      </c>
      <c r="S9" s="34">
        <f>IF(AND(S$4*1&gt;=$D9,S$4*1&lt;=$E9),$F9/($E9-$D9+1),0)</f>
        <v/>
      </c>
      <c r="T9" s="34">
        <f>IF(AND(T$4*1&gt;=$D9,T$4*1&lt;=$E9),$F9/($E9-$D9+1),0)</f>
        <v/>
      </c>
      <c r="U9" s="34">
        <f>IF(AND(U$4*1&gt;=$D9,U$4*1&lt;=$E9),$F9/($E9-$D9+1),0)</f>
        <v/>
      </c>
      <c r="V9" s="34">
        <f>IF(AND(V$4*1&gt;=$D9,V$4*1&lt;=$E9),$F9/($E9-$D9+1),0)</f>
        <v/>
      </c>
      <c r="W9" s="34">
        <f>IF(AND(W$4*1&gt;=$D9,W$4*1&lt;=$E9),$F9/($E9-$D9+1),0)</f>
        <v/>
      </c>
      <c r="X9" s="34">
        <f>IF(AND(X$4*1&gt;=$D9,X$4*1&lt;=$E9),$F9/($E9-$D9+1),0)</f>
        <v/>
      </c>
      <c r="Y9" s="34">
        <f>IF(AND(Y$4*1&gt;=$D9,Y$4*1&lt;=$E9),$F9/($E9-$D9+1),0)</f>
        <v/>
      </c>
      <c r="Z9" s="34">
        <f>IF(AND(Z$4*1&gt;=$D9,Z$4*1&lt;=$E9),$F9/($E9-$D9+1),0)</f>
        <v/>
      </c>
      <c r="AA9" s="34">
        <f>IF(AND(AA$4*1&gt;=$D9,AA$4*1&lt;=$E9),$F9/($E9-$D9+1),0)</f>
        <v/>
      </c>
      <c r="AB9" s="34">
        <f>IF(AND(AB$4*1&gt;=$D9,AB$4*1&lt;=$E9),$F9/($E9-$D9+1),0)</f>
        <v/>
      </c>
      <c r="AC9" s="34">
        <f>IF(AND(AC$4*1&gt;=$D9,AC$4*1&lt;=$E9),$F9/($E9-$D9+1),0)</f>
        <v/>
      </c>
      <c r="AD9" s="34">
        <f>IF(AND(AD$4*1&gt;=$D9,AD$4*1&lt;=$E9),$F9/($E9-$D9+1),0)</f>
        <v/>
      </c>
      <c r="AE9" s="34">
        <f>IF(AND(AE$4*1&gt;=$D9,AE$4*1&lt;=$E9),$F9/($E9-$D9+1),0)</f>
        <v/>
      </c>
      <c r="AF9" s="34">
        <f>IF(AND(AF$4*1&gt;=$D9,AF$4*1&lt;=$E9),$F9/($E9-$D9+1),0)</f>
        <v/>
      </c>
      <c r="AG9" s="34">
        <f>IF(AND(AG$4*1&gt;=$D9,AG$4*1&lt;=$E9),$F9/($E9-$D9+1),0)</f>
        <v/>
      </c>
      <c r="AH9" s="34">
        <f>IF(AND(AH$4*1&gt;=$D9,AH$4*1&lt;=$E9),$F9/($E9-$D9+1),0)</f>
        <v/>
      </c>
      <c r="AI9" s="34">
        <f>IF(AND(AI$4*1&gt;=$D9,AI$4*1&lt;=$E9),$F9/($E9-$D9+1),0)</f>
        <v/>
      </c>
      <c r="AJ9" s="34">
        <f>IF(AND(AJ$4*1&gt;=$D9,AJ$4*1&lt;=$E9),$F9/($E9-$D9+1),0)</f>
        <v/>
      </c>
      <c r="AK9" s="34">
        <f>IF(AND(AK$4*1&gt;=$D9,AK$4*1&lt;=$E9),$F9/($E9-$D9+1),0)</f>
        <v/>
      </c>
      <c r="AL9" s="34">
        <f>IF(AND(AL$4*1&gt;=$D9,AL$4*1&lt;=$E9),$F9/($E9-$D9+1),0)</f>
        <v/>
      </c>
      <c r="AM9" s="34">
        <f>IF(AND(AM$4*1&gt;=$D9,AM$4*1&lt;=$E9),$F9/($E9-$D9+1),0)</f>
        <v/>
      </c>
      <c r="AN9" s="34">
        <f>IF(AND(AN$4*1&gt;=$D9,AN$4*1&lt;=$E9),$F9/($E9-$D9+1),0)</f>
        <v/>
      </c>
      <c r="AO9" s="34">
        <f>IF(AND(AO$4*1&gt;=$D9,AO$4*1&lt;=$E9),$F9/($E9-$D9+1),0)</f>
        <v/>
      </c>
      <c r="AP9" s="34">
        <f>IF(AND(AP$4*1&gt;=$D9,AP$4*1&lt;=$E9),$F9/($E9-$D9+1),0)</f>
        <v/>
      </c>
      <c r="AQ9" s="34">
        <f>IF(AND(AQ$4*1&gt;=$D9,AQ$4*1&lt;=$E9),$F9/($E9-$D9+1),0)</f>
        <v/>
      </c>
      <c r="AR9" s="34">
        <f>IF(AND(AR$4*1&gt;=$D9,AR$4*1&lt;=$E9),$F9/($E9-$D9+1),0)</f>
        <v/>
      </c>
      <c r="AS9" s="34">
        <f>IF(AND(AS$4*1&gt;=$D9,AS$4*1&lt;=$E9),$F9/($E9-$D9+1),0)</f>
        <v/>
      </c>
      <c r="AT9" s="34">
        <f>IF(AND(AT$4*1&gt;=$D9,AT$4*1&lt;=$E9),$F9/($E9-$D9+1),0)</f>
        <v/>
      </c>
      <c r="AU9" s="34">
        <f>IF(AND(AU$4*1&gt;=$D9,AU$4*1&lt;=$E9),$F9/($E9-$D9+1),0)</f>
        <v/>
      </c>
      <c r="AV9" s="34">
        <f>IF(AND(AV$4*1&gt;=$D9,AV$4*1&lt;=$E9),$F9/($E9-$D9+1),0)</f>
        <v/>
      </c>
      <c r="AW9" s="34">
        <f>IF(AND(AW$4*1&gt;=$D9,AW$4*1&lt;=$E9),$F9/($E9-$D9+1),0)</f>
        <v/>
      </c>
      <c r="AX9" s="34">
        <f>IF(AND(AX$4*1&gt;=$D9,AX$4*1&lt;=$E9),$F9/($E9-$D9+1),0)</f>
        <v/>
      </c>
      <c r="AY9" s="34">
        <f>IF(AND(AY$4*1&gt;=$D9,AY$4*1&lt;=$E9),$F9/($E9-$D9+1),0)</f>
        <v/>
      </c>
      <c r="AZ9" s="34">
        <f>IF(AND(AZ$4*1&gt;=$D9,AZ$4*1&lt;=$E9),$F9/($E9-$D9+1),0)</f>
        <v/>
      </c>
      <c r="BA9" s="34">
        <f>IF(AND(BA$4*1&gt;=$D9,BA$4*1&lt;=$E9),$F9/($E9-$D9+1),0)</f>
        <v/>
      </c>
      <c r="BB9" s="34">
        <f>IF(AND(BB$4*1&gt;=$D9,BB$4*1&lt;=$E9),$F9/($E9-$D9+1),0)</f>
        <v/>
      </c>
      <c r="BC9" s="34">
        <f>IF(AND(BC$4*1&gt;=$D9,BC$4*1&lt;=$E9),$F9/($E9-$D9+1),0)</f>
        <v/>
      </c>
      <c r="BD9" s="34">
        <f>IF(AND(BD$4*1&gt;=$D9,BD$4*1&lt;=$E9),$F9/($E9-$D9+1),0)</f>
        <v/>
      </c>
      <c r="BE9" s="34">
        <f>IF(AND(BE$4*1&gt;=$D9,BE$4*1&lt;=$E9),$F9/($E9-$D9+1),0)</f>
        <v/>
      </c>
      <c r="BF9" s="34">
        <f>IF(AND(BF$4*1&gt;=$D9,BF$4*1&lt;=$E9),$F9/($E9-$D9+1),0)</f>
        <v/>
      </c>
      <c r="BG9" s="34">
        <f>IF(AND(BG$4*1&gt;=$D9,BG$4*1&lt;=$E9),$F9/($E9-$D9+1),0)</f>
        <v/>
      </c>
      <c r="BH9" s="34">
        <f>IF(AND(BH$4*1&gt;=$D9,BH$4*1&lt;=$E9),$F9/($E9-$D9+1),0)</f>
        <v/>
      </c>
      <c r="BI9" s="34">
        <f>IF(AND(BI$4*1&gt;=$D9,BI$4*1&lt;=$E9),$F9/($E9-$D9+1),0)</f>
        <v/>
      </c>
      <c r="BJ9" s="34">
        <f>IF(AND(BJ$4*1&gt;=$D9,BJ$4*1&lt;=$E9),$F9/($E9-$D9+1),0)</f>
        <v/>
      </c>
      <c r="BK9" s="34">
        <f>IF(AND(BK$4*1&gt;=$D9,BK$4*1&lt;=$E9),$F9/($E9-$D9+1),0)</f>
        <v/>
      </c>
      <c r="BL9" s="35">
        <f>SUM(H9:BK9)</f>
        <v/>
      </c>
    </row>
    <row r="10">
      <c r="A10" s="3" t="inlineStr">
        <is>
          <t>2.6.3</t>
        </is>
      </c>
      <c r="B10" s="4" t="inlineStr">
        <is>
          <t>Indicadores de usabilidad</t>
        </is>
      </c>
      <c r="C10" s="14" t="inlineStr">
        <is>
          <t>IMP</t>
        </is>
      </c>
      <c r="D10" s="33" t="n">
        <v>4</v>
      </c>
      <c r="E10" s="33" t="n">
        <v>4</v>
      </c>
      <c r="F10" s="7" t="n">
        <v>240</v>
      </c>
      <c r="G10" s="4" t="inlineStr">
        <is>
          <t>Prevención</t>
        </is>
      </c>
      <c r="H10" s="34">
        <f>IF(AND(H$4*1&gt;=$D10,H$4*1&lt;=$E10),$F10/($E10-$D10+1),0)</f>
        <v/>
      </c>
      <c r="I10" s="34">
        <f>IF(AND(I$4*1&gt;=$D10,I$4*1&lt;=$E10),$F10/($E10-$D10+1),0)</f>
        <v/>
      </c>
      <c r="J10" s="34">
        <f>IF(AND(J$4*1&gt;=$D10,J$4*1&lt;=$E10),$F10/($E10-$D10+1),0)</f>
        <v/>
      </c>
      <c r="K10" s="34">
        <f>IF(AND(K$4*1&gt;=$D10,K$4*1&lt;=$E10),$F10/($E10-$D10+1),0)</f>
        <v/>
      </c>
      <c r="L10" s="34">
        <f>IF(AND(L$4*1&gt;=$D10,L$4*1&lt;=$E10),$F10/($E10-$D10+1),0)</f>
        <v/>
      </c>
      <c r="M10" s="34">
        <f>IF(AND(M$4*1&gt;=$D10,M$4*1&lt;=$E10),$F10/($E10-$D10+1),0)</f>
        <v/>
      </c>
      <c r="N10" s="34">
        <f>IF(AND(N$4*1&gt;=$D10,N$4*1&lt;=$E10),$F10/($E10-$D10+1),0)</f>
        <v/>
      </c>
      <c r="O10" s="34">
        <f>IF(AND(O$4*1&gt;=$D10,O$4*1&lt;=$E10),$F10/($E10-$D10+1),0)</f>
        <v/>
      </c>
      <c r="P10" s="34">
        <f>IF(AND(P$4*1&gt;=$D10,P$4*1&lt;=$E10),$F10/($E10-$D10+1),0)</f>
        <v/>
      </c>
      <c r="Q10" s="34">
        <f>IF(AND(Q$4*1&gt;=$D10,Q$4*1&lt;=$E10),$F10/($E10-$D10+1),0)</f>
        <v/>
      </c>
      <c r="R10" s="34">
        <f>IF(AND(R$4*1&gt;=$D10,R$4*1&lt;=$E10),$F10/($E10-$D10+1),0)</f>
        <v/>
      </c>
      <c r="S10" s="34">
        <f>IF(AND(S$4*1&gt;=$D10,S$4*1&lt;=$E10),$F10/($E10-$D10+1),0)</f>
        <v/>
      </c>
      <c r="T10" s="34">
        <f>IF(AND(T$4*1&gt;=$D10,T$4*1&lt;=$E10),$F10/($E10-$D10+1),0)</f>
        <v/>
      </c>
      <c r="U10" s="34">
        <f>IF(AND(U$4*1&gt;=$D10,U$4*1&lt;=$E10),$F10/($E10-$D10+1),0)</f>
        <v/>
      </c>
      <c r="V10" s="34">
        <f>IF(AND(V$4*1&gt;=$D10,V$4*1&lt;=$E10),$F10/($E10-$D10+1),0)</f>
        <v/>
      </c>
      <c r="W10" s="34">
        <f>IF(AND(W$4*1&gt;=$D10,W$4*1&lt;=$E10),$F10/($E10-$D10+1),0)</f>
        <v/>
      </c>
      <c r="X10" s="34">
        <f>IF(AND(X$4*1&gt;=$D10,X$4*1&lt;=$E10),$F10/($E10-$D10+1),0)</f>
        <v/>
      </c>
      <c r="Y10" s="34">
        <f>IF(AND(Y$4*1&gt;=$D10,Y$4*1&lt;=$E10),$F10/($E10-$D10+1),0)</f>
        <v/>
      </c>
      <c r="Z10" s="34">
        <f>IF(AND(Z$4*1&gt;=$D10,Z$4*1&lt;=$E10),$F10/($E10-$D10+1),0)</f>
        <v/>
      </c>
      <c r="AA10" s="34">
        <f>IF(AND(AA$4*1&gt;=$D10,AA$4*1&lt;=$E10),$F10/($E10-$D10+1),0)</f>
        <v/>
      </c>
      <c r="AB10" s="34">
        <f>IF(AND(AB$4*1&gt;=$D10,AB$4*1&lt;=$E10),$F10/($E10-$D10+1),0)</f>
        <v/>
      </c>
      <c r="AC10" s="34">
        <f>IF(AND(AC$4*1&gt;=$D10,AC$4*1&lt;=$E10),$F10/($E10-$D10+1),0)</f>
        <v/>
      </c>
      <c r="AD10" s="34">
        <f>IF(AND(AD$4*1&gt;=$D10,AD$4*1&lt;=$E10),$F10/($E10-$D10+1),0)</f>
        <v/>
      </c>
      <c r="AE10" s="34">
        <f>IF(AND(AE$4*1&gt;=$D10,AE$4*1&lt;=$E10),$F10/($E10-$D10+1),0)</f>
        <v/>
      </c>
      <c r="AF10" s="34">
        <f>IF(AND(AF$4*1&gt;=$D10,AF$4*1&lt;=$E10),$F10/($E10-$D10+1),0)</f>
        <v/>
      </c>
      <c r="AG10" s="34">
        <f>IF(AND(AG$4*1&gt;=$D10,AG$4*1&lt;=$E10),$F10/($E10-$D10+1),0)</f>
        <v/>
      </c>
      <c r="AH10" s="34">
        <f>IF(AND(AH$4*1&gt;=$D10,AH$4*1&lt;=$E10),$F10/($E10-$D10+1),0)</f>
        <v/>
      </c>
      <c r="AI10" s="34">
        <f>IF(AND(AI$4*1&gt;=$D10,AI$4*1&lt;=$E10),$F10/($E10-$D10+1),0)</f>
        <v/>
      </c>
      <c r="AJ10" s="34">
        <f>IF(AND(AJ$4*1&gt;=$D10,AJ$4*1&lt;=$E10),$F10/($E10-$D10+1),0)</f>
        <v/>
      </c>
      <c r="AK10" s="34">
        <f>IF(AND(AK$4*1&gt;=$D10,AK$4*1&lt;=$E10),$F10/($E10-$D10+1),0)</f>
        <v/>
      </c>
      <c r="AL10" s="34">
        <f>IF(AND(AL$4*1&gt;=$D10,AL$4*1&lt;=$E10),$F10/($E10-$D10+1),0)</f>
        <v/>
      </c>
      <c r="AM10" s="34">
        <f>IF(AND(AM$4*1&gt;=$D10,AM$4*1&lt;=$E10),$F10/($E10-$D10+1),0)</f>
        <v/>
      </c>
      <c r="AN10" s="34">
        <f>IF(AND(AN$4*1&gt;=$D10,AN$4*1&lt;=$E10),$F10/($E10-$D10+1),0)</f>
        <v/>
      </c>
      <c r="AO10" s="34">
        <f>IF(AND(AO$4*1&gt;=$D10,AO$4*1&lt;=$E10),$F10/($E10-$D10+1),0)</f>
        <v/>
      </c>
      <c r="AP10" s="34">
        <f>IF(AND(AP$4*1&gt;=$D10,AP$4*1&lt;=$E10),$F10/($E10-$D10+1),0)</f>
        <v/>
      </c>
      <c r="AQ10" s="34">
        <f>IF(AND(AQ$4*1&gt;=$D10,AQ$4*1&lt;=$E10),$F10/($E10-$D10+1),0)</f>
        <v/>
      </c>
      <c r="AR10" s="34">
        <f>IF(AND(AR$4*1&gt;=$D10,AR$4*1&lt;=$E10),$F10/($E10-$D10+1),0)</f>
        <v/>
      </c>
      <c r="AS10" s="34">
        <f>IF(AND(AS$4*1&gt;=$D10,AS$4*1&lt;=$E10),$F10/($E10-$D10+1),0)</f>
        <v/>
      </c>
      <c r="AT10" s="34">
        <f>IF(AND(AT$4*1&gt;=$D10,AT$4*1&lt;=$E10),$F10/($E10-$D10+1),0)</f>
        <v/>
      </c>
      <c r="AU10" s="34">
        <f>IF(AND(AU$4*1&gt;=$D10,AU$4*1&lt;=$E10),$F10/($E10-$D10+1),0)</f>
        <v/>
      </c>
      <c r="AV10" s="34">
        <f>IF(AND(AV$4*1&gt;=$D10,AV$4*1&lt;=$E10),$F10/($E10-$D10+1),0)</f>
        <v/>
      </c>
      <c r="AW10" s="34">
        <f>IF(AND(AW$4*1&gt;=$D10,AW$4*1&lt;=$E10),$F10/($E10-$D10+1),0)</f>
        <v/>
      </c>
      <c r="AX10" s="34">
        <f>IF(AND(AX$4*1&gt;=$D10,AX$4*1&lt;=$E10),$F10/($E10-$D10+1),0)</f>
        <v/>
      </c>
      <c r="AY10" s="34">
        <f>IF(AND(AY$4*1&gt;=$D10,AY$4*1&lt;=$E10),$F10/($E10-$D10+1),0)</f>
        <v/>
      </c>
      <c r="AZ10" s="34">
        <f>IF(AND(AZ$4*1&gt;=$D10,AZ$4*1&lt;=$E10),$F10/($E10-$D10+1),0)</f>
        <v/>
      </c>
      <c r="BA10" s="34">
        <f>IF(AND(BA$4*1&gt;=$D10,BA$4*1&lt;=$E10),$F10/($E10-$D10+1),0)</f>
        <v/>
      </c>
      <c r="BB10" s="34">
        <f>IF(AND(BB$4*1&gt;=$D10,BB$4*1&lt;=$E10),$F10/($E10-$D10+1),0)</f>
        <v/>
      </c>
      <c r="BC10" s="34">
        <f>IF(AND(BC$4*1&gt;=$D10,BC$4*1&lt;=$E10),$F10/($E10-$D10+1),0)</f>
        <v/>
      </c>
      <c r="BD10" s="34">
        <f>IF(AND(BD$4*1&gt;=$D10,BD$4*1&lt;=$E10),$F10/($E10-$D10+1),0)</f>
        <v/>
      </c>
      <c r="BE10" s="34">
        <f>IF(AND(BE$4*1&gt;=$D10,BE$4*1&lt;=$E10),$F10/($E10-$D10+1),0)</f>
        <v/>
      </c>
      <c r="BF10" s="34">
        <f>IF(AND(BF$4*1&gt;=$D10,BF$4*1&lt;=$E10),$F10/($E10-$D10+1),0)</f>
        <v/>
      </c>
      <c r="BG10" s="34">
        <f>IF(AND(BG$4*1&gt;=$D10,BG$4*1&lt;=$E10),$F10/($E10-$D10+1),0)</f>
        <v/>
      </c>
      <c r="BH10" s="34">
        <f>IF(AND(BH$4*1&gt;=$D10,BH$4*1&lt;=$E10),$F10/($E10-$D10+1),0)</f>
        <v/>
      </c>
      <c r="BI10" s="34">
        <f>IF(AND(BI$4*1&gt;=$D10,BI$4*1&lt;=$E10),$F10/($E10-$D10+1),0)</f>
        <v/>
      </c>
      <c r="BJ10" s="34">
        <f>IF(AND(BJ$4*1&gt;=$D10,BJ$4*1&lt;=$E10),$F10/($E10-$D10+1),0)</f>
        <v/>
      </c>
      <c r="BK10" s="34">
        <f>IF(AND(BK$4*1&gt;=$D10,BK$4*1&lt;=$E10),$F10/($E10-$D10+1),0)</f>
        <v/>
      </c>
      <c r="BL10" s="35">
        <f>SUM(H10:BK10)</f>
        <v/>
      </c>
    </row>
    <row r="11">
      <c r="A11" s="3" t="inlineStr">
        <is>
          <t>3.8.1</t>
        </is>
      </c>
      <c r="B11" s="4" t="inlineStr">
        <is>
          <t>Integración, regresión e idempotencia E1 (H4)</t>
        </is>
      </c>
      <c r="C11" s="14" t="inlineStr">
        <is>
          <t>CAL</t>
        </is>
      </c>
      <c r="D11" s="33" t="n">
        <v>9</v>
      </c>
      <c r="E11" s="33" t="n">
        <v>9</v>
      </c>
      <c r="F11" s="7" t="n">
        <v>160</v>
      </c>
      <c r="G11" s="4" t="inlineStr">
        <is>
          <t>Evaluación</t>
        </is>
      </c>
      <c r="H11" s="34">
        <f>IF(AND(H$4*1&gt;=$D11,H$4*1&lt;=$E11),$F11/($E11-$D11+1),0)</f>
        <v/>
      </c>
      <c r="I11" s="34">
        <f>IF(AND(I$4*1&gt;=$D11,I$4*1&lt;=$E11),$F11/($E11-$D11+1),0)</f>
        <v/>
      </c>
      <c r="J11" s="34">
        <f>IF(AND(J$4*1&gt;=$D11,J$4*1&lt;=$E11),$F11/($E11-$D11+1),0)</f>
        <v/>
      </c>
      <c r="K11" s="34">
        <f>IF(AND(K$4*1&gt;=$D11,K$4*1&lt;=$E11),$F11/($E11-$D11+1),0)</f>
        <v/>
      </c>
      <c r="L11" s="34">
        <f>IF(AND(L$4*1&gt;=$D11,L$4*1&lt;=$E11),$F11/($E11-$D11+1),0)</f>
        <v/>
      </c>
      <c r="M11" s="34">
        <f>IF(AND(M$4*1&gt;=$D11,M$4*1&lt;=$E11),$F11/($E11-$D11+1),0)</f>
        <v/>
      </c>
      <c r="N11" s="34">
        <f>IF(AND(N$4*1&gt;=$D11,N$4*1&lt;=$E11),$F11/($E11-$D11+1),0)</f>
        <v/>
      </c>
      <c r="O11" s="34">
        <f>IF(AND(O$4*1&gt;=$D11,O$4*1&lt;=$E11),$F11/($E11-$D11+1),0)</f>
        <v/>
      </c>
      <c r="P11" s="34">
        <f>IF(AND(P$4*1&gt;=$D11,P$4*1&lt;=$E11),$F11/($E11-$D11+1),0)</f>
        <v/>
      </c>
      <c r="Q11" s="34">
        <f>IF(AND(Q$4*1&gt;=$D11,Q$4*1&lt;=$E11),$F11/($E11-$D11+1),0)</f>
        <v/>
      </c>
      <c r="R11" s="34">
        <f>IF(AND(R$4*1&gt;=$D11,R$4*1&lt;=$E11),$F11/($E11-$D11+1),0)</f>
        <v/>
      </c>
      <c r="S11" s="34">
        <f>IF(AND(S$4*1&gt;=$D11,S$4*1&lt;=$E11),$F11/($E11-$D11+1),0)</f>
        <v/>
      </c>
      <c r="T11" s="34">
        <f>IF(AND(T$4*1&gt;=$D11,T$4*1&lt;=$E11),$F11/($E11-$D11+1),0)</f>
        <v/>
      </c>
      <c r="U11" s="34">
        <f>IF(AND(U$4*1&gt;=$D11,U$4*1&lt;=$E11),$F11/($E11-$D11+1),0)</f>
        <v/>
      </c>
      <c r="V11" s="34">
        <f>IF(AND(V$4*1&gt;=$D11,V$4*1&lt;=$E11),$F11/($E11-$D11+1),0)</f>
        <v/>
      </c>
      <c r="W11" s="34">
        <f>IF(AND(W$4*1&gt;=$D11,W$4*1&lt;=$E11),$F11/($E11-$D11+1),0)</f>
        <v/>
      </c>
      <c r="X11" s="34">
        <f>IF(AND(X$4*1&gt;=$D11,X$4*1&lt;=$E11),$F11/($E11-$D11+1),0)</f>
        <v/>
      </c>
      <c r="Y11" s="34">
        <f>IF(AND(Y$4*1&gt;=$D11,Y$4*1&lt;=$E11),$F11/($E11-$D11+1),0)</f>
        <v/>
      </c>
      <c r="Z11" s="34">
        <f>IF(AND(Z$4*1&gt;=$D11,Z$4*1&lt;=$E11),$F11/($E11-$D11+1),0)</f>
        <v/>
      </c>
      <c r="AA11" s="34">
        <f>IF(AND(AA$4*1&gt;=$D11,AA$4*1&lt;=$E11),$F11/($E11-$D11+1),0)</f>
        <v/>
      </c>
      <c r="AB11" s="34">
        <f>IF(AND(AB$4*1&gt;=$D11,AB$4*1&lt;=$E11),$F11/($E11-$D11+1),0)</f>
        <v/>
      </c>
      <c r="AC11" s="34">
        <f>IF(AND(AC$4*1&gt;=$D11,AC$4*1&lt;=$E11),$F11/($E11-$D11+1),0)</f>
        <v/>
      </c>
      <c r="AD11" s="34">
        <f>IF(AND(AD$4*1&gt;=$D11,AD$4*1&lt;=$E11),$F11/($E11-$D11+1),0)</f>
        <v/>
      </c>
      <c r="AE11" s="34">
        <f>IF(AND(AE$4*1&gt;=$D11,AE$4*1&lt;=$E11),$F11/($E11-$D11+1),0)</f>
        <v/>
      </c>
      <c r="AF11" s="34">
        <f>IF(AND(AF$4*1&gt;=$D11,AF$4*1&lt;=$E11),$F11/($E11-$D11+1),0)</f>
        <v/>
      </c>
      <c r="AG11" s="34">
        <f>IF(AND(AG$4*1&gt;=$D11,AG$4*1&lt;=$E11),$F11/($E11-$D11+1),0)</f>
        <v/>
      </c>
      <c r="AH11" s="34">
        <f>IF(AND(AH$4*1&gt;=$D11,AH$4*1&lt;=$E11),$F11/($E11-$D11+1),0)</f>
        <v/>
      </c>
      <c r="AI11" s="34">
        <f>IF(AND(AI$4*1&gt;=$D11,AI$4*1&lt;=$E11),$F11/($E11-$D11+1),0)</f>
        <v/>
      </c>
      <c r="AJ11" s="34">
        <f>IF(AND(AJ$4*1&gt;=$D11,AJ$4*1&lt;=$E11),$F11/($E11-$D11+1),0)</f>
        <v/>
      </c>
      <c r="AK11" s="34">
        <f>IF(AND(AK$4*1&gt;=$D11,AK$4*1&lt;=$E11),$F11/($E11-$D11+1),0)</f>
        <v/>
      </c>
      <c r="AL11" s="34">
        <f>IF(AND(AL$4*1&gt;=$D11,AL$4*1&lt;=$E11),$F11/($E11-$D11+1),0)</f>
        <v/>
      </c>
      <c r="AM11" s="34">
        <f>IF(AND(AM$4*1&gt;=$D11,AM$4*1&lt;=$E11),$F11/($E11-$D11+1),0)</f>
        <v/>
      </c>
      <c r="AN11" s="34">
        <f>IF(AND(AN$4*1&gt;=$D11,AN$4*1&lt;=$E11),$F11/($E11-$D11+1),0)</f>
        <v/>
      </c>
      <c r="AO11" s="34">
        <f>IF(AND(AO$4*1&gt;=$D11,AO$4*1&lt;=$E11),$F11/($E11-$D11+1),0)</f>
        <v/>
      </c>
      <c r="AP11" s="34">
        <f>IF(AND(AP$4*1&gt;=$D11,AP$4*1&lt;=$E11),$F11/($E11-$D11+1),0)</f>
        <v/>
      </c>
      <c r="AQ11" s="34">
        <f>IF(AND(AQ$4*1&gt;=$D11,AQ$4*1&lt;=$E11),$F11/($E11-$D11+1),0)</f>
        <v/>
      </c>
      <c r="AR11" s="34">
        <f>IF(AND(AR$4*1&gt;=$D11,AR$4*1&lt;=$E11),$F11/($E11-$D11+1),0)</f>
        <v/>
      </c>
      <c r="AS11" s="34">
        <f>IF(AND(AS$4*1&gt;=$D11,AS$4*1&lt;=$E11),$F11/($E11-$D11+1),0)</f>
        <v/>
      </c>
      <c r="AT11" s="34">
        <f>IF(AND(AT$4*1&gt;=$D11,AT$4*1&lt;=$E11),$F11/($E11-$D11+1),0)</f>
        <v/>
      </c>
      <c r="AU11" s="34">
        <f>IF(AND(AU$4*1&gt;=$D11,AU$4*1&lt;=$E11),$F11/($E11-$D11+1),0)</f>
        <v/>
      </c>
      <c r="AV11" s="34">
        <f>IF(AND(AV$4*1&gt;=$D11,AV$4*1&lt;=$E11),$F11/($E11-$D11+1),0)</f>
        <v/>
      </c>
      <c r="AW11" s="34">
        <f>IF(AND(AW$4*1&gt;=$D11,AW$4*1&lt;=$E11),$F11/($E11-$D11+1),0)</f>
        <v/>
      </c>
      <c r="AX11" s="34">
        <f>IF(AND(AX$4*1&gt;=$D11,AX$4*1&lt;=$E11),$F11/($E11-$D11+1),0)</f>
        <v/>
      </c>
      <c r="AY11" s="34">
        <f>IF(AND(AY$4*1&gt;=$D11,AY$4*1&lt;=$E11),$F11/($E11-$D11+1),0)</f>
        <v/>
      </c>
      <c r="AZ11" s="34">
        <f>IF(AND(AZ$4*1&gt;=$D11,AZ$4*1&lt;=$E11),$F11/($E11-$D11+1),0)</f>
        <v/>
      </c>
      <c r="BA11" s="34">
        <f>IF(AND(BA$4*1&gt;=$D11,BA$4*1&lt;=$E11),$F11/($E11-$D11+1),0)</f>
        <v/>
      </c>
      <c r="BB11" s="34">
        <f>IF(AND(BB$4*1&gt;=$D11,BB$4*1&lt;=$E11),$F11/($E11-$D11+1),0)</f>
        <v/>
      </c>
      <c r="BC11" s="34">
        <f>IF(AND(BC$4*1&gt;=$D11,BC$4*1&lt;=$E11),$F11/($E11-$D11+1),0)</f>
        <v/>
      </c>
      <c r="BD11" s="34">
        <f>IF(AND(BD$4*1&gt;=$D11,BD$4*1&lt;=$E11),$F11/($E11-$D11+1),0)</f>
        <v/>
      </c>
      <c r="BE11" s="34">
        <f>IF(AND(BE$4*1&gt;=$D11,BE$4*1&lt;=$E11),$F11/($E11-$D11+1),0)</f>
        <v/>
      </c>
      <c r="BF11" s="34">
        <f>IF(AND(BF$4*1&gt;=$D11,BF$4*1&lt;=$E11),$F11/($E11-$D11+1),0)</f>
        <v/>
      </c>
      <c r="BG11" s="34">
        <f>IF(AND(BG$4*1&gt;=$D11,BG$4*1&lt;=$E11),$F11/($E11-$D11+1),0)</f>
        <v/>
      </c>
      <c r="BH11" s="34">
        <f>IF(AND(BH$4*1&gt;=$D11,BH$4*1&lt;=$E11),$F11/($E11-$D11+1),0)</f>
        <v/>
      </c>
      <c r="BI11" s="34">
        <f>IF(AND(BI$4*1&gt;=$D11,BI$4*1&lt;=$E11),$F11/($E11-$D11+1),0)</f>
        <v/>
      </c>
      <c r="BJ11" s="34">
        <f>IF(AND(BJ$4*1&gt;=$D11,BJ$4*1&lt;=$E11),$F11/($E11-$D11+1),0)</f>
        <v/>
      </c>
      <c r="BK11" s="34">
        <f>IF(AND(BK$4*1&gt;=$D11,BK$4*1&lt;=$E11),$F11/($E11-$D11+1),0)</f>
        <v/>
      </c>
      <c r="BL11" s="35">
        <f>SUM(H11:BK11)</f>
        <v/>
      </c>
    </row>
    <row r="12">
      <c r="A12" s="3" t="inlineStr">
        <is>
          <t>3.8.2</t>
        </is>
      </c>
      <c r="B12" s="4" t="inlineStr">
        <is>
          <t>Aceptación y accesibilidad E1</t>
        </is>
      </c>
      <c r="C12" s="14" t="inlineStr">
        <is>
          <t>CAL</t>
        </is>
      </c>
      <c r="D12" s="33" t="n">
        <v>9</v>
      </c>
      <c r="E12" s="33" t="n">
        <v>10</v>
      </c>
      <c r="F12" s="7" t="n">
        <v>320</v>
      </c>
      <c r="G12" s="4" t="inlineStr">
        <is>
          <t>Evaluación</t>
        </is>
      </c>
      <c r="H12" s="34">
        <f>IF(AND(H$4*1&gt;=$D12,H$4*1&lt;=$E12),$F12/($E12-$D12+1),0)</f>
        <v/>
      </c>
      <c r="I12" s="34">
        <f>IF(AND(I$4*1&gt;=$D12,I$4*1&lt;=$E12),$F12/($E12-$D12+1),0)</f>
        <v/>
      </c>
      <c r="J12" s="34">
        <f>IF(AND(J$4*1&gt;=$D12,J$4*1&lt;=$E12),$F12/($E12-$D12+1),0)</f>
        <v/>
      </c>
      <c r="K12" s="34">
        <f>IF(AND(K$4*1&gt;=$D12,K$4*1&lt;=$E12),$F12/($E12-$D12+1),0)</f>
        <v/>
      </c>
      <c r="L12" s="34">
        <f>IF(AND(L$4*1&gt;=$D12,L$4*1&lt;=$E12),$F12/($E12-$D12+1),0)</f>
        <v/>
      </c>
      <c r="M12" s="34">
        <f>IF(AND(M$4*1&gt;=$D12,M$4*1&lt;=$E12),$F12/($E12-$D12+1),0)</f>
        <v/>
      </c>
      <c r="N12" s="34">
        <f>IF(AND(N$4*1&gt;=$D12,N$4*1&lt;=$E12),$F12/($E12-$D12+1),0)</f>
        <v/>
      </c>
      <c r="O12" s="34">
        <f>IF(AND(O$4*1&gt;=$D12,O$4*1&lt;=$E12),$F12/($E12-$D12+1),0)</f>
        <v/>
      </c>
      <c r="P12" s="34">
        <f>IF(AND(P$4*1&gt;=$D12,P$4*1&lt;=$E12),$F12/($E12-$D12+1),0)</f>
        <v/>
      </c>
      <c r="Q12" s="34">
        <f>IF(AND(Q$4*1&gt;=$D12,Q$4*1&lt;=$E12),$F12/($E12-$D12+1),0)</f>
        <v/>
      </c>
      <c r="R12" s="34">
        <f>IF(AND(R$4*1&gt;=$D12,R$4*1&lt;=$E12),$F12/($E12-$D12+1),0)</f>
        <v/>
      </c>
      <c r="S12" s="34">
        <f>IF(AND(S$4*1&gt;=$D12,S$4*1&lt;=$E12),$F12/($E12-$D12+1),0)</f>
        <v/>
      </c>
      <c r="T12" s="34">
        <f>IF(AND(T$4*1&gt;=$D12,T$4*1&lt;=$E12),$F12/($E12-$D12+1),0)</f>
        <v/>
      </c>
      <c r="U12" s="34">
        <f>IF(AND(U$4*1&gt;=$D12,U$4*1&lt;=$E12),$F12/($E12-$D12+1),0)</f>
        <v/>
      </c>
      <c r="V12" s="34">
        <f>IF(AND(V$4*1&gt;=$D12,V$4*1&lt;=$E12),$F12/($E12-$D12+1),0)</f>
        <v/>
      </c>
      <c r="W12" s="34">
        <f>IF(AND(W$4*1&gt;=$D12,W$4*1&lt;=$E12),$F12/($E12-$D12+1),0)</f>
        <v/>
      </c>
      <c r="X12" s="34">
        <f>IF(AND(X$4*1&gt;=$D12,X$4*1&lt;=$E12),$F12/($E12-$D12+1),0)</f>
        <v/>
      </c>
      <c r="Y12" s="34">
        <f>IF(AND(Y$4*1&gt;=$D12,Y$4*1&lt;=$E12),$F12/($E12-$D12+1),0)</f>
        <v/>
      </c>
      <c r="Z12" s="34">
        <f>IF(AND(Z$4*1&gt;=$D12,Z$4*1&lt;=$E12),$F12/($E12-$D12+1),0)</f>
        <v/>
      </c>
      <c r="AA12" s="34">
        <f>IF(AND(AA$4*1&gt;=$D12,AA$4*1&lt;=$E12),$F12/($E12-$D12+1),0)</f>
        <v/>
      </c>
      <c r="AB12" s="34">
        <f>IF(AND(AB$4*1&gt;=$D12,AB$4*1&lt;=$E12),$F12/($E12-$D12+1),0)</f>
        <v/>
      </c>
      <c r="AC12" s="34">
        <f>IF(AND(AC$4*1&gt;=$D12,AC$4*1&lt;=$E12),$F12/($E12-$D12+1),0)</f>
        <v/>
      </c>
      <c r="AD12" s="34">
        <f>IF(AND(AD$4*1&gt;=$D12,AD$4*1&lt;=$E12),$F12/($E12-$D12+1),0)</f>
        <v/>
      </c>
      <c r="AE12" s="34">
        <f>IF(AND(AE$4*1&gt;=$D12,AE$4*1&lt;=$E12),$F12/($E12-$D12+1),0)</f>
        <v/>
      </c>
      <c r="AF12" s="34">
        <f>IF(AND(AF$4*1&gt;=$D12,AF$4*1&lt;=$E12),$F12/($E12-$D12+1),0)</f>
        <v/>
      </c>
      <c r="AG12" s="34">
        <f>IF(AND(AG$4*1&gt;=$D12,AG$4*1&lt;=$E12),$F12/($E12-$D12+1),0)</f>
        <v/>
      </c>
      <c r="AH12" s="34">
        <f>IF(AND(AH$4*1&gt;=$D12,AH$4*1&lt;=$E12),$F12/($E12-$D12+1),0)</f>
        <v/>
      </c>
      <c r="AI12" s="34">
        <f>IF(AND(AI$4*1&gt;=$D12,AI$4*1&lt;=$E12),$F12/($E12-$D12+1),0)</f>
        <v/>
      </c>
      <c r="AJ12" s="34">
        <f>IF(AND(AJ$4*1&gt;=$D12,AJ$4*1&lt;=$E12),$F12/($E12-$D12+1),0)</f>
        <v/>
      </c>
      <c r="AK12" s="34">
        <f>IF(AND(AK$4*1&gt;=$D12,AK$4*1&lt;=$E12),$F12/($E12-$D12+1),0)</f>
        <v/>
      </c>
      <c r="AL12" s="34">
        <f>IF(AND(AL$4*1&gt;=$D12,AL$4*1&lt;=$E12),$F12/($E12-$D12+1),0)</f>
        <v/>
      </c>
      <c r="AM12" s="34">
        <f>IF(AND(AM$4*1&gt;=$D12,AM$4*1&lt;=$E12),$F12/($E12-$D12+1),0)</f>
        <v/>
      </c>
      <c r="AN12" s="34">
        <f>IF(AND(AN$4*1&gt;=$D12,AN$4*1&lt;=$E12),$F12/($E12-$D12+1),0)</f>
        <v/>
      </c>
      <c r="AO12" s="34">
        <f>IF(AND(AO$4*1&gt;=$D12,AO$4*1&lt;=$E12),$F12/($E12-$D12+1),0)</f>
        <v/>
      </c>
      <c r="AP12" s="34">
        <f>IF(AND(AP$4*1&gt;=$D12,AP$4*1&lt;=$E12),$F12/($E12-$D12+1),0)</f>
        <v/>
      </c>
      <c r="AQ12" s="34">
        <f>IF(AND(AQ$4*1&gt;=$D12,AQ$4*1&lt;=$E12),$F12/($E12-$D12+1),0)</f>
        <v/>
      </c>
      <c r="AR12" s="34">
        <f>IF(AND(AR$4*1&gt;=$D12,AR$4*1&lt;=$E12),$F12/($E12-$D12+1),0)</f>
        <v/>
      </c>
      <c r="AS12" s="34">
        <f>IF(AND(AS$4*1&gt;=$D12,AS$4*1&lt;=$E12),$F12/($E12-$D12+1),0)</f>
        <v/>
      </c>
      <c r="AT12" s="34">
        <f>IF(AND(AT$4*1&gt;=$D12,AT$4*1&lt;=$E12),$F12/($E12-$D12+1),0)</f>
        <v/>
      </c>
      <c r="AU12" s="34">
        <f>IF(AND(AU$4*1&gt;=$D12,AU$4*1&lt;=$E12),$F12/($E12-$D12+1),0)</f>
        <v/>
      </c>
      <c r="AV12" s="34">
        <f>IF(AND(AV$4*1&gt;=$D12,AV$4*1&lt;=$E12),$F12/($E12-$D12+1),0)</f>
        <v/>
      </c>
      <c r="AW12" s="34">
        <f>IF(AND(AW$4*1&gt;=$D12,AW$4*1&lt;=$E12),$F12/($E12-$D12+1),0)</f>
        <v/>
      </c>
      <c r="AX12" s="34">
        <f>IF(AND(AX$4*1&gt;=$D12,AX$4*1&lt;=$E12),$F12/($E12-$D12+1),0)</f>
        <v/>
      </c>
      <c r="AY12" s="34">
        <f>IF(AND(AY$4*1&gt;=$D12,AY$4*1&lt;=$E12),$F12/($E12-$D12+1),0)</f>
        <v/>
      </c>
      <c r="AZ12" s="34">
        <f>IF(AND(AZ$4*1&gt;=$D12,AZ$4*1&lt;=$E12),$F12/($E12-$D12+1),0)</f>
        <v/>
      </c>
      <c r="BA12" s="34">
        <f>IF(AND(BA$4*1&gt;=$D12,BA$4*1&lt;=$E12),$F12/($E12-$D12+1),0)</f>
        <v/>
      </c>
      <c r="BB12" s="34">
        <f>IF(AND(BB$4*1&gt;=$D12,BB$4*1&lt;=$E12),$F12/($E12-$D12+1),0)</f>
        <v/>
      </c>
      <c r="BC12" s="34">
        <f>IF(AND(BC$4*1&gt;=$D12,BC$4*1&lt;=$E12),$F12/($E12-$D12+1),0)</f>
        <v/>
      </c>
      <c r="BD12" s="34">
        <f>IF(AND(BD$4*1&gt;=$D12,BD$4*1&lt;=$E12),$F12/($E12-$D12+1),0)</f>
        <v/>
      </c>
      <c r="BE12" s="34">
        <f>IF(AND(BE$4*1&gt;=$D12,BE$4*1&lt;=$E12),$F12/($E12-$D12+1),0)</f>
        <v/>
      </c>
      <c r="BF12" s="34">
        <f>IF(AND(BF$4*1&gt;=$D12,BF$4*1&lt;=$E12),$F12/($E12-$D12+1),0)</f>
        <v/>
      </c>
      <c r="BG12" s="34">
        <f>IF(AND(BG$4*1&gt;=$D12,BG$4*1&lt;=$E12),$F12/($E12-$D12+1),0)</f>
        <v/>
      </c>
      <c r="BH12" s="34">
        <f>IF(AND(BH$4*1&gt;=$D12,BH$4*1&lt;=$E12),$F12/($E12-$D12+1),0)</f>
        <v/>
      </c>
      <c r="BI12" s="34">
        <f>IF(AND(BI$4*1&gt;=$D12,BI$4*1&lt;=$E12),$F12/($E12-$D12+1),0)</f>
        <v/>
      </c>
      <c r="BJ12" s="34">
        <f>IF(AND(BJ$4*1&gt;=$D12,BJ$4*1&lt;=$E12),$F12/($E12-$D12+1),0)</f>
        <v/>
      </c>
      <c r="BK12" s="34">
        <f>IF(AND(BK$4*1&gt;=$D12,BK$4*1&lt;=$E12),$F12/($E12-$D12+1),0)</f>
        <v/>
      </c>
      <c r="BL12" s="35">
        <f>SUM(H12:BK12)</f>
        <v/>
      </c>
    </row>
    <row r="13">
      <c r="A13" s="3" t="inlineStr">
        <is>
          <t>3.8.3</t>
        </is>
      </c>
      <c r="B13" s="4" t="inlineStr">
        <is>
          <t>Perfil operacional: sin señal, sin enlace, −22 °C</t>
        </is>
      </c>
      <c r="C13" s="14" t="inlineStr">
        <is>
          <t>CAL</t>
        </is>
      </c>
      <c r="D13" s="33" t="n">
        <v>9</v>
      </c>
      <c r="E13" s="33" t="n">
        <v>10</v>
      </c>
      <c r="F13" s="7" t="n">
        <v>320</v>
      </c>
      <c r="G13" s="4" t="inlineStr">
        <is>
          <t>Evaluación</t>
        </is>
      </c>
      <c r="H13" s="34">
        <f>IF(AND(H$4*1&gt;=$D13,H$4*1&lt;=$E13),$F13/($E13-$D13+1),0)</f>
        <v/>
      </c>
      <c r="I13" s="34">
        <f>IF(AND(I$4*1&gt;=$D13,I$4*1&lt;=$E13),$F13/($E13-$D13+1),0)</f>
        <v/>
      </c>
      <c r="J13" s="34">
        <f>IF(AND(J$4*1&gt;=$D13,J$4*1&lt;=$E13),$F13/($E13-$D13+1),0)</f>
        <v/>
      </c>
      <c r="K13" s="34">
        <f>IF(AND(K$4*1&gt;=$D13,K$4*1&lt;=$E13),$F13/($E13-$D13+1),0)</f>
        <v/>
      </c>
      <c r="L13" s="34">
        <f>IF(AND(L$4*1&gt;=$D13,L$4*1&lt;=$E13),$F13/($E13-$D13+1),0)</f>
        <v/>
      </c>
      <c r="M13" s="34">
        <f>IF(AND(M$4*1&gt;=$D13,M$4*1&lt;=$E13),$F13/($E13-$D13+1),0)</f>
        <v/>
      </c>
      <c r="N13" s="34">
        <f>IF(AND(N$4*1&gt;=$D13,N$4*1&lt;=$E13),$F13/($E13-$D13+1),0)</f>
        <v/>
      </c>
      <c r="O13" s="34">
        <f>IF(AND(O$4*1&gt;=$D13,O$4*1&lt;=$E13),$F13/($E13-$D13+1),0)</f>
        <v/>
      </c>
      <c r="P13" s="34">
        <f>IF(AND(P$4*1&gt;=$D13,P$4*1&lt;=$E13),$F13/($E13-$D13+1),0)</f>
        <v/>
      </c>
      <c r="Q13" s="34">
        <f>IF(AND(Q$4*1&gt;=$D13,Q$4*1&lt;=$E13),$F13/($E13-$D13+1),0)</f>
        <v/>
      </c>
      <c r="R13" s="34">
        <f>IF(AND(R$4*1&gt;=$D13,R$4*1&lt;=$E13),$F13/($E13-$D13+1),0)</f>
        <v/>
      </c>
      <c r="S13" s="34">
        <f>IF(AND(S$4*1&gt;=$D13,S$4*1&lt;=$E13),$F13/($E13-$D13+1),0)</f>
        <v/>
      </c>
      <c r="T13" s="34">
        <f>IF(AND(T$4*1&gt;=$D13,T$4*1&lt;=$E13),$F13/($E13-$D13+1),0)</f>
        <v/>
      </c>
      <c r="U13" s="34">
        <f>IF(AND(U$4*1&gt;=$D13,U$4*1&lt;=$E13),$F13/($E13-$D13+1),0)</f>
        <v/>
      </c>
      <c r="V13" s="34">
        <f>IF(AND(V$4*1&gt;=$D13,V$4*1&lt;=$E13),$F13/($E13-$D13+1),0)</f>
        <v/>
      </c>
      <c r="W13" s="34">
        <f>IF(AND(W$4*1&gt;=$D13,W$4*1&lt;=$E13),$F13/($E13-$D13+1),0)</f>
        <v/>
      </c>
      <c r="X13" s="34">
        <f>IF(AND(X$4*1&gt;=$D13,X$4*1&lt;=$E13),$F13/($E13-$D13+1),0)</f>
        <v/>
      </c>
      <c r="Y13" s="34">
        <f>IF(AND(Y$4*1&gt;=$D13,Y$4*1&lt;=$E13),$F13/($E13-$D13+1),0)</f>
        <v/>
      </c>
      <c r="Z13" s="34">
        <f>IF(AND(Z$4*1&gt;=$D13,Z$4*1&lt;=$E13),$F13/($E13-$D13+1),0)</f>
        <v/>
      </c>
      <c r="AA13" s="34">
        <f>IF(AND(AA$4*1&gt;=$D13,AA$4*1&lt;=$E13),$F13/($E13-$D13+1),0)</f>
        <v/>
      </c>
      <c r="AB13" s="34">
        <f>IF(AND(AB$4*1&gt;=$D13,AB$4*1&lt;=$E13),$F13/($E13-$D13+1),0)</f>
        <v/>
      </c>
      <c r="AC13" s="34">
        <f>IF(AND(AC$4*1&gt;=$D13,AC$4*1&lt;=$E13),$F13/($E13-$D13+1),0)</f>
        <v/>
      </c>
      <c r="AD13" s="34">
        <f>IF(AND(AD$4*1&gt;=$D13,AD$4*1&lt;=$E13),$F13/($E13-$D13+1),0)</f>
        <v/>
      </c>
      <c r="AE13" s="34">
        <f>IF(AND(AE$4*1&gt;=$D13,AE$4*1&lt;=$E13),$F13/($E13-$D13+1),0)</f>
        <v/>
      </c>
      <c r="AF13" s="34">
        <f>IF(AND(AF$4*1&gt;=$D13,AF$4*1&lt;=$E13),$F13/($E13-$D13+1),0)</f>
        <v/>
      </c>
      <c r="AG13" s="34">
        <f>IF(AND(AG$4*1&gt;=$D13,AG$4*1&lt;=$E13),$F13/($E13-$D13+1),0)</f>
        <v/>
      </c>
      <c r="AH13" s="34">
        <f>IF(AND(AH$4*1&gt;=$D13,AH$4*1&lt;=$E13),$F13/($E13-$D13+1),0)</f>
        <v/>
      </c>
      <c r="AI13" s="34">
        <f>IF(AND(AI$4*1&gt;=$D13,AI$4*1&lt;=$E13),$F13/($E13-$D13+1),0)</f>
        <v/>
      </c>
      <c r="AJ13" s="34">
        <f>IF(AND(AJ$4*1&gt;=$D13,AJ$4*1&lt;=$E13),$F13/($E13-$D13+1),0)</f>
        <v/>
      </c>
      <c r="AK13" s="34">
        <f>IF(AND(AK$4*1&gt;=$D13,AK$4*1&lt;=$E13),$F13/($E13-$D13+1),0)</f>
        <v/>
      </c>
      <c r="AL13" s="34">
        <f>IF(AND(AL$4*1&gt;=$D13,AL$4*1&lt;=$E13),$F13/($E13-$D13+1),0)</f>
        <v/>
      </c>
      <c r="AM13" s="34">
        <f>IF(AND(AM$4*1&gt;=$D13,AM$4*1&lt;=$E13),$F13/($E13-$D13+1),0)</f>
        <v/>
      </c>
      <c r="AN13" s="34">
        <f>IF(AND(AN$4*1&gt;=$D13,AN$4*1&lt;=$E13),$F13/($E13-$D13+1),0)</f>
        <v/>
      </c>
      <c r="AO13" s="34">
        <f>IF(AND(AO$4*1&gt;=$D13,AO$4*1&lt;=$E13),$F13/($E13-$D13+1),0)</f>
        <v/>
      </c>
      <c r="AP13" s="34">
        <f>IF(AND(AP$4*1&gt;=$D13,AP$4*1&lt;=$E13),$F13/($E13-$D13+1),0)</f>
        <v/>
      </c>
      <c r="AQ13" s="34">
        <f>IF(AND(AQ$4*1&gt;=$D13,AQ$4*1&lt;=$E13),$F13/($E13-$D13+1),0)</f>
        <v/>
      </c>
      <c r="AR13" s="34">
        <f>IF(AND(AR$4*1&gt;=$D13,AR$4*1&lt;=$E13),$F13/($E13-$D13+1),0)</f>
        <v/>
      </c>
      <c r="AS13" s="34">
        <f>IF(AND(AS$4*1&gt;=$D13,AS$4*1&lt;=$E13),$F13/($E13-$D13+1),0)</f>
        <v/>
      </c>
      <c r="AT13" s="34">
        <f>IF(AND(AT$4*1&gt;=$D13,AT$4*1&lt;=$E13),$F13/($E13-$D13+1),0)</f>
        <v/>
      </c>
      <c r="AU13" s="34">
        <f>IF(AND(AU$4*1&gt;=$D13,AU$4*1&lt;=$E13),$F13/($E13-$D13+1),0)</f>
        <v/>
      </c>
      <c r="AV13" s="34">
        <f>IF(AND(AV$4*1&gt;=$D13,AV$4*1&lt;=$E13),$F13/($E13-$D13+1),0)</f>
        <v/>
      </c>
      <c r="AW13" s="34">
        <f>IF(AND(AW$4*1&gt;=$D13,AW$4*1&lt;=$E13),$F13/($E13-$D13+1),0)</f>
        <v/>
      </c>
      <c r="AX13" s="34">
        <f>IF(AND(AX$4*1&gt;=$D13,AX$4*1&lt;=$E13),$F13/($E13-$D13+1),0)</f>
        <v/>
      </c>
      <c r="AY13" s="34">
        <f>IF(AND(AY$4*1&gt;=$D13,AY$4*1&lt;=$E13),$F13/($E13-$D13+1),0)</f>
        <v/>
      </c>
      <c r="AZ13" s="34">
        <f>IF(AND(AZ$4*1&gt;=$D13,AZ$4*1&lt;=$E13),$F13/($E13-$D13+1),0)</f>
        <v/>
      </c>
      <c r="BA13" s="34">
        <f>IF(AND(BA$4*1&gt;=$D13,BA$4*1&lt;=$E13),$F13/($E13-$D13+1),0)</f>
        <v/>
      </c>
      <c r="BB13" s="34">
        <f>IF(AND(BB$4*1&gt;=$D13,BB$4*1&lt;=$E13),$F13/($E13-$D13+1),0)</f>
        <v/>
      </c>
      <c r="BC13" s="34">
        <f>IF(AND(BC$4*1&gt;=$D13,BC$4*1&lt;=$E13),$F13/($E13-$D13+1),0)</f>
        <v/>
      </c>
      <c r="BD13" s="34">
        <f>IF(AND(BD$4*1&gt;=$D13,BD$4*1&lt;=$E13),$F13/($E13-$D13+1),0)</f>
        <v/>
      </c>
      <c r="BE13" s="34">
        <f>IF(AND(BE$4*1&gt;=$D13,BE$4*1&lt;=$E13),$F13/($E13-$D13+1),0)</f>
        <v/>
      </c>
      <c r="BF13" s="34">
        <f>IF(AND(BF$4*1&gt;=$D13,BF$4*1&lt;=$E13),$F13/($E13-$D13+1),0)</f>
        <v/>
      </c>
      <c r="BG13" s="34">
        <f>IF(AND(BG$4*1&gt;=$D13,BG$4*1&lt;=$E13),$F13/($E13-$D13+1),0)</f>
        <v/>
      </c>
      <c r="BH13" s="34">
        <f>IF(AND(BH$4*1&gt;=$D13,BH$4*1&lt;=$E13),$F13/($E13-$D13+1),0)</f>
        <v/>
      </c>
      <c r="BI13" s="34">
        <f>IF(AND(BI$4*1&gt;=$D13,BI$4*1&lt;=$E13),$F13/($E13-$D13+1),0)</f>
        <v/>
      </c>
      <c r="BJ13" s="34">
        <f>IF(AND(BJ$4*1&gt;=$D13,BJ$4*1&lt;=$E13),$F13/($E13-$D13+1),0)</f>
        <v/>
      </c>
      <c r="BK13" s="34">
        <f>IF(AND(BK$4*1&gt;=$D13,BK$4*1&lt;=$E13),$F13/($E13-$D13+1),0)</f>
        <v/>
      </c>
      <c r="BL13" s="35">
        <f>SUM(H13:BK13)</f>
        <v/>
      </c>
    </row>
    <row r="14">
      <c r="A14" s="3" t="inlineStr">
        <is>
          <t>3.8.4</t>
        </is>
      </c>
      <c r="B14" s="4" t="inlineStr">
        <is>
          <t>Carga 1,5× peak y resiliencia E1</t>
        </is>
      </c>
      <c r="C14" s="14" t="inlineStr">
        <is>
          <t>CAL</t>
        </is>
      </c>
      <c r="D14" s="33" t="n">
        <v>9</v>
      </c>
      <c r="E14" s="33" t="n">
        <v>10</v>
      </c>
      <c r="F14" s="7" t="n">
        <v>320</v>
      </c>
      <c r="G14" s="4" t="inlineStr">
        <is>
          <t>Evaluación</t>
        </is>
      </c>
      <c r="H14" s="34">
        <f>IF(AND(H$4*1&gt;=$D14,H$4*1&lt;=$E14),$F14/($E14-$D14+1),0)</f>
        <v/>
      </c>
      <c r="I14" s="34">
        <f>IF(AND(I$4*1&gt;=$D14,I$4*1&lt;=$E14),$F14/($E14-$D14+1),0)</f>
        <v/>
      </c>
      <c r="J14" s="34">
        <f>IF(AND(J$4*1&gt;=$D14,J$4*1&lt;=$E14),$F14/($E14-$D14+1),0)</f>
        <v/>
      </c>
      <c r="K14" s="34">
        <f>IF(AND(K$4*1&gt;=$D14,K$4*1&lt;=$E14),$F14/($E14-$D14+1),0)</f>
        <v/>
      </c>
      <c r="L14" s="34">
        <f>IF(AND(L$4*1&gt;=$D14,L$4*1&lt;=$E14),$F14/($E14-$D14+1),0)</f>
        <v/>
      </c>
      <c r="M14" s="34">
        <f>IF(AND(M$4*1&gt;=$D14,M$4*1&lt;=$E14),$F14/($E14-$D14+1),0)</f>
        <v/>
      </c>
      <c r="N14" s="34">
        <f>IF(AND(N$4*1&gt;=$D14,N$4*1&lt;=$E14),$F14/($E14-$D14+1),0)</f>
        <v/>
      </c>
      <c r="O14" s="34">
        <f>IF(AND(O$4*1&gt;=$D14,O$4*1&lt;=$E14),$F14/($E14-$D14+1),0)</f>
        <v/>
      </c>
      <c r="P14" s="34">
        <f>IF(AND(P$4*1&gt;=$D14,P$4*1&lt;=$E14),$F14/($E14-$D14+1),0)</f>
        <v/>
      </c>
      <c r="Q14" s="34">
        <f>IF(AND(Q$4*1&gt;=$D14,Q$4*1&lt;=$E14),$F14/($E14-$D14+1),0)</f>
        <v/>
      </c>
      <c r="R14" s="34">
        <f>IF(AND(R$4*1&gt;=$D14,R$4*1&lt;=$E14),$F14/($E14-$D14+1),0)</f>
        <v/>
      </c>
      <c r="S14" s="34">
        <f>IF(AND(S$4*1&gt;=$D14,S$4*1&lt;=$E14),$F14/($E14-$D14+1),0)</f>
        <v/>
      </c>
      <c r="T14" s="34">
        <f>IF(AND(T$4*1&gt;=$D14,T$4*1&lt;=$E14),$F14/($E14-$D14+1),0)</f>
        <v/>
      </c>
      <c r="U14" s="34">
        <f>IF(AND(U$4*1&gt;=$D14,U$4*1&lt;=$E14),$F14/($E14-$D14+1),0)</f>
        <v/>
      </c>
      <c r="V14" s="34">
        <f>IF(AND(V$4*1&gt;=$D14,V$4*1&lt;=$E14),$F14/($E14-$D14+1),0)</f>
        <v/>
      </c>
      <c r="W14" s="34">
        <f>IF(AND(W$4*1&gt;=$D14,W$4*1&lt;=$E14),$F14/($E14-$D14+1),0)</f>
        <v/>
      </c>
      <c r="X14" s="34">
        <f>IF(AND(X$4*1&gt;=$D14,X$4*1&lt;=$E14),$F14/($E14-$D14+1),0)</f>
        <v/>
      </c>
      <c r="Y14" s="34">
        <f>IF(AND(Y$4*1&gt;=$D14,Y$4*1&lt;=$E14),$F14/($E14-$D14+1),0)</f>
        <v/>
      </c>
      <c r="Z14" s="34">
        <f>IF(AND(Z$4*1&gt;=$D14,Z$4*1&lt;=$E14),$F14/($E14-$D14+1),0)</f>
        <v/>
      </c>
      <c r="AA14" s="34">
        <f>IF(AND(AA$4*1&gt;=$D14,AA$4*1&lt;=$E14),$F14/($E14-$D14+1),0)</f>
        <v/>
      </c>
      <c r="AB14" s="34">
        <f>IF(AND(AB$4*1&gt;=$D14,AB$4*1&lt;=$E14),$F14/($E14-$D14+1),0)</f>
        <v/>
      </c>
      <c r="AC14" s="34">
        <f>IF(AND(AC$4*1&gt;=$D14,AC$4*1&lt;=$E14),$F14/($E14-$D14+1),0)</f>
        <v/>
      </c>
      <c r="AD14" s="34">
        <f>IF(AND(AD$4*1&gt;=$D14,AD$4*1&lt;=$E14),$F14/($E14-$D14+1),0)</f>
        <v/>
      </c>
      <c r="AE14" s="34">
        <f>IF(AND(AE$4*1&gt;=$D14,AE$4*1&lt;=$E14),$F14/($E14-$D14+1),0)</f>
        <v/>
      </c>
      <c r="AF14" s="34">
        <f>IF(AND(AF$4*1&gt;=$D14,AF$4*1&lt;=$E14),$F14/($E14-$D14+1),0)</f>
        <v/>
      </c>
      <c r="AG14" s="34">
        <f>IF(AND(AG$4*1&gt;=$D14,AG$4*1&lt;=$E14),$F14/($E14-$D14+1),0)</f>
        <v/>
      </c>
      <c r="AH14" s="34">
        <f>IF(AND(AH$4*1&gt;=$D14,AH$4*1&lt;=$E14),$F14/($E14-$D14+1),0)</f>
        <v/>
      </c>
      <c r="AI14" s="34">
        <f>IF(AND(AI$4*1&gt;=$D14,AI$4*1&lt;=$E14),$F14/($E14-$D14+1),0)</f>
        <v/>
      </c>
      <c r="AJ14" s="34">
        <f>IF(AND(AJ$4*1&gt;=$D14,AJ$4*1&lt;=$E14),$F14/($E14-$D14+1),0)</f>
        <v/>
      </c>
      <c r="AK14" s="34">
        <f>IF(AND(AK$4*1&gt;=$D14,AK$4*1&lt;=$E14),$F14/($E14-$D14+1),0)</f>
        <v/>
      </c>
      <c r="AL14" s="34">
        <f>IF(AND(AL$4*1&gt;=$D14,AL$4*1&lt;=$E14),$F14/($E14-$D14+1),0)</f>
        <v/>
      </c>
      <c r="AM14" s="34">
        <f>IF(AND(AM$4*1&gt;=$D14,AM$4*1&lt;=$E14),$F14/($E14-$D14+1),0)</f>
        <v/>
      </c>
      <c r="AN14" s="34">
        <f>IF(AND(AN$4*1&gt;=$D14,AN$4*1&lt;=$E14),$F14/($E14-$D14+1),0)</f>
        <v/>
      </c>
      <c r="AO14" s="34">
        <f>IF(AND(AO$4*1&gt;=$D14,AO$4*1&lt;=$E14),$F14/($E14-$D14+1),0)</f>
        <v/>
      </c>
      <c r="AP14" s="34">
        <f>IF(AND(AP$4*1&gt;=$D14,AP$4*1&lt;=$E14),$F14/($E14-$D14+1),0)</f>
        <v/>
      </c>
      <c r="AQ14" s="34">
        <f>IF(AND(AQ$4*1&gt;=$D14,AQ$4*1&lt;=$E14),$F14/($E14-$D14+1),0)</f>
        <v/>
      </c>
      <c r="AR14" s="34">
        <f>IF(AND(AR$4*1&gt;=$D14,AR$4*1&lt;=$E14),$F14/($E14-$D14+1),0)</f>
        <v/>
      </c>
      <c r="AS14" s="34">
        <f>IF(AND(AS$4*1&gt;=$D14,AS$4*1&lt;=$E14),$F14/($E14-$D14+1),0)</f>
        <v/>
      </c>
      <c r="AT14" s="34">
        <f>IF(AND(AT$4*1&gt;=$D14,AT$4*1&lt;=$E14),$F14/($E14-$D14+1),0)</f>
        <v/>
      </c>
      <c r="AU14" s="34">
        <f>IF(AND(AU$4*1&gt;=$D14,AU$4*1&lt;=$E14),$F14/($E14-$D14+1),0)</f>
        <v/>
      </c>
      <c r="AV14" s="34">
        <f>IF(AND(AV$4*1&gt;=$D14,AV$4*1&lt;=$E14),$F14/($E14-$D14+1),0)</f>
        <v/>
      </c>
      <c r="AW14" s="34">
        <f>IF(AND(AW$4*1&gt;=$D14,AW$4*1&lt;=$E14),$F14/($E14-$D14+1),0)</f>
        <v/>
      </c>
      <c r="AX14" s="34">
        <f>IF(AND(AX$4*1&gt;=$D14,AX$4*1&lt;=$E14),$F14/($E14-$D14+1),0)</f>
        <v/>
      </c>
      <c r="AY14" s="34">
        <f>IF(AND(AY$4*1&gt;=$D14,AY$4*1&lt;=$E14),$F14/($E14-$D14+1),0)</f>
        <v/>
      </c>
      <c r="AZ14" s="34">
        <f>IF(AND(AZ$4*1&gt;=$D14,AZ$4*1&lt;=$E14),$F14/($E14-$D14+1),0)</f>
        <v/>
      </c>
      <c r="BA14" s="34">
        <f>IF(AND(BA$4*1&gt;=$D14,BA$4*1&lt;=$E14),$F14/($E14-$D14+1),0)</f>
        <v/>
      </c>
      <c r="BB14" s="34">
        <f>IF(AND(BB$4*1&gt;=$D14,BB$4*1&lt;=$E14),$F14/($E14-$D14+1),0)</f>
        <v/>
      </c>
      <c r="BC14" s="34">
        <f>IF(AND(BC$4*1&gt;=$D14,BC$4*1&lt;=$E14),$F14/($E14-$D14+1),0)</f>
        <v/>
      </c>
      <c r="BD14" s="34">
        <f>IF(AND(BD$4*1&gt;=$D14,BD$4*1&lt;=$E14),$F14/($E14-$D14+1),0)</f>
        <v/>
      </c>
      <c r="BE14" s="34">
        <f>IF(AND(BE$4*1&gt;=$D14,BE$4*1&lt;=$E14),$F14/($E14-$D14+1),0)</f>
        <v/>
      </c>
      <c r="BF14" s="34">
        <f>IF(AND(BF$4*1&gt;=$D14,BF$4*1&lt;=$E14),$F14/($E14-$D14+1),0)</f>
        <v/>
      </c>
      <c r="BG14" s="34">
        <f>IF(AND(BG$4*1&gt;=$D14,BG$4*1&lt;=$E14),$F14/($E14-$D14+1),0)</f>
        <v/>
      </c>
      <c r="BH14" s="34">
        <f>IF(AND(BH$4*1&gt;=$D14,BH$4*1&lt;=$E14),$F14/($E14-$D14+1),0)</f>
        <v/>
      </c>
      <c r="BI14" s="34">
        <f>IF(AND(BI$4*1&gt;=$D14,BI$4*1&lt;=$E14),$F14/($E14-$D14+1),0)</f>
        <v/>
      </c>
      <c r="BJ14" s="34">
        <f>IF(AND(BJ$4*1&gt;=$D14,BJ$4*1&lt;=$E14),$F14/($E14-$D14+1),0)</f>
        <v/>
      </c>
      <c r="BK14" s="34">
        <f>IF(AND(BK$4*1&gt;=$D14,BK$4*1&lt;=$E14),$F14/($E14-$D14+1),0)</f>
        <v/>
      </c>
      <c r="BL14" s="35">
        <f>SUM(H14:BK14)</f>
        <v/>
      </c>
    </row>
    <row r="15">
      <c r="A15" s="3" t="inlineStr">
        <is>
          <t>3.8.5</t>
        </is>
      </c>
      <c r="B15" s="4" t="inlineStr">
        <is>
          <t>Recuperación ante desastres E1</t>
        </is>
      </c>
      <c r="C15" s="14" t="inlineStr">
        <is>
          <t>CAL</t>
        </is>
      </c>
      <c r="D15" s="33" t="n">
        <v>9</v>
      </c>
      <c r="E15" s="33" t="n">
        <v>10</v>
      </c>
      <c r="F15" s="7" t="n">
        <v>320</v>
      </c>
      <c r="G15" s="4" t="inlineStr">
        <is>
          <t>Evaluación</t>
        </is>
      </c>
      <c r="H15" s="34">
        <f>IF(AND(H$4*1&gt;=$D15,H$4*1&lt;=$E15),$F15/($E15-$D15+1),0)</f>
        <v/>
      </c>
      <c r="I15" s="34">
        <f>IF(AND(I$4*1&gt;=$D15,I$4*1&lt;=$E15),$F15/($E15-$D15+1),0)</f>
        <v/>
      </c>
      <c r="J15" s="34">
        <f>IF(AND(J$4*1&gt;=$D15,J$4*1&lt;=$E15),$F15/($E15-$D15+1),0)</f>
        <v/>
      </c>
      <c r="K15" s="34">
        <f>IF(AND(K$4*1&gt;=$D15,K$4*1&lt;=$E15),$F15/($E15-$D15+1),0)</f>
        <v/>
      </c>
      <c r="L15" s="34">
        <f>IF(AND(L$4*1&gt;=$D15,L$4*1&lt;=$E15),$F15/($E15-$D15+1),0)</f>
        <v/>
      </c>
      <c r="M15" s="34">
        <f>IF(AND(M$4*1&gt;=$D15,M$4*1&lt;=$E15),$F15/($E15-$D15+1),0)</f>
        <v/>
      </c>
      <c r="N15" s="34">
        <f>IF(AND(N$4*1&gt;=$D15,N$4*1&lt;=$E15),$F15/($E15-$D15+1),0)</f>
        <v/>
      </c>
      <c r="O15" s="34">
        <f>IF(AND(O$4*1&gt;=$D15,O$4*1&lt;=$E15),$F15/($E15-$D15+1),0)</f>
        <v/>
      </c>
      <c r="P15" s="34">
        <f>IF(AND(P$4*1&gt;=$D15,P$4*1&lt;=$E15),$F15/($E15-$D15+1),0)</f>
        <v/>
      </c>
      <c r="Q15" s="34">
        <f>IF(AND(Q$4*1&gt;=$D15,Q$4*1&lt;=$E15),$F15/($E15-$D15+1),0)</f>
        <v/>
      </c>
      <c r="R15" s="34">
        <f>IF(AND(R$4*1&gt;=$D15,R$4*1&lt;=$E15),$F15/($E15-$D15+1),0)</f>
        <v/>
      </c>
      <c r="S15" s="34">
        <f>IF(AND(S$4*1&gt;=$D15,S$4*1&lt;=$E15),$F15/($E15-$D15+1),0)</f>
        <v/>
      </c>
      <c r="T15" s="34">
        <f>IF(AND(T$4*1&gt;=$D15,T$4*1&lt;=$E15),$F15/($E15-$D15+1),0)</f>
        <v/>
      </c>
      <c r="U15" s="34">
        <f>IF(AND(U$4*1&gt;=$D15,U$4*1&lt;=$E15),$F15/($E15-$D15+1),0)</f>
        <v/>
      </c>
      <c r="V15" s="34">
        <f>IF(AND(V$4*1&gt;=$D15,V$4*1&lt;=$E15),$F15/($E15-$D15+1),0)</f>
        <v/>
      </c>
      <c r="W15" s="34">
        <f>IF(AND(W$4*1&gt;=$D15,W$4*1&lt;=$E15),$F15/($E15-$D15+1),0)</f>
        <v/>
      </c>
      <c r="X15" s="34">
        <f>IF(AND(X$4*1&gt;=$D15,X$4*1&lt;=$E15),$F15/($E15-$D15+1),0)</f>
        <v/>
      </c>
      <c r="Y15" s="34">
        <f>IF(AND(Y$4*1&gt;=$D15,Y$4*1&lt;=$E15),$F15/($E15-$D15+1),0)</f>
        <v/>
      </c>
      <c r="Z15" s="34">
        <f>IF(AND(Z$4*1&gt;=$D15,Z$4*1&lt;=$E15),$F15/($E15-$D15+1),0)</f>
        <v/>
      </c>
      <c r="AA15" s="34">
        <f>IF(AND(AA$4*1&gt;=$D15,AA$4*1&lt;=$E15),$F15/($E15-$D15+1),0)</f>
        <v/>
      </c>
      <c r="AB15" s="34">
        <f>IF(AND(AB$4*1&gt;=$D15,AB$4*1&lt;=$E15),$F15/($E15-$D15+1),0)</f>
        <v/>
      </c>
      <c r="AC15" s="34">
        <f>IF(AND(AC$4*1&gt;=$D15,AC$4*1&lt;=$E15),$F15/($E15-$D15+1),0)</f>
        <v/>
      </c>
      <c r="AD15" s="34">
        <f>IF(AND(AD$4*1&gt;=$D15,AD$4*1&lt;=$E15),$F15/($E15-$D15+1),0)</f>
        <v/>
      </c>
      <c r="AE15" s="34">
        <f>IF(AND(AE$4*1&gt;=$D15,AE$4*1&lt;=$E15),$F15/($E15-$D15+1),0)</f>
        <v/>
      </c>
      <c r="AF15" s="34">
        <f>IF(AND(AF$4*1&gt;=$D15,AF$4*1&lt;=$E15),$F15/($E15-$D15+1),0)</f>
        <v/>
      </c>
      <c r="AG15" s="34">
        <f>IF(AND(AG$4*1&gt;=$D15,AG$4*1&lt;=$E15),$F15/($E15-$D15+1),0)</f>
        <v/>
      </c>
      <c r="AH15" s="34">
        <f>IF(AND(AH$4*1&gt;=$D15,AH$4*1&lt;=$E15),$F15/($E15-$D15+1),0)</f>
        <v/>
      </c>
      <c r="AI15" s="34">
        <f>IF(AND(AI$4*1&gt;=$D15,AI$4*1&lt;=$E15),$F15/($E15-$D15+1),0)</f>
        <v/>
      </c>
      <c r="AJ15" s="34">
        <f>IF(AND(AJ$4*1&gt;=$D15,AJ$4*1&lt;=$E15),$F15/($E15-$D15+1),0)</f>
        <v/>
      </c>
      <c r="AK15" s="34">
        <f>IF(AND(AK$4*1&gt;=$D15,AK$4*1&lt;=$E15),$F15/($E15-$D15+1),0)</f>
        <v/>
      </c>
      <c r="AL15" s="34">
        <f>IF(AND(AL$4*1&gt;=$D15,AL$4*1&lt;=$E15),$F15/($E15-$D15+1),0)</f>
        <v/>
      </c>
      <c r="AM15" s="34">
        <f>IF(AND(AM$4*1&gt;=$D15,AM$4*1&lt;=$E15),$F15/($E15-$D15+1),0)</f>
        <v/>
      </c>
      <c r="AN15" s="34">
        <f>IF(AND(AN$4*1&gt;=$D15,AN$4*1&lt;=$E15),$F15/($E15-$D15+1),0)</f>
        <v/>
      </c>
      <c r="AO15" s="34">
        <f>IF(AND(AO$4*1&gt;=$D15,AO$4*1&lt;=$E15),$F15/($E15-$D15+1),0)</f>
        <v/>
      </c>
      <c r="AP15" s="34">
        <f>IF(AND(AP$4*1&gt;=$D15,AP$4*1&lt;=$E15),$F15/($E15-$D15+1),0)</f>
        <v/>
      </c>
      <c r="AQ15" s="34">
        <f>IF(AND(AQ$4*1&gt;=$D15,AQ$4*1&lt;=$E15),$F15/($E15-$D15+1),0)</f>
        <v/>
      </c>
      <c r="AR15" s="34">
        <f>IF(AND(AR$4*1&gt;=$D15,AR$4*1&lt;=$E15),$F15/($E15-$D15+1),0)</f>
        <v/>
      </c>
      <c r="AS15" s="34">
        <f>IF(AND(AS$4*1&gt;=$D15,AS$4*1&lt;=$E15),$F15/($E15-$D15+1),0)</f>
        <v/>
      </c>
      <c r="AT15" s="34">
        <f>IF(AND(AT$4*1&gt;=$D15,AT$4*1&lt;=$E15),$F15/($E15-$D15+1),0)</f>
        <v/>
      </c>
      <c r="AU15" s="34">
        <f>IF(AND(AU$4*1&gt;=$D15,AU$4*1&lt;=$E15),$F15/($E15-$D15+1),0)</f>
        <v/>
      </c>
      <c r="AV15" s="34">
        <f>IF(AND(AV$4*1&gt;=$D15,AV$4*1&lt;=$E15),$F15/($E15-$D15+1),0)</f>
        <v/>
      </c>
      <c r="AW15" s="34">
        <f>IF(AND(AW$4*1&gt;=$D15,AW$4*1&lt;=$E15),$F15/($E15-$D15+1),0)</f>
        <v/>
      </c>
      <c r="AX15" s="34">
        <f>IF(AND(AX$4*1&gt;=$D15,AX$4*1&lt;=$E15),$F15/($E15-$D15+1),0)</f>
        <v/>
      </c>
      <c r="AY15" s="34">
        <f>IF(AND(AY$4*1&gt;=$D15,AY$4*1&lt;=$E15),$F15/($E15-$D15+1),0)</f>
        <v/>
      </c>
      <c r="AZ15" s="34">
        <f>IF(AND(AZ$4*1&gt;=$D15,AZ$4*1&lt;=$E15),$F15/($E15-$D15+1),0)</f>
        <v/>
      </c>
      <c r="BA15" s="34">
        <f>IF(AND(BA$4*1&gt;=$D15,BA$4*1&lt;=$E15),$F15/($E15-$D15+1),0)</f>
        <v/>
      </c>
      <c r="BB15" s="34">
        <f>IF(AND(BB$4*1&gt;=$D15,BB$4*1&lt;=$E15),$F15/($E15-$D15+1),0)</f>
        <v/>
      </c>
      <c r="BC15" s="34">
        <f>IF(AND(BC$4*1&gt;=$D15,BC$4*1&lt;=$E15),$F15/($E15-$D15+1),0)</f>
        <v/>
      </c>
      <c r="BD15" s="34">
        <f>IF(AND(BD$4*1&gt;=$D15,BD$4*1&lt;=$E15),$F15/($E15-$D15+1),0)</f>
        <v/>
      </c>
      <c r="BE15" s="34">
        <f>IF(AND(BE$4*1&gt;=$D15,BE$4*1&lt;=$E15),$F15/($E15-$D15+1),0)</f>
        <v/>
      </c>
      <c r="BF15" s="34">
        <f>IF(AND(BF$4*1&gt;=$D15,BF$4*1&lt;=$E15),$F15/($E15-$D15+1),0)</f>
        <v/>
      </c>
      <c r="BG15" s="34">
        <f>IF(AND(BG$4*1&gt;=$D15,BG$4*1&lt;=$E15),$F15/($E15-$D15+1),0)</f>
        <v/>
      </c>
      <c r="BH15" s="34">
        <f>IF(AND(BH$4*1&gt;=$D15,BH$4*1&lt;=$E15),$F15/($E15-$D15+1),0)</f>
        <v/>
      </c>
      <c r="BI15" s="34">
        <f>IF(AND(BI$4*1&gt;=$D15,BI$4*1&lt;=$E15),$F15/($E15-$D15+1),0)</f>
        <v/>
      </c>
      <c r="BJ15" s="34">
        <f>IF(AND(BJ$4*1&gt;=$D15,BJ$4*1&lt;=$E15),$F15/($E15-$D15+1),0)</f>
        <v/>
      </c>
      <c r="BK15" s="34">
        <f>IF(AND(BK$4*1&gt;=$D15,BK$4*1&lt;=$E15),$F15/($E15-$D15+1),0)</f>
        <v/>
      </c>
      <c r="BL15" s="35">
        <f>SUM(H15:BK15)</f>
        <v/>
      </c>
    </row>
    <row r="16">
      <c r="A16" s="3" t="inlineStr">
        <is>
          <t>3.8.6</t>
        </is>
      </c>
      <c r="B16" s="4" t="inlineStr">
        <is>
          <t>Seguridad ofensiva E1 (tercero)</t>
        </is>
      </c>
      <c r="C16" s="14" t="inlineStr">
        <is>
          <t>SEG</t>
        </is>
      </c>
      <c r="D16" s="33" t="n">
        <v>9</v>
      </c>
      <c r="E16" s="33" t="n">
        <v>9</v>
      </c>
      <c r="F16" s="7" t="n">
        <v>160</v>
      </c>
      <c r="G16" s="4" t="inlineStr">
        <is>
          <t>Evaluación</t>
        </is>
      </c>
      <c r="H16" s="34">
        <f>IF(AND(H$4*1&gt;=$D16,H$4*1&lt;=$E16),$F16/($E16-$D16+1),0)</f>
        <v/>
      </c>
      <c r="I16" s="34">
        <f>IF(AND(I$4*1&gt;=$D16,I$4*1&lt;=$E16),$F16/($E16-$D16+1),0)</f>
        <v/>
      </c>
      <c r="J16" s="34">
        <f>IF(AND(J$4*1&gt;=$D16,J$4*1&lt;=$E16),$F16/($E16-$D16+1),0)</f>
        <v/>
      </c>
      <c r="K16" s="34">
        <f>IF(AND(K$4*1&gt;=$D16,K$4*1&lt;=$E16),$F16/($E16-$D16+1),0)</f>
        <v/>
      </c>
      <c r="L16" s="34">
        <f>IF(AND(L$4*1&gt;=$D16,L$4*1&lt;=$E16),$F16/($E16-$D16+1),0)</f>
        <v/>
      </c>
      <c r="M16" s="34">
        <f>IF(AND(M$4*1&gt;=$D16,M$4*1&lt;=$E16),$F16/($E16-$D16+1),0)</f>
        <v/>
      </c>
      <c r="N16" s="34">
        <f>IF(AND(N$4*1&gt;=$D16,N$4*1&lt;=$E16),$F16/($E16-$D16+1),0)</f>
        <v/>
      </c>
      <c r="O16" s="34">
        <f>IF(AND(O$4*1&gt;=$D16,O$4*1&lt;=$E16),$F16/($E16-$D16+1),0)</f>
        <v/>
      </c>
      <c r="P16" s="34">
        <f>IF(AND(P$4*1&gt;=$D16,P$4*1&lt;=$E16),$F16/($E16-$D16+1),0)</f>
        <v/>
      </c>
      <c r="Q16" s="34">
        <f>IF(AND(Q$4*1&gt;=$D16,Q$4*1&lt;=$E16),$F16/($E16-$D16+1),0)</f>
        <v/>
      </c>
      <c r="R16" s="34">
        <f>IF(AND(R$4*1&gt;=$D16,R$4*1&lt;=$E16),$F16/($E16-$D16+1),0)</f>
        <v/>
      </c>
      <c r="S16" s="34">
        <f>IF(AND(S$4*1&gt;=$D16,S$4*1&lt;=$E16),$F16/($E16-$D16+1),0)</f>
        <v/>
      </c>
      <c r="T16" s="34">
        <f>IF(AND(T$4*1&gt;=$D16,T$4*1&lt;=$E16),$F16/($E16-$D16+1),0)</f>
        <v/>
      </c>
      <c r="U16" s="34">
        <f>IF(AND(U$4*1&gt;=$D16,U$4*1&lt;=$E16),$F16/($E16-$D16+1),0)</f>
        <v/>
      </c>
      <c r="V16" s="34">
        <f>IF(AND(V$4*1&gt;=$D16,V$4*1&lt;=$E16),$F16/($E16-$D16+1),0)</f>
        <v/>
      </c>
      <c r="W16" s="34">
        <f>IF(AND(W$4*1&gt;=$D16,W$4*1&lt;=$E16),$F16/($E16-$D16+1),0)</f>
        <v/>
      </c>
      <c r="X16" s="34">
        <f>IF(AND(X$4*1&gt;=$D16,X$4*1&lt;=$E16),$F16/($E16-$D16+1),0)</f>
        <v/>
      </c>
      <c r="Y16" s="34">
        <f>IF(AND(Y$4*1&gt;=$D16,Y$4*1&lt;=$E16),$F16/($E16-$D16+1),0)</f>
        <v/>
      </c>
      <c r="Z16" s="34">
        <f>IF(AND(Z$4*1&gt;=$D16,Z$4*1&lt;=$E16),$F16/($E16-$D16+1),0)</f>
        <v/>
      </c>
      <c r="AA16" s="34">
        <f>IF(AND(AA$4*1&gt;=$D16,AA$4*1&lt;=$E16),$F16/($E16-$D16+1),0)</f>
        <v/>
      </c>
      <c r="AB16" s="34">
        <f>IF(AND(AB$4*1&gt;=$D16,AB$4*1&lt;=$E16),$F16/($E16-$D16+1),0)</f>
        <v/>
      </c>
      <c r="AC16" s="34">
        <f>IF(AND(AC$4*1&gt;=$D16,AC$4*1&lt;=$E16),$F16/($E16-$D16+1),0)</f>
        <v/>
      </c>
      <c r="AD16" s="34">
        <f>IF(AND(AD$4*1&gt;=$D16,AD$4*1&lt;=$E16),$F16/($E16-$D16+1),0)</f>
        <v/>
      </c>
      <c r="AE16" s="34">
        <f>IF(AND(AE$4*1&gt;=$D16,AE$4*1&lt;=$E16),$F16/($E16-$D16+1),0)</f>
        <v/>
      </c>
      <c r="AF16" s="34">
        <f>IF(AND(AF$4*1&gt;=$D16,AF$4*1&lt;=$E16),$F16/($E16-$D16+1),0)</f>
        <v/>
      </c>
      <c r="AG16" s="34">
        <f>IF(AND(AG$4*1&gt;=$D16,AG$4*1&lt;=$E16),$F16/($E16-$D16+1),0)</f>
        <v/>
      </c>
      <c r="AH16" s="34">
        <f>IF(AND(AH$4*1&gt;=$D16,AH$4*1&lt;=$E16),$F16/($E16-$D16+1),0)</f>
        <v/>
      </c>
      <c r="AI16" s="34">
        <f>IF(AND(AI$4*1&gt;=$D16,AI$4*1&lt;=$E16),$F16/($E16-$D16+1),0)</f>
        <v/>
      </c>
      <c r="AJ16" s="34">
        <f>IF(AND(AJ$4*1&gt;=$D16,AJ$4*1&lt;=$E16),$F16/($E16-$D16+1),0)</f>
        <v/>
      </c>
      <c r="AK16" s="34">
        <f>IF(AND(AK$4*1&gt;=$D16,AK$4*1&lt;=$E16),$F16/($E16-$D16+1),0)</f>
        <v/>
      </c>
      <c r="AL16" s="34">
        <f>IF(AND(AL$4*1&gt;=$D16,AL$4*1&lt;=$E16),$F16/($E16-$D16+1),0)</f>
        <v/>
      </c>
      <c r="AM16" s="34">
        <f>IF(AND(AM$4*1&gt;=$D16,AM$4*1&lt;=$E16),$F16/($E16-$D16+1),0)</f>
        <v/>
      </c>
      <c r="AN16" s="34">
        <f>IF(AND(AN$4*1&gt;=$D16,AN$4*1&lt;=$E16),$F16/($E16-$D16+1),0)</f>
        <v/>
      </c>
      <c r="AO16" s="34">
        <f>IF(AND(AO$4*1&gt;=$D16,AO$4*1&lt;=$E16),$F16/($E16-$D16+1),0)</f>
        <v/>
      </c>
      <c r="AP16" s="34">
        <f>IF(AND(AP$4*1&gt;=$D16,AP$4*1&lt;=$E16),$F16/($E16-$D16+1),0)</f>
        <v/>
      </c>
      <c r="AQ16" s="34">
        <f>IF(AND(AQ$4*1&gt;=$D16,AQ$4*1&lt;=$E16),$F16/($E16-$D16+1),0)</f>
        <v/>
      </c>
      <c r="AR16" s="34">
        <f>IF(AND(AR$4*1&gt;=$D16,AR$4*1&lt;=$E16),$F16/($E16-$D16+1),0)</f>
        <v/>
      </c>
      <c r="AS16" s="34">
        <f>IF(AND(AS$4*1&gt;=$D16,AS$4*1&lt;=$E16),$F16/($E16-$D16+1),0)</f>
        <v/>
      </c>
      <c r="AT16" s="34">
        <f>IF(AND(AT$4*1&gt;=$D16,AT$4*1&lt;=$E16),$F16/($E16-$D16+1),0)</f>
        <v/>
      </c>
      <c r="AU16" s="34">
        <f>IF(AND(AU$4*1&gt;=$D16,AU$4*1&lt;=$E16),$F16/($E16-$D16+1),0)</f>
        <v/>
      </c>
      <c r="AV16" s="34">
        <f>IF(AND(AV$4*1&gt;=$D16,AV$4*1&lt;=$E16),$F16/($E16-$D16+1),0)</f>
        <v/>
      </c>
      <c r="AW16" s="34">
        <f>IF(AND(AW$4*1&gt;=$D16,AW$4*1&lt;=$E16),$F16/($E16-$D16+1),0)</f>
        <v/>
      </c>
      <c r="AX16" s="34">
        <f>IF(AND(AX$4*1&gt;=$D16,AX$4*1&lt;=$E16),$F16/($E16-$D16+1),0)</f>
        <v/>
      </c>
      <c r="AY16" s="34">
        <f>IF(AND(AY$4*1&gt;=$D16,AY$4*1&lt;=$E16),$F16/($E16-$D16+1),0)</f>
        <v/>
      </c>
      <c r="AZ16" s="34">
        <f>IF(AND(AZ$4*1&gt;=$D16,AZ$4*1&lt;=$E16),$F16/($E16-$D16+1),0)</f>
        <v/>
      </c>
      <c r="BA16" s="34">
        <f>IF(AND(BA$4*1&gt;=$D16,BA$4*1&lt;=$E16),$F16/($E16-$D16+1),0)</f>
        <v/>
      </c>
      <c r="BB16" s="34">
        <f>IF(AND(BB$4*1&gt;=$D16,BB$4*1&lt;=$E16),$F16/($E16-$D16+1),0)</f>
        <v/>
      </c>
      <c r="BC16" s="34">
        <f>IF(AND(BC$4*1&gt;=$D16,BC$4*1&lt;=$E16),$F16/($E16-$D16+1),0)</f>
        <v/>
      </c>
      <c r="BD16" s="34">
        <f>IF(AND(BD$4*1&gt;=$D16,BD$4*1&lt;=$E16),$F16/($E16-$D16+1),0)</f>
        <v/>
      </c>
      <c r="BE16" s="34">
        <f>IF(AND(BE$4*1&gt;=$D16,BE$4*1&lt;=$E16),$F16/($E16-$D16+1),0)</f>
        <v/>
      </c>
      <c r="BF16" s="34">
        <f>IF(AND(BF$4*1&gt;=$D16,BF$4*1&lt;=$E16),$F16/($E16-$D16+1),0)</f>
        <v/>
      </c>
      <c r="BG16" s="34">
        <f>IF(AND(BG$4*1&gt;=$D16,BG$4*1&lt;=$E16),$F16/($E16-$D16+1),0)</f>
        <v/>
      </c>
      <c r="BH16" s="34">
        <f>IF(AND(BH$4*1&gt;=$D16,BH$4*1&lt;=$E16),$F16/($E16-$D16+1),0)</f>
        <v/>
      </c>
      <c r="BI16" s="34">
        <f>IF(AND(BI$4*1&gt;=$D16,BI$4*1&lt;=$E16),$F16/($E16-$D16+1),0)</f>
        <v/>
      </c>
      <c r="BJ16" s="34">
        <f>IF(AND(BJ$4*1&gt;=$D16,BJ$4*1&lt;=$E16),$F16/($E16-$D16+1),0)</f>
        <v/>
      </c>
      <c r="BK16" s="34">
        <f>IF(AND(BK$4*1&gt;=$D16,BK$4*1&lt;=$E16),$F16/($E16-$D16+1),0)</f>
        <v/>
      </c>
      <c r="BL16" s="35">
        <f>SUM(H16:BK16)</f>
        <v/>
      </c>
    </row>
    <row r="17">
      <c r="A17" s="3" t="inlineStr">
        <is>
          <t>3.8.7</t>
        </is>
      </c>
      <c r="B17" s="4" t="inlineStr">
        <is>
          <t>Acta de certificación E1 (H5)</t>
        </is>
      </c>
      <c r="C17" s="14" t="inlineStr">
        <is>
          <t>CAL</t>
        </is>
      </c>
      <c r="D17" s="33" t="n">
        <v>10</v>
      </c>
      <c r="E17" s="33" t="n">
        <v>10</v>
      </c>
      <c r="F17" s="7" t="n">
        <v>160</v>
      </c>
      <c r="G17" s="4" t="inlineStr">
        <is>
          <t>Evaluación</t>
        </is>
      </c>
      <c r="H17" s="34">
        <f>IF(AND(H$4*1&gt;=$D17,H$4*1&lt;=$E17),$F17/($E17-$D17+1),0)</f>
        <v/>
      </c>
      <c r="I17" s="34">
        <f>IF(AND(I$4*1&gt;=$D17,I$4*1&lt;=$E17),$F17/($E17-$D17+1),0)</f>
        <v/>
      </c>
      <c r="J17" s="34">
        <f>IF(AND(J$4*1&gt;=$D17,J$4*1&lt;=$E17),$F17/($E17-$D17+1),0)</f>
        <v/>
      </c>
      <c r="K17" s="34">
        <f>IF(AND(K$4*1&gt;=$D17,K$4*1&lt;=$E17),$F17/($E17-$D17+1),0)</f>
        <v/>
      </c>
      <c r="L17" s="34">
        <f>IF(AND(L$4*1&gt;=$D17,L$4*1&lt;=$E17),$F17/($E17-$D17+1),0)</f>
        <v/>
      </c>
      <c r="M17" s="34">
        <f>IF(AND(M$4*1&gt;=$D17,M$4*1&lt;=$E17),$F17/($E17-$D17+1),0)</f>
        <v/>
      </c>
      <c r="N17" s="34">
        <f>IF(AND(N$4*1&gt;=$D17,N$4*1&lt;=$E17),$F17/($E17-$D17+1),0)</f>
        <v/>
      </c>
      <c r="O17" s="34">
        <f>IF(AND(O$4*1&gt;=$D17,O$4*1&lt;=$E17),$F17/($E17-$D17+1),0)</f>
        <v/>
      </c>
      <c r="P17" s="34">
        <f>IF(AND(P$4*1&gt;=$D17,P$4*1&lt;=$E17),$F17/($E17-$D17+1),0)</f>
        <v/>
      </c>
      <c r="Q17" s="34">
        <f>IF(AND(Q$4*1&gt;=$D17,Q$4*1&lt;=$E17),$F17/($E17-$D17+1),0)</f>
        <v/>
      </c>
      <c r="R17" s="34">
        <f>IF(AND(R$4*1&gt;=$D17,R$4*1&lt;=$E17),$F17/($E17-$D17+1),0)</f>
        <v/>
      </c>
      <c r="S17" s="34">
        <f>IF(AND(S$4*1&gt;=$D17,S$4*1&lt;=$E17),$F17/($E17-$D17+1),0)</f>
        <v/>
      </c>
      <c r="T17" s="34">
        <f>IF(AND(T$4*1&gt;=$D17,T$4*1&lt;=$E17),$F17/($E17-$D17+1),0)</f>
        <v/>
      </c>
      <c r="U17" s="34">
        <f>IF(AND(U$4*1&gt;=$D17,U$4*1&lt;=$E17),$F17/($E17-$D17+1),0)</f>
        <v/>
      </c>
      <c r="V17" s="34">
        <f>IF(AND(V$4*1&gt;=$D17,V$4*1&lt;=$E17),$F17/($E17-$D17+1),0)</f>
        <v/>
      </c>
      <c r="W17" s="34">
        <f>IF(AND(W$4*1&gt;=$D17,W$4*1&lt;=$E17),$F17/($E17-$D17+1),0)</f>
        <v/>
      </c>
      <c r="X17" s="34">
        <f>IF(AND(X$4*1&gt;=$D17,X$4*1&lt;=$E17),$F17/($E17-$D17+1),0)</f>
        <v/>
      </c>
      <c r="Y17" s="34">
        <f>IF(AND(Y$4*1&gt;=$D17,Y$4*1&lt;=$E17),$F17/($E17-$D17+1),0)</f>
        <v/>
      </c>
      <c r="Z17" s="34">
        <f>IF(AND(Z$4*1&gt;=$D17,Z$4*1&lt;=$E17),$F17/($E17-$D17+1),0)</f>
        <v/>
      </c>
      <c r="AA17" s="34">
        <f>IF(AND(AA$4*1&gt;=$D17,AA$4*1&lt;=$E17),$F17/($E17-$D17+1),0)</f>
        <v/>
      </c>
      <c r="AB17" s="34">
        <f>IF(AND(AB$4*1&gt;=$D17,AB$4*1&lt;=$E17),$F17/($E17-$D17+1),0)</f>
        <v/>
      </c>
      <c r="AC17" s="34">
        <f>IF(AND(AC$4*1&gt;=$D17,AC$4*1&lt;=$E17),$F17/($E17-$D17+1),0)</f>
        <v/>
      </c>
      <c r="AD17" s="34">
        <f>IF(AND(AD$4*1&gt;=$D17,AD$4*1&lt;=$E17),$F17/($E17-$D17+1),0)</f>
        <v/>
      </c>
      <c r="AE17" s="34">
        <f>IF(AND(AE$4*1&gt;=$D17,AE$4*1&lt;=$E17),$F17/($E17-$D17+1),0)</f>
        <v/>
      </c>
      <c r="AF17" s="34">
        <f>IF(AND(AF$4*1&gt;=$D17,AF$4*1&lt;=$E17),$F17/($E17-$D17+1),0)</f>
        <v/>
      </c>
      <c r="AG17" s="34">
        <f>IF(AND(AG$4*1&gt;=$D17,AG$4*1&lt;=$E17),$F17/($E17-$D17+1),0)</f>
        <v/>
      </c>
      <c r="AH17" s="34">
        <f>IF(AND(AH$4*1&gt;=$D17,AH$4*1&lt;=$E17),$F17/($E17-$D17+1),0)</f>
        <v/>
      </c>
      <c r="AI17" s="34">
        <f>IF(AND(AI$4*1&gt;=$D17,AI$4*1&lt;=$E17),$F17/($E17-$D17+1),0)</f>
        <v/>
      </c>
      <c r="AJ17" s="34">
        <f>IF(AND(AJ$4*1&gt;=$D17,AJ$4*1&lt;=$E17),$F17/($E17-$D17+1),0)</f>
        <v/>
      </c>
      <c r="AK17" s="34">
        <f>IF(AND(AK$4*1&gt;=$D17,AK$4*1&lt;=$E17),$F17/($E17-$D17+1),0)</f>
        <v/>
      </c>
      <c r="AL17" s="34">
        <f>IF(AND(AL$4*1&gt;=$D17,AL$4*1&lt;=$E17),$F17/($E17-$D17+1),0)</f>
        <v/>
      </c>
      <c r="AM17" s="34">
        <f>IF(AND(AM$4*1&gt;=$D17,AM$4*1&lt;=$E17),$F17/($E17-$D17+1),0)</f>
        <v/>
      </c>
      <c r="AN17" s="34">
        <f>IF(AND(AN$4*1&gt;=$D17,AN$4*1&lt;=$E17),$F17/($E17-$D17+1),0)</f>
        <v/>
      </c>
      <c r="AO17" s="34">
        <f>IF(AND(AO$4*1&gt;=$D17,AO$4*1&lt;=$E17),$F17/($E17-$D17+1),0)</f>
        <v/>
      </c>
      <c r="AP17" s="34">
        <f>IF(AND(AP$4*1&gt;=$D17,AP$4*1&lt;=$E17),$F17/($E17-$D17+1),0)</f>
        <v/>
      </c>
      <c r="AQ17" s="34">
        <f>IF(AND(AQ$4*1&gt;=$D17,AQ$4*1&lt;=$E17),$F17/($E17-$D17+1),0)</f>
        <v/>
      </c>
      <c r="AR17" s="34">
        <f>IF(AND(AR$4*1&gt;=$D17,AR$4*1&lt;=$E17),$F17/($E17-$D17+1),0)</f>
        <v/>
      </c>
      <c r="AS17" s="34">
        <f>IF(AND(AS$4*1&gt;=$D17,AS$4*1&lt;=$E17),$F17/($E17-$D17+1),0)</f>
        <v/>
      </c>
      <c r="AT17" s="34">
        <f>IF(AND(AT$4*1&gt;=$D17,AT$4*1&lt;=$E17),$F17/($E17-$D17+1),0)</f>
        <v/>
      </c>
      <c r="AU17" s="34">
        <f>IF(AND(AU$4*1&gt;=$D17,AU$4*1&lt;=$E17),$F17/($E17-$D17+1),0)</f>
        <v/>
      </c>
      <c r="AV17" s="34">
        <f>IF(AND(AV$4*1&gt;=$D17,AV$4*1&lt;=$E17),$F17/($E17-$D17+1),0)</f>
        <v/>
      </c>
      <c r="AW17" s="34">
        <f>IF(AND(AW$4*1&gt;=$D17,AW$4*1&lt;=$E17),$F17/($E17-$D17+1),0)</f>
        <v/>
      </c>
      <c r="AX17" s="34">
        <f>IF(AND(AX$4*1&gt;=$D17,AX$4*1&lt;=$E17),$F17/($E17-$D17+1),0)</f>
        <v/>
      </c>
      <c r="AY17" s="34">
        <f>IF(AND(AY$4*1&gt;=$D17,AY$4*1&lt;=$E17),$F17/($E17-$D17+1),0)</f>
        <v/>
      </c>
      <c r="AZ17" s="34">
        <f>IF(AND(AZ$4*1&gt;=$D17,AZ$4*1&lt;=$E17),$F17/($E17-$D17+1),0)</f>
        <v/>
      </c>
      <c r="BA17" s="34">
        <f>IF(AND(BA$4*1&gt;=$D17,BA$4*1&lt;=$E17),$F17/($E17-$D17+1),0)</f>
        <v/>
      </c>
      <c r="BB17" s="34">
        <f>IF(AND(BB$4*1&gt;=$D17,BB$4*1&lt;=$E17),$F17/($E17-$D17+1),0)</f>
        <v/>
      </c>
      <c r="BC17" s="34">
        <f>IF(AND(BC$4*1&gt;=$D17,BC$4*1&lt;=$E17),$F17/($E17-$D17+1),0)</f>
        <v/>
      </c>
      <c r="BD17" s="34">
        <f>IF(AND(BD$4*1&gt;=$D17,BD$4*1&lt;=$E17),$F17/($E17-$D17+1),0)</f>
        <v/>
      </c>
      <c r="BE17" s="34">
        <f>IF(AND(BE$4*1&gt;=$D17,BE$4*1&lt;=$E17),$F17/($E17-$D17+1),0)</f>
        <v/>
      </c>
      <c r="BF17" s="34">
        <f>IF(AND(BF$4*1&gt;=$D17,BF$4*1&lt;=$E17),$F17/($E17-$D17+1),0)</f>
        <v/>
      </c>
      <c r="BG17" s="34">
        <f>IF(AND(BG$4*1&gt;=$D17,BG$4*1&lt;=$E17),$F17/($E17-$D17+1),0)</f>
        <v/>
      </c>
      <c r="BH17" s="34">
        <f>IF(AND(BH$4*1&gt;=$D17,BH$4*1&lt;=$E17),$F17/($E17-$D17+1),0)</f>
        <v/>
      </c>
      <c r="BI17" s="34">
        <f>IF(AND(BI$4*1&gt;=$D17,BI$4*1&lt;=$E17),$F17/($E17-$D17+1),0)</f>
        <v/>
      </c>
      <c r="BJ17" s="34">
        <f>IF(AND(BJ$4*1&gt;=$D17,BJ$4*1&lt;=$E17),$F17/($E17-$D17+1),0)</f>
        <v/>
      </c>
      <c r="BK17" s="34">
        <f>IF(AND(BK$4*1&gt;=$D17,BK$4*1&lt;=$E17),$F17/($E17-$D17+1),0)</f>
        <v/>
      </c>
      <c r="BL17" s="35">
        <f>SUM(H17:BK17)</f>
        <v/>
      </c>
    </row>
    <row r="18">
      <c r="A18" s="3" t="inlineStr">
        <is>
          <t>3.8.8</t>
        </is>
      </c>
      <c r="B18" s="4" t="inlineStr">
        <is>
          <t>Despliegue sin interrupción E1 en PREPROD</t>
        </is>
      </c>
      <c r="C18" s="14" t="inlineStr">
        <is>
          <t>SRE</t>
        </is>
      </c>
      <c r="D18" s="33" t="n">
        <v>9</v>
      </c>
      <c r="E18" s="33" t="n">
        <v>10</v>
      </c>
      <c r="F18" s="7" t="n">
        <v>320</v>
      </c>
      <c r="G18" s="4" t="inlineStr">
        <is>
          <t>Evaluación</t>
        </is>
      </c>
      <c r="H18" s="34">
        <f>IF(AND(H$4*1&gt;=$D18,H$4*1&lt;=$E18),$F18/($E18-$D18+1),0)</f>
        <v/>
      </c>
      <c r="I18" s="34">
        <f>IF(AND(I$4*1&gt;=$D18,I$4*1&lt;=$E18),$F18/($E18-$D18+1),0)</f>
        <v/>
      </c>
      <c r="J18" s="34">
        <f>IF(AND(J$4*1&gt;=$D18,J$4*1&lt;=$E18),$F18/($E18-$D18+1),0)</f>
        <v/>
      </c>
      <c r="K18" s="34">
        <f>IF(AND(K$4*1&gt;=$D18,K$4*1&lt;=$E18),$F18/($E18-$D18+1),0)</f>
        <v/>
      </c>
      <c r="L18" s="34">
        <f>IF(AND(L$4*1&gt;=$D18,L$4*1&lt;=$E18),$F18/($E18-$D18+1),0)</f>
        <v/>
      </c>
      <c r="M18" s="34">
        <f>IF(AND(M$4*1&gt;=$D18,M$4*1&lt;=$E18),$F18/($E18-$D18+1),0)</f>
        <v/>
      </c>
      <c r="N18" s="34">
        <f>IF(AND(N$4*1&gt;=$D18,N$4*1&lt;=$E18),$F18/($E18-$D18+1),0)</f>
        <v/>
      </c>
      <c r="O18" s="34">
        <f>IF(AND(O$4*1&gt;=$D18,O$4*1&lt;=$E18),$F18/($E18-$D18+1),0)</f>
        <v/>
      </c>
      <c r="P18" s="34">
        <f>IF(AND(P$4*1&gt;=$D18,P$4*1&lt;=$E18),$F18/($E18-$D18+1),0)</f>
        <v/>
      </c>
      <c r="Q18" s="34">
        <f>IF(AND(Q$4*1&gt;=$D18,Q$4*1&lt;=$E18),$F18/($E18-$D18+1),0)</f>
        <v/>
      </c>
      <c r="R18" s="34">
        <f>IF(AND(R$4*1&gt;=$D18,R$4*1&lt;=$E18),$F18/($E18-$D18+1),0)</f>
        <v/>
      </c>
      <c r="S18" s="34">
        <f>IF(AND(S$4*1&gt;=$D18,S$4*1&lt;=$E18),$F18/($E18-$D18+1),0)</f>
        <v/>
      </c>
      <c r="T18" s="34">
        <f>IF(AND(T$4*1&gt;=$D18,T$4*1&lt;=$E18),$F18/($E18-$D18+1),0)</f>
        <v/>
      </c>
      <c r="U18" s="34">
        <f>IF(AND(U$4*1&gt;=$D18,U$4*1&lt;=$E18),$F18/($E18-$D18+1),0)</f>
        <v/>
      </c>
      <c r="V18" s="34">
        <f>IF(AND(V$4*1&gt;=$D18,V$4*1&lt;=$E18),$F18/($E18-$D18+1),0)</f>
        <v/>
      </c>
      <c r="W18" s="34">
        <f>IF(AND(W$4*1&gt;=$D18,W$4*1&lt;=$E18),$F18/($E18-$D18+1),0)</f>
        <v/>
      </c>
      <c r="X18" s="34">
        <f>IF(AND(X$4*1&gt;=$D18,X$4*1&lt;=$E18),$F18/($E18-$D18+1),0)</f>
        <v/>
      </c>
      <c r="Y18" s="34">
        <f>IF(AND(Y$4*1&gt;=$D18,Y$4*1&lt;=$E18),$F18/($E18-$D18+1),0)</f>
        <v/>
      </c>
      <c r="Z18" s="34">
        <f>IF(AND(Z$4*1&gt;=$D18,Z$4*1&lt;=$E18),$F18/($E18-$D18+1),0)</f>
        <v/>
      </c>
      <c r="AA18" s="34">
        <f>IF(AND(AA$4*1&gt;=$D18,AA$4*1&lt;=$E18),$F18/($E18-$D18+1),0)</f>
        <v/>
      </c>
      <c r="AB18" s="34">
        <f>IF(AND(AB$4*1&gt;=$D18,AB$4*1&lt;=$E18),$F18/($E18-$D18+1),0)</f>
        <v/>
      </c>
      <c r="AC18" s="34">
        <f>IF(AND(AC$4*1&gt;=$D18,AC$4*1&lt;=$E18),$F18/($E18-$D18+1),0)</f>
        <v/>
      </c>
      <c r="AD18" s="34">
        <f>IF(AND(AD$4*1&gt;=$D18,AD$4*1&lt;=$E18),$F18/($E18-$D18+1),0)</f>
        <v/>
      </c>
      <c r="AE18" s="34">
        <f>IF(AND(AE$4*1&gt;=$D18,AE$4*1&lt;=$E18),$F18/($E18-$D18+1),0)</f>
        <v/>
      </c>
      <c r="AF18" s="34">
        <f>IF(AND(AF$4*1&gt;=$D18,AF$4*1&lt;=$E18),$F18/($E18-$D18+1),0)</f>
        <v/>
      </c>
      <c r="AG18" s="34">
        <f>IF(AND(AG$4*1&gt;=$D18,AG$4*1&lt;=$E18),$F18/($E18-$D18+1),0)</f>
        <v/>
      </c>
      <c r="AH18" s="34">
        <f>IF(AND(AH$4*1&gt;=$D18,AH$4*1&lt;=$E18),$F18/($E18-$D18+1),0)</f>
        <v/>
      </c>
      <c r="AI18" s="34">
        <f>IF(AND(AI$4*1&gt;=$D18,AI$4*1&lt;=$E18),$F18/($E18-$D18+1),0)</f>
        <v/>
      </c>
      <c r="AJ18" s="34">
        <f>IF(AND(AJ$4*1&gt;=$D18,AJ$4*1&lt;=$E18),$F18/($E18-$D18+1),0)</f>
        <v/>
      </c>
      <c r="AK18" s="34">
        <f>IF(AND(AK$4*1&gt;=$D18,AK$4*1&lt;=$E18),$F18/($E18-$D18+1),0)</f>
        <v/>
      </c>
      <c r="AL18" s="34">
        <f>IF(AND(AL$4*1&gt;=$D18,AL$4*1&lt;=$E18),$F18/($E18-$D18+1),0)</f>
        <v/>
      </c>
      <c r="AM18" s="34">
        <f>IF(AND(AM$4*1&gt;=$D18,AM$4*1&lt;=$E18),$F18/($E18-$D18+1),0)</f>
        <v/>
      </c>
      <c r="AN18" s="34">
        <f>IF(AND(AN$4*1&gt;=$D18,AN$4*1&lt;=$E18),$F18/($E18-$D18+1),0)</f>
        <v/>
      </c>
      <c r="AO18" s="34">
        <f>IF(AND(AO$4*1&gt;=$D18,AO$4*1&lt;=$E18),$F18/($E18-$D18+1),0)</f>
        <v/>
      </c>
      <c r="AP18" s="34">
        <f>IF(AND(AP$4*1&gt;=$D18,AP$4*1&lt;=$E18),$F18/($E18-$D18+1),0)</f>
        <v/>
      </c>
      <c r="AQ18" s="34">
        <f>IF(AND(AQ$4*1&gt;=$D18,AQ$4*1&lt;=$E18),$F18/($E18-$D18+1),0)</f>
        <v/>
      </c>
      <c r="AR18" s="34">
        <f>IF(AND(AR$4*1&gt;=$D18,AR$4*1&lt;=$E18),$F18/($E18-$D18+1),0)</f>
        <v/>
      </c>
      <c r="AS18" s="34">
        <f>IF(AND(AS$4*1&gt;=$D18,AS$4*1&lt;=$E18),$F18/($E18-$D18+1),0)</f>
        <v/>
      </c>
      <c r="AT18" s="34">
        <f>IF(AND(AT$4*1&gt;=$D18,AT$4*1&lt;=$E18),$F18/($E18-$D18+1),0)</f>
        <v/>
      </c>
      <c r="AU18" s="34">
        <f>IF(AND(AU$4*1&gt;=$D18,AU$4*1&lt;=$E18),$F18/($E18-$D18+1),0)</f>
        <v/>
      </c>
      <c r="AV18" s="34">
        <f>IF(AND(AV$4*1&gt;=$D18,AV$4*1&lt;=$E18),$F18/($E18-$D18+1),0)</f>
        <v/>
      </c>
      <c r="AW18" s="34">
        <f>IF(AND(AW$4*1&gt;=$D18,AW$4*1&lt;=$E18),$F18/($E18-$D18+1),0)</f>
        <v/>
      </c>
      <c r="AX18" s="34">
        <f>IF(AND(AX$4*1&gt;=$D18,AX$4*1&lt;=$E18),$F18/($E18-$D18+1),0)</f>
        <v/>
      </c>
      <c r="AY18" s="34">
        <f>IF(AND(AY$4*1&gt;=$D18,AY$4*1&lt;=$E18),$F18/($E18-$D18+1),0)</f>
        <v/>
      </c>
      <c r="AZ18" s="34">
        <f>IF(AND(AZ$4*1&gt;=$D18,AZ$4*1&lt;=$E18),$F18/($E18-$D18+1),0)</f>
        <v/>
      </c>
      <c r="BA18" s="34">
        <f>IF(AND(BA$4*1&gt;=$D18,BA$4*1&lt;=$E18),$F18/($E18-$D18+1),0)</f>
        <v/>
      </c>
      <c r="BB18" s="34">
        <f>IF(AND(BB$4*1&gt;=$D18,BB$4*1&lt;=$E18),$F18/($E18-$D18+1),0)</f>
        <v/>
      </c>
      <c r="BC18" s="34">
        <f>IF(AND(BC$4*1&gt;=$D18,BC$4*1&lt;=$E18),$F18/($E18-$D18+1),0)</f>
        <v/>
      </c>
      <c r="BD18" s="34">
        <f>IF(AND(BD$4*1&gt;=$D18,BD$4*1&lt;=$E18),$F18/($E18-$D18+1),0)</f>
        <v/>
      </c>
      <c r="BE18" s="34">
        <f>IF(AND(BE$4*1&gt;=$D18,BE$4*1&lt;=$E18),$F18/($E18-$D18+1),0)</f>
        <v/>
      </c>
      <c r="BF18" s="34">
        <f>IF(AND(BF$4*1&gt;=$D18,BF$4*1&lt;=$E18),$F18/($E18-$D18+1),0)</f>
        <v/>
      </c>
      <c r="BG18" s="34">
        <f>IF(AND(BG$4*1&gt;=$D18,BG$4*1&lt;=$E18),$F18/($E18-$D18+1),0)</f>
        <v/>
      </c>
      <c r="BH18" s="34">
        <f>IF(AND(BH$4*1&gt;=$D18,BH$4*1&lt;=$E18),$F18/($E18-$D18+1),0)</f>
        <v/>
      </c>
      <c r="BI18" s="34">
        <f>IF(AND(BI$4*1&gt;=$D18,BI$4*1&lt;=$E18),$F18/($E18-$D18+1),0)</f>
        <v/>
      </c>
      <c r="BJ18" s="34">
        <f>IF(AND(BJ$4*1&gt;=$D18,BJ$4*1&lt;=$E18),$F18/($E18-$D18+1),0)</f>
        <v/>
      </c>
      <c r="BK18" s="34">
        <f>IF(AND(BK$4*1&gt;=$D18,BK$4*1&lt;=$E18),$F18/($E18-$D18+1),0)</f>
        <v/>
      </c>
      <c r="BL18" s="35">
        <f>SUM(H18:BK18)</f>
        <v/>
      </c>
    </row>
    <row r="19">
      <c r="A19" s="3" t="inlineStr">
        <is>
          <t>3.9.1</t>
        </is>
      </c>
      <c r="B19" s="4" t="inlineStr">
        <is>
          <t>Integración y regresión E2 (H9)</t>
        </is>
      </c>
      <c r="C19" s="14" t="inlineStr">
        <is>
          <t>CAL</t>
        </is>
      </c>
      <c r="D19" s="33" t="n">
        <v>16</v>
      </c>
      <c r="E19" s="33" t="n">
        <v>16</v>
      </c>
      <c r="F19" s="7" t="n">
        <v>160</v>
      </c>
      <c r="G19" s="4" t="inlineStr">
        <is>
          <t>Evaluación</t>
        </is>
      </c>
      <c r="H19" s="34">
        <f>IF(AND(H$4*1&gt;=$D19,H$4*1&lt;=$E19),$F19/($E19-$D19+1),0)</f>
        <v/>
      </c>
      <c r="I19" s="34">
        <f>IF(AND(I$4*1&gt;=$D19,I$4*1&lt;=$E19),$F19/($E19-$D19+1),0)</f>
        <v/>
      </c>
      <c r="J19" s="34">
        <f>IF(AND(J$4*1&gt;=$D19,J$4*1&lt;=$E19),$F19/($E19-$D19+1),0)</f>
        <v/>
      </c>
      <c r="K19" s="34">
        <f>IF(AND(K$4*1&gt;=$D19,K$4*1&lt;=$E19),$F19/($E19-$D19+1),0)</f>
        <v/>
      </c>
      <c r="L19" s="34">
        <f>IF(AND(L$4*1&gt;=$D19,L$4*1&lt;=$E19),$F19/($E19-$D19+1),0)</f>
        <v/>
      </c>
      <c r="M19" s="34">
        <f>IF(AND(M$4*1&gt;=$D19,M$4*1&lt;=$E19),$F19/($E19-$D19+1),0)</f>
        <v/>
      </c>
      <c r="N19" s="34">
        <f>IF(AND(N$4*1&gt;=$D19,N$4*1&lt;=$E19),$F19/($E19-$D19+1),0)</f>
        <v/>
      </c>
      <c r="O19" s="34">
        <f>IF(AND(O$4*1&gt;=$D19,O$4*1&lt;=$E19),$F19/($E19-$D19+1),0)</f>
        <v/>
      </c>
      <c r="P19" s="34">
        <f>IF(AND(P$4*1&gt;=$D19,P$4*1&lt;=$E19),$F19/($E19-$D19+1),0)</f>
        <v/>
      </c>
      <c r="Q19" s="34">
        <f>IF(AND(Q$4*1&gt;=$D19,Q$4*1&lt;=$E19),$F19/($E19-$D19+1),0)</f>
        <v/>
      </c>
      <c r="R19" s="34">
        <f>IF(AND(R$4*1&gt;=$D19,R$4*1&lt;=$E19),$F19/($E19-$D19+1),0)</f>
        <v/>
      </c>
      <c r="S19" s="34">
        <f>IF(AND(S$4*1&gt;=$D19,S$4*1&lt;=$E19),$F19/($E19-$D19+1),0)</f>
        <v/>
      </c>
      <c r="T19" s="34">
        <f>IF(AND(T$4*1&gt;=$D19,T$4*1&lt;=$E19),$F19/($E19-$D19+1),0)</f>
        <v/>
      </c>
      <c r="U19" s="34">
        <f>IF(AND(U$4*1&gt;=$D19,U$4*1&lt;=$E19),$F19/($E19-$D19+1),0)</f>
        <v/>
      </c>
      <c r="V19" s="34">
        <f>IF(AND(V$4*1&gt;=$D19,V$4*1&lt;=$E19),$F19/($E19-$D19+1),0)</f>
        <v/>
      </c>
      <c r="W19" s="34">
        <f>IF(AND(W$4*1&gt;=$D19,W$4*1&lt;=$E19),$F19/($E19-$D19+1),0)</f>
        <v/>
      </c>
      <c r="X19" s="34">
        <f>IF(AND(X$4*1&gt;=$D19,X$4*1&lt;=$E19),$F19/($E19-$D19+1),0)</f>
        <v/>
      </c>
      <c r="Y19" s="34">
        <f>IF(AND(Y$4*1&gt;=$D19,Y$4*1&lt;=$E19),$F19/($E19-$D19+1),0)</f>
        <v/>
      </c>
      <c r="Z19" s="34">
        <f>IF(AND(Z$4*1&gt;=$D19,Z$4*1&lt;=$E19),$F19/($E19-$D19+1),0)</f>
        <v/>
      </c>
      <c r="AA19" s="34">
        <f>IF(AND(AA$4*1&gt;=$D19,AA$4*1&lt;=$E19),$F19/($E19-$D19+1),0)</f>
        <v/>
      </c>
      <c r="AB19" s="34">
        <f>IF(AND(AB$4*1&gt;=$D19,AB$4*1&lt;=$E19),$F19/($E19-$D19+1),0)</f>
        <v/>
      </c>
      <c r="AC19" s="34">
        <f>IF(AND(AC$4*1&gt;=$D19,AC$4*1&lt;=$E19),$F19/($E19-$D19+1),0)</f>
        <v/>
      </c>
      <c r="AD19" s="34">
        <f>IF(AND(AD$4*1&gt;=$D19,AD$4*1&lt;=$E19),$F19/($E19-$D19+1),0)</f>
        <v/>
      </c>
      <c r="AE19" s="34">
        <f>IF(AND(AE$4*1&gt;=$D19,AE$4*1&lt;=$E19),$F19/($E19-$D19+1),0)</f>
        <v/>
      </c>
      <c r="AF19" s="34">
        <f>IF(AND(AF$4*1&gt;=$D19,AF$4*1&lt;=$E19),$F19/($E19-$D19+1),0)</f>
        <v/>
      </c>
      <c r="AG19" s="34">
        <f>IF(AND(AG$4*1&gt;=$D19,AG$4*1&lt;=$E19),$F19/($E19-$D19+1),0)</f>
        <v/>
      </c>
      <c r="AH19" s="34">
        <f>IF(AND(AH$4*1&gt;=$D19,AH$4*1&lt;=$E19),$F19/($E19-$D19+1),0)</f>
        <v/>
      </c>
      <c r="AI19" s="34">
        <f>IF(AND(AI$4*1&gt;=$D19,AI$4*1&lt;=$E19),$F19/($E19-$D19+1),0)</f>
        <v/>
      </c>
      <c r="AJ19" s="34">
        <f>IF(AND(AJ$4*1&gt;=$D19,AJ$4*1&lt;=$E19),$F19/($E19-$D19+1),0)</f>
        <v/>
      </c>
      <c r="AK19" s="34">
        <f>IF(AND(AK$4*1&gt;=$D19,AK$4*1&lt;=$E19),$F19/($E19-$D19+1),0)</f>
        <v/>
      </c>
      <c r="AL19" s="34">
        <f>IF(AND(AL$4*1&gt;=$D19,AL$4*1&lt;=$E19),$F19/($E19-$D19+1),0)</f>
        <v/>
      </c>
      <c r="AM19" s="34">
        <f>IF(AND(AM$4*1&gt;=$D19,AM$4*1&lt;=$E19),$F19/($E19-$D19+1),0)</f>
        <v/>
      </c>
      <c r="AN19" s="34">
        <f>IF(AND(AN$4*1&gt;=$D19,AN$4*1&lt;=$E19),$F19/($E19-$D19+1),0)</f>
        <v/>
      </c>
      <c r="AO19" s="34">
        <f>IF(AND(AO$4*1&gt;=$D19,AO$4*1&lt;=$E19),$F19/($E19-$D19+1),0)</f>
        <v/>
      </c>
      <c r="AP19" s="34">
        <f>IF(AND(AP$4*1&gt;=$D19,AP$4*1&lt;=$E19),$F19/($E19-$D19+1),0)</f>
        <v/>
      </c>
      <c r="AQ19" s="34">
        <f>IF(AND(AQ$4*1&gt;=$D19,AQ$4*1&lt;=$E19),$F19/($E19-$D19+1),0)</f>
        <v/>
      </c>
      <c r="AR19" s="34">
        <f>IF(AND(AR$4*1&gt;=$D19,AR$4*1&lt;=$E19),$F19/($E19-$D19+1),0)</f>
        <v/>
      </c>
      <c r="AS19" s="34">
        <f>IF(AND(AS$4*1&gt;=$D19,AS$4*1&lt;=$E19),$F19/($E19-$D19+1),0)</f>
        <v/>
      </c>
      <c r="AT19" s="34">
        <f>IF(AND(AT$4*1&gt;=$D19,AT$4*1&lt;=$E19),$F19/($E19-$D19+1),0)</f>
        <v/>
      </c>
      <c r="AU19" s="34">
        <f>IF(AND(AU$4*1&gt;=$D19,AU$4*1&lt;=$E19),$F19/($E19-$D19+1),0)</f>
        <v/>
      </c>
      <c r="AV19" s="34">
        <f>IF(AND(AV$4*1&gt;=$D19,AV$4*1&lt;=$E19),$F19/($E19-$D19+1),0)</f>
        <v/>
      </c>
      <c r="AW19" s="34">
        <f>IF(AND(AW$4*1&gt;=$D19,AW$4*1&lt;=$E19),$F19/($E19-$D19+1),0)</f>
        <v/>
      </c>
      <c r="AX19" s="34">
        <f>IF(AND(AX$4*1&gt;=$D19,AX$4*1&lt;=$E19),$F19/($E19-$D19+1),0)</f>
        <v/>
      </c>
      <c r="AY19" s="34">
        <f>IF(AND(AY$4*1&gt;=$D19,AY$4*1&lt;=$E19),$F19/($E19-$D19+1),0)</f>
        <v/>
      </c>
      <c r="AZ19" s="34">
        <f>IF(AND(AZ$4*1&gt;=$D19,AZ$4*1&lt;=$E19),$F19/($E19-$D19+1),0)</f>
        <v/>
      </c>
      <c r="BA19" s="34">
        <f>IF(AND(BA$4*1&gt;=$D19,BA$4*1&lt;=$E19),$F19/($E19-$D19+1),0)</f>
        <v/>
      </c>
      <c r="BB19" s="34">
        <f>IF(AND(BB$4*1&gt;=$D19,BB$4*1&lt;=$E19),$F19/($E19-$D19+1),0)</f>
        <v/>
      </c>
      <c r="BC19" s="34">
        <f>IF(AND(BC$4*1&gt;=$D19,BC$4*1&lt;=$E19),$F19/($E19-$D19+1),0)</f>
        <v/>
      </c>
      <c r="BD19" s="34">
        <f>IF(AND(BD$4*1&gt;=$D19,BD$4*1&lt;=$E19),$F19/($E19-$D19+1),0)</f>
        <v/>
      </c>
      <c r="BE19" s="34">
        <f>IF(AND(BE$4*1&gt;=$D19,BE$4*1&lt;=$E19),$F19/($E19-$D19+1),0)</f>
        <v/>
      </c>
      <c r="BF19" s="34">
        <f>IF(AND(BF$4*1&gt;=$D19,BF$4*1&lt;=$E19),$F19/($E19-$D19+1),0)</f>
        <v/>
      </c>
      <c r="BG19" s="34">
        <f>IF(AND(BG$4*1&gt;=$D19,BG$4*1&lt;=$E19),$F19/($E19-$D19+1),0)</f>
        <v/>
      </c>
      <c r="BH19" s="34">
        <f>IF(AND(BH$4*1&gt;=$D19,BH$4*1&lt;=$E19),$F19/($E19-$D19+1),0)</f>
        <v/>
      </c>
      <c r="BI19" s="34">
        <f>IF(AND(BI$4*1&gt;=$D19,BI$4*1&lt;=$E19),$F19/($E19-$D19+1),0)</f>
        <v/>
      </c>
      <c r="BJ19" s="34">
        <f>IF(AND(BJ$4*1&gt;=$D19,BJ$4*1&lt;=$E19),$F19/($E19-$D19+1),0)</f>
        <v/>
      </c>
      <c r="BK19" s="34">
        <f>IF(AND(BK$4*1&gt;=$D19,BK$4*1&lt;=$E19),$F19/($E19-$D19+1),0)</f>
        <v/>
      </c>
      <c r="BL19" s="35">
        <f>SUM(H19:BK19)</f>
        <v/>
      </c>
    </row>
    <row r="20">
      <c r="A20" s="3" t="inlineStr">
        <is>
          <t>3.9.2</t>
        </is>
      </c>
      <c r="B20" s="4" t="inlineStr">
        <is>
          <t>Aceptación y accesibilidad E2</t>
        </is>
      </c>
      <c r="C20" s="14" t="inlineStr">
        <is>
          <t>CAL</t>
        </is>
      </c>
      <c r="D20" s="33" t="n">
        <v>16</v>
      </c>
      <c r="E20" s="33" t="n">
        <v>16</v>
      </c>
      <c r="F20" s="7" t="n">
        <v>320</v>
      </c>
      <c r="G20" s="4" t="inlineStr">
        <is>
          <t>Evaluación</t>
        </is>
      </c>
      <c r="H20" s="34">
        <f>IF(AND(H$4*1&gt;=$D20,H$4*1&lt;=$E20),$F20/($E20-$D20+1),0)</f>
        <v/>
      </c>
      <c r="I20" s="34">
        <f>IF(AND(I$4*1&gt;=$D20,I$4*1&lt;=$E20),$F20/($E20-$D20+1),0)</f>
        <v/>
      </c>
      <c r="J20" s="34">
        <f>IF(AND(J$4*1&gt;=$D20,J$4*1&lt;=$E20),$F20/($E20-$D20+1),0)</f>
        <v/>
      </c>
      <c r="K20" s="34">
        <f>IF(AND(K$4*1&gt;=$D20,K$4*1&lt;=$E20),$F20/($E20-$D20+1),0)</f>
        <v/>
      </c>
      <c r="L20" s="34">
        <f>IF(AND(L$4*1&gt;=$D20,L$4*1&lt;=$E20),$F20/($E20-$D20+1),0)</f>
        <v/>
      </c>
      <c r="M20" s="34">
        <f>IF(AND(M$4*1&gt;=$D20,M$4*1&lt;=$E20),$F20/($E20-$D20+1),0)</f>
        <v/>
      </c>
      <c r="N20" s="34">
        <f>IF(AND(N$4*1&gt;=$D20,N$4*1&lt;=$E20),$F20/($E20-$D20+1),0)</f>
        <v/>
      </c>
      <c r="O20" s="34">
        <f>IF(AND(O$4*1&gt;=$D20,O$4*1&lt;=$E20),$F20/($E20-$D20+1),0)</f>
        <v/>
      </c>
      <c r="P20" s="34">
        <f>IF(AND(P$4*1&gt;=$D20,P$4*1&lt;=$E20),$F20/($E20-$D20+1),0)</f>
        <v/>
      </c>
      <c r="Q20" s="34">
        <f>IF(AND(Q$4*1&gt;=$D20,Q$4*1&lt;=$E20),$F20/($E20-$D20+1),0)</f>
        <v/>
      </c>
      <c r="R20" s="34">
        <f>IF(AND(R$4*1&gt;=$D20,R$4*1&lt;=$E20),$F20/($E20-$D20+1),0)</f>
        <v/>
      </c>
      <c r="S20" s="34">
        <f>IF(AND(S$4*1&gt;=$D20,S$4*1&lt;=$E20),$F20/($E20-$D20+1),0)</f>
        <v/>
      </c>
      <c r="T20" s="34">
        <f>IF(AND(T$4*1&gt;=$D20,T$4*1&lt;=$E20),$F20/($E20-$D20+1),0)</f>
        <v/>
      </c>
      <c r="U20" s="34">
        <f>IF(AND(U$4*1&gt;=$D20,U$4*1&lt;=$E20),$F20/($E20-$D20+1),0)</f>
        <v/>
      </c>
      <c r="V20" s="34">
        <f>IF(AND(V$4*1&gt;=$D20,V$4*1&lt;=$E20),$F20/($E20-$D20+1),0)</f>
        <v/>
      </c>
      <c r="W20" s="34">
        <f>IF(AND(W$4*1&gt;=$D20,W$4*1&lt;=$E20),$F20/($E20-$D20+1),0)</f>
        <v/>
      </c>
      <c r="X20" s="34">
        <f>IF(AND(X$4*1&gt;=$D20,X$4*1&lt;=$E20),$F20/($E20-$D20+1),0)</f>
        <v/>
      </c>
      <c r="Y20" s="34">
        <f>IF(AND(Y$4*1&gt;=$D20,Y$4*1&lt;=$E20),$F20/($E20-$D20+1),0)</f>
        <v/>
      </c>
      <c r="Z20" s="34">
        <f>IF(AND(Z$4*1&gt;=$D20,Z$4*1&lt;=$E20),$F20/($E20-$D20+1),0)</f>
        <v/>
      </c>
      <c r="AA20" s="34">
        <f>IF(AND(AA$4*1&gt;=$D20,AA$4*1&lt;=$E20),$F20/($E20-$D20+1),0)</f>
        <v/>
      </c>
      <c r="AB20" s="34">
        <f>IF(AND(AB$4*1&gt;=$D20,AB$4*1&lt;=$E20),$F20/($E20-$D20+1),0)</f>
        <v/>
      </c>
      <c r="AC20" s="34">
        <f>IF(AND(AC$4*1&gt;=$D20,AC$4*1&lt;=$E20),$F20/($E20-$D20+1),0)</f>
        <v/>
      </c>
      <c r="AD20" s="34">
        <f>IF(AND(AD$4*1&gt;=$D20,AD$4*1&lt;=$E20),$F20/($E20-$D20+1),0)</f>
        <v/>
      </c>
      <c r="AE20" s="34">
        <f>IF(AND(AE$4*1&gt;=$D20,AE$4*1&lt;=$E20),$F20/($E20-$D20+1),0)</f>
        <v/>
      </c>
      <c r="AF20" s="34">
        <f>IF(AND(AF$4*1&gt;=$D20,AF$4*1&lt;=$E20),$F20/($E20-$D20+1),0)</f>
        <v/>
      </c>
      <c r="AG20" s="34">
        <f>IF(AND(AG$4*1&gt;=$D20,AG$4*1&lt;=$E20),$F20/($E20-$D20+1),0)</f>
        <v/>
      </c>
      <c r="AH20" s="34">
        <f>IF(AND(AH$4*1&gt;=$D20,AH$4*1&lt;=$E20),$F20/($E20-$D20+1),0)</f>
        <v/>
      </c>
      <c r="AI20" s="34">
        <f>IF(AND(AI$4*1&gt;=$D20,AI$4*1&lt;=$E20),$F20/($E20-$D20+1),0)</f>
        <v/>
      </c>
      <c r="AJ20" s="34">
        <f>IF(AND(AJ$4*1&gt;=$D20,AJ$4*1&lt;=$E20),$F20/($E20-$D20+1),0)</f>
        <v/>
      </c>
      <c r="AK20" s="34">
        <f>IF(AND(AK$4*1&gt;=$D20,AK$4*1&lt;=$E20),$F20/($E20-$D20+1),0)</f>
        <v/>
      </c>
      <c r="AL20" s="34">
        <f>IF(AND(AL$4*1&gt;=$D20,AL$4*1&lt;=$E20),$F20/($E20-$D20+1),0)</f>
        <v/>
      </c>
      <c r="AM20" s="34">
        <f>IF(AND(AM$4*1&gt;=$D20,AM$4*1&lt;=$E20),$F20/($E20-$D20+1),0)</f>
        <v/>
      </c>
      <c r="AN20" s="34">
        <f>IF(AND(AN$4*1&gt;=$D20,AN$4*1&lt;=$E20),$F20/($E20-$D20+1),0)</f>
        <v/>
      </c>
      <c r="AO20" s="34">
        <f>IF(AND(AO$4*1&gt;=$D20,AO$4*1&lt;=$E20),$F20/($E20-$D20+1),0)</f>
        <v/>
      </c>
      <c r="AP20" s="34">
        <f>IF(AND(AP$4*1&gt;=$D20,AP$4*1&lt;=$E20),$F20/($E20-$D20+1),0)</f>
        <v/>
      </c>
      <c r="AQ20" s="34">
        <f>IF(AND(AQ$4*1&gt;=$D20,AQ$4*1&lt;=$E20),$F20/($E20-$D20+1),0)</f>
        <v/>
      </c>
      <c r="AR20" s="34">
        <f>IF(AND(AR$4*1&gt;=$D20,AR$4*1&lt;=$E20),$F20/($E20-$D20+1),0)</f>
        <v/>
      </c>
      <c r="AS20" s="34">
        <f>IF(AND(AS$4*1&gt;=$D20,AS$4*1&lt;=$E20),$F20/($E20-$D20+1),0)</f>
        <v/>
      </c>
      <c r="AT20" s="34">
        <f>IF(AND(AT$4*1&gt;=$D20,AT$4*1&lt;=$E20),$F20/($E20-$D20+1),0)</f>
        <v/>
      </c>
      <c r="AU20" s="34">
        <f>IF(AND(AU$4*1&gt;=$D20,AU$4*1&lt;=$E20),$F20/($E20-$D20+1),0)</f>
        <v/>
      </c>
      <c r="AV20" s="34">
        <f>IF(AND(AV$4*1&gt;=$D20,AV$4*1&lt;=$E20),$F20/($E20-$D20+1),0)</f>
        <v/>
      </c>
      <c r="AW20" s="34">
        <f>IF(AND(AW$4*1&gt;=$D20,AW$4*1&lt;=$E20),$F20/($E20-$D20+1),0)</f>
        <v/>
      </c>
      <c r="AX20" s="34">
        <f>IF(AND(AX$4*1&gt;=$D20,AX$4*1&lt;=$E20),$F20/($E20-$D20+1),0)</f>
        <v/>
      </c>
      <c r="AY20" s="34">
        <f>IF(AND(AY$4*1&gt;=$D20,AY$4*1&lt;=$E20),$F20/($E20-$D20+1),0)</f>
        <v/>
      </c>
      <c r="AZ20" s="34">
        <f>IF(AND(AZ$4*1&gt;=$D20,AZ$4*1&lt;=$E20),$F20/($E20-$D20+1),0)</f>
        <v/>
      </c>
      <c r="BA20" s="34">
        <f>IF(AND(BA$4*1&gt;=$D20,BA$4*1&lt;=$E20),$F20/($E20-$D20+1),0)</f>
        <v/>
      </c>
      <c r="BB20" s="34">
        <f>IF(AND(BB$4*1&gt;=$D20,BB$4*1&lt;=$E20),$F20/($E20-$D20+1),0)</f>
        <v/>
      </c>
      <c r="BC20" s="34">
        <f>IF(AND(BC$4*1&gt;=$D20,BC$4*1&lt;=$E20),$F20/($E20-$D20+1),0)</f>
        <v/>
      </c>
      <c r="BD20" s="34">
        <f>IF(AND(BD$4*1&gt;=$D20,BD$4*1&lt;=$E20),$F20/($E20-$D20+1),0)</f>
        <v/>
      </c>
      <c r="BE20" s="34">
        <f>IF(AND(BE$4*1&gt;=$D20,BE$4*1&lt;=$E20),$F20/($E20-$D20+1),0)</f>
        <v/>
      </c>
      <c r="BF20" s="34">
        <f>IF(AND(BF$4*1&gt;=$D20,BF$4*1&lt;=$E20),$F20/($E20-$D20+1),0)</f>
        <v/>
      </c>
      <c r="BG20" s="34">
        <f>IF(AND(BG$4*1&gt;=$D20,BG$4*1&lt;=$E20),$F20/($E20-$D20+1),0)</f>
        <v/>
      </c>
      <c r="BH20" s="34">
        <f>IF(AND(BH$4*1&gt;=$D20,BH$4*1&lt;=$E20),$F20/($E20-$D20+1),0)</f>
        <v/>
      </c>
      <c r="BI20" s="34">
        <f>IF(AND(BI$4*1&gt;=$D20,BI$4*1&lt;=$E20),$F20/($E20-$D20+1),0)</f>
        <v/>
      </c>
      <c r="BJ20" s="34">
        <f>IF(AND(BJ$4*1&gt;=$D20,BJ$4*1&lt;=$E20),$F20/($E20-$D20+1),0)</f>
        <v/>
      </c>
      <c r="BK20" s="34">
        <f>IF(AND(BK$4*1&gt;=$D20,BK$4*1&lt;=$E20),$F20/($E20-$D20+1),0)</f>
        <v/>
      </c>
      <c r="BL20" s="35">
        <f>SUM(H20:BK20)</f>
        <v/>
      </c>
    </row>
    <row r="21">
      <c r="A21" s="3" t="inlineStr">
        <is>
          <t>3.9.3</t>
        </is>
      </c>
      <c r="B21" s="4" t="inlineStr">
        <is>
          <t>Carga con ambas etapas y resiliencia</t>
        </is>
      </c>
      <c r="C21" s="14" t="inlineStr">
        <is>
          <t>CAL</t>
        </is>
      </c>
      <c r="D21" s="33" t="n">
        <v>16</v>
      </c>
      <c r="E21" s="33" t="n">
        <v>16</v>
      </c>
      <c r="F21" s="7" t="n">
        <v>320</v>
      </c>
      <c r="G21" s="4" t="inlineStr">
        <is>
          <t>Evaluación</t>
        </is>
      </c>
      <c r="H21" s="34">
        <f>IF(AND(H$4*1&gt;=$D21,H$4*1&lt;=$E21),$F21/($E21-$D21+1),0)</f>
        <v/>
      </c>
      <c r="I21" s="34">
        <f>IF(AND(I$4*1&gt;=$D21,I$4*1&lt;=$E21),$F21/($E21-$D21+1),0)</f>
        <v/>
      </c>
      <c r="J21" s="34">
        <f>IF(AND(J$4*1&gt;=$D21,J$4*1&lt;=$E21),$F21/($E21-$D21+1),0)</f>
        <v/>
      </c>
      <c r="K21" s="34">
        <f>IF(AND(K$4*1&gt;=$D21,K$4*1&lt;=$E21),$F21/($E21-$D21+1),0)</f>
        <v/>
      </c>
      <c r="L21" s="34">
        <f>IF(AND(L$4*1&gt;=$D21,L$4*1&lt;=$E21),$F21/($E21-$D21+1),0)</f>
        <v/>
      </c>
      <c r="M21" s="34">
        <f>IF(AND(M$4*1&gt;=$D21,M$4*1&lt;=$E21),$F21/($E21-$D21+1),0)</f>
        <v/>
      </c>
      <c r="N21" s="34">
        <f>IF(AND(N$4*1&gt;=$D21,N$4*1&lt;=$E21),$F21/($E21-$D21+1),0)</f>
        <v/>
      </c>
      <c r="O21" s="34">
        <f>IF(AND(O$4*1&gt;=$D21,O$4*1&lt;=$E21),$F21/($E21-$D21+1),0)</f>
        <v/>
      </c>
      <c r="P21" s="34">
        <f>IF(AND(P$4*1&gt;=$D21,P$4*1&lt;=$E21),$F21/($E21-$D21+1),0)</f>
        <v/>
      </c>
      <c r="Q21" s="34">
        <f>IF(AND(Q$4*1&gt;=$D21,Q$4*1&lt;=$E21),$F21/($E21-$D21+1),0)</f>
        <v/>
      </c>
      <c r="R21" s="34">
        <f>IF(AND(R$4*1&gt;=$D21,R$4*1&lt;=$E21),$F21/($E21-$D21+1),0)</f>
        <v/>
      </c>
      <c r="S21" s="34">
        <f>IF(AND(S$4*1&gt;=$D21,S$4*1&lt;=$E21),$F21/($E21-$D21+1),0)</f>
        <v/>
      </c>
      <c r="T21" s="34">
        <f>IF(AND(T$4*1&gt;=$D21,T$4*1&lt;=$E21),$F21/($E21-$D21+1),0)</f>
        <v/>
      </c>
      <c r="U21" s="34">
        <f>IF(AND(U$4*1&gt;=$D21,U$4*1&lt;=$E21),$F21/($E21-$D21+1),0)</f>
        <v/>
      </c>
      <c r="V21" s="34">
        <f>IF(AND(V$4*1&gt;=$D21,V$4*1&lt;=$E21),$F21/($E21-$D21+1),0)</f>
        <v/>
      </c>
      <c r="W21" s="34">
        <f>IF(AND(W$4*1&gt;=$D21,W$4*1&lt;=$E21),$F21/($E21-$D21+1),0)</f>
        <v/>
      </c>
      <c r="X21" s="34">
        <f>IF(AND(X$4*1&gt;=$D21,X$4*1&lt;=$E21),$F21/($E21-$D21+1),0)</f>
        <v/>
      </c>
      <c r="Y21" s="34">
        <f>IF(AND(Y$4*1&gt;=$D21,Y$4*1&lt;=$E21),$F21/($E21-$D21+1),0)</f>
        <v/>
      </c>
      <c r="Z21" s="34">
        <f>IF(AND(Z$4*1&gt;=$D21,Z$4*1&lt;=$E21),$F21/($E21-$D21+1),0)</f>
        <v/>
      </c>
      <c r="AA21" s="34">
        <f>IF(AND(AA$4*1&gt;=$D21,AA$4*1&lt;=$E21),$F21/($E21-$D21+1),0)</f>
        <v/>
      </c>
      <c r="AB21" s="34">
        <f>IF(AND(AB$4*1&gt;=$D21,AB$4*1&lt;=$E21),$F21/($E21-$D21+1),0)</f>
        <v/>
      </c>
      <c r="AC21" s="34">
        <f>IF(AND(AC$4*1&gt;=$D21,AC$4*1&lt;=$E21),$F21/($E21-$D21+1),0)</f>
        <v/>
      </c>
      <c r="AD21" s="34">
        <f>IF(AND(AD$4*1&gt;=$D21,AD$4*1&lt;=$E21),$F21/($E21-$D21+1),0)</f>
        <v/>
      </c>
      <c r="AE21" s="34">
        <f>IF(AND(AE$4*1&gt;=$D21,AE$4*1&lt;=$E21),$F21/($E21-$D21+1),0)</f>
        <v/>
      </c>
      <c r="AF21" s="34">
        <f>IF(AND(AF$4*1&gt;=$D21,AF$4*1&lt;=$E21),$F21/($E21-$D21+1),0)</f>
        <v/>
      </c>
      <c r="AG21" s="34">
        <f>IF(AND(AG$4*1&gt;=$D21,AG$4*1&lt;=$E21),$F21/($E21-$D21+1),0)</f>
        <v/>
      </c>
      <c r="AH21" s="34">
        <f>IF(AND(AH$4*1&gt;=$D21,AH$4*1&lt;=$E21),$F21/($E21-$D21+1),0)</f>
        <v/>
      </c>
      <c r="AI21" s="34">
        <f>IF(AND(AI$4*1&gt;=$D21,AI$4*1&lt;=$E21),$F21/($E21-$D21+1),0)</f>
        <v/>
      </c>
      <c r="AJ21" s="34">
        <f>IF(AND(AJ$4*1&gt;=$D21,AJ$4*1&lt;=$E21),$F21/($E21-$D21+1),0)</f>
        <v/>
      </c>
      <c r="AK21" s="34">
        <f>IF(AND(AK$4*1&gt;=$D21,AK$4*1&lt;=$E21),$F21/($E21-$D21+1),0)</f>
        <v/>
      </c>
      <c r="AL21" s="34">
        <f>IF(AND(AL$4*1&gt;=$D21,AL$4*1&lt;=$E21),$F21/($E21-$D21+1),0)</f>
        <v/>
      </c>
      <c r="AM21" s="34">
        <f>IF(AND(AM$4*1&gt;=$D21,AM$4*1&lt;=$E21),$F21/($E21-$D21+1),0)</f>
        <v/>
      </c>
      <c r="AN21" s="34">
        <f>IF(AND(AN$4*1&gt;=$D21,AN$4*1&lt;=$E21),$F21/($E21-$D21+1),0)</f>
        <v/>
      </c>
      <c r="AO21" s="34">
        <f>IF(AND(AO$4*1&gt;=$D21,AO$4*1&lt;=$E21),$F21/($E21-$D21+1),0)</f>
        <v/>
      </c>
      <c r="AP21" s="34">
        <f>IF(AND(AP$4*1&gt;=$D21,AP$4*1&lt;=$E21),$F21/($E21-$D21+1),0)</f>
        <v/>
      </c>
      <c r="AQ21" s="34">
        <f>IF(AND(AQ$4*1&gt;=$D21,AQ$4*1&lt;=$E21),$F21/($E21-$D21+1),0)</f>
        <v/>
      </c>
      <c r="AR21" s="34">
        <f>IF(AND(AR$4*1&gt;=$D21,AR$4*1&lt;=$E21),$F21/($E21-$D21+1),0)</f>
        <v/>
      </c>
      <c r="AS21" s="34">
        <f>IF(AND(AS$4*1&gt;=$D21,AS$4*1&lt;=$E21),$F21/($E21-$D21+1),0)</f>
        <v/>
      </c>
      <c r="AT21" s="34">
        <f>IF(AND(AT$4*1&gt;=$D21,AT$4*1&lt;=$E21),$F21/($E21-$D21+1),0)</f>
        <v/>
      </c>
      <c r="AU21" s="34">
        <f>IF(AND(AU$4*1&gt;=$D21,AU$4*1&lt;=$E21),$F21/($E21-$D21+1),0)</f>
        <v/>
      </c>
      <c r="AV21" s="34">
        <f>IF(AND(AV$4*1&gt;=$D21,AV$4*1&lt;=$E21),$F21/($E21-$D21+1),0)</f>
        <v/>
      </c>
      <c r="AW21" s="34">
        <f>IF(AND(AW$4*1&gt;=$D21,AW$4*1&lt;=$E21),$F21/($E21-$D21+1),0)</f>
        <v/>
      </c>
      <c r="AX21" s="34">
        <f>IF(AND(AX$4*1&gt;=$D21,AX$4*1&lt;=$E21),$F21/($E21-$D21+1),0)</f>
        <v/>
      </c>
      <c r="AY21" s="34">
        <f>IF(AND(AY$4*1&gt;=$D21,AY$4*1&lt;=$E21),$F21/($E21-$D21+1),0)</f>
        <v/>
      </c>
      <c r="AZ21" s="34">
        <f>IF(AND(AZ$4*1&gt;=$D21,AZ$4*1&lt;=$E21),$F21/($E21-$D21+1),0)</f>
        <v/>
      </c>
      <c r="BA21" s="34">
        <f>IF(AND(BA$4*1&gt;=$D21,BA$4*1&lt;=$E21),$F21/($E21-$D21+1),0)</f>
        <v/>
      </c>
      <c r="BB21" s="34">
        <f>IF(AND(BB$4*1&gt;=$D21,BB$4*1&lt;=$E21),$F21/($E21-$D21+1),0)</f>
        <v/>
      </c>
      <c r="BC21" s="34">
        <f>IF(AND(BC$4*1&gt;=$D21,BC$4*1&lt;=$E21),$F21/($E21-$D21+1),0)</f>
        <v/>
      </c>
      <c r="BD21" s="34">
        <f>IF(AND(BD$4*1&gt;=$D21,BD$4*1&lt;=$E21),$F21/($E21-$D21+1),0)</f>
        <v/>
      </c>
      <c r="BE21" s="34">
        <f>IF(AND(BE$4*1&gt;=$D21,BE$4*1&lt;=$E21),$F21/($E21-$D21+1),0)</f>
        <v/>
      </c>
      <c r="BF21" s="34">
        <f>IF(AND(BF$4*1&gt;=$D21,BF$4*1&lt;=$E21),$F21/($E21-$D21+1),0)</f>
        <v/>
      </c>
      <c r="BG21" s="34">
        <f>IF(AND(BG$4*1&gt;=$D21,BG$4*1&lt;=$E21),$F21/($E21-$D21+1),0)</f>
        <v/>
      </c>
      <c r="BH21" s="34">
        <f>IF(AND(BH$4*1&gt;=$D21,BH$4*1&lt;=$E21),$F21/($E21-$D21+1),0)</f>
        <v/>
      </c>
      <c r="BI21" s="34">
        <f>IF(AND(BI$4*1&gt;=$D21,BI$4*1&lt;=$E21),$F21/($E21-$D21+1),0)</f>
        <v/>
      </c>
      <c r="BJ21" s="34">
        <f>IF(AND(BJ$4*1&gt;=$D21,BJ$4*1&lt;=$E21),$F21/($E21-$D21+1),0)</f>
        <v/>
      </c>
      <c r="BK21" s="34">
        <f>IF(AND(BK$4*1&gt;=$D21,BK$4*1&lt;=$E21),$F21/($E21-$D21+1),0)</f>
        <v/>
      </c>
      <c r="BL21" s="35">
        <f>SUM(H21:BK21)</f>
        <v/>
      </c>
    </row>
    <row r="22">
      <c r="A22" s="3" t="inlineStr">
        <is>
          <t>3.9.4</t>
        </is>
      </c>
      <c r="B22" s="4" t="inlineStr">
        <is>
          <t>Recuperación ante desastres E1+E2</t>
        </is>
      </c>
      <c r="C22" s="14" t="inlineStr">
        <is>
          <t>CAL</t>
        </is>
      </c>
      <c r="D22" s="33" t="n">
        <v>16</v>
      </c>
      <c r="E22" s="33" t="n">
        <v>16</v>
      </c>
      <c r="F22" s="7" t="n">
        <v>320</v>
      </c>
      <c r="G22" s="4" t="inlineStr">
        <is>
          <t>Evaluación</t>
        </is>
      </c>
      <c r="H22" s="34">
        <f>IF(AND(H$4*1&gt;=$D22,H$4*1&lt;=$E22),$F22/($E22-$D22+1),0)</f>
        <v/>
      </c>
      <c r="I22" s="34">
        <f>IF(AND(I$4*1&gt;=$D22,I$4*1&lt;=$E22),$F22/($E22-$D22+1),0)</f>
        <v/>
      </c>
      <c r="J22" s="34">
        <f>IF(AND(J$4*1&gt;=$D22,J$4*1&lt;=$E22),$F22/($E22-$D22+1),0)</f>
        <v/>
      </c>
      <c r="K22" s="34">
        <f>IF(AND(K$4*1&gt;=$D22,K$4*1&lt;=$E22),$F22/($E22-$D22+1),0)</f>
        <v/>
      </c>
      <c r="L22" s="34">
        <f>IF(AND(L$4*1&gt;=$D22,L$4*1&lt;=$E22),$F22/($E22-$D22+1),0)</f>
        <v/>
      </c>
      <c r="M22" s="34">
        <f>IF(AND(M$4*1&gt;=$D22,M$4*1&lt;=$E22),$F22/($E22-$D22+1),0)</f>
        <v/>
      </c>
      <c r="N22" s="34">
        <f>IF(AND(N$4*1&gt;=$D22,N$4*1&lt;=$E22),$F22/($E22-$D22+1),0)</f>
        <v/>
      </c>
      <c r="O22" s="34">
        <f>IF(AND(O$4*1&gt;=$D22,O$4*1&lt;=$E22),$F22/($E22-$D22+1),0)</f>
        <v/>
      </c>
      <c r="P22" s="34">
        <f>IF(AND(P$4*1&gt;=$D22,P$4*1&lt;=$E22),$F22/($E22-$D22+1),0)</f>
        <v/>
      </c>
      <c r="Q22" s="34">
        <f>IF(AND(Q$4*1&gt;=$D22,Q$4*1&lt;=$E22),$F22/($E22-$D22+1),0)</f>
        <v/>
      </c>
      <c r="R22" s="34">
        <f>IF(AND(R$4*1&gt;=$D22,R$4*1&lt;=$E22),$F22/($E22-$D22+1),0)</f>
        <v/>
      </c>
      <c r="S22" s="34">
        <f>IF(AND(S$4*1&gt;=$D22,S$4*1&lt;=$E22),$F22/($E22-$D22+1),0)</f>
        <v/>
      </c>
      <c r="T22" s="34">
        <f>IF(AND(T$4*1&gt;=$D22,T$4*1&lt;=$E22),$F22/($E22-$D22+1),0)</f>
        <v/>
      </c>
      <c r="U22" s="34">
        <f>IF(AND(U$4*1&gt;=$D22,U$4*1&lt;=$E22),$F22/($E22-$D22+1),0)</f>
        <v/>
      </c>
      <c r="V22" s="34">
        <f>IF(AND(V$4*1&gt;=$D22,V$4*1&lt;=$E22),$F22/($E22-$D22+1),0)</f>
        <v/>
      </c>
      <c r="W22" s="34">
        <f>IF(AND(W$4*1&gt;=$D22,W$4*1&lt;=$E22),$F22/($E22-$D22+1),0)</f>
        <v/>
      </c>
      <c r="X22" s="34">
        <f>IF(AND(X$4*1&gt;=$D22,X$4*1&lt;=$E22),$F22/($E22-$D22+1),0)</f>
        <v/>
      </c>
      <c r="Y22" s="34">
        <f>IF(AND(Y$4*1&gt;=$D22,Y$4*1&lt;=$E22),$F22/($E22-$D22+1),0)</f>
        <v/>
      </c>
      <c r="Z22" s="34">
        <f>IF(AND(Z$4*1&gt;=$D22,Z$4*1&lt;=$E22),$F22/($E22-$D22+1),0)</f>
        <v/>
      </c>
      <c r="AA22" s="34">
        <f>IF(AND(AA$4*1&gt;=$D22,AA$4*1&lt;=$E22),$F22/($E22-$D22+1),0)</f>
        <v/>
      </c>
      <c r="AB22" s="34">
        <f>IF(AND(AB$4*1&gt;=$D22,AB$4*1&lt;=$E22),$F22/($E22-$D22+1),0)</f>
        <v/>
      </c>
      <c r="AC22" s="34">
        <f>IF(AND(AC$4*1&gt;=$D22,AC$4*1&lt;=$E22),$F22/($E22-$D22+1),0)</f>
        <v/>
      </c>
      <c r="AD22" s="34">
        <f>IF(AND(AD$4*1&gt;=$D22,AD$4*1&lt;=$E22),$F22/($E22-$D22+1),0)</f>
        <v/>
      </c>
      <c r="AE22" s="34">
        <f>IF(AND(AE$4*1&gt;=$D22,AE$4*1&lt;=$E22),$F22/($E22-$D22+1),0)</f>
        <v/>
      </c>
      <c r="AF22" s="34">
        <f>IF(AND(AF$4*1&gt;=$D22,AF$4*1&lt;=$E22),$F22/($E22-$D22+1),0)</f>
        <v/>
      </c>
      <c r="AG22" s="34">
        <f>IF(AND(AG$4*1&gt;=$D22,AG$4*1&lt;=$E22),$F22/($E22-$D22+1),0)</f>
        <v/>
      </c>
      <c r="AH22" s="34">
        <f>IF(AND(AH$4*1&gt;=$D22,AH$4*1&lt;=$E22),$F22/($E22-$D22+1),0)</f>
        <v/>
      </c>
      <c r="AI22" s="34">
        <f>IF(AND(AI$4*1&gt;=$D22,AI$4*1&lt;=$E22),$F22/($E22-$D22+1),0)</f>
        <v/>
      </c>
      <c r="AJ22" s="34">
        <f>IF(AND(AJ$4*1&gt;=$D22,AJ$4*1&lt;=$E22),$F22/($E22-$D22+1),0)</f>
        <v/>
      </c>
      <c r="AK22" s="34">
        <f>IF(AND(AK$4*1&gt;=$D22,AK$4*1&lt;=$E22),$F22/($E22-$D22+1),0)</f>
        <v/>
      </c>
      <c r="AL22" s="34">
        <f>IF(AND(AL$4*1&gt;=$D22,AL$4*1&lt;=$E22),$F22/($E22-$D22+1),0)</f>
        <v/>
      </c>
      <c r="AM22" s="34">
        <f>IF(AND(AM$4*1&gt;=$D22,AM$4*1&lt;=$E22),$F22/($E22-$D22+1),0)</f>
        <v/>
      </c>
      <c r="AN22" s="34">
        <f>IF(AND(AN$4*1&gt;=$D22,AN$4*1&lt;=$E22),$F22/($E22-$D22+1),0)</f>
        <v/>
      </c>
      <c r="AO22" s="34">
        <f>IF(AND(AO$4*1&gt;=$D22,AO$4*1&lt;=$E22),$F22/($E22-$D22+1),0)</f>
        <v/>
      </c>
      <c r="AP22" s="34">
        <f>IF(AND(AP$4*1&gt;=$D22,AP$4*1&lt;=$E22),$F22/($E22-$D22+1),0)</f>
        <v/>
      </c>
      <c r="AQ22" s="34">
        <f>IF(AND(AQ$4*1&gt;=$D22,AQ$4*1&lt;=$E22),$F22/($E22-$D22+1),0)</f>
        <v/>
      </c>
      <c r="AR22" s="34">
        <f>IF(AND(AR$4*1&gt;=$D22,AR$4*1&lt;=$E22),$F22/($E22-$D22+1),0)</f>
        <v/>
      </c>
      <c r="AS22" s="34">
        <f>IF(AND(AS$4*1&gt;=$D22,AS$4*1&lt;=$E22),$F22/($E22-$D22+1),0)</f>
        <v/>
      </c>
      <c r="AT22" s="34">
        <f>IF(AND(AT$4*1&gt;=$D22,AT$4*1&lt;=$E22),$F22/($E22-$D22+1),0)</f>
        <v/>
      </c>
      <c r="AU22" s="34">
        <f>IF(AND(AU$4*1&gt;=$D22,AU$4*1&lt;=$E22),$F22/($E22-$D22+1),0)</f>
        <v/>
      </c>
      <c r="AV22" s="34">
        <f>IF(AND(AV$4*1&gt;=$D22,AV$4*1&lt;=$E22),$F22/($E22-$D22+1),0)</f>
        <v/>
      </c>
      <c r="AW22" s="34">
        <f>IF(AND(AW$4*1&gt;=$D22,AW$4*1&lt;=$E22),$F22/($E22-$D22+1),0)</f>
        <v/>
      </c>
      <c r="AX22" s="34">
        <f>IF(AND(AX$4*1&gt;=$D22,AX$4*1&lt;=$E22),$F22/($E22-$D22+1),0)</f>
        <v/>
      </c>
      <c r="AY22" s="34">
        <f>IF(AND(AY$4*1&gt;=$D22,AY$4*1&lt;=$E22),$F22/($E22-$D22+1),0)</f>
        <v/>
      </c>
      <c r="AZ22" s="34">
        <f>IF(AND(AZ$4*1&gt;=$D22,AZ$4*1&lt;=$E22),$F22/($E22-$D22+1),0)</f>
        <v/>
      </c>
      <c r="BA22" s="34">
        <f>IF(AND(BA$4*1&gt;=$D22,BA$4*1&lt;=$E22),$F22/($E22-$D22+1),0)</f>
        <v/>
      </c>
      <c r="BB22" s="34">
        <f>IF(AND(BB$4*1&gt;=$D22,BB$4*1&lt;=$E22),$F22/($E22-$D22+1),0)</f>
        <v/>
      </c>
      <c r="BC22" s="34">
        <f>IF(AND(BC$4*1&gt;=$D22,BC$4*1&lt;=$E22),$F22/($E22-$D22+1),0)</f>
        <v/>
      </c>
      <c r="BD22" s="34">
        <f>IF(AND(BD$4*1&gt;=$D22,BD$4*1&lt;=$E22),$F22/($E22-$D22+1),0)</f>
        <v/>
      </c>
      <c r="BE22" s="34">
        <f>IF(AND(BE$4*1&gt;=$D22,BE$4*1&lt;=$E22),$F22/($E22-$D22+1),0)</f>
        <v/>
      </c>
      <c r="BF22" s="34">
        <f>IF(AND(BF$4*1&gt;=$D22,BF$4*1&lt;=$E22),$F22/($E22-$D22+1),0)</f>
        <v/>
      </c>
      <c r="BG22" s="34">
        <f>IF(AND(BG$4*1&gt;=$D22,BG$4*1&lt;=$E22),$F22/($E22-$D22+1),0)</f>
        <v/>
      </c>
      <c r="BH22" s="34">
        <f>IF(AND(BH$4*1&gt;=$D22,BH$4*1&lt;=$E22),$F22/($E22-$D22+1),0)</f>
        <v/>
      </c>
      <c r="BI22" s="34">
        <f>IF(AND(BI$4*1&gt;=$D22,BI$4*1&lt;=$E22),$F22/($E22-$D22+1),0)</f>
        <v/>
      </c>
      <c r="BJ22" s="34">
        <f>IF(AND(BJ$4*1&gt;=$D22,BJ$4*1&lt;=$E22),$F22/($E22-$D22+1),0)</f>
        <v/>
      </c>
      <c r="BK22" s="34">
        <f>IF(AND(BK$4*1&gt;=$D22,BK$4*1&lt;=$E22),$F22/($E22-$D22+1),0)</f>
        <v/>
      </c>
      <c r="BL22" s="35">
        <f>SUM(H22:BK22)</f>
        <v/>
      </c>
    </row>
    <row r="23">
      <c r="A23" s="3" t="inlineStr">
        <is>
          <t>3.9.5</t>
        </is>
      </c>
      <c r="B23" s="4" t="inlineStr">
        <is>
          <t>Seguridad ofensiva E2 (tercero)</t>
        </is>
      </c>
      <c r="C23" s="14" t="inlineStr">
        <is>
          <t>SEG</t>
        </is>
      </c>
      <c r="D23" s="33" t="n">
        <v>16</v>
      </c>
      <c r="E23" s="33" t="n">
        <v>16</v>
      </c>
      <c r="F23" s="7" t="n">
        <v>320</v>
      </c>
      <c r="G23" s="4" t="inlineStr">
        <is>
          <t>Evaluación</t>
        </is>
      </c>
      <c r="H23" s="34">
        <f>IF(AND(H$4*1&gt;=$D23,H$4*1&lt;=$E23),$F23/($E23-$D23+1),0)</f>
        <v/>
      </c>
      <c r="I23" s="34">
        <f>IF(AND(I$4*1&gt;=$D23,I$4*1&lt;=$E23),$F23/($E23-$D23+1),0)</f>
        <v/>
      </c>
      <c r="J23" s="34">
        <f>IF(AND(J$4*1&gt;=$D23,J$4*1&lt;=$E23),$F23/($E23-$D23+1),0)</f>
        <v/>
      </c>
      <c r="K23" s="34">
        <f>IF(AND(K$4*1&gt;=$D23,K$4*1&lt;=$E23),$F23/($E23-$D23+1),0)</f>
        <v/>
      </c>
      <c r="L23" s="34">
        <f>IF(AND(L$4*1&gt;=$D23,L$4*1&lt;=$E23),$F23/($E23-$D23+1),0)</f>
        <v/>
      </c>
      <c r="M23" s="34">
        <f>IF(AND(M$4*1&gt;=$D23,M$4*1&lt;=$E23),$F23/($E23-$D23+1),0)</f>
        <v/>
      </c>
      <c r="N23" s="34">
        <f>IF(AND(N$4*1&gt;=$D23,N$4*1&lt;=$E23),$F23/($E23-$D23+1),0)</f>
        <v/>
      </c>
      <c r="O23" s="34">
        <f>IF(AND(O$4*1&gt;=$D23,O$4*1&lt;=$E23),$F23/($E23-$D23+1),0)</f>
        <v/>
      </c>
      <c r="P23" s="34">
        <f>IF(AND(P$4*1&gt;=$D23,P$4*1&lt;=$E23),$F23/($E23-$D23+1),0)</f>
        <v/>
      </c>
      <c r="Q23" s="34">
        <f>IF(AND(Q$4*1&gt;=$D23,Q$4*1&lt;=$E23),$F23/($E23-$D23+1),0)</f>
        <v/>
      </c>
      <c r="R23" s="34">
        <f>IF(AND(R$4*1&gt;=$D23,R$4*1&lt;=$E23),$F23/($E23-$D23+1),0)</f>
        <v/>
      </c>
      <c r="S23" s="34">
        <f>IF(AND(S$4*1&gt;=$D23,S$4*1&lt;=$E23),$F23/($E23-$D23+1),0)</f>
        <v/>
      </c>
      <c r="T23" s="34">
        <f>IF(AND(T$4*1&gt;=$D23,T$4*1&lt;=$E23),$F23/($E23-$D23+1),0)</f>
        <v/>
      </c>
      <c r="U23" s="34">
        <f>IF(AND(U$4*1&gt;=$D23,U$4*1&lt;=$E23),$F23/($E23-$D23+1),0)</f>
        <v/>
      </c>
      <c r="V23" s="34">
        <f>IF(AND(V$4*1&gt;=$D23,V$4*1&lt;=$E23),$F23/($E23-$D23+1),0)</f>
        <v/>
      </c>
      <c r="W23" s="34">
        <f>IF(AND(W$4*1&gt;=$D23,W$4*1&lt;=$E23),$F23/($E23-$D23+1),0)</f>
        <v/>
      </c>
      <c r="X23" s="34">
        <f>IF(AND(X$4*1&gt;=$D23,X$4*1&lt;=$E23),$F23/($E23-$D23+1),0)</f>
        <v/>
      </c>
      <c r="Y23" s="34">
        <f>IF(AND(Y$4*1&gt;=$D23,Y$4*1&lt;=$E23),$F23/($E23-$D23+1),0)</f>
        <v/>
      </c>
      <c r="Z23" s="34">
        <f>IF(AND(Z$4*1&gt;=$D23,Z$4*1&lt;=$E23),$F23/($E23-$D23+1),0)</f>
        <v/>
      </c>
      <c r="AA23" s="34">
        <f>IF(AND(AA$4*1&gt;=$D23,AA$4*1&lt;=$E23),$F23/($E23-$D23+1),0)</f>
        <v/>
      </c>
      <c r="AB23" s="34">
        <f>IF(AND(AB$4*1&gt;=$D23,AB$4*1&lt;=$E23),$F23/($E23-$D23+1),0)</f>
        <v/>
      </c>
      <c r="AC23" s="34">
        <f>IF(AND(AC$4*1&gt;=$D23,AC$4*1&lt;=$E23),$F23/($E23-$D23+1),0)</f>
        <v/>
      </c>
      <c r="AD23" s="34">
        <f>IF(AND(AD$4*1&gt;=$D23,AD$4*1&lt;=$E23),$F23/($E23-$D23+1),0)</f>
        <v/>
      </c>
      <c r="AE23" s="34">
        <f>IF(AND(AE$4*1&gt;=$D23,AE$4*1&lt;=$E23),$F23/($E23-$D23+1),0)</f>
        <v/>
      </c>
      <c r="AF23" s="34">
        <f>IF(AND(AF$4*1&gt;=$D23,AF$4*1&lt;=$E23),$F23/($E23-$D23+1),0)</f>
        <v/>
      </c>
      <c r="AG23" s="34">
        <f>IF(AND(AG$4*1&gt;=$D23,AG$4*1&lt;=$E23),$F23/($E23-$D23+1),0)</f>
        <v/>
      </c>
      <c r="AH23" s="34">
        <f>IF(AND(AH$4*1&gt;=$D23,AH$4*1&lt;=$E23),$F23/($E23-$D23+1),0)</f>
        <v/>
      </c>
      <c r="AI23" s="34">
        <f>IF(AND(AI$4*1&gt;=$D23,AI$4*1&lt;=$E23),$F23/($E23-$D23+1),0)</f>
        <v/>
      </c>
      <c r="AJ23" s="34">
        <f>IF(AND(AJ$4*1&gt;=$D23,AJ$4*1&lt;=$E23),$F23/($E23-$D23+1),0)</f>
        <v/>
      </c>
      <c r="AK23" s="34">
        <f>IF(AND(AK$4*1&gt;=$D23,AK$4*1&lt;=$E23),$F23/($E23-$D23+1),0)</f>
        <v/>
      </c>
      <c r="AL23" s="34">
        <f>IF(AND(AL$4*1&gt;=$D23,AL$4*1&lt;=$E23),$F23/($E23-$D23+1),0)</f>
        <v/>
      </c>
      <c r="AM23" s="34">
        <f>IF(AND(AM$4*1&gt;=$D23,AM$4*1&lt;=$E23),$F23/($E23-$D23+1),0)</f>
        <v/>
      </c>
      <c r="AN23" s="34">
        <f>IF(AND(AN$4*1&gt;=$D23,AN$4*1&lt;=$E23),$F23/($E23-$D23+1),0)</f>
        <v/>
      </c>
      <c r="AO23" s="34">
        <f>IF(AND(AO$4*1&gt;=$D23,AO$4*1&lt;=$E23),$F23/($E23-$D23+1),0)</f>
        <v/>
      </c>
      <c r="AP23" s="34">
        <f>IF(AND(AP$4*1&gt;=$D23,AP$4*1&lt;=$E23),$F23/($E23-$D23+1),0)</f>
        <v/>
      </c>
      <c r="AQ23" s="34">
        <f>IF(AND(AQ$4*1&gt;=$D23,AQ$4*1&lt;=$E23),$F23/($E23-$D23+1),0)</f>
        <v/>
      </c>
      <c r="AR23" s="34">
        <f>IF(AND(AR$4*1&gt;=$D23,AR$4*1&lt;=$E23),$F23/($E23-$D23+1),0)</f>
        <v/>
      </c>
      <c r="AS23" s="34">
        <f>IF(AND(AS$4*1&gt;=$D23,AS$4*1&lt;=$E23),$F23/($E23-$D23+1),0)</f>
        <v/>
      </c>
      <c r="AT23" s="34">
        <f>IF(AND(AT$4*1&gt;=$D23,AT$4*1&lt;=$E23),$F23/($E23-$D23+1),0)</f>
        <v/>
      </c>
      <c r="AU23" s="34">
        <f>IF(AND(AU$4*1&gt;=$D23,AU$4*1&lt;=$E23),$F23/($E23-$D23+1),0)</f>
        <v/>
      </c>
      <c r="AV23" s="34">
        <f>IF(AND(AV$4*1&gt;=$D23,AV$4*1&lt;=$E23),$F23/($E23-$D23+1),0)</f>
        <v/>
      </c>
      <c r="AW23" s="34">
        <f>IF(AND(AW$4*1&gt;=$D23,AW$4*1&lt;=$E23),$F23/($E23-$D23+1),0)</f>
        <v/>
      </c>
      <c r="AX23" s="34">
        <f>IF(AND(AX$4*1&gt;=$D23,AX$4*1&lt;=$E23),$F23/($E23-$D23+1),0)</f>
        <v/>
      </c>
      <c r="AY23" s="34">
        <f>IF(AND(AY$4*1&gt;=$D23,AY$4*1&lt;=$E23),$F23/($E23-$D23+1),0)</f>
        <v/>
      </c>
      <c r="AZ23" s="34">
        <f>IF(AND(AZ$4*1&gt;=$D23,AZ$4*1&lt;=$E23),$F23/($E23-$D23+1),0)</f>
        <v/>
      </c>
      <c r="BA23" s="34">
        <f>IF(AND(BA$4*1&gt;=$D23,BA$4*1&lt;=$E23),$F23/($E23-$D23+1),0)</f>
        <v/>
      </c>
      <c r="BB23" s="34">
        <f>IF(AND(BB$4*1&gt;=$D23,BB$4*1&lt;=$E23),$F23/($E23-$D23+1),0)</f>
        <v/>
      </c>
      <c r="BC23" s="34">
        <f>IF(AND(BC$4*1&gt;=$D23,BC$4*1&lt;=$E23),$F23/($E23-$D23+1),0)</f>
        <v/>
      </c>
      <c r="BD23" s="34">
        <f>IF(AND(BD$4*1&gt;=$D23,BD$4*1&lt;=$E23),$F23/($E23-$D23+1),0)</f>
        <v/>
      </c>
      <c r="BE23" s="34">
        <f>IF(AND(BE$4*1&gt;=$D23,BE$4*1&lt;=$E23),$F23/($E23-$D23+1),0)</f>
        <v/>
      </c>
      <c r="BF23" s="34">
        <f>IF(AND(BF$4*1&gt;=$D23,BF$4*1&lt;=$E23),$F23/($E23-$D23+1),0)</f>
        <v/>
      </c>
      <c r="BG23" s="34">
        <f>IF(AND(BG$4*1&gt;=$D23,BG$4*1&lt;=$E23),$F23/($E23-$D23+1),0)</f>
        <v/>
      </c>
      <c r="BH23" s="34">
        <f>IF(AND(BH$4*1&gt;=$D23,BH$4*1&lt;=$E23),$F23/($E23-$D23+1),0)</f>
        <v/>
      </c>
      <c r="BI23" s="34">
        <f>IF(AND(BI$4*1&gt;=$D23,BI$4*1&lt;=$E23),$F23/($E23-$D23+1),0)</f>
        <v/>
      </c>
      <c r="BJ23" s="34">
        <f>IF(AND(BJ$4*1&gt;=$D23,BJ$4*1&lt;=$E23),$F23/($E23-$D23+1),0)</f>
        <v/>
      </c>
      <c r="BK23" s="34">
        <f>IF(AND(BK$4*1&gt;=$D23,BK$4*1&lt;=$E23),$F23/($E23-$D23+1),0)</f>
        <v/>
      </c>
      <c r="BL23" s="35">
        <f>SUM(H23:BK23)</f>
        <v/>
      </c>
    </row>
    <row r="24">
      <c r="A24" s="3" t="inlineStr">
        <is>
          <t>3.9.6</t>
        </is>
      </c>
      <c r="B24" s="4" t="inlineStr">
        <is>
          <t>Acta de certificación E2 (H10)</t>
        </is>
      </c>
      <c r="C24" s="14" t="inlineStr">
        <is>
          <t>CAL</t>
        </is>
      </c>
      <c r="D24" s="33" t="n">
        <v>16</v>
      </c>
      <c r="E24" s="33" t="n">
        <v>17</v>
      </c>
      <c r="F24" s="7" t="n">
        <v>160</v>
      </c>
      <c r="G24" s="4" t="inlineStr">
        <is>
          <t>Evaluación</t>
        </is>
      </c>
      <c r="H24" s="34">
        <f>IF(AND(H$4*1&gt;=$D24,H$4*1&lt;=$E24),$F24/($E24-$D24+1),0)</f>
        <v/>
      </c>
      <c r="I24" s="34">
        <f>IF(AND(I$4*1&gt;=$D24,I$4*1&lt;=$E24),$F24/($E24-$D24+1),0)</f>
        <v/>
      </c>
      <c r="J24" s="34">
        <f>IF(AND(J$4*1&gt;=$D24,J$4*1&lt;=$E24),$F24/($E24-$D24+1),0)</f>
        <v/>
      </c>
      <c r="K24" s="34">
        <f>IF(AND(K$4*1&gt;=$D24,K$4*1&lt;=$E24),$F24/($E24-$D24+1),0)</f>
        <v/>
      </c>
      <c r="L24" s="34">
        <f>IF(AND(L$4*1&gt;=$D24,L$4*1&lt;=$E24),$F24/($E24-$D24+1),0)</f>
        <v/>
      </c>
      <c r="M24" s="34">
        <f>IF(AND(M$4*1&gt;=$D24,M$4*1&lt;=$E24),$F24/($E24-$D24+1),0)</f>
        <v/>
      </c>
      <c r="N24" s="34">
        <f>IF(AND(N$4*1&gt;=$D24,N$4*1&lt;=$E24),$F24/($E24-$D24+1),0)</f>
        <v/>
      </c>
      <c r="O24" s="34">
        <f>IF(AND(O$4*1&gt;=$D24,O$4*1&lt;=$E24),$F24/($E24-$D24+1),0)</f>
        <v/>
      </c>
      <c r="P24" s="34">
        <f>IF(AND(P$4*1&gt;=$D24,P$4*1&lt;=$E24),$F24/($E24-$D24+1),0)</f>
        <v/>
      </c>
      <c r="Q24" s="34">
        <f>IF(AND(Q$4*1&gt;=$D24,Q$4*1&lt;=$E24),$F24/($E24-$D24+1),0)</f>
        <v/>
      </c>
      <c r="R24" s="34">
        <f>IF(AND(R$4*1&gt;=$D24,R$4*1&lt;=$E24),$F24/($E24-$D24+1),0)</f>
        <v/>
      </c>
      <c r="S24" s="34">
        <f>IF(AND(S$4*1&gt;=$D24,S$4*1&lt;=$E24),$F24/($E24-$D24+1),0)</f>
        <v/>
      </c>
      <c r="T24" s="34">
        <f>IF(AND(T$4*1&gt;=$D24,T$4*1&lt;=$E24),$F24/($E24-$D24+1),0)</f>
        <v/>
      </c>
      <c r="U24" s="34">
        <f>IF(AND(U$4*1&gt;=$D24,U$4*1&lt;=$E24),$F24/($E24-$D24+1),0)</f>
        <v/>
      </c>
      <c r="V24" s="34">
        <f>IF(AND(V$4*1&gt;=$D24,V$4*1&lt;=$E24),$F24/($E24-$D24+1),0)</f>
        <v/>
      </c>
      <c r="W24" s="34">
        <f>IF(AND(W$4*1&gt;=$D24,W$4*1&lt;=$E24),$F24/($E24-$D24+1),0)</f>
        <v/>
      </c>
      <c r="X24" s="34">
        <f>IF(AND(X$4*1&gt;=$D24,X$4*1&lt;=$E24),$F24/($E24-$D24+1),0)</f>
        <v/>
      </c>
      <c r="Y24" s="34">
        <f>IF(AND(Y$4*1&gt;=$D24,Y$4*1&lt;=$E24),$F24/($E24-$D24+1),0)</f>
        <v/>
      </c>
      <c r="Z24" s="34">
        <f>IF(AND(Z$4*1&gt;=$D24,Z$4*1&lt;=$E24),$F24/($E24-$D24+1),0)</f>
        <v/>
      </c>
      <c r="AA24" s="34">
        <f>IF(AND(AA$4*1&gt;=$D24,AA$4*1&lt;=$E24),$F24/($E24-$D24+1),0)</f>
        <v/>
      </c>
      <c r="AB24" s="34">
        <f>IF(AND(AB$4*1&gt;=$D24,AB$4*1&lt;=$E24),$F24/($E24-$D24+1),0)</f>
        <v/>
      </c>
      <c r="AC24" s="34">
        <f>IF(AND(AC$4*1&gt;=$D24,AC$4*1&lt;=$E24),$F24/($E24-$D24+1),0)</f>
        <v/>
      </c>
      <c r="AD24" s="34">
        <f>IF(AND(AD$4*1&gt;=$D24,AD$4*1&lt;=$E24),$F24/($E24-$D24+1),0)</f>
        <v/>
      </c>
      <c r="AE24" s="34">
        <f>IF(AND(AE$4*1&gt;=$D24,AE$4*1&lt;=$E24),$F24/($E24-$D24+1),0)</f>
        <v/>
      </c>
      <c r="AF24" s="34">
        <f>IF(AND(AF$4*1&gt;=$D24,AF$4*1&lt;=$E24),$F24/($E24-$D24+1),0)</f>
        <v/>
      </c>
      <c r="AG24" s="34">
        <f>IF(AND(AG$4*1&gt;=$D24,AG$4*1&lt;=$E24),$F24/($E24-$D24+1),0)</f>
        <v/>
      </c>
      <c r="AH24" s="34">
        <f>IF(AND(AH$4*1&gt;=$D24,AH$4*1&lt;=$E24),$F24/($E24-$D24+1),0)</f>
        <v/>
      </c>
      <c r="AI24" s="34">
        <f>IF(AND(AI$4*1&gt;=$D24,AI$4*1&lt;=$E24),$F24/($E24-$D24+1),0)</f>
        <v/>
      </c>
      <c r="AJ24" s="34">
        <f>IF(AND(AJ$4*1&gt;=$D24,AJ$4*1&lt;=$E24),$F24/($E24-$D24+1),0)</f>
        <v/>
      </c>
      <c r="AK24" s="34">
        <f>IF(AND(AK$4*1&gt;=$D24,AK$4*1&lt;=$E24),$F24/($E24-$D24+1),0)</f>
        <v/>
      </c>
      <c r="AL24" s="34">
        <f>IF(AND(AL$4*1&gt;=$D24,AL$4*1&lt;=$E24),$F24/($E24-$D24+1),0)</f>
        <v/>
      </c>
      <c r="AM24" s="34">
        <f>IF(AND(AM$4*1&gt;=$D24,AM$4*1&lt;=$E24),$F24/($E24-$D24+1),0)</f>
        <v/>
      </c>
      <c r="AN24" s="34">
        <f>IF(AND(AN$4*1&gt;=$D24,AN$4*1&lt;=$E24),$F24/($E24-$D24+1),0)</f>
        <v/>
      </c>
      <c r="AO24" s="34">
        <f>IF(AND(AO$4*1&gt;=$D24,AO$4*1&lt;=$E24),$F24/($E24-$D24+1),0)</f>
        <v/>
      </c>
      <c r="AP24" s="34">
        <f>IF(AND(AP$4*1&gt;=$D24,AP$4*1&lt;=$E24),$F24/($E24-$D24+1),0)</f>
        <v/>
      </c>
      <c r="AQ24" s="34">
        <f>IF(AND(AQ$4*1&gt;=$D24,AQ$4*1&lt;=$E24),$F24/($E24-$D24+1),0)</f>
        <v/>
      </c>
      <c r="AR24" s="34">
        <f>IF(AND(AR$4*1&gt;=$D24,AR$4*1&lt;=$E24),$F24/($E24-$D24+1),0)</f>
        <v/>
      </c>
      <c r="AS24" s="34">
        <f>IF(AND(AS$4*1&gt;=$D24,AS$4*1&lt;=$E24),$F24/($E24-$D24+1),0)</f>
        <v/>
      </c>
      <c r="AT24" s="34">
        <f>IF(AND(AT$4*1&gt;=$D24,AT$4*1&lt;=$E24),$F24/($E24-$D24+1),0)</f>
        <v/>
      </c>
      <c r="AU24" s="34">
        <f>IF(AND(AU$4*1&gt;=$D24,AU$4*1&lt;=$E24),$F24/($E24-$D24+1),0)</f>
        <v/>
      </c>
      <c r="AV24" s="34">
        <f>IF(AND(AV$4*1&gt;=$D24,AV$4*1&lt;=$E24),$F24/($E24-$D24+1),0)</f>
        <v/>
      </c>
      <c r="AW24" s="34">
        <f>IF(AND(AW$4*1&gt;=$D24,AW$4*1&lt;=$E24),$F24/($E24-$D24+1),0)</f>
        <v/>
      </c>
      <c r="AX24" s="34">
        <f>IF(AND(AX$4*1&gt;=$D24,AX$4*1&lt;=$E24),$F24/($E24-$D24+1),0)</f>
        <v/>
      </c>
      <c r="AY24" s="34">
        <f>IF(AND(AY$4*1&gt;=$D24,AY$4*1&lt;=$E24),$F24/($E24-$D24+1),0)</f>
        <v/>
      </c>
      <c r="AZ24" s="34">
        <f>IF(AND(AZ$4*1&gt;=$D24,AZ$4*1&lt;=$E24),$F24/($E24-$D24+1),0)</f>
        <v/>
      </c>
      <c r="BA24" s="34">
        <f>IF(AND(BA$4*1&gt;=$D24,BA$4*1&lt;=$E24),$F24/($E24-$D24+1),0)</f>
        <v/>
      </c>
      <c r="BB24" s="34">
        <f>IF(AND(BB$4*1&gt;=$D24,BB$4*1&lt;=$E24),$F24/($E24-$D24+1),0)</f>
        <v/>
      </c>
      <c r="BC24" s="34">
        <f>IF(AND(BC$4*1&gt;=$D24,BC$4*1&lt;=$E24),$F24/($E24-$D24+1),0)</f>
        <v/>
      </c>
      <c r="BD24" s="34">
        <f>IF(AND(BD$4*1&gt;=$D24,BD$4*1&lt;=$E24),$F24/($E24-$D24+1),0)</f>
        <v/>
      </c>
      <c r="BE24" s="34">
        <f>IF(AND(BE$4*1&gt;=$D24,BE$4*1&lt;=$E24),$F24/($E24-$D24+1),0)</f>
        <v/>
      </c>
      <c r="BF24" s="34">
        <f>IF(AND(BF$4*1&gt;=$D24,BF$4*1&lt;=$E24),$F24/($E24-$D24+1),0)</f>
        <v/>
      </c>
      <c r="BG24" s="34">
        <f>IF(AND(BG$4*1&gt;=$D24,BG$4*1&lt;=$E24),$F24/($E24-$D24+1),0)</f>
        <v/>
      </c>
      <c r="BH24" s="34">
        <f>IF(AND(BH$4*1&gt;=$D24,BH$4*1&lt;=$E24),$F24/($E24-$D24+1),0)</f>
        <v/>
      </c>
      <c r="BI24" s="34">
        <f>IF(AND(BI$4*1&gt;=$D24,BI$4*1&lt;=$E24),$F24/($E24-$D24+1),0)</f>
        <v/>
      </c>
      <c r="BJ24" s="34">
        <f>IF(AND(BJ$4*1&gt;=$D24,BJ$4*1&lt;=$E24),$F24/($E24-$D24+1),0)</f>
        <v/>
      </c>
      <c r="BK24" s="34">
        <f>IF(AND(BK$4*1&gt;=$D24,BK$4*1&lt;=$E24),$F24/($E24-$D24+1),0)</f>
        <v/>
      </c>
      <c r="BL24" s="35">
        <f>SUM(H24:BK24)</f>
        <v/>
      </c>
    </row>
    <row r="25">
      <c r="A25" s="3" t="inlineStr">
        <is>
          <t>3.9.7</t>
        </is>
      </c>
      <c r="B25" s="4" t="inlineStr">
        <is>
          <t>Despliegue sin interrupción E2 en PREPROD</t>
        </is>
      </c>
      <c r="C25" s="14" t="inlineStr">
        <is>
          <t>SRE</t>
        </is>
      </c>
      <c r="D25" s="33" t="n">
        <v>16</v>
      </c>
      <c r="E25" s="33" t="n">
        <v>16</v>
      </c>
      <c r="F25" s="7" t="n">
        <v>160</v>
      </c>
      <c r="G25" s="4" t="inlineStr">
        <is>
          <t>Evaluación</t>
        </is>
      </c>
      <c r="H25" s="34">
        <f>IF(AND(H$4*1&gt;=$D25,H$4*1&lt;=$E25),$F25/($E25-$D25+1),0)</f>
        <v/>
      </c>
      <c r="I25" s="34">
        <f>IF(AND(I$4*1&gt;=$D25,I$4*1&lt;=$E25),$F25/($E25-$D25+1),0)</f>
        <v/>
      </c>
      <c r="J25" s="34">
        <f>IF(AND(J$4*1&gt;=$D25,J$4*1&lt;=$E25),$F25/($E25-$D25+1),0)</f>
        <v/>
      </c>
      <c r="K25" s="34">
        <f>IF(AND(K$4*1&gt;=$D25,K$4*1&lt;=$E25),$F25/($E25-$D25+1),0)</f>
        <v/>
      </c>
      <c r="L25" s="34">
        <f>IF(AND(L$4*1&gt;=$D25,L$4*1&lt;=$E25),$F25/($E25-$D25+1),0)</f>
        <v/>
      </c>
      <c r="M25" s="34">
        <f>IF(AND(M$4*1&gt;=$D25,M$4*1&lt;=$E25),$F25/($E25-$D25+1),0)</f>
        <v/>
      </c>
      <c r="N25" s="34">
        <f>IF(AND(N$4*1&gt;=$D25,N$4*1&lt;=$E25),$F25/($E25-$D25+1),0)</f>
        <v/>
      </c>
      <c r="O25" s="34">
        <f>IF(AND(O$4*1&gt;=$D25,O$4*1&lt;=$E25),$F25/($E25-$D25+1),0)</f>
        <v/>
      </c>
      <c r="P25" s="34">
        <f>IF(AND(P$4*1&gt;=$D25,P$4*1&lt;=$E25),$F25/($E25-$D25+1),0)</f>
        <v/>
      </c>
      <c r="Q25" s="34">
        <f>IF(AND(Q$4*1&gt;=$D25,Q$4*1&lt;=$E25),$F25/($E25-$D25+1),0)</f>
        <v/>
      </c>
      <c r="R25" s="34">
        <f>IF(AND(R$4*1&gt;=$D25,R$4*1&lt;=$E25),$F25/($E25-$D25+1),0)</f>
        <v/>
      </c>
      <c r="S25" s="34">
        <f>IF(AND(S$4*1&gt;=$D25,S$4*1&lt;=$E25),$F25/($E25-$D25+1),0)</f>
        <v/>
      </c>
      <c r="T25" s="34">
        <f>IF(AND(T$4*1&gt;=$D25,T$4*1&lt;=$E25),$F25/($E25-$D25+1),0)</f>
        <v/>
      </c>
      <c r="U25" s="34">
        <f>IF(AND(U$4*1&gt;=$D25,U$4*1&lt;=$E25),$F25/($E25-$D25+1),0)</f>
        <v/>
      </c>
      <c r="V25" s="34">
        <f>IF(AND(V$4*1&gt;=$D25,V$4*1&lt;=$E25),$F25/($E25-$D25+1),0)</f>
        <v/>
      </c>
      <c r="W25" s="34">
        <f>IF(AND(W$4*1&gt;=$D25,W$4*1&lt;=$E25),$F25/($E25-$D25+1),0)</f>
        <v/>
      </c>
      <c r="X25" s="34">
        <f>IF(AND(X$4*1&gt;=$D25,X$4*1&lt;=$E25),$F25/($E25-$D25+1),0)</f>
        <v/>
      </c>
      <c r="Y25" s="34">
        <f>IF(AND(Y$4*1&gt;=$D25,Y$4*1&lt;=$E25),$F25/($E25-$D25+1),0)</f>
        <v/>
      </c>
      <c r="Z25" s="34">
        <f>IF(AND(Z$4*1&gt;=$D25,Z$4*1&lt;=$E25),$F25/($E25-$D25+1),0)</f>
        <v/>
      </c>
      <c r="AA25" s="34">
        <f>IF(AND(AA$4*1&gt;=$D25,AA$4*1&lt;=$E25),$F25/($E25-$D25+1),0)</f>
        <v/>
      </c>
      <c r="AB25" s="34">
        <f>IF(AND(AB$4*1&gt;=$D25,AB$4*1&lt;=$E25),$F25/($E25-$D25+1),0)</f>
        <v/>
      </c>
      <c r="AC25" s="34">
        <f>IF(AND(AC$4*1&gt;=$D25,AC$4*1&lt;=$E25),$F25/($E25-$D25+1),0)</f>
        <v/>
      </c>
      <c r="AD25" s="34">
        <f>IF(AND(AD$4*1&gt;=$D25,AD$4*1&lt;=$E25),$F25/($E25-$D25+1),0)</f>
        <v/>
      </c>
      <c r="AE25" s="34">
        <f>IF(AND(AE$4*1&gt;=$D25,AE$4*1&lt;=$E25),$F25/($E25-$D25+1),0)</f>
        <v/>
      </c>
      <c r="AF25" s="34">
        <f>IF(AND(AF$4*1&gt;=$D25,AF$4*1&lt;=$E25),$F25/($E25-$D25+1),0)</f>
        <v/>
      </c>
      <c r="AG25" s="34">
        <f>IF(AND(AG$4*1&gt;=$D25,AG$4*1&lt;=$E25),$F25/($E25-$D25+1),0)</f>
        <v/>
      </c>
      <c r="AH25" s="34">
        <f>IF(AND(AH$4*1&gt;=$D25,AH$4*1&lt;=$E25),$F25/($E25-$D25+1),0)</f>
        <v/>
      </c>
      <c r="AI25" s="34">
        <f>IF(AND(AI$4*1&gt;=$D25,AI$4*1&lt;=$E25),$F25/($E25-$D25+1),0)</f>
        <v/>
      </c>
      <c r="AJ25" s="34">
        <f>IF(AND(AJ$4*1&gt;=$D25,AJ$4*1&lt;=$E25),$F25/($E25-$D25+1),0)</f>
        <v/>
      </c>
      <c r="AK25" s="34">
        <f>IF(AND(AK$4*1&gt;=$D25,AK$4*1&lt;=$E25),$F25/($E25-$D25+1),0)</f>
        <v/>
      </c>
      <c r="AL25" s="34">
        <f>IF(AND(AL$4*1&gt;=$D25,AL$4*1&lt;=$E25),$F25/($E25-$D25+1),0)</f>
        <v/>
      </c>
      <c r="AM25" s="34">
        <f>IF(AND(AM$4*1&gt;=$D25,AM$4*1&lt;=$E25),$F25/($E25-$D25+1),0)</f>
        <v/>
      </c>
      <c r="AN25" s="34">
        <f>IF(AND(AN$4*1&gt;=$D25,AN$4*1&lt;=$E25),$F25/($E25-$D25+1),0)</f>
        <v/>
      </c>
      <c r="AO25" s="34">
        <f>IF(AND(AO$4*1&gt;=$D25,AO$4*1&lt;=$E25),$F25/($E25-$D25+1),0)</f>
        <v/>
      </c>
      <c r="AP25" s="34">
        <f>IF(AND(AP$4*1&gt;=$D25,AP$4*1&lt;=$E25),$F25/($E25-$D25+1),0)</f>
        <v/>
      </c>
      <c r="AQ25" s="34">
        <f>IF(AND(AQ$4*1&gt;=$D25,AQ$4*1&lt;=$E25),$F25/($E25-$D25+1),0)</f>
        <v/>
      </c>
      <c r="AR25" s="34">
        <f>IF(AND(AR$4*1&gt;=$D25,AR$4*1&lt;=$E25),$F25/($E25-$D25+1),0)</f>
        <v/>
      </c>
      <c r="AS25" s="34">
        <f>IF(AND(AS$4*1&gt;=$D25,AS$4*1&lt;=$E25),$F25/($E25-$D25+1),0)</f>
        <v/>
      </c>
      <c r="AT25" s="34">
        <f>IF(AND(AT$4*1&gt;=$D25,AT$4*1&lt;=$E25),$F25/($E25-$D25+1),0)</f>
        <v/>
      </c>
      <c r="AU25" s="34">
        <f>IF(AND(AU$4*1&gt;=$D25,AU$4*1&lt;=$E25),$F25/($E25-$D25+1),0)</f>
        <v/>
      </c>
      <c r="AV25" s="34">
        <f>IF(AND(AV$4*1&gt;=$D25,AV$4*1&lt;=$E25),$F25/($E25-$D25+1),0)</f>
        <v/>
      </c>
      <c r="AW25" s="34">
        <f>IF(AND(AW$4*1&gt;=$D25,AW$4*1&lt;=$E25),$F25/($E25-$D25+1),0)</f>
        <v/>
      </c>
      <c r="AX25" s="34">
        <f>IF(AND(AX$4*1&gt;=$D25,AX$4*1&lt;=$E25),$F25/($E25-$D25+1),0)</f>
        <v/>
      </c>
      <c r="AY25" s="34">
        <f>IF(AND(AY$4*1&gt;=$D25,AY$4*1&lt;=$E25),$F25/($E25-$D25+1),0)</f>
        <v/>
      </c>
      <c r="AZ25" s="34">
        <f>IF(AND(AZ$4*1&gt;=$D25,AZ$4*1&lt;=$E25),$F25/($E25-$D25+1),0)</f>
        <v/>
      </c>
      <c r="BA25" s="34">
        <f>IF(AND(BA$4*1&gt;=$D25,BA$4*1&lt;=$E25),$F25/($E25-$D25+1),0)</f>
        <v/>
      </c>
      <c r="BB25" s="34">
        <f>IF(AND(BB$4*1&gt;=$D25,BB$4*1&lt;=$E25),$F25/($E25-$D25+1),0)</f>
        <v/>
      </c>
      <c r="BC25" s="34">
        <f>IF(AND(BC$4*1&gt;=$D25,BC$4*1&lt;=$E25),$F25/($E25-$D25+1),0)</f>
        <v/>
      </c>
      <c r="BD25" s="34">
        <f>IF(AND(BD$4*1&gt;=$D25,BD$4*1&lt;=$E25),$F25/($E25-$D25+1),0)</f>
        <v/>
      </c>
      <c r="BE25" s="34">
        <f>IF(AND(BE$4*1&gt;=$D25,BE$4*1&lt;=$E25),$F25/($E25-$D25+1),0)</f>
        <v/>
      </c>
      <c r="BF25" s="34">
        <f>IF(AND(BF$4*1&gt;=$D25,BF$4*1&lt;=$E25),$F25/($E25-$D25+1),0)</f>
        <v/>
      </c>
      <c r="BG25" s="34">
        <f>IF(AND(BG$4*1&gt;=$D25,BG$4*1&lt;=$E25),$F25/($E25-$D25+1),0)</f>
        <v/>
      </c>
      <c r="BH25" s="34">
        <f>IF(AND(BH$4*1&gt;=$D25,BH$4*1&lt;=$E25),$F25/($E25-$D25+1),0)</f>
        <v/>
      </c>
      <c r="BI25" s="34">
        <f>IF(AND(BI$4*1&gt;=$D25,BI$4*1&lt;=$E25),$F25/($E25-$D25+1),0)</f>
        <v/>
      </c>
      <c r="BJ25" s="34">
        <f>IF(AND(BJ$4*1&gt;=$D25,BJ$4*1&lt;=$E25),$F25/($E25-$D25+1),0)</f>
        <v/>
      </c>
      <c r="BK25" s="34">
        <f>IF(AND(BK$4*1&gt;=$D25,BK$4*1&lt;=$E25),$F25/($E25-$D25+1),0)</f>
        <v/>
      </c>
      <c r="BL25" s="35">
        <f>SUM(H25:BK25)</f>
        <v/>
      </c>
    </row>
    <row r="26">
      <c r="A26" s="3" t="inlineStr">
        <is>
          <t>3.10.2.1</t>
        </is>
      </c>
      <c r="B26" s="4" t="inlineStr">
        <is>
          <t>INN-02 medición inicial y contrato de evidencia</t>
        </is>
      </c>
      <c r="C26" s="14" t="inlineStr">
        <is>
          <t>CAL</t>
        </is>
      </c>
      <c r="D26" s="33" t="n">
        <v>2</v>
      </c>
      <c r="E26" s="33" t="n">
        <v>3</v>
      </c>
      <c r="F26" s="7" t="n">
        <v>240</v>
      </c>
      <c r="G26" s="4" t="inlineStr">
        <is>
          <t>Prevención</t>
        </is>
      </c>
      <c r="H26" s="34">
        <f>IF(AND(H$4*1&gt;=$D26,H$4*1&lt;=$E26),$F26/($E26-$D26+1),0)</f>
        <v/>
      </c>
      <c r="I26" s="34">
        <f>IF(AND(I$4*1&gt;=$D26,I$4*1&lt;=$E26),$F26/($E26-$D26+1),0)</f>
        <v/>
      </c>
      <c r="J26" s="34">
        <f>IF(AND(J$4*1&gt;=$D26,J$4*1&lt;=$E26),$F26/($E26-$D26+1),0)</f>
        <v/>
      </c>
      <c r="K26" s="34">
        <f>IF(AND(K$4*1&gt;=$D26,K$4*1&lt;=$E26),$F26/($E26-$D26+1),0)</f>
        <v/>
      </c>
      <c r="L26" s="34">
        <f>IF(AND(L$4*1&gt;=$D26,L$4*1&lt;=$E26),$F26/($E26-$D26+1),0)</f>
        <v/>
      </c>
      <c r="M26" s="34">
        <f>IF(AND(M$4*1&gt;=$D26,M$4*1&lt;=$E26),$F26/($E26-$D26+1),0)</f>
        <v/>
      </c>
      <c r="N26" s="34">
        <f>IF(AND(N$4*1&gt;=$D26,N$4*1&lt;=$E26),$F26/($E26-$D26+1),0)</f>
        <v/>
      </c>
      <c r="O26" s="34">
        <f>IF(AND(O$4*1&gt;=$D26,O$4*1&lt;=$E26),$F26/($E26-$D26+1),0)</f>
        <v/>
      </c>
      <c r="P26" s="34">
        <f>IF(AND(P$4*1&gt;=$D26,P$4*1&lt;=$E26),$F26/($E26-$D26+1),0)</f>
        <v/>
      </c>
      <c r="Q26" s="34">
        <f>IF(AND(Q$4*1&gt;=$D26,Q$4*1&lt;=$E26),$F26/($E26-$D26+1),0)</f>
        <v/>
      </c>
      <c r="R26" s="34">
        <f>IF(AND(R$4*1&gt;=$D26,R$4*1&lt;=$E26),$F26/($E26-$D26+1),0)</f>
        <v/>
      </c>
      <c r="S26" s="34">
        <f>IF(AND(S$4*1&gt;=$D26,S$4*1&lt;=$E26),$F26/($E26-$D26+1),0)</f>
        <v/>
      </c>
      <c r="T26" s="34">
        <f>IF(AND(T$4*1&gt;=$D26,T$4*1&lt;=$E26),$F26/($E26-$D26+1),0)</f>
        <v/>
      </c>
      <c r="U26" s="34">
        <f>IF(AND(U$4*1&gt;=$D26,U$4*1&lt;=$E26),$F26/($E26-$D26+1),0)</f>
        <v/>
      </c>
      <c r="V26" s="34">
        <f>IF(AND(V$4*1&gt;=$D26,V$4*1&lt;=$E26),$F26/($E26-$D26+1),0)</f>
        <v/>
      </c>
      <c r="W26" s="34">
        <f>IF(AND(W$4*1&gt;=$D26,W$4*1&lt;=$E26),$F26/($E26-$D26+1),0)</f>
        <v/>
      </c>
      <c r="X26" s="34">
        <f>IF(AND(X$4*1&gt;=$D26,X$4*1&lt;=$E26),$F26/($E26-$D26+1),0)</f>
        <v/>
      </c>
      <c r="Y26" s="34">
        <f>IF(AND(Y$4*1&gt;=$D26,Y$4*1&lt;=$E26),$F26/($E26-$D26+1),0)</f>
        <v/>
      </c>
      <c r="Z26" s="34">
        <f>IF(AND(Z$4*1&gt;=$D26,Z$4*1&lt;=$E26),$F26/($E26-$D26+1),0)</f>
        <v/>
      </c>
      <c r="AA26" s="34">
        <f>IF(AND(AA$4*1&gt;=$D26,AA$4*1&lt;=$E26),$F26/($E26-$D26+1),0)</f>
        <v/>
      </c>
      <c r="AB26" s="34">
        <f>IF(AND(AB$4*1&gt;=$D26,AB$4*1&lt;=$E26),$F26/($E26-$D26+1),0)</f>
        <v/>
      </c>
      <c r="AC26" s="34">
        <f>IF(AND(AC$4*1&gt;=$D26,AC$4*1&lt;=$E26),$F26/($E26-$D26+1),0)</f>
        <v/>
      </c>
      <c r="AD26" s="34">
        <f>IF(AND(AD$4*1&gt;=$D26,AD$4*1&lt;=$E26),$F26/($E26-$D26+1),0)</f>
        <v/>
      </c>
      <c r="AE26" s="34">
        <f>IF(AND(AE$4*1&gt;=$D26,AE$4*1&lt;=$E26),$F26/($E26-$D26+1),0)</f>
        <v/>
      </c>
      <c r="AF26" s="34">
        <f>IF(AND(AF$4*1&gt;=$D26,AF$4*1&lt;=$E26),$F26/($E26-$D26+1),0)</f>
        <v/>
      </c>
      <c r="AG26" s="34">
        <f>IF(AND(AG$4*1&gt;=$D26,AG$4*1&lt;=$E26),$F26/($E26-$D26+1),0)</f>
        <v/>
      </c>
      <c r="AH26" s="34">
        <f>IF(AND(AH$4*1&gt;=$D26,AH$4*1&lt;=$E26),$F26/($E26-$D26+1),0)</f>
        <v/>
      </c>
      <c r="AI26" s="34">
        <f>IF(AND(AI$4*1&gt;=$D26,AI$4*1&lt;=$E26),$F26/($E26-$D26+1),0)</f>
        <v/>
      </c>
      <c r="AJ26" s="34">
        <f>IF(AND(AJ$4*1&gt;=$D26,AJ$4*1&lt;=$E26),$F26/($E26-$D26+1),0)</f>
        <v/>
      </c>
      <c r="AK26" s="34">
        <f>IF(AND(AK$4*1&gt;=$D26,AK$4*1&lt;=$E26),$F26/($E26-$D26+1),0)</f>
        <v/>
      </c>
      <c r="AL26" s="34">
        <f>IF(AND(AL$4*1&gt;=$D26,AL$4*1&lt;=$E26),$F26/($E26-$D26+1),0)</f>
        <v/>
      </c>
      <c r="AM26" s="34">
        <f>IF(AND(AM$4*1&gt;=$D26,AM$4*1&lt;=$E26),$F26/($E26-$D26+1),0)</f>
        <v/>
      </c>
      <c r="AN26" s="34">
        <f>IF(AND(AN$4*1&gt;=$D26,AN$4*1&lt;=$E26),$F26/($E26-$D26+1),0)</f>
        <v/>
      </c>
      <c r="AO26" s="34">
        <f>IF(AND(AO$4*1&gt;=$D26,AO$4*1&lt;=$E26),$F26/($E26-$D26+1),0)</f>
        <v/>
      </c>
      <c r="AP26" s="34">
        <f>IF(AND(AP$4*1&gt;=$D26,AP$4*1&lt;=$E26),$F26/($E26-$D26+1),0)</f>
        <v/>
      </c>
      <c r="AQ26" s="34">
        <f>IF(AND(AQ$4*1&gt;=$D26,AQ$4*1&lt;=$E26),$F26/($E26-$D26+1),0)</f>
        <v/>
      </c>
      <c r="AR26" s="34">
        <f>IF(AND(AR$4*1&gt;=$D26,AR$4*1&lt;=$E26),$F26/($E26-$D26+1),0)</f>
        <v/>
      </c>
      <c r="AS26" s="34">
        <f>IF(AND(AS$4*1&gt;=$D26,AS$4*1&lt;=$E26),$F26/($E26-$D26+1),0)</f>
        <v/>
      </c>
      <c r="AT26" s="34">
        <f>IF(AND(AT$4*1&gt;=$D26,AT$4*1&lt;=$E26),$F26/($E26-$D26+1),0)</f>
        <v/>
      </c>
      <c r="AU26" s="34">
        <f>IF(AND(AU$4*1&gt;=$D26,AU$4*1&lt;=$E26),$F26/($E26-$D26+1),0)</f>
        <v/>
      </c>
      <c r="AV26" s="34">
        <f>IF(AND(AV$4*1&gt;=$D26,AV$4*1&lt;=$E26),$F26/($E26-$D26+1),0)</f>
        <v/>
      </c>
      <c r="AW26" s="34">
        <f>IF(AND(AW$4*1&gt;=$D26,AW$4*1&lt;=$E26),$F26/($E26-$D26+1),0)</f>
        <v/>
      </c>
      <c r="AX26" s="34">
        <f>IF(AND(AX$4*1&gt;=$D26,AX$4*1&lt;=$E26),$F26/($E26-$D26+1),0)</f>
        <v/>
      </c>
      <c r="AY26" s="34">
        <f>IF(AND(AY$4*1&gt;=$D26,AY$4*1&lt;=$E26),$F26/($E26-$D26+1),0)</f>
        <v/>
      </c>
      <c r="AZ26" s="34">
        <f>IF(AND(AZ$4*1&gt;=$D26,AZ$4*1&lt;=$E26),$F26/($E26-$D26+1),0)</f>
        <v/>
      </c>
      <c r="BA26" s="34">
        <f>IF(AND(BA$4*1&gt;=$D26,BA$4*1&lt;=$E26),$F26/($E26-$D26+1),0)</f>
        <v/>
      </c>
      <c r="BB26" s="34">
        <f>IF(AND(BB$4*1&gt;=$D26,BB$4*1&lt;=$E26),$F26/($E26-$D26+1),0)</f>
        <v/>
      </c>
      <c r="BC26" s="34">
        <f>IF(AND(BC$4*1&gt;=$D26,BC$4*1&lt;=$E26),$F26/($E26-$D26+1),0)</f>
        <v/>
      </c>
      <c r="BD26" s="34">
        <f>IF(AND(BD$4*1&gt;=$D26,BD$4*1&lt;=$E26),$F26/($E26-$D26+1),0)</f>
        <v/>
      </c>
      <c r="BE26" s="34">
        <f>IF(AND(BE$4*1&gt;=$D26,BE$4*1&lt;=$E26),$F26/($E26-$D26+1),0)</f>
        <v/>
      </c>
      <c r="BF26" s="34">
        <f>IF(AND(BF$4*1&gt;=$D26,BF$4*1&lt;=$E26),$F26/($E26-$D26+1),0)</f>
        <v/>
      </c>
      <c r="BG26" s="34">
        <f>IF(AND(BG$4*1&gt;=$D26,BG$4*1&lt;=$E26),$F26/($E26-$D26+1),0)</f>
        <v/>
      </c>
      <c r="BH26" s="34">
        <f>IF(AND(BH$4*1&gt;=$D26,BH$4*1&lt;=$E26),$F26/($E26-$D26+1),0)</f>
        <v/>
      </c>
      <c r="BI26" s="34">
        <f>IF(AND(BI$4*1&gt;=$D26,BI$4*1&lt;=$E26),$F26/($E26-$D26+1),0)</f>
        <v/>
      </c>
      <c r="BJ26" s="34">
        <f>IF(AND(BJ$4*1&gt;=$D26,BJ$4*1&lt;=$E26),$F26/($E26-$D26+1),0)</f>
        <v/>
      </c>
      <c r="BK26" s="34">
        <f>IF(AND(BK$4*1&gt;=$D26,BK$4*1&lt;=$E26),$F26/($E26-$D26+1),0)</f>
        <v/>
      </c>
      <c r="BL26" s="35">
        <f>SUM(H26:BK26)</f>
        <v/>
      </c>
    </row>
    <row r="27">
      <c r="A27" s="3" t="inlineStr">
        <is>
          <t>3.10.2.2</t>
        </is>
      </c>
      <c r="B27" s="4" t="inlineStr">
        <is>
          <t>INN-02 circuito mínimo de reproducción</t>
        </is>
      </c>
      <c r="C27" s="14" t="inlineStr">
        <is>
          <t>CAL</t>
        </is>
      </c>
      <c r="D27" s="33" t="n">
        <v>3</v>
      </c>
      <c r="E27" s="33" t="n">
        <v>5</v>
      </c>
      <c r="F27" s="7" t="n">
        <v>240</v>
      </c>
      <c r="G27" s="4" t="inlineStr">
        <is>
          <t>Prevención</t>
        </is>
      </c>
      <c r="H27" s="34">
        <f>IF(AND(H$4*1&gt;=$D27,H$4*1&lt;=$E27),$F27/($E27-$D27+1),0)</f>
        <v/>
      </c>
      <c r="I27" s="34">
        <f>IF(AND(I$4*1&gt;=$D27,I$4*1&lt;=$E27),$F27/($E27-$D27+1),0)</f>
        <v/>
      </c>
      <c r="J27" s="34">
        <f>IF(AND(J$4*1&gt;=$D27,J$4*1&lt;=$E27),$F27/($E27-$D27+1),0)</f>
        <v/>
      </c>
      <c r="K27" s="34">
        <f>IF(AND(K$4*1&gt;=$D27,K$4*1&lt;=$E27),$F27/($E27-$D27+1),0)</f>
        <v/>
      </c>
      <c r="L27" s="34">
        <f>IF(AND(L$4*1&gt;=$D27,L$4*1&lt;=$E27),$F27/($E27-$D27+1),0)</f>
        <v/>
      </c>
      <c r="M27" s="34">
        <f>IF(AND(M$4*1&gt;=$D27,M$4*1&lt;=$E27),$F27/($E27-$D27+1),0)</f>
        <v/>
      </c>
      <c r="N27" s="34">
        <f>IF(AND(N$4*1&gt;=$D27,N$4*1&lt;=$E27),$F27/($E27-$D27+1),0)</f>
        <v/>
      </c>
      <c r="O27" s="34">
        <f>IF(AND(O$4*1&gt;=$D27,O$4*1&lt;=$E27),$F27/($E27-$D27+1),0)</f>
        <v/>
      </c>
      <c r="P27" s="34">
        <f>IF(AND(P$4*1&gt;=$D27,P$4*1&lt;=$E27),$F27/($E27-$D27+1),0)</f>
        <v/>
      </c>
      <c r="Q27" s="34">
        <f>IF(AND(Q$4*1&gt;=$D27,Q$4*1&lt;=$E27),$F27/($E27-$D27+1),0)</f>
        <v/>
      </c>
      <c r="R27" s="34">
        <f>IF(AND(R$4*1&gt;=$D27,R$4*1&lt;=$E27),$F27/($E27-$D27+1),0)</f>
        <v/>
      </c>
      <c r="S27" s="34">
        <f>IF(AND(S$4*1&gt;=$D27,S$4*1&lt;=$E27),$F27/($E27-$D27+1),0)</f>
        <v/>
      </c>
      <c r="T27" s="34">
        <f>IF(AND(T$4*1&gt;=$D27,T$4*1&lt;=$E27),$F27/($E27-$D27+1),0)</f>
        <v/>
      </c>
      <c r="U27" s="34">
        <f>IF(AND(U$4*1&gt;=$D27,U$4*1&lt;=$E27),$F27/($E27-$D27+1),0)</f>
        <v/>
      </c>
      <c r="V27" s="34">
        <f>IF(AND(V$4*1&gt;=$D27,V$4*1&lt;=$E27),$F27/($E27-$D27+1),0)</f>
        <v/>
      </c>
      <c r="W27" s="34">
        <f>IF(AND(W$4*1&gt;=$D27,W$4*1&lt;=$E27),$F27/($E27-$D27+1),0)</f>
        <v/>
      </c>
      <c r="X27" s="34">
        <f>IF(AND(X$4*1&gt;=$D27,X$4*1&lt;=$E27),$F27/($E27-$D27+1),0)</f>
        <v/>
      </c>
      <c r="Y27" s="34">
        <f>IF(AND(Y$4*1&gt;=$D27,Y$4*1&lt;=$E27),$F27/($E27-$D27+1),0)</f>
        <v/>
      </c>
      <c r="Z27" s="34">
        <f>IF(AND(Z$4*1&gt;=$D27,Z$4*1&lt;=$E27),$F27/($E27-$D27+1),0)</f>
        <v/>
      </c>
      <c r="AA27" s="34">
        <f>IF(AND(AA$4*1&gt;=$D27,AA$4*1&lt;=$E27),$F27/($E27-$D27+1),0)</f>
        <v/>
      </c>
      <c r="AB27" s="34">
        <f>IF(AND(AB$4*1&gt;=$D27,AB$4*1&lt;=$E27),$F27/($E27-$D27+1),0)</f>
        <v/>
      </c>
      <c r="AC27" s="34">
        <f>IF(AND(AC$4*1&gt;=$D27,AC$4*1&lt;=$E27),$F27/($E27-$D27+1),0)</f>
        <v/>
      </c>
      <c r="AD27" s="34">
        <f>IF(AND(AD$4*1&gt;=$D27,AD$4*1&lt;=$E27),$F27/($E27-$D27+1),0)</f>
        <v/>
      </c>
      <c r="AE27" s="34">
        <f>IF(AND(AE$4*1&gt;=$D27,AE$4*1&lt;=$E27),$F27/($E27-$D27+1),0)</f>
        <v/>
      </c>
      <c r="AF27" s="34">
        <f>IF(AND(AF$4*1&gt;=$D27,AF$4*1&lt;=$E27),$F27/($E27-$D27+1),0)</f>
        <v/>
      </c>
      <c r="AG27" s="34">
        <f>IF(AND(AG$4*1&gt;=$D27,AG$4*1&lt;=$E27),$F27/($E27-$D27+1),0)</f>
        <v/>
      </c>
      <c r="AH27" s="34">
        <f>IF(AND(AH$4*1&gt;=$D27,AH$4*1&lt;=$E27),$F27/($E27-$D27+1),0)</f>
        <v/>
      </c>
      <c r="AI27" s="34">
        <f>IF(AND(AI$4*1&gt;=$D27,AI$4*1&lt;=$E27),$F27/($E27-$D27+1),0)</f>
        <v/>
      </c>
      <c r="AJ27" s="34">
        <f>IF(AND(AJ$4*1&gt;=$D27,AJ$4*1&lt;=$E27),$F27/($E27-$D27+1),0)</f>
        <v/>
      </c>
      <c r="AK27" s="34">
        <f>IF(AND(AK$4*1&gt;=$D27,AK$4*1&lt;=$E27),$F27/($E27-$D27+1),0)</f>
        <v/>
      </c>
      <c r="AL27" s="34">
        <f>IF(AND(AL$4*1&gt;=$D27,AL$4*1&lt;=$E27),$F27/($E27-$D27+1),0)</f>
        <v/>
      </c>
      <c r="AM27" s="34">
        <f>IF(AND(AM$4*1&gt;=$D27,AM$4*1&lt;=$E27),$F27/($E27-$D27+1),0)</f>
        <v/>
      </c>
      <c r="AN27" s="34">
        <f>IF(AND(AN$4*1&gt;=$D27,AN$4*1&lt;=$E27),$F27/($E27-$D27+1),0)</f>
        <v/>
      </c>
      <c r="AO27" s="34">
        <f>IF(AND(AO$4*1&gt;=$D27,AO$4*1&lt;=$E27),$F27/($E27-$D27+1),0)</f>
        <v/>
      </c>
      <c r="AP27" s="34">
        <f>IF(AND(AP$4*1&gt;=$D27,AP$4*1&lt;=$E27),$F27/($E27-$D27+1),0)</f>
        <v/>
      </c>
      <c r="AQ27" s="34">
        <f>IF(AND(AQ$4*1&gt;=$D27,AQ$4*1&lt;=$E27),$F27/($E27-$D27+1),0)</f>
        <v/>
      </c>
      <c r="AR27" s="34">
        <f>IF(AND(AR$4*1&gt;=$D27,AR$4*1&lt;=$E27),$F27/($E27-$D27+1),0)</f>
        <v/>
      </c>
      <c r="AS27" s="34">
        <f>IF(AND(AS$4*1&gt;=$D27,AS$4*1&lt;=$E27),$F27/($E27-$D27+1),0)</f>
        <v/>
      </c>
      <c r="AT27" s="34">
        <f>IF(AND(AT$4*1&gt;=$D27,AT$4*1&lt;=$E27),$F27/($E27-$D27+1),0)</f>
        <v/>
      </c>
      <c r="AU27" s="34">
        <f>IF(AND(AU$4*1&gt;=$D27,AU$4*1&lt;=$E27),$F27/($E27-$D27+1),0)</f>
        <v/>
      </c>
      <c r="AV27" s="34">
        <f>IF(AND(AV$4*1&gt;=$D27,AV$4*1&lt;=$E27),$F27/($E27-$D27+1),0)</f>
        <v/>
      </c>
      <c r="AW27" s="34">
        <f>IF(AND(AW$4*1&gt;=$D27,AW$4*1&lt;=$E27),$F27/($E27-$D27+1),0)</f>
        <v/>
      </c>
      <c r="AX27" s="34">
        <f>IF(AND(AX$4*1&gt;=$D27,AX$4*1&lt;=$E27),$F27/($E27-$D27+1),0)</f>
        <v/>
      </c>
      <c r="AY27" s="34">
        <f>IF(AND(AY$4*1&gt;=$D27,AY$4*1&lt;=$E27),$F27/($E27-$D27+1),0)</f>
        <v/>
      </c>
      <c r="AZ27" s="34">
        <f>IF(AND(AZ$4*1&gt;=$D27,AZ$4*1&lt;=$E27),$F27/($E27-$D27+1),0)</f>
        <v/>
      </c>
      <c r="BA27" s="34">
        <f>IF(AND(BA$4*1&gt;=$D27,BA$4*1&lt;=$E27),$F27/($E27-$D27+1),0)</f>
        <v/>
      </c>
      <c r="BB27" s="34">
        <f>IF(AND(BB$4*1&gt;=$D27,BB$4*1&lt;=$E27),$F27/($E27-$D27+1),0)</f>
        <v/>
      </c>
      <c r="BC27" s="34">
        <f>IF(AND(BC$4*1&gt;=$D27,BC$4*1&lt;=$E27),$F27/($E27-$D27+1),0)</f>
        <v/>
      </c>
      <c r="BD27" s="34">
        <f>IF(AND(BD$4*1&gt;=$D27,BD$4*1&lt;=$E27),$F27/($E27-$D27+1),0)</f>
        <v/>
      </c>
      <c r="BE27" s="34">
        <f>IF(AND(BE$4*1&gt;=$D27,BE$4*1&lt;=$E27),$F27/($E27-$D27+1),0)</f>
        <v/>
      </c>
      <c r="BF27" s="34">
        <f>IF(AND(BF$4*1&gt;=$D27,BF$4*1&lt;=$E27),$F27/($E27-$D27+1),0)</f>
        <v/>
      </c>
      <c r="BG27" s="34">
        <f>IF(AND(BG$4*1&gt;=$D27,BG$4*1&lt;=$E27),$F27/($E27-$D27+1),0)</f>
        <v/>
      </c>
      <c r="BH27" s="34">
        <f>IF(AND(BH$4*1&gt;=$D27,BH$4*1&lt;=$E27),$F27/($E27-$D27+1),0)</f>
        <v/>
      </c>
      <c r="BI27" s="34">
        <f>IF(AND(BI$4*1&gt;=$D27,BI$4*1&lt;=$E27),$F27/($E27-$D27+1),0)</f>
        <v/>
      </c>
      <c r="BJ27" s="34">
        <f>IF(AND(BJ$4*1&gt;=$D27,BJ$4*1&lt;=$E27),$F27/($E27-$D27+1),0)</f>
        <v/>
      </c>
      <c r="BK27" s="34">
        <f>IF(AND(BK$4*1&gt;=$D27,BK$4*1&lt;=$E27),$F27/($E27-$D27+1),0)</f>
        <v/>
      </c>
      <c r="BL27" s="35">
        <f>SUM(H27:BK27)</f>
        <v/>
      </c>
    </row>
    <row r="28">
      <c r="A28" s="3" t="inlineStr">
        <is>
          <t>3.10.2.3</t>
        </is>
      </c>
      <c r="B28" s="4" t="inlineStr">
        <is>
          <t>INN-02 captura de evidencia en apps</t>
        </is>
      </c>
      <c r="C28" s="14" t="inlineStr">
        <is>
          <t>CAL</t>
        </is>
      </c>
      <c r="D28" s="33" t="n">
        <v>5</v>
      </c>
      <c r="E28" s="33" t="n">
        <v>10</v>
      </c>
      <c r="F28" s="7" t="n">
        <v>240</v>
      </c>
      <c r="G28" s="4" t="inlineStr">
        <is>
          <t>Prevención</t>
        </is>
      </c>
      <c r="H28" s="34">
        <f>IF(AND(H$4*1&gt;=$D28,H$4*1&lt;=$E28),$F28/($E28-$D28+1),0)</f>
        <v/>
      </c>
      <c r="I28" s="34">
        <f>IF(AND(I$4*1&gt;=$D28,I$4*1&lt;=$E28),$F28/($E28-$D28+1),0)</f>
        <v/>
      </c>
      <c r="J28" s="34">
        <f>IF(AND(J$4*1&gt;=$D28,J$4*1&lt;=$E28),$F28/($E28-$D28+1),0)</f>
        <v/>
      </c>
      <c r="K28" s="34">
        <f>IF(AND(K$4*1&gt;=$D28,K$4*1&lt;=$E28),$F28/($E28-$D28+1),0)</f>
        <v/>
      </c>
      <c r="L28" s="34">
        <f>IF(AND(L$4*1&gt;=$D28,L$4*1&lt;=$E28),$F28/($E28-$D28+1),0)</f>
        <v/>
      </c>
      <c r="M28" s="34">
        <f>IF(AND(M$4*1&gt;=$D28,M$4*1&lt;=$E28),$F28/($E28-$D28+1),0)</f>
        <v/>
      </c>
      <c r="N28" s="34">
        <f>IF(AND(N$4*1&gt;=$D28,N$4*1&lt;=$E28),$F28/($E28-$D28+1),0)</f>
        <v/>
      </c>
      <c r="O28" s="34">
        <f>IF(AND(O$4*1&gt;=$D28,O$4*1&lt;=$E28),$F28/($E28-$D28+1),0)</f>
        <v/>
      </c>
      <c r="P28" s="34">
        <f>IF(AND(P$4*1&gt;=$D28,P$4*1&lt;=$E28),$F28/($E28-$D28+1),0)</f>
        <v/>
      </c>
      <c r="Q28" s="34">
        <f>IF(AND(Q$4*1&gt;=$D28,Q$4*1&lt;=$E28),$F28/($E28-$D28+1),0)</f>
        <v/>
      </c>
      <c r="R28" s="34">
        <f>IF(AND(R$4*1&gt;=$D28,R$4*1&lt;=$E28),$F28/($E28-$D28+1),0)</f>
        <v/>
      </c>
      <c r="S28" s="34">
        <f>IF(AND(S$4*1&gt;=$D28,S$4*1&lt;=$E28),$F28/($E28-$D28+1),0)</f>
        <v/>
      </c>
      <c r="T28" s="34">
        <f>IF(AND(T$4*1&gt;=$D28,T$4*1&lt;=$E28),$F28/($E28-$D28+1),0)</f>
        <v/>
      </c>
      <c r="U28" s="34">
        <f>IF(AND(U$4*1&gt;=$D28,U$4*1&lt;=$E28),$F28/($E28-$D28+1),0)</f>
        <v/>
      </c>
      <c r="V28" s="34">
        <f>IF(AND(V$4*1&gt;=$D28,V$4*1&lt;=$E28),$F28/($E28-$D28+1),0)</f>
        <v/>
      </c>
      <c r="W28" s="34">
        <f>IF(AND(W$4*1&gt;=$D28,W$4*1&lt;=$E28),$F28/($E28-$D28+1),0)</f>
        <v/>
      </c>
      <c r="X28" s="34">
        <f>IF(AND(X$4*1&gt;=$D28,X$4*1&lt;=$E28),$F28/($E28-$D28+1),0)</f>
        <v/>
      </c>
      <c r="Y28" s="34">
        <f>IF(AND(Y$4*1&gt;=$D28,Y$4*1&lt;=$E28),$F28/($E28-$D28+1),0)</f>
        <v/>
      </c>
      <c r="Z28" s="34">
        <f>IF(AND(Z$4*1&gt;=$D28,Z$4*1&lt;=$E28),$F28/($E28-$D28+1),0)</f>
        <v/>
      </c>
      <c r="AA28" s="34">
        <f>IF(AND(AA$4*1&gt;=$D28,AA$4*1&lt;=$E28),$F28/($E28-$D28+1),0)</f>
        <v/>
      </c>
      <c r="AB28" s="34">
        <f>IF(AND(AB$4*1&gt;=$D28,AB$4*1&lt;=$E28),$F28/($E28-$D28+1),0)</f>
        <v/>
      </c>
      <c r="AC28" s="34">
        <f>IF(AND(AC$4*1&gt;=$D28,AC$4*1&lt;=$E28),$F28/($E28-$D28+1),0)</f>
        <v/>
      </c>
      <c r="AD28" s="34">
        <f>IF(AND(AD$4*1&gt;=$D28,AD$4*1&lt;=$E28),$F28/($E28-$D28+1),0)</f>
        <v/>
      </c>
      <c r="AE28" s="34">
        <f>IF(AND(AE$4*1&gt;=$D28,AE$4*1&lt;=$E28),$F28/($E28-$D28+1),0)</f>
        <v/>
      </c>
      <c r="AF28" s="34">
        <f>IF(AND(AF$4*1&gt;=$D28,AF$4*1&lt;=$E28),$F28/($E28-$D28+1),0)</f>
        <v/>
      </c>
      <c r="AG28" s="34">
        <f>IF(AND(AG$4*1&gt;=$D28,AG$4*1&lt;=$E28),$F28/($E28-$D28+1),0)</f>
        <v/>
      </c>
      <c r="AH28" s="34">
        <f>IF(AND(AH$4*1&gt;=$D28,AH$4*1&lt;=$E28),$F28/($E28-$D28+1),0)</f>
        <v/>
      </c>
      <c r="AI28" s="34">
        <f>IF(AND(AI$4*1&gt;=$D28,AI$4*1&lt;=$E28),$F28/($E28-$D28+1),0)</f>
        <v/>
      </c>
      <c r="AJ28" s="34">
        <f>IF(AND(AJ$4*1&gt;=$D28,AJ$4*1&lt;=$E28),$F28/($E28-$D28+1),0)</f>
        <v/>
      </c>
      <c r="AK28" s="34">
        <f>IF(AND(AK$4*1&gt;=$D28,AK$4*1&lt;=$E28),$F28/($E28-$D28+1),0)</f>
        <v/>
      </c>
      <c r="AL28" s="34">
        <f>IF(AND(AL$4*1&gt;=$D28,AL$4*1&lt;=$E28),$F28/($E28-$D28+1),0)</f>
        <v/>
      </c>
      <c r="AM28" s="34">
        <f>IF(AND(AM$4*1&gt;=$D28,AM$4*1&lt;=$E28),$F28/($E28-$D28+1),0)</f>
        <v/>
      </c>
      <c r="AN28" s="34">
        <f>IF(AND(AN$4*1&gt;=$D28,AN$4*1&lt;=$E28),$F28/($E28-$D28+1),0)</f>
        <v/>
      </c>
      <c r="AO28" s="34">
        <f>IF(AND(AO$4*1&gt;=$D28,AO$4*1&lt;=$E28),$F28/($E28-$D28+1),0)</f>
        <v/>
      </c>
      <c r="AP28" s="34">
        <f>IF(AND(AP$4*1&gt;=$D28,AP$4*1&lt;=$E28),$F28/($E28-$D28+1),0)</f>
        <v/>
      </c>
      <c r="AQ28" s="34">
        <f>IF(AND(AQ$4*1&gt;=$D28,AQ$4*1&lt;=$E28),$F28/($E28-$D28+1),0)</f>
        <v/>
      </c>
      <c r="AR28" s="34">
        <f>IF(AND(AR$4*1&gt;=$D28,AR$4*1&lt;=$E28),$F28/($E28-$D28+1),0)</f>
        <v/>
      </c>
      <c r="AS28" s="34">
        <f>IF(AND(AS$4*1&gt;=$D28,AS$4*1&lt;=$E28),$F28/($E28-$D28+1),0)</f>
        <v/>
      </c>
      <c r="AT28" s="34">
        <f>IF(AND(AT$4*1&gt;=$D28,AT$4*1&lt;=$E28),$F28/($E28-$D28+1),0)</f>
        <v/>
      </c>
      <c r="AU28" s="34">
        <f>IF(AND(AU$4*1&gt;=$D28,AU$4*1&lt;=$E28),$F28/($E28-$D28+1),0)</f>
        <v/>
      </c>
      <c r="AV28" s="34">
        <f>IF(AND(AV$4*1&gt;=$D28,AV$4*1&lt;=$E28),$F28/($E28-$D28+1),0)</f>
        <v/>
      </c>
      <c r="AW28" s="34">
        <f>IF(AND(AW$4*1&gt;=$D28,AW$4*1&lt;=$E28),$F28/($E28-$D28+1),0)</f>
        <v/>
      </c>
      <c r="AX28" s="34">
        <f>IF(AND(AX$4*1&gt;=$D28,AX$4*1&lt;=$E28),$F28/($E28-$D28+1),0)</f>
        <v/>
      </c>
      <c r="AY28" s="34">
        <f>IF(AND(AY$4*1&gt;=$D28,AY$4*1&lt;=$E28),$F28/($E28-$D28+1),0)</f>
        <v/>
      </c>
      <c r="AZ28" s="34">
        <f>IF(AND(AZ$4*1&gt;=$D28,AZ$4*1&lt;=$E28),$F28/($E28-$D28+1),0)</f>
        <v/>
      </c>
      <c r="BA28" s="34">
        <f>IF(AND(BA$4*1&gt;=$D28,BA$4*1&lt;=$E28),$F28/($E28-$D28+1),0)</f>
        <v/>
      </c>
      <c r="BB28" s="34">
        <f>IF(AND(BB$4*1&gt;=$D28,BB$4*1&lt;=$E28),$F28/($E28-$D28+1),0)</f>
        <v/>
      </c>
      <c r="BC28" s="34">
        <f>IF(AND(BC$4*1&gt;=$D28,BC$4*1&lt;=$E28),$F28/($E28-$D28+1),0)</f>
        <v/>
      </c>
      <c r="BD28" s="34">
        <f>IF(AND(BD$4*1&gt;=$D28,BD$4*1&lt;=$E28),$F28/($E28-$D28+1),0)</f>
        <v/>
      </c>
      <c r="BE28" s="34">
        <f>IF(AND(BE$4*1&gt;=$D28,BE$4*1&lt;=$E28),$F28/($E28-$D28+1),0)</f>
        <v/>
      </c>
      <c r="BF28" s="34">
        <f>IF(AND(BF$4*1&gt;=$D28,BF$4*1&lt;=$E28),$F28/($E28-$D28+1),0)</f>
        <v/>
      </c>
      <c r="BG28" s="34">
        <f>IF(AND(BG$4*1&gt;=$D28,BG$4*1&lt;=$E28),$F28/($E28-$D28+1),0)</f>
        <v/>
      </c>
      <c r="BH28" s="34">
        <f>IF(AND(BH$4*1&gt;=$D28,BH$4*1&lt;=$E28),$F28/($E28-$D28+1),0)</f>
        <v/>
      </c>
      <c r="BI28" s="34">
        <f>IF(AND(BI$4*1&gt;=$D28,BI$4*1&lt;=$E28),$F28/($E28-$D28+1),0)</f>
        <v/>
      </c>
      <c r="BJ28" s="34">
        <f>IF(AND(BJ$4*1&gt;=$D28,BJ$4*1&lt;=$E28),$F28/($E28-$D28+1),0)</f>
        <v/>
      </c>
      <c r="BK28" s="34">
        <f>IF(AND(BK$4*1&gt;=$D28,BK$4*1&lt;=$E28),$F28/($E28-$D28+1),0)</f>
        <v/>
      </c>
      <c r="BL28" s="35">
        <f>SUM(H28:BK28)</f>
        <v/>
      </c>
    </row>
    <row r="29">
      <c r="A29" s="3" t="inlineStr">
        <is>
          <t>3.10.2.4</t>
        </is>
      </c>
      <c r="B29" s="4" t="inlineStr">
        <is>
          <t>INN-02 validación comparada</t>
        </is>
      </c>
      <c r="C29" s="14" t="inlineStr">
        <is>
          <t>CAL</t>
        </is>
      </c>
      <c r="D29" s="33" t="n">
        <v>11</v>
      </c>
      <c r="E29" s="33" t="n">
        <v>15</v>
      </c>
      <c r="F29" s="7" t="n">
        <v>240</v>
      </c>
      <c r="G29" s="4" t="inlineStr">
        <is>
          <t>Evaluación</t>
        </is>
      </c>
      <c r="H29" s="34">
        <f>IF(AND(H$4*1&gt;=$D29,H$4*1&lt;=$E29),$F29/($E29-$D29+1),0)</f>
        <v/>
      </c>
      <c r="I29" s="34">
        <f>IF(AND(I$4*1&gt;=$D29,I$4*1&lt;=$E29),$F29/($E29-$D29+1),0)</f>
        <v/>
      </c>
      <c r="J29" s="34">
        <f>IF(AND(J$4*1&gt;=$D29,J$4*1&lt;=$E29),$F29/($E29-$D29+1),0)</f>
        <v/>
      </c>
      <c r="K29" s="34">
        <f>IF(AND(K$4*1&gt;=$D29,K$4*1&lt;=$E29),$F29/($E29-$D29+1),0)</f>
        <v/>
      </c>
      <c r="L29" s="34">
        <f>IF(AND(L$4*1&gt;=$D29,L$4*1&lt;=$E29),$F29/($E29-$D29+1),0)</f>
        <v/>
      </c>
      <c r="M29" s="34">
        <f>IF(AND(M$4*1&gt;=$D29,M$4*1&lt;=$E29),$F29/($E29-$D29+1),0)</f>
        <v/>
      </c>
      <c r="N29" s="34">
        <f>IF(AND(N$4*1&gt;=$D29,N$4*1&lt;=$E29),$F29/($E29-$D29+1),0)</f>
        <v/>
      </c>
      <c r="O29" s="34">
        <f>IF(AND(O$4*1&gt;=$D29,O$4*1&lt;=$E29),$F29/($E29-$D29+1),0)</f>
        <v/>
      </c>
      <c r="P29" s="34">
        <f>IF(AND(P$4*1&gt;=$D29,P$4*1&lt;=$E29),$F29/($E29-$D29+1),0)</f>
        <v/>
      </c>
      <c r="Q29" s="34">
        <f>IF(AND(Q$4*1&gt;=$D29,Q$4*1&lt;=$E29),$F29/($E29-$D29+1),0)</f>
        <v/>
      </c>
      <c r="R29" s="34">
        <f>IF(AND(R$4*1&gt;=$D29,R$4*1&lt;=$E29),$F29/($E29-$D29+1),0)</f>
        <v/>
      </c>
      <c r="S29" s="34">
        <f>IF(AND(S$4*1&gt;=$D29,S$4*1&lt;=$E29),$F29/($E29-$D29+1),0)</f>
        <v/>
      </c>
      <c r="T29" s="34">
        <f>IF(AND(T$4*1&gt;=$D29,T$4*1&lt;=$E29),$F29/($E29-$D29+1),0)</f>
        <v/>
      </c>
      <c r="U29" s="34">
        <f>IF(AND(U$4*1&gt;=$D29,U$4*1&lt;=$E29),$F29/($E29-$D29+1),0)</f>
        <v/>
      </c>
      <c r="V29" s="34">
        <f>IF(AND(V$4*1&gt;=$D29,V$4*1&lt;=$E29),$F29/($E29-$D29+1),0)</f>
        <v/>
      </c>
      <c r="W29" s="34">
        <f>IF(AND(W$4*1&gt;=$D29,W$4*1&lt;=$E29),$F29/($E29-$D29+1),0)</f>
        <v/>
      </c>
      <c r="X29" s="34">
        <f>IF(AND(X$4*1&gt;=$D29,X$4*1&lt;=$E29),$F29/($E29-$D29+1),0)</f>
        <v/>
      </c>
      <c r="Y29" s="34">
        <f>IF(AND(Y$4*1&gt;=$D29,Y$4*1&lt;=$E29),$F29/($E29-$D29+1),0)</f>
        <v/>
      </c>
      <c r="Z29" s="34">
        <f>IF(AND(Z$4*1&gt;=$D29,Z$4*1&lt;=$E29),$F29/($E29-$D29+1),0)</f>
        <v/>
      </c>
      <c r="AA29" s="34">
        <f>IF(AND(AA$4*1&gt;=$D29,AA$4*1&lt;=$E29),$F29/($E29-$D29+1),0)</f>
        <v/>
      </c>
      <c r="AB29" s="34">
        <f>IF(AND(AB$4*1&gt;=$D29,AB$4*1&lt;=$E29),$F29/($E29-$D29+1),0)</f>
        <v/>
      </c>
      <c r="AC29" s="34">
        <f>IF(AND(AC$4*1&gt;=$D29,AC$4*1&lt;=$E29),$F29/($E29-$D29+1),0)</f>
        <v/>
      </c>
      <c r="AD29" s="34">
        <f>IF(AND(AD$4*1&gt;=$D29,AD$4*1&lt;=$E29),$F29/($E29-$D29+1),0)</f>
        <v/>
      </c>
      <c r="AE29" s="34">
        <f>IF(AND(AE$4*1&gt;=$D29,AE$4*1&lt;=$E29),$F29/($E29-$D29+1),0)</f>
        <v/>
      </c>
      <c r="AF29" s="34">
        <f>IF(AND(AF$4*1&gt;=$D29,AF$4*1&lt;=$E29),$F29/($E29-$D29+1),0)</f>
        <v/>
      </c>
      <c r="AG29" s="34">
        <f>IF(AND(AG$4*1&gt;=$D29,AG$4*1&lt;=$E29),$F29/($E29-$D29+1),0)</f>
        <v/>
      </c>
      <c r="AH29" s="34">
        <f>IF(AND(AH$4*1&gt;=$D29,AH$4*1&lt;=$E29),$F29/($E29-$D29+1),0)</f>
        <v/>
      </c>
      <c r="AI29" s="34">
        <f>IF(AND(AI$4*1&gt;=$D29,AI$4*1&lt;=$E29),$F29/($E29-$D29+1),0)</f>
        <v/>
      </c>
      <c r="AJ29" s="34">
        <f>IF(AND(AJ$4*1&gt;=$D29,AJ$4*1&lt;=$E29),$F29/($E29-$D29+1),0)</f>
        <v/>
      </c>
      <c r="AK29" s="34">
        <f>IF(AND(AK$4*1&gt;=$D29,AK$4*1&lt;=$E29),$F29/($E29-$D29+1),0)</f>
        <v/>
      </c>
      <c r="AL29" s="34">
        <f>IF(AND(AL$4*1&gt;=$D29,AL$4*1&lt;=$E29),$F29/($E29-$D29+1),0)</f>
        <v/>
      </c>
      <c r="AM29" s="34">
        <f>IF(AND(AM$4*1&gt;=$D29,AM$4*1&lt;=$E29),$F29/($E29-$D29+1),0)</f>
        <v/>
      </c>
      <c r="AN29" s="34">
        <f>IF(AND(AN$4*1&gt;=$D29,AN$4*1&lt;=$E29),$F29/($E29-$D29+1),0)</f>
        <v/>
      </c>
      <c r="AO29" s="34">
        <f>IF(AND(AO$4*1&gt;=$D29,AO$4*1&lt;=$E29),$F29/($E29-$D29+1),0)</f>
        <v/>
      </c>
      <c r="AP29" s="34">
        <f>IF(AND(AP$4*1&gt;=$D29,AP$4*1&lt;=$E29),$F29/($E29-$D29+1),0)</f>
        <v/>
      </c>
      <c r="AQ29" s="34">
        <f>IF(AND(AQ$4*1&gt;=$D29,AQ$4*1&lt;=$E29),$F29/($E29-$D29+1),0)</f>
        <v/>
      </c>
      <c r="AR29" s="34">
        <f>IF(AND(AR$4*1&gt;=$D29,AR$4*1&lt;=$E29),$F29/($E29-$D29+1),0)</f>
        <v/>
      </c>
      <c r="AS29" s="34">
        <f>IF(AND(AS$4*1&gt;=$D29,AS$4*1&lt;=$E29),$F29/($E29-$D29+1),0)</f>
        <v/>
      </c>
      <c r="AT29" s="34">
        <f>IF(AND(AT$4*1&gt;=$D29,AT$4*1&lt;=$E29),$F29/($E29-$D29+1),0)</f>
        <v/>
      </c>
      <c r="AU29" s="34">
        <f>IF(AND(AU$4*1&gt;=$D29,AU$4*1&lt;=$E29),$F29/($E29-$D29+1),0)</f>
        <v/>
      </c>
      <c r="AV29" s="34">
        <f>IF(AND(AV$4*1&gt;=$D29,AV$4*1&lt;=$E29),$F29/($E29-$D29+1),0)</f>
        <v/>
      </c>
      <c r="AW29" s="34">
        <f>IF(AND(AW$4*1&gt;=$D29,AW$4*1&lt;=$E29),$F29/($E29-$D29+1),0)</f>
        <v/>
      </c>
      <c r="AX29" s="34">
        <f>IF(AND(AX$4*1&gt;=$D29,AX$4*1&lt;=$E29),$F29/($E29-$D29+1),0)</f>
        <v/>
      </c>
      <c r="AY29" s="34">
        <f>IF(AND(AY$4*1&gt;=$D29,AY$4*1&lt;=$E29),$F29/($E29-$D29+1),0)</f>
        <v/>
      </c>
      <c r="AZ29" s="34">
        <f>IF(AND(AZ$4*1&gt;=$D29,AZ$4*1&lt;=$E29),$F29/($E29-$D29+1),0)</f>
        <v/>
      </c>
      <c r="BA29" s="34">
        <f>IF(AND(BA$4*1&gt;=$D29,BA$4*1&lt;=$E29),$F29/($E29-$D29+1),0)</f>
        <v/>
      </c>
      <c r="BB29" s="34">
        <f>IF(AND(BB$4*1&gt;=$D29,BB$4*1&lt;=$E29),$F29/($E29-$D29+1),0)</f>
        <v/>
      </c>
      <c r="BC29" s="34">
        <f>IF(AND(BC$4*1&gt;=$D29,BC$4*1&lt;=$E29),$F29/($E29-$D29+1),0)</f>
        <v/>
      </c>
      <c r="BD29" s="34">
        <f>IF(AND(BD$4*1&gt;=$D29,BD$4*1&lt;=$E29),$F29/($E29-$D29+1),0)</f>
        <v/>
      </c>
      <c r="BE29" s="34">
        <f>IF(AND(BE$4*1&gt;=$D29,BE$4*1&lt;=$E29),$F29/($E29-$D29+1),0)</f>
        <v/>
      </c>
      <c r="BF29" s="34">
        <f>IF(AND(BF$4*1&gt;=$D29,BF$4*1&lt;=$E29),$F29/($E29-$D29+1),0)</f>
        <v/>
      </c>
      <c r="BG29" s="34">
        <f>IF(AND(BG$4*1&gt;=$D29,BG$4*1&lt;=$E29),$F29/($E29-$D29+1),0)</f>
        <v/>
      </c>
      <c r="BH29" s="34">
        <f>IF(AND(BH$4*1&gt;=$D29,BH$4*1&lt;=$E29),$F29/($E29-$D29+1),0)</f>
        <v/>
      </c>
      <c r="BI29" s="34">
        <f>IF(AND(BI$4*1&gt;=$D29,BI$4*1&lt;=$E29),$F29/($E29-$D29+1),0)</f>
        <v/>
      </c>
      <c r="BJ29" s="34">
        <f>IF(AND(BJ$4*1&gt;=$D29,BJ$4*1&lt;=$E29),$F29/($E29-$D29+1),0)</f>
        <v/>
      </c>
      <c r="BK29" s="34">
        <f>IF(AND(BK$4*1&gt;=$D29,BK$4*1&lt;=$E29),$F29/($E29-$D29+1),0)</f>
        <v/>
      </c>
      <c r="BL29" s="35">
        <f>SUM(H29:BK29)</f>
        <v/>
      </c>
    </row>
    <row r="30">
      <c r="A30" s="3" t="inlineStr">
        <is>
          <t>4.1.2</t>
        </is>
      </c>
      <c r="B30" s="4" t="inlineStr">
        <is>
          <t>Ensayo de reversión E1</t>
        </is>
      </c>
      <c r="C30" s="14" t="inlineStr">
        <is>
          <t>IMP</t>
        </is>
      </c>
      <c r="D30" s="33" t="n">
        <v>11</v>
      </c>
      <c r="E30" s="33" t="n">
        <v>11</v>
      </c>
      <c r="F30" s="7" t="n">
        <v>80</v>
      </c>
      <c r="G30" s="4" t="inlineStr">
        <is>
          <t>Evaluación</t>
        </is>
      </c>
      <c r="H30" s="34">
        <f>IF(AND(H$4*1&gt;=$D30,H$4*1&lt;=$E30),$F30/($E30-$D30+1),0)</f>
        <v/>
      </c>
      <c r="I30" s="34">
        <f>IF(AND(I$4*1&gt;=$D30,I$4*1&lt;=$E30),$F30/($E30-$D30+1),0)</f>
        <v/>
      </c>
      <c r="J30" s="34">
        <f>IF(AND(J$4*1&gt;=$D30,J$4*1&lt;=$E30),$F30/($E30-$D30+1),0)</f>
        <v/>
      </c>
      <c r="K30" s="34">
        <f>IF(AND(K$4*1&gt;=$D30,K$4*1&lt;=$E30),$F30/($E30-$D30+1),0)</f>
        <v/>
      </c>
      <c r="L30" s="34">
        <f>IF(AND(L$4*1&gt;=$D30,L$4*1&lt;=$E30),$F30/($E30-$D30+1),0)</f>
        <v/>
      </c>
      <c r="M30" s="34">
        <f>IF(AND(M$4*1&gt;=$D30,M$4*1&lt;=$E30),$F30/($E30-$D30+1),0)</f>
        <v/>
      </c>
      <c r="N30" s="34">
        <f>IF(AND(N$4*1&gt;=$D30,N$4*1&lt;=$E30),$F30/($E30-$D30+1),0)</f>
        <v/>
      </c>
      <c r="O30" s="34">
        <f>IF(AND(O$4*1&gt;=$D30,O$4*1&lt;=$E30),$F30/($E30-$D30+1),0)</f>
        <v/>
      </c>
      <c r="P30" s="34">
        <f>IF(AND(P$4*1&gt;=$D30,P$4*1&lt;=$E30),$F30/($E30-$D30+1),0)</f>
        <v/>
      </c>
      <c r="Q30" s="34">
        <f>IF(AND(Q$4*1&gt;=$D30,Q$4*1&lt;=$E30),$F30/($E30-$D30+1),0)</f>
        <v/>
      </c>
      <c r="R30" s="34">
        <f>IF(AND(R$4*1&gt;=$D30,R$4*1&lt;=$E30),$F30/($E30-$D30+1),0)</f>
        <v/>
      </c>
      <c r="S30" s="34">
        <f>IF(AND(S$4*1&gt;=$D30,S$4*1&lt;=$E30),$F30/($E30-$D30+1),0)</f>
        <v/>
      </c>
      <c r="T30" s="34">
        <f>IF(AND(T$4*1&gt;=$D30,T$4*1&lt;=$E30),$F30/($E30-$D30+1),0)</f>
        <v/>
      </c>
      <c r="U30" s="34">
        <f>IF(AND(U$4*1&gt;=$D30,U$4*1&lt;=$E30),$F30/($E30-$D30+1),0)</f>
        <v/>
      </c>
      <c r="V30" s="34">
        <f>IF(AND(V$4*1&gt;=$D30,V$4*1&lt;=$E30),$F30/($E30-$D30+1),0)</f>
        <v/>
      </c>
      <c r="W30" s="34">
        <f>IF(AND(W$4*1&gt;=$D30,W$4*1&lt;=$E30),$F30/($E30-$D30+1),0)</f>
        <v/>
      </c>
      <c r="X30" s="34">
        <f>IF(AND(X$4*1&gt;=$D30,X$4*1&lt;=$E30),$F30/($E30-$D30+1),0)</f>
        <v/>
      </c>
      <c r="Y30" s="34">
        <f>IF(AND(Y$4*1&gt;=$D30,Y$4*1&lt;=$E30),$F30/($E30-$D30+1),0)</f>
        <v/>
      </c>
      <c r="Z30" s="34">
        <f>IF(AND(Z$4*1&gt;=$D30,Z$4*1&lt;=$E30),$F30/($E30-$D30+1),0)</f>
        <v/>
      </c>
      <c r="AA30" s="34">
        <f>IF(AND(AA$4*1&gt;=$D30,AA$4*1&lt;=$E30),$F30/($E30-$D30+1),0)</f>
        <v/>
      </c>
      <c r="AB30" s="34">
        <f>IF(AND(AB$4*1&gt;=$D30,AB$4*1&lt;=$E30),$F30/($E30-$D30+1),0)</f>
        <v/>
      </c>
      <c r="AC30" s="34">
        <f>IF(AND(AC$4*1&gt;=$D30,AC$4*1&lt;=$E30),$F30/($E30-$D30+1),0)</f>
        <v/>
      </c>
      <c r="AD30" s="34">
        <f>IF(AND(AD$4*1&gt;=$D30,AD$4*1&lt;=$E30),$F30/($E30-$D30+1),0)</f>
        <v/>
      </c>
      <c r="AE30" s="34">
        <f>IF(AND(AE$4*1&gt;=$D30,AE$4*1&lt;=$E30),$F30/($E30-$D30+1),0)</f>
        <v/>
      </c>
      <c r="AF30" s="34">
        <f>IF(AND(AF$4*1&gt;=$D30,AF$4*1&lt;=$E30),$F30/($E30-$D30+1),0)</f>
        <v/>
      </c>
      <c r="AG30" s="34">
        <f>IF(AND(AG$4*1&gt;=$D30,AG$4*1&lt;=$E30),$F30/($E30-$D30+1),0)</f>
        <v/>
      </c>
      <c r="AH30" s="34">
        <f>IF(AND(AH$4*1&gt;=$D30,AH$4*1&lt;=$E30),$F30/($E30-$D30+1),0)</f>
        <v/>
      </c>
      <c r="AI30" s="34">
        <f>IF(AND(AI$4*1&gt;=$D30,AI$4*1&lt;=$E30),$F30/($E30-$D30+1),0)</f>
        <v/>
      </c>
      <c r="AJ30" s="34">
        <f>IF(AND(AJ$4*1&gt;=$D30,AJ$4*1&lt;=$E30),$F30/($E30-$D30+1),0)</f>
        <v/>
      </c>
      <c r="AK30" s="34">
        <f>IF(AND(AK$4*1&gt;=$D30,AK$4*1&lt;=$E30),$F30/($E30-$D30+1),0)</f>
        <v/>
      </c>
      <c r="AL30" s="34">
        <f>IF(AND(AL$4*1&gt;=$D30,AL$4*1&lt;=$E30),$F30/($E30-$D30+1),0)</f>
        <v/>
      </c>
      <c r="AM30" s="34">
        <f>IF(AND(AM$4*1&gt;=$D30,AM$4*1&lt;=$E30),$F30/($E30-$D30+1),0)</f>
        <v/>
      </c>
      <c r="AN30" s="34">
        <f>IF(AND(AN$4*1&gt;=$D30,AN$4*1&lt;=$E30),$F30/($E30-$D30+1),0)</f>
        <v/>
      </c>
      <c r="AO30" s="34">
        <f>IF(AND(AO$4*1&gt;=$D30,AO$4*1&lt;=$E30),$F30/($E30-$D30+1),0)</f>
        <v/>
      </c>
      <c r="AP30" s="34">
        <f>IF(AND(AP$4*1&gt;=$D30,AP$4*1&lt;=$E30),$F30/($E30-$D30+1),0)</f>
        <v/>
      </c>
      <c r="AQ30" s="34">
        <f>IF(AND(AQ$4*1&gt;=$D30,AQ$4*1&lt;=$E30),$F30/($E30-$D30+1),0)</f>
        <v/>
      </c>
      <c r="AR30" s="34">
        <f>IF(AND(AR$4*1&gt;=$D30,AR$4*1&lt;=$E30),$F30/($E30-$D30+1),0)</f>
        <v/>
      </c>
      <c r="AS30" s="34">
        <f>IF(AND(AS$4*1&gt;=$D30,AS$4*1&lt;=$E30),$F30/($E30-$D30+1),0)</f>
        <v/>
      </c>
      <c r="AT30" s="34">
        <f>IF(AND(AT$4*1&gt;=$D30,AT$4*1&lt;=$E30),$F30/($E30-$D30+1),0)</f>
        <v/>
      </c>
      <c r="AU30" s="34">
        <f>IF(AND(AU$4*1&gt;=$D30,AU$4*1&lt;=$E30),$F30/($E30-$D30+1),0)</f>
        <v/>
      </c>
      <c r="AV30" s="34">
        <f>IF(AND(AV$4*1&gt;=$D30,AV$4*1&lt;=$E30),$F30/($E30-$D30+1),0)</f>
        <v/>
      </c>
      <c r="AW30" s="34">
        <f>IF(AND(AW$4*1&gt;=$D30,AW$4*1&lt;=$E30),$F30/($E30-$D30+1),0)</f>
        <v/>
      </c>
      <c r="AX30" s="34">
        <f>IF(AND(AX$4*1&gt;=$D30,AX$4*1&lt;=$E30),$F30/($E30-$D30+1),0)</f>
        <v/>
      </c>
      <c r="AY30" s="34">
        <f>IF(AND(AY$4*1&gt;=$D30,AY$4*1&lt;=$E30),$F30/($E30-$D30+1),0)</f>
        <v/>
      </c>
      <c r="AZ30" s="34">
        <f>IF(AND(AZ$4*1&gt;=$D30,AZ$4*1&lt;=$E30),$F30/($E30-$D30+1),0)</f>
        <v/>
      </c>
      <c r="BA30" s="34">
        <f>IF(AND(BA$4*1&gt;=$D30,BA$4*1&lt;=$E30),$F30/($E30-$D30+1),0)</f>
        <v/>
      </c>
      <c r="BB30" s="34">
        <f>IF(AND(BB$4*1&gt;=$D30,BB$4*1&lt;=$E30),$F30/($E30-$D30+1),0)</f>
        <v/>
      </c>
      <c r="BC30" s="34">
        <f>IF(AND(BC$4*1&gt;=$D30,BC$4*1&lt;=$E30),$F30/($E30-$D30+1),0)</f>
        <v/>
      </c>
      <c r="BD30" s="34">
        <f>IF(AND(BD$4*1&gt;=$D30,BD$4*1&lt;=$E30),$F30/($E30-$D30+1),0)</f>
        <v/>
      </c>
      <c r="BE30" s="34">
        <f>IF(AND(BE$4*1&gt;=$D30,BE$4*1&lt;=$E30),$F30/($E30-$D30+1),0)</f>
        <v/>
      </c>
      <c r="BF30" s="34">
        <f>IF(AND(BF$4*1&gt;=$D30,BF$4*1&lt;=$E30),$F30/($E30-$D30+1),0)</f>
        <v/>
      </c>
      <c r="BG30" s="34">
        <f>IF(AND(BG$4*1&gt;=$D30,BG$4*1&lt;=$E30),$F30/($E30-$D30+1),0)</f>
        <v/>
      </c>
      <c r="BH30" s="34">
        <f>IF(AND(BH$4*1&gt;=$D30,BH$4*1&lt;=$E30),$F30/($E30-$D30+1),0)</f>
        <v/>
      </c>
      <c r="BI30" s="34">
        <f>IF(AND(BI$4*1&gt;=$D30,BI$4*1&lt;=$E30),$F30/($E30-$D30+1),0)</f>
        <v/>
      </c>
      <c r="BJ30" s="34">
        <f>IF(AND(BJ$4*1&gt;=$D30,BJ$4*1&lt;=$E30),$F30/($E30-$D30+1),0)</f>
        <v/>
      </c>
      <c r="BK30" s="34">
        <f>IF(AND(BK$4*1&gt;=$D30,BK$4*1&lt;=$E30),$F30/($E30-$D30+1),0)</f>
        <v/>
      </c>
      <c r="BL30" s="35">
        <f>SUM(H30:BK30)</f>
        <v/>
      </c>
    </row>
    <row r="31">
      <c r="A31" s="3" t="inlineStr">
        <is>
          <t>7.3.1</t>
        </is>
      </c>
      <c r="B31" s="4" t="inlineStr">
        <is>
          <t>Certificación de usuarios E1</t>
        </is>
      </c>
      <c r="C31" s="14" t="inlineStr">
        <is>
          <t>IMP</t>
        </is>
      </c>
      <c r="D31" s="33" t="n">
        <v>13</v>
      </c>
      <c r="E31" s="33" t="n">
        <v>15</v>
      </c>
      <c r="F31" s="7" t="n">
        <v>160</v>
      </c>
      <c r="G31" s="4" t="inlineStr">
        <is>
          <t>Evaluación</t>
        </is>
      </c>
      <c r="H31" s="34">
        <f>IF(AND(H$4*1&gt;=$D31,H$4*1&lt;=$E31),$F31/($E31-$D31+1),0)</f>
        <v/>
      </c>
      <c r="I31" s="34">
        <f>IF(AND(I$4*1&gt;=$D31,I$4*1&lt;=$E31),$F31/($E31-$D31+1),0)</f>
        <v/>
      </c>
      <c r="J31" s="34">
        <f>IF(AND(J$4*1&gt;=$D31,J$4*1&lt;=$E31),$F31/($E31-$D31+1),0)</f>
        <v/>
      </c>
      <c r="K31" s="34">
        <f>IF(AND(K$4*1&gt;=$D31,K$4*1&lt;=$E31),$F31/($E31-$D31+1),0)</f>
        <v/>
      </c>
      <c r="L31" s="34">
        <f>IF(AND(L$4*1&gt;=$D31,L$4*1&lt;=$E31),$F31/($E31-$D31+1),0)</f>
        <v/>
      </c>
      <c r="M31" s="34">
        <f>IF(AND(M$4*1&gt;=$D31,M$4*1&lt;=$E31),$F31/($E31-$D31+1),0)</f>
        <v/>
      </c>
      <c r="N31" s="34">
        <f>IF(AND(N$4*1&gt;=$D31,N$4*1&lt;=$E31),$F31/($E31-$D31+1),0)</f>
        <v/>
      </c>
      <c r="O31" s="34">
        <f>IF(AND(O$4*1&gt;=$D31,O$4*1&lt;=$E31),$F31/($E31-$D31+1),0)</f>
        <v/>
      </c>
      <c r="P31" s="34">
        <f>IF(AND(P$4*1&gt;=$D31,P$4*1&lt;=$E31),$F31/($E31-$D31+1),0)</f>
        <v/>
      </c>
      <c r="Q31" s="34">
        <f>IF(AND(Q$4*1&gt;=$D31,Q$4*1&lt;=$E31),$F31/($E31-$D31+1),0)</f>
        <v/>
      </c>
      <c r="R31" s="34">
        <f>IF(AND(R$4*1&gt;=$D31,R$4*1&lt;=$E31),$F31/($E31-$D31+1),0)</f>
        <v/>
      </c>
      <c r="S31" s="34">
        <f>IF(AND(S$4*1&gt;=$D31,S$4*1&lt;=$E31),$F31/($E31-$D31+1),0)</f>
        <v/>
      </c>
      <c r="T31" s="34">
        <f>IF(AND(T$4*1&gt;=$D31,T$4*1&lt;=$E31),$F31/($E31-$D31+1),0)</f>
        <v/>
      </c>
      <c r="U31" s="34">
        <f>IF(AND(U$4*1&gt;=$D31,U$4*1&lt;=$E31),$F31/($E31-$D31+1),0)</f>
        <v/>
      </c>
      <c r="V31" s="34">
        <f>IF(AND(V$4*1&gt;=$D31,V$4*1&lt;=$E31),$F31/($E31-$D31+1),0)</f>
        <v/>
      </c>
      <c r="W31" s="34">
        <f>IF(AND(W$4*1&gt;=$D31,W$4*1&lt;=$E31),$F31/($E31-$D31+1),0)</f>
        <v/>
      </c>
      <c r="X31" s="34">
        <f>IF(AND(X$4*1&gt;=$D31,X$4*1&lt;=$E31),$F31/($E31-$D31+1),0)</f>
        <v/>
      </c>
      <c r="Y31" s="34">
        <f>IF(AND(Y$4*1&gt;=$D31,Y$4*1&lt;=$E31),$F31/($E31-$D31+1),0)</f>
        <v/>
      </c>
      <c r="Z31" s="34">
        <f>IF(AND(Z$4*1&gt;=$D31,Z$4*1&lt;=$E31),$F31/($E31-$D31+1),0)</f>
        <v/>
      </c>
      <c r="AA31" s="34">
        <f>IF(AND(AA$4*1&gt;=$D31,AA$4*1&lt;=$E31),$F31/($E31-$D31+1),0)</f>
        <v/>
      </c>
      <c r="AB31" s="34">
        <f>IF(AND(AB$4*1&gt;=$D31,AB$4*1&lt;=$E31),$F31/($E31-$D31+1),0)</f>
        <v/>
      </c>
      <c r="AC31" s="34">
        <f>IF(AND(AC$4*1&gt;=$D31,AC$4*1&lt;=$E31),$F31/($E31-$D31+1),0)</f>
        <v/>
      </c>
      <c r="AD31" s="34">
        <f>IF(AND(AD$4*1&gt;=$D31,AD$4*1&lt;=$E31),$F31/($E31-$D31+1),0)</f>
        <v/>
      </c>
      <c r="AE31" s="34">
        <f>IF(AND(AE$4*1&gt;=$D31,AE$4*1&lt;=$E31),$F31/($E31-$D31+1),0)</f>
        <v/>
      </c>
      <c r="AF31" s="34">
        <f>IF(AND(AF$4*1&gt;=$D31,AF$4*1&lt;=$E31),$F31/($E31-$D31+1),0)</f>
        <v/>
      </c>
      <c r="AG31" s="34">
        <f>IF(AND(AG$4*1&gt;=$D31,AG$4*1&lt;=$E31),$F31/($E31-$D31+1),0)</f>
        <v/>
      </c>
      <c r="AH31" s="34">
        <f>IF(AND(AH$4*1&gt;=$D31,AH$4*1&lt;=$E31),$F31/($E31-$D31+1),0)</f>
        <v/>
      </c>
      <c r="AI31" s="34">
        <f>IF(AND(AI$4*1&gt;=$D31,AI$4*1&lt;=$E31),$F31/($E31-$D31+1),0)</f>
        <v/>
      </c>
      <c r="AJ31" s="34">
        <f>IF(AND(AJ$4*1&gt;=$D31,AJ$4*1&lt;=$E31),$F31/($E31-$D31+1),0)</f>
        <v/>
      </c>
      <c r="AK31" s="34">
        <f>IF(AND(AK$4*1&gt;=$D31,AK$4*1&lt;=$E31),$F31/($E31-$D31+1),0)</f>
        <v/>
      </c>
      <c r="AL31" s="34">
        <f>IF(AND(AL$4*1&gt;=$D31,AL$4*1&lt;=$E31),$F31/($E31-$D31+1),0)</f>
        <v/>
      </c>
      <c r="AM31" s="34">
        <f>IF(AND(AM$4*1&gt;=$D31,AM$4*1&lt;=$E31),$F31/($E31-$D31+1),0)</f>
        <v/>
      </c>
      <c r="AN31" s="34">
        <f>IF(AND(AN$4*1&gt;=$D31,AN$4*1&lt;=$E31),$F31/($E31-$D31+1),0)</f>
        <v/>
      </c>
      <c r="AO31" s="34">
        <f>IF(AND(AO$4*1&gt;=$D31,AO$4*1&lt;=$E31),$F31/($E31-$D31+1),0)</f>
        <v/>
      </c>
      <c r="AP31" s="34">
        <f>IF(AND(AP$4*1&gt;=$D31,AP$4*1&lt;=$E31),$F31/($E31-$D31+1),0)</f>
        <v/>
      </c>
      <c r="AQ31" s="34">
        <f>IF(AND(AQ$4*1&gt;=$D31,AQ$4*1&lt;=$E31),$F31/($E31-$D31+1),0)</f>
        <v/>
      </c>
      <c r="AR31" s="34">
        <f>IF(AND(AR$4*1&gt;=$D31,AR$4*1&lt;=$E31),$F31/($E31-$D31+1),0)</f>
        <v/>
      </c>
      <c r="AS31" s="34">
        <f>IF(AND(AS$4*1&gt;=$D31,AS$4*1&lt;=$E31),$F31/($E31-$D31+1),0)</f>
        <v/>
      </c>
      <c r="AT31" s="34">
        <f>IF(AND(AT$4*1&gt;=$D31,AT$4*1&lt;=$E31),$F31/($E31-$D31+1),0)</f>
        <v/>
      </c>
      <c r="AU31" s="34">
        <f>IF(AND(AU$4*1&gt;=$D31,AU$4*1&lt;=$E31),$F31/($E31-$D31+1),0)</f>
        <v/>
      </c>
      <c r="AV31" s="34">
        <f>IF(AND(AV$4*1&gt;=$D31,AV$4*1&lt;=$E31),$F31/($E31-$D31+1),0)</f>
        <v/>
      </c>
      <c r="AW31" s="34">
        <f>IF(AND(AW$4*1&gt;=$D31,AW$4*1&lt;=$E31),$F31/($E31-$D31+1),0)</f>
        <v/>
      </c>
      <c r="AX31" s="34">
        <f>IF(AND(AX$4*1&gt;=$D31,AX$4*1&lt;=$E31),$F31/($E31-$D31+1),0)</f>
        <v/>
      </c>
      <c r="AY31" s="34">
        <f>IF(AND(AY$4*1&gt;=$D31,AY$4*1&lt;=$E31),$F31/($E31-$D31+1),0)</f>
        <v/>
      </c>
      <c r="AZ31" s="34">
        <f>IF(AND(AZ$4*1&gt;=$D31,AZ$4*1&lt;=$E31),$F31/($E31-$D31+1),0)</f>
        <v/>
      </c>
      <c r="BA31" s="34">
        <f>IF(AND(BA$4*1&gt;=$D31,BA$4*1&lt;=$E31),$F31/($E31-$D31+1),0)</f>
        <v/>
      </c>
      <c r="BB31" s="34">
        <f>IF(AND(BB$4*1&gt;=$D31,BB$4*1&lt;=$E31),$F31/($E31-$D31+1),0)</f>
        <v/>
      </c>
      <c r="BC31" s="34">
        <f>IF(AND(BC$4*1&gt;=$D31,BC$4*1&lt;=$E31),$F31/($E31-$D31+1),0)</f>
        <v/>
      </c>
      <c r="BD31" s="34">
        <f>IF(AND(BD$4*1&gt;=$D31,BD$4*1&lt;=$E31),$F31/($E31-$D31+1),0)</f>
        <v/>
      </c>
      <c r="BE31" s="34">
        <f>IF(AND(BE$4*1&gt;=$D31,BE$4*1&lt;=$E31),$F31/($E31-$D31+1),0)</f>
        <v/>
      </c>
      <c r="BF31" s="34">
        <f>IF(AND(BF$4*1&gt;=$D31,BF$4*1&lt;=$E31),$F31/($E31-$D31+1),0)</f>
        <v/>
      </c>
      <c r="BG31" s="34">
        <f>IF(AND(BG$4*1&gt;=$D31,BG$4*1&lt;=$E31),$F31/($E31-$D31+1),0)</f>
        <v/>
      </c>
      <c r="BH31" s="34">
        <f>IF(AND(BH$4*1&gt;=$D31,BH$4*1&lt;=$E31),$F31/($E31-$D31+1),0)</f>
        <v/>
      </c>
      <c r="BI31" s="34">
        <f>IF(AND(BI$4*1&gt;=$D31,BI$4*1&lt;=$E31),$F31/($E31-$D31+1),0)</f>
        <v/>
      </c>
      <c r="BJ31" s="34">
        <f>IF(AND(BJ$4*1&gt;=$D31,BJ$4*1&lt;=$E31),$F31/($E31-$D31+1),0)</f>
        <v/>
      </c>
      <c r="BK31" s="34">
        <f>IF(AND(BK$4*1&gt;=$D31,BK$4*1&lt;=$E31),$F31/($E31-$D31+1),0)</f>
        <v/>
      </c>
      <c r="BL31" s="35">
        <f>SUM(H31:BK31)</f>
        <v/>
      </c>
    </row>
    <row r="32">
      <c r="A32" s="3" t="inlineStr">
        <is>
          <t>7.3.2</t>
        </is>
      </c>
      <c r="B32" s="4" t="inlineStr">
        <is>
          <t>Certificación de usuarios E2</t>
        </is>
      </c>
      <c r="C32" s="14" t="inlineStr">
        <is>
          <t>IMP</t>
        </is>
      </c>
      <c r="D32" s="33" t="n">
        <v>18</v>
      </c>
      <c r="E32" s="33" t="n">
        <v>18</v>
      </c>
      <c r="F32" s="7" t="n">
        <v>160</v>
      </c>
      <c r="G32" s="4" t="inlineStr">
        <is>
          <t>Evaluación</t>
        </is>
      </c>
      <c r="H32" s="34">
        <f>IF(AND(H$4*1&gt;=$D32,H$4*1&lt;=$E32),$F32/($E32-$D32+1),0)</f>
        <v/>
      </c>
      <c r="I32" s="34">
        <f>IF(AND(I$4*1&gt;=$D32,I$4*1&lt;=$E32),$F32/($E32-$D32+1),0)</f>
        <v/>
      </c>
      <c r="J32" s="34">
        <f>IF(AND(J$4*1&gt;=$D32,J$4*1&lt;=$E32),$F32/($E32-$D32+1),0)</f>
        <v/>
      </c>
      <c r="K32" s="34">
        <f>IF(AND(K$4*1&gt;=$D32,K$4*1&lt;=$E32),$F32/($E32-$D32+1),0)</f>
        <v/>
      </c>
      <c r="L32" s="34">
        <f>IF(AND(L$4*1&gt;=$D32,L$4*1&lt;=$E32),$F32/($E32-$D32+1),0)</f>
        <v/>
      </c>
      <c r="M32" s="34">
        <f>IF(AND(M$4*1&gt;=$D32,M$4*1&lt;=$E32),$F32/($E32-$D32+1),0)</f>
        <v/>
      </c>
      <c r="N32" s="34">
        <f>IF(AND(N$4*1&gt;=$D32,N$4*1&lt;=$E32),$F32/($E32-$D32+1),0)</f>
        <v/>
      </c>
      <c r="O32" s="34">
        <f>IF(AND(O$4*1&gt;=$D32,O$4*1&lt;=$E32),$F32/($E32-$D32+1),0)</f>
        <v/>
      </c>
      <c r="P32" s="34">
        <f>IF(AND(P$4*1&gt;=$D32,P$4*1&lt;=$E32),$F32/($E32-$D32+1),0)</f>
        <v/>
      </c>
      <c r="Q32" s="34">
        <f>IF(AND(Q$4*1&gt;=$D32,Q$4*1&lt;=$E32),$F32/($E32-$D32+1),0)</f>
        <v/>
      </c>
      <c r="R32" s="34">
        <f>IF(AND(R$4*1&gt;=$D32,R$4*1&lt;=$E32),$F32/($E32-$D32+1),0)</f>
        <v/>
      </c>
      <c r="S32" s="34">
        <f>IF(AND(S$4*1&gt;=$D32,S$4*1&lt;=$E32),$F32/($E32-$D32+1),0)</f>
        <v/>
      </c>
      <c r="T32" s="34">
        <f>IF(AND(T$4*1&gt;=$D32,T$4*1&lt;=$E32),$F32/($E32-$D32+1),0)</f>
        <v/>
      </c>
      <c r="U32" s="34">
        <f>IF(AND(U$4*1&gt;=$D32,U$4*1&lt;=$E32),$F32/($E32-$D32+1),0)</f>
        <v/>
      </c>
      <c r="V32" s="34">
        <f>IF(AND(V$4*1&gt;=$D32,V$4*1&lt;=$E32),$F32/($E32-$D32+1),0)</f>
        <v/>
      </c>
      <c r="W32" s="34">
        <f>IF(AND(W$4*1&gt;=$D32,W$4*1&lt;=$E32),$F32/($E32-$D32+1),0)</f>
        <v/>
      </c>
      <c r="X32" s="34">
        <f>IF(AND(X$4*1&gt;=$D32,X$4*1&lt;=$E32),$F32/($E32-$D32+1),0)</f>
        <v/>
      </c>
      <c r="Y32" s="34">
        <f>IF(AND(Y$4*1&gt;=$D32,Y$4*1&lt;=$E32),$F32/($E32-$D32+1),0)</f>
        <v/>
      </c>
      <c r="Z32" s="34">
        <f>IF(AND(Z$4*1&gt;=$D32,Z$4*1&lt;=$E32),$F32/($E32-$D32+1),0)</f>
        <v/>
      </c>
      <c r="AA32" s="34">
        <f>IF(AND(AA$4*1&gt;=$D32,AA$4*1&lt;=$E32),$F32/($E32-$D32+1),0)</f>
        <v/>
      </c>
      <c r="AB32" s="34">
        <f>IF(AND(AB$4*1&gt;=$D32,AB$4*1&lt;=$E32),$F32/($E32-$D32+1),0)</f>
        <v/>
      </c>
      <c r="AC32" s="34">
        <f>IF(AND(AC$4*1&gt;=$D32,AC$4*1&lt;=$E32),$F32/($E32-$D32+1),0)</f>
        <v/>
      </c>
      <c r="AD32" s="34">
        <f>IF(AND(AD$4*1&gt;=$D32,AD$4*1&lt;=$E32),$F32/($E32-$D32+1),0)</f>
        <v/>
      </c>
      <c r="AE32" s="34">
        <f>IF(AND(AE$4*1&gt;=$D32,AE$4*1&lt;=$E32),$F32/($E32-$D32+1),0)</f>
        <v/>
      </c>
      <c r="AF32" s="34">
        <f>IF(AND(AF$4*1&gt;=$D32,AF$4*1&lt;=$E32),$F32/($E32-$D32+1),0)</f>
        <v/>
      </c>
      <c r="AG32" s="34">
        <f>IF(AND(AG$4*1&gt;=$D32,AG$4*1&lt;=$E32),$F32/($E32-$D32+1),0)</f>
        <v/>
      </c>
      <c r="AH32" s="34">
        <f>IF(AND(AH$4*1&gt;=$D32,AH$4*1&lt;=$E32),$F32/($E32-$D32+1),0)</f>
        <v/>
      </c>
      <c r="AI32" s="34">
        <f>IF(AND(AI$4*1&gt;=$D32,AI$4*1&lt;=$E32),$F32/($E32-$D32+1),0)</f>
        <v/>
      </c>
      <c r="AJ32" s="34">
        <f>IF(AND(AJ$4*1&gt;=$D32,AJ$4*1&lt;=$E32),$F32/($E32-$D32+1),0)</f>
        <v/>
      </c>
      <c r="AK32" s="34">
        <f>IF(AND(AK$4*1&gt;=$D32,AK$4*1&lt;=$E32),$F32/($E32-$D32+1),0)</f>
        <v/>
      </c>
      <c r="AL32" s="34">
        <f>IF(AND(AL$4*1&gt;=$D32,AL$4*1&lt;=$E32),$F32/($E32-$D32+1),0)</f>
        <v/>
      </c>
      <c r="AM32" s="34">
        <f>IF(AND(AM$4*1&gt;=$D32,AM$4*1&lt;=$E32),$F32/($E32-$D32+1),0)</f>
        <v/>
      </c>
      <c r="AN32" s="34">
        <f>IF(AND(AN$4*1&gt;=$D32,AN$4*1&lt;=$E32),$F32/($E32-$D32+1),0)</f>
        <v/>
      </c>
      <c r="AO32" s="34">
        <f>IF(AND(AO$4*1&gt;=$D32,AO$4*1&lt;=$E32),$F32/($E32-$D32+1),0)</f>
        <v/>
      </c>
      <c r="AP32" s="34">
        <f>IF(AND(AP$4*1&gt;=$D32,AP$4*1&lt;=$E32),$F32/($E32-$D32+1),0)</f>
        <v/>
      </c>
      <c r="AQ32" s="34">
        <f>IF(AND(AQ$4*1&gt;=$D32,AQ$4*1&lt;=$E32),$F32/($E32-$D32+1),0)</f>
        <v/>
      </c>
      <c r="AR32" s="34">
        <f>IF(AND(AR$4*1&gt;=$D32,AR$4*1&lt;=$E32),$F32/($E32-$D32+1),0)</f>
        <v/>
      </c>
      <c r="AS32" s="34">
        <f>IF(AND(AS$4*1&gt;=$D32,AS$4*1&lt;=$E32),$F32/($E32-$D32+1),0)</f>
        <v/>
      </c>
      <c r="AT32" s="34">
        <f>IF(AND(AT$4*1&gt;=$D32,AT$4*1&lt;=$E32),$F32/($E32-$D32+1),0)</f>
        <v/>
      </c>
      <c r="AU32" s="34">
        <f>IF(AND(AU$4*1&gt;=$D32,AU$4*1&lt;=$E32),$F32/($E32-$D32+1),0)</f>
        <v/>
      </c>
      <c r="AV32" s="34">
        <f>IF(AND(AV$4*1&gt;=$D32,AV$4*1&lt;=$E32),$F32/($E32-$D32+1),0)</f>
        <v/>
      </c>
      <c r="AW32" s="34">
        <f>IF(AND(AW$4*1&gt;=$D32,AW$4*1&lt;=$E32),$F32/($E32-$D32+1),0)</f>
        <v/>
      </c>
      <c r="AX32" s="34">
        <f>IF(AND(AX$4*1&gt;=$D32,AX$4*1&lt;=$E32),$F32/($E32-$D32+1),0)</f>
        <v/>
      </c>
      <c r="AY32" s="34">
        <f>IF(AND(AY$4*1&gt;=$D32,AY$4*1&lt;=$E32),$F32/($E32-$D32+1),0)</f>
        <v/>
      </c>
      <c r="AZ32" s="34">
        <f>IF(AND(AZ$4*1&gt;=$D32,AZ$4*1&lt;=$E32),$F32/($E32-$D32+1),0)</f>
        <v/>
      </c>
      <c r="BA32" s="34">
        <f>IF(AND(BA$4*1&gt;=$D32,BA$4*1&lt;=$E32),$F32/($E32-$D32+1),0)</f>
        <v/>
      </c>
      <c r="BB32" s="34">
        <f>IF(AND(BB$4*1&gt;=$D32,BB$4*1&lt;=$E32),$F32/($E32-$D32+1),0)</f>
        <v/>
      </c>
      <c r="BC32" s="34">
        <f>IF(AND(BC$4*1&gt;=$D32,BC$4*1&lt;=$E32),$F32/($E32-$D32+1),0)</f>
        <v/>
      </c>
      <c r="BD32" s="34">
        <f>IF(AND(BD$4*1&gt;=$D32,BD$4*1&lt;=$E32),$F32/($E32-$D32+1),0)</f>
        <v/>
      </c>
      <c r="BE32" s="34">
        <f>IF(AND(BE$4*1&gt;=$D32,BE$4*1&lt;=$E32),$F32/($E32-$D32+1),0)</f>
        <v/>
      </c>
      <c r="BF32" s="34">
        <f>IF(AND(BF$4*1&gt;=$D32,BF$4*1&lt;=$E32),$F32/($E32-$D32+1),0)</f>
        <v/>
      </c>
      <c r="BG32" s="34">
        <f>IF(AND(BG$4*1&gt;=$D32,BG$4*1&lt;=$E32),$F32/($E32-$D32+1),0)</f>
        <v/>
      </c>
      <c r="BH32" s="34">
        <f>IF(AND(BH$4*1&gt;=$D32,BH$4*1&lt;=$E32),$F32/($E32-$D32+1),0)</f>
        <v/>
      </c>
      <c r="BI32" s="34">
        <f>IF(AND(BI$4*1&gt;=$D32,BI$4*1&lt;=$E32),$F32/($E32-$D32+1),0)</f>
        <v/>
      </c>
      <c r="BJ32" s="34">
        <f>IF(AND(BJ$4*1&gt;=$D32,BJ$4*1&lt;=$E32),$F32/($E32-$D32+1),0)</f>
        <v/>
      </c>
      <c r="BK32" s="34">
        <f>IF(AND(BK$4*1&gt;=$D32,BK$4*1&lt;=$E32),$F32/($E32-$D32+1),0)</f>
        <v/>
      </c>
      <c r="BL32" s="35">
        <f>SUM(H32:BK32)</f>
        <v/>
      </c>
    </row>
    <row r="33">
      <c r="A33" s="3" t="inlineStr">
        <is>
          <t>8.1.3</t>
        </is>
      </c>
      <c r="B33" s="4" t="inlineStr">
        <is>
          <t>Pruebas DR semestrales (Operación)</t>
        </is>
      </c>
      <c r="C33" s="14" t="inlineStr">
        <is>
          <t>SRE</t>
        </is>
      </c>
      <c r="D33" s="33" t="n">
        <v>21</v>
      </c>
      <c r="E33" s="33" t="n">
        <v>56</v>
      </c>
      <c r="F33" s="7" t="n">
        <v>80</v>
      </c>
      <c r="G33" s="4" t="inlineStr">
        <is>
          <t>Evaluación</t>
        </is>
      </c>
      <c r="H33" s="34">
        <f>IF(AND(H$4*1&gt;=$D33,H$4*1&lt;=$E33),$F33/($E33-$D33+1),0)</f>
        <v/>
      </c>
      <c r="I33" s="34">
        <f>IF(AND(I$4*1&gt;=$D33,I$4*1&lt;=$E33),$F33/($E33-$D33+1),0)</f>
        <v/>
      </c>
      <c r="J33" s="34">
        <f>IF(AND(J$4*1&gt;=$D33,J$4*1&lt;=$E33),$F33/($E33-$D33+1),0)</f>
        <v/>
      </c>
      <c r="K33" s="34">
        <f>IF(AND(K$4*1&gt;=$D33,K$4*1&lt;=$E33),$F33/($E33-$D33+1),0)</f>
        <v/>
      </c>
      <c r="L33" s="34">
        <f>IF(AND(L$4*1&gt;=$D33,L$4*1&lt;=$E33),$F33/($E33-$D33+1),0)</f>
        <v/>
      </c>
      <c r="M33" s="34">
        <f>IF(AND(M$4*1&gt;=$D33,M$4*1&lt;=$E33),$F33/($E33-$D33+1),0)</f>
        <v/>
      </c>
      <c r="N33" s="34">
        <f>IF(AND(N$4*1&gt;=$D33,N$4*1&lt;=$E33),$F33/($E33-$D33+1),0)</f>
        <v/>
      </c>
      <c r="O33" s="34">
        <f>IF(AND(O$4*1&gt;=$D33,O$4*1&lt;=$E33),$F33/($E33-$D33+1),0)</f>
        <v/>
      </c>
      <c r="P33" s="34">
        <f>IF(AND(P$4*1&gt;=$D33,P$4*1&lt;=$E33),$F33/($E33-$D33+1),0)</f>
        <v/>
      </c>
      <c r="Q33" s="34">
        <f>IF(AND(Q$4*1&gt;=$D33,Q$4*1&lt;=$E33),$F33/($E33-$D33+1),0)</f>
        <v/>
      </c>
      <c r="R33" s="34">
        <f>IF(AND(R$4*1&gt;=$D33,R$4*1&lt;=$E33),$F33/($E33-$D33+1),0)</f>
        <v/>
      </c>
      <c r="S33" s="34">
        <f>IF(AND(S$4*1&gt;=$D33,S$4*1&lt;=$E33),$F33/($E33-$D33+1),0)</f>
        <v/>
      </c>
      <c r="T33" s="34">
        <f>IF(AND(T$4*1&gt;=$D33,T$4*1&lt;=$E33),$F33/($E33-$D33+1),0)</f>
        <v/>
      </c>
      <c r="U33" s="34">
        <f>IF(AND(U$4*1&gt;=$D33,U$4*1&lt;=$E33),$F33/($E33-$D33+1),0)</f>
        <v/>
      </c>
      <c r="V33" s="34">
        <f>IF(AND(V$4*1&gt;=$D33,V$4*1&lt;=$E33),$F33/($E33-$D33+1),0)</f>
        <v/>
      </c>
      <c r="W33" s="34">
        <f>IF(AND(W$4*1&gt;=$D33,W$4*1&lt;=$E33),$F33/($E33-$D33+1),0)</f>
        <v/>
      </c>
      <c r="X33" s="34">
        <f>IF(AND(X$4*1&gt;=$D33,X$4*1&lt;=$E33),$F33/($E33-$D33+1),0)</f>
        <v/>
      </c>
      <c r="Y33" s="34">
        <f>IF(AND(Y$4*1&gt;=$D33,Y$4*1&lt;=$E33),$F33/($E33-$D33+1),0)</f>
        <v/>
      </c>
      <c r="Z33" s="34">
        <f>IF(AND(Z$4*1&gt;=$D33,Z$4*1&lt;=$E33),$F33/($E33-$D33+1),0)</f>
        <v/>
      </c>
      <c r="AA33" s="34">
        <f>IF(AND(AA$4*1&gt;=$D33,AA$4*1&lt;=$E33),$F33/($E33-$D33+1),0)</f>
        <v/>
      </c>
      <c r="AB33" s="34">
        <f>IF(AND(AB$4*1&gt;=$D33,AB$4*1&lt;=$E33),$F33/($E33-$D33+1),0)</f>
        <v/>
      </c>
      <c r="AC33" s="34">
        <f>IF(AND(AC$4*1&gt;=$D33,AC$4*1&lt;=$E33),$F33/($E33-$D33+1),0)</f>
        <v/>
      </c>
      <c r="AD33" s="34">
        <f>IF(AND(AD$4*1&gt;=$D33,AD$4*1&lt;=$E33),$F33/($E33-$D33+1),0)</f>
        <v/>
      </c>
      <c r="AE33" s="34">
        <f>IF(AND(AE$4*1&gt;=$D33,AE$4*1&lt;=$E33),$F33/($E33-$D33+1),0)</f>
        <v/>
      </c>
      <c r="AF33" s="34">
        <f>IF(AND(AF$4*1&gt;=$D33,AF$4*1&lt;=$E33),$F33/($E33-$D33+1),0)</f>
        <v/>
      </c>
      <c r="AG33" s="34">
        <f>IF(AND(AG$4*1&gt;=$D33,AG$4*1&lt;=$E33),$F33/($E33-$D33+1),0)</f>
        <v/>
      </c>
      <c r="AH33" s="34">
        <f>IF(AND(AH$4*1&gt;=$D33,AH$4*1&lt;=$E33),$F33/($E33-$D33+1),0)</f>
        <v/>
      </c>
      <c r="AI33" s="34">
        <f>IF(AND(AI$4*1&gt;=$D33,AI$4*1&lt;=$E33),$F33/($E33-$D33+1),0)</f>
        <v/>
      </c>
      <c r="AJ33" s="34">
        <f>IF(AND(AJ$4*1&gt;=$D33,AJ$4*1&lt;=$E33),$F33/($E33-$D33+1),0)</f>
        <v/>
      </c>
      <c r="AK33" s="34">
        <f>IF(AND(AK$4*1&gt;=$D33,AK$4*1&lt;=$E33),$F33/($E33-$D33+1),0)</f>
        <v/>
      </c>
      <c r="AL33" s="34">
        <f>IF(AND(AL$4*1&gt;=$D33,AL$4*1&lt;=$E33),$F33/($E33-$D33+1),0)</f>
        <v/>
      </c>
      <c r="AM33" s="34">
        <f>IF(AND(AM$4*1&gt;=$D33,AM$4*1&lt;=$E33),$F33/($E33-$D33+1),0)</f>
        <v/>
      </c>
      <c r="AN33" s="34">
        <f>IF(AND(AN$4*1&gt;=$D33,AN$4*1&lt;=$E33),$F33/($E33-$D33+1),0)</f>
        <v/>
      </c>
      <c r="AO33" s="34">
        <f>IF(AND(AO$4*1&gt;=$D33,AO$4*1&lt;=$E33),$F33/($E33-$D33+1),0)</f>
        <v/>
      </c>
      <c r="AP33" s="34">
        <f>IF(AND(AP$4*1&gt;=$D33,AP$4*1&lt;=$E33),$F33/($E33-$D33+1),0)</f>
        <v/>
      </c>
      <c r="AQ33" s="34">
        <f>IF(AND(AQ$4*1&gt;=$D33,AQ$4*1&lt;=$E33),$F33/($E33-$D33+1),0)</f>
        <v/>
      </c>
      <c r="AR33" s="34">
        <f>IF(AND(AR$4*1&gt;=$D33,AR$4*1&lt;=$E33),$F33/($E33-$D33+1),0)</f>
        <v/>
      </c>
      <c r="AS33" s="34">
        <f>IF(AND(AS$4*1&gt;=$D33,AS$4*1&lt;=$E33),$F33/($E33-$D33+1),0)</f>
        <v/>
      </c>
      <c r="AT33" s="34">
        <f>IF(AND(AT$4*1&gt;=$D33,AT$4*1&lt;=$E33),$F33/($E33-$D33+1),0)</f>
        <v/>
      </c>
      <c r="AU33" s="34">
        <f>IF(AND(AU$4*1&gt;=$D33,AU$4*1&lt;=$E33),$F33/($E33-$D33+1),0)</f>
        <v/>
      </c>
      <c r="AV33" s="34">
        <f>IF(AND(AV$4*1&gt;=$D33,AV$4*1&lt;=$E33),$F33/($E33-$D33+1),0)</f>
        <v/>
      </c>
      <c r="AW33" s="34">
        <f>IF(AND(AW$4*1&gt;=$D33,AW$4*1&lt;=$E33),$F33/($E33-$D33+1),0)</f>
        <v/>
      </c>
      <c r="AX33" s="34">
        <f>IF(AND(AX$4*1&gt;=$D33,AX$4*1&lt;=$E33),$F33/($E33-$D33+1),0)</f>
        <v/>
      </c>
      <c r="AY33" s="34">
        <f>IF(AND(AY$4*1&gt;=$D33,AY$4*1&lt;=$E33),$F33/($E33-$D33+1),0)</f>
        <v/>
      </c>
      <c r="AZ33" s="34">
        <f>IF(AND(AZ$4*1&gt;=$D33,AZ$4*1&lt;=$E33),$F33/($E33-$D33+1),0)</f>
        <v/>
      </c>
      <c r="BA33" s="34">
        <f>IF(AND(BA$4*1&gt;=$D33,BA$4*1&lt;=$E33),$F33/($E33-$D33+1),0)</f>
        <v/>
      </c>
      <c r="BB33" s="34">
        <f>IF(AND(BB$4*1&gt;=$D33,BB$4*1&lt;=$E33),$F33/($E33-$D33+1),0)</f>
        <v/>
      </c>
      <c r="BC33" s="34">
        <f>IF(AND(BC$4*1&gt;=$D33,BC$4*1&lt;=$E33),$F33/($E33-$D33+1),0)</f>
        <v/>
      </c>
      <c r="BD33" s="34">
        <f>IF(AND(BD$4*1&gt;=$D33,BD$4*1&lt;=$E33),$F33/($E33-$D33+1),0)</f>
        <v/>
      </c>
      <c r="BE33" s="34">
        <f>IF(AND(BE$4*1&gt;=$D33,BE$4*1&lt;=$E33),$F33/($E33-$D33+1),0)</f>
        <v/>
      </c>
      <c r="BF33" s="34">
        <f>IF(AND(BF$4*1&gt;=$D33,BF$4*1&lt;=$E33),$F33/($E33-$D33+1),0)</f>
        <v/>
      </c>
      <c r="BG33" s="34">
        <f>IF(AND(BG$4*1&gt;=$D33,BG$4*1&lt;=$E33),$F33/($E33-$D33+1),0)</f>
        <v/>
      </c>
      <c r="BH33" s="34">
        <f>IF(AND(BH$4*1&gt;=$D33,BH$4*1&lt;=$E33),$F33/($E33-$D33+1),0)</f>
        <v/>
      </c>
      <c r="BI33" s="34">
        <f>IF(AND(BI$4*1&gt;=$D33,BI$4*1&lt;=$E33),$F33/($E33-$D33+1),0)</f>
        <v/>
      </c>
      <c r="BJ33" s="34">
        <f>IF(AND(BJ$4*1&gt;=$D33,BJ$4*1&lt;=$E33),$F33/($E33-$D33+1),0)</f>
        <v/>
      </c>
      <c r="BK33" s="34">
        <f>IF(AND(BK$4*1&gt;=$D33,BK$4*1&lt;=$E33),$F33/($E33-$D33+1),0)</f>
        <v/>
      </c>
      <c r="BL33" s="35">
        <f>SUM(H33:BK33)</f>
        <v/>
      </c>
    </row>
    <row r="34">
      <c r="A34" s="3" t="inlineStr">
        <is>
          <t>8.1.6</t>
        </is>
      </c>
      <c r="B34" s="4" t="inlineStr">
        <is>
          <t>Restauraciones mensuales (Operación)</t>
        </is>
      </c>
      <c r="C34" s="14" t="inlineStr">
        <is>
          <t>SRE</t>
        </is>
      </c>
      <c r="D34" s="33" t="n">
        <v>21</v>
      </c>
      <c r="E34" s="33" t="n">
        <v>56</v>
      </c>
      <c r="F34" s="7" t="n">
        <v>576</v>
      </c>
      <c r="G34" s="4" t="inlineStr">
        <is>
          <t>Evaluación</t>
        </is>
      </c>
      <c r="H34" s="34">
        <f>IF(AND(H$4*1&gt;=$D34,H$4*1&lt;=$E34),$F34/($E34-$D34+1),0)</f>
        <v/>
      </c>
      <c r="I34" s="34">
        <f>IF(AND(I$4*1&gt;=$D34,I$4*1&lt;=$E34),$F34/($E34-$D34+1),0)</f>
        <v/>
      </c>
      <c r="J34" s="34">
        <f>IF(AND(J$4*1&gt;=$D34,J$4*1&lt;=$E34),$F34/($E34-$D34+1),0)</f>
        <v/>
      </c>
      <c r="K34" s="34">
        <f>IF(AND(K$4*1&gt;=$D34,K$4*1&lt;=$E34),$F34/($E34-$D34+1),0)</f>
        <v/>
      </c>
      <c r="L34" s="34">
        <f>IF(AND(L$4*1&gt;=$D34,L$4*1&lt;=$E34),$F34/($E34-$D34+1),0)</f>
        <v/>
      </c>
      <c r="M34" s="34">
        <f>IF(AND(M$4*1&gt;=$D34,M$4*1&lt;=$E34),$F34/($E34-$D34+1),0)</f>
        <v/>
      </c>
      <c r="N34" s="34">
        <f>IF(AND(N$4*1&gt;=$D34,N$4*1&lt;=$E34),$F34/($E34-$D34+1),0)</f>
        <v/>
      </c>
      <c r="O34" s="34">
        <f>IF(AND(O$4*1&gt;=$D34,O$4*1&lt;=$E34),$F34/($E34-$D34+1),0)</f>
        <v/>
      </c>
      <c r="P34" s="34">
        <f>IF(AND(P$4*1&gt;=$D34,P$4*1&lt;=$E34),$F34/($E34-$D34+1),0)</f>
        <v/>
      </c>
      <c r="Q34" s="34">
        <f>IF(AND(Q$4*1&gt;=$D34,Q$4*1&lt;=$E34),$F34/($E34-$D34+1),0)</f>
        <v/>
      </c>
      <c r="R34" s="34">
        <f>IF(AND(R$4*1&gt;=$D34,R$4*1&lt;=$E34),$F34/($E34-$D34+1),0)</f>
        <v/>
      </c>
      <c r="S34" s="34">
        <f>IF(AND(S$4*1&gt;=$D34,S$4*1&lt;=$E34),$F34/($E34-$D34+1),0)</f>
        <v/>
      </c>
      <c r="T34" s="34">
        <f>IF(AND(T$4*1&gt;=$D34,T$4*1&lt;=$E34),$F34/($E34-$D34+1),0)</f>
        <v/>
      </c>
      <c r="U34" s="34">
        <f>IF(AND(U$4*1&gt;=$D34,U$4*1&lt;=$E34),$F34/($E34-$D34+1),0)</f>
        <v/>
      </c>
      <c r="V34" s="34">
        <f>IF(AND(V$4*1&gt;=$D34,V$4*1&lt;=$E34),$F34/($E34-$D34+1),0)</f>
        <v/>
      </c>
      <c r="W34" s="34">
        <f>IF(AND(W$4*1&gt;=$D34,W$4*1&lt;=$E34),$F34/($E34-$D34+1),0)</f>
        <v/>
      </c>
      <c r="X34" s="34">
        <f>IF(AND(X$4*1&gt;=$D34,X$4*1&lt;=$E34),$F34/($E34-$D34+1),0)</f>
        <v/>
      </c>
      <c r="Y34" s="34">
        <f>IF(AND(Y$4*1&gt;=$D34,Y$4*1&lt;=$E34),$F34/($E34-$D34+1),0)</f>
        <v/>
      </c>
      <c r="Z34" s="34">
        <f>IF(AND(Z$4*1&gt;=$D34,Z$4*1&lt;=$E34),$F34/($E34-$D34+1),0)</f>
        <v/>
      </c>
      <c r="AA34" s="34">
        <f>IF(AND(AA$4*1&gt;=$D34,AA$4*1&lt;=$E34),$F34/($E34-$D34+1),0)</f>
        <v/>
      </c>
      <c r="AB34" s="34">
        <f>IF(AND(AB$4*1&gt;=$D34,AB$4*1&lt;=$E34),$F34/($E34-$D34+1),0)</f>
        <v/>
      </c>
      <c r="AC34" s="34">
        <f>IF(AND(AC$4*1&gt;=$D34,AC$4*1&lt;=$E34),$F34/($E34-$D34+1),0)</f>
        <v/>
      </c>
      <c r="AD34" s="34">
        <f>IF(AND(AD$4*1&gt;=$D34,AD$4*1&lt;=$E34),$F34/($E34-$D34+1),0)</f>
        <v/>
      </c>
      <c r="AE34" s="34">
        <f>IF(AND(AE$4*1&gt;=$D34,AE$4*1&lt;=$E34),$F34/($E34-$D34+1),0)</f>
        <v/>
      </c>
      <c r="AF34" s="34">
        <f>IF(AND(AF$4*1&gt;=$D34,AF$4*1&lt;=$E34),$F34/($E34-$D34+1),0)</f>
        <v/>
      </c>
      <c r="AG34" s="34">
        <f>IF(AND(AG$4*1&gt;=$D34,AG$4*1&lt;=$E34),$F34/($E34-$D34+1),0)</f>
        <v/>
      </c>
      <c r="AH34" s="34">
        <f>IF(AND(AH$4*1&gt;=$D34,AH$4*1&lt;=$E34),$F34/($E34-$D34+1),0)</f>
        <v/>
      </c>
      <c r="AI34" s="34">
        <f>IF(AND(AI$4*1&gt;=$D34,AI$4*1&lt;=$E34),$F34/($E34-$D34+1),0)</f>
        <v/>
      </c>
      <c r="AJ34" s="34">
        <f>IF(AND(AJ$4*1&gt;=$D34,AJ$4*1&lt;=$E34),$F34/($E34-$D34+1),0)</f>
        <v/>
      </c>
      <c r="AK34" s="34">
        <f>IF(AND(AK$4*1&gt;=$D34,AK$4*1&lt;=$E34),$F34/($E34-$D34+1),0)</f>
        <v/>
      </c>
      <c r="AL34" s="34">
        <f>IF(AND(AL$4*1&gt;=$D34,AL$4*1&lt;=$E34),$F34/($E34-$D34+1),0)</f>
        <v/>
      </c>
      <c r="AM34" s="34">
        <f>IF(AND(AM$4*1&gt;=$D34,AM$4*1&lt;=$E34),$F34/($E34-$D34+1),0)</f>
        <v/>
      </c>
      <c r="AN34" s="34">
        <f>IF(AND(AN$4*1&gt;=$D34,AN$4*1&lt;=$E34),$F34/($E34-$D34+1),0)</f>
        <v/>
      </c>
      <c r="AO34" s="34">
        <f>IF(AND(AO$4*1&gt;=$D34,AO$4*1&lt;=$E34),$F34/($E34-$D34+1),0)</f>
        <v/>
      </c>
      <c r="AP34" s="34">
        <f>IF(AND(AP$4*1&gt;=$D34,AP$4*1&lt;=$E34),$F34/($E34-$D34+1),0)</f>
        <v/>
      </c>
      <c r="AQ34" s="34">
        <f>IF(AND(AQ$4*1&gt;=$D34,AQ$4*1&lt;=$E34),$F34/($E34-$D34+1),0)</f>
        <v/>
      </c>
      <c r="AR34" s="34">
        <f>IF(AND(AR$4*1&gt;=$D34,AR$4*1&lt;=$E34),$F34/($E34-$D34+1),0)</f>
        <v/>
      </c>
      <c r="AS34" s="34">
        <f>IF(AND(AS$4*1&gt;=$D34,AS$4*1&lt;=$E34),$F34/($E34-$D34+1),0)</f>
        <v/>
      </c>
      <c r="AT34" s="34">
        <f>IF(AND(AT$4*1&gt;=$D34,AT$4*1&lt;=$E34),$F34/($E34-$D34+1),0)</f>
        <v/>
      </c>
      <c r="AU34" s="34">
        <f>IF(AND(AU$4*1&gt;=$D34,AU$4*1&lt;=$E34),$F34/($E34-$D34+1),0)</f>
        <v/>
      </c>
      <c r="AV34" s="34">
        <f>IF(AND(AV$4*1&gt;=$D34,AV$4*1&lt;=$E34),$F34/($E34-$D34+1),0)</f>
        <v/>
      </c>
      <c r="AW34" s="34">
        <f>IF(AND(AW$4*1&gt;=$D34,AW$4*1&lt;=$E34),$F34/($E34-$D34+1),0)</f>
        <v/>
      </c>
      <c r="AX34" s="34">
        <f>IF(AND(AX$4*1&gt;=$D34,AX$4*1&lt;=$E34),$F34/($E34-$D34+1),0)</f>
        <v/>
      </c>
      <c r="AY34" s="34">
        <f>IF(AND(AY$4*1&gt;=$D34,AY$4*1&lt;=$E34),$F34/($E34-$D34+1),0)</f>
        <v/>
      </c>
      <c r="AZ34" s="34">
        <f>IF(AND(AZ$4*1&gt;=$D34,AZ$4*1&lt;=$E34),$F34/($E34-$D34+1),0)</f>
        <v/>
      </c>
      <c r="BA34" s="34">
        <f>IF(AND(BA$4*1&gt;=$D34,BA$4*1&lt;=$E34),$F34/($E34-$D34+1),0)</f>
        <v/>
      </c>
      <c r="BB34" s="34">
        <f>IF(AND(BB$4*1&gt;=$D34,BB$4*1&lt;=$E34),$F34/($E34-$D34+1),0)</f>
        <v/>
      </c>
      <c r="BC34" s="34">
        <f>IF(AND(BC$4*1&gt;=$D34,BC$4*1&lt;=$E34),$F34/($E34-$D34+1),0)</f>
        <v/>
      </c>
      <c r="BD34" s="34">
        <f>IF(AND(BD$4*1&gt;=$D34,BD$4*1&lt;=$E34),$F34/($E34-$D34+1),0)</f>
        <v/>
      </c>
      <c r="BE34" s="34">
        <f>IF(AND(BE$4*1&gt;=$D34,BE$4*1&lt;=$E34),$F34/($E34-$D34+1),0)</f>
        <v/>
      </c>
      <c r="BF34" s="34">
        <f>IF(AND(BF$4*1&gt;=$D34,BF$4*1&lt;=$E34),$F34/($E34-$D34+1),0)</f>
        <v/>
      </c>
      <c r="BG34" s="34">
        <f>IF(AND(BG$4*1&gt;=$D34,BG$4*1&lt;=$E34),$F34/($E34-$D34+1),0)</f>
        <v/>
      </c>
      <c r="BH34" s="34">
        <f>IF(AND(BH$4*1&gt;=$D34,BH$4*1&lt;=$E34),$F34/($E34-$D34+1),0)</f>
        <v/>
      </c>
      <c r="BI34" s="34">
        <f>IF(AND(BI$4*1&gt;=$D34,BI$4*1&lt;=$E34),$F34/($E34-$D34+1),0)</f>
        <v/>
      </c>
      <c r="BJ34" s="34">
        <f>IF(AND(BJ$4*1&gt;=$D34,BJ$4*1&lt;=$E34),$F34/($E34-$D34+1),0)</f>
        <v/>
      </c>
      <c r="BK34" s="34">
        <f>IF(AND(BK$4*1&gt;=$D34,BK$4*1&lt;=$E34),$F34/($E34-$D34+1),0)</f>
        <v/>
      </c>
      <c r="BL34" s="35">
        <f>SUM(H34:BK34)</f>
        <v/>
      </c>
    </row>
    <row r="35">
      <c r="A35" s="3" t="inlineStr">
        <is>
          <t>8.2.2</t>
        </is>
      </c>
      <c r="B35" s="4" t="inlineStr">
        <is>
          <t>Ciberseguridad: pentest anual e inyección de fallas</t>
        </is>
      </c>
      <c r="C35" s="14" t="inlineStr">
        <is>
          <t>SEG</t>
        </is>
      </c>
      <c r="D35" s="33" t="n">
        <v>21</v>
      </c>
      <c r="E35" s="33" t="n">
        <v>56</v>
      </c>
      <c r="F35" s="7" t="n">
        <v>1152</v>
      </c>
      <c r="G35" s="4" t="inlineStr">
        <is>
          <t>Evaluación</t>
        </is>
      </c>
      <c r="H35" s="34">
        <f>IF(AND(H$4*1&gt;=$D35,H$4*1&lt;=$E35),$F35/($E35-$D35+1),0)</f>
        <v/>
      </c>
      <c r="I35" s="34">
        <f>IF(AND(I$4*1&gt;=$D35,I$4*1&lt;=$E35),$F35/($E35-$D35+1),0)</f>
        <v/>
      </c>
      <c r="J35" s="34">
        <f>IF(AND(J$4*1&gt;=$D35,J$4*1&lt;=$E35),$F35/($E35-$D35+1),0)</f>
        <v/>
      </c>
      <c r="K35" s="34">
        <f>IF(AND(K$4*1&gt;=$D35,K$4*1&lt;=$E35),$F35/($E35-$D35+1),0)</f>
        <v/>
      </c>
      <c r="L35" s="34">
        <f>IF(AND(L$4*1&gt;=$D35,L$4*1&lt;=$E35),$F35/($E35-$D35+1),0)</f>
        <v/>
      </c>
      <c r="M35" s="34">
        <f>IF(AND(M$4*1&gt;=$D35,M$4*1&lt;=$E35),$F35/($E35-$D35+1),0)</f>
        <v/>
      </c>
      <c r="N35" s="34">
        <f>IF(AND(N$4*1&gt;=$D35,N$4*1&lt;=$E35),$F35/($E35-$D35+1),0)</f>
        <v/>
      </c>
      <c r="O35" s="34">
        <f>IF(AND(O$4*1&gt;=$D35,O$4*1&lt;=$E35),$F35/($E35-$D35+1),0)</f>
        <v/>
      </c>
      <c r="P35" s="34">
        <f>IF(AND(P$4*1&gt;=$D35,P$4*1&lt;=$E35),$F35/($E35-$D35+1),0)</f>
        <v/>
      </c>
      <c r="Q35" s="34">
        <f>IF(AND(Q$4*1&gt;=$D35,Q$4*1&lt;=$E35),$F35/($E35-$D35+1),0)</f>
        <v/>
      </c>
      <c r="R35" s="34">
        <f>IF(AND(R$4*1&gt;=$D35,R$4*1&lt;=$E35),$F35/($E35-$D35+1),0)</f>
        <v/>
      </c>
      <c r="S35" s="34">
        <f>IF(AND(S$4*1&gt;=$D35,S$4*1&lt;=$E35),$F35/($E35-$D35+1),0)</f>
        <v/>
      </c>
      <c r="T35" s="34">
        <f>IF(AND(T$4*1&gt;=$D35,T$4*1&lt;=$E35),$F35/($E35-$D35+1),0)</f>
        <v/>
      </c>
      <c r="U35" s="34">
        <f>IF(AND(U$4*1&gt;=$D35,U$4*1&lt;=$E35),$F35/($E35-$D35+1),0)</f>
        <v/>
      </c>
      <c r="V35" s="34">
        <f>IF(AND(V$4*1&gt;=$D35,V$4*1&lt;=$E35),$F35/($E35-$D35+1),0)</f>
        <v/>
      </c>
      <c r="W35" s="34">
        <f>IF(AND(W$4*1&gt;=$D35,W$4*1&lt;=$E35),$F35/($E35-$D35+1),0)</f>
        <v/>
      </c>
      <c r="X35" s="34">
        <f>IF(AND(X$4*1&gt;=$D35,X$4*1&lt;=$E35),$F35/($E35-$D35+1),0)</f>
        <v/>
      </c>
      <c r="Y35" s="34">
        <f>IF(AND(Y$4*1&gt;=$D35,Y$4*1&lt;=$E35),$F35/($E35-$D35+1),0)</f>
        <v/>
      </c>
      <c r="Z35" s="34">
        <f>IF(AND(Z$4*1&gt;=$D35,Z$4*1&lt;=$E35),$F35/($E35-$D35+1),0)</f>
        <v/>
      </c>
      <c r="AA35" s="34">
        <f>IF(AND(AA$4*1&gt;=$D35,AA$4*1&lt;=$E35),$F35/($E35-$D35+1),0)</f>
        <v/>
      </c>
      <c r="AB35" s="34">
        <f>IF(AND(AB$4*1&gt;=$D35,AB$4*1&lt;=$E35),$F35/($E35-$D35+1),0)</f>
        <v/>
      </c>
      <c r="AC35" s="34">
        <f>IF(AND(AC$4*1&gt;=$D35,AC$4*1&lt;=$E35),$F35/($E35-$D35+1),0)</f>
        <v/>
      </c>
      <c r="AD35" s="34">
        <f>IF(AND(AD$4*1&gt;=$D35,AD$4*1&lt;=$E35),$F35/($E35-$D35+1),0)</f>
        <v/>
      </c>
      <c r="AE35" s="34">
        <f>IF(AND(AE$4*1&gt;=$D35,AE$4*1&lt;=$E35),$F35/($E35-$D35+1),0)</f>
        <v/>
      </c>
      <c r="AF35" s="34">
        <f>IF(AND(AF$4*1&gt;=$D35,AF$4*1&lt;=$E35),$F35/($E35-$D35+1),0)</f>
        <v/>
      </c>
      <c r="AG35" s="34">
        <f>IF(AND(AG$4*1&gt;=$D35,AG$4*1&lt;=$E35),$F35/($E35-$D35+1),0)</f>
        <v/>
      </c>
      <c r="AH35" s="34">
        <f>IF(AND(AH$4*1&gt;=$D35,AH$4*1&lt;=$E35),$F35/($E35-$D35+1),0)</f>
        <v/>
      </c>
      <c r="AI35" s="34">
        <f>IF(AND(AI$4*1&gt;=$D35,AI$4*1&lt;=$E35),$F35/($E35-$D35+1),0)</f>
        <v/>
      </c>
      <c r="AJ35" s="34">
        <f>IF(AND(AJ$4*1&gt;=$D35,AJ$4*1&lt;=$E35),$F35/($E35-$D35+1),0)</f>
        <v/>
      </c>
      <c r="AK35" s="34">
        <f>IF(AND(AK$4*1&gt;=$D35,AK$4*1&lt;=$E35),$F35/($E35-$D35+1),0)</f>
        <v/>
      </c>
      <c r="AL35" s="34">
        <f>IF(AND(AL$4*1&gt;=$D35,AL$4*1&lt;=$E35),$F35/($E35-$D35+1),0)</f>
        <v/>
      </c>
      <c r="AM35" s="34">
        <f>IF(AND(AM$4*1&gt;=$D35,AM$4*1&lt;=$E35),$F35/($E35-$D35+1),0)</f>
        <v/>
      </c>
      <c r="AN35" s="34">
        <f>IF(AND(AN$4*1&gt;=$D35,AN$4*1&lt;=$E35),$F35/($E35-$D35+1),0)</f>
        <v/>
      </c>
      <c r="AO35" s="34">
        <f>IF(AND(AO$4*1&gt;=$D35,AO$4*1&lt;=$E35),$F35/($E35-$D35+1),0)</f>
        <v/>
      </c>
      <c r="AP35" s="34">
        <f>IF(AND(AP$4*1&gt;=$D35,AP$4*1&lt;=$E35),$F35/($E35-$D35+1),0)</f>
        <v/>
      </c>
      <c r="AQ35" s="34">
        <f>IF(AND(AQ$4*1&gt;=$D35,AQ$4*1&lt;=$E35),$F35/($E35-$D35+1),0)</f>
        <v/>
      </c>
      <c r="AR35" s="34">
        <f>IF(AND(AR$4*1&gt;=$D35,AR$4*1&lt;=$E35),$F35/($E35-$D35+1),0)</f>
        <v/>
      </c>
      <c r="AS35" s="34">
        <f>IF(AND(AS$4*1&gt;=$D35,AS$4*1&lt;=$E35),$F35/($E35-$D35+1),0)</f>
        <v/>
      </c>
      <c r="AT35" s="34">
        <f>IF(AND(AT$4*1&gt;=$D35,AT$4*1&lt;=$E35),$F35/($E35-$D35+1),0)</f>
        <v/>
      </c>
      <c r="AU35" s="34">
        <f>IF(AND(AU$4*1&gt;=$D35,AU$4*1&lt;=$E35),$F35/($E35-$D35+1),0)</f>
        <v/>
      </c>
      <c r="AV35" s="34">
        <f>IF(AND(AV$4*1&gt;=$D35,AV$4*1&lt;=$E35),$F35/($E35-$D35+1),0)</f>
        <v/>
      </c>
      <c r="AW35" s="34">
        <f>IF(AND(AW$4*1&gt;=$D35,AW$4*1&lt;=$E35),$F35/($E35-$D35+1),0)</f>
        <v/>
      </c>
      <c r="AX35" s="34">
        <f>IF(AND(AX$4*1&gt;=$D35,AX$4*1&lt;=$E35),$F35/($E35-$D35+1),0)</f>
        <v/>
      </c>
      <c r="AY35" s="34">
        <f>IF(AND(AY$4*1&gt;=$D35,AY$4*1&lt;=$E35),$F35/($E35-$D35+1),0)</f>
        <v/>
      </c>
      <c r="AZ35" s="34">
        <f>IF(AND(AZ$4*1&gt;=$D35,AZ$4*1&lt;=$E35),$F35/($E35-$D35+1),0)</f>
        <v/>
      </c>
      <c r="BA35" s="34">
        <f>IF(AND(BA$4*1&gt;=$D35,BA$4*1&lt;=$E35),$F35/($E35-$D35+1),0)</f>
        <v/>
      </c>
      <c r="BB35" s="34">
        <f>IF(AND(BB$4*1&gt;=$D35,BB$4*1&lt;=$E35),$F35/($E35-$D35+1),0)</f>
        <v/>
      </c>
      <c r="BC35" s="34">
        <f>IF(AND(BC$4*1&gt;=$D35,BC$4*1&lt;=$E35),$F35/($E35-$D35+1),0)</f>
        <v/>
      </c>
      <c r="BD35" s="34">
        <f>IF(AND(BD$4*1&gt;=$D35,BD$4*1&lt;=$E35),$F35/($E35-$D35+1),0)</f>
        <v/>
      </c>
      <c r="BE35" s="34">
        <f>IF(AND(BE$4*1&gt;=$D35,BE$4*1&lt;=$E35),$F35/($E35-$D35+1),0)</f>
        <v/>
      </c>
      <c r="BF35" s="34">
        <f>IF(AND(BF$4*1&gt;=$D35,BF$4*1&lt;=$E35),$F35/($E35-$D35+1),0)</f>
        <v/>
      </c>
      <c r="BG35" s="34">
        <f>IF(AND(BG$4*1&gt;=$D35,BG$4*1&lt;=$E35),$F35/($E35-$D35+1),0)</f>
        <v/>
      </c>
      <c r="BH35" s="34">
        <f>IF(AND(BH$4*1&gt;=$D35,BH$4*1&lt;=$E35),$F35/($E35-$D35+1),0)</f>
        <v/>
      </c>
      <c r="BI35" s="34">
        <f>IF(AND(BI$4*1&gt;=$D35,BI$4*1&lt;=$E35),$F35/($E35-$D35+1),0)</f>
        <v/>
      </c>
      <c r="BJ35" s="34">
        <f>IF(AND(BJ$4*1&gt;=$D35,BJ$4*1&lt;=$E35),$F35/($E35-$D35+1),0)</f>
        <v/>
      </c>
      <c r="BK35" s="34">
        <f>IF(AND(BK$4*1&gt;=$D35,BK$4*1&lt;=$E35),$F35/($E35-$D35+1),0)</f>
        <v/>
      </c>
      <c r="BL35" s="35">
        <f>SUM(H35:BK35)</f>
        <v/>
      </c>
    </row>
    <row r="36">
      <c r="A36" s="3" t="inlineStr">
        <is>
          <t>8.2.4</t>
        </is>
      </c>
      <c r="B36" s="4" t="inlineStr">
        <is>
          <t>Registro y reducción de deuda técnica</t>
        </is>
      </c>
      <c r="C36" s="14" t="inlineStr">
        <is>
          <t>DES</t>
        </is>
      </c>
      <c r="D36" s="33" t="n">
        <v>21</v>
      </c>
      <c r="E36" s="33" t="n">
        <v>56</v>
      </c>
      <c r="F36" s="7" t="n">
        <v>2304</v>
      </c>
      <c r="G36" s="4" t="inlineStr">
        <is>
          <t>Prevención</t>
        </is>
      </c>
      <c r="H36" s="34">
        <f>IF(AND(H$4*1&gt;=$D36,H$4*1&lt;=$E36),$F36/($E36-$D36+1),0)</f>
        <v/>
      </c>
      <c r="I36" s="34">
        <f>IF(AND(I$4*1&gt;=$D36,I$4*1&lt;=$E36),$F36/($E36-$D36+1),0)</f>
        <v/>
      </c>
      <c r="J36" s="34">
        <f>IF(AND(J$4*1&gt;=$D36,J$4*1&lt;=$E36),$F36/($E36-$D36+1),0)</f>
        <v/>
      </c>
      <c r="K36" s="34">
        <f>IF(AND(K$4*1&gt;=$D36,K$4*1&lt;=$E36),$F36/($E36-$D36+1),0)</f>
        <v/>
      </c>
      <c r="L36" s="34">
        <f>IF(AND(L$4*1&gt;=$D36,L$4*1&lt;=$E36),$F36/($E36-$D36+1),0)</f>
        <v/>
      </c>
      <c r="M36" s="34">
        <f>IF(AND(M$4*1&gt;=$D36,M$4*1&lt;=$E36),$F36/($E36-$D36+1),0)</f>
        <v/>
      </c>
      <c r="N36" s="34">
        <f>IF(AND(N$4*1&gt;=$D36,N$4*1&lt;=$E36),$F36/($E36-$D36+1),0)</f>
        <v/>
      </c>
      <c r="O36" s="34">
        <f>IF(AND(O$4*1&gt;=$D36,O$4*1&lt;=$E36),$F36/($E36-$D36+1),0)</f>
        <v/>
      </c>
      <c r="P36" s="34">
        <f>IF(AND(P$4*1&gt;=$D36,P$4*1&lt;=$E36),$F36/($E36-$D36+1),0)</f>
        <v/>
      </c>
      <c r="Q36" s="34">
        <f>IF(AND(Q$4*1&gt;=$D36,Q$4*1&lt;=$E36),$F36/($E36-$D36+1),0)</f>
        <v/>
      </c>
      <c r="R36" s="34">
        <f>IF(AND(R$4*1&gt;=$D36,R$4*1&lt;=$E36),$F36/($E36-$D36+1),0)</f>
        <v/>
      </c>
      <c r="S36" s="34">
        <f>IF(AND(S$4*1&gt;=$D36,S$4*1&lt;=$E36),$F36/($E36-$D36+1),0)</f>
        <v/>
      </c>
      <c r="T36" s="34">
        <f>IF(AND(T$4*1&gt;=$D36,T$4*1&lt;=$E36),$F36/($E36-$D36+1),0)</f>
        <v/>
      </c>
      <c r="U36" s="34">
        <f>IF(AND(U$4*1&gt;=$D36,U$4*1&lt;=$E36),$F36/($E36-$D36+1),0)</f>
        <v/>
      </c>
      <c r="V36" s="34">
        <f>IF(AND(V$4*1&gt;=$D36,V$4*1&lt;=$E36),$F36/($E36-$D36+1),0)</f>
        <v/>
      </c>
      <c r="W36" s="34">
        <f>IF(AND(W$4*1&gt;=$D36,W$4*1&lt;=$E36),$F36/($E36-$D36+1),0)</f>
        <v/>
      </c>
      <c r="X36" s="34">
        <f>IF(AND(X$4*1&gt;=$D36,X$4*1&lt;=$E36),$F36/($E36-$D36+1),0)</f>
        <v/>
      </c>
      <c r="Y36" s="34">
        <f>IF(AND(Y$4*1&gt;=$D36,Y$4*1&lt;=$E36),$F36/($E36-$D36+1),0)</f>
        <v/>
      </c>
      <c r="Z36" s="34">
        <f>IF(AND(Z$4*1&gt;=$D36,Z$4*1&lt;=$E36),$F36/($E36-$D36+1),0)</f>
        <v/>
      </c>
      <c r="AA36" s="34">
        <f>IF(AND(AA$4*1&gt;=$D36,AA$4*1&lt;=$E36),$F36/($E36-$D36+1),0)</f>
        <v/>
      </c>
      <c r="AB36" s="34">
        <f>IF(AND(AB$4*1&gt;=$D36,AB$4*1&lt;=$E36),$F36/($E36-$D36+1),0)</f>
        <v/>
      </c>
      <c r="AC36" s="34">
        <f>IF(AND(AC$4*1&gt;=$D36,AC$4*1&lt;=$E36),$F36/($E36-$D36+1),0)</f>
        <v/>
      </c>
      <c r="AD36" s="34">
        <f>IF(AND(AD$4*1&gt;=$D36,AD$4*1&lt;=$E36),$F36/($E36-$D36+1),0)</f>
        <v/>
      </c>
      <c r="AE36" s="34">
        <f>IF(AND(AE$4*1&gt;=$D36,AE$4*1&lt;=$E36),$F36/($E36-$D36+1),0)</f>
        <v/>
      </c>
      <c r="AF36" s="34">
        <f>IF(AND(AF$4*1&gt;=$D36,AF$4*1&lt;=$E36),$F36/($E36-$D36+1),0)</f>
        <v/>
      </c>
      <c r="AG36" s="34">
        <f>IF(AND(AG$4*1&gt;=$D36,AG$4*1&lt;=$E36),$F36/($E36-$D36+1),0)</f>
        <v/>
      </c>
      <c r="AH36" s="34">
        <f>IF(AND(AH$4*1&gt;=$D36,AH$4*1&lt;=$E36),$F36/($E36-$D36+1),0)</f>
        <v/>
      </c>
      <c r="AI36" s="34">
        <f>IF(AND(AI$4*1&gt;=$D36,AI$4*1&lt;=$E36),$F36/($E36-$D36+1),0)</f>
        <v/>
      </c>
      <c r="AJ36" s="34">
        <f>IF(AND(AJ$4*1&gt;=$D36,AJ$4*1&lt;=$E36),$F36/($E36-$D36+1),0)</f>
        <v/>
      </c>
      <c r="AK36" s="34">
        <f>IF(AND(AK$4*1&gt;=$D36,AK$4*1&lt;=$E36),$F36/($E36-$D36+1),0)</f>
        <v/>
      </c>
      <c r="AL36" s="34">
        <f>IF(AND(AL$4*1&gt;=$D36,AL$4*1&lt;=$E36),$F36/($E36-$D36+1),0)</f>
        <v/>
      </c>
      <c r="AM36" s="34">
        <f>IF(AND(AM$4*1&gt;=$D36,AM$4*1&lt;=$E36),$F36/($E36-$D36+1),0)</f>
        <v/>
      </c>
      <c r="AN36" s="34">
        <f>IF(AND(AN$4*1&gt;=$D36,AN$4*1&lt;=$E36),$F36/($E36-$D36+1),0)</f>
        <v/>
      </c>
      <c r="AO36" s="34">
        <f>IF(AND(AO$4*1&gt;=$D36,AO$4*1&lt;=$E36),$F36/($E36-$D36+1),0)</f>
        <v/>
      </c>
      <c r="AP36" s="34">
        <f>IF(AND(AP$4*1&gt;=$D36,AP$4*1&lt;=$E36),$F36/($E36-$D36+1),0)</f>
        <v/>
      </c>
      <c r="AQ36" s="34">
        <f>IF(AND(AQ$4*1&gt;=$D36,AQ$4*1&lt;=$E36),$F36/($E36-$D36+1),0)</f>
        <v/>
      </c>
      <c r="AR36" s="34">
        <f>IF(AND(AR$4*1&gt;=$D36,AR$4*1&lt;=$E36),$F36/($E36-$D36+1),0)</f>
        <v/>
      </c>
      <c r="AS36" s="34">
        <f>IF(AND(AS$4*1&gt;=$D36,AS$4*1&lt;=$E36),$F36/($E36-$D36+1),0)</f>
        <v/>
      </c>
      <c r="AT36" s="34">
        <f>IF(AND(AT$4*1&gt;=$D36,AT$4*1&lt;=$E36),$F36/($E36-$D36+1),0)</f>
        <v/>
      </c>
      <c r="AU36" s="34">
        <f>IF(AND(AU$4*1&gt;=$D36,AU$4*1&lt;=$E36),$F36/($E36-$D36+1),0)</f>
        <v/>
      </c>
      <c r="AV36" s="34">
        <f>IF(AND(AV$4*1&gt;=$D36,AV$4*1&lt;=$E36),$F36/($E36-$D36+1),0)</f>
        <v/>
      </c>
      <c r="AW36" s="34">
        <f>IF(AND(AW$4*1&gt;=$D36,AW$4*1&lt;=$E36),$F36/($E36-$D36+1),0)</f>
        <v/>
      </c>
      <c r="AX36" s="34">
        <f>IF(AND(AX$4*1&gt;=$D36,AX$4*1&lt;=$E36),$F36/($E36-$D36+1),0)</f>
        <v/>
      </c>
      <c r="AY36" s="34">
        <f>IF(AND(AY$4*1&gt;=$D36,AY$4*1&lt;=$E36),$F36/($E36-$D36+1),0)</f>
        <v/>
      </c>
      <c r="AZ36" s="34">
        <f>IF(AND(AZ$4*1&gt;=$D36,AZ$4*1&lt;=$E36),$F36/($E36-$D36+1),0)</f>
        <v/>
      </c>
      <c r="BA36" s="34">
        <f>IF(AND(BA$4*1&gt;=$D36,BA$4*1&lt;=$E36),$F36/($E36-$D36+1),0)</f>
        <v/>
      </c>
      <c r="BB36" s="34">
        <f>IF(AND(BB$4*1&gt;=$D36,BB$4*1&lt;=$E36),$F36/($E36-$D36+1),0)</f>
        <v/>
      </c>
      <c r="BC36" s="34">
        <f>IF(AND(BC$4*1&gt;=$D36,BC$4*1&lt;=$E36),$F36/($E36-$D36+1),0)</f>
        <v/>
      </c>
      <c r="BD36" s="34">
        <f>IF(AND(BD$4*1&gt;=$D36,BD$4*1&lt;=$E36),$F36/($E36-$D36+1),0)</f>
        <v/>
      </c>
      <c r="BE36" s="34">
        <f>IF(AND(BE$4*1&gt;=$D36,BE$4*1&lt;=$E36),$F36/($E36-$D36+1),0)</f>
        <v/>
      </c>
      <c r="BF36" s="34">
        <f>IF(AND(BF$4*1&gt;=$D36,BF$4*1&lt;=$E36),$F36/($E36-$D36+1),0)</f>
        <v/>
      </c>
      <c r="BG36" s="34">
        <f>IF(AND(BG$4*1&gt;=$D36,BG$4*1&lt;=$E36),$F36/($E36-$D36+1),0)</f>
        <v/>
      </c>
      <c r="BH36" s="34">
        <f>IF(AND(BH$4*1&gt;=$D36,BH$4*1&lt;=$E36),$F36/($E36-$D36+1),0)</f>
        <v/>
      </c>
      <c r="BI36" s="34">
        <f>IF(AND(BI$4*1&gt;=$D36,BI$4*1&lt;=$E36),$F36/($E36-$D36+1),0)</f>
        <v/>
      </c>
      <c r="BJ36" s="34">
        <f>IF(AND(BJ$4*1&gt;=$D36,BJ$4*1&lt;=$E36),$F36/($E36-$D36+1),0)</f>
        <v/>
      </c>
      <c r="BK36" s="34">
        <f>IF(AND(BK$4*1&gt;=$D36,BK$4*1&lt;=$E36),$F36/($E36-$D36+1),0)</f>
        <v/>
      </c>
      <c r="BL36" s="35">
        <f>SUM(H36:BK36)</f>
        <v/>
      </c>
    </row>
    <row r="37">
      <c r="A37" s="3" t="inlineStr">
        <is>
          <t>8.3.1</t>
        </is>
      </c>
      <c r="B37" s="4" t="inlineStr">
        <is>
          <t>INN-02 mantenimiento de escenarios de regresión</t>
        </is>
      </c>
      <c r="C37" s="14" t="inlineStr">
        <is>
          <t>CAL</t>
        </is>
      </c>
      <c r="D37" s="33" t="n">
        <v>21</v>
      </c>
      <c r="E37" s="33" t="n">
        <v>56</v>
      </c>
      <c r="F37" s="7" t="n">
        <v>576</v>
      </c>
      <c r="G37" s="4" t="inlineStr">
        <is>
          <t>Evaluación</t>
        </is>
      </c>
      <c r="H37" s="34">
        <f>IF(AND(H$4*1&gt;=$D37,H$4*1&lt;=$E37),$F37/($E37-$D37+1),0)</f>
        <v/>
      </c>
      <c r="I37" s="34">
        <f>IF(AND(I$4*1&gt;=$D37,I$4*1&lt;=$E37),$F37/($E37-$D37+1),0)</f>
        <v/>
      </c>
      <c r="J37" s="34">
        <f>IF(AND(J$4*1&gt;=$D37,J$4*1&lt;=$E37),$F37/($E37-$D37+1),0)</f>
        <v/>
      </c>
      <c r="K37" s="34">
        <f>IF(AND(K$4*1&gt;=$D37,K$4*1&lt;=$E37),$F37/($E37-$D37+1),0)</f>
        <v/>
      </c>
      <c r="L37" s="34">
        <f>IF(AND(L$4*1&gt;=$D37,L$4*1&lt;=$E37),$F37/($E37-$D37+1),0)</f>
        <v/>
      </c>
      <c r="M37" s="34">
        <f>IF(AND(M$4*1&gt;=$D37,M$4*1&lt;=$E37),$F37/($E37-$D37+1),0)</f>
        <v/>
      </c>
      <c r="N37" s="34">
        <f>IF(AND(N$4*1&gt;=$D37,N$4*1&lt;=$E37),$F37/($E37-$D37+1),0)</f>
        <v/>
      </c>
      <c r="O37" s="34">
        <f>IF(AND(O$4*1&gt;=$D37,O$4*1&lt;=$E37),$F37/($E37-$D37+1),0)</f>
        <v/>
      </c>
      <c r="P37" s="34">
        <f>IF(AND(P$4*1&gt;=$D37,P$4*1&lt;=$E37),$F37/($E37-$D37+1),0)</f>
        <v/>
      </c>
      <c r="Q37" s="34">
        <f>IF(AND(Q$4*1&gt;=$D37,Q$4*1&lt;=$E37),$F37/($E37-$D37+1),0)</f>
        <v/>
      </c>
      <c r="R37" s="34">
        <f>IF(AND(R$4*1&gt;=$D37,R$4*1&lt;=$E37),$F37/($E37-$D37+1),0)</f>
        <v/>
      </c>
      <c r="S37" s="34">
        <f>IF(AND(S$4*1&gt;=$D37,S$4*1&lt;=$E37),$F37/($E37-$D37+1),0)</f>
        <v/>
      </c>
      <c r="T37" s="34">
        <f>IF(AND(T$4*1&gt;=$D37,T$4*1&lt;=$E37),$F37/($E37-$D37+1),0)</f>
        <v/>
      </c>
      <c r="U37" s="34">
        <f>IF(AND(U$4*1&gt;=$D37,U$4*1&lt;=$E37),$F37/($E37-$D37+1),0)</f>
        <v/>
      </c>
      <c r="V37" s="34">
        <f>IF(AND(V$4*1&gt;=$D37,V$4*1&lt;=$E37),$F37/($E37-$D37+1),0)</f>
        <v/>
      </c>
      <c r="W37" s="34">
        <f>IF(AND(W$4*1&gt;=$D37,W$4*1&lt;=$E37),$F37/($E37-$D37+1),0)</f>
        <v/>
      </c>
      <c r="X37" s="34">
        <f>IF(AND(X$4*1&gt;=$D37,X$4*1&lt;=$E37),$F37/($E37-$D37+1),0)</f>
        <v/>
      </c>
      <c r="Y37" s="34">
        <f>IF(AND(Y$4*1&gt;=$D37,Y$4*1&lt;=$E37),$F37/($E37-$D37+1),0)</f>
        <v/>
      </c>
      <c r="Z37" s="34">
        <f>IF(AND(Z$4*1&gt;=$D37,Z$4*1&lt;=$E37),$F37/($E37-$D37+1),0)</f>
        <v/>
      </c>
      <c r="AA37" s="34">
        <f>IF(AND(AA$4*1&gt;=$D37,AA$4*1&lt;=$E37),$F37/($E37-$D37+1),0)</f>
        <v/>
      </c>
      <c r="AB37" s="34">
        <f>IF(AND(AB$4*1&gt;=$D37,AB$4*1&lt;=$E37),$F37/($E37-$D37+1),0)</f>
        <v/>
      </c>
      <c r="AC37" s="34">
        <f>IF(AND(AC$4*1&gt;=$D37,AC$4*1&lt;=$E37),$F37/($E37-$D37+1),0)</f>
        <v/>
      </c>
      <c r="AD37" s="34">
        <f>IF(AND(AD$4*1&gt;=$D37,AD$4*1&lt;=$E37),$F37/($E37-$D37+1),0)</f>
        <v/>
      </c>
      <c r="AE37" s="34">
        <f>IF(AND(AE$4*1&gt;=$D37,AE$4*1&lt;=$E37),$F37/($E37-$D37+1),0)</f>
        <v/>
      </c>
      <c r="AF37" s="34">
        <f>IF(AND(AF$4*1&gt;=$D37,AF$4*1&lt;=$E37),$F37/($E37-$D37+1),0)</f>
        <v/>
      </c>
      <c r="AG37" s="34">
        <f>IF(AND(AG$4*1&gt;=$D37,AG$4*1&lt;=$E37),$F37/($E37-$D37+1),0)</f>
        <v/>
      </c>
      <c r="AH37" s="34">
        <f>IF(AND(AH$4*1&gt;=$D37,AH$4*1&lt;=$E37),$F37/($E37-$D37+1),0)</f>
        <v/>
      </c>
      <c r="AI37" s="34">
        <f>IF(AND(AI$4*1&gt;=$D37,AI$4*1&lt;=$E37),$F37/($E37-$D37+1),0)</f>
        <v/>
      </c>
      <c r="AJ37" s="34">
        <f>IF(AND(AJ$4*1&gt;=$D37,AJ$4*1&lt;=$E37),$F37/($E37-$D37+1),0)</f>
        <v/>
      </c>
      <c r="AK37" s="34">
        <f>IF(AND(AK$4*1&gt;=$D37,AK$4*1&lt;=$E37),$F37/($E37-$D37+1),0)</f>
        <v/>
      </c>
      <c r="AL37" s="34">
        <f>IF(AND(AL$4*1&gt;=$D37,AL$4*1&lt;=$E37),$F37/($E37-$D37+1),0)</f>
        <v/>
      </c>
      <c r="AM37" s="34">
        <f>IF(AND(AM$4*1&gt;=$D37,AM$4*1&lt;=$E37),$F37/($E37-$D37+1),0)</f>
        <v/>
      </c>
      <c r="AN37" s="34">
        <f>IF(AND(AN$4*1&gt;=$D37,AN$4*1&lt;=$E37),$F37/($E37-$D37+1),0)</f>
        <v/>
      </c>
      <c r="AO37" s="34">
        <f>IF(AND(AO$4*1&gt;=$D37,AO$4*1&lt;=$E37),$F37/($E37-$D37+1),0)</f>
        <v/>
      </c>
      <c r="AP37" s="34">
        <f>IF(AND(AP$4*1&gt;=$D37,AP$4*1&lt;=$E37),$F37/($E37-$D37+1),0)</f>
        <v/>
      </c>
      <c r="AQ37" s="34">
        <f>IF(AND(AQ$4*1&gt;=$D37,AQ$4*1&lt;=$E37),$F37/($E37-$D37+1),0)</f>
        <v/>
      </c>
      <c r="AR37" s="34">
        <f>IF(AND(AR$4*1&gt;=$D37,AR$4*1&lt;=$E37),$F37/($E37-$D37+1),0)</f>
        <v/>
      </c>
      <c r="AS37" s="34">
        <f>IF(AND(AS$4*1&gt;=$D37,AS$4*1&lt;=$E37),$F37/($E37-$D37+1),0)</f>
        <v/>
      </c>
      <c r="AT37" s="34">
        <f>IF(AND(AT$4*1&gt;=$D37,AT$4*1&lt;=$E37),$F37/($E37-$D37+1),0)</f>
        <v/>
      </c>
      <c r="AU37" s="34">
        <f>IF(AND(AU$4*1&gt;=$D37,AU$4*1&lt;=$E37),$F37/($E37-$D37+1),0)</f>
        <v/>
      </c>
      <c r="AV37" s="34">
        <f>IF(AND(AV$4*1&gt;=$D37,AV$4*1&lt;=$E37),$F37/($E37-$D37+1),0)</f>
        <v/>
      </c>
      <c r="AW37" s="34">
        <f>IF(AND(AW$4*1&gt;=$D37,AW$4*1&lt;=$E37),$F37/($E37-$D37+1),0)</f>
        <v/>
      </c>
      <c r="AX37" s="34">
        <f>IF(AND(AX$4*1&gt;=$D37,AX$4*1&lt;=$E37),$F37/($E37-$D37+1),0)</f>
        <v/>
      </c>
      <c r="AY37" s="34">
        <f>IF(AND(AY$4*1&gt;=$D37,AY$4*1&lt;=$E37),$F37/($E37-$D37+1),0)</f>
        <v/>
      </c>
      <c r="AZ37" s="34">
        <f>IF(AND(AZ$4*1&gt;=$D37,AZ$4*1&lt;=$E37),$F37/($E37-$D37+1),0)</f>
        <v/>
      </c>
      <c r="BA37" s="34">
        <f>IF(AND(BA$4*1&gt;=$D37,BA$4*1&lt;=$E37),$F37/($E37-$D37+1),0)</f>
        <v/>
      </c>
      <c r="BB37" s="34">
        <f>IF(AND(BB$4*1&gt;=$D37,BB$4*1&lt;=$E37),$F37/($E37-$D37+1),0)</f>
        <v/>
      </c>
      <c r="BC37" s="34">
        <f>IF(AND(BC$4*1&gt;=$D37,BC$4*1&lt;=$E37),$F37/($E37-$D37+1),0)</f>
        <v/>
      </c>
      <c r="BD37" s="34">
        <f>IF(AND(BD$4*1&gt;=$D37,BD$4*1&lt;=$E37),$F37/($E37-$D37+1),0)</f>
        <v/>
      </c>
      <c r="BE37" s="34">
        <f>IF(AND(BE$4*1&gt;=$D37,BE$4*1&lt;=$E37),$F37/($E37-$D37+1),0)</f>
        <v/>
      </c>
      <c r="BF37" s="34">
        <f>IF(AND(BF$4*1&gt;=$D37,BF$4*1&lt;=$E37),$F37/($E37-$D37+1),0)</f>
        <v/>
      </c>
      <c r="BG37" s="34">
        <f>IF(AND(BG$4*1&gt;=$D37,BG$4*1&lt;=$E37),$F37/($E37-$D37+1),0)</f>
        <v/>
      </c>
      <c r="BH37" s="34">
        <f>IF(AND(BH$4*1&gt;=$D37,BH$4*1&lt;=$E37),$F37/($E37-$D37+1),0)</f>
        <v/>
      </c>
      <c r="BI37" s="34">
        <f>IF(AND(BI$4*1&gt;=$D37,BI$4*1&lt;=$E37),$F37/($E37-$D37+1),0)</f>
        <v/>
      </c>
      <c r="BJ37" s="34">
        <f>IF(AND(BJ$4*1&gt;=$D37,BJ$4*1&lt;=$E37),$F37/($E37-$D37+1),0)</f>
        <v/>
      </c>
      <c r="BK37" s="34">
        <f>IF(AND(BK$4*1&gt;=$D37,BK$4*1&lt;=$E37),$F37/($E37-$D37+1),0)</f>
        <v/>
      </c>
      <c r="BL37" s="35">
        <f>SUM(H37:BK37)</f>
        <v/>
      </c>
    </row>
    <row r="38">
      <c r="A38" s="11" t="inlineStr">
        <is>
          <t>Total</t>
        </is>
      </c>
      <c r="F38" s="29">
        <f>SUM(F5:F37)</f>
        <v/>
      </c>
      <c r="H38" s="29">
        <f>SUM(H5:H37)</f>
        <v/>
      </c>
      <c r="I38" s="29">
        <f>SUM(I5:I37)</f>
        <v/>
      </c>
      <c r="J38" s="29">
        <f>SUM(J5:J37)</f>
        <v/>
      </c>
      <c r="K38" s="29">
        <f>SUM(K5:K37)</f>
        <v/>
      </c>
      <c r="L38" s="29">
        <f>SUM(L5:L37)</f>
        <v/>
      </c>
      <c r="M38" s="29">
        <f>SUM(M5:M37)</f>
        <v/>
      </c>
      <c r="N38" s="29">
        <f>SUM(N5:N37)</f>
        <v/>
      </c>
      <c r="O38" s="29">
        <f>SUM(O5:O37)</f>
        <v/>
      </c>
      <c r="P38" s="29">
        <f>SUM(P5:P37)</f>
        <v/>
      </c>
      <c r="Q38" s="29">
        <f>SUM(Q5:Q37)</f>
        <v/>
      </c>
      <c r="R38" s="29">
        <f>SUM(R5:R37)</f>
        <v/>
      </c>
      <c r="S38" s="29">
        <f>SUM(S5:S37)</f>
        <v/>
      </c>
      <c r="T38" s="29">
        <f>SUM(T5:T37)</f>
        <v/>
      </c>
      <c r="U38" s="29">
        <f>SUM(U5:U37)</f>
        <v/>
      </c>
      <c r="V38" s="29">
        <f>SUM(V5:V37)</f>
        <v/>
      </c>
      <c r="W38" s="29">
        <f>SUM(W5:W37)</f>
        <v/>
      </c>
      <c r="X38" s="29">
        <f>SUM(X5:X37)</f>
        <v/>
      </c>
      <c r="Y38" s="29">
        <f>SUM(Y5:Y37)</f>
        <v/>
      </c>
      <c r="Z38" s="29">
        <f>SUM(Z5:Z37)</f>
        <v/>
      </c>
      <c r="AA38" s="29">
        <f>SUM(AA5:AA37)</f>
        <v/>
      </c>
      <c r="AB38" s="29">
        <f>SUM(AB5:AB37)</f>
        <v/>
      </c>
      <c r="AC38" s="29">
        <f>SUM(AC5:AC37)</f>
        <v/>
      </c>
      <c r="AD38" s="29">
        <f>SUM(AD5:AD37)</f>
        <v/>
      </c>
      <c r="AE38" s="29">
        <f>SUM(AE5:AE37)</f>
        <v/>
      </c>
      <c r="AF38" s="29">
        <f>SUM(AF5:AF37)</f>
        <v/>
      </c>
      <c r="AG38" s="29">
        <f>SUM(AG5:AG37)</f>
        <v/>
      </c>
      <c r="AH38" s="29">
        <f>SUM(AH5:AH37)</f>
        <v/>
      </c>
      <c r="AI38" s="29">
        <f>SUM(AI5:AI37)</f>
        <v/>
      </c>
      <c r="AJ38" s="29">
        <f>SUM(AJ5:AJ37)</f>
        <v/>
      </c>
      <c r="AK38" s="29">
        <f>SUM(AK5:AK37)</f>
        <v/>
      </c>
      <c r="AL38" s="29">
        <f>SUM(AL5:AL37)</f>
        <v/>
      </c>
      <c r="AM38" s="29">
        <f>SUM(AM5:AM37)</f>
        <v/>
      </c>
      <c r="AN38" s="29">
        <f>SUM(AN5:AN37)</f>
        <v/>
      </c>
      <c r="AO38" s="29">
        <f>SUM(AO5:AO37)</f>
        <v/>
      </c>
      <c r="AP38" s="29">
        <f>SUM(AP5:AP37)</f>
        <v/>
      </c>
      <c r="AQ38" s="29">
        <f>SUM(AQ5:AQ37)</f>
        <v/>
      </c>
      <c r="AR38" s="29">
        <f>SUM(AR5:AR37)</f>
        <v/>
      </c>
      <c r="AS38" s="29">
        <f>SUM(AS5:AS37)</f>
        <v/>
      </c>
      <c r="AT38" s="29">
        <f>SUM(AT5:AT37)</f>
        <v/>
      </c>
      <c r="AU38" s="29">
        <f>SUM(AU5:AU37)</f>
        <v/>
      </c>
      <c r="AV38" s="29">
        <f>SUM(AV5:AV37)</f>
        <v/>
      </c>
      <c r="AW38" s="29">
        <f>SUM(AW5:AW37)</f>
        <v/>
      </c>
      <c r="AX38" s="29">
        <f>SUM(AX5:AX37)</f>
        <v/>
      </c>
      <c r="AY38" s="29">
        <f>SUM(AY5:AY37)</f>
        <v/>
      </c>
      <c r="AZ38" s="29">
        <f>SUM(AZ5:AZ37)</f>
        <v/>
      </c>
      <c r="BA38" s="29">
        <f>SUM(BA5:BA37)</f>
        <v/>
      </c>
      <c r="BB38" s="29">
        <f>SUM(BB5:BB37)</f>
        <v/>
      </c>
      <c r="BC38" s="29">
        <f>SUM(BC5:BC37)</f>
        <v/>
      </c>
      <c r="BD38" s="29">
        <f>SUM(BD5:BD37)</f>
        <v/>
      </c>
      <c r="BE38" s="29">
        <f>SUM(BE5:BE37)</f>
        <v/>
      </c>
      <c r="BF38" s="29">
        <f>SUM(BF5:BF37)</f>
        <v/>
      </c>
      <c r="BG38" s="29">
        <f>SUM(BG5:BG37)</f>
        <v/>
      </c>
      <c r="BH38" s="29">
        <f>SUM(BH5:BH37)</f>
        <v/>
      </c>
      <c r="BI38" s="29">
        <f>SUM(BI5:BI37)</f>
        <v/>
      </c>
      <c r="BJ38" s="29">
        <f>SUM(BJ5:BJ37)</f>
        <v/>
      </c>
      <c r="BK38" s="29">
        <f>SUM(BK5:BK37)</f>
        <v/>
      </c>
      <c r="BL38" s="29">
        <f>SUM(BL5:BL37)</f>
        <v/>
      </c>
    </row>
    <row r="39">
      <c r="A39" s="3" t="inlineStr">
        <is>
          <t>HH CAL</t>
        </is>
      </c>
      <c r="H39" s="34">
        <f>SUMIF($C$5:$C$37,"CAL",H5:H37)</f>
        <v/>
      </c>
      <c r="I39" s="34">
        <f>SUMIF($C$5:$C$37,"CAL",I5:I37)</f>
        <v/>
      </c>
      <c r="J39" s="34">
        <f>SUMIF($C$5:$C$37,"CAL",J5:J37)</f>
        <v/>
      </c>
      <c r="K39" s="34">
        <f>SUMIF($C$5:$C$37,"CAL",K5:K37)</f>
        <v/>
      </c>
      <c r="L39" s="34">
        <f>SUMIF($C$5:$C$37,"CAL",L5:L37)</f>
        <v/>
      </c>
      <c r="M39" s="34">
        <f>SUMIF($C$5:$C$37,"CAL",M5:M37)</f>
        <v/>
      </c>
      <c r="N39" s="34">
        <f>SUMIF($C$5:$C$37,"CAL",N5:N37)</f>
        <v/>
      </c>
      <c r="O39" s="34">
        <f>SUMIF($C$5:$C$37,"CAL",O5:O37)</f>
        <v/>
      </c>
      <c r="P39" s="34">
        <f>SUMIF($C$5:$C$37,"CAL",P5:P37)</f>
        <v/>
      </c>
      <c r="Q39" s="34">
        <f>SUMIF($C$5:$C$37,"CAL",Q5:Q37)</f>
        <v/>
      </c>
      <c r="R39" s="34">
        <f>SUMIF($C$5:$C$37,"CAL",R5:R37)</f>
        <v/>
      </c>
      <c r="S39" s="34">
        <f>SUMIF($C$5:$C$37,"CAL",S5:S37)</f>
        <v/>
      </c>
      <c r="T39" s="34">
        <f>SUMIF($C$5:$C$37,"CAL",T5:T37)</f>
        <v/>
      </c>
      <c r="U39" s="34">
        <f>SUMIF($C$5:$C$37,"CAL",U5:U37)</f>
        <v/>
      </c>
      <c r="V39" s="34">
        <f>SUMIF($C$5:$C$37,"CAL",V5:V37)</f>
        <v/>
      </c>
      <c r="W39" s="34">
        <f>SUMIF($C$5:$C$37,"CAL",W5:W37)</f>
        <v/>
      </c>
      <c r="X39" s="34">
        <f>SUMIF($C$5:$C$37,"CAL",X5:X37)</f>
        <v/>
      </c>
      <c r="Y39" s="34">
        <f>SUMIF($C$5:$C$37,"CAL",Y5:Y37)</f>
        <v/>
      </c>
      <c r="Z39" s="34">
        <f>SUMIF($C$5:$C$37,"CAL",Z5:Z37)</f>
        <v/>
      </c>
      <c r="AA39" s="34">
        <f>SUMIF($C$5:$C$37,"CAL",AA5:AA37)</f>
        <v/>
      </c>
      <c r="AB39" s="34">
        <f>SUMIF($C$5:$C$37,"CAL",AB5:AB37)</f>
        <v/>
      </c>
      <c r="AC39" s="34">
        <f>SUMIF($C$5:$C$37,"CAL",AC5:AC37)</f>
        <v/>
      </c>
      <c r="AD39" s="34">
        <f>SUMIF($C$5:$C$37,"CAL",AD5:AD37)</f>
        <v/>
      </c>
      <c r="AE39" s="34">
        <f>SUMIF($C$5:$C$37,"CAL",AE5:AE37)</f>
        <v/>
      </c>
      <c r="AF39" s="34">
        <f>SUMIF($C$5:$C$37,"CAL",AF5:AF37)</f>
        <v/>
      </c>
      <c r="AG39" s="34">
        <f>SUMIF($C$5:$C$37,"CAL",AG5:AG37)</f>
        <v/>
      </c>
      <c r="AH39" s="34">
        <f>SUMIF($C$5:$C$37,"CAL",AH5:AH37)</f>
        <v/>
      </c>
      <c r="AI39" s="34">
        <f>SUMIF($C$5:$C$37,"CAL",AI5:AI37)</f>
        <v/>
      </c>
      <c r="AJ39" s="34">
        <f>SUMIF($C$5:$C$37,"CAL",AJ5:AJ37)</f>
        <v/>
      </c>
      <c r="AK39" s="34">
        <f>SUMIF($C$5:$C$37,"CAL",AK5:AK37)</f>
        <v/>
      </c>
      <c r="AL39" s="34">
        <f>SUMIF($C$5:$C$37,"CAL",AL5:AL37)</f>
        <v/>
      </c>
      <c r="AM39" s="34">
        <f>SUMIF($C$5:$C$37,"CAL",AM5:AM37)</f>
        <v/>
      </c>
      <c r="AN39" s="34">
        <f>SUMIF($C$5:$C$37,"CAL",AN5:AN37)</f>
        <v/>
      </c>
      <c r="AO39" s="34">
        <f>SUMIF($C$5:$C$37,"CAL",AO5:AO37)</f>
        <v/>
      </c>
      <c r="AP39" s="34">
        <f>SUMIF($C$5:$C$37,"CAL",AP5:AP37)</f>
        <v/>
      </c>
      <c r="AQ39" s="34">
        <f>SUMIF($C$5:$C$37,"CAL",AQ5:AQ37)</f>
        <v/>
      </c>
      <c r="AR39" s="34">
        <f>SUMIF($C$5:$C$37,"CAL",AR5:AR37)</f>
        <v/>
      </c>
      <c r="AS39" s="34">
        <f>SUMIF($C$5:$C$37,"CAL",AS5:AS37)</f>
        <v/>
      </c>
      <c r="AT39" s="34">
        <f>SUMIF($C$5:$C$37,"CAL",AT5:AT37)</f>
        <v/>
      </c>
      <c r="AU39" s="34">
        <f>SUMIF($C$5:$C$37,"CAL",AU5:AU37)</f>
        <v/>
      </c>
      <c r="AV39" s="34">
        <f>SUMIF($C$5:$C$37,"CAL",AV5:AV37)</f>
        <v/>
      </c>
      <c r="AW39" s="34">
        <f>SUMIF($C$5:$C$37,"CAL",AW5:AW37)</f>
        <v/>
      </c>
      <c r="AX39" s="34">
        <f>SUMIF($C$5:$C$37,"CAL",AX5:AX37)</f>
        <v/>
      </c>
      <c r="AY39" s="34">
        <f>SUMIF($C$5:$C$37,"CAL",AY5:AY37)</f>
        <v/>
      </c>
      <c r="AZ39" s="34">
        <f>SUMIF($C$5:$C$37,"CAL",AZ5:AZ37)</f>
        <v/>
      </c>
      <c r="BA39" s="34">
        <f>SUMIF($C$5:$C$37,"CAL",BA5:BA37)</f>
        <v/>
      </c>
      <c r="BB39" s="34">
        <f>SUMIF($C$5:$C$37,"CAL",BB5:BB37)</f>
        <v/>
      </c>
      <c r="BC39" s="34">
        <f>SUMIF($C$5:$C$37,"CAL",BC5:BC37)</f>
        <v/>
      </c>
      <c r="BD39" s="34">
        <f>SUMIF($C$5:$C$37,"CAL",BD5:BD37)</f>
        <v/>
      </c>
      <c r="BE39" s="34">
        <f>SUMIF($C$5:$C$37,"CAL",BE5:BE37)</f>
        <v/>
      </c>
      <c r="BF39" s="34">
        <f>SUMIF($C$5:$C$37,"CAL",BF5:BF37)</f>
        <v/>
      </c>
      <c r="BG39" s="34">
        <f>SUMIF($C$5:$C$37,"CAL",BG5:BG37)</f>
        <v/>
      </c>
      <c r="BH39" s="34">
        <f>SUMIF($C$5:$C$37,"CAL",BH5:BH37)</f>
        <v/>
      </c>
      <c r="BI39" s="34">
        <f>SUMIF($C$5:$C$37,"CAL",BI5:BI37)</f>
        <v/>
      </c>
      <c r="BJ39" s="34">
        <f>SUMIF($C$5:$C$37,"CAL",BJ5:BJ37)</f>
        <v/>
      </c>
      <c r="BK39" s="34">
        <f>SUMIF($C$5:$C$37,"CAL",BK5:BK37)</f>
        <v/>
      </c>
    </row>
    <row r="40">
      <c r="A40" s="3" t="inlineStr">
        <is>
          <t>Dotación CAL (T-15)</t>
        </is>
      </c>
      <c r="B40" s="4" t="inlineStr">
        <is>
          <t>Personas equivalentes CAL por mes, T-15 tabla mensual</t>
        </is>
      </c>
      <c r="H40" s="33" t="n">
        <v>0</v>
      </c>
      <c r="I40" s="33" t="n">
        <v>3</v>
      </c>
      <c r="J40" s="33" t="n">
        <v>2</v>
      </c>
      <c r="K40" s="33" t="n">
        <v>1</v>
      </c>
      <c r="L40" s="33" t="n">
        <v>2</v>
      </c>
      <c r="M40" s="33" t="n">
        <v>1</v>
      </c>
      <c r="N40" s="33" t="n">
        <v>1</v>
      </c>
      <c r="O40" s="33" t="n">
        <v>1</v>
      </c>
      <c r="P40" s="33" t="n">
        <v>8</v>
      </c>
      <c r="Q40" s="33" t="n">
        <v>6</v>
      </c>
      <c r="R40" s="33" t="n">
        <v>1</v>
      </c>
      <c r="S40" s="33" t="n">
        <v>1</v>
      </c>
      <c r="T40" s="33" t="n">
        <v>2</v>
      </c>
      <c r="U40" s="33" t="n">
        <v>2</v>
      </c>
      <c r="V40" s="33" t="n">
        <v>2</v>
      </c>
      <c r="W40" s="33" t="n">
        <v>10</v>
      </c>
      <c r="X40" s="33" t="n">
        <v>3</v>
      </c>
      <c r="Y40" s="33" t="n">
        <v>2</v>
      </c>
      <c r="Z40" s="33" t="n">
        <v>2</v>
      </c>
      <c r="AA40" s="33" t="n">
        <v>1</v>
      </c>
      <c r="AB40" s="33" t="n">
        <v>1</v>
      </c>
      <c r="AC40" s="33" t="n">
        <v>1</v>
      </c>
      <c r="AD40" s="33" t="n">
        <v>1</v>
      </c>
      <c r="AE40" s="33" t="n">
        <v>1</v>
      </c>
      <c r="AF40" s="33" t="n">
        <v>1</v>
      </c>
      <c r="AG40" s="33" t="n">
        <v>1</v>
      </c>
      <c r="AH40" s="33" t="n">
        <v>1</v>
      </c>
      <c r="AI40" s="33" t="n">
        <v>1</v>
      </c>
      <c r="AJ40" s="33" t="n">
        <v>1</v>
      </c>
      <c r="AK40" s="33" t="n">
        <v>1</v>
      </c>
      <c r="AL40" s="33" t="n">
        <v>1</v>
      </c>
      <c r="AM40" s="33" t="n">
        <v>1</v>
      </c>
      <c r="AN40" s="33" t="n">
        <v>1</v>
      </c>
      <c r="AO40" s="33" t="n">
        <v>1</v>
      </c>
      <c r="AP40" s="33" t="n">
        <v>1</v>
      </c>
      <c r="AQ40" s="33" t="n">
        <v>1</v>
      </c>
      <c r="AR40" s="33" t="n">
        <v>1</v>
      </c>
      <c r="AS40" s="33" t="n">
        <v>1</v>
      </c>
      <c r="AT40" s="33" t="n">
        <v>1</v>
      </c>
      <c r="AU40" s="33" t="n">
        <v>1</v>
      </c>
      <c r="AV40" s="33" t="n">
        <v>1</v>
      </c>
      <c r="AW40" s="33" t="n">
        <v>1</v>
      </c>
      <c r="AX40" s="33" t="n">
        <v>1</v>
      </c>
      <c r="AY40" s="33" t="n">
        <v>1</v>
      </c>
      <c r="AZ40" s="33" t="n">
        <v>1</v>
      </c>
      <c r="BA40" s="33" t="n">
        <v>1</v>
      </c>
      <c r="BB40" s="33" t="n">
        <v>1</v>
      </c>
      <c r="BC40" s="33" t="n">
        <v>1</v>
      </c>
      <c r="BD40" s="33" t="n">
        <v>1</v>
      </c>
      <c r="BE40" s="33" t="n">
        <v>1</v>
      </c>
      <c r="BF40" s="33" t="n">
        <v>1</v>
      </c>
      <c r="BG40" s="33" t="n">
        <v>1</v>
      </c>
      <c r="BH40" s="33" t="n">
        <v>1</v>
      </c>
      <c r="BI40" s="33" t="n">
        <v>1</v>
      </c>
      <c r="BJ40" s="33" t="n">
        <v>1</v>
      </c>
      <c r="BK40" s="33" t="n">
        <v>1</v>
      </c>
    </row>
    <row r="41">
      <c r="A41" s="3" t="inlineStr">
        <is>
          <t>Capacidad CAL</t>
        </is>
      </c>
      <c r="B41" s="4" t="inlineStr">
        <is>
          <t>Personas × días hábiles × horas</t>
        </is>
      </c>
      <c r="H41" s="34">
        <f>H40*Datos_Base!$C$52*Datos_Base!$C$51</f>
        <v/>
      </c>
      <c r="I41" s="34">
        <f>I40*Datos_Base!$C$52*Datos_Base!$C$51</f>
        <v/>
      </c>
      <c r="J41" s="34">
        <f>J40*Datos_Base!$C$52*Datos_Base!$C$51</f>
        <v/>
      </c>
      <c r="K41" s="34">
        <f>K40*Datos_Base!$C$52*Datos_Base!$C$51</f>
        <v/>
      </c>
      <c r="L41" s="34">
        <f>L40*Datos_Base!$C$52*Datos_Base!$C$51</f>
        <v/>
      </c>
      <c r="M41" s="34">
        <f>M40*Datos_Base!$C$52*Datos_Base!$C$51</f>
        <v/>
      </c>
      <c r="N41" s="34">
        <f>N40*Datos_Base!$C$52*Datos_Base!$C$51</f>
        <v/>
      </c>
      <c r="O41" s="34">
        <f>O40*Datos_Base!$C$52*Datos_Base!$C$51</f>
        <v/>
      </c>
      <c r="P41" s="34">
        <f>P40*Datos_Base!$C$52*Datos_Base!$C$51</f>
        <v/>
      </c>
      <c r="Q41" s="34">
        <f>Q40*Datos_Base!$C$52*Datos_Base!$C$51</f>
        <v/>
      </c>
      <c r="R41" s="34">
        <f>R40*Datos_Base!$C$52*Datos_Base!$C$51</f>
        <v/>
      </c>
      <c r="S41" s="34">
        <f>S40*Datos_Base!$C$52*Datos_Base!$C$51</f>
        <v/>
      </c>
      <c r="T41" s="34">
        <f>T40*Datos_Base!$C$52*Datos_Base!$C$51</f>
        <v/>
      </c>
      <c r="U41" s="34">
        <f>U40*Datos_Base!$C$52*Datos_Base!$C$51</f>
        <v/>
      </c>
      <c r="V41" s="34">
        <f>V40*Datos_Base!$C$52*Datos_Base!$C$51</f>
        <v/>
      </c>
      <c r="W41" s="34">
        <f>W40*Datos_Base!$C$52*Datos_Base!$C$51</f>
        <v/>
      </c>
      <c r="X41" s="34">
        <f>X40*Datos_Base!$C$52*Datos_Base!$C$51</f>
        <v/>
      </c>
      <c r="Y41" s="34">
        <f>Y40*Datos_Base!$C$52*Datos_Base!$C$51</f>
        <v/>
      </c>
      <c r="Z41" s="34">
        <f>Z40*Datos_Base!$C$52*Datos_Base!$C$51</f>
        <v/>
      </c>
      <c r="AA41" s="34">
        <f>AA40*Datos_Base!$C$52*Datos_Base!$C$51</f>
        <v/>
      </c>
      <c r="AB41" s="34">
        <f>AB40*Datos_Base!$C$52*Datos_Base!$C$51</f>
        <v/>
      </c>
      <c r="AC41" s="34">
        <f>AC40*Datos_Base!$C$52*Datos_Base!$C$51</f>
        <v/>
      </c>
      <c r="AD41" s="34">
        <f>AD40*Datos_Base!$C$52*Datos_Base!$C$51</f>
        <v/>
      </c>
      <c r="AE41" s="34">
        <f>AE40*Datos_Base!$C$52*Datos_Base!$C$51</f>
        <v/>
      </c>
      <c r="AF41" s="34">
        <f>AF40*Datos_Base!$C$52*Datos_Base!$C$51</f>
        <v/>
      </c>
      <c r="AG41" s="34">
        <f>AG40*Datos_Base!$C$52*Datos_Base!$C$51</f>
        <v/>
      </c>
      <c r="AH41" s="34">
        <f>AH40*Datos_Base!$C$52*Datos_Base!$C$51</f>
        <v/>
      </c>
      <c r="AI41" s="34">
        <f>AI40*Datos_Base!$C$52*Datos_Base!$C$51</f>
        <v/>
      </c>
      <c r="AJ41" s="34">
        <f>AJ40*Datos_Base!$C$52*Datos_Base!$C$51</f>
        <v/>
      </c>
      <c r="AK41" s="34">
        <f>AK40*Datos_Base!$C$52*Datos_Base!$C$51</f>
        <v/>
      </c>
      <c r="AL41" s="34">
        <f>AL40*Datos_Base!$C$52*Datos_Base!$C$51</f>
        <v/>
      </c>
      <c r="AM41" s="34">
        <f>AM40*Datos_Base!$C$52*Datos_Base!$C$51</f>
        <v/>
      </c>
      <c r="AN41" s="34">
        <f>AN40*Datos_Base!$C$52*Datos_Base!$C$51</f>
        <v/>
      </c>
      <c r="AO41" s="34">
        <f>AO40*Datos_Base!$C$52*Datos_Base!$C$51</f>
        <v/>
      </c>
      <c r="AP41" s="34">
        <f>AP40*Datos_Base!$C$52*Datos_Base!$C$51</f>
        <v/>
      </c>
      <c r="AQ41" s="34">
        <f>AQ40*Datos_Base!$C$52*Datos_Base!$C$51</f>
        <v/>
      </c>
      <c r="AR41" s="34">
        <f>AR40*Datos_Base!$C$52*Datos_Base!$C$51</f>
        <v/>
      </c>
      <c r="AS41" s="34">
        <f>AS40*Datos_Base!$C$52*Datos_Base!$C$51</f>
        <v/>
      </c>
      <c r="AT41" s="34">
        <f>AT40*Datos_Base!$C$52*Datos_Base!$C$51</f>
        <v/>
      </c>
      <c r="AU41" s="34">
        <f>AU40*Datos_Base!$C$52*Datos_Base!$C$51</f>
        <v/>
      </c>
      <c r="AV41" s="34">
        <f>AV40*Datos_Base!$C$52*Datos_Base!$C$51</f>
        <v/>
      </c>
      <c r="AW41" s="34">
        <f>AW40*Datos_Base!$C$52*Datos_Base!$C$51</f>
        <v/>
      </c>
      <c r="AX41" s="34">
        <f>AX40*Datos_Base!$C$52*Datos_Base!$C$51</f>
        <v/>
      </c>
      <c r="AY41" s="34">
        <f>AY40*Datos_Base!$C$52*Datos_Base!$C$51</f>
        <v/>
      </c>
      <c r="AZ41" s="34">
        <f>AZ40*Datos_Base!$C$52*Datos_Base!$C$51</f>
        <v/>
      </c>
      <c r="BA41" s="34">
        <f>BA40*Datos_Base!$C$52*Datos_Base!$C$51</f>
        <v/>
      </c>
      <c r="BB41" s="34">
        <f>BB40*Datos_Base!$C$52*Datos_Base!$C$51</f>
        <v/>
      </c>
      <c r="BC41" s="34">
        <f>BC40*Datos_Base!$C$52*Datos_Base!$C$51</f>
        <v/>
      </c>
      <c r="BD41" s="34">
        <f>BD40*Datos_Base!$C$52*Datos_Base!$C$51</f>
        <v/>
      </c>
      <c r="BE41" s="34">
        <f>BE40*Datos_Base!$C$52*Datos_Base!$C$51</f>
        <v/>
      </c>
      <c r="BF41" s="34">
        <f>BF40*Datos_Base!$C$52*Datos_Base!$C$51</f>
        <v/>
      </c>
      <c r="BG41" s="34">
        <f>BG40*Datos_Base!$C$52*Datos_Base!$C$51</f>
        <v/>
      </c>
      <c r="BH41" s="34">
        <f>BH40*Datos_Base!$C$52*Datos_Base!$C$51</f>
        <v/>
      </c>
      <c r="BI41" s="34">
        <f>BI40*Datos_Base!$C$52*Datos_Base!$C$51</f>
        <v/>
      </c>
      <c r="BJ41" s="34">
        <f>BJ40*Datos_Base!$C$52*Datos_Base!$C$51</f>
        <v/>
      </c>
      <c r="BK41" s="34">
        <f>BK40*Datos_Base!$C$52*Datos_Base!$C$51</f>
        <v/>
      </c>
    </row>
    <row r="42">
      <c r="A42" s="3" t="inlineStr">
        <is>
          <t>Evaluadores</t>
        </is>
      </c>
      <c r="B42" s="4" t="inlineStr">
        <is>
          <t>Capacidad máxima de evaluadores subcontratados (meses 9–12 y 16–18)</t>
        </is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4" t="n">
        <v>0</v>
      </c>
      <c r="P42" s="34">
        <f>Datos_Base!$C$50*Datos_Base!$C$52*Datos_Base!$C$51</f>
        <v/>
      </c>
      <c r="Q42" s="34">
        <f>Datos_Base!$C$50*Datos_Base!$C$52*Datos_Base!$C$51</f>
        <v/>
      </c>
      <c r="R42" s="34">
        <f>Datos_Base!$C$50*Datos_Base!$C$52*Datos_Base!$C$51</f>
        <v/>
      </c>
      <c r="S42" s="34">
        <f>Datos_Base!$C$50*Datos_Base!$C$52*Datos_Base!$C$51</f>
        <v/>
      </c>
      <c r="T42" s="34" t="n">
        <v>0</v>
      </c>
      <c r="U42" s="34" t="n">
        <v>0</v>
      </c>
      <c r="V42" s="34" t="n">
        <v>0</v>
      </c>
      <c r="W42" s="34">
        <f>Datos_Base!$C$50*Datos_Base!$C$52*Datos_Base!$C$51</f>
        <v/>
      </c>
      <c r="X42" s="34">
        <f>Datos_Base!$C$50*Datos_Base!$C$52*Datos_Base!$C$51</f>
        <v/>
      </c>
      <c r="Y42" s="34">
        <f>Datos_Base!$C$50*Datos_Base!$C$52*Datos_Base!$C$51</f>
        <v/>
      </c>
      <c r="Z42" s="34" t="n">
        <v>0</v>
      </c>
      <c r="AA42" s="34" t="n">
        <v>0</v>
      </c>
      <c r="AB42" s="34" t="n">
        <v>0</v>
      </c>
      <c r="AC42" s="34" t="n">
        <v>0</v>
      </c>
      <c r="AD42" s="34" t="n">
        <v>0</v>
      </c>
      <c r="AE42" s="34" t="n">
        <v>0</v>
      </c>
      <c r="AF42" s="34" t="n">
        <v>0</v>
      </c>
      <c r="AG42" s="34" t="n">
        <v>0</v>
      </c>
      <c r="AH42" s="34" t="n">
        <v>0</v>
      </c>
      <c r="AI42" s="34" t="n">
        <v>0</v>
      </c>
      <c r="AJ42" s="34" t="n">
        <v>0</v>
      </c>
      <c r="AK42" s="34" t="n">
        <v>0</v>
      </c>
      <c r="AL42" s="34" t="n">
        <v>0</v>
      </c>
      <c r="AM42" s="34" t="n">
        <v>0</v>
      </c>
      <c r="AN42" s="34" t="n">
        <v>0</v>
      </c>
      <c r="AO42" s="34" t="n">
        <v>0</v>
      </c>
      <c r="AP42" s="34" t="n">
        <v>0</v>
      </c>
      <c r="AQ42" s="34" t="n">
        <v>0</v>
      </c>
      <c r="AR42" s="34" t="n">
        <v>0</v>
      </c>
      <c r="AS42" s="34" t="n">
        <v>0</v>
      </c>
      <c r="AT42" s="34" t="n">
        <v>0</v>
      </c>
      <c r="AU42" s="34" t="n">
        <v>0</v>
      </c>
      <c r="AV42" s="34" t="n">
        <v>0</v>
      </c>
      <c r="AW42" s="34" t="n">
        <v>0</v>
      </c>
      <c r="AX42" s="34" t="n">
        <v>0</v>
      </c>
      <c r="AY42" s="34" t="n">
        <v>0</v>
      </c>
      <c r="AZ42" s="34" t="n">
        <v>0</v>
      </c>
      <c r="BA42" s="34" t="n">
        <v>0</v>
      </c>
      <c r="BB42" s="34" t="n">
        <v>0</v>
      </c>
      <c r="BC42" s="34" t="n">
        <v>0</v>
      </c>
      <c r="BD42" s="34" t="n">
        <v>0</v>
      </c>
      <c r="BE42" s="34" t="n">
        <v>0</v>
      </c>
      <c r="BF42" s="34" t="n">
        <v>0</v>
      </c>
      <c r="BG42" s="34" t="n">
        <v>0</v>
      </c>
      <c r="BH42" s="34" t="n">
        <v>0</v>
      </c>
      <c r="BI42" s="34" t="n">
        <v>0</v>
      </c>
      <c r="BJ42" s="34" t="n">
        <v>0</v>
      </c>
      <c r="BK42" s="34" t="n">
        <v>0</v>
      </c>
    </row>
    <row r="45">
      <c r="A45" s="3" t="inlineStr">
        <is>
          <t>Resumen</t>
        </is>
      </c>
    </row>
    <row r="46">
      <c r="B46" s="4" t="inlineStr">
        <is>
          <t>HH de paquetes CAL (debe ser 4.656)</t>
        </is>
      </c>
      <c r="F46" s="35">
        <f>SUMIF(C5:C37,"CAL",F5:F37)</f>
        <v/>
      </c>
    </row>
    <row r="47">
      <c r="B47" s="4" t="inlineStr">
        <is>
          <t>HH de paquetes de pruebas SEG</t>
        </is>
      </c>
      <c r="F47" s="35">
        <f>SUMIF(C5:C37,"SEG",F5:F37)</f>
        <v/>
      </c>
    </row>
    <row r="48">
      <c r="B48" s="4" t="inlineStr">
        <is>
          <t>HH de paquetes de pruebas SRE</t>
        </is>
      </c>
      <c r="F48" s="35">
        <f>SUMIF(C5:C37,"SRE",F5:F37)</f>
        <v/>
      </c>
    </row>
    <row r="49">
      <c r="B49" s="4" t="inlineStr">
        <is>
          <t>HH de paquetes IMP ligados a calidad</t>
        </is>
      </c>
      <c r="F49" s="35">
        <f>SUMIF(C5:C37,"IMP",F5:F37)</f>
        <v/>
      </c>
    </row>
    <row r="50">
      <c r="B50" s="4" t="inlineStr">
        <is>
          <t>HH de deuda técnica (DES)</t>
        </is>
      </c>
      <c r="F50" s="35">
        <f>SUMIF(C5:C37,"DES",F5:F37)</f>
        <v/>
      </c>
    </row>
    <row r="51">
      <c r="B51" s="4" t="inlineStr">
        <is>
          <t>HH totales ligadas a calidad</t>
        </is>
      </c>
      <c r="F51" s="35">
        <f>F38</f>
        <v/>
      </c>
    </row>
    <row r="52">
      <c r="B52" s="4" t="inlineStr">
        <is>
          <t>Participación en las HH del proyecto</t>
        </is>
      </c>
      <c r="F52" s="36">
        <f>F38/Datos_Base!$C$47</f>
        <v/>
      </c>
    </row>
    <row r="53">
      <c r="B53" s="4" t="inlineStr">
        <is>
          <t>Reserva protegida E1 de CAL (meses 13–20)</t>
        </is>
      </c>
      <c r="F53" s="35">
        <f>Datos_Base!$C$49</f>
        <v/>
      </c>
    </row>
    <row r="54">
      <c r="B54" s="4" t="inlineStr">
        <is>
          <t>Comprobación CAL = 4.656</t>
        </is>
      </c>
      <c r="F54" s="35">
        <f>IF(F46=4656,"OK","REVISAR")</f>
        <v/>
      </c>
    </row>
    <row r="55">
      <c r="B55" s="4" t="inlineStr">
        <is>
          <t>Comprobación suma por meses = suma de paquetes</t>
        </is>
      </c>
      <c r="F55" s="35">
        <f>IF(ROUND(BL38,2)=ROUND(F38,2),"OK","REVISAR")</f>
        <v/>
      </c>
    </row>
    <row r="56">
      <c r="B56" s="4" t="inlineStr">
        <is>
          <t>Meses en que las HH CAL superan la capacidad CAL</t>
        </is>
      </c>
      <c r="F56" s="35">
        <f>SUMPRODUCT(--(H39:BK39&gt;H41:BK41))</f>
        <v/>
      </c>
    </row>
    <row r="57">
      <c r="B57" s="4" t="inlineStr">
        <is>
          <t>Meses con evaluadores y sin paquete de pruebas V</t>
        </is>
      </c>
      <c r="F57" s="35">
        <f>SUMPRODUCT(--(H42:BK42&gt;0),--(H38:BK38&lt;=200))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2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8" customWidth="1" min="60" max="60"/>
    <col width="12" customWidth="1" min="61" max="61"/>
  </cols>
  <sheetData>
    <row r="1">
      <c r="A1" s="1" t="inlineStr">
        <is>
          <t>Calendario de pruebas (T-13) — meses 1 a 56</t>
        </is>
      </c>
    </row>
    <row r="2">
      <c r="A2" s="2" t="inlineStr">
        <is>
          <t>1 = la prueba ocurre en el mes. Columnas rojas = congelamiento (1–25 sep. y diciembre, Caso RT-10.05). «Toca PROD» = la prueba interviene producción.</t>
        </is>
      </c>
    </row>
    <row r="4">
      <c r="A4" s="3" t="inlineStr">
        <is>
          <t>Fecha del mes</t>
        </is>
      </c>
      <c r="D4" s="37">
        <f>DATE(2027,1+D6,1)</f>
        <v/>
      </c>
      <c r="E4" s="37">
        <f>DATE(2027,1+E6,1)</f>
        <v/>
      </c>
      <c r="F4" s="37">
        <f>DATE(2027,1+F6,1)</f>
        <v/>
      </c>
      <c r="G4" s="37">
        <f>DATE(2027,1+G6,1)</f>
        <v/>
      </c>
      <c r="H4" s="37">
        <f>DATE(2027,1+H6,1)</f>
        <v/>
      </c>
      <c r="I4" s="37">
        <f>DATE(2027,1+I6,1)</f>
        <v/>
      </c>
      <c r="J4" s="37">
        <f>DATE(2027,1+J6,1)</f>
        <v/>
      </c>
      <c r="K4" s="37">
        <f>DATE(2027,1+K6,1)</f>
        <v/>
      </c>
      <c r="L4" s="37">
        <f>DATE(2027,1+L6,1)</f>
        <v/>
      </c>
      <c r="M4" s="37">
        <f>DATE(2027,1+M6,1)</f>
        <v/>
      </c>
      <c r="N4" s="37">
        <f>DATE(2027,1+N6,1)</f>
        <v/>
      </c>
      <c r="O4" s="37">
        <f>DATE(2027,1+O6,1)</f>
        <v/>
      </c>
      <c r="P4" s="37">
        <f>DATE(2027,1+P6,1)</f>
        <v/>
      </c>
      <c r="Q4" s="37">
        <f>DATE(2027,1+Q6,1)</f>
        <v/>
      </c>
      <c r="R4" s="37">
        <f>DATE(2027,1+R6,1)</f>
        <v/>
      </c>
      <c r="S4" s="37">
        <f>DATE(2027,1+S6,1)</f>
        <v/>
      </c>
      <c r="T4" s="37">
        <f>DATE(2027,1+T6,1)</f>
        <v/>
      </c>
      <c r="U4" s="37">
        <f>DATE(2027,1+U6,1)</f>
        <v/>
      </c>
      <c r="V4" s="37">
        <f>DATE(2027,1+V6,1)</f>
        <v/>
      </c>
      <c r="W4" s="37">
        <f>DATE(2027,1+W6,1)</f>
        <v/>
      </c>
      <c r="X4" s="37">
        <f>DATE(2027,1+X6,1)</f>
        <v/>
      </c>
      <c r="Y4" s="37">
        <f>DATE(2027,1+Y6,1)</f>
        <v/>
      </c>
      <c r="Z4" s="37">
        <f>DATE(2027,1+Z6,1)</f>
        <v/>
      </c>
      <c r="AA4" s="37">
        <f>DATE(2027,1+AA6,1)</f>
        <v/>
      </c>
      <c r="AB4" s="37">
        <f>DATE(2027,1+AB6,1)</f>
        <v/>
      </c>
      <c r="AC4" s="37">
        <f>DATE(2027,1+AC6,1)</f>
        <v/>
      </c>
      <c r="AD4" s="37">
        <f>DATE(2027,1+AD6,1)</f>
        <v/>
      </c>
      <c r="AE4" s="37">
        <f>DATE(2027,1+AE6,1)</f>
        <v/>
      </c>
      <c r="AF4" s="37">
        <f>DATE(2027,1+AF6,1)</f>
        <v/>
      </c>
      <c r="AG4" s="37">
        <f>DATE(2027,1+AG6,1)</f>
        <v/>
      </c>
      <c r="AH4" s="37">
        <f>DATE(2027,1+AH6,1)</f>
        <v/>
      </c>
      <c r="AI4" s="37">
        <f>DATE(2027,1+AI6,1)</f>
        <v/>
      </c>
      <c r="AJ4" s="37">
        <f>DATE(2027,1+AJ6,1)</f>
        <v/>
      </c>
      <c r="AK4" s="37">
        <f>DATE(2027,1+AK6,1)</f>
        <v/>
      </c>
      <c r="AL4" s="37">
        <f>DATE(2027,1+AL6,1)</f>
        <v/>
      </c>
      <c r="AM4" s="37">
        <f>DATE(2027,1+AM6,1)</f>
        <v/>
      </c>
      <c r="AN4" s="37">
        <f>DATE(2027,1+AN6,1)</f>
        <v/>
      </c>
      <c r="AO4" s="37">
        <f>DATE(2027,1+AO6,1)</f>
        <v/>
      </c>
      <c r="AP4" s="37">
        <f>DATE(2027,1+AP6,1)</f>
        <v/>
      </c>
      <c r="AQ4" s="37">
        <f>DATE(2027,1+AQ6,1)</f>
        <v/>
      </c>
      <c r="AR4" s="37">
        <f>DATE(2027,1+AR6,1)</f>
        <v/>
      </c>
      <c r="AS4" s="37">
        <f>DATE(2027,1+AS6,1)</f>
        <v/>
      </c>
      <c r="AT4" s="37">
        <f>DATE(2027,1+AT6,1)</f>
        <v/>
      </c>
      <c r="AU4" s="37">
        <f>DATE(2027,1+AU6,1)</f>
        <v/>
      </c>
      <c r="AV4" s="37">
        <f>DATE(2027,1+AV6,1)</f>
        <v/>
      </c>
      <c r="AW4" s="37">
        <f>DATE(2027,1+AW6,1)</f>
        <v/>
      </c>
      <c r="AX4" s="37">
        <f>DATE(2027,1+AX6,1)</f>
        <v/>
      </c>
      <c r="AY4" s="37">
        <f>DATE(2027,1+AY6,1)</f>
        <v/>
      </c>
      <c r="AZ4" s="37">
        <f>DATE(2027,1+AZ6,1)</f>
        <v/>
      </c>
      <c r="BA4" s="37">
        <f>DATE(2027,1+BA6,1)</f>
        <v/>
      </c>
      <c r="BB4" s="37">
        <f>DATE(2027,1+BB6,1)</f>
        <v/>
      </c>
      <c r="BC4" s="37">
        <f>DATE(2027,1+BC6,1)</f>
        <v/>
      </c>
      <c r="BD4" s="37">
        <f>DATE(2027,1+BD6,1)</f>
        <v/>
      </c>
      <c r="BE4" s="37">
        <f>DATE(2027,1+BE6,1)</f>
        <v/>
      </c>
      <c r="BF4" s="37">
        <f>DATE(2027,1+BF6,1)</f>
        <v/>
      </c>
      <c r="BG4" s="37">
        <f>DATE(2027,1+BG6,1)</f>
        <v/>
      </c>
    </row>
    <row r="5">
      <c r="A5" s="3" t="inlineStr">
        <is>
          <t>Congelamiento</t>
        </is>
      </c>
      <c r="D5" s="14">
        <f>IF(OR(MONTH(D4)=9,MONTH(D4)=12),"CONG","")</f>
        <v/>
      </c>
      <c r="E5" s="14">
        <f>IF(OR(MONTH(E4)=9,MONTH(E4)=12),"CONG","")</f>
        <v/>
      </c>
      <c r="F5" s="14">
        <f>IF(OR(MONTH(F4)=9,MONTH(F4)=12),"CONG","")</f>
        <v/>
      </c>
      <c r="G5" s="14">
        <f>IF(OR(MONTH(G4)=9,MONTH(G4)=12),"CONG","")</f>
        <v/>
      </c>
      <c r="H5" s="14">
        <f>IF(OR(MONTH(H4)=9,MONTH(H4)=12),"CONG","")</f>
        <v/>
      </c>
      <c r="I5" s="14">
        <f>IF(OR(MONTH(I4)=9,MONTH(I4)=12),"CONG","")</f>
        <v/>
      </c>
      <c r="J5" s="14">
        <f>IF(OR(MONTH(J4)=9,MONTH(J4)=12),"CONG","")</f>
        <v/>
      </c>
      <c r="K5" s="14">
        <f>IF(OR(MONTH(K4)=9,MONTH(K4)=12),"CONG","")</f>
        <v/>
      </c>
      <c r="L5" s="14">
        <f>IF(OR(MONTH(L4)=9,MONTH(L4)=12),"CONG","")</f>
        <v/>
      </c>
      <c r="M5" s="14">
        <f>IF(OR(MONTH(M4)=9,MONTH(M4)=12),"CONG","")</f>
        <v/>
      </c>
      <c r="N5" s="14">
        <f>IF(OR(MONTH(N4)=9,MONTH(N4)=12),"CONG","")</f>
        <v/>
      </c>
      <c r="O5" s="14">
        <f>IF(OR(MONTH(O4)=9,MONTH(O4)=12),"CONG","")</f>
        <v/>
      </c>
      <c r="P5" s="14">
        <f>IF(OR(MONTH(P4)=9,MONTH(P4)=12),"CONG","")</f>
        <v/>
      </c>
      <c r="Q5" s="14">
        <f>IF(OR(MONTH(Q4)=9,MONTH(Q4)=12),"CONG","")</f>
        <v/>
      </c>
      <c r="R5" s="14">
        <f>IF(OR(MONTH(R4)=9,MONTH(R4)=12),"CONG","")</f>
        <v/>
      </c>
      <c r="S5" s="14">
        <f>IF(OR(MONTH(S4)=9,MONTH(S4)=12),"CONG","")</f>
        <v/>
      </c>
      <c r="T5" s="14">
        <f>IF(OR(MONTH(T4)=9,MONTH(T4)=12),"CONG","")</f>
        <v/>
      </c>
      <c r="U5" s="14">
        <f>IF(OR(MONTH(U4)=9,MONTH(U4)=12),"CONG","")</f>
        <v/>
      </c>
      <c r="V5" s="14">
        <f>IF(OR(MONTH(V4)=9,MONTH(V4)=12),"CONG","")</f>
        <v/>
      </c>
      <c r="W5" s="14">
        <f>IF(OR(MONTH(W4)=9,MONTH(W4)=12),"CONG","")</f>
        <v/>
      </c>
      <c r="X5" s="14">
        <f>IF(OR(MONTH(X4)=9,MONTH(X4)=12),"CONG","")</f>
        <v/>
      </c>
      <c r="Y5" s="14">
        <f>IF(OR(MONTH(Y4)=9,MONTH(Y4)=12),"CONG","")</f>
        <v/>
      </c>
      <c r="Z5" s="14">
        <f>IF(OR(MONTH(Z4)=9,MONTH(Z4)=12),"CONG","")</f>
        <v/>
      </c>
      <c r="AA5" s="14">
        <f>IF(OR(MONTH(AA4)=9,MONTH(AA4)=12),"CONG","")</f>
        <v/>
      </c>
      <c r="AB5" s="14">
        <f>IF(OR(MONTH(AB4)=9,MONTH(AB4)=12),"CONG","")</f>
        <v/>
      </c>
      <c r="AC5" s="14">
        <f>IF(OR(MONTH(AC4)=9,MONTH(AC4)=12),"CONG","")</f>
        <v/>
      </c>
      <c r="AD5" s="14">
        <f>IF(OR(MONTH(AD4)=9,MONTH(AD4)=12),"CONG","")</f>
        <v/>
      </c>
      <c r="AE5" s="14">
        <f>IF(OR(MONTH(AE4)=9,MONTH(AE4)=12),"CONG","")</f>
        <v/>
      </c>
      <c r="AF5" s="14">
        <f>IF(OR(MONTH(AF4)=9,MONTH(AF4)=12),"CONG","")</f>
        <v/>
      </c>
      <c r="AG5" s="14">
        <f>IF(OR(MONTH(AG4)=9,MONTH(AG4)=12),"CONG","")</f>
        <v/>
      </c>
      <c r="AH5" s="14">
        <f>IF(OR(MONTH(AH4)=9,MONTH(AH4)=12),"CONG","")</f>
        <v/>
      </c>
      <c r="AI5" s="14">
        <f>IF(OR(MONTH(AI4)=9,MONTH(AI4)=12),"CONG","")</f>
        <v/>
      </c>
      <c r="AJ5" s="14">
        <f>IF(OR(MONTH(AJ4)=9,MONTH(AJ4)=12),"CONG","")</f>
        <v/>
      </c>
      <c r="AK5" s="14">
        <f>IF(OR(MONTH(AK4)=9,MONTH(AK4)=12),"CONG","")</f>
        <v/>
      </c>
      <c r="AL5" s="14">
        <f>IF(OR(MONTH(AL4)=9,MONTH(AL4)=12),"CONG","")</f>
        <v/>
      </c>
      <c r="AM5" s="14">
        <f>IF(OR(MONTH(AM4)=9,MONTH(AM4)=12),"CONG","")</f>
        <v/>
      </c>
      <c r="AN5" s="14">
        <f>IF(OR(MONTH(AN4)=9,MONTH(AN4)=12),"CONG","")</f>
        <v/>
      </c>
      <c r="AO5" s="14">
        <f>IF(OR(MONTH(AO4)=9,MONTH(AO4)=12),"CONG","")</f>
        <v/>
      </c>
      <c r="AP5" s="14">
        <f>IF(OR(MONTH(AP4)=9,MONTH(AP4)=12),"CONG","")</f>
        <v/>
      </c>
      <c r="AQ5" s="14">
        <f>IF(OR(MONTH(AQ4)=9,MONTH(AQ4)=12),"CONG","")</f>
        <v/>
      </c>
      <c r="AR5" s="14">
        <f>IF(OR(MONTH(AR4)=9,MONTH(AR4)=12),"CONG","")</f>
        <v/>
      </c>
      <c r="AS5" s="14">
        <f>IF(OR(MONTH(AS4)=9,MONTH(AS4)=12),"CONG","")</f>
        <v/>
      </c>
      <c r="AT5" s="14">
        <f>IF(OR(MONTH(AT4)=9,MONTH(AT4)=12),"CONG","")</f>
        <v/>
      </c>
      <c r="AU5" s="14">
        <f>IF(OR(MONTH(AU4)=9,MONTH(AU4)=12),"CONG","")</f>
        <v/>
      </c>
      <c r="AV5" s="14">
        <f>IF(OR(MONTH(AV4)=9,MONTH(AV4)=12),"CONG","")</f>
        <v/>
      </c>
      <c r="AW5" s="14">
        <f>IF(OR(MONTH(AW4)=9,MONTH(AW4)=12),"CONG","")</f>
        <v/>
      </c>
      <c r="AX5" s="14">
        <f>IF(OR(MONTH(AX4)=9,MONTH(AX4)=12),"CONG","")</f>
        <v/>
      </c>
      <c r="AY5" s="14">
        <f>IF(OR(MONTH(AY4)=9,MONTH(AY4)=12),"CONG","")</f>
        <v/>
      </c>
      <c r="AZ5" s="14">
        <f>IF(OR(MONTH(AZ4)=9,MONTH(AZ4)=12),"CONG","")</f>
        <v/>
      </c>
      <c r="BA5" s="14">
        <f>IF(OR(MONTH(BA4)=9,MONTH(BA4)=12),"CONG","")</f>
        <v/>
      </c>
      <c r="BB5" s="14">
        <f>IF(OR(MONTH(BB4)=9,MONTH(BB4)=12),"CONG","")</f>
        <v/>
      </c>
      <c r="BC5" s="14">
        <f>IF(OR(MONTH(BC4)=9,MONTH(BC4)=12),"CONG","")</f>
        <v/>
      </c>
      <c r="BD5" s="14">
        <f>IF(OR(MONTH(BD4)=9,MONTH(BD4)=12),"CONG","")</f>
        <v/>
      </c>
      <c r="BE5" s="14">
        <f>IF(OR(MONTH(BE4)=9,MONTH(BE4)=12),"CONG","")</f>
        <v/>
      </c>
      <c r="BF5" s="14">
        <f>IF(OR(MONTH(BF4)=9,MONTH(BF4)=12),"CONG","")</f>
        <v/>
      </c>
      <c r="BG5" s="14">
        <f>IF(OR(MONTH(BG4)=9,MONTH(BG4)=12),"CONG","")</f>
        <v/>
      </c>
    </row>
    <row r="6">
      <c r="A6" s="5" t="inlineStr">
        <is>
          <t>Tipo de prueba</t>
        </is>
      </c>
      <c r="B6" s="5" t="inlineStr">
        <is>
          <t>Paquete EDT</t>
        </is>
      </c>
      <c r="C6" s="5" t="inlineStr">
        <is>
          <t>Toca PROD</t>
        </is>
      </c>
      <c r="D6" s="5" t="n">
        <v>1</v>
      </c>
      <c r="E6" s="5" t="n">
        <v>2</v>
      </c>
      <c r="F6" s="5" t="n">
        <v>3</v>
      </c>
      <c r="G6" s="5" t="n">
        <v>4</v>
      </c>
      <c r="H6" s="5" t="n">
        <v>5</v>
      </c>
      <c r="I6" s="5" t="n">
        <v>6</v>
      </c>
      <c r="J6" s="5" t="n">
        <v>7</v>
      </c>
      <c r="K6" s="5" t="n">
        <v>8</v>
      </c>
      <c r="L6" s="5" t="n">
        <v>9</v>
      </c>
      <c r="M6" s="5" t="n">
        <v>10</v>
      </c>
      <c r="N6" s="5" t="n">
        <v>11</v>
      </c>
      <c r="O6" s="5" t="n">
        <v>12</v>
      </c>
      <c r="P6" s="5" t="n">
        <v>13</v>
      </c>
      <c r="Q6" s="5" t="n">
        <v>14</v>
      </c>
      <c r="R6" s="5" t="n">
        <v>15</v>
      </c>
      <c r="S6" s="5" t="n">
        <v>16</v>
      </c>
      <c r="T6" s="5" t="n">
        <v>17</v>
      </c>
      <c r="U6" s="5" t="n">
        <v>18</v>
      </c>
      <c r="V6" s="5" t="n">
        <v>19</v>
      </c>
      <c r="W6" s="5" t="n">
        <v>20</v>
      </c>
      <c r="X6" s="5" t="n">
        <v>21</v>
      </c>
      <c r="Y6" s="5" t="n">
        <v>22</v>
      </c>
      <c r="Z6" s="5" t="n">
        <v>23</v>
      </c>
      <c r="AA6" s="5" t="n">
        <v>24</v>
      </c>
      <c r="AB6" s="5" t="n">
        <v>25</v>
      </c>
      <c r="AC6" s="5" t="n">
        <v>26</v>
      </c>
      <c r="AD6" s="5" t="n">
        <v>27</v>
      </c>
      <c r="AE6" s="5" t="n">
        <v>28</v>
      </c>
      <c r="AF6" s="5" t="n">
        <v>29</v>
      </c>
      <c r="AG6" s="5" t="n">
        <v>30</v>
      </c>
      <c r="AH6" s="5" t="n">
        <v>31</v>
      </c>
      <c r="AI6" s="5" t="n">
        <v>32</v>
      </c>
      <c r="AJ6" s="5" t="n">
        <v>33</v>
      </c>
      <c r="AK6" s="5" t="n">
        <v>34</v>
      </c>
      <c r="AL6" s="5" t="n">
        <v>35</v>
      </c>
      <c r="AM6" s="5" t="n">
        <v>36</v>
      </c>
      <c r="AN6" s="5" t="n">
        <v>37</v>
      </c>
      <c r="AO6" s="5" t="n">
        <v>38</v>
      </c>
      <c r="AP6" s="5" t="n">
        <v>39</v>
      </c>
      <c r="AQ6" s="5" t="n">
        <v>40</v>
      </c>
      <c r="AR6" s="5" t="n">
        <v>41</v>
      </c>
      <c r="AS6" s="5" t="n">
        <v>42</v>
      </c>
      <c r="AT6" s="5" t="n">
        <v>43</v>
      </c>
      <c r="AU6" s="5" t="n">
        <v>44</v>
      </c>
      <c r="AV6" s="5" t="n">
        <v>45</v>
      </c>
      <c r="AW6" s="5" t="n">
        <v>46</v>
      </c>
      <c r="AX6" s="5" t="n">
        <v>47</v>
      </c>
      <c r="AY6" s="5" t="n">
        <v>48</v>
      </c>
      <c r="AZ6" s="5" t="n">
        <v>49</v>
      </c>
      <c r="BA6" s="5" t="n">
        <v>50</v>
      </c>
      <c r="BB6" s="5" t="n">
        <v>51</v>
      </c>
      <c r="BC6" s="5" t="n">
        <v>52</v>
      </c>
      <c r="BD6" s="5" t="n">
        <v>53</v>
      </c>
      <c r="BE6" s="5" t="n">
        <v>54</v>
      </c>
      <c r="BF6" s="5" t="n">
        <v>55</v>
      </c>
      <c r="BG6" s="5" t="n">
        <v>56</v>
      </c>
      <c r="BH6" s="5" t="inlineStr">
        <is>
          <t>Total</t>
        </is>
      </c>
      <c r="BI6" s="5" t="inlineStr">
        <is>
          <t>Conflictos con congelamiento</t>
        </is>
      </c>
    </row>
    <row r="7">
      <c r="A7" s="3" t="inlineStr">
        <is>
          <t>Usabilidad con usuarios reales</t>
        </is>
      </c>
      <c r="B7" s="4" t="inlineStr">
        <is>
          <t>2.6.2</t>
        </is>
      </c>
      <c r="C7" s="38" t="inlineStr">
        <is>
          <t>No</t>
        </is>
      </c>
      <c r="D7" s="39" t="n"/>
      <c r="E7" s="39" t="n"/>
      <c r="F7" s="39" t="n">
        <v>1</v>
      </c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13">
        <f>SUM(D7:BG7)</f>
        <v/>
      </c>
      <c r="BI7" s="13">
        <f>IF(C7="Sí",SUMPRODUCT((D7:BG7=1)*(D$5:BG$5="CONG")),0)</f>
        <v/>
      </c>
    </row>
    <row r="8">
      <c r="A8" s="3" t="inlineStr">
        <is>
          <t>Integración y regresión</t>
        </is>
      </c>
      <c r="B8" s="4" t="inlineStr">
        <is>
          <t>3.8.1 · 3.9.1</t>
        </is>
      </c>
      <c r="C8" s="38" t="inlineStr">
        <is>
          <t>No</t>
        </is>
      </c>
      <c r="D8" s="39" t="n"/>
      <c r="E8" s="39" t="n"/>
      <c r="F8" s="39" t="n"/>
      <c r="G8" s="39" t="n"/>
      <c r="H8" s="39" t="n"/>
      <c r="I8" s="39" t="n"/>
      <c r="J8" s="39" t="n"/>
      <c r="K8" s="39" t="n"/>
      <c r="L8" s="39" t="n">
        <v>1</v>
      </c>
      <c r="M8" s="39" t="n"/>
      <c r="N8" s="39" t="n"/>
      <c r="O8" s="39" t="n"/>
      <c r="P8" s="39" t="n"/>
      <c r="Q8" s="39" t="n"/>
      <c r="R8" s="39" t="n"/>
      <c r="S8" s="39" t="n">
        <v>1</v>
      </c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13">
        <f>SUM(D8:BG8)</f>
        <v/>
      </c>
      <c r="BI8" s="13">
        <f>IF(C8="Sí",SUMPRODUCT((D8:BG8=1)*(D$5:BG$5="CONG")),0)</f>
        <v/>
      </c>
    </row>
    <row r="9">
      <c r="A9" s="3" t="inlineStr">
        <is>
          <t>Aceptación de usuario y accesibilidad</t>
        </is>
      </c>
      <c r="B9" s="4" t="inlineStr">
        <is>
          <t>3.8.2 · 3.9.2</t>
        </is>
      </c>
      <c r="C9" s="38" t="inlineStr">
        <is>
          <t>No</t>
        </is>
      </c>
      <c r="D9" s="39" t="n"/>
      <c r="E9" s="39" t="n"/>
      <c r="F9" s="39" t="n"/>
      <c r="G9" s="39" t="n"/>
      <c r="H9" s="39" t="n"/>
      <c r="I9" s="39" t="n"/>
      <c r="J9" s="39" t="n"/>
      <c r="K9" s="39" t="n"/>
      <c r="L9" s="39" t="n">
        <v>1</v>
      </c>
      <c r="M9" s="39" t="n">
        <v>1</v>
      </c>
      <c r="N9" s="39" t="n"/>
      <c r="O9" s="39" t="n"/>
      <c r="P9" s="39" t="n"/>
      <c r="Q9" s="39" t="n"/>
      <c r="R9" s="39" t="n"/>
      <c r="S9" s="39" t="n">
        <v>1</v>
      </c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13">
        <f>SUM(D9:BG9)</f>
        <v/>
      </c>
      <c r="BI9" s="13">
        <f>IF(C9="Sí",SUMPRODUCT((D9:BG9=1)*(D$5:BG$5="CONG")),0)</f>
        <v/>
      </c>
    </row>
    <row r="10">
      <c r="A10" s="3" t="inlineStr">
        <is>
          <t>Perfil operacional (14 h sin señal, 24 h sin enlace, −22 °C)</t>
        </is>
      </c>
      <c r="B10" s="4" t="inlineStr">
        <is>
          <t>3.8.3</t>
        </is>
      </c>
      <c r="C10" s="38" t="inlineStr">
        <is>
          <t>No</t>
        </is>
      </c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>
        <v>1</v>
      </c>
      <c r="M10" s="39" t="n">
        <v>1</v>
      </c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13">
        <f>SUM(D10:BG10)</f>
        <v/>
      </c>
      <c r="BI10" s="13">
        <f>IF(C10="Sí",SUMPRODUCT((D10:BG10=1)*(D$5:BG$5="CONG")),0)</f>
        <v/>
      </c>
    </row>
    <row r="11">
      <c r="A11" s="3" t="inlineStr">
        <is>
          <t>Carga a 1,5× y estrés</t>
        </is>
      </c>
      <c r="B11" s="4" t="inlineStr">
        <is>
          <t>3.8.4 · 3.9.3 · 8.2</t>
        </is>
      </c>
      <c r="C11" s="38" t="inlineStr">
        <is>
          <t>No</t>
        </is>
      </c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>
        <v>1</v>
      </c>
      <c r="M11" s="39" t="n">
        <v>1</v>
      </c>
      <c r="N11" s="39" t="n"/>
      <c r="O11" s="39" t="n"/>
      <c r="P11" s="39" t="n"/>
      <c r="Q11" s="39" t="n"/>
      <c r="R11" s="39" t="n"/>
      <c r="S11" s="39" t="n">
        <v>1</v>
      </c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>
        <v>1</v>
      </c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>
        <v>1</v>
      </c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>
        <v>1</v>
      </c>
      <c r="BG11" s="39" t="n"/>
      <c r="BH11" s="13">
        <f>SUM(D11:BG11)</f>
        <v/>
      </c>
      <c r="BI11" s="13">
        <f>IF(C11="Sí",SUMPRODUCT((D11:BG11=1)*(D$5:BG$5="CONG")),0)</f>
        <v/>
      </c>
    </row>
    <row r="12">
      <c r="A12" s="3" t="inlineStr">
        <is>
          <t>Resiliencia (inyección de fallas)</t>
        </is>
      </c>
      <c r="B12" s="4" t="inlineStr">
        <is>
          <t>3.8.4 · 3.9.3 · 8.2.2</t>
        </is>
      </c>
      <c r="C12" s="38" t="inlineStr">
        <is>
          <t>Sí</t>
        </is>
      </c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>
        <v>1</v>
      </c>
      <c r="M12" s="39" t="n">
        <v>1</v>
      </c>
      <c r="N12" s="39" t="n"/>
      <c r="O12" s="39" t="n"/>
      <c r="P12" s="39" t="n"/>
      <c r="Q12" s="39" t="n"/>
      <c r="R12" s="39" t="n"/>
      <c r="S12" s="39" t="n">
        <v>1</v>
      </c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>
        <v>1</v>
      </c>
      <c r="AD12" s="39" t="n"/>
      <c r="AE12" s="39" t="n"/>
      <c r="AF12" s="39" t="n"/>
      <c r="AG12" s="39" t="n"/>
      <c r="AH12" s="39" t="n"/>
      <c r="AI12" s="39" t="n"/>
      <c r="AJ12" s="39" t="n">
        <v>1</v>
      </c>
      <c r="AK12" s="39" t="n"/>
      <c r="AL12" s="39" t="n"/>
      <c r="AM12" s="39" t="n"/>
      <c r="AN12" s="39" t="n"/>
      <c r="AO12" s="39" t="n">
        <v>1</v>
      </c>
      <c r="AP12" s="39" t="n"/>
      <c r="AQ12" s="39" t="n"/>
      <c r="AR12" s="39" t="n"/>
      <c r="AS12" s="39" t="n"/>
      <c r="AT12" s="39" t="n"/>
      <c r="AU12" s="39" t="n"/>
      <c r="AV12" s="39" t="n">
        <v>1</v>
      </c>
      <c r="AW12" s="39" t="n"/>
      <c r="AX12" s="39" t="n"/>
      <c r="AY12" s="39" t="n"/>
      <c r="AZ12" s="39" t="n"/>
      <c r="BA12" s="39" t="n">
        <v>1</v>
      </c>
      <c r="BB12" s="39" t="n"/>
      <c r="BC12" s="39" t="n"/>
      <c r="BD12" s="39" t="n"/>
      <c r="BE12" s="39" t="n"/>
      <c r="BF12" s="39" t="n">
        <v>1</v>
      </c>
      <c r="BG12" s="39" t="n"/>
      <c r="BH12" s="13">
        <f>SUM(D12:BG12)</f>
        <v/>
      </c>
      <c r="BI12" s="13">
        <f>IF(C12="Sí",SUMPRODUCT((D12:BG12=1)*(D$5:BG$5="CONG")),0)</f>
        <v/>
      </c>
    </row>
    <row r="13">
      <c r="A13" s="3" t="inlineStr">
        <is>
          <t>Recuperación ante desastres (conmutación real)</t>
        </is>
      </c>
      <c r="B13" s="4" t="inlineStr">
        <is>
          <t>3.8.5 · 3.9.4 · 8.1.3</t>
        </is>
      </c>
      <c r="C13" s="38" t="inlineStr">
        <is>
          <t>Sí</t>
        </is>
      </c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>
        <v>1</v>
      </c>
      <c r="N13" s="39" t="n"/>
      <c r="O13" s="39" t="n"/>
      <c r="P13" s="39" t="n"/>
      <c r="Q13" s="39" t="n"/>
      <c r="R13" s="39" t="n"/>
      <c r="S13" s="39" t="n">
        <v>1</v>
      </c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>
        <v>1</v>
      </c>
      <c r="AE13" s="39" t="n"/>
      <c r="AF13" s="39" t="n"/>
      <c r="AG13" s="39" t="n"/>
      <c r="AH13" s="39" t="n"/>
      <c r="AI13" s="39" t="n"/>
      <c r="AJ13" s="39" t="n"/>
      <c r="AK13" s="39" t="n">
        <v>1</v>
      </c>
      <c r="AL13" s="39" t="n"/>
      <c r="AM13" s="39" t="n"/>
      <c r="AN13" s="39" t="n"/>
      <c r="AO13" s="39" t="n"/>
      <c r="AP13" s="39" t="n">
        <v>1</v>
      </c>
      <c r="AQ13" s="39" t="n"/>
      <c r="AR13" s="39" t="n"/>
      <c r="AS13" s="39" t="n"/>
      <c r="AT13" s="39" t="n"/>
      <c r="AU13" s="39" t="n"/>
      <c r="AV13" s="39" t="n"/>
      <c r="AW13" s="39" t="n">
        <v>1</v>
      </c>
      <c r="AX13" s="39" t="n"/>
      <c r="AY13" s="39" t="n"/>
      <c r="AZ13" s="39" t="n"/>
      <c r="BA13" s="39" t="n"/>
      <c r="BB13" s="39" t="n">
        <v>1</v>
      </c>
      <c r="BC13" s="39" t="n"/>
      <c r="BD13" s="39" t="n"/>
      <c r="BE13" s="39" t="n">
        <v>1</v>
      </c>
      <c r="BF13" s="39" t="n"/>
      <c r="BG13" s="39" t="n"/>
      <c r="BH13" s="13">
        <f>SUM(D13:BG13)</f>
        <v/>
      </c>
      <c r="BI13" s="13">
        <f>IF(C13="Sí",SUMPRODUCT((D13:BG13=1)*(D$5:BG$5="CONG")),0)</f>
        <v/>
      </c>
    </row>
    <row r="14">
      <c r="A14" s="3" t="inlineStr">
        <is>
          <t>Seguridad ofensiva por tercero</t>
        </is>
      </c>
      <c r="B14" s="4" t="inlineStr">
        <is>
          <t>3.8.6 · 3.9.5 · 8.2.2</t>
        </is>
      </c>
      <c r="C14" s="38" t="inlineStr">
        <is>
          <t>Sí</t>
        </is>
      </c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>
        <v>1</v>
      </c>
      <c r="M14" s="39" t="n"/>
      <c r="N14" s="39" t="n"/>
      <c r="O14" s="39" t="n"/>
      <c r="P14" s="39" t="n"/>
      <c r="Q14" s="39" t="n"/>
      <c r="R14" s="39" t="n"/>
      <c r="S14" s="39" t="n">
        <v>1</v>
      </c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>
        <v>1</v>
      </c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>
        <v>1</v>
      </c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>
        <v>1</v>
      </c>
      <c r="BD14" s="39" t="n"/>
      <c r="BE14" s="39" t="n"/>
      <c r="BF14" s="39" t="n"/>
      <c r="BG14" s="39" t="n"/>
      <c r="BH14" s="13">
        <f>SUM(D14:BG14)</f>
        <v/>
      </c>
      <c r="BI14" s="13">
        <f>IF(C14="Sí",SUMPRODUCT((D14:BG14=1)*(D$5:BG$5="CONG")),0)</f>
        <v/>
      </c>
    </row>
    <row r="15">
      <c r="A15" s="3" t="inlineStr">
        <is>
          <t>Despliegue sin interrupción en PREPROD</t>
        </is>
      </c>
      <c r="B15" s="4" t="inlineStr">
        <is>
          <t>3.8.8 · 3.9.7</t>
        </is>
      </c>
      <c r="C15" s="38" t="inlineStr">
        <is>
          <t>No</t>
        </is>
      </c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>
        <v>1</v>
      </c>
      <c r="M15" s="39" t="n">
        <v>1</v>
      </c>
      <c r="N15" s="39" t="n"/>
      <c r="O15" s="39" t="n"/>
      <c r="P15" s="39" t="n"/>
      <c r="Q15" s="39" t="n"/>
      <c r="R15" s="39" t="n"/>
      <c r="S15" s="39" t="n">
        <v>1</v>
      </c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13">
        <f>SUM(D15:BG15)</f>
        <v/>
      </c>
      <c r="BI15" s="13">
        <f>IF(C15="Sí",SUMPRODUCT((D15:BG15=1)*(D$5:BG$5="CONG")),0)</f>
        <v/>
      </c>
    </row>
    <row r="16">
      <c r="A16" s="3" t="inlineStr">
        <is>
          <t>Ensayos y corte de migración</t>
        </is>
      </c>
      <c r="B16" s="4" t="inlineStr">
        <is>
          <t>3.7.2 · 3.7.3 · 3.7.5</t>
        </is>
      </c>
      <c r="C16" s="38" t="inlineStr">
        <is>
          <t>No</t>
        </is>
      </c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>
        <v>1</v>
      </c>
      <c r="M16" s="39" t="n">
        <v>1</v>
      </c>
      <c r="N16" s="39" t="n"/>
      <c r="O16" s="39" t="n">
        <v>1</v>
      </c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13">
        <f>SUM(D16:BG16)</f>
        <v/>
      </c>
      <c r="BI16" s="13">
        <f>IF(C16="Sí",SUMPRODUCT((D16:BG16=1)*(D$5:BG$5="CONG")),0)</f>
        <v/>
      </c>
    </row>
    <row r="17">
      <c r="A17" s="3" t="inlineStr">
        <is>
          <t>Ensayo de reversión</t>
        </is>
      </c>
      <c r="B17" s="4" t="inlineStr">
        <is>
          <t>4.1.2</t>
        </is>
      </c>
      <c r="C17" s="38" t="inlineStr">
        <is>
          <t>No</t>
        </is>
      </c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>
        <v>1</v>
      </c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13">
        <f>SUM(D17:BG17)</f>
        <v/>
      </c>
      <c r="BI17" s="13">
        <f>IF(C17="Sí",SUMPRODUCT((D17:BG17=1)*(D$5:BG$5="CONG")),0)</f>
        <v/>
      </c>
    </row>
    <row r="18">
      <c r="A18" s="3" t="inlineStr">
        <is>
          <t>Restauración de respaldos (muestra)</t>
        </is>
      </c>
      <c r="B18" s="4" t="inlineStr">
        <is>
          <t>8.1.6</t>
        </is>
      </c>
      <c r="C18" s="38" t="inlineStr">
        <is>
          <t>No</t>
        </is>
      </c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>
        <v>1</v>
      </c>
      <c r="Y18" s="39" t="n">
        <v>1</v>
      </c>
      <c r="Z18" s="39" t="n">
        <v>1</v>
      </c>
      <c r="AA18" s="39" t="n">
        <v>1</v>
      </c>
      <c r="AB18" s="39" t="n">
        <v>1</v>
      </c>
      <c r="AC18" s="39" t="n">
        <v>1</v>
      </c>
      <c r="AD18" s="39" t="n">
        <v>1</v>
      </c>
      <c r="AE18" s="39" t="n">
        <v>1</v>
      </c>
      <c r="AF18" s="39" t="n">
        <v>1</v>
      </c>
      <c r="AG18" s="39" t="n">
        <v>1</v>
      </c>
      <c r="AH18" s="39" t="n">
        <v>1</v>
      </c>
      <c r="AI18" s="39" t="n">
        <v>1</v>
      </c>
      <c r="AJ18" s="39" t="n">
        <v>1</v>
      </c>
      <c r="AK18" s="39" t="n">
        <v>1</v>
      </c>
      <c r="AL18" s="39" t="n">
        <v>1</v>
      </c>
      <c r="AM18" s="39" t="n">
        <v>1</v>
      </c>
      <c r="AN18" s="39" t="n">
        <v>1</v>
      </c>
      <c r="AO18" s="39" t="n">
        <v>1</v>
      </c>
      <c r="AP18" s="39" t="n">
        <v>1</v>
      </c>
      <c r="AQ18" s="39" t="n">
        <v>1</v>
      </c>
      <c r="AR18" s="39" t="n">
        <v>1</v>
      </c>
      <c r="AS18" s="39" t="n">
        <v>1</v>
      </c>
      <c r="AT18" s="39" t="n">
        <v>1</v>
      </c>
      <c r="AU18" s="39" t="n">
        <v>1</v>
      </c>
      <c r="AV18" s="39" t="n">
        <v>1</v>
      </c>
      <c r="AW18" s="39" t="n">
        <v>1</v>
      </c>
      <c r="AX18" s="39" t="n">
        <v>1</v>
      </c>
      <c r="AY18" s="39" t="n">
        <v>1</v>
      </c>
      <c r="AZ18" s="39" t="n">
        <v>1</v>
      </c>
      <c r="BA18" s="39" t="n">
        <v>1</v>
      </c>
      <c r="BB18" s="39" t="n">
        <v>1</v>
      </c>
      <c r="BC18" s="39" t="n">
        <v>1</v>
      </c>
      <c r="BD18" s="39" t="n">
        <v>1</v>
      </c>
      <c r="BE18" s="39" t="n">
        <v>1</v>
      </c>
      <c r="BF18" s="39" t="n">
        <v>1</v>
      </c>
      <c r="BG18" s="39" t="n">
        <v>1</v>
      </c>
      <c r="BH18" s="13">
        <f>SUM(D18:BG18)</f>
        <v/>
      </c>
      <c r="BI18" s="13">
        <f>IF(C18="Sí",SUMPRODUCT((D18:BG18=1)*(D$5:BG$5="CONG")),0)</f>
        <v/>
      </c>
    </row>
    <row r="19">
      <c r="A19" s="3" t="inlineStr">
        <is>
          <t>Hitos E-25</t>
        </is>
      </c>
      <c r="D19" s="16" t="n"/>
      <c r="E19" s="16" t="inlineStr">
        <is>
          <t>H1</t>
        </is>
      </c>
      <c r="F19" s="16" t="n"/>
      <c r="G19" s="16" t="inlineStr">
        <is>
          <t>H2</t>
        </is>
      </c>
      <c r="H19" s="16" t="n"/>
      <c r="I19" s="16" t="inlineStr">
        <is>
          <t>H3</t>
        </is>
      </c>
      <c r="J19" s="16" t="n"/>
      <c r="K19" s="16" t="n"/>
      <c r="L19" s="16" t="n"/>
      <c r="M19" s="16" t="inlineStr">
        <is>
          <t>H4</t>
        </is>
      </c>
      <c r="N19" s="16" t="n"/>
      <c r="O19" s="16" t="inlineStr">
        <is>
          <t>H5</t>
        </is>
      </c>
      <c r="P19" s="16" t="inlineStr">
        <is>
          <t>H6</t>
        </is>
      </c>
      <c r="Q19" s="16" t="inlineStr">
        <is>
          <t>H8</t>
        </is>
      </c>
      <c r="R19" s="16" t="n"/>
      <c r="S19" s="16" t="inlineStr">
        <is>
          <t>H7</t>
        </is>
      </c>
      <c r="T19" s="16" t="inlineStr">
        <is>
          <t>H9</t>
        </is>
      </c>
      <c r="U19" s="16" t="inlineStr">
        <is>
          <t>H10</t>
        </is>
      </c>
      <c r="V19" s="16" t="inlineStr">
        <is>
          <t>H11</t>
        </is>
      </c>
      <c r="W19" s="16" t="n"/>
      <c r="X19" s="16" t="inlineStr">
        <is>
          <t>H12</t>
        </is>
      </c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</row>
    <row r="21">
      <c r="A21" s="3" t="inlineStr">
        <is>
          <t>Conteos en Operación (meses 21–56)</t>
        </is>
      </c>
    </row>
    <row r="22">
      <c r="A22" s="4" t="inlineStr">
        <is>
          <t>Pruebas DR en Operación (debe ser 6)</t>
        </is>
      </c>
      <c r="B22" s="13">
        <f>SUM(X13:BG13)</f>
        <v/>
      </c>
    </row>
    <row r="23">
      <c r="A23" s="4" t="inlineStr">
        <is>
          <t>Restauraciones en Operación (debe ser 36)</t>
        </is>
      </c>
      <c r="B23" s="13">
        <f>SUM(X18:BG18)</f>
        <v/>
      </c>
    </row>
    <row r="24">
      <c r="A24" s="4" t="inlineStr">
        <is>
          <t>Pentest anuales en Operación (debe ser 3)</t>
        </is>
      </c>
      <c r="B24" s="13">
        <f>SUM(X14:BG14)</f>
        <v/>
      </c>
    </row>
    <row r="25">
      <c r="A25" s="4" t="inlineStr">
        <is>
          <t>Resiliencia semestral en Operación (debe ser 6)</t>
        </is>
      </c>
      <c r="B25" s="13">
        <f>SUM(X12:BG12)</f>
        <v/>
      </c>
    </row>
    <row r="26">
      <c r="A26" s="11" t="inlineStr">
        <is>
          <t>Conflictos totales con congelamiento (debe ser 0)</t>
        </is>
      </c>
      <c r="B26" s="12">
        <f>SUM(BI7:BI18)</f>
        <v/>
      </c>
    </row>
    <row r="27">
      <c r="A27" s="3" t="inlineStr">
        <is>
          <t>Nota</t>
        </is>
      </c>
      <c r="B27" s="4" t="inlineStr">
        <is>
          <t>Los meses de Operación son propuesta de LafroX (evitan septiembre, diciembre y los 3 primeros días hábiles). Validarlos con el SD10/SD11 y con la Contraparte.</t>
        </is>
      </c>
    </row>
  </sheetData>
  <conditionalFormatting sqref="D4:BG18">
    <cfRule type="expression" priority="1" dxfId="2">
      <formula>D$5="CONG"</formula>
    </cfRule>
  </conditionalFormatting>
  <conditionalFormatting sqref="D7:BG18">
    <cfRule type="expression" priority="2" dxfId="1">
      <formula>D7=1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12" customWidth="1" min="4" max="4"/>
    <col width="13" customWidth="1" min="5" max="5"/>
    <col width="16" customWidth="1" min="6" max="6"/>
    <col width="16" customWidth="1" min="7" max="7"/>
    <col width="11" customWidth="1" min="8" max="8"/>
    <col width="13" customWidth="1" min="9" max="9"/>
    <col width="40" customWidth="1" min="10" max="10"/>
  </cols>
  <sheetData>
    <row r="1">
      <c r="A1" s="1" t="inlineStr">
        <is>
          <t>Protocolo de aceptación por hito (T-17) — plazos del Art. 18.3</t>
        </is>
      </c>
    </row>
    <row r="2">
      <c r="A2" s="2" t="inlineStr">
        <is>
          <t>Fecha límite = acta − 10 días hábiles (T-15 Tabla 5.2). Holgura con observación = reserva − subsanación. Negativo = requiere revisión anticipada del borrador.</t>
        </is>
      </c>
    </row>
    <row r="4">
      <c r="A4" s="5" t="inlineStr">
        <is>
          <t>Hito</t>
        </is>
      </c>
      <c r="B4" s="5" t="inlineStr">
        <is>
          <t>Mes E-25</t>
        </is>
      </c>
      <c r="C4" s="5" t="inlineStr">
        <is>
          <t>Entregable que gatilla el hito</t>
        </is>
      </c>
      <c r="D4" s="5" t="inlineStr">
        <is>
          <t>Paquete</t>
        </is>
      </c>
      <c r="E4" s="5" t="inlineStr">
        <is>
          <t>Entrega programada</t>
        </is>
      </c>
      <c r="F4" s="5" t="inlineStr">
        <is>
          <t>Acta sin observaciones (entrega + revisión)</t>
        </is>
      </c>
      <c r="G4" s="5" t="inlineStr">
        <is>
          <t>Acta con observaciones (+ subsanación)</t>
        </is>
      </c>
      <c r="H4" s="5" t="inlineStr">
        <is>
          <t>Reserva T-15 (días háb.)</t>
        </is>
      </c>
      <c r="I4" s="5" t="inlineStr">
        <is>
          <t>Holgura con observación (días háb.)</t>
        </is>
      </c>
      <c r="J4" s="5" t="inlineStr">
        <is>
          <t>Control</t>
        </is>
      </c>
    </row>
    <row r="5">
      <c r="A5" s="3" t="inlineStr">
        <is>
          <t>H1</t>
        </is>
      </c>
      <c r="B5" s="33" t="n">
        <v>2</v>
      </c>
      <c r="C5" s="4" t="inlineStr">
        <is>
          <t>Línea base de alcance y matriz de trazabilidad</t>
        </is>
      </c>
      <c r="D5" s="4" t="inlineStr">
        <is>
          <t>1.2.1, 1.2.4</t>
        </is>
      </c>
      <c r="E5" s="40">
        <f>DATE(2027,3,9)</f>
        <v/>
      </c>
      <c r="F5" s="41">
        <f>WORKDAY(E5,Datos_Base!$C$33)</f>
        <v/>
      </c>
      <c r="G5" s="41">
        <f>WORKDAY(E5,Datos_Base!$C$33+Datos_Base!$C$34)</f>
        <v/>
      </c>
      <c r="H5" s="33" t="n">
        <v>6</v>
      </c>
      <c r="I5" s="13">
        <f>H5-Datos_Base!$C$34</f>
        <v/>
      </c>
      <c r="J5" s="4">
        <f>IF(I5&lt;0,"Revisión anticipada del borrador con la Contraparte","Reserva absorbe la subsanación")</f>
        <v/>
      </c>
    </row>
    <row r="6">
      <c r="A6" s="3" t="inlineStr">
        <is>
          <t>H2</t>
        </is>
      </c>
      <c r="B6" s="33" t="n">
        <v>4</v>
      </c>
      <c r="C6" s="4" t="inlineStr">
        <is>
          <t>Arquitectura, plan de seguridad y modelo de datos</t>
        </is>
      </c>
      <c r="D6" s="4" t="inlineStr">
        <is>
          <t>2.1, 2.2, 2.4.1</t>
        </is>
      </c>
      <c r="E6" s="40">
        <f>DATE(2027,4,29)</f>
        <v/>
      </c>
      <c r="F6" s="41">
        <f>WORKDAY(E6,Datos_Base!$C$33)</f>
        <v/>
      </c>
      <c r="G6" s="41">
        <f>WORKDAY(E6,Datos_Base!$C$33+Datos_Base!$C$34)</f>
        <v/>
      </c>
      <c r="H6" s="33" t="n">
        <v>12</v>
      </c>
      <c r="I6" s="13">
        <f>H6-Datos_Base!$C$34</f>
        <v/>
      </c>
      <c r="J6" s="4">
        <f>IF(I6&lt;0,"Revisión anticipada del borrador con la Contraparte","Reserva absorbe la subsanación")</f>
        <v/>
      </c>
    </row>
    <row r="7">
      <c r="A7" s="3" t="inlineStr">
        <is>
          <t>H3</t>
        </is>
      </c>
      <c r="B7" s="33" t="n">
        <v>6</v>
      </c>
      <c r="C7" s="4" t="inlineStr">
        <is>
          <t>Infraestructura híbrida y 4 ambientes con observabilidad</t>
        </is>
      </c>
      <c r="D7" s="4" t="inlineStr">
        <is>
          <t>3.1, 6.x</t>
        </is>
      </c>
      <c r="E7" s="40">
        <f>DATE(2027,6,21)</f>
        <v/>
      </c>
      <c r="F7" s="41">
        <f>WORKDAY(E7,Datos_Base!$C$33)</f>
        <v/>
      </c>
      <c r="G7" s="41">
        <f>WORKDAY(E7,Datos_Base!$C$33+Datos_Base!$C$34)</f>
        <v/>
      </c>
      <c r="H7" s="33" t="n">
        <v>19</v>
      </c>
      <c r="I7" s="13">
        <f>H7-Datos_Base!$C$34</f>
        <v/>
      </c>
      <c r="J7" s="4">
        <f>IF(I7&lt;0,"Revisión anticipada del borrador con la Contraparte","Reserva absorbe la subsanación")</f>
        <v/>
      </c>
    </row>
    <row r="8">
      <c r="A8" s="3" t="inlineStr">
        <is>
          <t>H4</t>
        </is>
      </c>
      <c r="B8" s="33" t="n">
        <v>10</v>
      </c>
      <c r="C8" s="4" t="inlineStr">
        <is>
          <t>Software E1 para pruebas, QA superado y evidencia de cobertura</t>
        </is>
      </c>
      <c r="D8" s="4" t="inlineStr">
        <is>
          <t>3.8.1</t>
        </is>
      </c>
      <c r="E8" s="40">
        <f>DATE(2027,10,20)</f>
        <v/>
      </c>
      <c r="F8" s="41">
        <f>WORKDAY(E8,Datos_Base!$C$33)</f>
        <v/>
      </c>
      <c r="G8" s="41">
        <f>WORKDAY(E8,Datos_Base!$C$33+Datos_Base!$C$34)</f>
        <v/>
      </c>
      <c r="H8" s="33" t="n">
        <v>19</v>
      </c>
      <c r="I8" s="13">
        <f>H8-Datos_Base!$C$34</f>
        <v/>
      </c>
      <c r="J8" s="4">
        <f>IF(I8&lt;0,"Revisión anticipada del borrador con la Contraparte","Reserva absorbe la subsanación")</f>
        <v/>
      </c>
    </row>
    <row r="9">
      <c r="A9" s="3" t="inlineStr">
        <is>
          <t>H5</t>
        </is>
      </c>
      <c r="B9" s="33" t="n">
        <v>12</v>
      </c>
      <c r="C9" s="4" t="inlineStr">
        <is>
          <t>Certificación E1: aceptación, carga, resiliencia, seguridad</t>
        </is>
      </c>
      <c r="D9" s="4" t="inlineStr">
        <is>
          <t>3.8.7</t>
        </is>
      </c>
      <c r="E9" s="40">
        <f>DATE(2027,11,29)</f>
        <v/>
      </c>
      <c r="F9" s="41">
        <f>WORKDAY(E9,Datos_Base!$C$33)</f>
        <v/>
      </c>
      <c r="G9" s="41">
        <f>WORKDAY(E9,Datos_Base!$C$33+Datos_Base!$C$34)</f>
        <v/>
      </c>
      <c r="H9" s="33" t="n">
        <v>35</v>
      </c>
      <c r="I9" s="13">
        <f>H9-Datos_Base!$C$34</f>
        <v/>
      </c>
      <c r="J9" s="4">
        <f>IF(I9&lt;0,"Revisión anticipada del borrador con la Contraparte","Reserva absorbe la subsanación")</f>
        <v/>
      </c>
    </row>
    <row r="10">
      <c r="A10" s="3" t="inlineStr">
        <is>
          <t>H6</t>
        </is>
      </c>
      <c r="B10" s="33" t="n">
        <v>13</v>
      </c>
      <c r="C10" s="4" t="inlineStr">
        <is>
          <t>Inicio marcha blanca E1, reversión activa, usuarios capacitados</t>
        </is>
      </c>
      <c r="D10" s="4" t="inlineStr">
        <is>
          <t>4.2, 7.3.1</t>
        </is>
      </c>
      <c r="E10" s="4" t="inlineStr">
        <is>
          <t>Fecha contractual fija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Plan de reversión activo y usuarios certificados</t>
        </is>
      </c>
    </row>
    <row r="11">
      <c r="A11" s="3" t="inlineStr">
        <is>
          <t>H7</t>
        </is>
      </c>
      <c r="B11" s="33" t="n">
        <v>16</v>
      </c>
      <c r="C11" s="4" t="inlineStr">
        <is>
          <t>Paso a producción E1 y cierre de marcha blanca (Art. 17.3)</t>
        </is>
      </c>
      <c r="D11" s="4" t="inlineStr">
        <is>
          <t>4.2</t>
        </is>
      </c>
      <c r="E11" s="4" t="inlineStr">
        <is>
          <t>Fecha contractual fija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Condiciones copulativas del Art. 17.3 + acta</t>
        </is>
      </c>
    </row>
    <row r="12">
      <c r="A12" s="3" t="inlineStr">
        <is>
          <t>H8</t>
        </is>
      </c>
      <c r="B12" s="33" t="n">
        <v>14</v>
      </c>
      <c r="C12" s="4" t="inlineStr">
        <is>
          <t>Línea base de alcance y diseño detallado E2</t>
        </is>
      </c>
      <c r="D12" s="4" t="inlineStr">
        <is>
          <t>1.2.5, 2.4.2</t>
        </is>
      </c>
      <c r="E12" s="40">
        <f>DATE(2028,3,13)</f>
        <v/>
      </c>
      <c r="F12" s="41">
        <f>WORKDAY(E12,Datos_Base!$C$33)</f>
        <v/>
      </c>
      <c r="G12" s="41">
        <f>WORKDAY(E12,Datos_Base!$C$33+Datos_Base!$C$34)</f>
        <v/>
      </c>
      <c r="H12" s="33" t="n">
        <v>4</v>
      </c>
      <c r="I12" s="13">
        <f>H12-Datos_Base!$C$34</f>
        <v/>
      </c>
      <c r="J12" s="4">
        <f>IF(I12&lt;0,"Revisión anticipada del borrador con la Contraparte","Reserva absorbe la subsanación")</f>
        <v/>
      </c>
    </row>
    <row r="13">
      <c r="A13" s="3" t="inlineStr">
        <is>
          <t>H9</t>
        </is>
      </c>
      <c r="B13" s="33" t="n">
        <v>17</v>
      </c>
      <c r="C13" s="4" t="inlineStr">
        <is>
          <t>Software E2 para pruebas, QA superado</t>
        </is>
      </c>
      <c r="D13" s="4" t="inlineStr">
        <is>
          <t>3.9.1</t>
        </is>
      </c>
      <c r="E13" s="40">
        <f>DATE(2028,5,18)</f>
        <v/>
      </c>
      <c r="F13" s="41">
        <f>WORKDAY(E13,Datos_Base!$C$33)</f>
        <v/>
      </c>
      <c r="G13" s="41">
        <f>WORKDAY(E13,Datos_Base!$C$33+Datos_Base!$C$34)</f>
        <v/>
      </c>
      <c r="H13" s="33" t="n">
        <v>21</v>
      </c>
      <c r="I13" s="13">
        <f>H13-Datos_Base!$C$34</f>
        <v/>
      </c>
      <c r="J13" s="4">
        <f>IF(I13&lt;0,"Revisión anticipada del borrador con la Contraparte","Reserva absorbe la subsanación")</f>
        <v/>
      </c>
    </row>
    <row r="14">
      <c r="A14" s="3" t="inlineStr">
        <is>
          <t>H10</t>
        </is>
      </c>
      <c r="B14" s="33" t="n">
        <v>18</v>
      </c>
      <c r="C14" s="4" t="inlineStr">
        <is>
          <t>Certificación E2 y cierre del desarrollo</t>
        </is>
      </c>
      <c r="D14" s="4" t="inlineStr">
        <is>
          <t>3.9.6</t>
        </is>
      </c>
      <c r="E14" s="40">
        <f>DATE(2028,6,12)</f>
        <v/>
      </c>
      <c r="F14" s="41">
        <f>WORKDAY(E14,Datos_Base!$C$33)</f>
        <v/>
      </c>
      <c r="G14" s="41">
        <f>WORKDAY(E14,Datos_Base!$C$33+Datos_Base!$C$34)</f>
        <v/>
      </c>
      <c r="H14" s="33" t="n">
        <v>25</v>
      </c>
      <c r="I14" s="13">
        <f>H14-Datos_Base!$C$34</f>
        <v/>
      </c>
      <c r="J14" s="4">
        <f>IF(I14&lt;0,"Revisión anticipada del borrador con la Contraparte","Reserva absorbe la subsanación")</f>
        <v/>
      </c>
    </row>
    <row r="15">
      <c r="A15" s="3" t="inlineStr">
        <is>
          <t>H11</t>
        </is>
      </c>
      <c r="B15" s="33" t="n">
        <v>19</v>
      </c>
      <c r="C15" s="4" t="inlineStr">
        <is>
          <t>Inicio marcha blanca E2 en convivencia con E1</t>
        </is>
      </c>
      <c r="D15" s="4" t="inlineStr">
        <is>
          <t>4.3</t>
        </is>
      </c>
      <c r="E15" s="4" t="inlineStr">
        <is>
          <t>Fecha contractual fija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Plan de reversión activo y usuarios certificados</t>
        </is>
      </c>
    </row>
    <row r="16">
      <c r="A16" s="3" t="inlineStr">
        <is>
          <t>H12</t>
        </is>
      </c>
      <c r="B16" s="33" t="n">
        <v>21</v>
      </c>
      <c r="C16" s="4" t="inlineStr">
        <is>
          <t>Paso a producción E2 y aceptación final</t>
        </is>
      </c>
      <c r="D16" s="4" t="inlineStr">
        <is>
          <t>4.3</t>
        </is>
      </c>
      <c r="E16" s="4" t="inlineStr">
        <is>
          <t>Fecha contractual fija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Condiciones copulativas del Art. 17.3 + acta</t>
        </is>
      </c>
    </row>
    <row r="18">
      <c r="A18" s="11" t="inlineStr">
        <is>
          <t>Hitos con holgura negativa</t>
        </is>
      </c>
      <c r="C18" s="12">
        <f>COUNTIF(I5:I16,"&lt;0")</f>
        <v/>
      </c>
    </row>
    <row r="19">
      <c r="A19" s="3" t="inlineStr">
        <is>
          <t>Nota</t>
        </is>
      </c>
      <c r="C19" s="4" t="inlineStr">
        <is>
          <t>WORKDAY no descuenta feriados chilenos; agregar la lista de feriados como tercer argumento antes de citar las fechas.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2" customWidth="1" min="4" max="4"/>
  </cols>
  <sheetData>
    <row r="1">
      <c r="A1" s="1" t="inlineStr">
        <is>
          <t>Costo de la calidad en HH (PMBOK, 2017, cap. 8)</t>
        </is>
      </c>
    </row>
    <row r="2">
      <c r="A2" s="2" t="inlineStr">
        <is>
          <t>Sin valores monetarios (BA Art. 50.2). Conformidad = prevención + evaluación; no conformidad = fallas (valor esperado SD8).</t>
        </is>
      </c>
    </row>
    <row r="4">
      <c r="A4" s="5" t="inlineStr">
        <is>
          <t>Categoría</t>
        </is>
      </c>
      <c r="B4" s="5" t="inlineStr">
        <is>
          <t>Origen</t>
        </is>
      </c>
      <c r="C4" s="5" t="inlineStr">
        <is>
          <t>HH</t>
        </is>
      </c>
      <c r="D4" s="5" t="inlineStr">
        <is>
          <t>Proporción</t>
        </is>
      </c>
    </row>
    <row r="5">
      <c r="A5" s="3" t="inlineStr">
        <is>
          <t>Prevención</t>
        </is>
      </c>
      <c r="B5" s="4" t="inlineStr">
        <is>
          <t>Paquetes HH_Calidad con categoría Prevención</t>
        </is>
      </c>
      <c r="C5" s="25">
        <f>SUMIF(HH_Calidad!$G$5:$G$37,"Prevención",HH_Calidad!$F$5:$F$37)</f>
        <v/>
      </c>
      <c r="D5" s="42">
        <f>C5/$C$9</f>
        <v/>
      </c>
    </row>
    <row r="6">
      <c r="A6" s="3" t="inlineStr">
        <is>
          <t>Evaluación</t>
        </is>
      </c>
      <c r="B6" s="4" t="inlineStr">
        <is>
          <t>Paquetes HH_Calidad con categoría Evaluación</t>
        </is>
      </c>
      <c r="C6" s="25">
        <f>SUMIF(HH_Calidad!$G$5:$G$37,"Evaluación",HH_Calidad!$F$5:$F$37)</f>
        <v/>
      </c>
      <c r="D6" s="42">
        <f>C6/$C$9</f>
        <v/>
      </c>
    </row>
    <row r="7">
      <c r="A7" s="3" t="inlineStr">
        <is>
          <t>Fallas internas</t>
        </is>
      </c>
      <c r="B7" s="4" t="inlineStr">
        <is>
          <t>VE R8-31 (repetir certificación) + R8-32 (evaluadores)</t>
        </is>
      </c>
      <c r="C7" s="25">
        <f>Datos_Base!$C$55+Datos_Base!$C$56</f>
        <v/>
      </c>
      <c r="D7" s="42">
        <f>C7/$C$9</f>
        <v/>
      </c>
    </row>
    <row r="8">
      <c r="A8" s="3" t="inlineStr">
        <is>
          <t>Fallas externas</t>
        </is>
      </c>
      <c r="B8" s="4" t="inlineStr">
        <is>
          <t>VE R8-18 (marcha blanca no cumple, extensión a costo de LafroX)</t>
        </is>
      </c>
      <c r="C8" s="25">
        <f>Datos_Base!$C$54</f>
        <v/>
      </c>
      <c r="D8" s="42">
        <f>C8/$C$9</f>
        <v/>
      </c>
    </row>
    <row r="9">
      <c r="A9" s="11" t="inlineStr">
        <is>
          <t>Total</t>
        </is>
      </c>
      <c r="C9" s="43">
        <f>SUM(C5:C8)</f>
        <v/>
      </c>
      <c r="D9" s="44">
        <f>SUM(D5:D8)</f>
        <v/>
      </c>
    </row>
    <row r="11">
      <c r="A11" s="3" t="inlineStr">
        <is>
          <t>Costo de conformidad</t>
        </is>
      </c>
      <c r="C11" s="25">
        <f>C5+C6</f>
        <v/>
      </c>
    </row>
    <row r="12">
      <c r="A12" s="3" t="inlineStr">
        <is>
          <t>Costo de no conformidad</t>
        </is>
      </c>
      <c r="C12" s="25">
        <f>C7+C8</f>
        <v/>
      </c>
    </row>
    <row r="13">
      <c r="A13" s="3" t="inlineStr">
        <is>
          <t>Razón conformidad / no conformidad</t>
        </is>
      </c>
      <c r="C13" s="32">
        <f>C11/C12</f>
        <v/>
      </c>
    </row>
    <row r="14">
      <c r="A14" s="3" t="inlineStr">
        <is>
          <t>Costo de calidad / HH del proyecto</t>
        </is>
      </c>
      <c r="C14" s="42">
        <f>C9/Datos_Base!$C$47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56" customWidth="1" min="7" max="7"/>
  </cols>
  <sheetData>
    <row r="1">
      <c r="A1" s="1" t="inlineStr">
        <is>
          <t>Métricas de proceso y producto (fórmulas con valores de ejemplo)</t>
        </is>
      </c>
    </row>
    <row r="2">
      <c r="A2" s="2" t="inlineStr">
        <is>
          <t>Azul = valor de ejemplo para mostrar la fórmula; se reemplaza por la medición real de cada iteración.</t>
        </is>
      </c>
    </row>
    <row r="4">
      <c r="A4" s="5" t="inlineStr">
        <is>
          <t>Métrica</t>
        </is>
      </c>
      <c r="B4" s="5" t="inlineStr">
        <is>
          <t>Entrada 1</t>
        </is>
      </c>
      <c r="C4" s="5" t="inlineStr">
        <is>
          <t>Entrada 2</t>
        </is>
      </c>
      <c r="D4" s="5" t="inlineStr">
        <is>
          <t>Resultado</t>
        </is>
      </c>
      <c r="E4" s="5" t="inlineStr">
        <is>
          <t>Meta</t>
        </is>
      </c>
      <c r="F4" s="5" t="inlineStr">
        <is>
          <t>Cumple</t>
        </is>
      </c>
      <c r="G4" s="5" t="inlineStr">
        <is>
          <t>Fórmula / fuente</t>
        </is>
      </c>
    </row>
    <row r="5">
      <c r="A5" s="3" t="inlineStr">
        <is>
          <t>Eficiencia de remoción de defectos (DRE)</t>
        </is>
      </c>
      <c r="B5" s="45" t="n">
        <v>380</v>
      </c>
      <c r="C5" s="45" t="n">
        <v>20</v>
      </c>
      <c r="D5" s="36">
        <f>B5/(B5+C5)</f>
        <v/>
      </c>
      <c r="E5" s="8" t="n">
        <v>0.95</v>
      </c>
      <c r="F5" s="16">
        <f>IF(D5&gt;=E5,"Sí","No")</f>
        <v/>
      </c>
      <c r="G5" s="4" t="inlineStr">
        <is>
          <t>Defectos antes de PROD / total. Meta: supuesto LafroX</t>
        </is>
      </c>
    </row>
    <row r="6">
      <c r="A6" s="3" t="inlineStr">
        <is>
          <t>Densidad de defectos escapados (por 1.000 casos)</t>
        </is>
      </c>
      <c r="B6" s="20" t="n">
        <v>10</v>
      </c>
      <c r="C6" s="46">
        <f>Casos_Prueba!D11</f>
        <v/>
      </c>
      <c r="D6" s="47">
        <f>B6/C6*1000</f>
        <v/>
      </c>
      <c r="E6" s="20" t="n">
        <v>10</v>
      </c>
      <c r="F6" s="16">
        <f>IF(D6&lt;=E6,"Sí","No")</f>
        <v/>
      </c>
      <c r="G6" s="4" t="inlineStr">
        <is>
          <t>Defectos en PROD / casos de prueba × 1.000. Supuesto</t>
        </is>
      </c>
    </row>
    <row r="7">
      <c r="A7" s="3" t="inlineStr">
        <is>
          <t>Tasa de cambios fallidos</t>
        </is>
      </c>
      <c r="B7" s="45" t="n">
        <v>1</v>
      </c>
      <c r="C7" s="45" t="n">
        <v>26</v>
      </c>
      <c r="D7" s="36">
        <f>B7/C7</f>
        <v/>
      </c>
      <c r="E7" s="15">
        <f>Datos_Base!$C$29</f>
        <v/>
      </c>
      <c r="F7" s="16">
        <f>IF(D7&lt;=E7,"Sí","No")</f>
        <v/>
      </c>
      <c r="G7" s="4" t="inlineStr">
        <is>
          <t>Despliegues fallidos / total (RT-04.12; SD4)</t>
        </is>
      </c>
    </row>
    <row r="8">
      <c r="A8" s="3" t="inlineStr">
        <is>
          <t>Tiempo del commit a producción (días hábiles)</t>
        </is>
      </c>
      <c r="B8" s="20" t="n">
        <v>4</v>
      </c>
      <c r="C8" s="4" t="inlineStr"/>
      <c r="D8" s="47">
        <f>B8</f>
        <v/>
      </c>
      <c r="E8" s="24">
        <f>Datos_Base!$C$30</f>
        <v/>
      </c>
      <c r="F8" s="16">
        <f>IF(D8&lt;=E8,"Sí","No")</f>
        <v/>
      </c>
      <c r="G8" s="4" t="inlineStr">
        <is>
          <t>Mediana del período (RT-04.12; SD4)</t>
        </is>
      </c>
    </row>
    <row r="9">
      <c r="A9" s="3" t="inlineStr">
        <is>
          <t>Tiempo de restauración (h)</t>
        </is>
      </c>
      <c r="B9" s="20" t="n">
        <v>2.5</v>
      </c>
      <c r="C9" s="4" t="inlineStr"/>
      <c r="D9" s="47">
        <f>B9</f>
        <v/>
      </c>
      <c r="E9" s="24">
        <f>Datos_Base!$C$31</f>
        <v/>
      </c>
      <c r="F9" s="16">
        <f>IF(D9&lt;=E9,"Sí","No")</f>
        <v/>
      </c>
      <c r="G9" s="4" t="inlineStr">
        <is>
          <t>Mediana de incidentes (RT-04.12; SD4)</t>
        </is>
      </c>
    </row>
    <row r="10">
      <c r="A10" s="3" t="inlineStr">
        <is>
          <t>Consumo del presupuesto de error crítico</t>
        </is>
      </c>
      <c r="B10" s="45" t="n">
        <v>12</v>
      </c>
      <c r="C10" s="46">
        <f>Disponibilidad!C5</f>
        <v/>
      </c>
      <c r="D10" s="36">
        <f>B10/C10</f>
        <v/>
      </c>
      <c r="E10" s="8" t="n">
        <v>1</v>
      </c>
      <c r="F10" s="16">
        <f>IF(D10&lt;=E10,"Sí","No")</f>
        <v/>
      </c>
      <c r="G10" s="4" t="inlineStr">
        <is>
          <t>Minutos indisponibles / presupuesto (SD4 §4.2.4)</t>
        </is>
      </c>
    </row>
    <row r="11">
      <c r="A11" s="3" t="inlineStr">
        <is>
          <t>Requerimientos con prueba aprobada</t>
        </is>
      </c>
      <c r="B11" s="45" t="n">
        <v>640</v>
      </c>
      <c r="C11" s="46">
        <f>Datos_Base!$C$45</f>
        <v/>
      </c>
      <c r="D11" s="36">
        <f>B11/C11</f>
        <v/>
      </c>
      <c r="E11" s="8" t="n">
        <v>1</v>
      </c>
      <c r="F11" s="16">
        <f>IF(D11&gt;=E11,"Sí","No")</f>
        <v/>
      </c>
      <c r="G11" s="4" t="inlineStr">
        <is>
          <t>Cobertura de la matriz 9.C (RT-04.04)</t>
        </is>
      </c>
    </row>
    <row r="12">
      <c r="A12" s="3" t="inlineStr">
        <is>
          <t>Defectos críticos/altos abiertos al cierre de marcha blanca</t>
        </is>
      </c>
      <c r="B12" s="33" t="n">
        <v>0</v>
      </c>
      <c r="C12" s="4" t="inlineStr"/>
      <c r="D12" s="13">
        <f>B12</f>
        <v/>
      </c>
      <c r="E12" s="33" t="n">
        <v>0</v>
      </c>
      <c r="F12" s="16">
        <f>IF(D12&lt;=E12,"Sí","No")</f>
        <v/>
      </c>
      <c r="G12" s="4" t="inlineStr">
        <is>
          <t>BA Art. 17.3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6" customWidth="1" min="4" max="4"/>
    <col width="50" customWidth="1" min="5" max="5"/>
    <col width="12" customWidth="1" min="6" max="6"/>
  </cols>
  <sheetData>
    <row r="1">
      <c r="A1" s="1" t="inlineStr">
        <is>
          <t>Inconsistencias detectadas para el SD9</t>
        </is>
      </c>
    </row>
    <row r="2">
      <c r="A2" s="2" t="inlineStr">
        <is>
          <t>Se corrigen en la etapa de redacción; manda el subdocumento anterior salvo decisión del grupo.</t>
        </is>
      </c>
    </row>
    <row r="4">
      <c r="A4" s="5" t="inlineStr">
        <is>
          <t>N°</t>
        </is>
      </c>
      <c r="B4" s="5" t="inlineStr">
        <is>
          <t>Tema</t>
        </is>
      </c>
      <c r="C4" s="5" t="inlineStr">
        <is>
          <t>Dónde</t>
        </is>
      </c>
      <c r="D4" s="5" t="inlineStr">
        <is>
          <t>Qué dice</t>
        </is>
      </c>
      <c r="E4" s="5" t="inlineStr">
        <is>
          <t>Corrección propuesta</t>
        </is>
      </c>
      <c r="F4" s="5" t="inlineStr">
        <is>
          <t>Estado</t>
        </is>
      </c>
    </row>
    <row r="5">
      <c r="A5" s="14" t="n">
        <v>1</v>
      </c>
      <c r="B5" s="3" t="inlineStr">
        <is>
          <t>Cobertura</t>
        </is>
      </c>
      <c r="C5" s="4" t="inlineStr">
        <is>
          <t>T-14 1.5.2; SD4 §4.2.4</t>
        </is>
      </c>
      <c r="D5" s="4" t="inlineStr">
        <is>
          <t>80 % del código modificado / dos métricas</t>
        </is>
      </c>
      <c r="E5" s="4" t="inlineStr">
        <is>
          <t>≥70 % lógica de negocio Y ≥80 % unitaria global, ambas bloqueantes (decisión del grupo)</t>
        </is>
      </c>
      <c r="F5" s="4" t="inlineStr">
        <is>
          <t>Abierta</t>
        </is>
      </c>
    </row>
    <row r="6">
      <c r="A6" s="14" t="n">
        <v>2</v>
      </c>
      <c r="B6" s="3" t="inlineStr">
        <is>
          <t>Pentest</t>
        </is>
      </c>
      <c r="C6" s="4" t="inlineStr">
        <is>
          <t>SD1 §1.3; SD3 RNF-14.06</t>
        </is>
      </c>
      <c r="D6" s="4" t="inlineStr">
        <is>
          <t>Semestral</t>
        </is>
      </c>
      <c r="E6" s="4" t="inlineStr">
        <is>
          <t>Anual y antes de cada paso a producción (RT-11.20; T-14 8.2.2)</t>
        </is>
      </c>
      <c r="F6" s="4" t="inlineStr">
        <is>
          <t>Abierta</t>
        </is>
      </c>
    </row>
    <row r="7">
      <c r="A7" s="14" t="n">
        <v>3</v>
      </c>
      <c r="B7" s="3" t="inlineStr">
        <is>
          <t>Meses de certificación</t>
        </is>
      </c>
      <c r="C7" s="4" t="inlineStr">
        <is>
          <t>T-14 3.8.7, 3.9.1, 3.9.6</t>
        </is>
      </c>
      <c r="D7" s="4" t="inlineStr">
        <is>
          <t>Mes 10 (H5), mes 16 (H9), meses 16–17 (H10)</t>
        </is>
      </c>
      <c r="E7" s="4" t="inlineStr">
        <is>
          <t>Separar mes de ejecución y mes del hito (H5 m12, H9 m17, H10 m18)</t>
        </is>
      </c>
      <c r="F7" s="4" t="inlineStr">
        <is>
          <t>Abierta</t>
        </is>
      </c>
    </row>
    <row r="8">
      <c r="A8" s="14" t="n">
        <v>4</v>
      </c>
      <c r="B8" s="3" t="inlineStr">
        <is>
          <t>Refuerzo de evaluadores</t>
        </is>
      </c>
      <c r="C8" s="4" t="inlineStr">
        <is>
          <t>SD6 §6.1.3 vs T-15</t>
        </is>
      </c>
      <c r="D8" s="4" t="inlineStr">
        <is>
          <t>Meses 9–12 y 16–18; paquetes V sólo en 9–10 y 16–17</t>
        </is>
      </c>
      <c r="E8" s="4" t="inlineStr">
        <is>
          <t>Ajustar el período o justificar 11–12 y 18 (subsanación)</t>
        </is>
      </c>
      <c r="F8" s="4" t="inlineStr">
        <is>
          <t>Abierta</t>
        </is>
      </c>
    </row>
    <row r="9">
      <c r="A9" s="14" t="n">
        <v>5</v>
      </c>
      <c r="B9" s="3" t="inlineStr">
        <is>
          <t>TPS en régimen</t>
        </is>
      </c>
      <c r="C9" s="4" t="inlineStr">
        <is>
          <t>SD5 Anexos Tabla A.22 vs SD4 Tabla 33</t>
        </is>
      </c>
      <c r="D9" s="4" t="inlineStr">
        <is>
          <t>12,30 vs 12,34 TPS</t>
        </is>
      </c>
      <c r="E9" s="4" t="inlineStr">
        <is>
          <t>Usar 12,34 (SD4 manda)</t>
        </is>
      </c>
      <c r="F9" s="4" t="inlineStr">
        <is>
          <t>Abierta</t>
        </is>
      </c>
    </row>
    <row r="10">
      <c r="A10" s="14" t="n">
        <v>6</v>
      </c>
      <c r="B10" s="3" t="inlineStr">
        <is>
          <t>Resultados R18 en E1</t>
        </is>
      </c>
      <c r="C10" s="4" t="inlineStr">
        <is>
          <t>SD7 Tabla 7.11 vs Anexo 7.C</t>
        </is>
      </c>
      <c r="D10" s="4" t="inlineStr">
        <is>
          <t>12 vs 14</t>
        </is>
      </c>
      <c r="E10" s="4" t="inlineStr">
        <is>
          <t>Unificar y citar el mismo número en el T-17</t>
        </is>
      </c>
      <c r="F10" s="4" t="inlineStr">
        <is>
          <t>Abierta</t>
        </is>
      </c>
    </row>
    <row r="11">
      <c r="A11" s="14" t="n">
        <v>7</v>
      </c>
      <c r="B11" s="3" t="inlineStr">
        <is>
          <t>Columnas del T-12</t>
        </is>
      </c>
      <c r="C11" s="4" t="inlineStr">
        <is>
          <t>SD3 §3.2</t>
        </is>
      </c>
      <c r="D11" s="4" t="inlineStr">
        <is>
          <t>Dice que el T-12 trae prueba y criterio</t>
        </is>
      </c>
      <c r="E11" s="4" t="inlineStr">
        <is>
          <t>Matriz 9.C del SD9 aporta prueba y criterio; ajustar la frase del SD3</t>
        </is>
      </c>
      <c r="F11" s="4" t="inlineStr">
        <is>
          <t>Abierta</t>
        </is>
      </c>
    </row>
    <row r="12">
      <c r="A12" s="14" t="n">
        <v>8</v>
      </c>
      <c r="B12" s="3" t="inlineStr">
        <is>
          <t>Verificación RNF-14.07</t>
        </is>
      </c>
      <c r="C12" s="4" t="inlineStr">
        <is>
          <t>SD3 Anexos</t>
        </is>
      </c>
      <c r="D12" s="4" t="inlineStr">
        <is>
          <t>SAST/DAST verificado con ejercicio de recuperación</t>
        </is>
      </c>
      <c r="E12" s="4" t="inlineStr">
        <is>
          <t>Verificar con puertas G2/G4 y DAST (OWASP ZAP)</t>
        </is>
      </c>
      <c r="F12" s="4" t="inlineStr">
        <is>
          <t>Abierta</t>
        </is>
      </c>
    </row>
    <row r="13">
      <c r="A13" s="14" t="n">
        <v>9</v>
      </c>
      <c r="B13" s="3" t="inlineStr">
        <is>
          <t>CMMI-DEV N3</t>
        </is>
      </c>
      <c r="C13" s="4" t="inlineStr">
        <is>
          <t>SD1 §1.4</t>
        </is>
      </c>
      <c r="D13" s="4" t="inlineStr">
        <is>
          <t>Válido hasta nov-2026; contrato desde feb-2027</t>
        </is>
      </c>
      <c r="E13" s="4" t="inlineStr">
        <is>
          <t>Declarar la reevaluación SCAMPI A antes del inicio o retirar el nivel como vigente</t>
        </is>
      </c>
      <c r="F13" s="4" t="inlineStr">
        <is>
          <t>Abierta</t>
        </is>
      </c>
    </row>
    <row r="14">
      <c r="A14" s="14" t="n">
        <v>10</v>
      </c>
      <c r="B14" s="3" t="inlineStr">
        <is>
          <t>RNF fuera del catálogo</t>
        </is>
      </c>
      <c r="C14" s="4" t="inlineStr">
        <is>
          <t>T-12 Parte A vs SD3 Tabla 3.A.5a</t>
        </is>
      </c>
      <c r="D14" s="4" t="inlineStr">
        <is>
          <t>RNF-06.02, 06.03, 11.03 y 11.04 figuran como Cumple con componente propio en el T-12, pero el SD3 los declara absorbidos o alias</t>
        </is>
      </c>
      <c r="E14" s="4" t="inlineStr">
        <is>
          <t>La matriz 9.C los verifica con la fila que los absorbe; aclarar en el T-12</t>
        </is>
      </c>
      <c r="F14" s="4" t="inlineStr">
        <is>
          <t>Abierta</t>
        </is>
      </c>
    </row>
    <row r="15">
      <c r="A15" s="14" t="n">
        <v>11</v>
      </c>
      <c r="B15" s="3" t="inlineStr">
        <is>
          <t>Conteo de requisitos</t>
        </is>
      </c>
      <c r="C15" s="4" t="inlineStr">
        <is>
          <t>SD3 §3.2 vs T-12</t>
        </is>
      </c>
      <c r="D15" s="4" t="inlineStr">
        <is>
          <t>261 requisitos (175 RF y 86 RNF) frente a 271 filas (181 RF y 90 RNF)</t>
        </is>
      </c>
      <c r="E15" s="4" t="inlineStr">
        <is>
          <t>Explicar en el SD3 que la diferencia son filas absorbidas, alias y no ofertadas</t>
        </is>
      </c>
      <c r="F15" s="4" t="inlineStr">
        <is>
          <t>Abierta</t>
        </is>
      </c>
    </row>
    <row r="16">
      <c r="A16" s="14" t="n">
        <v>12</v>
      </c>
      <c r="B16" s="3" t="inlineStr">
        <is>
          <t>Herramientas sin nombrar</t>
        </is>
      </c>
      <c r="C16" s="4" t="inlineStr">
        <is>
          <t>SD4, SD6</t>
        </is>
      </c>
      <c r="D16" s="4" t="inlineStr">
        <is>
          <t>Sin pruebas Kotlin, carga, DAST, accesibilidad, inyección de fallas ni métricas de complejidad</t>
        </is>
      </c>
      <c r="E16" s="4" t="inlineStr">
        <is>
          <t>JUnit 5/Espresso/Kover, k6, OWASP ZAP, axe-core, AWS FIS, PHPMD/deptrac/PhpMetrics; propagar al SD4/SD6</t>
        </is>
      </c>
      <c r="F16" s="4" t="inlineStr">
        <is>
          <t>Abierta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0" customWidth="1" min="4" max="4"/>
    <col width="22" customWidth="1" min="5" max="5"/>
    <col width="12" customWidth="1" min="6" max="6"/>
  </cols>
  <sheetData>
    <row r="1">
      <c r="A1" s="1" t="inlineStr">
        <is>
          <t>Figuras draw.io planificadas para el SD9</t>
        </is>
      </c>
    </row>
    <row r="2">
      <c r="A2" s="2" t="inlineStr">
        <is>
          <t>Carpeta 09_plan_calidad/Diagramas/. Elaboración propia, texto ≥ 9 pt.</t>
        </is>
      </c>
    </row>
    <row r="4">
      <c r="A4" s="5" t="inlineStr">
        <is>
          <t>Figura</t>
        </is>
      </c>
      <c r="B4" s="5" t="inlineStr">
        <is>
          <t>Archivo</t>
        </is>
      </c>
      <c r="C4" s="5" t="inlineStr">
        <is>
          <t>Contenido</t>
        </is>
      </c>
      <c r="D4" s="5" t="inlineStr">
        <is>
          <t>Sección</t>
        </is>
      </c>
      <c r="E4" s="5" t="inlineStr">
        <is>
          <t>Datos de esta planilla</t>
        </is>
      </c>
      <c r="F4" s="5" t="inlineStr">
        <is>
          <t>Estado</t>
        </is>
      </c>
    </row>
    <row r="5">
      <c r="A5" s="3" t="inlineStr">
        <is>
          <t>9.1</t>
        </is>
      </c>
      <c r="B5" s="4" t="inlineStr">
        <is>
          <t>Fig_9-1_Marco_Calidad.drawio</t>
        </is>
      </c>
      <c r="C5" s="4" t="inlineStr">
        <is>
          <t>Vista general: normas → modelo → métricas → puertas → evidencia → aceptación</t>
        </is>
      </c>
      <c r="D5" s="4" t="inlineStr">
        <is>
          <t>9.1.1</t>
        </is>
      </c>
      <c r="E5" s="4" t="inlineStr">
        <is>
          <t>—</t>
        </is>
      </c>
      <c r="F5" s="4" t="inlineStr">
        <is>
          <t>Por dibujar</t>
        </is>
      </c>
    </row>
    <row r="6">
      <c r="A6" s="3" t="inlineStr">
        <is>
          <t>9.2</t>
        </is>
      </c>
      <c r="B6" s="4" t="inlineStr">
        <is>
          <t>Fig_9-2_Modelo_ISO25010.drawio</t>
        </is>
      </c>
      <c r="C6" s="4" t="inlineStr">
        <is>
          <t>Árbol de 8 características con métrica y umbral</t>
        </is>
      </c>
      <c r="D6" s="4" t="inlineStr">
        <is>
          <t>9.1.3</t>
        </is>
      </c>
      <c r="E6" s="4" t="inlineStr">
        <is>
          <t>ISO25010</t>
        </is>
      </c>
      <c r="F6" s="4" t="inlineStr">
        <is>
          <t>Por dibujar</t>
        </is>
      </c>
    </row>
    <row r="7">
      <c r="A7" s="3" t="inlineStr">
        <is>
          <t>9.3</t>
        </is>
      </c>
      <c r="B7" s="4" t="inlineStr">
        <is>
          <t>Fig_9-3_Puertas_Calidad.drawio</t>
        </is>
      </c>
      <c r="C7" s="4" t="inlineStr">
        <is>
          <t>Pipeline GitLab CI/CodeBuild con puertas G0–G6</t>
        </is>
      </c>
      <c r="D7" s="4" t="inlineStr">
        <is>
          <t>9.2.1</t>
        </is>
      </c>
      <c r="E7" s="4" t="inlineStr">
        <is>
          <t>Metricas_Codigo</t>
        </is>
      </c>
      <c r="F7" s="4" t="inlineStr">
        <is>
          <t>Por dibujar</t>
        </is>
      </c>
    </row>
    <row r="8">
      <c r="A8" s="3" t="inlineStr">
        <is>
          <t>9.4</t>
        </is>
      </c>
      <c r="B8" s="4" t="inlineStr">
        <is>
          <t>Fig_9-4_Niveles_Ambientes.drawio</t>
        </is>
      </c>
      <c r="C8" s="4" t="inlineStr">
        <is>
          <t>Niveles y tipos de prueba 29119 por ambiente</t>
        </is>
      </c>
      <c r="D8" s="4" t="inlineStr">
        <is>
          <t>9.2.3</t>
        </is>
      </c>
      <c r="E8" s="4" t="inlineStr">
        <is>
          <t>Calendario</t>
        </is>
      </c>
      <c r="F8" s="4" t="inlineStr">
        <is>
          <t>Por dibujar</t>
        </is>
      </c>
    </row>
    <row r="9">
      <c r="A9" s="3" t="inlineStr">
        <is>
          <t>9.5</t>
        </is>
      </c>
      <c r="B9" s="4" t="inlineStr">
        <is>
          <t>Fig_9-5_Datos_Prueba.drawio</t>
        </is>
      </c>
      <c r="C9" s="4" t="inlineStr">
        <is>
          <t>Flujo de datos de prueba sintéticos y anonimizados</t>
        </is>
      </c>
      <c r="D9" s="4" t="inlineStr">
        <is>
          <t>9.2.3</t>
        </is>
      </c>
      <c r="E9" s="4" t="inlineStr">
        <is>
          <t>—</t>
        </is>
      </c>
      <c r="F9" s="4" t="inlineStr">
        <is>
          <t>Por dibujar</t>
        </is>
      </c>
    </row>
    <row r="10">
      <c r="A10" s="3" t="inlineStr">
        <is>
          <t>9.6</t>
        </is>
      </c>
      <c r="B10" s="4" t="inlineStr">
        <is>
          <t>Fig_9-6_Modelo_V.drawio</t>
        </is>
      </c>
      <c r="C10" s="4" t="inlineStr">
        <is>
          <t>Modelo en V: diseño ↔ nivel de prueba ↔ hito E-25</t>
        </is>
      </c>
      <c r="D10" s="4" t="inlineStr">
        <is>
          <t>9.2.4</t>
        </is>
      </c>
      <c r="E10" s="4" t="inlineStr">
        <is>
          <t>Aceptacion_T17</t>
        </is>
      </c>
      <c r="F10" s="4" t="inlineStr">
        <is>
          <t>Por dibujar</t>
        </is>
      </c>
    </row>
    <row r="11">
      <c r="A11" s="3" t="inlineStr">
        <is>
          <t>9.7</t>
        </is>
      </c>
      <c r="B11" s="4" t="inlineStr">
        <is>
          <t>Fig_9-7_Cadena_Trazabilidad.drawio</t>
        </is>
      </c>
      <c r="C11" s="4" t="inlineStr">
        <is>
          <t>Origen → RF/RNF/RT → M/INT → EDT → caso → despliegue → R18</t>
        </is>
      </c>
      <c r="D11" s="4" t="inlineStr">
        <is>
          <t>9.2.4</t>
        </is>
      </c>
      <c r="E11" s="4" t="inlineStr">
        <is>
          <t>Casos_Prueba</t>
        </is>
      </c>
      <c r="F11" s="4" t="inlineStr">
        <is>
          <t>Por dibujar</t>
        </is>
      </c>
    </row>
    <row r="12">
      <c r="A12" s="3" t="inlineStr">
        <is>
          <t>9.8</t>
        </is>
      </c>
      <c r="B12" s="4" t="inlineStr">
        <is>
          <t>Fig_9-8_Ciclo_Defectos.drawio</t>
        </is>
      </c>
      <c r="C12" s="4" t="inlineStr">
        <is>
          <t>Ciclo de vida del defecto y severidades</t>
        </is>
      </c>
      <c r="D12" s="4" t="inlineStr">
        <is>
          <t>9.2.4</t>
        </is>
      </c>
      <c r="E12" s="4" t="inlineStr">
        <is>
          <t>Metricas_Proceso</t>
        </is>
      </c>
      <c r="F12" s="4" t="inlineStr">
        <is>
          <t>Por dibujar</t>
        </is>
      </c>
    </row>
    <row r="13">
      <c r="A13" s="3" t="inlineStr">
        <is>
          <t>9.9</t>
        </is>
      </c>
      <c r="B13" s="4" t="inlineStr">
        <is>
          <t>Fig_9-9_Calidad_Cronograma.drawio</t>
        </is>
      </c>
      <c r="C13" s="4" t="inlineStr">
        <is>
          <t>56 meses: paquetes de calidad, hitos, congelamientos y pruebas periódicas</t>
        </is>
      </c>
      <c r="D13" s="4" t="inlineStr">
        <is>
          <t>9.3</t>
        </is>
      </c>
      <c r="E13" s="4" t="inlineStr">
        <is>
          <t>HH_Calidad, Calendario</t>
        </is>
      </c>
      <c r="F13" s="4" t="inlineStr">
        <is>
          <t>Por dibujar</t>
        </is>
      </c>
    </row>
    <row r="14">
      <c r="A14" s="3" t="inlineStr">
        <is>
          <t>9.10</t>
        </is>
      </c>
      <c r="B14" s="4" t="inlineStr">
        <is>
          <t>Fig_9-10_Flujo_Aceptacion.drawio</t>
        </is>
      </c>
      <c r="C14" s="4" t="inlineStr">
        <is>
          <t>Entrega → 10 d.h. revisión → observaciones → 10 d.h. subsanación → acta</t>
        </is>
      </c>
      <c r="D14" s="4" t="inlineStr">
        <is>
          <t>9.3 / T-17</t>
        </is>
      </c>
      <c r="E14" s="4" t="inlineStr">
        <is>
          <t>Aceptacion_T17</t>
        </is>
      </c>
      <c r="F14" s="4" t="inlineStr">
        <is>
          <t>Por dibujar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2026-10-09T23:19:47Z</dcterms:created>
  <dcterms:modified xmlns:dcterms="http://purl.org/dc/terms/" xmlns:xsi="http://www.w3.org/2001/XMLSchema-instance" xsi:type="dcterms:W3CDTF">2026-10-09T23:19:47Z</dcterms:modified>
</cp:coreProperties>
</file>