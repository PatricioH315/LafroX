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sumen" sheetId="1" r:id="rId4"/>
    <sheet state="visible" name="Cualitativo" sheetId="2" r:id="rId5"/>
    <sheet state="visible" name="Cuantitativo" sheetId="3" r:id="rId6"/>
    <sheet state="visible" name="Parámetros" sheetId="4" r:id="rId7"/>
    <sheet state="visible" name="Registro original" sheetId="5" r:id="rId8"/>
  </sheets>
  <definedNames>
    <definedName hidden="1" localSheetId="1" name="Z_CEBCCE61_A7BD_46DC_ADF9_3FF6DE78CEA3_.wvu.FilterData">Cualitativo!$A$5:$AC$38</definedName>
    <definedName hidden="1" localSheetId="2" name="Z_F21E4A68_D18F_4D02_8B22_77D25D907ADD_.wvu.FilterData">Cuantitativo!$A$5:$AK$38</definedName>
    <definedName hidden="1" localSheetId="4" name="Z_381FA0CE_515C_49B4_8683_167D90FAF281_.wvu.FilterData">'Registro original'!$A$5:$E$38</definedName>
  </definedNames>
  <calcPr/>
  <customWorkbookViews>
    <customWorkbookView activeSheetId="0" maximized="1" windowHeight="0" windowWidth="0" guid="{CEBCCE61-A7BD-46DC-ADF9-3FF6DE78CEA3}" name="Cualificacion34 filter view"/>
    <customWorkbookView activeSheetId="0" maximized="1" windowHeight="0" windowWidth="0" guid="{F21E4A68-D18F-4D02-8B22-77D25D907ADD}" name="Cuantificacion34 filter view"/>
    <customWorkbookView activeSheetId="0" maximized="1" windowHeight="0" windowWidth="0" guid="{381FA0CE-515C-49B4-8683-167D90FAF281}" name="RegistroFuente filter view"/>
  </customWorkbookViews>
  <extLst>
    <ext uri="GoogleSheetsCustomDataVersion2">
      <go:sheetsCustomData xmlns:go="http://customooxmlschemas.google.com/" r:id="rId9" roundtripDataChecksum="aLo9gwC+TUDICY8hqt88xBunM3bpoCANHO+NzxS/97s="/>
    </ext>
  </extLst>
</workbook>
</file>

<file path=xl/sharedStrings.xml><?xml version="1.0" encoding="utf-8"?>
<sst xmlns="http://schemas.openxmlformats.org/spreadsheetml/2006/main" count="1294" uniqueCount="904">
  <si>
    <t>LafroX · análisis cualitativo y cuantitativo</t>
  </si>
  <si>
    <t>34 riesgos R-001–R-034. Estimaciones iniciales con controles ofertados. CLP nominales, sin IVA.</t>
  </si>
  <si>
    <t>Matriz: cantidad de riesgos por nivel</t>
  </si>
  <si>
    <t>Análisis cualitativo y fundamento de los 34 riesgos</t>
  </si>
  <si>
    <t>Resultado</t>
  </si>
  <si>
    <t>Valor</t>
  </si>
  <si>
    <t>Zona</t>
  </si>
  <si>
    <t>Cantidad</t>
  </si>
  <si>
    <t>P e impacto monetario enlazados por ID. Niveles 1–5. Impacto global = máximo evaluable; costo relativo pendiente hasta disponer del contrato.</t>
  </si>
  <si>
    <t>VME CLP</t>
  </si>
  <si>
    <t>Análisis cuantitativo de los 34 riesgos</t>
  </si>
  <si>
    <t>P / Impacto</t>
  </si>
  <si>
    <t>Riesgos analizados</t>
  </si>
  <si>
    <t>Entradas amarillas: estimaciones editables. O/M/P por episodio; importes en CLP. P cubre la ventana completa del riesgo.</t>
  </si>
  <si>
    <t>ID</t>
  </si>
  <si>
    <t>Crítica</t>
  </si>
  <si>
    <t>Riesgo</t>
  </si>
  <si>
    <t>Enunciado original</t>
  </si>
  <si>
    <t>RBS</t>
  </si>
  <si>
    <t>Dueño propuesto</t>
  </si>
  <si>
    <t>P estimada</t>
  </si>
  <si>
    <t>P de al menos un episodio</t>
  </si>
  <si>
    <t>Nivel P</t>
  </si>
  <si>
    <t>Episodios si ocurre ≥1</t>
  </si>
  <si>
    <t>Factor P</t>
  </si>
  <si>
    <t>Perfil 1</t>
  </si>
  <si>
    <t>Costo / contrato</t>
  </si>
  <si>
    <t>HH1 O</t>
  </si>
  <si>
    <t>Nivel costo (0 pendiente)</t>
  </si>
  <si>
    <t>HH1 M</t>
  </si>
  <si>
    <t>Demora central días</t>
  </si>
  <si>
    <t>HH1 P</t>
  </si>
  <si>
    <t>Nivel plazo</t>
  </si>
  <si>
    <t>Tarifa1 CLP/HH</t>
  </si>
  <si>
    <t>HH1 central</t>
  </si>
  <si>
    <t>Nivel alcance/calidad</t>
  </si>
  <si>
    <t>Perfil 2</t>
  </si>
  <si>
    <t>Fundamento alcance/calidad</t>
  </si>
  <si>
    <t>HH2 O</t>
  </si>
  <si>
    <t>Impacto global 1–5</t>
  </si>
  <si>
    <t>HH2 M</t>
  </si>
  <si>
    <t>Factor I</t>
  </si>
  <si>
    <t>HH2 P</t>
  </si>
  <si>
    <t>Exposición P×I</t>
  </si>
  <si>
    <t>Tarifa2 CLP/HH</t>
  </si>
  <si>
    <t>Prioridad</t>
  </si>
  <si>
    <t>HH2 central</t>
  </si>
  <si>
    <t>Urgencia</t>
  </si>
  <si>
    <t>Gastos O CLP</t>
  </si>
  <si>
    <t>Ventana de ocurrencia</t>
  </si>
  <si>
    <t>Gastos M CLP</t>
  </si>
  <si>
    <t>Disparador observable</t>
  </si>
  <si>
    <t>Controlabilidad</t>
  </si>
  <si>
    <t>Gastos P CLP</t>
  </si>
  <si>
    <t>Detectabilidad</t>
  </si>
  <si>
    <t>Gastos centrales</t>
  </si>
  <si>
    <t>Conectividad / IDs</t>
  </si>
  <si>
    <t>Contingencia estimada (suma VME)</t>
  </si>
  <si>
    <t>Costo O por episodio</t>
  </si>
  <si>
    <t>Fundamento de probabilidad</t>
  </si>
  <si>
    <t>Costo M por episodio</t>
  </si>
  <si>
    <t>Referencia de evidencia</t>
  </si>
  <si>
    <t>Costo P por episodio</t>
  </si>
  <si>
    <t>VME CLP para desempate</t>
  </si>
  <si>
    <t>Costo central por episodio</t>
  </si>
  <si>
    <t>Integridad / cobertura</t>
  </si>
  <si>
    <t>Impacto condicional acumulado CLP</t>
  </si>
  <si>
    <t>Valor monetario esperado CLP</t>
  </si>
  <si>
    <t>R-001</t>
  </si>
  <si>
    <t>Demora O días</t>
  </si>
  <si>
    <t>Alta</t>
  </si>
  <si>
    <t>Demora M días</t>
  </si>
  <si>
    <t>Demora P días</t>
  </si>
  <si>
    <t>Parámetros, supuestos y evidencia</t>
  </si>
  <si>
    <t>Justificación del trabajo adicional</t>
  </si>
  <si>
    <t>Justificación de demora</t>
  </si>
  <si>
    <t>Justificación de episodios</t>
  </si>
  <si>
    <t>Límites de costo / exclusiones</t>
  </si>
  <si>
    <t>Amarillo: entrada estimada/editable. Fórmulas: fondo neutro. Importes en CLP nominales, sin IVA.</t>
  </si>
  <si>
    <t>Costos compartidos / no duplicar</t>
  </si>
  <si>
    <t>Fundamento de gastos</t>
  </si>
  <si>
    <t>Naturaleza de entradas</t>
  </si>
  <si>
    <t>Base económica</t>
  </si>
  <si>
    <t>Valor documentado</t>
  </si>
  <si>
    <t>Unidad</t>
  </si>
  <si>
    <t>Estado y uso</t>
  </si>
  <si>
    <t>Monto contractual de LafroX</t>
  </si>
  <si>
    <t>Suma de impactos condicionales</t>
  </si>
  <si>
    <t>Media</t>
  </si>
  <si>
    <t>CLP</t>
  </si>
  <si>
    <t>Pendiente: no identificado en antecedentes técnicos. No inferir desde contratos de referencia.</t>
  </si>
  <si>
    <t>Líder de integraciones</t>
  </si>
  <si>
    <t>Costos directos del proyecto</t>
  </si>
  <si>
    <t>Pendiente: no aplicar los $710.000.000 de la plantilla.</t>
  </si>
  <si>
    <t>Perfil</t>
  </si>
  <si>
    <t>Función</t>
  </si>
  <si>
    <t>Tarifa estimada CLP/HH</t>
  </si>
  <si>
    <t>INT</t>
  </si>
  <si>
    <t>Naturaleza</t>
  </si>
  <si>
    <t>Fundamento de la estimación</t>
  </si>
  <si>
    <t>Integración</t>
  </si>
  <si>
    <t>Supuesto editable</t>
  </si>
  <si>
    <t>Ancla analítica de $22.000/HH para desarrollo especializado. No es cotización ni dato salarial.</t>
  </si>
  <si>
    <t>QA</t>
  </si>
  <si>
    <t>Pruebas</t>
  </si>
  <si>
    <t>Menor tarifa relativa para ejecución y documentación de pruebas frente a arquitectura.</t>
  </si>
  <si>
    <t>DAT</t>
  </si>
  <si>
    <t>Datos y migración</t>
  </si>
  <si>
    <t>Tarifa relativa intermedia por perfilado, transformación y conciliación especializada.</t>
  </si>
  <si>
    <t>FUN</t>
  </si>
  <si>
    <t>Análisis funcional</t>
  </si>
  <si>
    <t>VME / costos directos</t>
  </si>
  <si>
    <t>Talleres, reglas y validaciones con el cliente, sin gasto de terceros incluido.</t>
  </si>
  <si>
    <t>IMP</t>
  </si>
  <si>
    <t>Implantación/capacitación</t>
  </si>
  <si>
    <t>Coordinación, acompañamiento y formación adicional; no incluye transporte.</t>
  </si>
  <si>
    <t>SRE</t>
  </si>
  <si>
    <t>Operación/continuidad</t>
  </si>
  <si>
    <t>Mayor especialización en operación híbrida y recuperación, sobre el ancla de integración.</t>
  </si>
  <si>
    <t>ARQ</t>
  </si>
  <si>
    <t>Arquitectura</t>
  </si>
  <si>
    <t>Mayor responsabilidad de diseño e impacto transversal, sobre el ancla de integración.</t>
  </si>
  <si>
    <t>SEG</t>
  </si>
  <si>
    <t>Seguridad</t>
  </si>
  <si>
    <t>Especialidad de análisis y contención de incidentes; no corresponde a consultoría forense cotizada.</t>
  </si>
  <si>
    <t>Baja</t>
  </si>
  <si>
    <t>JP</t>
  </si>
  <si>
    <t>Jefatura de proyecto</t>
  </si>
  <si>
    <t>Coordinación y decisión de alcance; tarifa relativa al ancla técnica.</t>
  </si>
  <si>
    <t>Nivel</t>
  </si>
  <si>
    <t>P inferior exclusiva</t>
  </si>
  <si>
    <t>P superior inclusiva</t>
  </si>
  <si>
    <t>Factor P adoptado</t>
  </si>
  <si>
    <t>Factor I adoptado</t>
  </si>
  <si>
    <t>Nombre</t>
  </si>
  <si>
    <t>Costo desde (fracción contrato)</t>
  </si>
  <si>
    <t>Costo hasta</t>
  </si>
  <si>
    <t>Días desde</t>
  </si>
  <si>
    <t>Días hasta</t>
  </si>
  <si>
    <t>Alcance/calidad</t>
  </si>
  <si>
    <t>Muy bajo</t>
  </si>
  <si>
    <t>Efecto menor sobre funciones secundarias</t>
  </si>
  <si>
    <t>Bajo</t>
  </si>
  <si>
    <t>Efecto menor sobre funcionalidad general</t>
  </si>
  <si>
    <t>Medio</t>
  </si>
  <si>
    <t>Efecto sobre áreas funcionales clave</t>
  </si>
  <si>
    <t>Alto</t>
  </si>
  <si>
    <t>Efecto significativo sobre funcionalidad comprometida</t>
  </si>
  <si>
    <t>Muy alto</t>
  </si>
  <si>
    <t>Efecto muy significativo sobre funcionalidad comprometida</t>
  </si>
  <si>
    <t>01. Método</t>
  </si>
  <si>
    <t>PDF FEP04.26: páginas físicas 6–8 (elementos, escalas y zonas), 42–48 (análisis, atributos y VME) y 52–54 (tres valores/sensibilidad). Los ejemplos del curso no son datos de LafroX.</t>
  </si>
  <si>
    <t>02. Plantilla adaptada</t>
  </si>
  <si>
    <t>TFEP03.26_Plantillas (1).docx: secciones 3, 4.1, 4.2, 4.3 y 5. Registro y fundamento de P en Cualitativo; composición y registro cuantificado en Cuantitativo; priorización completa en Resumen. Cada tabla individual incluye los 34 riesgos.</t>
  </si>
  <si>
    <t>03. Factores cualitativos</t>
  </si>
  <si>
    <t>Factores P e I son una convención adoptada del análisis, no porcentajes de pérdida ni una transcripción atribuida al PDF. La probabilidad porcentual se edita solo en Cuantitativo; Cualitativo la clasifica.</t>
  </si>
  <si>
    <t>Una cadena requerida sin certificación impide completar el intercambio electrónico y la evidencia exigida en E2.</t>
  </si>
  <si>
    <t>04. Límites de probabilidad</t>
  </si>
  <si>
    <t>1 Muy bajo · 2 Bajo · 3 Medio · 4 Alto · 5 Muy alto</t>
  </si>
  <si>
    <t>0&lt;P≤10%; 10%&lt;P≤30%; 30%&lt;P≤50%; 50%&lt;P≤70%; 70%&lt;P≤100%. Se extienden a porcentajes fraccionarios los intervalos enteros de la clase. P=0 no vigente, fuera de los cinco niveles.</t>
  </si>
  <si>
    <t>05. Límites de plazo</t>
  </si>
  <si>
    <t>Días calendario de demora por episodio: 0≤d&lt;2; 2≤d&lt;7; 7≤d&lt;21; 21≤d≤42; d&gt;42. En 7 y 21 días se usa la categoría superior para resolver los límites compartidos del PDF. Una semana equivale a 7 días calendario.</t>
  </si>
  <si>
    <t>Lectura de la reserva</t>
  </si>
  <si>
    <t>06. Límites de costo</t>
  </si>
  <si>
    <t>Es una estimación del trabajo incremental delimitado por riesgo. No es presupuesto aprobado ni reserva a un nivel de confianza estadístico.</t>
  </si>
  <si>
    <t>Impacto condicional acumulado / monto contractual: &lt;0,5%; 0,5%–&lt;1%; 1%–&lt;2%; 2%–5%; &gt;5%. En 1% y 2% se usa nivel superior. Sin monto contractual se muestra Pendiente y nivel 0 no evaluable; nunca se trata como costo nulo.</t>
  </si>
  <si>
    <t>Cobertura de costo</t>
  </si>
  <si>
    <t>Monto contractual y costos directos pendientes. La zona usa plazo y alcance/calidad; puede aumentar al completar la base económica.</t>
  </si>
  <si>
    <t>07. Impacto y zonas</t>
  </si>
  <si>
    <t>Supuestos</t>
  </si>
  <si>
    <t>Probabilidades, horas, demoras, episodios y tarifas se estimaron para este análisis. Editar entradas amarillas; las fórmulas y prioridades se actualizan.</t>
  </si>
  <si>
    <t>Impacto global = MAX(nivel costo evaluable, nivel plazo, nivel alcance/calidad). Exposición = factor P × factor I. Baja &lt;0,08; Media ≥0,08 y &lt;0,20; Alta ≥0,20 y &lt;0,40; Crítica ≥0,40. Costo pendiente hace provisional la clasificación.</t>
  </si>
  <si>
    <t>Costos compartidos</t>
  </si>
  <si>
    <t>08. Tarifas y esfuerzo</t>
  </si>
  <si>
    <t>Cada causa se limita a tareas distintas. Revisar columnas AH–AI de Cuantitativo antes de imputar un incidente que afecte varios IDs.</t>
  </si>
  <si>
    <t>Todas las tarifas son supuestos analíticos, sin estudio de mercado ni validación del equipo. Son costo incremental interno por HH productiva; no precio de venta. Jornada de referencia = 8 HH para explicar esfuerzo. Sustituir por costos internos comprobados antes de comprometer una reserva.</t>
  </si>
  <si>
    <t>Plazos</t>
  </si>
  <si>
    <t>Las demoras son por episodio y actividad. No se suman entre riesgos ni representan automáticamente atraso de hitos contractuales.</t>
  </si>
  <si>
    <t>Escenario de esfuerzo</t>
  </si>
  <si>
    <t>09. Escenarios</t>
  </si>
  <si>
    <t>O/M/P expresan incertidumbre de esfuerzo condicionado al evento. PERT es el promedio ponderado adoptado; no acredita una distribución calibrada.</t>
  </si>
  <si>
    <t>O/M/P son horas-persona, gastos y días condicionados a un episodio. O: resolución acotada y una revisión; M: ronda adicional descrita en cada riesgo; P: varias iteraciones o espera externa prolongada. Son escenarios de juicio analítico, no percentiles estadísticos ni resultados de una entrevista a expertos.</t>
  </si>
  <si>
    <t>10. Cálculo</t>
  </si>
  <si>
    <t>HH central por perfil = (O+4M+P)/6. Costo por episodio = HH1×tarifa1 + HH2×tarifa2 + gastos. Impacto condicional acumulado = costo central por episodio × episodios. VME = P(al menos uno) × impacto condicional acumulado.</t>
  </si>
  <si>
    <t>11. Recurrencia</t>
  </si>
  <si>
    <t>Episodios se interpreta como E[N | N≥1], aproximado con un conteo entero editable; nunca se multiplica de nuevo por meses o sitios. La probabilidad corresponde a todo el período del riesgo, no a cada episodio. Conteos sin historial se justifican como supuestos por riesgo.</t>
  </si>
  <si>
    <t>Priorización completa · exposición descendente, VME descendente e ID ascendente</t>
  </si>
  <si>
    <t>12. Horizonte</t>
  </si>
  <si>
    <t>SD7, PDF p.6: 56 meses; p.23: operación formal meses 21–56. Los riesgos operativos se cuantifican para esos 36 meses. Pruebas anteriores vigilan el mismo modo de falla, sin duplicar una bolsa monetaria adicional no estimada.</t>
  </si>
  <si>
    <t>13. Plazo</t>
  </si>
  <si>
    <t>Lugar</t>
  </si>
  <si>
    <t>La demora central es por episodio y por actividad afectada. No se multiplica por episodios ni se suma entre riesgos: concurrencia, holguras y ruta crítica requieren análisis de red separado. No es compromiso de fecha contractual.</t>
  </si>
  <si>
    <t>14. Agregación</t>
  </si>
  <si>
    <t>La suma de VME estima contingencia del trabajo incremental delimitado. La linealidad de la esperanza no exige independencia, pero sí evitar contar el mismo costo dos veces. No es P80, presupuesto aprobado, reserva residual ni garantía de suficiencia.</t>
  </si>
  <si>
    <t>15. Desembolsos</t>
  </si>
  <si>
    <t>Exposición</t>
  </si>
  <si>
    <t>Gastos O/M/P=0 significa que no se ha identificado un desembolso incremental dentro del alcance acotado. No prueba que viajes, asesoría, repuestos o servicios externos sean gratuitos; se excluyen y deben añadirse si se confirman. No se incluyen multas no sustentadas.</t>
  </si>
  <si>
    <t>16. Priorización</t>
  </si>
  <si>
    <t>Orden descendente por exposición; empate por VME descendente y después ID ascendente. Regla adoptada y explícita, porque el enunciado con el desempate citado por la plantilla no fue entregado. El orden se recalcula al editar entradas.</t>
  </si>
  <si>
    <t>17. Responsables y controles</t>
  </si>
  <si>
    <t>Dueños propuestos son roles funcionales, no nombramientos aprobados. Las probabilidades consideran los controles ya ofertados. Las estimaciones son de exposición inicial de este análisis con dichos controles, sin acciones adicionales ni supuestos de reducción residual.</t>
  </si>
  <si>
    <t>18. Fuentes y exclusión</t>
  </si>
  <si>
    <t>Se usan el registro adjunto y evidencia directa de SD1–7, SD9 y SD13 cuando sea pertinente. Se excluye SD8 y sus valoraciones derivadas. Las referencias siguientes respaldan el contexto, nunca los porcentajes u horas estimados. Los números de página son páginas físicas del PDF.</t>
  </si>
  <si>
    <t>19. Ausencias y calidad</t>
  </si>
  <si>
    <t>R-030 y R-031 carecen de texto en la columna original Por qué compete a LafroX; se conserva vacía. R-029 conserva su redacción original. R-001 y R-022 mantienen “revisar”. No se inventan R-035–R-039.</t>
  </si>
  <si>
    <t>20. Alcance y riesgo total</t>
  </si>
  <si>
    <t>Los impactos solo incluyen trabajo adicional atribuible a LafroX descrito por ID. Las pérdidas operacionales del cliente no se suman. La agregación excluye adquisiciones, sanciones o cambios estructurales sin alcance y costo sustentados.</t>
  </si>
  <si>
    <t>Antes de la ola o aceptación</t>
  </si>
  <si>
    <t>Meses 13–20, antes de las cuatro semanas finales de evidencia E2</t>
  </si>
  <si>
    <t>Cadena del alcance sin certificación antes del límite F−28 días</t>
  </si>
  <si>
    <t>Tercero; LafroX controla preparación y seguimiento</t>
  </si>
  <si>
    <t>Alta: avance de certificación y pruebas observable</t>
  </si>
  <si>
    <t>R-001, R-019</t>
  </si>
  <si>
    <t>E2 exige todas las cadenas y no permite excluir del denominador una cadena sin certificar. Se estima 45% por coordinación entre organizaciones; no se conoce la cantidad final ni un historial de incumplimientos.</t>
  </si>
  <si>
    <t>Parámetros A59:F59; registro original R-002</t>
  </si>
  <si>
    <t>Documento de evidencia directa</t>
  </si>
  <si>
    <t>Página física PDF</t>
  </si>
  <si>
    <t>Extracto de contexto</t>
  </si>
  <si>
    <t>Fuente del enunciado original</t>
  </si>
  <si>
    <t>Calidad y límite de evidencia</t>
  </si>
  <si>
    <t>R-002</t>
  </si>
  <si>
    <t>Subdocumento 3 / LAFROX-Subdocumento3-Anexos.pdf</t>
  </si>
  <si>
    <t>… no confirma la fecha efectiva. Gerencia de Operaciones y planificador, mes 1. V- 15 ¿En qué condiciones contractuales se accede a la telemetría del tercero? Integración de M12. S-19. Jefe de TI, mes 2. V- 16 ¿Cuáles son las interfaces disponibles del ERP? Integración y migración. S-18. Jefe de TI, mes 1. V- 17 Si la fecha de inicio ubica el mes 16 o el mes 21 en septiembre o diciembre, ¿cómo se compatibilizará formalmente el calendario contractual de Bases Administrativas (2026, art. 17.1, p. 12) con las restricciones operacionales que prohíben pasos a producción en septiembre y diciembre? Calendario de los pasos a producción. S-17: inicio en …</t>
  </si>
  <si>
    <t>Registro adjunto: hoja Riesgos; ID R-001</t>
  </si>
  <si>
    <t>Reagendar pruebas de interoperabilidad, revisar incidencias con la cadena y volver a reunir evidencia. El escenario más probable (M) supone 7 jornadas de integración y 5 de QA adicionales.</t>
  </si>
  <si>
    <t>21 días más probables (M) representan una ronda externa de certificación y evidencia; no modifican por sí solos el hito contractual.</t>
  </si>
  <si>
    <t>Contexto documental. Probabilidad, HH, demora y recurrencia son estimaciones de este análisis; no están medidas en el documento.</t>
  </si>
  <si>
    <t>Un bloqueo agregado de certificación E2; no se multiplica por una cantidad de cadenas desconocida.</t>
  </si>
  <si>
    <t>No incluye multas ni costos internos de las cadenas.</t>
  </si>
  <si>
    <t>Líder de datos</t>
  </si>
  <si>
    <t>Costear solo tareas extraordinarias de este ID. Si comparte incidente o sesión con riesgos relacionados, imputar una vez al ID de causa principal.</t>
  </si>
  <si>
    <t>Sin desembolso incremental identificado en el alcance modelado; viajes, compras o asesoría requieren estimación adicional si se confirman.</t>
  </si>
  <si>
    <t>Supuestos analíticos editables. Contexto documental en Parámetros, fila 59.</t>
  </si>
  <si>
    <t>Subdocumento 7 / LafroX-Subdocumento7.pdf</t>
  </si>
  <si>
    <t>… finales requieren todos los grupos y todo el volumen real, no una muestra. E2 habilita todas las cadenas del alcance, portales y costo de servir antes de F − 28 días y, en el ejemplo febrero 2027, antes de septiembre. La carga manual de pedidos mantiene contingencia auxiliar y no acredita intercambio electrónico ni permite excluir una cadena faltante. La reversión tiene dos niveles, que la Tabla 7.8 distingue. Tabla 7.8 Niveles de reversión. Fuente: elaboración a partir de LafroX (2026k, SD3, sec. 3.4.4); LafroX (2026m, SD4, apartados 4.2.4.1.2 y 4.1.8); y LafroX (2026s, T-18). Nivel Qué hace Quién decide Plazo Técnico Devuelve el tráfico a l …</t>
  </si>
  <si>
    <t>Registro adjunto: hoja Riesgos; ID R-002</t>
  </si>
  <si>
    <t>R-003</t>
  </si>
  <si>
    <t>Subdocumento 5 / LAFROX-Subdocumento5.pdf</t>
  </si>
  <si>
    <t>… presupone el esquema físico de sistemas legados que aún no ha sido levantado. Cada registro se acepta sin cambio, se corrige con regla aprobada/versionada o se aísla para decisión. Se conservan original y transformación, sin inventar cliente activo, ubicación, lote, LafroX SpA Propuesta Técnica Media firma: Alex Aravena 35 …</t>
  </si>
  <si>
    <t>Registro adjunto: hoja Riesgos; ID R-003</t>
  </si>
  <si>
    <t>R-004</t>
  </si>
  <si>
    <t>… Operaciones, ola de reparto; saldos y con- ciliación por validar con Finanzas. V- 09 ¿Qué extensión, calidad y formato tiene la historia de ventas y pedidos disponible en el ERP para reposición y migración? Datos de RF- 10.01 y alcan- ce de migra- ción. S-25. El Caso (cap. 15, RT-05.15) exige migrar tres años de ventas y pedidos; esta exigencia no acredita su disponi- bilidad ni su calidad efectiva en el ERP . Jefe de abaste- cimiento, mes 3; disponibili- dad y calidad por confirmar con TI. V- 10 ¿Qué registros históricos permiten conocer la hora real de entrega y el monto esperado de rendición, y con qué confiabilidad? Línea base his- tórica …</t>
  </si>
  <si>
    <t>Sin vínculos sanitarios verificables no puede demostrarse la trazabilidad comprometida del conjunto migrado, con efecto muy significativo en aceptación.</t>
  </si>
  <si>
    <t>Registro adjunto: hoja Riesgos; ID R-004</t>
  </si>
  <si>
    <t>R-005</t>
  </si>
  <si>
    <t>Subdocumento 3 / LAFROX-Subdocumento3.pdf</t>
  </si>
  <si>
    <t>Meses 3–12, perfilado y ensayos de carga sanitaria E1</t>
  </si>
  <si>
    <t>Lotes o vínculos históricos sin evidencia de origen al perfilar la carga</t>
  </si>
  <si>
    <t>Compartida: cliente aporta datos; LafroX perfila y concilia</t>
  </si>
  <si>
    <t>Media: aparece al perfilar y contrastar los vínculos</t>
  </si>
  <si>
    <t>R-004, R-005, R-007</t>
  </si>
  <si>
    <t>La conciliación exige documentos y lotes sin diferencias y trazabilidad verificable. Se adopta 60% por la combinación de ERP, WMS y planillas y las exigencias de aceptación; no se conoce una tasa de defectos sanitarios del conjunto.</t>
  </si>
  <si>
    <t>Parámetros A60:F60; registro original R-003</t>
  </si>
  <si>
    <t>… y lote de sus 11.400 posiciones. En Concepción se cargan los saldos desde un conteo físico. En ambos casos el maestro cubre los 8.400 SKU activos, 1.100 de ellos refrigerados o congelados. Cada sitio sigue el mismo procedimiento: • Carga inicial en PREPROD. • Conciliación contra un conteo físico, separada por dominio: los documentos y los lotes deben coincidir sin diferencias; las diferencias de inventario se investigan y los ajustes se justifican antes del corte. El 2,3 % del valor contado es la línea base del problema descrito en el Subdocumento 2, Tabla 2.1, y no una tolerancia automática de migración (Anexo 3.C, S-29). Las diferencias se …</t>
  </si>
  <si>
    <t>Registro adjunto: hoja Riesgos; ID R-005</t>
  </si>
  <si>
    <t>R-006</t>
  </si>
  <si>
    <t>… ID Pregunta Efecto en el alcance Supuesto de oferta Responsable y momento V- 08 ¿Existen antecedentes suficientes y confiables para determinar el saldo inicial de envases por cliente y trans- portista? Carga inicial conciliada de M8. Las anotaciones en cuadernos no de- muestran ausencia de antecedentes. RNG-07 y (LafroX, 2026a, Anexo 2.2, S-10), requieren control por saldo. El conteo inicial es una alternativa cuya ne- cesidad y momento deben confirmarse. Gerencia de Operaciones, ola de reparto; saldos y con- ciliación por validar con Finanzas. V- 09 ¿Qué extensión, calidad y formato tiene la historia de ventas y pedidos disponible en el ERP …</t>
  </si>
  <si>
    <t>Registro adjunto: hoja Riesgos; ID R-006</t>
  </si>
  <si>
    <t>Aislar registros, reconstruir solo vínculos sustentados, preparar excepciones y repetir la conciliación sanitaria. 15 jornadas de datos y 8 de QA en el caso más probable (M).</t>
  </si>
  <si>
    <t>14 días más probables (M) por investigación de antecedentes y una nueva validación; si falta evidencia, las horas no garantizan cerrar la carga.</t>
  </si>
  <si>
    <t>R-007</t>
  </si>
  <si>
    <t>Un saneamiento sanitario agregado de la carga afectada.</t>
  </si>
  <si>
    <t>No incluye inventar lotes ni reconstruir historia sin evidencia; R-005 solo cubre saldos físicos.</t>
  </si>
  <si>
    <t>Separar defectos sanitarios (R-003), historia de ventas (R-004), saldos físicos (R-005) y evidencia histórica (R-007). Cada bolsa solo contiene su dominio.</t>
  </si>
  <si>
    <t>Supuestos analíticos editables. Contexto documental en Parámetros, fila 60.</t>
  </si>
  <si>
    <t>… de abaste- cimiento, mes 3; disponibili- dad y calidad por confirmar con TI. V- 10 ¿Qué registros históricos permiten conocer la hora real de entrega y el monto esperado de rendición, y con qué confiabilidad? Línea base his- tórica de OTIF y cuadratura, separada de la medición futura. Desde marcha blan- ca, RF-06.06 captura la hora y RF-07.01 el monto esperado. Esto no reconstruye la historia anterior. OTIF conserva la definición de (La- froX, 2026a, Anexo 2.2, S-01), y RNG- 09; antecedentes y período de línea base pendientes de validación. Hora de entre- ga: Gerencias Comercial y de Operaciones (S-01); monto de rendición: Gerencia de Finanza …</t>
  </si>
  <si>
    <t>Registro adjunto: hoja Riesgos; ID R-007</t>
  </si>
  <si>
    <t>R-008</t>
  </si>
  <si>
    <t>… SpA Introducción al Modelo y gestión de datos disponibilidad y antigüedad, los 816.000 KB históricos de cartera no prueban que incluyan deuda viva anterior. La trazabilidad no se excluye sin perfilarla. Los datos que no se migren permanecen consultables bajo su retención, con manifiesto de origen y motivo, sin fabricar lotes, actores, eventos ni fechas. La Tabla 5.2 separa bytes de origen de almacenamiento estimado, KB y GB son decimales. Se asume provisionalmente serialización sin expansión ni compresión, los bytes transferidos se medirán y sustituirán ese supuesto en los ensayos. El factor 2 estima almacenamiento de destino, no volumen de r …</t>
  </si>
  <si>
    <t>Registro adjunto: hoja Riesgos; ID R-008</t>
  </si>
  <si>
    <t>R-009</t>
  </si>
  <si>
    <t>Subdocumento 4 / LAFROX-Subdocumento4-Anexos.pdf</t>
  </si>
  <si>
    <t>… error funcional va a excepción. No se escribe directamente en tablas del ERP . INT-07. Emisión y estados DTE --- ACL/M5. Modo síncrono para conocer el resultado documen- tal antes de liberar salida, con seguimiento asíncrono de estados. Volumen normal/peak: 3.071/5.703 mensajes/día, con factor de septiembre 1,857. Polling y reintentos se miden aparte. Contrapartes: emisor ERP y su canal SII. Se requiere servicio durante preparación y disponibi- lidad sin interrupción para las 96 salidas de 05:30–07:00. Timeout de llamada: 10 segundos, sin equiparar timeout a rechazo o autorización. Resultado incierto obliga a consultar la misma solicitud. La …</t>
  </si>
  <si>
    <t>Registro adjunto: hoja Riesgos; ID R-009</t>
  </si>
  <si>
    <t>La historia incompleta afecta reposición y migración de ventas; las excepciones revisables permiten acotar el efecto a ese dominio.</t>
  </si>
  <si>
    <t>R-010</t>
  </si>
  <si>
    <t>… Una entrega técnica no confirma el pedido ni permite superar su hora de corte. INT-09. Pasarela de pago --- M7. Modo síncrono. Volumen normal/peak: 2.800/5.200 mensa- jes/día como cota: a lo más un pago electrónico por entrega (1.400/2.600) y dos mensajes por pago, solicitud y respuesta. Los 11.800 cobros mensuales del caso son en efectivo y no miden pagos con tarjeta. Contraparte requerida 24 ×7, cubriendo el turno de reparto de hasta 14 horas. Timeout de 10 segundos. Si el resultado es incierto, se consulta por la misma clave antes de volver a cobrar. Sin respuesta no se registra autorización. Se ofrece efectivo o crédito previamente aproba …</t>
  </si>
  <si>
    <t>Alta: resolver al inicio</t>
  </si>
  <si>
    <t>Registro adjunto: hoja Riesgos; ID R-010</t>
  </si>
  <si>
    <t>Meses 1–12, perfilado de ventas y validación de reposición</t>
  </si>
  <si>
    <t>V-09 no acredita tres años utilizables o revela períodos incompletos</t>
  </si>
  <si>
    <t>Compartida: TI/abastecimiento y equipo de datos</t>
  </si>
  <si>
    <t>Alta tras extracción; baja antes de perfilar</t>
  </si>
  <si>
    <t>R-011</t>
  </si>
  <si>
    <t>R-003, R-007, R-008</t>
  </si>
  <si>
    <t>V-09 diferencia la obligación de migrar tres años de su disponibilidad y calidad real. Se estima 50% por esa incertidumbre explícita; no se afirma que la mitad de la historia esté dañada.</t>
  </si>
  <si>
    <t>Parámetros A61:F61; registro original R-004</t>
  </si>
  <si>
    <t>… del CLIENTE. Se concilia el resultado tardío para evitar cobro duplicado. INT-10. Mapas y geocodificación --- M4. Modo síncrono para consultas y asíncrono para cálculos extensos. Volumen normal/peak: 96/96 llamadas/día, con el mismo volumen en ambos escena- rios. Contraparte requerida 24×7, con planificación previa a la salida y apoyo en ruta. Timeout de 5 segundos para consulta. Trabajos largos tienen identificador y consulta de avance sin bloquear la API. Se conserva la ruta aprobada y cartografía precargada. La falta de proveedor impide nuevo cálculo que lo requiera, no borra la ruta vigente. Cuotas o error 429 aplican espera informada. La …</t>
  </si>
  <si>
    <t>Registro adjunto: hoja Riesgos; ID R-011</t>
  </si>
  <si>
    <t>R-012</t>
  </si>
  <si>
    <t>… ID Pregunta Efecto en el alcance Supuesto de oferta Responsable y momento V- 11 ¿Qué umbrales y duraciones de ex- cursión térmica aplica cada tipo de producto? Parámetros pendientes de RNG-04. El Anexo 2.2 del Subdocumento 2 (LafroX, 2026a, S- 04) y RNG-04 ya definen alerta para excursión menor y transitoria, y blo- queo preventivo para crítica y soste- nida; Calidad decide liberar, bloquear o rechazar. Los va- lores por producto siguen pendientes. Hasta su aprobación, toda lectura fuera del rango de almace- namiento declarado en la ficha del SKU se trata preventiva- mente como crítica; la marcha blanca no se cierra sin la matriz de paráme- t …</t>
  </si>
  <si>
    <t>Registro adjunto: hoja Riesgos; ID R-012</t>
  </si>
  <si>
    <t>Ampliar preparación de ventas, conciliar períodos y probar excepciones de reposición. 10 jornadas de datos y 5 de QA más probables (M).</t>
  </si>
  <si>
    <t>10 días más probables (M) para una extracción corregida y revisión con abastecimiento.</t>
  </si>
  <si>
    <t>Un paquete adicional para historia de ventas, con períodos tratados conjuntamente.</t>
  </si>
  <si>
    <t>R-013</t>
  </si>
  <si>
    <t>No incluye saneamiento sanitario ni cartera viva.</t>
  </si>
  <si>
    <t>Subdocumento 6 / LAFROX-Subdocumento6-Anexos.pdf</t>
  </si>
  <si>
    <t>Supuestos analíticos editables. Contexto documental en Parámetros, fila 61.</t>
  </si>
  <si>
    <t>… termógrafos y gateways IoT Operación de las aplicaciones y registro de frío CLIENTE, según la especificación 5.1.1. Arquitecto (especificación); SRE (recepción). Antes de cada ola; sensores antes de 6.5. Paquetes 6.5, 4.2.1. Actas 5.1.3 Sala técnica de Talca: UPS, generador, clima- tización de precisión, detección y extinción, racks y gabinetes de borde Recinto técnico del H3 LafroX, según la especificación 5.1.2. Arquitecto (especificación); SRE (recepción). Mes 5. Paquetes 6.1, 6.3, 6.6. Actas 5.1.3 y 6.1.5 Servidores, almace- namiento, firewalls, switches y mini-PC de borde Cómputo y red de los sitios LafroX, según la especificación 5.1.2. …</t>
  </si>
  <si>
    <t>Registro adjunto: hoja Riesgos; ID R-013</t>
  </si>
  <si>
    <t>R-014</t>
  </si>
  <si>
    <t>… LafroX (5.3.3). SRE. Antes del H3. Paquete 6.6. Contratos y equipos Acuerdos con los diez transportistas Uso de terminales y suplentes enrola- dos LafroX con el CLIENTE (5.4.1). Im- plantación. Antes del H6. Paquetes 4.2.1, ola de reparto. Diez acuerdos firmados Acta con el sindicato Terminales, GPS y cámaras CLIENTE y sindicato (5.4.2). Implan- tación. Antes del H6. Paquete 4.2.1. Acta firmada Custodia de fuentes Continuidad ante insolvencia o in- cumplimiento LafroX (5.4.4). Jefe de proyecto. An- tes del H4. Paquete 9.2. Contrato y primer depósito Servicio SOC 24×7, si se subcontrata Monitoreo de seguridad desde el mes 13 LafroX (8.1.5; RT- …</t>
  </si>
  <si>
    <t>Registro adjunto: hoja Riesgos; ID R-014</t>
  </si>
  <si>
    <t>R-015</t>
  </si>
  <si>
    <t>Subdocumento 4 / LAFROX-Formulario-T-11.pdf</t>
  </si>
  <si>
    <t>Líder de migración</t>
  </si>
  <si>
    <t>… Producto / servicio ofertado Ubicación / Lugar Cantidad Justificación B-03 — Termógrafos de camión ELA Innovation Blue PUCK T EN12830 o equivalente: registrador Bluetooth Low Energy certificado EN 12830:2018, de −40 a +85 °C con exactitud de ±0,5 °C entre 0 y 65 °C y de ±1 °C bajo 0 °C, memoria de 4.000 lecturas con marca de tiempo y control de integridad CRC16, IP68, carcasa apta para contacto con alimentos y batería interna de litio de hasta 10 años. Montaje fijo en la caja de frío, sin riesgo de caída en operación, accesorio: soporte de montaje, la compra exige el certificado de calibración EN 13486 Camiones con equipo de frío: 18 propios …</t>
  </si>
  <si>
    <t>Registro adjunto: hoja Riesgos; ID R-015</t>
  </si>
  <si>
    <t>R-016</t>
  </si>
  <si>
    <t>… la operación en terreno. 7.1.2.7 Fase 7. Capacitación y gestión del cambio La fase atiende la rotación del 38 % en preparación con capacitación continua del turno de noche; acompaña individualmente al personal con veinte o treinta años en la compañía; incorpora a los conductores externos en el andén; y transfiere conocimiento al equipo de TI del CLIENTE. La certificación de usuarios (cuenta 7.3) es una de las condiciones de cierre de cada marcha blanca. LafroX SpA Subdocumento 7 Media firma: Alex Aravena 22 …</t>
  </si>
  <si>
    <t>Registro adjunto: hoja Riesgos; ID R-016</t>
  </si>
  <si>
    <t>R-017</t>
  </si>
  <si>
    <t>… ID Pregunta Efecto en el alcance Supuesto de oferta Responsable y momento V- 14 ¿Cuál es la fecha efectiva de retiro del planificador y su disponibilidad para transferir y validar las reglas? Calendario de talleres y validaciones de S-16. (LafroX, 2026a, Anexo 2.2, S-16), compromete trans- ferencia temprana; LafroX propone ta- lleres en meses 1 a 3. Ante retiro an- ticipado, se valida con el ayudante y datos históricos; no confirma la fecha efectiva. Gerencia de Operaciones y planificador, mes 1. V- 15 ¿En qué condiciones contractuales se accede a la telemetría del tercero? Integración de M12. S-19. Jefe de TI, mes 2. V- 16 ¿Cuáles son las in …</t>
  </si>
  <si>
    <t>Registro adjunto: hoja Riesgos; ID R-017</t>
  </si>
  <si>
    <t>R-018</t>
  </si>
  <si>
    <t>Las diferencias sin explicación y ajuste aprobado impiden aceptar la carga de inventario afectada.</t>
  </si>
  <si>
    <t>… de trabajo 7. Capacitación y gestión del cambio 7.1 Capacitación por roles 7.1.1 Plan de capacitación por perfil: usuarios finales, avanzados, administradores, equipo técnico y soporte 7.1.2 Programa de capacitación continua del turno de noche por la rotación del 38 % 7.1.3 Procedimiento de incorporación de los conductores de los transportistas en el andén 7.1.4 Traspaso al equipo de TI de cuatro personas del CLIENTE 7.1.5 Materiales de capacitación: manuales por perfil, guías rápidas, preguntas frecuentes y videos tutoriales 7.1.6 Plataforma de autoformación en línea con registro de avance 7.2 Gestión del cambio 7.2.1 Acompañamiento del pers …</t>
  </si>
  <si>
    <t>Registro adjunto: hoja Riesgos; ID R-018</t>
  </si>
  <si>
    <t>R-019</t>
  </si>
  <si>
    <t>Subdocumento 6 / LAFROX-Subdocumento6.pdf</t>
  </si>
  <si>
    <t>… responsables de Puelche y a los demás interesados sobre los avances, facilita decisiones y da seguimiento a los compro- misos. Los acuerdos, decisiones y acciones se documentan con responsables y plazos. Los cambios que puedan afectar los compromisos se comunican oportunamente; antes de cada entrega se informa a los interesados pertinentes sobre cambios previstos, validaciones y apoyos requeridos, y las observaciones se registran y atienden, canalizando por solicitud de cambio las que excedan lo acordado. El Formulario T-9 contiene los destinatarios, las cadencias, los registros y la matriz detallada de comunicaciones. 6.1.3 Gestión de adquis …</t>
  </si>
  <si>
    <t>Registro adjunto: hoja Riesgos; ID R-019</t>
  </si>
  <si>
    <t>R-020</t>
  </si>
  <si>
    <t>Meses 11–15, antes de cada corte de inventario E1</t>
  </si>
  <si>
    <t>Diferencias sin causa ni ajuste aprobado en el acta previa al corte</t>
  </si>
  <si>
    <t>Reprocesar saldos, contrastar ajustes y repetir validación de inventario. El escenario más probable (M) son 8 jornadas de datos y 5 de QA.</t>
  </si>
  <si>
    <t>Compartida: bodega aprueba; LafroX verifica la carga</t>
  </si>
  <si>
    <t>7 días más probables (M) para resolución y un nuevo ensayo de corte.</t>
  </si>
  <si>
    <t>… Antes de usar cada producto. Paquetes 3.1 a 3.6. Registro de licen- cias Fibra óptica de Talca y Concepción Enlace principal LafroX (5.3.1). SRE. Antes del H3. Paquete 6.6. Contrato y fecha de instalación Planes LTE de dos pro- veedores Respaldo de enlace LafroX (5.3.2). SRE. Antes del H3. Paquete 6.6. Contratos Starlink de las tres plataformas Enlace de los cross-docking LafroX (5.3.3). SRE. Antes del H3. Paquete 6.6. Contratos y equipos Acuerdos con los diez transportistas Uso de terminales y suplentes enrola- dos LafroX con el CLIENTE (5.4.1). Im- plantación. Antes del H6. Paquetes 4.2.1, ola de reparto. Diez acuerdos firmados Acta con el …</t>
  </si>
  <si>
    <t>Alta: conteo y conciliación cuantifican diferencias</t>
  </si>
  <si>
    <t>Registro adjunto: hoja Riesgos; ID R-020</t>
  </si>
  <si>
    <t>Una bolsa agregada de conciliaciones extraordinarias de inventario E1.</t>
  </si>
  <si>
    <t>R-003, R-019</t>
  </si>
  <si>
    <t>Excluye pérdidas valorizadas de stock y limpieza de vínculos sanitarios de R-003.</t>
  </si>
  <si>
    <t>El SD3 exige investigar y justificar ajustes; el 2,3% es línea base del problema y no tolerancia de migración. Se estima 55% por diferencias conocidas y necesidad de aprobación, sin convertir ese 2,3% en probabilidad.</t>
  </si>
  <si>
    <t>R-021</t>
  </si>
  <si>
    <t>Parámetros A62:F62; registro original R-005</t>
  </si>
  <si>
    <t>Supuestos analíticos editables. Contexto documental en Parámetros, fila 62.</t>
  </si>
  <si>
    <t>… y telemetría crítica, la oficina cede capacidad. Talca lo alimenta con UPS y generador y Concepción con UPS. La tarifa plana no aumenta por mantener encendido el terminal. Evidencia exigida. Inyección de fallas por camino y medición de retraso, conmutación y RPO en AL-DR-01. Requisitos que la sustentan. RT-03.10, RT-07.04; Caso, continuidad de sitios. ADR-03. Modelo híbrido y topología de sitios Decisión adoptada. Cada sitio conserva autoridad sobre sus movimientos con el mismo perfil wms_only. N-04/N-05 consolidan stock y reservas en la nube. Alternativas evaluadas. Una autoridad única en Talca crea dependencia W AN, un perfil reducido en cr …</t>
  </si>
  <si>
    <t>Registro adjunto: hoja Riesgos; ID R-021</t>
  </si>
  <si>
    <t>R-022</t>
  </si>
  <si>
    <t>Subdocumento 4 / LAFROX-Subdocumento4.pdf</t>
  </si>
  <si>
    <t>… de M9 y sus ensayos. El artículo 23 de las Bases Administrativas sujeta la residencia declarada a aprobación del CLIENTE (Bases Administrativas, art. 23, p. 17), hito contractual de la Etapa 1. La propuesta declara sa-east-1 y us-east-1, y presenta para esa aprobación la base de licitud, el contrato de encargo y los resguardos descritos. Se elige us-east-1 porque ofrece todos los servicios de recuperación del diseño: Aurora Global Database, DynamoDB Global Tables, replicación de S3, ECS Fargate y A WS Backup. Una sola región no permite recuperarse de su propia pérdida con un RTO de 4 horas y un RPO de 15 minutos. 4.3.2.3 Replicación La replic …</t>
  </si>
  <si>
    <t>Registro adjunto: hoja Riesgos; ID R-022</t>
  </si>
  <si>
    <t>R-023</t>
  </si>
  <si>
    <t>… comunica al CLIENTE el mismo día en que detecta el conflicto y le solicita un cambio de emergencia, con la evidencia del plazo y de la contención aplicada. Con autorización escrita del CLIENTE, el cambio se ejecuta por el mismo pipeline, con reversión preparada y fuera de la ventana de despacho. Si el CLIENTE no lo autoriza, LafroX mantiene la contención, registra la aceptación del riesgo por parte del CLIENTE y remedia en la primera fecha habili- tada. El plazo que se exceda por esa decisión queda trazado como decisión del CLIENTE. El presupuesto de error de cada servicio crítico es el complemento de su disponibilidad de 99,9 % mensual, unos …</t>
  </si>
  <si>
    <t>Registro adjunto: hoja Riesgos; ID R-023</t>
  </si>
  <si>
    <t>R-024</t>
  </si>
  <si>
    <t>… Identidad, configuración, integraciones y monitoreo Privilegio temporal con MFA, sin permisos de negocio 1 Gerente de Operaciones Consola operacional, M2/M4/M5/M6 Supervisar despacho y excepciones Sitio, no omite guía ni Calidad 1 Jefa de Bodega Consola de bodega, M1/M2/M5/M8 Recepción, inventario, FEFO, preparación y retornos Sitio, ajustes justificados 1 Fuente: elaboración a partir del apartado 3.4.2 y del Anexo 3.I del Subdocumento 3. Diseño propuesto: LafroX (2026e, diseño de este apartado, pp. 34–43). Recepción, despacho, catálogo, abastecimiento y Tesorería son funciones de personas nominadas con permisos específicos en los perfiles de …</t>
  </si>
  <si>
    <t>Registro adjunto: hoja Riesgos; ID R-024</t>
  </si>
  <si>
    <t>R-025</t>
  </si>
  <si>
    <t>… el control y el protocolo AL-DTE-01. El ERP sigue siendo el único emisor. INT-08. Cadenas del canal moderno --- M11. Modo asíncrono EDI. El MDN es acuse de transporte, separado de la respuesta comercial. Desde enero de 2029 opera todos los días: 616/1.144 mensajes/día (1.400 y 2.600 pedidos × 11 % × 4 intercambios). Hoy el volumen es 0. Contraparte requerida 24×7, con cortes de recepción y ventanas de entrega específicos de cada cadena, que deben figurar en su acuerdo. Timeout inicial de transporte: 30 segundos. MDN asíncrono esperado en 15 minutos como umbral de alerta propuesto, no SLA de la cadena. OpenAS2 conserva identificador y evidenci …</t>
  </si>
  <si>
    <t>Registro adjunto: hoja Riesgos; ID R-025</t>
  </si>
  <si>
    <t>R-026</t>
  </si>
  <si>
    <t>… — continuación ID Componente Capacidad Contrato Realización física y límite DEV-MDM Gestión de terminales seguridad Enrolamien- to N-13 en nube y agentes en C-01/C-02/C-03. Política y borrado Fuente: elaboración a partir de PUCV (2026b, secciones 14.1–14.2 y 16.1, pp. 24–25 y 28–29), para volumetría y decisiones abiertas, y LafroX (2026e, diseño de este apartado, pp. 34–43). Correspondencia de actores y permisos del sistema La Tabla A.17 realiza el catálogo de quince actores del apartado 3.4.2 del Subdocumento 3. Cada acción se autoriza por separado sobre el ámbito indicado. Ni el cargo ni el acceso a una consola conceden todos los permisos d …</t>
  </si>
  <si>
    <t>Registro adjunto: hoja Riesgos; ID R-026</t>
  </si>
  <si>
    <t>R-027</t>
  </si>
  <si>
    <t>M8 requiere saldos aceptados para sus pruebas; el problema se limita a la carga de envases por cliente y transportista.</t>
  </si>
  <si>
    <t>… no un servicio adicional. Canales públicos web y aplicaciones CloudFront (CDN) WAF + Shield (OWASP + DDoS) TLS 1.3 HSTS API Gateway VPC Link → ALB privado Firewall/UTM con IPS (por cada sitio on-premise) AWS IoT Greengrass (borde de frío) API local WMS verificador local Greengrass: borde de frío. Su procesamiento se relaciona con eventos y datos. No es una etapa de autenticación. Route 53 DNS de acceso Figura 3 Borde: entradas públicas, privadas y locales Fuente: elaboración a partir de PUCV (2026a, sección 2.1, pp. 6–7), para los requisitos de capas, y LafroX (2026d, diseño de este apartado, pp. 11–51). LafroX SpA Propuesta Técnica Media fir …</t>
  </si>
  <si>
    <t>Registro adjunto: hoja Riesgos; ID R-027</t>
  </si>
  <si>
    <t>R-028</t>
  </si>
  <si>
    <t>Preparar conciliación de saldos de envases y validarla con Finanzas. El escenario más probable (M) son 7 jornadas de datos y 4 funcionales.</t>
  </si>
  <si>
    <t>7 días más probables (M) por una ronda de aclaraciones y aceptación del saldo.</t>
  </si>
  <si>
    <t>Una conciliación inicial agregada de M8.</t>
  </si>
  <si>
    <t>Excluye valor de los envases, serialización individual y saldos de inventario de R-005.</t>
  </si>
  <si>
    <t>Meses 9–15, carga de M8 antes de la ola de reparto</t>
  </si>
  <si>
    <t>… Cantidad Justificación N-11 — Respaldo inmutable y réplica A WS Backup con Vault Lock, S3 Object Lock y replicación de S3 entre regiones sa-east-1 y us-east-1 1 política Mantiene la copia inmutable del esquema 3-2-1-1-0 y la réplica de recuperación (ADR-09 y ADR-18, Anexo 4-O). La frecuencia, la retención y el tiempo de restauración por dominio de datos (RT-07.13, Bases Técnicas Transversales, cap. 7, p. 18) son los de la tabla de respaldo y restauración por dominio de datos del Subdocumento 4 (apartado 4.2.4). N-12 — Seguridad y gobierno KMS, Secrets Manager, Parameter Store, IAM Identity Center, Shield Advanced, GuardDuty Runtime Monitoring …</t>
  </si>
  <si>
    <t>No existe saldo inicial aceptado por cliente y transportista</t>
  </si>
  <si>
    <t>Registro adjunto: hoja Riesgos; ID R-028</t>
  </si>
  <si>
    <t>Compartida con Finanzas y Operaciones</t>
  </si>
  <si>
    <t>Media: disponibilidad de registros no demuestra conciliabilidad</t>
  </si>
  <si>
    <t>Supuestos analíticos editables. Contexto documental en Parámetros, fila 63.</t>
  </si>
  <si>
    <t>R-005, R-019</t>
  </si>
  <si>
    <t>V-08 deja por validar los antecedentes y la necesidad del conteo inicial. Se adopta 50% por ausencia de conciliación confirmada, sin asumir que todos los cuadernos sean inutilizables.</t>
  </si>
  <si>
    <t>R-029</t>
  </si>
  <si>
    <t>Parámetros A63:F63; registro original R-006</t>
  </si>
  <si>
    <t>… y acompañamiento. Las cuatro semanas finales requieren todos los grupos y todo el volumen real, no una muestra. E2 habilita todas las cadenas del alcance, portales y costo de servir antes de F − 28 días y, en el ejemplo febrero 2027, antes de septiembre. La carga manual de pedidos mantiene contingencia auxiliar y no acredita intercambio electrónico ni permite excluir una cadena faltante. La reversión tiene dos niveles, que la Tabla 7.8 distingue. Tabla 7.8 Niveles de reversión. Fuente: elaboración a partir de LafroX (2026k, SD3, sec. 3.4.4); LafroX (2026m, SD4, apartados 4.2.4.1.2 y 4.1.8); y LafroX (2026s, T-18). Nivel Qué hace Quién decide …</t>
  </si>
  <si>
    <t>Registro adjunto: hoja Riesgos; ID R-029</t>
  </si>
  <si>
    <t>Evento tomado del registro; el PDF solo respalda necesidad de repetir pruebas. Contexto documental. Probabilidad, HH, demora y recurrencia son estimaciones de este análisis; no están medidas en el documento.</t>
  </si>
  <si>
    <t>R-030</t>
  </si>
  <si>
    <t>Registro adjunto: hoja Riesgos; ID R-030</t>
  </si>
  <si>
    <t>R-031</t>
  </si>
  <si>
    <t>Registro adjunto: hoja Riesgos; ID R-031</t>
  </si>
  <si>
    <t>R-032</t>
  </si>
  <si>
    <t>Líder funcional</t>
  </si>
  <si>
    <t>… de noche por la rotación del 38 % 7.1.3 Procedimiento de incorporación de los conductores de los transportistas en el andén 7.1.4 Traspaso al equipo de TI de cuatro personas del CLIENTE 7.1.5 Materiales de capacitación: manuales por perfil, guías rápidas, preguntas frecuentes y videos tutoriales 7.1.6 Plataforma de autoformación en línea con registro de avance 7.2 Gestión del cambio 7.2.1 Acompañamiento del personal con 20 o 30 años en la compañía 7.2.2 Gestión del cambio con las cadenas y los transportistas 7.2.3 Diagnóstico del impacto organizacional por área y perfil, con agentes de cambio 7.2.4 Procedimientos operativos afectados, rediseñ …</t>
  </si>
  <si>
    <t>Registro adjunto: hoja Riesgos; ID R-032</t>
  </si>
  <si>
    <t>R-033</t>
  </si>
  <si>
    <t>… requeridos, y las observaciones se registran y atienden, canalizando por solicitud de cambio las que excedan lo acordado. El Formulario T-9 contiene los destinatarios, las cadencias, los registros y la matriz detallada de comunicaciones. 6.1.3 Gestión de adquisiciones La gestión de adquisiciones planifica y controla las compras y contrataciones según las necesidades, dependencias y cronograma. El CLIENTE compra el equipamiento de terreno conforme a las especificaciones de LafroX; para los equipos de la sala técnica, incluidos racks, servidores y equipos de borde, T-14 asigna a LafroX la orden de compra en el mes 2 y la instalación en el mes 3 …</t>
  </si>
  <si>
    <t>Registro adjunto: hoja Riesgos; ID R-033</t>
  </si>
  <si>
    <t>R-034</t>
  </si>
  <si>
    <t>… registros de temperatura y de trazabilidad de lote que el caso exige retener cinco años (Bases Técnicas del caso, cap. 15, p. 26). La base de licitud, los resguardos de tratamiento y la garantía de continuidad ante las decisiones de residencia del CLIENTE se desarrollan en la sección 4.3.2. 4.2.3.3 Servicios que no se contratan Los registros de decisión descartan de forma expresa los siguientes servicios y productos, que no aparecen en la arquitectura: • No se instala Redis ni Laravel Horizon en los sitios, porque la continuidad local descansa en PostgreSQL y RabbitMQ, y un tercer motor por sitio agregaría operación sin beneficio. • No se con …</t>
  </si>
  <si>
    <t>Registro adjunto: hoja Riesgos; ID R-034</t>
  </si>
  <si>
    <t>Perfilar únicamente horas y montos de referencia, acordar conjunto y período y documentar restricciones. 8 jornadas de datos y 4 funcionales más probables (M).</t>
  </si>
  <si>
    <t>La ausencia de horas y montos históricos afecta la comparación de OTIF/cuadratura, sin eliminar la captura futura de entregas.</t>
  </si>
  <si>
    <t>10 días más probables (M) para seleccionar y aprobar un conjunto histórico verificable.</t>
  </si>
  <si>
    <t>Recurso</t>
  </si>
  <si>
    <t>Localización</t>
  </si>
  <si>
    <t>Uso</t>
  </si>
  <si>
    <t>Datos trasladados</t>
  </si>
  <si>
    <t>Una revisión agregada de las dos líneas base.</t>
  </si>
  <si>
    <t>PDF de gestión de riesgos</t>
  </si>
  <si>
    <t>Excluye limpieza de ventas de R-004 y pérdidas de caja del cliente.</t>
  </si>
  <si>
    <t>FEP04.26 - Gestión de los Riesgos en Proyectos TIC 2.pdf</t>
  </si>
  <si>
    <t>Método y escalas; ver nota 01</t>
  </si>
  <si>
    <t>Ninguna cifra del caso de ejemplo</t>
  </si>
  <si>
    <t>Plantilla Word</t>
  </si>
  <si>
    <t>TFEP03.26_Plantillas (1).docx</t>
  </si>
  <si>
    <t>Estructuras adaptadas; ver nota 02</t>
  </si>
  <si>
    <t>Ningún costo, precio ni cantidad de riesgos del ejemplo</t>
  </si>
  <si>
    <t>Excel de riesgos</t>
  </si>
  <si>
    <t>LafroX_registro_riesgos_R001-R039 .xlsm / Riesgos</t>
  </si>
  <si>
    <t>Supuestos analíticos editables. Contexto documental en Parámetros, fila 64.</t>
  </si>
  <si>
    <t>Registro original de 34 IDs</t>
  </si>
  <si>
    <t>Texto íntegro de R-001 a R-034</t>
  </si>
  <si>
    <t>Antecedentes proyecto</t>
  </si>
  <si>
    <t>PDFs directos citados por ID; SD7 p.6 y p.23 para horizonte</t>
  </si>
  <si>
    <t>Contexto, requisitos y controles ofertados</t>
  </si>
  <si>
    <t>No se transfieren valoraciones de SD8</t>
  </si>
  <si>
    <t>Meses 1–3, definición y validación de las líneas base históricas</t>
  </si>
  <si>
    <t>Revisión de entradas</t>
  </si>
  <si>
    <t>V-10 no obtiene horas o montos históricos verificables</t>
  </si>
  <si>
    <t>Compartida con Comercial, Operaciones y Finanzas</t>
  </si>
  <si>
    <t>Probabilidades numéricas</t>
  </si>
  <si>
    <t>Media: requiere verificar origen de los registros</t>
  </si>
  <si>
    <t>R-004, R-019</t>
  </si>
  <si>
    <t>V-10 declara que la captura futura no reconstruye la historia. Se estima 55% por incertidumbre explícita sobre confiabilidad; no se usa el OTIF actual como frecuencia de fallo de evidencia.</t>
  </si>
  <si>
    <t>Parámetros A64:F64; registro original R-007</t>
  </si>
  <si>
    <t>Impactos calculados</t>
  </si>
  <si>
    <t>Picos de esfuerzo y demora ordenados</t>
  </si>
  <si>
    <t>Cobertura IDs</t>
  </si>
  <si>
    <t>Extraer la cartera viva adicional, transformar documentos y probar su conciliación. 6 jornadas de datos y 3 de QA más probables (M).</t>
  </si>
  <si>
    <t>5 días más probables (M) para extracción complementaria y firma de conciliación.</t>
  </si>
  <si>
    <t>Un lote adicional agregado de cartera, no una multiplicación por facturas desconocidas.</t>
  </si>
  <si>
    <t>Fuente del monto contractual</t>
  </si>
  <si>
    <t>No incorpora el importe de la deuda como pérdida ni duplica ventas de R-004.</t>
  </si>
  <si>
    <t>Pendiente en los antecedentes técnicos revisados</t>
  </si>
  <si>
    <t>Reserva aprobada</t>
  </si>
  <si>
    <t>No: estimación analítica pendiente de validación del equipo</t>
  </si>
  <si>
    <t>Supuestos analíticos editables. Contexto documental en Parámetros, fila 65.</t>
  </si>
  <si>
    <t>El conjunto adicional debe integrarse para completar cartera; el efecto se concentra en extracción, transformación y conciliación de ese dominio.</t>
  </si>
  <si>
    <t>Meses 3–12, perfilado y conciliación de cartera migrada</t>
  </si>
  <si>
    <t>Documentos todavía vigentes quedan fuera del volumen histórico previsto</t>
  </si>
  <si>
    <t>Compartida con Finanzas y TI del cliente</t>
  </si>
  <si>
    <t>Media: requiere comparar universo vivo y extracto</t>
  </si>
  <si>
    <t>La carga debe conciliarse por dominio y la cartera operativa conserva deuda vigente. Se estima 35% como posibilidad de subcobertura del extracto; el volumen adicional no está medido.</t>
  </si>
  <si>
    <t>Parámetros A65:F65; registro original R-008</t>
  </si>
  <si>
    <t>Líder de operación / SRE</t>
  </si>
  <si>
    <t>Atender cada episodio, verificar la cola, consultar el resultado y conciliar sin duplicar documentos. 3 HH SRE y 2 HH de integración más probables (M) por episodio.</t>
  </si>
  <si>
    <t>0,5 día más probable (M) por episodio, separado de la atención efectiva; el ERP/SII determina la resolución externa.</t>
  </si>
  <si>
    <t>6 episodios condicionados a que haya al menos uno en 36 meses; supuesto de un episodio por semestre activo, no frecuencia observada.</t>
  </si>
  <si>
    <t>Sin importe de documentos tributarios, impuestos ni indisponibilidad ya incluida en la conectividad de R-020.</t>
  </si>
  <si>
    <t>Supuestos analíticos editables. Contexto documental en Parámetros, fila 66.</t>
  </si>
  <si>
    <t>Un trámite no confirmado queda pendiente de consulta y conciliación; no se considera aprobado por silencio externo.</t>
  </si>
  <si>
    <t>Al disparador: atención operacional</t>
  </si>
  <si>
    <t>Meses 21–56, operación; vigilar también en pruebas E1</t>
  </si>
  <si>
    <t>Trámite tributario permanece pendiente de respuesta externa</t>
  </si>
  <si>
    <t>Tercero; LafroX controla colas, trazabilidad y consulta</t>
  </si>
  <si>
    <t>Alta: pendientes, reintentos y alarmas observables</t>
  </si>
  <si>
    <t>R-019, R-020</t>
  </si>
  <si>
    <t>El ERP es el emisor y la integración no puede tratar silencio del SII como aprobación. Se estima 50% de al menos un incidente con atención extra en 36 meses; sin estadísticas de disponibilidad aportadas.</t>
  </si>
  <si>
    <t>Parámetros A66:F66; registro original R-009</t>
  </si>
  <si>
    <t>Investigar el estado con el proveedor, conciliar y probar que no se duplique el cobro. 4 HH de integración y 2 HH de QA más probables (M) por episodio.</t>
  </si>
  <si>
    <t>1 día más probable (M) por episodio para confirmación externa y cierre, sin suponer pérdida financiera.</t>
  </si>
  <si>
    <t>4 episodios condicionados en 36 meses; supuesto de baja frecuencia de escalamiento extraordinario.</t>
  </si>
  <si>
    <t>Excluye montos cobrados, pérdidas de caja y timeouts causados por R-020.</t>
  </si>
  <si>
    <t>Supuestos analíticos editables. Contexto documental en Parámetros, fila 67.</t>
  </si>
  <si>
    <t>El resultado incierto del POS exige conciliación antes de resolver el pago; la misma clave y la alternativa autorizada acotan el efecto.</t>
  </si>
  <si>
    <t>Registro original de riesgos LafroX</t>
  </si>
  <si>
    <t>34 registros originales. Se conservan enunciados, títulos y observaciones sin correcciones.</t>
  </si>
  <si>
    <t>Meses 21–56, operación POS; validar en E1</t>
  </si>
  <si>
    <t>Título original</t>
  </si>
  <si>
    <t>Timeout con estado del cargo desconocido por la misma clave</t>
  </si>
  <si>
    <t>Compartida con proveedor POS; control de conciliación local</t>
  </si>
  <si>
    <t>Rama de la RBS</t>
  </si>
  <si>
    <t>Alta: estado incierto y claves permiten detectar el caso</t>
  </si>
  <si>
    <t>R-020, R-024</t>
  </si>
  <si>
    <t>INT-09 exige consultar la misma clave, no autorizar sin respuesta y conciliar resultados tardíos. Se estima 45% de al menos un episodio extraordinario en 36 meses, considerando esos controles.</t>
  </si>
  <si>
    <t>Descripción unificada original</t>
  </si>
  <si>
    <t>Parámetros A67:F67; registro original R-010</t>
  </si>
  <si>
    <t>Por qué compete a LafroX</t>
  </si>
  <si>
    <t>Cadena comercial no completa oportunamente su certificación EDI</t>
  </si>
  <si>
    <t>Diagnosticar proveedor, preservar ruta aprobada y verificar recuperación de consultas y cálculo. 3 HH SRE y 2 HH de integración más probables (M) por episodio.</t>
  </si>
  <si>
    <t>Integración y legado</t>
  </si>
  <si>
    <t>0,5 día más probable (M) por episodio; no implica detener todo el reparto ni borrar rutas existentes.</t>
  </si>
  <si>
    <t>La habilitación EDI de cada cadena depende de su participación y certificación externa, necesarias antes del período final de evidencia de E2. Durante la integración con una cadena incluida en el alcance, su participación o certificación externa podría no concretarse antes de la activación necesaria para las cuatro semanas finales de marcha blanca de E2. LafroX no podría acreditar completo el intercambio electrónico exigido para el cierre de esa etapa y tendría que reprogramar pruebas y coordinación.</t>
  </si>
  <si>
    <t>3 episodios extraordinarios condicionados en 36 meses, estimación sin SLA histórico aportado.</t>
  </si>
  <si>
    <t>Afecta la certificación y aceptación de la entrega de LafroX, no solamente las ventas de Puelche.</t>
  </si>
  <si>
    <t>Excluye pérdidas comerciales y errores originados exclusivamente en el enlace de R-020.</t>
  </si>
  <si>
    <t>Defectos de historia sanitaria de origen impiden cerrar una carga</t>
  </si>
  <si>
    <t>Supuestos analíticos editables. Contexto documental en Parámetros, fila 68.</t>
  </si>
  <si>
    <t>Solución y tecnología</t>
  </si>
  <si>
    <t>La migración sanitaria utiliza antecedentes del ERP, WMS y planillas cuya completitud y vinculación histórica deben comprobarse con evidencia de origen. Al preparar una carga de historia sanitaria del ERP, WMS o planillas, los datos recibidos podrían contener faltantes de lote o vínculos históricos que no sea posible resolver con evidencia de origen. Los conjuntos afectados quedarían pendientes de decisión documentada y conciliación, añadiendo trabajo de saneamiento a LafroX y condicionando la aceptación de esa carga.</t>
  </si>
  <si>
    <t>El saneamiento, la trazabilidad de lo migrado y la evidencia de aceptación son entregables del equipo de datos de LafroX.</t>
  </si>
  <si>
    <t>Historial de ventas no utilizable para la carga y reposición previstas</t>
  </si>
  <si>
    <t>La migración y la reposición dependen de la extensión y calidad efectiva del historial de ventas disponible en el ERP. Al extraer del ERP el historial requerido para migración y reposición, podrían recibirse períodos incompletos o datos cuya calidad no permita utilizarlos directamente. LafroX tendría que ampliar la preparación y conciliación de la carga y el tratamiento de las excepciones de reposición antes de demostrar los resultados requeridos.</t>
  </si>
  <si>
    <t>Afecta el trabajo de migración y la verificación funcional de reposición a cargo de LafroX.</t>
  </si>
  <si>
    <t>Diferencias de inventario sin resolver antes del corte de migración</t>
  </si>
  <si>
    <t>Operación del cliente</t>
  </si>
  <si>
    <t>La aceptación del inventario migrado requiere conciliar los saldos legados con el conteo físico y contar con explicaciones y ajustes aprobados antes del corte. Antes de un corte, la conciliación del saldo legado con el conteo físico podría detectar diferencias que no cuenten con explicación y ajuste aprobados a tiempo. LafroX tendría que repetir saneamiento y validación, y la carga afectada no podría superar su condición de aceptación hasta resolverlas.</t>
  </si>
  <si>
    <t>La conciliación y el acta de corte forman parte de la implantación y migración que entrega LafroX.</t>
  </si>
  <si>
    <t>Saldo inicial de envases no conciliable al preparar la carga de M8</t>
  </si>
  <si>
    <t>La carga inicial de M8 requiere saldos de envases por cliente y transportista sustentados en antecedentes conciliables del cliente. Al preparar la carga inicial de M8, los antecedentes entregados por el cliente podrían no permitir determinar un saldo conciliado de envases por cliente y transportista. LafroX tendría que repetir preparación y validación de la carga con Finanzas y no podría demostrar el funcionamiento con saldos iniciales aceptados mientras ese dato de partida siga pendiente.</t>
  </si>
  <si>
    <t>Compromete la preparación y prueba del dominio de envases que debe habilitar LafroX.</t>
  </si>
  <si>
    <t>Historia de origen insuficiente para sustentar las líneas base de aceptación</t>
  </si>
  <si>
    <t>Las comparaciones históricas de aceptación dependen de horas verificables de entrega y montos esperados de rendición que la captura futura no reconstruye. Al validar los antecedentes históricos que se usarán en la aceptación, podrían faltar horas verificables de entrega o montos esperados de rendición. LafroX no podría respaldar con esos registros las comparaciones de OTIF o cuadratura y tendría que repetir la validación del conjunto y período de referencia con las áreas del cliente.</t>
  </si>
  <si>
    <t>Afecta las evidencias y mediciones que LafroX necesita presentar para demostrar los resultados de la solución.</t>
  </si>
  <si>
    <t>Deuda viva adicional a la cartera incluida en la volumetría provisional</t>
  </si>
  <si>
    <t>El volumen histórico utilizado para estimar la carga de cartera no acredita que incluya todos los documentos de deuda todavía vigente. Durante el perfilado de la cartera, podrían identificarse documentos de deuda todavía vigente que no estén comprendidos en el volumen histórico usado para estimar la carga. LafroX tendría que extraer, transformar y conciliar ese conjunto adicional, aumentando el trabajo y el volumen de transferencia antes de cerrar la migración de cartera.</t>
  </si>
  <si>
    <t>Afecta la carga completa de cartera y las tareas de datos y ensayo de LafroX.</t>
  </si>
  <si>
    <t>El Servicio de Impuestos Internos no responde y deja pendiente un trámite tributario</t>
  </si>
  <si>
    <t>La solución envía trámites tributarios por el sistema de gestión actual del cliente y necesita la respuesta del Servicio de Impuestos Internos (SII) para conocer su resultado. Mientras se tramita uno de esos documentos, el SII podría no responder. El trámite quedaría sin confirmación. LafroX tendría que mantenerlo identificado como pendiente, seguir la incidencia y comprobar su resultado al reintentar la comunicación. Esto podría retrasar el cierre del proceso, pero la falta de respuesta no equivale a una aprobación.</t>
  </si>
  <si>
    <t>LafroX debe dar seguimiento a los trámites que pasan por la integración y verificar su resultado antes de cerrar el proceso.</t>
  </si>
  <si>
    <t>POS deja un pago sin resultado externo comprobable</t>
  </si>
  <si>
    <t>La caída impide nuevos cálculos que requieren mapas, mientras la ruta aprobada y la cartografía precargada permiten continuidad parcial.</t>
  </si>
  <si>
    <t>La integración de pagos depende de la respuesta del POS del tercero; un timeout no permite concluir que el cargo fue rechazado. Después de enviar una autorización de pago, el POS del tercero podría agotar el tiempo de respuesta sin permitir comprobar si hubo cargo. El intercambio quedaría incierto y LafroX tendría que investigar y conciliar el estado de la integración con la contraparte financiera antes de dar por resuelta la incidencia.</t>
  </si>
  <si>
    <t>Concierne al estado técnico y trazabilidad del flujo POS integrado por LafroX; no se le atribuye la custodia del dinero ni la autorización financiera.</t>
  </si>
  <si>
    <t>La caída del servicio externo de mapas impide consultar ubicaciones y completar la planificación de rutas</t>
  </si>
  <si>
    <t>Durante la operación, el servicio externo de mapas podría dejar de estar disponible, provocando que las solicitudes de consulta de ubicaciones y planificación de rutas no puedan completarse mientras dure la interrupción. LafroX podría experimentar retrasos o interrupciones en la planificación de rutas que dependa del servicio. Tendría que atender el incidente, verificar la recuperación del servicio y aplicar las medidas de continuidad previstas cuando corresponda.</t>
  </si>
  <si>
    <t>LafroX mantiene la integración con el servicio de mapas y debe atender sus fallos; el efecto no se limita a una decisión de ruta del cliente.</t>
  </si>
  <si>
    <t>Reagendar validación, ajustar parámetros aprobados y repetir pruebas térmicas. 5 jornadas funcionales y 4 de QA más probables (M).</t>
  </si>
  <si>
    <t>Meses 21–56, operación de consulta y nuevos cálculos de rutas</t>
  </si>
  <si>
    <t>10 días más probables (M) para decisión de Calidad y repetición del conjunto de pruebas.</t>
  </si>
  <si>
    <t>Una aprobación agregada de matriz por producto.</t>
  </si>
  <si>
    <t>No incluye daño de alimentos ni desarrollo de una regla térmica nueva.</t>
  </si>
  <si>
    <t>Calidad no entrega la matriz térmica aprobada antes de certificar</t>
  </si>
  <si>
    <t>La certificación de la parametrización térmica requiere una matriz de umbrales y duraciones por producto aprobada por Calidad del cliente. Antes de cerrar las pruebas y la marcha blanca de los productos afectados, Calidad del cliente podría no haber aprobado la matriz de umbrales y duraciones por producto. LafroX no podría completar la evidencia de parametrización y aceptación de ese alcance y tendría que reprogramar sus validaciones.</t>
  </si>
  <si>
    <t>La matriz es una entrada necesaria para las pruebas y la aceptación del alcance que entrega LafroX.</t>
  </si>
  <si>
    <t>Supuestos analíticos editables. Contexto documental en Parámetros, fila 69.</t>
  </si>
  <si>
    <t>Equipos que compra el cliente no llegan antes de la ola prevista</t>
  </si>
  <si>
    <t>Consultas o trabajos nuevos de mapas no completan por caída del proveedor</t>
  </si>
  <si>
    <t>Tercero; LafroX conserva rutas y gestiona continuidad</t>
  </si>
  <si>
    <t>Alta: errores y tiempos de respuesta de INT-10</t>
  </si>
  <si>
    <t>El cliente compra el equipamiento de terreno conforme a la especificación de LafroX y debe disponer de él antes de cada ola. Pese a contar con la especificación de LafroX, el cliente o su proveedor podrían no entregar el equipamiento de terreno antes de la ola programada. LafroX no podría ejecutar con esos equipos la instalación y las pruebas previstas, teniendo que reprogramar despliegue y acompañamiento dentro de los hitos vigentes.</t>
  </si>
  <si>
    <t>R-020, R-019</t>
  </si>
  <si>
    <t>INT-10 conserva ruta aprobada y cartografía precargada; la falta de proveedor afecta nuevos cálculos que lo requieren. Se adopta 40% en 36 meses, con impacto acotado por esa continuidad.</t>
  </si>
  <si>
    <t>Afecta directamente instalación, pruebas y planificación de recursos de LafroX, aunque el comprador sea el cliente.</t>
  </si>
  <si>
    <t>Parámetros A68:F68; registro original R-011</t>
  </si>
  <si>
    <t>Un transportista no firma a tiempo el acuerdo necesario para incorporarlo al reparto</t>
  </si>
  <si>
    <t>Personas y adopción</t>
  </si>
  <si>
    <t>Antes de incorporar a una empresa transportista al nuevo proceso de reparto, debe estar firmado su acuerdo operativo. Una de las empresas transportistas podría no firmar el acuerdo antes de la ola de implantación en la que estaba prevista. Sus conductores no podrían incorporarse ni completar las pruebas en esa ola. LafroX tendría que reorganizar la capacitación y las pruebas, y quedaría pendiente demostrar la cobertura de ese transportista.</t>
  </si>
  <si>
    <t>El acuerdo firmado permite que LafroX incorpore, capacite y pruebe a los conductores de esa empresa.</t>
  </si>
  <si>
    <t>Un transportista no permite instalar el equipo que registra la temperatura de su camión</t>
  </si>
  <si>
    <t>La solución prevé instalar un termógrafo, equipo que registra la temperatura, en camiones refrigerados de terceros. Para hacerlo se necesita acceso al vehículo y autorización de su propietario. Al preparar una ruta refrigerada, la empresa dueña del camión podría negar el acceso o la autorización para instalar ese equipo. LafroX no podría instalarlo ni integrarlo antes de incorporar esa ruta. La evidencia de temperatura que debía obtenerse mediante el equipo quedaría pendiente de una solución acordada y comprobada.</t>
  </si>
  <si>
    <t>LafroX especifica e integra el equipo, aunque su compra corresponde al cliente. La negativa del transportista impide ejecutar y verificar esa parte de la implantación.</t>
  </si>
  <si>
    <t>Usuarios mantienen el proceso anterior en lugar de registrar en la solución</t>
  </si>
  <si>
    <t>La implantación cambia hábitos de trabajo y exige que los usuarios incorporen sus transacciones al registro oficial de la solución. Durante una ola, parte de los usuarios podría resistirse al cambio y continuar registrando exclusivamente en el procedimiento anterior, sin incorporar sus transacciones al registro oficial de la solución. LafroX no podría acreditar la cobertura de adopción requerida para cerrar esa ola y tendría que extender la intervención de implantación.</t>
  </si>
  <si>
    <t>La cobertura de usuarios y transacciones es condición de aceptación del trabajo de LafroX, además de afectar la operación del cliente.</t>
  </si>
  <si>
    <t>Planificador deja de estar disponible antes de validar sus excepciones</t>
  </si>
  <si>
    <t>Parte de las reglas y excepciones de rutas reside en el planificador del cliente y debe transferirse y validarse mientras esté disponible. Durante la captura y validación temprana de reglas de rutas, el planificador del cliente podría retirarse o dejar de estar disponible antes de transferir las excepciones que aún no estén documentadas. LafroX tendría que reconstruir y validar ese conocimiento con el ayudante y antecedentes históricos, afectando sus talleres y pruebas de rutas.</t>
  </si>
  <si>
    <t>Los talleres, la parametrización y la validación del módulo de rutas son actividades de LafroX.</t>
  </si>
  <si>
    <t>Líder funcional de Calidad</t>
  </si>
  <si>
    <t>Los usuarios no pueden asistir a la capacitación prevista antes de cerrar una ola</t>
  </si>
  <si>
    <t>La capacitación y la certificación de usuarios deben realizarse sin detener la preparación de pedidos, la venta ni el reparto. Para ello, el cliente debe disponer de esas personas en los horarios acordados. Las necesidades de la operación podrían impedir que algunos usuarios asistan a las sesiones de formación y evaluación antes del cierre de su ola de implantación. LafroX tendría que reprogramar las sesiones y el acompañamiento. No podría acreditar que esos usuarios están preparados para usar la solución hasta que completen la evaluación.</t>
  </si>
  <si>
    <t>LafroX debe impartir la formación y presentar la evidencia de certificación de los usuarios de cada ola.</t>
  </si>
  <si>
    <t>Contraparte no entrega una validación necesaria en la fecha prevista</t>
  </si>
  <si>
    <t>Los diseños, pruebas y aceptaciones incluyen actividades dependientes de validaciones o decisiones de las áreas del cliente. Antes de completar un diseño, una prueba o una aceptación programada, el área del cliente requerida podría no entregar la validación o decisión necesaria en la fecha acordada para esa actividad. LafroX tendría que detener o repetir las tareas dependientes, consumir holgura y reprogramar recursos.</t>
  </si>
  <si>
    <t>Afecta tareas dependientes y compromisos de entrega de LafroX, no solo la agenda del cliente.</t>
  </si>
  <si>
    <t>Proveedor de conectividad interrumpe el enlace de un sitio operado</t>
  </si>
  <si>
    <t>Los sitios utilizan servicios externos de fibra, LTE o satélite cuya conectividad con servicios centrales forma parte del servicio integrado. Durante pruebas u operación de un sitio, el proveedor de fibra, LTE o satélite podría interrumpir el enlace utilizado. La conexión con servicios centrales quedaría limitada y LafroX tendría que gestionar la restitución con el operador y verificar la posterior sincronización, manteniendo la continuidad local comprometida.</t>
  </si>
  <si>
    <t>LafroX contrata conectividad y atiende incidencias y continuidad del servicio; existe afectación directa a su operación SRE.</t>
  </si>
  <si>
    <t>Un corte de electricidad supera el tiempo de respaldo de equipos mantenidos por LafroX</t>
  </si>
  <si>
    <t>Algunos equipos de la infraestructura dependen del suministro eléctrico y cuentan con baterías o generación de respaldo cuya autonomía es limitada. En un sitio atendido por LafroX, un corte de electricidad podría durar más que la autonomía del respaldo aplicable a los equipos afectados. Esos equipos podrían dejar de prestar servicio hasta que se restablezca la energía o se recupere la infraestructura. LafroX tendría que atender la incidencia y comprobar la restitución de los componentes bajo su mantenimiento.</t>
  </si>
  <si>
    <t>El riesgo se limita a la sala técnica, los racks, los equipos de borde u otros componentes que LafroX mantiene; no atribuye a LafroX todas las pérdidas del negocio del cliente por un corte.</t>
  </si>
  <si>
    <t>Replanificar instalación y pruebas y repetir la visita improductiva. 5 jornadas de implantación y 3 de QA más probables (M).</t>
  </si>
  <si>
    <t>Falta la aprobación del cliente para tratar y respaldar datos en las regiones propuestas (revisar)</t>
  </si>
  <si>
    <t>14 días más probables (M) de espera y nueva cita; no se altera el hito por decisión unilateral.</t>
  </si>
  <si>
    <t>Regulatorio y externo</t>
  </si>
  <si>
    <t>Un bloqueo agregado de recepción de terreno durante la implantación.</t>
  </si>
  <si>
    <t>La marcha blanca del alcance térmico no puede cerrarse sin parámetros por producto aprobados, pese al tratamiento preventivo transitorio.</t>
  </si>
  <si>
    <t>No incluye compra de hardware del cliente ni atrasos de infraestructura contratada por LafroX.</t>
  </si>
  <si>
    <t>La solución propone operar y recuperarse usando regiones de nube en Brasil y Estados Unidos. El tratamiento y la transferencia internacional de los datos previstos requieren aprobación del cliente. Cuando corresponda habilitar esos entornos, el cliente podría no haber otorgado la aprobación necesaria sobre la residencia y transferencia de los datos. LafroX no podría completar la habilitación o la evidencia de recuperación afectada hasta resolver formalmente esa condición con el cliente.</t>
  </si>
  <si>
    <t>La aprobación es una condición para desplegar y demostrar los entornos que LafroX debe entregar.</t>
  </si>
  <si>
    <t>Supuestos analíticos editables. Contexto documental en Parámetros, fila 70.</t>
  </si>
  <si>
    <t>Cliente no autoriza la intervención urgente necesaria durante un congelamiento</t>
  </si>
  <si>
    <t>La remediación de un incidente o vulnerabilidad puede requerir una intervención durante un período congelado, sujeta a autorización del cliente. Al detectarse una vulnerabilidad o incidente que requiere intervenir durante una fecha prohibida, el cliente podría no autorizar el cambio de emergencia solicitado. LafroX tendría que sostener la contención y gestionar el conflicto entre fecha habilitada y plazo de remediación, sin que esa decisión del cliente acredite por sí sola una exención contractual.</t>
  </si>
  <si>
    <t>Afecta directamente la gestión del incidente y la remediación a cargo de LafroX.</t>
  </si>
  <si>
    <t>Meses 1–15, matriz requerida antes del cierre de marcha blanca E1</t>
  </si>
  <si>
    <t>Calidad no aprueba parámetros por producto al preparar certificación</t>
  </si>
  <si>
    <t>Cliente aprueba; LafroX parametriza y demuestra</t>
  </si>
  <si>
    <t>Un uso no autorizado de credenciales robadas permite suplantar la identidad de otra persona para registrar pedidos o acceder a un portal</t>
  </si>
  <si>
    <t>Alta: matriz y acta de aprobación comprobables</t>
  </si>
  <si>
    <t>El robo de credenciales mediante engaño, phishing u otros métodos puede permitir que un tercero obtenga las credenciales de acceso de otra persona y las utilice sin su autorización. Durante la operación, una persona que haya obtenido credenciales ajenas podría utilizarlas para autenticarse como si fuera su titular, intentar registrar pedidos o acceder a los portales de LafroX sin autorización. LafroX tendría que investigar el incidente, contener el uso indebido de las credenciales y verificar qué accesos u operaciones fueron afectados. Si la suplantación tuviera éxito, podrían registrarse pedidos o ejecutarse acciones atribuidas incorrectamente al titular legítimo de la cuenta.</t>
  </si>
  <si>
    <t>V-11 deja parámetros pendientes y prohíbe cerrar sin matriz aprobada; existe tratamiento preventivo fuera de rango. Se estima 40% por la dependencia formal, sin afirmar falta de voluntad de Calidad.</t>
  </si>
  <si>
    <t>La autenticación, los registros de actividad y la respuesta ante incidentes forman parte del servicio de LafroX.</t>
  </si>
  <si>
    <t>Parámetros A69:F69; registro original R-012</t>
  </si>
  <si>
    <t>Llega un mensaje electrónico que aparenta venir de una cadena autorizada o fue alterado</t>
  </si>
  <si>
    <t>La solución recibe de cadenas comerciales mensajes electrónicos de pedidos y avisos de despacho a través de una conexión con sistemas externos. Podría llegar un mensaje que aparenta provenir de una cadena autorizada sin serlo, o cuyo contenido haya sido cambiado durante el intercambio. LafroX tendría que separarlo de los mensajes válidos, comprobar su origen y contenido e investigar el incidente antes de procesar las operaciones afectadas. Si un mensaje falso se aceptara, podría alterar el pedido o aviso correspondiente.</t>
  </si>
  <si>
    <t>LafroX implementa y opera la integración de intercambio electrónico y debe proteger la integridad de los mensajes que recibe.</t>
  </si>
  <si>
    <t>Terminal enrolado se pierde o queda en poder de otra persona</t>
  </si>
  <si>
    <t>Los terminales enrolados se utilizan físicamente en ruta y bodega y contienen datos locales asociados a usuarios autorizados. Durante su uso en ruta o bodega, un terminal enrolado podría perderse o entregarse a una persona distinta de su usuario autorizado. LafroX tendría que gestionar el incidente de dispositivo e identidad, verificar la exposición de datos locales y contener accesos indebidos dentro del servicio de seguridad y gestión del terminal.</t>
  </si>
  <si>
    <t>La gestión y protección del dispositivo forman parte de las suscripciones e integración que contrata y opera LafroX; la propiedad del equipo no elimina esa responsabilidad.</t>
  </si>
  <si>
    <t>Ataques DDOS a los canales públicos</t>
  </si>
  <si>
    <t>Los portales e interfaces públicas están expuestos a solicitudes de actores externos, incluidas posibles ráfagas abusivas. Durante la operación, un actor podría dirigir ráfagas de solicitudes abusivas a portales o interfaces públicas para impedir accesos legítimos. LafroX tendría que gestionar la contención y comprobar la disponibilidad del servicio, con atención extraordinaria de operación y seguridad.</t>
  </si>
  <si>
    <t>La protección de las entradas públicas y la continuidad del servicio son obligaciones operativas de LafroX.</t>
  </si>
  <si>
    <t>Atacante utiliza una cuenta administrativa comprometida contra la evidencia (phishing)</t>
  </si>
  <si>
    <t>La exposición de los usuarios administrativos a campañas de phishing puede permitir que un atacante obtenga sus credenciales y acceda ilegítimamente a la plataforma. Durante la operación, un atacante que obtenga credenciales administrativas mediante phishing podría utilizarlas para borrar o alterar respaldos o evidencia almacenada en la plataforma. LafroX tendría que contener el acceso comprometido, investigar las acciones realizadas y verificar la integridad y recuperabilidad de los conjuntos afectados, dentro de sus obligaciones de seguridad y continuidad.</t>
  </si>
  <si>
    <t>La respuesta a incidentes y las pruebas de integridad y restauración de la plataforma corresponden al servicio de LafroX.</t>
  </si>
  <si>
    <t>Fallas mecánicas del camión</t>
  </si>
  <si>
    <t>Líder de implantación</t>
  </si>
  <si>
    <t>Mientras el camión hace su recorrido, en algún momento de este, tiene una falla mecánica que impide la completitud del recorrido. eEl vehículo queda detenido y no puede completar el recorrido ni los casos de prueba programados. Como impide completar el recorrido,.</t>
  </si>
  <si>
    <t>LafroX podría no reunir la evidencia de aceptación prevista y tendría que coordinar con el cliente la reprogramación y repetición de las validaciones afectadas, con el consiguiente uso adicional de tiempo y recursos de implantación. Si la detención compromete la cadena de frío, el deterioro de la carga corresponde a un efecto operacional del cliente, no a una pérdida atribuida a LafroX por esta ficha .</t>
  </si>
  <si>
    <t>Camión forma parte de un siniestro</t>
  </si>
  <si>
    <t>Mientras el camión hace su recorrido, se ve envuelto en un accidente de tránsito. El vehículo no puede continuar el trayecto o completar los casos de prueba programados. Si no se obtiene la evidencia prevista, LafroX tendría que coordinar con el cliente la reprogramación y repetición de las validaciones afectadas. Esto podría consumir tiempo y recursos adicionales de implantación y retrasar el cierre de la actividad correspondiente .</t>
  </si>
  <si>
    <t>Asalto a camión</t>
  </si>
  <si>
    <t>Mientras el camión hace su recorrido, en algún momento de este, es abordado y robado por delincuentes, desviándose del camino entregado. O en otro caso, incendiado, perdiendo tanto el vehículo como el contenido de este. El vehículo se desvía, queda detenido o no llega al destino previsto, por lo que se interrumpe la validación del recorrido. LafroX podría no completar los casos de prueba ni reunir la evidencia de aceptación prevista. En ese caso, tendría que coordinar con el cliente la reprogramación y repetición de las validaciones afectadas, con posible consumo adicional de tiempo y recursos de implantación .</t>
  </si>
  <si>
    <t>Reemplazos de conductores externos sin aviso</t>
  </si>
  <si>
    <t>Reorganizar sesiones y pruebas con la empresa pendiente y registrar su incorporación. 3 jornadas de implantación y 2 funcionales más probables (M).</t>
  </si>
  <si>
    <t>7 días más probables (M) por una ronda de aprobación y reprogramación.</t>
  </si>
  <si>
    <t>Un bloqueo agregado de acuerdos durante las olas.</t>
  </si>
  <si>
    <t>No incluye honorarios legales no cotizados ni las mismas sesiones reprogramadas de R-018.</t>
  </si>
  <si>
    <t>El reparto incluye conductores de empresas transportistas externas, cuyos reemplazos requieren comunicación, autorización y capacitación para utilizar la solución. Durante una ola de implantación, un transportista podría sustituir al conductor sin avisar y presentar un reemplazo que aún no esté autorizado o capacitado. LafroX tendría que atender su habilitación y formación y verificar los registros de las entregas afectadas, pudiendo requerirse trabajo adicional de acompañamiento y validación antes de cerrar la evidencia de esa ola.</t>
  </si>
  <si>
    <t>Afecta la incorporación de usuarios, el acompañamiento y la evidencia de implantación a cargo de LafroX.</t>
  </si>
  <si>
    <t>Supuestos analíticos editables. Contexto documental en Parámetros, fila 71.</t>
  </si>
  <si>
    <t>La ausencia de equipos de terreno impide instalar y verificar los usuarios o rutas de la ola afectada.</t>
  </si>
  <si>
    <t>Solicitudes que amplían el alcance</t>
  </si>
  <si>
    <t>Contrato y licitación</t>
  </si>
  <si>
    <t>La solución tiene un alcance delimitado mediante requisitos, exclusiones y decisiones aprobadas, y las solicitudes posteriores deben contrastarse con esa base. Durante la ejecución, la contraparte podría solicitar una función, integración o modificación que exceda el alcance acordado y cuya incorporación requiera trabajo adicional. LafroX tendría que evaluar y tramitar el cambio; si se aprueba su incorporación, sería necesario ajustar el esfuerzo, costo o programación según el impacto acordado.</t>
  </si>
  <si>
    <t>Afecta la estimación, planificación y ejecución del trabajo solicitado a la empresa.</t>
  </si>
  <si>
    <t>Cambios normativos</t>
  </si>
  <si>
    <t>Meses 6–15 y 19–20, recepción de equipos antes de cada ola</t>
  </si>
  <si>
    <t>Equipo de terreno especificado no recibido antes de instalar o probar</t>
  </si>
  <si>
    <t>La solución trata y conserva documentos, ubicación y evidencia durante una vigencia contractual de varios años, sujeta a exigencias normativas aplicables. Durante esa vigencia, una modificación normativa o una nueva interpretación aplicable podría exigir ajustes en los controles, la conservación o la eliminación de datos de la solución. LafroX tendría que evaluar y adaptar los componentes y procedimientos afectados y volver a validar su funcionamiento, generando trabajo adicional y posibles ajustes de programación sujetos al tratamiento contractual correspondiente.</t>
  </si>
  <si>
    <t>Cliente/proveedor; LafroX controla especificación y coordinación</t>
  </si>
  <si>
    <t>Afecta los controles y procedimientos de la solución que LafroX implementa u opera.</t>
  </si>
  <si>
    <t>Alta: pedidos, recepción e inventario de equipos</t>
  </si>
  <si>
    <t>R-014, R-015, R-018</t>
  </si>
  <si>
    <t>Las adquisiciones separan equipamiento comprado por cliente de infraestructura de LafroX. Se estima 40% para un bloqueo agregado de equipos de terreno, sin cotizaciones o plazos de entrega confirmados.</t>
  </si>
  <si>
    <t>Parámetros A70:F70; registro original R-013</t>
  </si>
  <si>
    <t>Reprogramar visita técnica, revisar montaje permitido e integrar y probar el equipo autorizado. 4 jornadas de implantación y 3 de integración más probables (M).</t>
  </si>
  <si>
    <t>10 días más probables (M) para autorización y nueva intervención del vehículo.</t>
  </si>
  <si>
    <t>Un bloqueo agregado de autorización de montaje.</t>
  </si>
  <si>
    <t>No incluye compra del termógrafo, daños al vehículo ni una visita ya imputada a R-013.</t>
  </si>
  <si>
    <t>Supuestos analíticos editables. Contexto documental en Parámetros, fila 72.</t>
  </si>
  <si>
    <t>Sin acuerdo no se incorporan los conductores de esa empresa; el impacto se concentra en la cobertura pendiente y sus pruebas.</t>
  </si>
  <si>
    <t>Meses 9–15 y 19–20, acuerdos antes de incorporar transportistas</t>
  </si>
  <si>
    <t>Acuerdo operativo de un transportista pendiente antes de su ola</t>
  </si>
  <si>
    <t>Compartida: cliente y transportista firman; LafroX coordina</t>
  </si>
  <si>
    <t>Alta: diez acuerdos y fechas de ola comprobables</t>
  </si>
  <si>
    <t>R-015, R-018, R-032</t>
  </si>
  <si>
    <t>El plan exige diez acuerdos antes de H6 y prevé suplentes enrolados. Se adopta 35% de un bloqueo agregado por firma; no se supone incumplimiento de las diez empresas.</t>
  </si>
  <si>
    <t>Parámetros A71:F71; registro original R-014</t>
  </si>
  <si>
    <t>Diagnosticar la brecha, acompañar turnos y verificar incorporación al registro oficial. 10 jornadas de implantación y 5 funcionales más probables (M).</t>
  </si>
  <si>
    <t>10 días más probables (M) para acompañamiento y nueva evidencia de uso.</t>
  </si>
  <si>
    <t>Una intervención extraordinaria agregada de adopción en E1/E2.</t>
  </si>
  <si>
    <t>Solo trabajo sobre uso efectivo después de formar; no repite ausencias de R-018 ni formación ordinaria.</t>
  </si>
  <si>
    <t>Supuestos analíticos editables. Contexto documental en Parámetros, fila 73.</t>
  </si>
  <si>
    <t>Sin acceso al vehículo no se instala ni integra el termógrafo y queda pendiente la evidencia térmica de esa ruta.</t>
  </si>
  <si>
    <t>Meses 9–15, autorización de acceso al camión antes de instalar B-03</t>
  </si>
  <si>
    <t>Propietario niega acceso o autorización de instalación del termógrafo</t>
  </si>
  <si>
    <t>Tercero; LafroX coordina la instalación y alternativa autorizada</t>
  </si>
  <si>
    <t>Alta si se solicita autorización antes de la visita</t>
  </si>
  <si>
    <t>R-013, R-014</t>
  </si>
  <si>
    <t>B-03 requiere montaje fijo y acceso físico. Se estima 30% por autorización de un tercero sin evidencia de negativas; no se atribuye a todos los camiones.</t>
  </si>
  <si>
    <t>Parámetros A72:F72; registro original R-015</t>
  </si>
  <si>
    <t>Reconstruir excepciones con ayudante y antecedentes y probar rutas representativas. 8 jornadas funcionales y 4 de QA más probables (M).</t>
  </si>
  <si>
    <t>10 días más probables (M) de talleres y validación sustituta.</t>
  </si>
  <si>
    <t>Una interrupción de transferencia del planificador.</t>
  </si>
  <si>
    <t>No incluye reemplazar personal del cliente ni volver a desarrollar el motor de rutas.</t>
  </si>
  <si>
    <t>Líder de gestión del cambio</t>
  </si>
  <si>
    <t>Supuestos analíticos editables. Contexto documental en Parámetros, fila 74.</t>
  </si>
  <si>
    <t>El uso exclusivo del proceso anterior impide demostrar la cobertura de adopción y transacciones requerida para cerrar la ola.</t>
  </si>
  <si>
    <t>Meses 13–15 y 19–20, adopción durante las olas</t>
  </si>
  <si>
    <t>Transacciones se siguen registrando solo por el procedimiento anterior</t>
  </si>
  <si>
    <t>Compartida con supervisores del cliente</t>
  </si>
  <si>
    <t>Media: comparar transacciones y cobertura por usuario</t>
  </si>
  <si>
    <t>R-018, R-019</t>
  </si>
  <si>
    <t>El plan exige cobertura real y acompaña al personal con hábitos prolongados. Se estima 55% de intervención adicional de adopción pese a la formación planificada; la antigüedad no es una tasa de rechazo.</t>
  </si>
  <si>
    <t>Parámetros A73:F73; registro original R-016</t>
  </si>
  <si>
    <t>Reagendar sesiones perdidas y evaluaciones y repetir acompañamiento de incorporación. 7 jornadas de implantación y 3 funcionales más probables (M).</t>
  </si>
  <si>
    <t>7 días más probables (M) para un siguiente turno o sesión disponible.</t>
  </si>
  <si>
    <t>Una bolsa agregada de sesiones extraordinarias E1/E2.</t>
  </si>
  <si>
    <t>Excluye curso ordinario y resistencia posterior a certificación de R-016.</t>
  </si>
  <si>
    <t>Supuestos analíticos editables. Contexto documental en Parámetros, fila 75.</t>
  </si>
  <si>
    <t>Líder funcional de rutas</t>
  </si>
  <si>
    <t>La pérdida de excepciones no documentadas afecta parametrización y validación de rutas; reconstruir con el ayudante exige nueva evidencia.</t>
  </si>
  <si>
    <t>Preparar nueva instancia de decisión y replanificar recursos de tareas distintas de las ya valoradas en riesgos específicos. 5 jornadas JP y 5 funcionales más probables (M).</t>
  </si>
  <si>
    <t>14 días más probables (M) para una decisión fuera de ciclo y recuperación de secuencia.</t>
  </si>
  <si>
    <t>Un bloqueo transversal agregado; excluye aprobaciones ya identificadas en otros IDs.</t>
  </si>
  <si>
    <t>Meses 1–3, transferencia temprana de excepciones del planificador</t>
  </si>
  <si>
    <t>No duplica espera/costo de matriz térmica, certificación EDI, saldos o residencia de datos.</t>
  </si>
  <si>
    <t>Planificador deja de estar disponible antes de validar reglas pendientes</t>
  </si>
  <si>
    <t>R-019 cubre únicamente decisiones transversales no incluidas en R-002, R-005, R-006, R-012 y R-022.</t>
  </si>
  <si>
    <t>Cliente; LafroX documenta y valida con ayudante e historia</t>
  </si>
  <si>
    <t>Supuestos analíticos editables. Contexto documental en Parámetros, fila 76.</t>
  </si>
  <si>
    <t>Media: disponibilidad se confirma en V-14</t>
  </si>
  <si>
    <t>R-019, R-004</t>
  </si>
  <si>
    <t>V-14 mantiene por confirmar el retiro y propone talleres tempranos con alternativa de ayudante e historia. Se estima 45% por concentración de conocimiento y fecha abierta, considerando esa alternativa.</t>
  </si>
  <si>
    <t>Parámetros A74:F74; registro original R-017</t>
  </si>
  <si>
    <t>Líder de capacitación</t>
  </si>
  <si>
    <t>Gestionar enlace, revisar autonomía local y conciliar pendientes al retornar. 4 HH SRE y 2 de integración más probables (M) por episodio.</t>
  </si>
  <si>
    <t>La falta de asistencia deja usuarios sin evaluar ni certificar; se requiere repetir su formación antes de aceptar la cobertura.</t>
  </si>
  <si>
    <t>0,5 día más probable (M) por episodio; la desconexión no significa indisponibilidad total por el modo local.</t>
  </si>
  <si>
    <t>8 episodios condicionados en 36 meses para toda la red; no ocho por sitio o proveedor.</t>
  </si>
  <si>
    <t>Excluye renta normal de enlaces e incidencias de SII/POS/mapas que tengan el mismo origen WAN.</t>
  </si>
  <si>
    <t>R-020 es fallo del enlace. R-009/R-010/R-011 son fallos de contraparte con enlace operativo; un mismo incidente se imputa a su causa principal.</t>
  </si>
  <si>
    <t>Supuestos analíticos editables. Contexto documental en Parámetros, fila 77.</t>
  </si>
  <si>
    <t>Meses 9–20, formación y evaluación antes del cierre de cada ola</t>
  </si>
  <si>
    <t>Usuarios convocados no completan formación y evaluación previstas</t>
  </si>
  <si>
    <t>Compartida: cliente libera personas; LafroX reorganiza</t>
  </si>
  <si>
    <t>Alta: asistencia y certificaciones registradas</t>
  </si>
  <si>
    <t>R-016, R-032</t>
  </si>
  <si>
    <t>La capacitación debe convivir con turnos y preparación nocturna; el plan reconoce rotación de 38% en preparación. Se adopta 60% de sesiones extraordinarias por disponibilidad; 38% no se usa como probabilidad de ausencia.</t>
  </si>
  <si>
    <t>Parámetros A75:F75; registro original R-018</t>
  </si>
  <si>
    <t>Jefe de proyecto</t>
  </si>
  <si>
    <t>Atender la infraestructura mantenida, comprobar arranque e integridad y validar restitución. 8 HH SRE y 4 de QA más probables (M) por episodio.</t>
  </si>
  <si>
    <t>1 día más probable (M) por episodio entre restitución eléctrica y revisión de componentes.</t>
  </si>
  <si>
    <t>2 episodios condicionados en 36 meses del conjunto mantenido.</t>
  </si>
  <si>
    <t>Sin pérdidas de alimentos ni negocio; no duplica el diagnóstico WAN de R-020 causado por el mismo corte.</t>
  </si>
  <si>
    <t>Supuestos analíticos editables. Contexto documental en Parámetros, fila 78.</t>
  </si>
  <si>
    <t>Una decisión de cliente pendiente puede bloquear diseño, pruebas o aceptación; se valora solo el bloqueo transversal no duplicado en otro ID.</t>
  </si>
  <si>
    <t>Meses 1–20, decisiones de diseño y aceptación dependientes</t>
  </si>
  <si>
    <t>Decisión requerida no llega en la fecha acordada y bloquea la tarea</t>
  </si>
  <si>
    <t>Cliente aprueba; jefe de proyecto sigue y escala</t>
  </si>
  <si>
    <t>Alta: agenda, acuerdos y vencimientos documentados</t>
  </si>
  <si>
    <t>R-002, R-005, R-012, R-022</t>
  </si>
  <si>
    <t>La gestión exige decisiones y actas de múltiples áreas. Se adopta 60% de algún bloqueo transversal en 20 meses, sin medir una tasa histórica de incumplimiento.</t>
  </si>
  <si>
    <t>Parámetros A76:F76; registro original R-019</t>
  </si>
  <si>
    <t>Preparar evidencia de residencia, revisar flujos y ajustar configuración autorizada y validación. 5 jornadas de arquitectura y 3 de seguridad más probables (M).</t>
  </si>
  <si>
    <t>14 días más probables (M) por revisión y decisión formal, sin anticipar qué región autorizará el cliente.</t>
  </si>
  <si>
    <t>Una aprobación agregada de arquitectura regional.</t>
  </si>
  <si>
    <t>No incluye migración a un nuevo proveedor ni asesoría legal externa sin alcance/cotización.</t>
  </si>
  <si>
    <t>Supuestos analíticos editables. Contexto documental en Parámetros, fila 79.</t>
  </si>
  <si>
    <t>La interrupción de enlace limita servicios centrales y exige reconciliación; operación local y enlaces alternativos reducen el alcance de indisponibilidad.</t>
  </si>
  <si>
    <t>Meses 21–56, sitios operados; validar continuidad antes de producción</t>
  </si>
  <si>
    <t>Caída del enlace con degradación o acumulación de sincronización</t>
  </si>
  <si>
    <t>Proveedor externo; SRE coordina restitución y valida reconciliación</t>
  </si>
  <si>
    <t>Alta: monitoreo de enlaces y edad de las colas</t>
  </si>
  <si>
    <t>R-009, R-010, R-011, R-021</t>
  </si>
  <si>
    <t>Hay fibra, LTE de dos proveedores y Starlink, junto con operación local. Se estima 65% de al menos una incidencia extraordinaria en 36 meses y varios sitios; no se extrapola una tasa por proveedor.</t>
  </si>
  <si>
    <t>Parámetros A77:F77; registro original R-020</t>
  </si>
  <si>
    <t>Sostener contención, preparar autorización y verificar intervención al habilitarse. 12 HH de seguridad y 8 SRE más probables (M) por episodio.</t>
  </si>
  <si>
    <t>3 días más probables (M) de restricción; puede aumentar si la ventana no se habilita.</t>
  </si>
  <si>
    <t>2 coincidencias condicionadas en 36 meses; solo trabajo extra causado por la autorización denegada.</t>
  </si>
  <si>
    <t>No duplica investigación/recuperación del incidente de R-024/R-027/R-028.</t>
  </si>
  <si>
    <t>Supuestos analíticos editables. Contexto documental en Parámetros, fila 80.</t>
  </si>
  <si>
    <t>Superar el respaldo puede detener componentes mantenidos por LafroX y exige demostrar su recuperación íntegra antes de restituir servicio.</t>
  </si>
  <si>
    <t>Meses 21–56, equipos bajo mantenimiento de LafroX</t>
  </si>
  <si>
    <t>Corte eléctrico excede autonomía del respaldo aplicable</t>
  </si>
  <si>
    <t>Empresa eléctrica/cliente; LafroX recupera sus componentes</t>
  </si>
  <si>
    <t>Alta: autonomía y alertas eléctricas medibles</t>
  </si>
  <si>
    <t>El diseño alimenta Talca con UPS y generador y Concepción con UPS. Se estima 25% de superar el respaldo en 36 meses; el evento exige duración superior a autonomía, no cualquier microcorte.</t>
  </si>
  <si>
    <t>Parámetros A78:F78; registro original R-021</t>
  </si>
  <si>
    <t>Arquitecto de solución</t>
  </si>
  <si>
    <t>Revocar sesiones, investigar accesos y operaciones y verificar titularidad. 24 HH de seguridad y 12 SRE más probables (M) por episodio.</t>
  </si>
  <si>
    <t>2 días más probables (M) para contención y revisión de operaciones atribuidas.</t>
  </si>
  <si>
    <t>2 episodios condicionados en 36 meses para cuentas no administrativas.</t>
  </si>
  <si>
    <t>Excluye dinero de pedidos y recuperación de evidencia administrativa de R-028.</t>
  </si>
  <si>
    <t>R-024 cubre cuentas de negocio; R-028, cuentas privilegiadas y custodia. Un incidente único no entra en ambos.</t>
  </si>
  <si>
    <t>Supuestos analíticos editables. Contexto documental en Parámetros, fila 81.</t>
  </si>
  <si>
    <t>Sin aprobación de residencia no se habilitan ni se demuestran los entornos regionales afectados de producción o recuperación.</t>
  </si>
  <si>
    <t>Meses 1–6, aprobación antes de habilitar nube y recuperación</t>
  </si>
  <si>
    <t>Cliente no otorga aprobación de tratamiento en las regiones propuestas</t>
  </si>
  <si>
    <t>Cliente decide; arquitectura y seguridad justifican el despliegue</t>
  </si>
  <si>
    <t>Alta: aprobación escrita y configuración regional comprobables</t>
  </si>
  <si>
    <t>R-019, R-034</t>
  </si>
  <si>
    <t>La arquitectura propone regiones brasileña y estadounidense y requiere aceptación del tratamiento previsto. Se estima 30% de demora de aprobación; no se afirma ilegalidad ni prohibición normativa de esas regiones.</t>
  </si>
  <si>
    <t>Parámetros A79:F79; registro original R-022</t>
  </si>
  <si>
    <t>Aislar mensaje, verificar origen y contenido con cadena y revalidar procesamiento. 12 HH seguridad y 8 integración más probables (M) por episodio.</t>
  </si>
  <si>
    <t>1 día más probable (M) para contrastar con contraparte y resolver el mensaje.</t>
  </si>
  <si>
    <t>2 episodios condicionados en 36 meses; mensajes de una misma campaña se tratan juntos.</t>
  </si>
  <si>
    <t>No incluye valor comercial del pedido ni certificación ordinaria de R-002.</t>
  </si>
  <si>
    <t>Supuestos analíticos editables. Contexto documental en Parámetros, fila 82.</t>
  </si>
  <si>
    <t>Encargado de seguridad</t>
  </si>
  <si>
    <t>La falta de autorización prolonga la contención y puede impedir remediación oportuna de una vulnerabilidad o incidente urgente.</t>
  </si>
  <si>
    <t>Meses 21–56, incidentes que coincidan con congelamientos</t>
  </si>
  <si>
    <t>Intervención urgente requiere autorización y esta no se obtiene</t>
  </si>
  <si>
    <t>Cliente autoriza; LafroX contiene y gestiona el incidente</t>
  </si>
  <si>
    <t>Media: la incompatibilidad surge al evaluar el cambio urgente</t>
  </si>
  <si>
    <t>R-024, R-027, R-028</t>
  </si>
  <si>
    <t>El plan mantiene ventanas prohibidas y fechas permitidas. Se estima 25% de coincidencia de urgencia y falta de autorización en 36 meses; no se supone exención contractual.</t>
  </si>
  <si>
    <t>Parámetros A80:F80; registro original R-023</t>
  </si>
  <si>
    <t>Bloquear identidad/dispositivo, revisar datos locales y comprobar contención. 4 HH SRE y 2 de seguridad más probables (M) por episodio.</t>
  </si>
  <si>
    <t>0,5 día más probable (M) por episodio tras aviso; no asegura recuperar el equipo.</t>
  </si>
  <si>
    <t>4 episodios condicionados en 36 meses de toda la flota de terminales.</t>
  </si>
  <si>
    <t>Excluye reposición del dispositivo y terminal perdido en un asalto ya gestionado por R-031.</t>
  </si>
  <si>
    <t>Supuestos analíticos editables. Contexto documental en Parámetros, fila 83.</t>
  </si>
  <si>
    <t>Una suplantación exitosa afecta autoría de pedidos y accesos; se debe comprobar qué operaciones fueron alteradas antes de cerrar el incidente.</t>
  </si>
  <si>
    <t>Meses 21–56, accesos de usuarios y portales</t>
  </si>
  <si>
    <t>Uso anómalo de credenciales válidas o acciones desconocidas por titular</t>
  </si>
  <si>
    <t>LafroX controla autenticación, auditoría y respuesta</t>
  </si>
  <si>
    <t>Media: credencial válida puede superar detección inicial</t>
  </si>
  <si>
    <t>R-025, R-026, R-028</t>
  </si>
  <si>
    <t>La arquitectura segmenta permisos y exige MFA administrativo. Se adopta 30% de suplantación con atención extraordinaria en 36 meses; no se aplica la misma protección a todos los usuarios ni se presume éxito total.</t>
  </si>
  <si>
    <t>Parámetros A81:F81; registro original R-024</t>
  </si>
  <si>
    <t>Ajustar contención, verificar tráfico legítimo y comprobar recuperación. 12 HH SRE y 8 de seguridad más probables (M) por episodio.</t>
  </si>
  <si>
    <t>0,5 día más probable (M) por episodio para contención y verificación, sin asumir caída completa.</t>
  </si>
  <si>
    <t>2 campañas condicionadas en 36 meses; solicitudes de la misma campaña no se multiplican.</t>
  </si>
  <si>
    <t>Excluye licencias de protección ya contratadas y pérdida de ventas de Puelche.</t>
  </si>
  <si>
    <t>Supuestos analíticos editables. Contexto documental en Parámetros, fila 84.</t>
  </si>
  <si>
    <t>Un mensaje EDI falso o alterado puede afectar el pedido o aviso correspondiente; aislamiento, deduplicación y validación acotan el dominio.</t>
  </si>
  <si>
    <t>Contener privilegios, revisar integridad y demostrar recuperación de conjuntos afectados. 64 HH seguridad y 48 SRE más probables (M).</t>
  </si>
  <si>
    <t>4 días más probables (M) para investigación y prueba de restauración; no equivale al RTO de todos los servicios.</t>
  </si>
  <si>
    <t>Un incidente administrativo agregado en 36 meses.</t>
  </si>
  <si>
    <t>Solo costo incremental de forense y validación; excluye investigación de la misma cuenta en R-024.</t>
  </si>
  <si>
    <t>Supuestos analíticos editables. Contexto documental en Parámetros, fila 85.</t>
  </si>
  <si>
    <t>Meses 21–56, recepción EDI; validar integridad antes de E2</t>
  </si>
  <si>
    <t>Mensaje no autentica su origen o no supera integridad/correlación</t>
  </si>
  <si>
    <t>Compartida con cadena; LafroX valida y aísla mensajes</t>
  </si>
  <si>
    <t>Media: depende de validaciones de origen y contenido</t>
  </si>
  <si>
    <t>R-002, R-024</t>
  </si>
  <si>
    <t>La integración EDI separa validación y operación de negocio. Se estima 20% de incidente con mensaje sospechoso que requiera investigación en 36 meses, considerando autenticación y trazabilidad previstas.</t>
  </si>
  <si>
    <t>Parámetros A82:F82; registro original R-025</t>
  </si>
  <si>
    <t>Coordinar nuevo recorrido y repetir exclusivamente validaciones interrumpidas. 12 HH implantación y 8 QA más probables (M).</t>
  </si>
  <si>
    <t>3 días más probables (M) para disponibilidad de vehículo y nueva ejecución.</t>
  </si>
  <si>
    <t>La pérdida de custodia afecta acceso y datos locales del terminal; enrolamiento, bloqueo y borrado acotan la exposición a ese dispositivo.</t>
  </si>
  <si>
    <t>Una repetición agregada por causa mecánica en las marchas blancas.</t>
  </si>
  <si>
    <t>Excluye reparación de camión, carga y pérdidas del cliente.</t>
  </si>
  <si>
    <t>R-029/R-030/R-031 son causas alternativas de repetición de pruebas. Una repetición concreta se imputa solo a su causa principal.</t>
  </si>
  <si>
    <t>Supuestos analíticos editables. Contexto documental en Parámetros, fila 86.</t>
  </si>
  <si>
    <t>Meses 21–56, terminales enrolados en ruta y bodega</t>
  </si>
  <si>
    <t>Pérdida de custodia o reporte de terminal extraviado</t>
  </si>
  <si>
    <t>Compartida: custodia del cliente y gestión MDM de LafroX</t>
  </si>
  <si>
    <t>Media: depende del aviso del usuario y telemetría del terminal</t>
  </si>
  <si>
    <t>R-024, R-031</t>
  </si>
  <si>
    <t>DEV-MDM prevé enrolamiento, política y borrado. Se adopta 50% de al menos un caso con trabajo extraordinario en 36 meses, considerando uso físico distribuido; no es tasa anual por dispositivo.</t>
  </si>
  <si>
    <t>Parámetros A83:F83; registro original R-026</t>
  </si>
  <si>
    <t>Reagendar la prueba con el cliente y ejecutar casos pendientes con vehículo autorizado. 12 HH implantación y 8 QA más probables (M).</t>
  </si>
  <si>
    <t>5 días más probables (M) por sustitución y nueva coordinación de la prueba.</t>
  </si>
  <si>
    <t>Una repetición de pruebas por accidente; no representa todos los viajes operativos.</t>
  </si>
  <si>
    <t>Excluye lesiones, indemnizaciones, vehículo y mercadería.</t>
  </si>
  <si>
    <t>Supuestos analíticos editables. Contexto documental en Parámetros, fila 87.</t>
  </si>
  <si>
    <t>Ráfagas que superen contención pueden degradar accesos legítimos de canales públicos y requieren verificar recuperación de disponibilidad.</t>
  </si>
  <si>
    <t>Meses 21–56, entradas públicas de portales e interfaces</t>
  </si>
  <si>
    <t>Ráfaga abusiva degrada accesos legítimos pese a controles de borde</t>
  </si>
  <si>
    <t>LafroX y proveedor de protección perimetral</t>
  </si>
  <si>
    <t>Alta: tasas, bloqueos y latencias monitorizadas</t>
  </si>
  <si>
    <t>R-023, R-024</t>
  </si>
  <si>
    <t>WAF y Shield forman parte de la arquitectura. Se estima 30% de episodio que exija intervención adicional en 36 meses; intentos automáticamente bloqueados no se contabilizan como incidentes adicionales.</t>
  </si>
  <si>
    <t>Parámetros A84:F84; registro original R-027</t>
  </si>
  <si>
    <t>Coordinar la seguridad de la actividad y repetir validaciones pendientes cuando el cliente habilite la nueva ruta. 16 HH implantación y 8 QA más probables (M).</t>
  </si>
  <si>
    <t>7 días más probables (M) para reautorizar recorrido y obtener evidencia.</t>
  </si>
  <si>
    <t>Una interrupción agregada de pruebas por asalto.</t>
  </si>
  <si>
    <t>Excluye pérdidas delictuales y atención de un terminal ya valorizada en R-026.</t>
  </si>
  <si>
    <t>Supuestos analíticos editables. Contexto documental en Parámetros, fila 88.</t>
  </si>
  <si>
    <t>El ataque a evidencia privilegiada compromete muy significativamente integridad y demostración de recuperabilidad; se consideran las copias inmutables existentes.</t>
  </si>
  <si>
    <t>Meses 21–56, cuentas administrativas y custodia de evidencia</t>
  </si>
  <si>
    <t>Cuenta privilegiada ejecuta cambios no autorizados sobre evidencia</t>
  </si>
  <si>
    <t>LafroX controla privilegios, custodia y recuperación</t>
  </si>
  <si>
    <t>Baja antes de investigar: acceso válido y ataque a evidencia</t>
  </si>
  <si>
    <t>MFA, mínimo privilegio, Vault Lock y Object Lock reducen acceso y destrucción. Se estima 15% de intento administrativo con investigación/recuperación extraordinaria en 36 meses; no se supone que la inmutabilidad pueda borrarse sin restricciones.</t>
  </si>
  <si>
    <t>Parámetros A85:F85; registro original R-028</t>
  </si>
  <si>
    <t>Autorizar según acuerdo, formar al sustituto y verificar registros afectados. 8 HH implantación y 4 funcionales más probables (M) por caso.</t>
  </si>
  <si>
    <t>1 día más probable (M) por episodio para habilitación, evaluación y validación.</t>
  </si>
  <si>
    <t>3 incorporaciones condicionadas en E1/E2, solo sustitutos no cubiertos por sesiones ordinarias.</t>
  </si>
  <si>
    <t>No incluye reprogramaciones generales de R-018 ni conducción del cliente.</t>
  </si>
  <si>
    <t>Supuestos analíticos editables. Contexto documental en Parámetros, fila 89.</t>
  </si>
  <si>
    <t>La falla interrumpe casos de un recorrido de prueba y exige repetir esa validación, sin atribuir a LafroX el daño mecánico.</t>
  </si>
  <si>
    <t>Meses 13–15 y 19–20, recorridos usados como evidencia de aceptación</t>
  </si>
  <si>
    <t>Falla mecánica impide completar el recorrido de prueba</t>
  </si>
  <si>
    <t>Cliente/transportista; LafroX reprograma la validación</t>
  </si>
  <si>
    <t>Alta una vez detenido el vehículo</t>
  </si>
  <si>
    <t>R-030, R-031</t>
  </si>
  <si>
    <t>La marcha blanca exige evidencia de volumen real. Se estima 25% de una interrupción mecánica de pruebas, sin estadísticas de mantenimiento aportadas; no es probabilidad por viaje de toda la operación.</t>
  </si>
  <si>
    <t>Parámetros A86:F86; registro original R-029</t>
  </si>
  <si>
    <t>Analizar alcance, estimar y tramitar solicitud sin incorporar implementación no aprobada. 16 HH JP y 24 de arquitectura más probables (M) por solicitud.</t>
  </si>
  <si>
    <t>3 días más probables (M) por evaluación y decisión; implementación aprobada ajustaría su propio calendario.</t>
  </si>
  <si>
    <t>2 evaluaciones extraordinarias condicionadas en ejecución.</t>
  </si>
  <si>
    <t>Excluye desarrollo del cambio aprobado, financiado por su modificación contractual.</t>
  </si>
  <si>
    <t>Supuestos analíticos editables. Contexto documental en Parámetros, fila 90.</t>
  </si>
  <si>
    <t>El accidente interrumpe la evidencia del recorrido y exige otra ejecución; el impacto modelado se limita a la aceptación de esa actividad.</t>
  </si>
  <si>
    <t>Siniestro impide continuar los casos de prueba previstos</t>
  </si>
  <si>
    <t>Alta después del aviso del siniestro</t>
  </si>
  <si>
    <t>R-029, R-031</t>
  </si>
  <si>
    <t>El riesgo original prevé solo repetición de validaciones atribuible a LafroX. Se adopta 10% por escenario de menor plausibilidad que una falla mecánica, sin afirmar una tasa vial de la flota.</t>
  </si>
  <si>
    <t>Parámetros A87:F87; registro original R-030</t>
  </si>
  <si>
    <t>Evaluar aplicabilidad técnica, ajustar controles/procedimientos y repetir validación acotada. 5 jornadas arquitectura y 5 de seguridad más probables (M).</t>
  </si>
  <si>
    <t>14 días más probables (M) para una adecuación acotada; una reforma estructural requiere reestimar.</t>
  </si>
  <si>
    <t>Una adecuación agregada en la vigencia, no una por año.</t>
  </si>
  <si>
    <t>Sin multas, asesoría legal cotizada o una nueva obligación normativa inventada; no duplica la aprobación inicial R-022.</t>
  </si>
  <si>
    <t>Supuestos analíticos editables. Contexto documental en Parámetros, fila 91.</t>
  </si>
  <si>
    <t>Demoras por actividad: no sumar como atraso contractual. Impactos monetarios delimitados a trabajo incremental, sin multas ni pérdidas del cliente.</t>
  </si>
  <si>
    <t>El asalto impide completar las validaciones previstas; se modela solo reprogramación y repetición de la evidencia de LafroX.</t>
  </si>
  <si>
    <t>Asalto interrumpe recorrido y evidencia prevista</t>
  </si>
  <si>
    <t>Externo; LafroX limita su actuación a evidencia y coordinación</t>
  </si>
  <si>
    <t>Alta tras aviso; baja para anticipar el hecho</t>
  </si>
  <si>
    <t>R-026, R-029, R-030</t>
  </si>
  <si>
    <t>La ficha entregada limita el efecto de LafroX a repetir las validaciones. Se estima 10% como escenario de baja probabilidad sin historial delictual aportado; no se atribuye el valor del camión o carga.</t>
  </si>
  <si>
    <t>Parámetros A88:F88; registro original R-031</t>
  </si>
  <si>
    <t>El sustituto sin preparación afecta habilitación y evidencia de entregas de esa ola; el resto de conductores certificados conserva su alcance.</t>
  </si>
  <si>
    <t>Meses 13–15 y 19–20, incorporación de conductores externos en olas</t>
  </si>
  <si>
    <t>Conductor sustituto no figura autorizado/certificado al presentarse</t>
  </si>
  <si>
    <t>Compartida con transportistas; LafroX verifica habilitación</t>
  </si>
  <si>
    <t>Alta en andén al contrastar identidad y certificación</t>
  </si>
  <si>
    <t>R-014, R-018</t>
  </si>
  <si>
    <t>Los acuerdos consideran suplentes enrolados y existe incorporación en andén. Se estima 45% de al menos un reemplazo extraordinario durante las olas, sin conocer tasa de rotación de conductores.</t>
  </si>
  <si>
    <t>Parámetros A89:F89; registro original R-032</t>
  </si>
  <si>
    <t>La solicitud exige evaluar y tramitar alcance antes de decidir; no se supone que LafroX incorpore trabajo adicional sin aprobación contractual.</t>
  </si>
  <si>
    <t>Meses 1–20, ejecución y control del alcance</t>
  </si>
  <si>
    <t>Solicitud nueva excede requisitos o exclusiones aprobados</t>
  </si>
  <si>
    <t>Compartida: LafroX evalúa y el comité decide</t>
  </si>
  <si>
    <t>Alta: comparación con línea base y solicitud de cambio</t>
  </si>
  <si>
    <t>El SD6 canaliza por solicitud de cambio lo que excede lo acordado. Se estima 55% de evaluación extraordinaria durante ejecución; la existencia de solicitudes no obliga a aceptar trabajo sin precio.</t>
  </si>
  <si>
    <t>Parámetros A90:F90; registro original R-033</t>
  </si>
  <si>
    <t>Una adecuación normativa aplicable puede exigir cambios y nueva validación de controles, retención o eliminación durante la vigencia.</t>
  </si>
  <si>
    <t>Meses 1–56, vigencia con conservación y tratamiento de datos</t>
  </si>
  <si>
    <t>Cambio aplicable obliga a evaluar adecuación de controles o retención</t>
  </si>
  <si>
    <t>Externo; LafroX analiza y adapta dentro del tratamiento contractual</t>
  </si>
  <si>
    <t>Media: revisión de exigencias y procedimientos</t>
  </si>
  <si>
    <t>R-022, R-033</t>
  </si>
  <si>
    <t>La solución conserva evidencia y opera varios años. Se estima 35% de adecuación extraordinaria en 56 meses, sin afirmar que exista una reforma específica ni pronosticar su contenido.</t>
  </si>
  <si>
    <t>Parámetros A91:F91; registro original R-034</t>
  </si>
  <si>
    <t>Los niveles, el fundamento de alcance y los roles son juicios analíticos propuestos. Las fuentes respaldan condiciones y controles, no frecuencias medidas.</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</si>
</sst>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quot;$&quot;#,##0;[Red](&quot;$&quot;#,##0);&quot;$&quot;0"/>
    <numFmt numFmtId="165" formatCode="0.0%"/>
    <numFmt numFmtId="166" formatCode="0.0"/>
  </numFmts>
  <fonts count="6">
    <font>
      <sz val="11.0"/>
      <color rgb="FF000000"/>
      <name val="Carlito"/>
      <scheme val="minor"/>
    </font>
    <font>
      <sz val="11.0"/>
      <color rgb="FF172B4D"/>
      <name val="Arial"/>
    </font>
    <font>
      <b/>
      <sz val="16.0"/>
      <color rgb="FF243B53"/>
      <name val="Arial"/>
    </font>
    <font>
      <b/>
      <sz val="11.0"/>
      <color rgb="FFFFFFFF"/>
      <name val="Arial"/>
    </font>
    <font>
      <sz val="11.0"/>
      <color rgb="FF795200"/>
      <name val="Arial"/>
    </font>
    <font>
      <b/>
      <sz val="11.0"/>
      <color rgb="FF172B4D"/>
      <name val="Arial"/>
    </font>
  </fonts>
  <fills count="5">
    <fill>
      <patternFill patternType="none"/>
    </fill>
    <fill>
      <patternFill patternType="lightGray"/>
    </fill>
    <fill>
      <patternFill patternType="solid">
        <fgColor rgb="FF243B53"/>
        <bgColor rgb="FF243B53"/>
      </patternFill>
    </fill>
    <fill>
      <patternFill patternType="solid">
        <fgColor rgb="FFFFF2CC"/>
        <bgColor rgb="FFFFF2CC"/>
      </patternFill>
    </fill>
    <fill>
      <patternFill patternType="solid">
        <fgColor rgb="FFEFF4F8"/>
        <bgColor rgb="FFEFF4F8"/>
      </patternFill>
    </fill>
  </fills>
  <borders count="2">
    <border/>
    <border>
      <left/>
      <right/>
      <top/>
      <bottom/>
    </border>
  </borders>
  <cellStyleXfs count="1">
    <xf borderId="0" fillId="0" fontId="0" numFmtId="0" applyAlignment="1" applyFont="1"/>
  </cellStyleXfs>
  <cellXfs count="34">
    <xf borderId="0" fillId="0" fontId="0" numFmtId="0" xfId="0" applyAlignment="1" applyFont="1">
      <alignment readingOrder="0" shrinkToFit="0" vertical="bottom" wrapText="0"/>
    </xf>
    <xf borderId="0" fillId="0" fontId="1" numFmtId="0" xfId="0" applyAlignment="1" applyFont="1">
      <alignment vertical="top"/>
    </xf>
    <xf borderId="0" fillId="0" fontId="2" numFmtId="0" xfId="0" applyAlignment="1" applyFont="1">
      <alignment vertical="top"/>
    </xf>
    <xf borderId="1" fillId="2" fontId="3" numFmtId="0" xfId="0" applyAlignment="1" applyBorder="1" applyFill="1" applyFont="1">
      <alignment horizontal="center" shrinkToFit="0" vertical="center" wrapText="1"/>
    </xf>
    <xf borderId="0" fillId="0" fontId="1" numFmtId="0" xfId="0" applyAlignment="1" applyFont="1">
      <alignment shrinkToFit="0" vertical="top" wrapText="1"/>
    </xf>
    <xf borderId="1" fillId="2" fontId="3" numFmtId="0" xfId="0" applyAlignment="1" applyBorder="1" applyFill="1" applyFont="1">
      <alignment horizontal="center" readingOrder="0" shrinkToFit="0" vertical="center" wrapText="1"/>
    </xf>
    <xf borderId="0" fillId="0" fontId="1" numFmtId="164" xfId="0" applyAlignment="1" applyFont="1" applyNumberFormat="1">
      <alignment vertical="top"/>
    </xf>
    <xf borderId="0" fillId="0" fontId="1" numFmtId="0" xfId="0" applyAlignment="1" applyFont="1">
      <alignment horizontal="center" vertical="center"/>
    </xf>
    <xf borderId="0" fillId="0" fontId="1" numFmtId="164" xfId="0" applyAlignment="1" applyFont="1" applyNumberFormat="1">
      <alignment shrinkToFit="0" vertical="top" wrapText="1"/>
    </xf>
    <xf borderId="0" fillId="0" fontId="1" numFmtId="0" xfId="0" applyAlignment="1" applyFont="1">
      <alignment readingOrder="0" shrinkToFit="0" vertical="top" wrapText="1"/>
    </xf>
    <xf borderId="0" fillId="0" fontId="1" numFmtId="0" xfId="0" applyAlignment="1" applyFont="1">
      <alignment shrinkToFit="0" vertical="top" wrapText="1"/>
    </xf>
    <xf borderId="1" fillId="3" fontId="4" numFmtId="164" xfId="0" applyAlignment="1" applyBorder="1" applyFill="1" applyFont="1" applyNumberFormat="1">
      <alignment shrinkToFit="0" vertical="top" wrapText="1"/>
    </xf>
    <xf borderId="1" fillId="3" fontId="4" numFmtId="165" xfId="0" applyAlignment="1" applyBorder="1" applyFill="1" applyFont="1" applyNumberFormat="1">
      <alignment shrinkToFit="0" vertical="top" wrapText="1"/>
    </xf>
    <xf borderId="1" fillId="3" fontId="4" numFmtId="1" xfId="0" applyAlignment="1" applyBorder="1" applyFill="1" applyFont="1" applyNumberFormat="1">
      <alignment shrinkToFit="0" vertical="top" wrapText="1"/>
    </xf>
    <xf borderId="0" fillId="0" fontId="1" numFmtId="165" xfId="0" applyAlignment="1" applyFont="1" applyNumberFormat="1">
      <alignment shrinkToFit="0" vertical="top" wrapText="1"/>
    </xf>
    <xf borderId="1" fillId="3" fontId="4" numFmtId="0" xfId="0" applyAlignment="1" applyBorder="1" applyFill="1" applyFont="1">
      <alignment shrinkToFit="0" vertical="top" wrapText="1"/>
    </xf>
    <xf borderId="1" fillId="3" fontId="4" numFmtId="166" xfId="0" applyAlignment="1" applyBorder="1" applyFill="1" applyFont="1" applyNumberFormat="1">
      <alignment shrinkToFit="0" vertical="top" wrapText="1"/>
    </xf>
    <xf borderId="0" fillId="0" fontId="1" numFmtId="164" xfId="0" applyAlignment="1" applyFont="1" applyNumberFormat="1">
      <alignment shrinkToFit="0" vertical="top" wrapText="1"/>
    </xf>
    <xf borderId="0" fillId="0" fontId="1" numFmtId="2" xfId="0" applyAlignment="1" applyFont="1" applyNumberFormat="1">
      <alignment shrinkToFit="0" vertical="top" wrapText="1"/>
    </xf>
    <xf borderId="0" fillId="0" fontId="1" numFmtId="165" xfId="0" applyAlignment="1" applyFont="1" applyNumberFormat="1">
      <alignment shrinkToFit="0" vertical="top" wrapText="1"/>
    </xf>
    <xf borderId="0" fillId="0" fontId="1" numFmtId="166" xfId="0" applyAlignment="1" applyFont="1" applyNumberFormat="1">
      <alignment shrinkToFit="0" vertical="top" wrapText="1"/>
    </xf>
    <xf borderId="0" fillId="0" fontId="1" numFmtId="10" xfId="0" applyAlignment="1" applyFont="1" applyNumberFormat="1">
      <alignment shrinkToFit="0" vertical="top" wrapText="1"/>
    </xf>
    <xf borderId="0" fillId="0" fontId="1" numFmtId="9" xfId="0" applyAlignment="1" applyFont="1" applyNumberFormat="1">
      <alignment shrinkToFit="0" vertical="top" wrapText="1"/>
    </xf>
    <xf borderId="1" fillId="3" fontId="4" numFmtId="2" xfId="0" applyAlignment="1" applyBorder="1" applyFill="1" applyFont="1" applyNumberFormat="1">
      <alignment shrinkToFit="0" vertical="top" wrapText="1"/>
    </xf>
    <xf borderId="1" fillId="3" fontId="4" numFmtId="164" xfId="0" applyAlignment="1" applyBorder="1" applyFill="1" applyFont="1" applyNumberFormat="1">
      <alignment shrinkToFit="0" vertical="top" wrapText="1"/>
    </xf>
    <xf borderId="0" fillId="0" fontId="5" numFmtId="0" xfId="0" applyAlignment="1" applyFont="1">
      <alignment vertical="top"/>
    </xf>
    <xf borderId="1" fillId="4" fontId="1" numFmtId="0" xfId="0" applyAlignment="1" applyBorder="1" applyFill="1" applyFont="1">
      <alignment shrinkToFit="0" vertical="top" wrapText="1"/>
    </xf>
    <xf borderId="1" fillId="4" fontId="1" numFmtId="165" xfId="0" applyAlignment="1" applyBorder="1" applyFill="1" applyFont="1" applyNumberFormat="1">
      <alignment shrinkToFit="0" vertical="top" wrapText="1"/>
    </xf>
    <xf borderId="1" fillId="4" fontId="1" numFmtId="2" xfId="0" applyAlignment="1" applyBorder="1" applyFill="1" applyFont="1" applyNumberFormat="1">
      <alignment shrinkToFit="0" vertical="top" wrapText="1"/>
    </xf>
    <xf borderId="1" fillId="4" fontId="1" numFmtId="10" xfId="0" applyAlignment="1" applyBorder="1" applyFill="1" applyFont="1" applyNumberFormat="1">
      <alignment shrinkToFit="0" vertical="top" wrapText="1"/>
    </xf>
    <xf borderId="1" fillId="4" fontId="1" numFmtId="164" xfId="0" applyAlignment="1" applyBorder="1" applyFill="1" applyFont="1" applyNumberFormat="1">
      <alignment shrinkToFit="0" vertical="top" wrapText="1"/>
    </xf>
    <xf borderId="1" fillId="4" fontId="1" numFmtId="166" xfId="0" applyAlignment="1" applyBorder="1" applyFill="1" applyFont="1" applyNumberFormat="1">
      <alignment shrinkToFit="0" vertical="top" wrapText="1"/>
    </xf>
    <xf borderId="1" fillId="4" fontId="1" numFmtId="0" xfId="0" applyAlignment="1" applyBorder="1" applyFill="1" applyFont="1">
      <alignment readingOrder="0" shrinkToFit="0" vertical="top" wrapText="1"/>
    </xf>
    <xf borderId="1" fillId="3" fontId="4" numFmtId="165" xfId="0" applyAlignment="1" applyBorder="1" applyFill="1" applyFont="1" applyNumberFormat="1">
      <alignment readingOrder="0" shrinkToFit="0" vertical="top" wrapText="1"/>
    </xf>
  </cellXfs>
  <cellStyles count="1">
    <cellStyle xfId="0" name="Normal" builtinId="0"/>
  </cellStyles>
  <dxfs count="9">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8D1828"/>
      </font>
      <fill>
        <patternFill patternType="solid">
          <fgColor rgb="FFF8D7DA"/>
          <bgColor rgb="FFF8D7DA"/>
        </patternFill>
      </fill>
      <border/>
    </dxf>
    <dxf>
      <font>
        <b/>
        <color rgb="FF8B3B00"/>
      </font>
      <fill>
        <patternFill patternType="solid">
          <fgColor rgb="FFFCE3C5"/>
          <bgColor rgb="FFFCE3C5"/>
        </patternFill>
      </fill>
      <border/>
    </dxf>
    <dxf>
      <font>
        <b/>
        <color rgb="FF6B5700"/>
      </font>
      <fill>
        <patternFill patternType="solid">
          <fgColor rgb="FFFFF2CC"/>
          <bgColor rgb="FFFFF2CC"/>
        </patternFill>
      </fill>
      <border/>
    </dxf>
    <dxf>
      <font>
        <b/>
        <color rgb="FF1B5B40"/>
      </font>
      <fill>
        <patternFill patternType="solid">
          <fgColor rgb="FFE1EFE8"/>
          <bgColor rgb="FFE1EFE8"/>
        </patternFill>
      </fill>
      <border/>
    </dxf>
  </dxfs>
  <tableStyles count="5">
    <tableStyle count="4" pivot="0" name="Cuantitativo-style">
      <tableStyleElement dxfId="1" type="headerRow"/>
      <tableStyleElement dxfId="2" type="firstRowStripe"/>
      <tableStyleElement dxfId="3" type="secondRowStripe"/>
      <tableStyleElement dxfId="4" size="0" type="wholeTable"/>
    </tableStyle>
    <tableStyle count="4" pivot="0" name="Resumen-style">
      <tableStyleElement dxfId="1" type="headerRow"/>
      <tableStyleElement dxfId="2" type="firstRowStripe"/>
      <tableStyleElement dxfId="3" type="secondRowStripe"/>
      <tableStyleElement dxfId="4" size="0" type="wholeTable"/>
    </tableStyle>
    <tableStyle count="4" pivot="0" name="Cualitativo-style">
      <tableStyleElement dxfId="1" type="headerRow"/>
      <tableStyleElement dxfId="2" type="firstRowStripe"/>
      <tableStyleElement dxfId="3" type="secondRowStripe"/>
      <tableStyleElement dxfId="4" size="0" type="wholeTable"/>
    </tableStyle>
    <tableStyle count="4" pivot="0" name="Parámetros-style">
      <tableStyleElement dxfId="1" type="headerRow"/>
      <tableStyleElement dxfId="2" type="firstRowStripe"/>
      <tableStyleElement dxfId="3" type="secondRowStripe"/>
      <tableStyleElement dxfId="4" size="0" type="wholeTable"/>
    </tableStyle>
    <tableStyle count="4" pivot="0" name="Registro original-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customschemas.google.com/relationships/workbookmetadata" Target="metadata"/><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22:H56" displayName="Priorizacion34" name="Priorizacion34" id="2">
  <tableColumns count="8">
    <tableColumn name="Lugar" id="1"/>
    <tableColumn name="ID" id="2"/>
    <tableColumn name="Riesgo" id="3"/>
    <tableColumn name="Exposición" id="4"/>
    <tableColumn name="Zona" id="5"/>
    <tableColumn name="VME CLP" id="6"/>
    <tableColumn name="Dueño propuesto" id="7"/>
    <tableColumn name="Ventana de ocurrencia" id="8"/>
  </tableColumns>
  <tableStyleInfo name="Resumen-style" showColumnStripes="0" showFirstColumn="1" showLastColumn="1" showRowStripes="1"/>
</table>
</file>

<file path=xl/tables/table2.xml><?xml version="1.0" encoding="utf-8"?>
<table xmlns="http://schemas.openxmlformats.org/spreadsheetml/2006/main" ref="A5:AC38" displayName="Cualificacion34" name="Cualificacion34" id="3">
  <tableColumns count="29">
    <tableColumn name="ID" id="1"/>
    <tableColumn name="Riesgo" id="2"/>
    <tableColumn name="Enunciado original" id="3"/>
    <tableColumn name="RBS" id="4"/>
    <tableColumn name="Dueño propuesto" id="5"/>
    <tableColumn name="P estimada" id="6"/>
    <tableColumn name="Nivel P" id="7"/>
    <tableColumn name="Factor P" id="8"/>
    <tableColumn name="Costo / contrato" id="9"/>
    <tableColumn name="Nivel costo (0 pendiente)" id="10"/>
    <tableColumn name="Demora central días" id="11"/>
    <tableColumn name="Nivel plazo" id="12"/>
    <tableColumn name="Nivel alcance/calidad" id="13"/>
    <tableColumn name="Fundamento alcance/calidad" id="14"/>
    <tableColumn name="Impacto global 1–5" id="15"/>
    <tableColumn name="Factor I" id="16"/>
    <tableColumn name="Exposición P×I" id="17"/>
    <tableColumn name="Zona" id="18"/>
    <tableColumn name="Prioridad" id="19"/>
    <tableColumn name="Urgencia" id="20"/>
    <tableColumn name="Ventana de ocurrencia" id="21"/>
    <tableColumn name="Disparador observable" id="22"/>
    <tableColumn name="Controlabilidad" id="23"/>
    <tableColumn name="Detectabilidad" id="24"/>
    <tableColumn name="Conectividad / IDs" id="25"/>
    <tableColumn name="Fundamento de probabilidad" id="26"/>
    <tableColumn name="Referencia de evidencia" id="27"/>
    <tableColumn name="VME CLP para desempate" id="28"/>
    <tableColumn name="Integridad / cobertura" id="29"/>
  </tableColumns>
  <tableStyleInfo name="Cualitativo-style" showColumnStripes="0" showFirstColumn="1" showLastColumn="1" showRowStripes="1"/>
</table>
</file>

<file path=xl/tables/table3.xml><?xml version="1.0" encoding="utf-8"?>
<table xmlns="http://schemas.openxmlformats.org/spreadsheetml/2006/main" ref="A5:AK38" displayName="Cuantificacion34" name="Cuantificacion34" id="1">
  <tableColumns count="37">
    <tableColumn name="ID" id="1"/>
    <tableColumn name="Riesgo" id="2"/>
    <tableColumn name="P de al menos un episodio" id="3"/>
    <tableColumn name="Episodios si ocurre ≥1" id="4"/>
    <tableColumn name="Perfil 1" id="5"/>
    <tableColumn name="HH1 O" id="6"/>
    <tableColumn name="HH1 M" id="7"/>
    <tableColumn name="HH1 P" id="8"/>
    <tableColumn name="Tarifa1 CLP/HH" id="9"/>
    <tableColumn name="HH1 central" id="10"/>
    <tableColumn name="Perfil 2" id="11"/>
    <tableColumn name="HH2 O" id="12"/>
    <tableColumn name="HH2 M" id="13"/>
    <tableColumn name="HH2 P" id="14"/>
    <tableColumn name="Tarifa2 CLP/HH" id="15"/>
    <tableColumn name="HH2 central" id="16"/>
    <tableColumn name="Gastos O CLP" id="17"/>
    <tableColumn name="Gastos M CLP" id="18"/>
    <tableColumn name="Gastos P CLP" id="19"/>
    <tableColumn name="Gastos centrales" id="20"/>
    <tableColumn name="Costo O por episodio" id="21"/>
    <tableColumn name="Costo M por episodio" id="22"/>
    <tableColumn name="Costo P por episodio" id="23"/>
    <tableColumn name="Costo central por episodio" id="24"/>
    <tableColumn name="Impacto condicional acumulado CLP" id="25"/>
    <tableColumn name="Valor monetario esperado CLP" id="26"/>
    <tableColumn name="Demora O días" id="27"/>
    <tableColumn name="Demora M días" id="28"/>
    <tableColumn name="Demora P días" id="29"/>
    <tableColumn name="Demora central días" id="30"/>
    <tableColumn name="Justificación del trabajo adicional" id="31"/>
    <tableColumn name="Justificación de demora" id="32"/>
    <tableColumn name="Justificación de episodios" id="33"/>
    <tableColumn name="Límites de costo / exclusiones" id="34"/>
    <tableColumn name="Costos compartidos / no duplicar" id="35"/>
    <tableColumn name="Fundamento de gastos" id="36"/>
    <tableColumn name="Naturaleza de entradas" id="37"/>
  </tableColumns>
  <tableStyleInfo name="Cuantitativo-style" showColumnStripes="0" showFirstColumn="1" showLastColumn="1" showRowStripes="1"/>
</table>
</file>

<file path=xl/tables/table4.xml><?xml version="1.0" encoding="utf-8"?>
<table xmlns="http://schemas.openxmlformats.org/spreadsheetml/2006/main" ref="A57:F91" displayName="Evidencia34" name="Evidencia34" id="4">
  <tableColumns count="6">
    <tableColumn name="ID" id="1"/>
    <tableColumn name="Documento de evidencia directa" id="2"/>
    <tableColumn name="Página física PDF" id="3"/>
    <tableColumn name="Extracto de contexto" id="4"/>
    <tableColumn name="Fuente del enunciado original" id="5"/>
    <tableColumn name="Calidad y límite de evidencia" id="6"/>
  </tableColumns>
  <tableStyleInfo name="Parámetros-style" showColumnStripes="0" showFirstColumn="1" showLastColumn="1" showRowStripes="1"/>
</table>
</file>

<file path=xl/tables/table5.xml><?xml version="1.0" encoding="utf-8"?>
<table xmlns="http://schemas.openxmlformats.org/spreadsheetml/2006/main" ref="A5:E38" displayName="RegistroFuente" name="RegistroFuente" id="5">
  <tableColumns count="5">
    <tableColumn name="ID" id="1"/>
    <tableColumn name="Título original" id="2"/>
    <tableColumn name="Rama de la RBS" id="3"/>
    <tableColumn name="Descripción unificada original" id="4"/>
    <tableColumn name="Por qué compete a LafroX" id="5"/>
  </tableColumns>
  <tableStyleInfo name="Registro original-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243B53"/>
    <pageSetUpPr/>
  </sheetPr>
  <sheetViews>
    <sheetView showGridLines="0" workbookViewId="0"/>
  </sheetViews>
  <sheetFormatPr customHeight="1" defaultColWidth="12.63" defaultRowHeight="15.0"/>
  <cols>
    <col customWidth="1" min="1" max="1" width="38.0"/>
    <col customWidth="1" min="2" max="2" width="28.0"/>
    <col customWidth="1" min="3" max="3" width="66.0"/>
    <col customWidth="1" min="4" max="5" width="17.0"/>
    <col customWidth="1" min="6" max="6" width="26.0"/>
    <col customWidth="1" min="7" max="7" width="38.0"/>
    <col customWidth="1" min="8" max="8" width="55.0"/>
    <col customWidth="1" min="9" max="13" width="12.0"/>
    <col customWidth="1" min="14" max="14" width="3.0"/>
    <col customWidth="1" min="15" max="26" width="8.63"/>
  </cols>
  <sheetData>
    <row r="1">
      <c r="A1" s="1"/>
      <c r="B1" s="1"/>
      <c r="C1" s="1"/>
      <c r="D1" s="1"/>
      <c r="E1" s="1"/>
      <c r="F1" s="1"/>
      <c r="G1" s="1"/>
      <c r="H1" s="1"/>
      <c r="I1" s="1"/>
      <c r="J1" s="1"/>
      <c r="K1" s="1"/>
      <c r="L1" s="1"/>
      <c r="M1" s="1"/>
      <c r="N1" s="1"/>
    </row>
    <row r="2" ht="27.75" customHeight="1">
      <c r="A2" s="2" t="s">
        <v>0</v>
      </c>
      <c r="B2" s="1"/>
      <c r="C2" s="1"/>
      <c r="D2" s="1"/>
      <c r="E2" s="1"/>
      <c r="F2" s="1"/>
      <c r="G2" s="1"/>
      <c r="H2" s="1"/>
      <c r="I2" s="1"/>
      <c r="J2" s="1"/>
      <c r="K2" s="1"/>
      <c r="L2" s="1"/>
      <c r="M2" s="1"/>
      <c r="N2" s="1"/>
    </row>
    <row r="3">
      <c r="A3" s="1" t="s">
        <v>1</v>
      </c>
      <c r="B3" s="1"/>
      <c r="C3" s="1"/>
      <c r="D3" s="1"/>
      <c r="E3" s="1"/>
      <c r="F3" s="1"/>
      <c r="G3" s="1"/>
      <c r="H3" s="1"/>
      <c r="I3" s="1"/>
      <c r="J3" s="1"/>
      <c r="K3" s="1"/>
      <c r="L3" s="1"/>
      <c r="M3" s="1"/>
      <c r="N3" s="1"/>
    </row>
    <row r="4">
      <c r="A4" s="1"/>
      <c r="B4" s="1"/>
      <c r="C4" s="1"/>
      <c r="D4" s="1"/>
      <c r="E4" s="1"/>
      <c r="F4" s="1"/>
      <c r="G4" s="1"/>
      <c r="H4" s="1" t="s">
        <v>2</v>
      </c>
      <c r="I4" s="1"/>
      <c r="J4" s="1"/>
      <c r="K4" s="1"/>
      <c r="L4" s="1"/>
      <c r="M4" s="1"/>
      <c r="N4" s="1"/>
    </row>
    <row r="5" ht="55.5" customHeight="1">
      <c r="A5" s="3" t="s">
        <v>4</v>
      </c>
      <c r="B5" s="3" t="s">
        <v>5</v>
      </c>
      <c r="C5" s="1"/>
      <c r="D5" s="3" t="s">
        <v>6</v>
      </c>
      <c r="E5" s="3" t="s">
        <v>7</v>
      </c>
      <c r="F5" s="3" t="s">
        <v>9</v>
      </c>
      <c r="G5" s="1"/>
      <c r="H5" s="3" t="s">
        <v>11</v>
      </c>
      <c r="I5" s="3">
        <v>1.0</v>
      </c>
      <c r="J5" s="3">
        <v>2.0</v>
      </c>
      <c r="K5" s="3">
        <v>3.0</v>
      </c>
      <c r="L5" s="3">
        <v>4.0</v>
      </c>
      <c r="M5" s="3">
        <v>5.0</v>
      </c>
      <c r="N5" s="1"/>
    </row>
    <row r="6" ht="39.75" customHeight="1">
      <c r="A6" s="4" t="s">
        <v>12</v>
      </c>
      <c r="B6" s="4">
        <f>COUNTA('Registro original'!A6:A38)</f>
        <v>33</v>
      </c>
      <c r="C6" s="1"/>
      <c r="D6" s="1" t="s">
        <v>15</v>
      </c>
      <c r="E6" s="1">
        <f>COUNTIF(Cualitativo!$R$6:$R$38,D6)</f>
        <v>2</v>
      </c>
      <c r="F6" s="6">
        <f>SUMIF(Cualitativo!$R$6:$R$38,D6,Cualitativo!$AB$6:$AB$38)</f>
        <v>2638933.333</v>
      </c>
      <c r="G6" s="1"/>
      <c r="H6" s="1">
        <v>5.0</v>
      </c>
      <c r="I6" s="7">
        <f>COUNTIFS(Cualitativo!$G$6:$G$38,$H6,Cualitativo!$O$6:$O$38,I$5)</f>
        <v>0</v>
      </c>
      <c r="J6" s="7">
        <f>COUNTIFS(Cualitativo!$G$6:$G$38,$H6,Cualitativo!$O$6:$O$38,J$5)</f>
        <v>0</v>
      </c>
      <c r="K6" s="7">
        <f>COUNTIFS(Cualitativo!$G$6:$G$38,$H6,Cualitativo!$O$6:$O$38,K$5)</f>
        <v>0</v>
      </c>
      <c r="L6" s="7">
        <f>COUNTIFS(Cualitativo!$G$6:$G$38,$H6,Cualitativo!$O$6:$O$38,L$5)</f>
        <v>0</v>
      </c>
      <c r="M6" s="7">
        <f>COUNTIFS(Cualitativo!$G$6:$G$38,$H6,Cualitativo!$O$6:$O$38,M$5)</f>
        <v>0</v>
      </c>
      <c r="N6" s="1"/>
    </row>
    <row r="7" ht="39.75" customHeight="1">
      <c r="A7" s="4" t="s">
        <v>57</v>
      </c>
      <c r="B7" s="8" t="str">
        <f>IF(COUNT(Cuantitativo!Z6:Z38)=34,SUM(Cuantitativo!Z6:Z38),"Faltan impactos")</f>
        <v>Faltan impactos</v>
      </c>
      <c r="C7" s="1"/>
      <c r="D7" s="1" t="s">
        <v>70</v>
      </c>
      <c r="E7" s="1">
        <f>COUNTIF(Cualitativo!$R$6:$R$38,D7)</f>
        <v>7</v>
      </c>
      <c r="F7" s="6">
        <f>SUMIF(Cualitativo!$R$6:$R$38,D7,Cualitativo!$AB$6:$AB$38)</f>
        <v>4345333.333</v>
      </c>
      <c r="G7" s="1"/>
      <c r="H7" s="1">
        <v>4.0</v>
      </c>
      <c r="I7" s="7">
        <f>COUNTIFS(Cualitativo!$G$6:$G$38,$H7,Cualitativo!$O$6:$O$38,I$5)</f>
        <v>0</v>
      </c>
      <c r="J7" s="7">
        <f>COUNTIFS(Cualitativo!$G$6:$G$38,$H7,Cualitativo!$O$6:$O$38,J$5)</f>
        <v>0</v>
      </c>
      <c r="K7" s="7">
        <f>COUNTIFS(Cualitativo!$G$6:$G$38,$H7,Cualitativo!$O$6:$O$38,K$5)</f>
        <v>2</v>
      </c>
      <c r="L7" s="7">
        <f>COUNTIFS(Cualitativo!$G$6:$G$38,$H7,Cualitativo!$O$6:$O$38,L$5)</f>
        <v>1</v>
      </c>
      <c r="M7" s="7">
        <f>COUNTIFS(Cualitativo!$G$6:$G$38,$H7,Cualitativo!$O$6:$O$38,M$5)</f>
        <v>1</v>
      </c>
      <c r="N7" s="1"/>
    </row>
    <row r="8" ht="39.75" customHeight="1">
      <c r="A8" s="4" t="s">
        <v>87</v>
      </c>
      <c r="B8" s="8" t="str">
        <f>IF(COUNT(Cuantitativo!Y6:Y38)=34,SUM(Cuantitativo!Y6:Y38),"Faltan impactos")</f>
        <v>Faltan impactos</v>
      </c>
      <c r="C8" s="1"/>
      <c r="D8" s="1" t="s">
        <v>88</v>
      </c>
      <c r="E8" s="1">
        <f>COUNTIF(Cualitativo!$R$6:$R$38,D8)</f>
        <v>15</v>
      </c>
      <c r="F8" s="6">
        <f>SUMIF(Cualitativo!$R$6:$R$38,D8,Cualitativo!$AB$6:$AB$38)</f>
        <v>8547193.333</v>
      </c>
      <c r="G8" s="1"/>
      <c r="H8" s="1">
        <v>3.0</v>
      </c>
      <c r="I8" s="7">
        <f>COUNTIFS(Cualitativo!$G$6:$G$38,$H8,Cualitativo!$O$6:$O$38,I$5)</f>
        <v>0</v>
      </c>
      <c r="J8" s="7">
        <f>COUNTIFS(Cualitativo!$G$6:$G$38,$H8,Cualitativo!$O$6:$O$38,J$5)</f>
        <v>0</v>
      </c>
      <c r="K8" s="7">
        <f>COUNTIFS(Cualitativo!$G$6:$G$38,$H8,Cualitativo!$O$6:$O$38,K$5)</f>
        <v>7</v>
      </c>
      <c r="L8" s="7">
        <f>COUNTIFS(Cualitativo!$G$6:$G$38,$H8,Cualitativo!$O$6:$O$38,L$5)</f>
        <v>2</v>
      </c>
      <c r="M8" s="7">
        <f>COUNTIFS(Cualitativo!$G$6:$G$38,$H8,Cualitativo!$O$6:$O$38,M$5)</f>
        <v>1</v>
      </c>
      <c r="N8" s="1"/>
    </row>
    <row r="9" ht="39.75" customHeight="1">
      <c r="A9" s="4" t="s">
        <v>111</v>
      </c>
      <c r="B9" s="19" t="str">
        <f>IF('Parámetros'!B7="","Pendiente",IF('Parámetros'!B7&gt;0,B7/'Parámetros'!B7,"Revisar base"))</f>
        <v>Pendiente</v>
      </c>
      <c r="C9" s="1"/>
      <c r="D9" s="1" t="s">
        <v>125</v>
      </c>
      <c r="E9" s="1">
        <f>COUNTIF(Cualitativo!$R$6:$R$38,D9)</f>
        <v>9</v>
      </c>
      <c r="F9" s="6">
        <f>SUMIF(Cualitativo!$R$6:$R$38,D9,Cualitativo!$AB$6:$AB$38)</f>
        <v>912816.6667</v>
      </c>
      <c r="G9" s="1"/>
      <c r="H9" s="1">
        <v>2.0</v>
      </c>
      <c r="I9" s="7">
        <f>COUNTIFS(Cualitativo!$G$6:$G$38,$H9,Cualitativo!$O$6:$O$38,I$5)</f>
        <v>0</v>
      </c>
      <c r="J9" s="7">
        <f>COUNTIFS(Cualitativo!$G$6:$G$38,$H9,Cualitativo!$O$6:$O$38,J$5)</f>
        <v>1</v>
      </c>
      <c r="K9" s="7">
        <f>COUNTIFS(Cualitativo!$G$6:$G$38,$H9,Cualitativo!$O$6:$O$38,K$5)</f>
        <v>1</v>
      </c>
      <c r="L9" s="7">
        <f>COUNTIFS(Cualitativo!$G$6:$G$38,$H9,Cualitativo!$O$6:$O$38,L$5)</f>
        <v>6</v>
      </c>
      <c r="M9" s="7">
        <f>COUNTIFS(Cualitativo!$G$6:$G$38,$H9,Cualitativo!$O$6:$O$38,M$5)</f>
        <v>4</v>
      </c>
      <c r="N9" s="1"/>
    </row>
    <row r="10" ht="31.5" customHeight="1">
      <c r="A10" s="1"/>
      <c r="B10" s="1"/>
      <c r="C10" s="1"/>
      <c r="D10" s="1"/>
      <c r="E10" s="1"/>
      <c r="F10" s="1"/>
      <c r="G10" s="1"/>
      <c r="H10" s="1">
        <v>1.0</v>
      </c>
      <c r="I10" s="7">
        <f>COUNTIFS(Cualitativo!$G$6:$G$38,$H10,Cualitativo!$O$6:$O$38,I$5)</f>
        <v>0</v>
      </c>
      <c r="J10" s="7">
        <f>COUNTIFS(Cualitativo!$G$6:$G$38,$H10,Cualitativo!$O$6:$O$38,J$5)</f>
        <v>2</v>
      </c>
      <c r="K10" s="7">
        <f>COUNTIFS(Cualitativo!$G$6:$G$38,$H10,Cualitativo!$O$6:$O$38,K$5)</f>
        <v>4</v>
      </c>
      <c r="L10" s="7">
        <f>COUNTIFS(Cualitativo!$G$6:$G$38,$H10,Cualitativo!$O$6:$O$38,L$5)</f>
        <v>1</v>
      </c>
      <c r="M10" s="7">
        <f>COUNTIFS(Cualitativo!$G$6:$G$38,$H10,Cualitativo!$O$6:$O$38,M$5)</f>
        <v>0</v>
      </c>
      <c r="N10" s="1"/>
    </row>
    <row r="11">
      <c r="A11" s="1"/>
      <c r="B11" s="1"/>
      <c r="C11" s="1"/>
      <c r="D11" s="1"/>
      <c r="E11" s="1"/>
      <c r="F11" s="1"/>
      <c r="G11" s="1"/>
      <c r="H11" s="4" t="s">
        <v>158</v>
      </c>
      <c r="N11" s="1"/>
    </row>
    <row r="12">
      <c r="A12" s="1"/>
      <c r="B12" s="1"/>
      <c r="C12" s="1"/>
      <c r="D12" s="1"/>
      <c r="E12" s="1"/>
      <c r="F12" s="1"/>
      <c r="G12" s="1"/>
      <c r="H12" s="1"/>
      <c r="I12" s="1"/>
      <c r="J12" s="1"/>
      <c r="K12" s="1"/>
      <c r="L12" s="1"/>
      <c r="M12" s="1"/>
      <c r="N12" s="1"/>
    </row>
    <row r="13" ht="37.5" customHeight="1">
      <c r="A13" s="4" t="s">
        <v>162</v>
      </c>
      <c r="B13" s="4" t="s">
        <v>164</v>
      </c>
      <c r="N13" s="1"/>
    </row>
    <row r="14" ht="37.5" customHeight="1">
      <c r="A14" s="4" t="s">
        <v>166</v>
      </c>
      <c r="B14" s="4" t="s">
        <v>167</v>
      </c>
      <c r="N14" s="1"/>
    </row>
    <row r="15" ht="37.5" customHeight="1">
      <c r="A15" s="4" t="s">
        <v>169</v>
      </c>
      <c r="B15" s="4" t="s">
        <v>170</v>
      </c>
      <c r="N15" s="1"/>
    </row>
    <row r="16" ht="37.5" customHeight="1">
      <c r="A16" s="4" t="s">
        <v>172</v>
      </c>
      <c r="B16" s="4" t="s">
        <v>174</v>
      </c>
      <c r="N16" s="1"/>
    </row>
    <row r="17" ht="37.5" customHeight="1">
      <c r="A17" s="4" t="s">
        <v>176</v>
      </c>
      <c r="B17" s="4" t="s">
        <v>177</v>
      </c>
      <c r="N17" s="1"/>
    </row>
    <row r="18" ht="37.5" customHeight="1">
      <c r="A18" s="4" t="s">
        <v>178</v>
      </c>
      <c r="B18" s="4" t="s">
        <v>180</v>
      </c>
      <c r="N18" s="1"/>
    </row>
    <row r="19">
      <c r="A19" s="1"/>
      <c r="B19" s="1"/>
      <c r="C19" s="1"/>
      <c r="D19" s="1"/>
      <c r="E19" s="1"/>
      <c r="F19" s="1"/>
      <c r="G19" s="1"/>
      <c r="H19" s="1"/>
      <c r="I19" s="1"/>
      <c r="J19" s="1"/>
      <c r="K19" s="1"/>
      <c r="L19" s="1"/>
      <c r="M19" s="1"/>
      <c r="N19" s="1"/>
    </row>
    <row r="20">
      <c r="A20" s="25" t="s">
        <v>186</v>
      </c>
      <c r="B20" s="1"/>
      <c r="C20" s="1"/>
      <c r="D20" s="1"/>
      <c r="E20" s="1"/>
      <c r="F20" s="1"/>
      <c r="G20" s="1"/>
      <c r="H20" s="1"/>
      <c r="I20" s="1"/>
      <c r="J20" s="1"/>
      <c r="K20" s="1"/>
      <c r="L20" s="1"/>
      <c r="M20" s="1"/>
      <c r="N20" s="1"/>
    </row>
    <row r="21" ht="15.75" customHeight="1">
      <c r="A21" s="1"/>
      <c r="B21" s="1"/>
      <c r="C21" s="1"/>
      <c r="D21" s="1"/>
      <c r="E21" s="1"/>
      <c r="F21" s="1"/>
      <c r="G21" s="1"/>
      <c r="H21" s="1"/>
      <c r="I21" s="1"/>
      <c r="J21" s="1"/>
      <c r="K21" s="1"/>
      <c r="L21" s="1"/>
      <c r="M21" s="1"/>
      <c r="N21" s="1"/>
    </row>
    <row r="22" ht="55.5" customHeight="1">
      <c r="A22" s="5" t="s">
        <v>190</v>
      </c>
      <c r="B22" s="5" t="s">
        <v>14</v>
      </c>
      <c r="C22" s="5" t="s">
        <v>16</v>
      </c>
      <c r="D22" s="5" t="s">
        <v>195</v>
      </c>
      <c r="E22" s="5" t="s">
        <v>6</v>
      </c>
      <c r="F22" s="5" t="s">
        <v>9</v>
      </c>
      <c r="G22" s="5" t="s">
        <v>19</v>
      </c>
      <c r="H22" s="5" t="s">
        <v>49</v>
      </c>
      <c r="I22" s="1"/>
      <c r="J22" s="1"/>
      <c r="K22" s="1"/>
      <c r="L22" s="1"/>
      <c r="M22" s="1"/>
      <c r="N22" s="1"/>
    </row>
    <row r="23" ht="57.75" customHeight="1">
      <c r="A23" s="10">
        <v>1.0</v>
      </c>
      <c r="B23" s="10" t="str">
        <f t="array" ref="B23">INDEX(Cualitativo!$A$6:$A$38,MATCH(A23,Cualitativo!$S$6:$S$38,0))</f>
        <v>R-002</v>
      </c>
      <c r="C23" s="10" t="str">
        <f t="array" ref="C23">INDEX(Cualitativo!$B$6:$B$38,MATCH($B23,Cualitativo!$A$6:$A$38,0))</f>
        <v>Defectos de historia sanitaria de origen impiden cerrar una carga</v>
      </c>
      <c r="D23" s="18">
        <f t="array" ref="D23">INDEX(Cualitativo!$Q$6:$Q$38,MATCH($B23,Cualitativo!$A$6:$A$38,0))</f>
        <v>0.56</v>
      </c>
      <c r="E23" s="10" t="str">
        <f t="array" ref="E23">INDEX(Cualitativo!$R$6:$R$38,MATCH($B23,Cualitativo!$A$6:$A$38,0))</f>
        <v>Crítica</v>
      </c>
      <c r="F23" s="17">
        <f t="array" ref="F23">INDEX(Cualitativo!$AB$6:$AB$38,MATCH($B23,Cualitativo!$A$6:$A$38,0))</f>
        <v>2176000</v>
      </c>
      <c r="G23" s="10" t="str">
        <f t="array" ref="G23">INDEX(Cualitativo!$E$6:$E$38,MATCH($B23,Cualitativo!$A$6:$A$38,0))</f>
        <v>Líder de datos</v>
      </c>
      <c r="H23" s="10" t="str">
        <f t="array" ref="H23">INDEX(Cualitativo!$U$6:$U$38,MATCH($B23,Cualitativo!$A$6:$A$38,0))</f>
        <v>Meses 3–12, perfilado y ensayos de carga sanitaria E1</v>
      </c>
      <c r="I23" s="1"/>
      <c r="J23" s="1"/>
      <c r="K23" s="1"/>
      <c r="L23" s="1"/>
      <c r="M23" s="1"/>
      <c r="N23" s="1"/>
    </row>
    <row r="24" ht="57.75" customHeight="1">
      <c r="A24" s="26">
        <v>2.0</v>
      </c>
      <c r="B24" s="26" t="str">
        <f t="array" ref="B24">INDEX(Cualitativo!$A$6:$A$38,MATCH(A24,Cualitativo!$S$6:$S$38,0))</f>
        <v>R-011</v>
      </c>
      <c r="C24" s="26" t="str">
        <f t="array" ref="C24">INDEX(Cualitativo!$B$6:$B$38,MATCH($B24,Cualitativo!$A$6:$A$38,0))</f>
        <v>Calidad no entrega la matriz térmica aprobada antes de certificar</v>
      </c>
      <c r="D24" s="28">
        <f t="array" ref="D24">INDEX(Cualitativo!$Q$6:$Q$38,MATCH($B24,Cualitativo!$A$6:$A$38,0))</f>
        <v>0.4</v>
      </c>
      <c r="E24" s="26" t="str">
        <f t="array" ref="E24">INDEX(Cualitativo!$R$6:$R$38,MATCH($B24,Cualitativo!$A$6:$A$38,0))</f>
        <v>Crítica</v>
      </c>
      <c r="F24" s="30">
        <f t="array" ref="F24">INDEX(Cualitativo!$AB$6:$AB$38,MATCH($B24,Cualitativo!$A$6:$A$38,0))</f>
        <v>462933.3333</v>
      </c>
      <c r="G24" s="26" t="str">
        <f t="array" ref="G24">INDEX(Cualitativo!$E$6:$E$38,MATCH($B24,Cualitativo!$A$6:$A$38,0))</f>
        <v>Líder funcional de Calidad</v>
      </c>
      <c r="H24" s="26" t="str">
        <f t="array" ref="H24">INDEX(Cualitativo!$U$6:$U$38,MATCH($B24,Cualitativo!$A$6:$A$38,0))</f>
        <v>Meses 1–15, matriz requerida antes del cierre de marcha blanca E1</v>
      </c>
      <c r="I24" s="1"/>
      <c r="J24" s="1"/>
      <c r="K24" s="1"/>
      <c r="L24" s="1"/>
      <c r="M24" s="1"/>
      <c r="N24" s="1"/>
    </row>
    <row r="25" ht="57.75" customHeight="1">
      <c r="A25" s="10">
        <v>3.0</v>
      </c>
      <c r="B25" s="10" t="str">
        <f t="array" ref="B25">INDEX(Cualitativo!$A$6:$A$38,MATCH(A25,Cualitativo!$S$6:$S$38,0))</f>
        <v>R-015</v>
      </c>
      <c r="C25" s="10" t="str">
        <f t="array" ref="C25">INDEX(Cualitativo!$B$6:$B$38,MATCH($B25,Cualitativo!$A$6:$A$38,0))</f>
        <v>Usuarios mantienen el proceso anterior en lugar de registrar en la solución</v>
      </c>
      <c r="D25" s="18">
        <f t="array" ref="D25">INDEX(Cualitativo!$Q$6:$Q$38,MATCH($B25,Cualitativo!$A$6:$A$38,0))</f>
        <v>0.28</v>
      </c>
      <c r="E25" s="10" t="str">
        <f t="array" ref="E25">INDEX(Cualitativo!$R$6:$R$38,MATCH($B25,Cualitativo!$A$6:$A$38,0))</f>
        <v>Alta</v>
      </c>
      <c r="F25" s="17">
        <f t="array" ref="F25">INDEX(Cualitativo!$AB$6:$AB$38,MATCH($B25,Cualitativo!$A$6:$A$38,0))</f>
        <v>1267200</v>
      </c>
      <c r="G25" s="10" t="str">
        <f t="array" ref="G25">INDEX(Cualitativo!$E$6:$E$38,MATCH($B25,Cualitativo!$A$6:$A$38,0))</f>
        <v>Líder de gestión del cambio</v>
      </c>
      <c r="H25" s="10" t="str">
        <f t="array" ref="H25">INDEX(Cualitativo!$U$6:$U$38,MATCH($B25,Cualitativo!$A$6:$A$38,0))</f>
        <v>Meses 13–15 y 19–20, adopción durante las olas</v>
      </c>
      <c r="I25" s="1"/>
      <c r="J25" s="1"/>
      <c r="K25" s="1"/>
      <c r="L25" s="1"/>
      <c r="M25" s="1"/>
      <c r="N25" s="1"/>
    </row>
    <row r="26" ht="57.75" customHeight="1">
      <c r="A26" s="26">
        <v>4.0</v>
      </c>
      <c r="B26" s="26" t="str">
        <f t="array" ref="B26">INDEX(Cualitativo!$A$6:$A$38,MATCH(A26,Cualitativo!$S$6:$S$38,0))</f>
        <v>R-027</v>
      </c>
      <c r="C26" s="26" t="str">
        <f t="array" ref="C26">INDEX(Cualitativo!$B$6:$B$38,MATCH($B26,Cualitativo!$A$6:$A$38,0))</f>
        <v>Atacante utiliza una cuenta administrativa comprometida contra la evidencia (phishing)</v>
      </c>
      <c r="D26" s="28">
        <f t="array" ref="D26">INDEX(Cualitativo!$Q$6:$Q$38,MATCH($B26,Cualitativo!$A$6:$A$38,0))</f>
        <v>0.24</v>
      </c>
      <c r="E26" s="26" t="str">
        <f t="array" ref="E26">INDEX(Cualitativo!$R$6:$R$38,MATCH($B26,Cualitativo!$A$6:$A$38,0))</f>
        <v>Alta</v>
      </c>
      <c r="F26" s="30">
        <f t="array" ref="F26">INDEX(Cualitativo!$AB$6:$AB$38,MATCH($B26,Cualitativo!$A$6:$A$38,0))</f>
        <v>482800</v>
      </c>
      <c r="G26" s="26" t="str">
        <f t="array" ref="G26">INDEX(Cualitativo!$E$6:$E$38,MATCH($B26,Cualitativo!$A$6:$A$38,0))</f>
        <v>Encargado de seguridad</v>
      </c>
      <c r="H26" s="26" t="str">
        <f t="array" ref="H26">INDEX(Cualitativo!$U$6:$U$38,MATCH($B26,Cualitativo!$A$6:$A$38,0))</f>
        <v>Meses 21–56, cuentas administrativas y custodia de evidencia</v>
      </c>
      <c r="I26" s="1"/>
      <c r="J26" s="1"/>
      <c r="K26" s="1"/>
      <c r="L26" s="1"/>
      <c r="M26" s="1"/>
      <c r="N26" s="1"/>
    </row>
    <row r="27" ht="57.75" customHeight="1">
      <c r="A27" s="10">
        <v>5.0</v>
      </c>
      <c r="B27" s="10" t="str">
        <f t="array" ref="B27">INDEX(Cualitativo!$A$6:$A$38,MATCH(A27,Cualitativo!$S$6:$S$38,0))</f>
        <v>R-016</v>
      </c>
      <c r="C27" s="10" t="str">
        <f t="array" ref="C27">INDEX(Cualitativo!$B$6:$B$38,MATCH($B27,Cualitativo!$A$6:$A$38,0))</f>
        <v>Planificador deja de estar disponible antes de validar sus excepciones</v>
      </c>
      <c r="D27" s="18">
        <f t="array" ref="D27">INDEX(Cualitativo!$Q$6:$Q$38,MATCH($B27,Cualitativo!$A$6:$A$38,0))</f>
        <v>0.24</v>
      </c>
      <c r="E27" s="10" t="str">
        <f t="array" ref="E27">INDEX(Cualitativo!$R$6:$R$38,MATCH($B27,Cualitativo!$A$6:$A$38,0))</f>
        <v>Alta</v>
      </c>
      <c r="F27" s="17">
        <f t="array" ref="F27">INDEX(Cualitativo!$AB$6:$AB$38,MATCH($B27,Cualitativo!$A$6:$A$38,0))</f>
        <v>355733.3333</v>
      </c>
      <c r="G27" s="10" t="str">
        <f t="array" ref="G27">INDEX(Cualitativo!$E$6:$E$38,MATCH($B27,Cualitativo!$A$6:$A$38,0))</f>
        <v>Líder funcional de rutas</v>
      </c>
      <c r="H27" s="10" t="str">
        <f t="array" ref="H27">INDEX(Cualitativo!$U$6:$U$38,MATCH($B27,Cualitativo!$A$6:$A$38,0))</f>
        <v>Meses 1–3, transferencia temprana de excepciones del planificador</v>
      </c>
      <c r="I27" s="1"/>
      <c r="J27" s="1"/>
      <c r="K27" s="1"/>
      <c r="L27" s="1"/>
      <c r="M27" s="1"/>
      <c r="N27" s="1"/>
    </row>
    <row r="28" ht="57.75" customHeight="1">
      <c r="A28" s="26">
        <v>6.0</v>
      </c>
      <c r="B28" s="26" t="str">
        <f t="array" ref="B28">INDEX(Cualitativo!$A$6:$A$38,MATCH(A28,Cualitativo!$S$6:$S$38,0))</f>
        <v>R-023</v>
      </c>
      <c r="C28" s="26" t="str">
        <f t="array" ref="C28">INDEX(Cualitativo!$B$6:$B$38,MATCH($B28,Cualitativo!$A$6:$A$38,0))</f>
        <v>Un uso no autorizado de credenciales robadas permite suplantar la identidad de otra persona para registrar pedidos o acceder a un portal</v>
      </c>
      <c r="D28" s="28">
        <f t="array" ref="D28">INDEX(Cualitativo!$Q$6:$Q$38,MATCH($B28,Cualitativo!$A$6:$A$38,0))</f>
        <v>0.24</v>
      </c>
      <c r="E28" s="26" t="str">
        <f t="array" ref="E28">INDEX(Cualitativo!$R$6:$R$38,MATCH($B28,Cualitativo!$A$6:$A$38,0))</f>
        <v>Alta</v>
      </c>
      <c r="F28" s="30">
        <f t="array" ref="F28">INDEX(Cualitativo!$AB$6:$AB$38,MATCH($B28,Cualitativo!$A$6:$A$38,0))</f>
        <v>319200</v>
      </c>
      <c r="G28" s="26" t="str">
        <f t="array" ref="G28">INDEX(Cualitativo!$E$6:$E$38,MATCH($B28,Cualitativo!$A$6:$A$38,0))</f>
        <v>Encargado de seguridad</v>
      </c>
      <c r="H28" s="26" t="str">
        <f t="array" ref="H28">INDEX(Cualitativo!$U$6:$U$38,MATCH($B28,Cualitativo!$A$6:$A$38,0))</f>
        <v>Meses 21–56, accesos de usuarios y portales</v>
      </c>
      <c r="I28" s="1"/>
      <c r="J28" s="1"/>
      <c r="K28" s="1"/>
      <c r="L28" s="1"/>
      <c r="M28" s="1"/>
      <c r="N28" s="1"/>
    </row>
    <row r="29" ht="57.75" customHeight="1">
      <c r="A29" s="10">
        <v>7.0</v>
      </c>
      <c r="B29" s="10" t="str">
        <f t="array" ref="B29">INDEX(Cualitativo!$A$6:$A$38,MATCH(A29,Cualitativo!$S$6:$S$38,0))</f>
        <v>R-022</v>
      </c>
      <c r="C29" s="10" t="str">
        <f t="array" ref="C29">INDEX(Cualitativo!$B$6:$B$38,MATCH($B29,Cualitativo!$A$6:$A$38,0))</f>
        <v>Cliente no autoriza la intervención urgente necesaria durante un congelamiento</v>
      </c>
      <c r="D29" s="18">
        <f t="array" ref="D29">INDEX(Cualitativo!$Q$6:$Q$38,MATCH($B29,Cualitativo!$A$6:$A$38,0))</f>
        <v>0.24</v>
      </c>
      <c r="E29" s="10" t="str">
        <f t="array" ref="E29">INDEX(Cualitativo!$R$6:$R$38,MATCH($B29,Cualitativo!$A$6:$A$38,0))</f>
        <v>Alta</v>
      </c>
      <c r="F29" s="17">
        <f t="array" ref="F29">INDEX(Cualitativo!$AB$6:$AB$38,MATCH($B29,Cualitativo!$A$6:$A$38,0))</f>
        <v>161200</v>
      </c>
      <c r="G29" s="10" t="str">
        <f t="array" ref="G29">INDEX(Cualitativo!$E$6:$E$38,MATCH($B29,Cualitativo!$A$6:$A$38,0))</f>
        <v>Encargado de seguridad</v>
      </c>
      <c r="H29" s="10" t="str">
        <f t="array" ref="H29">INDEX(Cualitativo!$U$6:$U$38,MATCH($B29,Cualitativo!$A$6:$A$38,0))</f>
        <v>Meses 21–56, incidentes que coincidan con congelamientos</v>
      </c>
      <c r="I29" s="1"/>
      <c r="J29" s="1"/>
      <c r="K29" s="1"/>
      <c r="L29" s="1"/>
      <c r="M29" s="1"/>
      <c r="N29" s="1"/>
    </row>
    <row r="30" ht="57.75" customHeight="1">
      <c r="A30" s="26">
        <v>8.0</v>
      </c>
      <c r="B30" s="26" t="str">
        <f t="array" ref="B30">INDEX(Cualitativo!$A$6:$A$38,MATCH(A30,Cualitativo!$S$6:$S$38,0))</f>
        <v>R-001</v>
      </c>
      <c r="C30" s="26" t="str">
        <f t="array" ref="C30">INDEX(Cualitativo!$B$6:$B$38,MATCH($B30,Cualitativo!$A$6:$A$38,0))</f>
        <v>Cadena comercial no completa oportunamente su certificación EDI</v>
      </c>
      <c r="D30" s="28">
        <f t="array" ref="D30">INDEX(Cualitativo!$Q$6:$Q$38,MATCH($B30,Cualitativo!$A$6:$A$38,0))</f>
        <v>0.2</v>
      </c>
      <c r="E30" s="26" t="str">
        <f t="array" ref="E30">INDEX(Cualitativo!$R$6:$R$38,MATCH($B30,Cualitativo!$A$6:$A$38,0))</f>
        <v>Alta</v>
      </c>
      <c r="F30" s="30">
        <f t="array" ref="F30">INDEX(Cualitativo!$AB$6:$AB$38,MATCH($B30,Cualitativo!$A$6:$A$38,0))</f>
        <v>914400</v>
      </c>
      <c r="G30" s="26" t="str">
        <f t="array" ref="G30">INDEX(Cualitativo!$E$6:$E$38,MATCH($B30,Cualitativo!$A$6:$A$38,0))</f>
        <v>Líder de integraciones</v>
      </c>
      <c r="H30" s="26" t="str">
        <f t="array" ref="H30">INDEX(Cualitativo!$U$6:$U$38,MATCH($B30,Cualitativo!$A$6:$A$38,0))</f>
        <v>Meses 13–20, antes de las cuatro semanas finales de evidencia E2</v>
      </c>
      <c r="I30" s="1"/>
      <c r="J30" s="1"/>
      <c r="K30" s="1"/>
      <c r="L30" s="1"/>
      <c r="M30" s="1"/>
      <c r="N30" s="1"/>
    </row>
    <row r="31" ht="57.75" customHeight="1">
      <c r="A31" s="10">
        <v>9.0</v>
      </c>
      <c r="B31" s="10" t="str">
        <f t="array" ref="B31">INDEX(Cualitativo!$A$6:$A$38,MATCH(A31,Cualitativo!$S$6:$S$38,0))</f>
        <v>R-018</v>
      </c>
      <c r="C31" s="10" t="str">
        <f t="array" ref="C31">INDEX(Cualitativo!$B$6:$B$38,MATCH($B31,Cualitativo!$A$6:$A$38,0))</f>
        <v>Contraparte no entrega una validación necesaria en la fecha prevista</v>
      </c>
      <c r="D31" s="18">
        <f t="array" ref="D31">INDEX(Cualitativo!$Q$6:$Q$38,MATCH($B31,Cualitativo!$A$6:$A$38,0))</f>
        <v>0.2</v>
      </c>
      <c r="E31" s="10" t="str">
        <f t="array" ref="E31">INDEX(Cualitativo!$R$6:$R$38,MATCH($B31,Cualitativo!$A$6:$A$38,0))</f>
        <v>Alta</v>
      </c>
      <c r="F31" s="17">
        <f t="array" ref="F31">INDEX(Cualitativo!$AB$6:$AB$38,MATCH($B31,Cualitativo!$A$6:$A$38,0))</f>
        <v>844800</v>
      </c>
      <c r="G31" s="10" t="str">
        <f t="array" ref="G31">INDEX(Cualitativo!$E$6:$E$38,MATCH($B31,Cualitativo!$A$6:$A$38,0))</f>
        <v>Jefe de proyecto</v>
      </c>
      <c r="H31" s="10" t="str">
        <f t="array" ref="H31">INDEX(Cualitativo!$U$6:$U$38,MATCH($B31,Cualitativo!$A$6:$A$38,0))</f>
        <v>Meses 1–20, decisiones de diseño y aceptación dependientes</v>
      </c>
      <c r="I31" s="1"/>
      <c r="J31" s="1"/>
      <c r="K31" s="1"/>
      <c r="L31" s="1"/>
      <c r="M31" s="1"/>
      <c r="N31" s="1"/>
    </row>
    <row r="32" ht="57.75" customHeight="1">
      <c r="A32" s="26">
        <v>10.0</v>
      </c>
      <c r="B32" s="26" t="str">
        <f t="array" ref="B32">INDEX(Cualitativo!$A$6:$A$38,MATCH(A32,Cualitativo!$S$6:$S$38,0))</f>
        <v>R-004</v>
      </c>
      <c r="C32" s="26" t="str">
        <f t="array" ref="C32">INDEX(Cualitativo!$B$6:$B$38,MATCH($B32,Cualitativo!$A$6:$A$38,0))</f>
        <v>Diferencias de inventario sin resolver antes del corte de migración</v>
      </c>
      <c r="D32" s="28">
        <f t="array" ref="D32">INDEX(Cualitativo!$Q$6:$Q$38,MATCH($B32,Cualitativo!$A$6:$A$38,0))</f>
        <v>0.14</v>
      </c>
      <c r="E32" s="26" t="str">
        <f t="array" ref="E32">INDEX(Cualitativo!$R$6:$R$38,MATCH($B32,Cualitativo!$A$6:$A$38,0))</f>
        <v>Media</v>
      </c>
      <c r="F32" s="30">
        <f t="array" ref="F32">INDEX(Cualitativo!$AB$6:$AB$38,MATCH($B32,Cualitativo!$A$6:$A$38,0))</f>
        <v>1123466.667</v>
      </c>
      <c r="G32" s="26" t="str">
        <f t="array" ref="G32">INDEX(Cualitativo!$E$6:$E$38,MATCH($B32,Cualitativo!$A$6:$A$38,0))</f>
        <v>Líder de migración</v>
      </c>
      <c r="H32" s="26" t="str">
        <f t="array" ref="H32">INDEX(Cualitativo!$U$6:$U$38,MATCH($B32,Cualitativo!$A$6:$A$38,0))</f>
        <v>Meses 11–15, antes de cada corte de inventario E1</v>
      </c>
      <c r="I32" s="1"/>
      <c r="J32" s="1"/>
      <c r="K32" s="1"/>
      <c r="L32" s="1"/>
      <c r="M32" s="1"/>
      <c r="N32" s="1"/>
    </row>
    <row r="33" ht="57.75" customHeight="1">
      <c r="A33" s="10">
        <v>11.0</v>
      </c>
      <c r="B33" s="10" t="str">
        <f t="array" ref="B33">INDEX(Cualitativo!$A$6:$A$38,MATCH(A33,Cualitativo!$S$6:$S$38,0))</f>
        <v>R-006</v>
      </c>
      <c r="C33" s="10" t="str">
        <f t="array" ref="C33">INDEX(Cualitativo!$B$6:$B$38,MATCH($B33,Cualitativo!$A$6:$A$38,0))</f>
        <v>Historia de origen insuficiente para sustentar las líneas base de aceptación</v>
      </c>
      <c r="D33" s="18">
        <f t="array" ref="D33">INDEX(Cualitativo!$Q$6:$Q$38,MATCH($B33,Cualitativo!$A$6:$A$38,0))</f>
        <v>0.14</v>
      </c>
      <c r="E33" s="10" t="str">
        <f t="array" ref="E33">INDEX(Cualitativo!$R$6:$R$38,MATCH($B33,Cualitativo!$A$6:$A$38,0))</f>
        <v>Media</v>
      </c>
      <c r="F33" s="17">
        <f t="array" ref="F33">INDEX(Cualitativo!$AB$6:$AB$38,MATCH($B33,Cualitativo!$A$6:$A$38,0))</f>
        <v>1076533.333</v>
      </c>
      <c r="G33" s="10" t="str">
        <f t="array" ref="G33">INDEX(Cualitativo!$E$6:$E$38,MATCH($B33,Cualitativo!$A$6:$A$38,0))</f>
        <v>Líder funcional</v>
      </c>
      <c r="H33" s="10" t="str">
        <f t="array" ref="H33">INDEX(Cualitativo!$U$6:$U$38,MATCH($B33,Cualitativo!$A$6:$A$38,0))</f>
        <v>Meses 1–3, definición y validación de las líneas base históricas</v>
      </c>
      <c r="I33" s="1"/>
      <c r="J33" s="1"/>
      <c r="K33" s="1"/>
      <c r="L33" s="1"/>
      <c r="M33" s="1"/>
      <c r="N33" s="1"/>
    </row>
    <row r="34" ht="57.75" customHeight="1">
      <c r="A34" s="26">
        <v>12.0</v>
      </c>
      <c r="B34" s="26" t="str">
        <f t="array" ref="B34">INDEX(Cualitativo!$A$6:$A$38,MATCH(A34,Cualitativo!$S$6:$S$38,0))</f>
        <v>R-021</v>
      </c>
      <c r="C34" s="26" t="str">
        <f t="array" ref="C34">INDEX(Cualitativo!$B$6:$B$38,MATCH($B34,Cualitativo!$A$6:$A$38,0))</f>
        <v>Falta la aprobación del cliente para tratar y respaldar datos en las regiones propuestas (revisar)</v>
      </c>
      <c r="D34" s="28">
        <f t="array" ref="D34">INDEX(Cualitativo!$Q$6:$Q$38,MATCH($B34,Cualitativo!$A$6:$A$38,0))</f>
        <v>0.12</v>
      </c>
      <c r="E34" s="26" t="str">
        <f t="array" ref="E34">INDEX(Cualitativo!$R$6:$R$38,MATCH($B34,Cualitativo!$A$6:$A$38,0))</f>
        <v>Media</v>
      </c>
      <c r="F34" s="30">
        <f t="array" ref="F34">INDEX(Cualitativo!$AB$6:$AB$38,MATCH($B34,Cualitativo!$A$6:$A$38,0))</f>
        <v>566400</v>
      </c>
      <c r="G34" s="26" t="str">
        <f t="array" ref="G34">INDEX(Cualitativo!$E$6:$E$38,MATCH($B34,Cualitativo!$A$6:$A$38,0))</f>
        <v>Arquitecto de solución</v>
      </c>
      <c r="H34" s="26" t="str">
        <f t="array" ref="H34">INDEX(Cualitativo!$U$6:$U$38,MATCH($B34,Cualitativo!$A$6:$A$38,0))</f>
        <v>Meses 1–6, aprobación antes de habilitar nube y recuperación</v>
      </c>
      <c r="I34" s="1"/>
      <c r="J34" s="1"/>
      <c r="K34" s="1"/>
      <c r="L34" s="1"/>
      <c r="M34" s="1"/>
      <c r="N34" s="1"/>
    </row>
    <row r="35" ht="57.75" customHeight="1">
      <c r="A35" s="10">
        <v>13.0</v>
      </c>
      <c r="B35" s="10" t="str">
        <f t="array" ref="B35">INDEX(Cualitativo!$A$6:$A$38,MATCH(A35,Cualitativo!$S$6:$S$38,0))</f>
        <v>R-033</v>
      </c>
      <c r="C35" s="10" t="str">
        <f t="array" ref="C35">INDEX(Cualitativo!$B$6:$B$38,MATCH($B35,Cualitativo!$A$6:$A$38,0))</f>
        <v>Cambios normativos</v>
      </c>
      <c r="D35" s="18">
        <f t="array" ref="D35">INDEX(Cualitativo!$Q$6:$Q$38,MATCH($B35,Cualitativo!$A$6:$A$38,0))</f>
        <v>0.12</v>
      </c>
      <c r="E35" s="10" t="str">
        <f t="array" ref="E35">INDEX(Cualitativo!$R$6:$R$38,MATCH($B35,Cualitativo!$A$6:$A$38,0))</f>
        <v>Media</v>
      </c>
      <c r="F35" s="17">
        <f t="array" ref="F35">INDEX(Cualitativo!$AB$6:$AB$38,MATCH($B35,Cualitativo!$A$6:$A$38,0))</f>
        <v>460800</v>
      </c>
      <c r="G35" s="10" t="str">
        <f t="array" ref="G35">INDEX(Cualitativo!$E$6:$E$38,MATCH($B35,Cualitativo!$A$6:$A$38,0))</f>
        <v>Arquitecto de solución</v>
      </c>
      <c r="H35" s="10" t="str">
        <f t="array" ref="H35">INDEX(Cualitativo!$U$6:$U$38,MATCH($B35,Cualitativo!$A$6:$A$38,0))</f>
        <v>Meses 1–56, vigencia con conservación y tratamiento de datos</v>
      </c>
      <c r="I35" s="1"/>
      <c r="J35" s="1"/>
      <c r="K35" s="1"/>
      <c r="L35" s="1"/>
      <c r="M35" s="1"/>
      <c r="N35" s="1"/>
    </row>
    <row r="36" ht="57.75" customHeight="1">
      <c r="A36" s="26">
        <v>14.0</v>
      </c>
      <c r="B36" s="26" t="str">
        <f t="array" ref="B36">INDEX(Cualitativo!$A$6:$A$38,MATCH(A36,Cualitativo!$S$6:$S$38,0))</f>
        <v>R-012</v>
      </c>
      <c r="C36" s="26" t="str">
        <f t="array" ref="C36">INDEX(Cualitativo!$B$6:$B$38,MATCH($B36,Cualitativo!$A$6:$A$38,0))</f>
        <v>Equipos que compra el cliente no llegan antes de la ola prevista</v>
      </c>
      <c r="D36" s="28">
        <f t="array" ref="D36">INDEX(Cualitativo!$Q$6:$Q$38,MATCH($B36,Cualitativo!$A$6:$A$38,0))</f>
        <v>0.12</v>
      </c>
      <c r="E36" s="26" t="str">
        <f t="array" ref="E36">INDEX(Cualitativo!$R$6:$R$38,MATCH($B36,Cualitativo!$A$6:$A$38,0))</f>
        <v>Media</v>
      </c>
      <c r="F36" s="30">
        <f t="array" ref="F36">INDEX(Cualitativo!$AB$6:$AB$38,MATCH($B36,Cualitativo!$A$6:$A$38,0))</f>
        <v>352000</v>
      </c>
      <c r="G36" s="26" t="str">
        <f t="array" ref="G36">INDEX(Cualitativo!$E$6:$E$38,MATCH($B36,Cualitativo!$A$6:$A$38,0))</f>
        <v>Líder de implantación</v>
      </c>
      <c r="H36" s="26" t="str">
        <f t="array" ref="H36">INDEX(Cualitativo!$U$6:$U$38,MATCH($B36,Cualitativo!$A$6:$A$38,0))</f>
        <v>Meses 6–15 y 19–20, recepción de equipos antes de cada ola</v>
      </c>
      <c r="I36" s="1"/>
      <c r="J36" s="1"/>
      <c r="K36" s="1"/>
      <c r="L36" s="1"/>
      <c r="M36" s="1"/>
      <c r="N36" s="1"/>
    </row>
    <row r="37" ht="57.75" customHeight="1">
      <c r="A37" s="10">
        <v>15.0</v>
      </c>
      <c r="B37" s="10" t="str">
        <f t="array" ref="B37">INDEX(Cualitativo!$A$6:$A$38,MATCH(A37,Cualitativo!$S$6:$S$38,0))</f>
        <v>R-014</v>
      </c>
      <c r="C37" s="10" t="str">
        <f t="array" ref="C37">INDEX(Cualitativo!$B$6:$B$38,MATCH($B37,Cualitativo!$A$6:$A$38,0))</f>
        <v>Un transportista no permite instalar el equipo que registra la temperatura de su camión</v>
      </c>
      <c r="D37" s="18">
        <f t="array" ref="D37">INDEX(Cualitativo!$Q$6:$Q$38,MATCH($B37,Cualitativo!$A$6:$A$38,0))</f>
        <v>0.12</v>
      </c>
      <c r="E37" s="10" t="str">
        <f t="array" ref="E37">INDEX(Cualitativo!$R$6:$R$38,MATCH($B37,Cualitativo!$A$6:$A$38,0))</f>
        <v>Media</v>
      </c>
      <c r="F37" s="17">
        <f t="array" ref="F37">INDEX(Cualitativo!$AB$6:$AB$38,MATCH($B37,Cualitativo!$A$6:$A$38,0))</f>
        <v>292333.3333</v>
      </c>
      <c r="G37" s="10" t="str">
        <f t="array" ref="G37">INDEX(Cualitativo!$E$6:$E$38,MATCH($B37,Cualitativo!$A$6:$A$38,0))</f>
        <v>Líder de implantación</v>
      </c>
      <c r="H37" s="10" t="str">
        <f t="array" ref="H37">INDEX(Cualitativo!$U$6:$U$38,MATCH($B37,Cualitativo!$A$6:$A$38,0))</f>
        <v>Meses 9–15, autorización de acceso al camión antes de instalar B-03</v>
      </c>
      <c r="I37" s="1"/>
      <c r="J37" s="1"/>
      <c r="K37" s="1"/>
      <c r="L37" s="1"/>
      <c r="M37" s="1"/>
      <c r="N37" s="1"/>
    </row>
    <row r="38" ht="57.75" customHeight="1">
      <c r="A38" s="26">
        <v>16.0</v>
      </c>
      <c r="B38" s="26" t="str">
        <f t="array" ref="B38">INDEX(Cualitativo!$A$6:$A$38,MATCH(A38,Cualitativo!$S$6:$S$38,0))</f>
        <v>R-026</v>
      </c>
      <c r="C38" s="26" t="str">
        <f t="array" ref="C38">INDEX(Cualitativo!$B$6:$B$38,MATCH($B38,Cualitativo!$A$6:$A$38,0))</f>
        <v>Ataques DDOS a los canales públicos</v>
      </c>
      <c r="D38" s="28">
        <f t="array" ref="D38">INDEX(Cualitativo!$Q$6:$Q$38,MATCH($B38,Cualitativo!$A$6:$A$38,0))</f>
        <v>0.12</v>
      </c>
      <c r="E38" s="26" t="str">
        <f t="array" ref="E38">INDEX(Cualitativo!$R$6:$R$38,MATCH($B38,Cualitativo!$A$6:$A$38,0))</f>
        <v>Media</v>
      </c>
      <c r="F38" s="30">
        <f t="array" ref="F38">INDEX(Cualitativo!$AB$6:$AB$38,MATCH($B38,Cualitativo!$A$6:$A$38,0))</f>
        <v>274160</v>
      </c>
      <c r="G38" s="26" t="str">
        <f t="array" ref="G38">INDEX(Cualitativo!$E$6:$E$38,MATCH($B38,Cualitativo!$A$6:$A$38,0))</f>
        <v>Encargado de seguridad</v>
      </c>
      <c r="H38" s="26" t="str">
        <f t="array" ref="H38">INDEX(Cualitativo!$U$6:$U$38,MATCH($B38,Cualitativo!$A$6:$A$38,0))</f>
        <v>Meses 21–56, entradas públicas de portales e interfaces</v>
      </c>
      <c r="I38" s="1"/>
      <c r="J38" s="1"/>
      <c r="K38" s="1"/>
      <c r="L38" s="1"/>
      <c r="M38" s="1"/>
      <c r="N38" s="1"/>
    </row>
    <row r="39" ht="57.75" customHeight="1">
      <c r="A39" s="10">
        <v>17.0</v>
      </c>
      <c r="B39" s="10" t="str">
        <f t="array" ref="B39">INDEX(Cualitativo!$A$6:$A$38,MATCH(A39,Cualitativo!$S$6:$S$38,0))</f>
        <v>R-025</v>
      </c>
      <c r="C39" s="10" t="str">
        <f t="array" ref="C39">INDEX(Cualitativo!$B$6:$B$38,MATCH($B39,Cualitativo!$A$6:$A$38,0))</f>
        <v>Terminal enrolado se pierde o queda en poder de otra persona</v>
      </c>
      <c r="D39" s="18">
        <f t="array" ref="D39">INDEX(Cualitativo!$Q$6:$Q$38,MATCH($B39,Cualitativo!$A$6:$A$38,0))</f>
        <v>0.12</v>
      </c>
      <c r="E39" s="10" t="str">
        <f t="array" ref="E39">INDEX(Cualitativo!$R$6:$R$38,MATCH($B39,Cualitativo!$A$6:$A$38,0))</f>
        <v>Media</v>
      </c>
      <c r="F39" s="17">
        <f t="array" ref="F39">INDEX(Cualitativo!$AB$6:$AB$38,MATCH($B39,Cualitativo!$A$6:$A$38,0))</f>
        <v>101400</v>
      </c>
      <c r="G39" s="10" t="str">
        <f t="array" ref="G39">INDEX(Cualitativo!$E$6:$E$38,MATCH($B39,Cualitativo!$A$6:$A$38,0))</f>
        <v>Líder de operación / SRE</v>
      </c>
      <c r="H39" s="10" t="str">
        <f t="array" ref="H39">INDEX(Cualitativo!$U$6:$U$38,MATCH($B39,Cualitativo!$A$6:$A$38,0))</f>
        <v>Meses 21–56, terminales enrolados en ruta y bodega</v>
      </c>
      <c r="I39" s="1"/>
      <c r="J39" s="1"/>
      <c r="K39" s="1"/>
      <c r="L39" s="1"/>
      <c r="M39" s="1"/>
      <c r="N39" s="1"/>
    </row>
    <row r="40" ht="57.75" customHeight="1">
      <c r="A40" s="26">
        <v>18.0</v>
      </c>
      <c r="B40" s="26" t="str">
        <f t="array" ref="B40">INDEX(Cualitativo!$A$6:$A$38,MATCH(A40,Cualitativo!$S$6:$S$38,0))</f>
        <v>R-003</v>
      </c>
      <c r="C40" s="26" t="str">
        <f t="array" ref="C40">INDEX(Cualitativo!$B$6:$B$38,MATCH($B40,Cualitativo!$A$6:$A$38,0))</f>
        <v>Historial de ventas no utilizable para la carga y reposición previstas</v>
      </c>
      <c r="D40" s="28">
        <f t="array" ref="D40">INDEX(Cualitativo!$Q$6:$Q$38,MATCH($B40,Cualitativo!$A$6:$A$38,0))</f>
        <v>0.1</v>
      </c>
      <c r="E40" s="26" t="str">
        <f t="array" ref="E40">INDEX(Cualitativo!$R$6:$R$38,MATCH($B40,Cualitativo!$A$6:$A$38,0))</f>
        <v>Media</v>
      </c>
      <c r="F40" s="30">
        <f t="array" ref="F40">INDEX(Cualitativo!$AB$6:$AB$38,MATCH($B40,Cualitativo!$A$6:$A$38,0))</f>
        <v>1194666.667</v>
      </c>
      <c r="G40" s="26" t="str">
        <f t="array" ref="G40">INDEX(Cualitativo!$E$6:$E$38,MATCH($B40,Cualitativo!$A$6:$A$38,0))</f>
        <v>Líder de datos</v>
      </c>
      <c r="H40" s="26" t="str">
        <f t="array" ref="H40">INDEX(Cualitativo!$U$6:$U$38,MATCH($B40,Cualitativo!$A$6:$A$38,0))</f>
        <v>Meses 1–12, perfilado de ventas y validación de reposición</v>
      </c>
      <c r="I40" s="1"/>
      <c r="J40" s="1"/>
      <c r="K40" s="1"/>
      <c r="L40" s="1"/>
      <c r="M40" s="1"/>
      <c r="N40" s="1"/>
    </row>
    <row r="41" ht="57.75" customHeight="1">
      <c r="A41" s="10">
        <v>19.0</v>
      </c>
      <c r="B41" s="10" t="str">
        <f t="array" ref="B41">INDEX(Cualitativo!$A$6:$A$38,MATCH(A41,Cualitativo!$S$6:$S$38,0))</f>
        <v>R-005</v>
      </c>
      <c r="C41" s="10" t="str">
        <f t="array" ref="C41">INDEX(Cualitativo!$B$6:$B$38,MATCH($B41,Cualitativo!$A$6:$A$38,0))</f>
        <v>Saldo inicial de envases no conciliable al preparar la carga de M8</v>
      </c>
      <c r="D41" s="18">
        <f t="array" ref="D41">INDEX(Cualitativo!$Q$6:$Q$38,MATCH($B41,Cualitativo!$A$6:$A$38,0))</f>
        <v>0.1</v>
      </c>
      <c r="E41" s="10" t="str">
        <f t="array" ref="E41">INDEX(Cualitativo!$R$6:$R$38,MATCH($B41,Cualitativo!$A$6:$A$38,0))</f>
        <v>Media</v>
      </c>
      <c r="F41" s="17">
        <f t="array" ref="F41">INDEX(Cualitativo!$AB$6:$AB$38,MATCH($B41,Cualitativo!$A$6:$A$38,0))</f>
        <v>925333.3333</v>
      </c>
      <c r="G41" s="10" t="str">
        <f t="array" ref="G41">INDEX(Cualitativo!$E$6:$E$38,MATCH($B41,Cualitativo!$A$6:$A$38,0))</f>
        <v>Líder de migración</v>
      </c>
      <c r="H41" s="10" t="str">
        <f t="array" ref="H41">INDEX(Cualitativo!$U$6:$U$38,MATCH($B41,Cualitativo!$A$6:$A$38,0))</f>
        <v>Meses 9–15, carga de M8 antes de la ola de reparto</v>
      </c>
      <c r="I41" s="1"/>
      <c r="J41" s="1"/>
      <c r="K41" s="1"/>
      <c r="L41" s="1"/>
      <c r="M41" s="1"/>
      <c r="N41" s="1"/>
    </row>
    <row r="42" ht="57.75" customHeight="1">
      <c r="A42" s="26">
        <v>20.0</v>
      </c>
      <c r="B42" s="26" t="str">
        <f t="array" ref="B42">INDEX(Cualitativo!$A$6:$A$38,MATCH(A42,Cualitativo!$S$6:$S$38,0))</f>
        <v>R-032</v>
      </c>
      <c r="C42" s="26" t="str">
        <f t="array" ref="C42">INDEX(Cualitativo!$B$6:$B$38,MATCH($B42,Cualitativo!$A$6:$A$38,0))</f>
        <v>Solicitudes que amplían el alcance</v>
      </c>
      <c r="D42" s="28">
        <f t="array" ref="D42">INDEX(Cualitativo!$Q$6:$Q$38,MATCH($B42,Cualitativo!$A$6:$A$38,0))</f>
        <v>0.1</v>
      </c>
      <c r="E42" s="26" t="str">
        <f t="array" ref="E42">INDEX(Cualitativo!$R$6:$R$38,MATCH($B42,Cualitativo!$A$6:$A$38,0))</f>
        <v>Media</v>
      </c>
      <c r="F42" s="30">
        <f t="array" ref="F42">INDEX(Cualitativo!$AB$6:$AB$38,MATCH($B42,Cualitativo!$A$6:$A$38,0))</f>
        <v>812000</v>
      </c>
      <c r="G42" s="26" t="str">
        <f t="array" ref="G42">INDEX(Cualitativo!$E$6:$E$38,MATCH($B42,Cualitativo!$A$6:$A$38,0))</f>
        <v>Jefe de proyecto</v>
      </c>
      <c r="H42" s="26" t="str">
        <f t="array" ref="H42">INDEX(Cualitativo!$U$6:$U$38,MATCH($B42,Cualitativo!$A$6:$A$38,0))</f>
        <v>Meses 1–20, ejecución y control del alcance</v>
      </c>
      <c r="I42" s="1"/>
      <c r="J42" s="1"/>
      <c r="K42" s="1"/>
      <c r="L42" s="1"/>
      <c r="M42" s="1"/>
      <c r="N42" s="1"/>
    </row>
    <row r="43" ht="57.75" customHeight="1">
      <c r="A43" s="10">
        <v>21.0</v>
      </c>
      <c r="B43" s="10" t="str">
        <f t="array" ref="B43">INDEX(Cualitativo!$A$6:$A$38,MATCH(A43,Cualitativo!$S$6:$S$38,0))</f>
        <v>R-007</v>
      </c>
      <c r="C43" s="10" t="str">
        <f t="array" ref="C43">INDEX(Cualitativo!$B$6:$B$38,MATCH($B43,Cualitativo!$A$6:$A$38,0))</f>
        <v>Deuda viva adicional a la cartera incluida en la volumetría provisional</v>
      </c>
      <c r="D43" s="18">
        <f t="array" ref="D43">INDEX(Cualitativo!$Q$6:$Q$38,MATCH($B43,Cualitativo!$A$6:$A$38,0))</f>
        <v>0.1</v>
      </c>
      <c r="E43" s="10" t="str">
        <f t="array" ref="E43">INDEX(Cualitativo!$R$6:$R$38,MATCH($B43,Cualitativo!$A$6:$A$38,0))</f>
        <v>Media</v>
      </c>
      <c r="F43" s="17">
        <f t="array" ref="F43">INDEX(Cualitativo!$AB$6:$AB$38,MATCH($B43,Cualitativo!$A$6:$A$38,0))</f>
        <v>532000</v>
      </c>
      <c r="G43" s="10" t="str">
        <f t="array" ref="G43">INDEX(Cualitativo!$E$6:$E$38,MATCH($B43,Cualitativo!$A$6:$A$38,0))</f>
        <v>Líder de datos</v>
      </c>
      <c r="H43" s="10" t="str">
        <f t="array" ref="H43">INDEX(Cualitativo!$U$6:$U$38,MATCH($B43,Cualitativo!$A$6:$A$38,0))</f>
        <v>Meses 3–12, perfilado y conciliación de cartera migrada</v>
      </c>
      <c r="I43" s="1"/>
      <c r="J43" s="1"/>
      <c r="K43" s="1"/>
      <c r="L43" s="1"/>
      <c r="M43" s="1"/>
      <c r="N43" s="1"/>
    </row>
    <row r="44" ht="57.75" customHeight="1">
      <c r="A44" s="26">
        <v>22.0</v>
      </c>
      <c r="B44" s="26" t="str">
        <f t="array" ref="B44">INDEX(Cualitativo!$A$6:$A$38,MATCH(A44,Cualitativo!$S$6:$S$38,0))</f>
        <v>R-031</v>
      </c>
      <c r="C44" s="26" t="str">
        <f t="array" ref="C44">INDEX(Cualitativo!$B$6:$B$38,MATCH($B44,Cualitativo!$A$6:$A$38,0))</f>
        <v>Reemplazos de conductores externos sin aviso</v>
      </c>
      <c r="D44" s="28">
        <f t="array" ref="D44">INDEX(Cualitativo!$Q$6:$Q$38,MATCH($B44,Cualitativo!$A$6:$A$38,0))</f>
        <v>0.1</v>
      </c>
      <c r="E44" s="26" t="str">
        <f t="array" ref="E44">INDEX(Cualitativo!$R$6:$R$38,MATCH($B44,Cualitativo!$A$6:$A$38,0))</f>
        <v>Media</v>
      </c>
      <c r="F44" s="30">
        <f t="array" ref="F44">INDEX(Cualitativo!$AB$6:$AB$38,MATCH($B44,Cualitativo!$A$6:$A$38,0))</f>
        <v>315900</v>
      </c>
      <c r="G44" s="26" t="str">
        <f t="array" ref="G44">INDEX(Cualitativo!$E$6:$E$38,MATCH($B44,Cualitativo!$A$6:$A$38,0))</f>
        <v>Líder de capacitación</v>
      </c>
      <c r="H44" s="26" t="str">
        <f t="array" ref="H44">INDEX(Cualitativo!$U$6:$U$38,MATCH($B44,Cualitativo!$A$6:$A$38,0))</f>
        <v>Meses 13–15 y 19–20, incorporación de conductores externos en olas</v>
      </c>
      <c r="I44" s="1"/>
      <c r="J44" s="1"/>
      <c r="K44" s="1"/>
      <c r="L44" s="1"/>
      <c r="M44" s="1"/>
      <c r="N44" s="1"/>
    </row>
    <row r="45" ht="57.75" customHeight="1">
      <c r="A45" s="10">
        <v>23.0</v>
      </c>
      <c r="B45" s="10" t="str">
        <f t="array" ref="B45">INDEX(Cualitativo!$A$6:$A$38,MATCH(A45,Cualitativo!$S$6:$S$38,0))</f>
        <v>R-013</v>
      </c>
      <c r="C45" s="10" t="str">
        <f t="array" ref="C45">INDEX(Cualitativo!$B$6:$B$38,MATCH($B45,Cualitativo!$A$6:$A$38,0))</f>
        <v>Un transportista no firma a tiempo el acuerdo necesario para incorporarlo al reparto</v>
      </c>
      <c r="D45" s="18">
        <f t="array" ref="D45">INDEX(Cualitativo!$Q$6:$Q$38,MATCH($B45,Cualitativo!$A$6:$A$38,0))</f>
        <v>0.1</v>
      </c>
      <c r="E45" s="10" t="str">
        <f t="array" ref="E45">INDEX(Cualitativo!$R$6:$R$38,MATCH($B45,Cualitativo!$A$6:$A$38,0))</f>
        <v>Media</v>
      </c>
      <c r="F45" s="17">
        <f t="array" ref="F45">INDEX(Cualitativo!$AB$6:$AB$38,MATCH($B45,Cualitativo!$A$6:$A$38,0))</f>
        <v>273000</v>
      </c>
      <c r="G45" s="10" t="str">
        <f t="array" ref="G45">INDEX(Cualitativo!$E$6:$E$38,MATCH($B45,Cualitativo!$A$6:$A$38,0))</f>
        <v>Líder de implantación</v>
      </c>
      <c r="H45" s="10" t="str">
        <f t="array" ref="H45">INDEX(Cualitativo!$U$6:$U$38,MATCH($B45,Cualitativo!$A$6:$A$38,0))</f>
        <v>Meses 9–15 y 19–20, acuerdos antes de incorporar transportistas</v>
      </c>
      <c r="I45" s="1"/>
      <c r="J45" s="1"/>
      <c r="K45" s="1"/>
      <c r="L45" s="1"/>
      <c r="M45" s="1"/>
      <c r="N45" s="1"/>
    </row>
    <row r="46" ht="57.75" customHeight="1">
      <c r="A46" s="26">
        <v>24.0</v>
      </c>
      <c r="B46" s="26" t="str">
        <f t="array" ref="B46">INDEX(Cualitativo!$A$6:$A$38,MATCH(A46,Cualitativo!$S$6:$S$38,0))</f>
        <v>R-009</v>
      </c>
      <c r="C46" s="26" t="str">
        <f t="array" ref="C46">INDEX(Cualitativo!$B$6:$B$38,MATCH($B46,Cualitativo!$A$6:$A$38,0))</f>
        <v>POS deja un pago sin resultado externo comprobable</v>
      </c>
      <c r="D46" s="28">
        <f t="array" ref="D46">INDEX(Cualitativo!$Q$6:$Q$38,MATCH($B46,Cualitativo!$A$6:$A$38,0))</f>
        <v>0.1</v>
      </c>
      <c r="E46" s="26" t="str">
        <f t="array" ref="E46">INDEX(Cualitativo!$R$6:$R$38,MATCH($B46,Cualitativo!$A$6:$A$38,0))</f>
        <v>Media</v>
      </c>
      <c r="F46" s="30">
        <f t="array" ref="F46">INDEX(Cualitativo!$AB$6:$AB$38,MATCH($B46,Cualitativo!$A$6:$A$38,0))</f>
        <v>247200</v>
      </c>
      <c r="G46" s="26" t="str">
        <f t="array" ref="G46">INDEX(Cualitativo!$E$6:$E$38,MATCH($B46,Cualitativo!$A$6:$A$38,0))</f>
        <v>Líder de integraciones</v>
      </c>
      <c r="H46" s="26" t="str">
        <f t="array" ref="H46">INDEX(Cualitativo!$U$6:$U$38,MATCH($B46,Cualitativo!$A$6:$A$38,0))</f>
        <v>Meses 21–56, operación POS; validar en E1</v>
      </c>
      <c r="I46" s="1"/>
      <c r="J46" s="1"/>
      <c r="K46" s="1"/>
      <c r="L46" s="1"/>
      <c r="M46" s="1"/>
      <c r="N46" s="1"/>
    </row>
    <row r="47" ht="57.75" customHeight="1">
      <c r="A47" s="10">
        <v>25.0</v>
      </c>
      <c r="B47" s="10" t="str">
        <f t="array" ref="B47">INDEX(Cualitativo!$A$6:$A$38,MATCH(A47,Cualitativo!$S$6:$S$38,0))</f>
        <v>R-017</v>
      </c>
      <c r="C47" s="10" t="str">
        <f t="array" ref="C47">INDEX(Cualitativo!$B$6:$B$38,MATCH($B47,Cualitativo!$A$6:$A$38,0))</f>
        <v>Los usuarios no pueden asistir a la capacitación prevista antes de cerrar una ola</v>
      </c>
      <c r="D47" s="18">
        <f t="array" ref="D47">INDEX(Cualitativo!$Q$6:$Q$38,MATCH($B47,Cualitativo!$A$6:$A$38,0))</f>
        <v>0.06</v>
      </c>
      <c r="E47" s="10" t="str">
        <f t="array" ref="E47">INDEX(Cualitativo!$R$6:$R$38,MATCH($B47,Cualitativo!$A$6:$A$38,0))</f>
        <v>Baja</v>
      </c>
      <c r="F47" s="17">
        <f t="array" ref="F47">INDEX(Cualitativo!$AB$6:$AB$38,MATCH($B47,Cualitativo!$A$6:$A$38,0))</f>
        <v>460800</v>
      </c>
      <c r="G47" s="10" t="str">
        <f t="array" ref="G47">INDEX(Cualitativo!$E$6:$E$38,MATCH($B47,Cualitativo!$A$6:$A$38,0))</f>
        <v>Líder de capacitación</v>
      </c>
      <c r="H47" s="10" t="str">
        <f t="array" ref="H47">INDEX(Cualitativo!$U$6:$U$38,MATCH($B47,Cualitativo!$A$6:$A$38,0))</f>
        <v>Meses 9–20, formación y evaluación antes del cierre de cada ola</v>
      </c>
      <c r="I47" s="1"/>
      <c r="J47" s="1"/>
      <c r="K47" s="1"/>
      <c r="L47" s="1"/>
      <c r="M47" s="1"/>
      <c r="N47" s="1"/>
    </row>
    <row r="48" ht="57.75" customHeight="1">
      <c r="A48" s="26">
        <v>26.0</v>
      </c>
      <c r="B48" s="26" t="str">
        <f t="array" ref="B48">INDEX(Cualitativo!$A$6:$A$38,MATCH(A48,Cualitativo!$S$6:$S$38,0))</f>
        <v>R-020</v>
      </c>
      <c r="C48" s="26" t="str">
        <f t="array" ref="C48">INDEX(Cualitativo!$B$6:$B$38,MATCH($B48,Cualitativo!$A$6:$A$38,0))</f>
        <v>Un corte de electricidad supera el tiempo de respaldo de equipos mantenidos por LafroX</v>
      </c>
      <c r="D48" s="28">
        <f t="array" ref="D48">INDEX(Cualitativo!$Q$6:$Q$38,MATCH($B48,Cualitativo!$A$6:$A$38,0))</f>
        <v>0.04</v>
      </c>
      <c r="E48" s="26" t="str">
        <f t="array" ref="E48">INDEX(Cualitativo!$R$6:$R$38,MATCH($B48,Cualitativo!$A$6:$A$38,0))</f>
        <v>Baja</v>
      </c>
      <c r="F48" s="30">
        <f t="array" ref="F48">INDEX(Cualitativo!$AB$6:$AB$38,MATCH($B48,Cualitativo!$A$6:$A$38,0))</f>
        <v>30933.33333</v>
      </c>
      <c r="G48" s="26" t="str">
        <f t="array" ref="G48">INDEX(Cualitativo!$E$6:$E$38,MATCH($B48,Cualitativo!$A$6:$A$38,0))</f>
        <v>Líder de operación / SRE</v>
      </c>
      <c r="H48" s="26" t="str">
        <f t="array" ref="H48">INDEX(Cualitativo!$U$6:$U$38,MATCH($B48,Cualitativo!$A$6:$A$38,0))</f>
        <v>Meses 21–56, equipos bajo mantenimiento de LafroX</v>
      </c>
      <c r="I48" s="1"/>
      <c r="J48" s="1"/>
      <c r="K48" s="1"/>
      <c r="L48" s="1"/>
      <c r="M48" s="1"/>
      <c r="N48" s="1"/>
    </row>
    <row r="49" ht="57.75" customHeight="1">
      <c r="A49" s="10">
        <v>27.0</v>
      </c>
      <c r="B49" s="10" t="str">
        <f t="array" ref="B49">INDEX(Cualitativo!$A$6:$A$38,MATCH(A49,Cualitativo!$S$6:$S$38,0))</f>
        <v>R-028</v>
      </c>
      <c r="C49" s="10" t="str">
        <f t="array" ref="C49">INDEX(Cualitativo!$B$6:$B$38,MATCH($B49,Cualitativo!$A$6:$A$38,0))</f>
        <v>Fallas mecánicas del camión</v>
      </c>
      <c r="D49" s="18">
        <f t="array" ref="D49">INDEX(Cualitativo!$Q$6:$Q$38,MATCH($B49,Cualitativo!$A$6:$A$38,0))</f>
        <v>0.03</v>
      </c>
      <c r="E49" s="10" t="str">
        <f t="array" ref="E49">INDEX(Cualitativo!$R$6:$R$38,MATCH($B49,Cualitativo!$A$6:$A$38,0))</f>
        <v>Baja</v>
      </c>
      <c r="F49" s="17">
        <f t="array" ref="F49">INDEX(Cualitativo!$AB$6:$AB$38,MATCH($B49,Cualitativo!$A$6:$A$38,0))</f>
        <v>55000</v>
      </c>
      <c r="G49" s="10" t="str">
        <f t="array" ref="G49">INDEX(Cualitativo!$E$6:$E$38,MATCH($B49,Cualitativo!$A$6:$A$38,0))</f>
        <v>Líder de implantación</v>
      </c>
      <c r="H49" s="10" t="str">
        <f t="array" ref="H49">INDEX(Cualitativo!$U$6:$U$38,MATCH($B49,Cualitativo!$A$6:$A$38,0))</f>
        <v>Meses 13–15 y 19–20, recorridos usados como evidencia de aceptación</v>
      </c>
      <c r="I49" s="1"/>
      <c r="J49" s="1"/>
      <c r="K49" s="1"/>
      <c r="L49" s="1"/>
      <c r="M49" s="1"/>
      <c r="N49" s="1"/>
    </row>
    <row r="50" ht="57.75" customHeight="1">
      <c r="A50" s="26">
        <v>28.0</v>
      </c>
      <c r="B50" s="26" t="str">
        <f t="array" ref="B50">INDEX(Cualitativo!$A$6:$A$38,MATCH(A50,Cualitativo!$S$6:$S$38,0))</f>
        <v>R-024</v>
      </c>
      <c r="C50" s="26" t="str">
        <f t="array" ref="C50">INDEX(Cualitativo!$B$6:$B$38,MATCH($B50,Cualitativo!$A$6:$A$38,0))</f>
        <v>Llega un mensaje electrónico que aparenta venir de una cadena autorizada o fue alterado</v>
      </c>
      <c r="D50" s="28">
        <f t="array" ref="D50">INDEX(Cualitativo!$Q$6:$Q$38,MATCH($B50,Cualitativo!$A$6:$A$38,0))</f>
        <v>0.02</v>
      </c>
      <c r="E50" s="26" t="str">
        <f t="array" ref="E50">INDEX(Cualitativo!$R$6:$R$38,MATCH($B50,Cualitativo!$A$6:$A$38,0))</f>
        <v>Baja</v>
      </c>
      <c r="F50" s="30">
        <f t="array" ref="F50">INDEX(Cualitativo!$AB$6:$AB$38,MATCH($B50,Cualitativo!$A$6:$A$38,0))</f>
        <v>116800</v>
      </c>
      <c r="G50" s="26" t="str">
        <f t="array" ref="G50">INDEX(Cualitativo!$E$6:$E$38,MATCH($B50,Cualitativo!$A$6:$A$38,0))</f>
        <v>Líder de integraciones</v>
      </c>
      <c r="H50" s="26" t="str">
        <f t="array" ref="H50">INDEX(Cualitativo!$U$6:$U$38,MATCH($B50,Cualitativo!$A$6:$A$38,0))</f>
        <v>Meses 21–56, recepción EDI; validar integridad antes de E2</v>
      </c>
      <c r="I50" s="1"/>
      <c r="J50" s="1"/>
      <c r="K50" s="1"/>
      <c r="L50" s="1"/>
      <c r="M50" s="1"/>
      <c r="N50" s="1"/>
    </row>
    <row r="51" ht="57.75" customHeight="1">
      <c r="A51" s="10">
        <v>29.0</v>
      </c>
      <c r="B51" s="10" t="str">
        <f t="array" ref="B51">INDEX(Cualitativo!$A$6:$A$38,MATCH(A51,Cualitativo!$S$6:$S$38,0))</f>
        <v>R-008</v>
      </c>
      <c r="C51" s="10" t="str">
        <f t="array" ref="C51">INDEX(Cualitativo!$B$6:$B$38,MATCH($B51,Cualitativo!$A$6:$A$38,0))</f>
        <v>El Servicio de Impuestos Internos no responde y deja pendiente un trámite tributario</v>
      </c>
      <c r="D51" s="18">
        <f t="array" ref="D51">INDEX(Cualitativo!$Q$6:$Q$38,MATCH($B51,Cualitativo!$A$6:$A$38,0))</f>
        <v>0.02</v>
      </c>
      <c r="E51" s="10" t="str">
        <f t="array" ref="E51">INDEX(Cualitativo!$R$6:$R$38,MATCH($B51,Cualitativo!$A$6:$A$38,0))</f>
        <v>Baja</v>
      </c>
      <c r="F51" s="17">
        <f t="array" ref="F51">INDEX(Cualitativo!$AB$6:$AB$38,MATCH($B51,Cualitativo!$A$6:$A$38,0))</f>
        <v>79000</v>
      </c>
      <c r="G51" s="10" t="str">
        <f t="array" ref="G51">INDEX(Cualitativo!$E$6:$E$38,MATCH($B51,Cualitativo!$A$6:$A$38,0))</f>
        <v>Líder de operación / SRE</v>
      </c>
      <c r="H51" s="10" t="str">
        <f t="array" ref="H51">INDEX(Cualitativo!$U$6:$U$38,MATCH($B51,Cualitativo!$A$6:$A$38,0))</f>
        <v>Meses 21–56, operación; vigilar también en pruebas E1</v>
      </c>
      <c r="I51" s="1"/>
      <c r="J51" s="1"/>
      <c r="K51" s="1"/>
      <c r="L51" s="1"/>
      <c r="M51" s="1"/>
      <c r="N51" s="1"/>
    </row>
    <row r="52" ht="57.75" customHeight="1">
      <c r="A52" s="26">
        <v>30.0</v>
      </c>
      <c r="B52" s="26" t="str">
        <f t="array" ref="B52">INDEX(Cualitativo!$A$6:$A$38,MATCH(A52,Cualitativo!$S$6:$S$38,0))</f>
        <v>R-019</v>
      </c>
      <c r="C52" s="26" t="str">
        <f t="array" ref="C52">INDEX(Cualitativo!$B$6:$B$38,MATCH($B52,Cualitativo!$A$6:$A$38,0))</f>
        <v>Proveedor de conectividad interrumpe el enlace de un sitio operado</v>
      </c>
      <c r="D52" s="28">
        <f t="array" ref="D52">INDEX(Cualitativo!$Q$6:$Q$38,MATCH($B52,Cualitativo!$A$6:$A$38,0))</f>
        <v>0.02</v>
      </c>
      <c r="E52" s="26" t="str">
        <f t="array" ref="E52">INDEX(Cualitativo!$R$6:$R$38,MATCH($B52,Cualitativo!$A$6:$A$38,0))</f>
        <v>Baja</v>
      </c>
      <c r="F52" s="30">
        <f t="array" ref="F52">INDEX(Cualitativo!$AB$6:$AB$38,MATCH($B52,Cualitativo!$A$6:$A$38,0))</f>
        <v>70000</v>
      </c>
      <c r="G52" s="26" t="str">
        <f t="array" ref="G52">INDEX(Cualitativo!$E$6:$E$38,MATCH($B52,Cualitativo!$A$6:$A$38,0))</f>
        <v>Líder de operación / SRE</v>
      </c>
      <c r="H52" s="26" t="str">
        <f t="array" ref="H52">INDEX(Cualitativo!$U$6:$U$38,MATCH($B52,Cualitativo!$A$6:$A$38,0))</f>
        <v>Meses 21–56, sitios operados; validar continuidad antes de producción</v>
      </c>
      <c r="I52" s="1"/>
      <c r="J52" s="1"/>
      <c r="K52" s="1"/>
      <c r="L52" s="1"/>
      <c r="M52" s="1"/>
      <c r="N52" s="1"/>
    </row>
    <row r="53" ht="57.75" customHeight="1">
      <c r="A53" s="10">
        <v>31.0</v>
      </c>
      <c r="B53" s="10" t="str">
        <f t="array" ref="B53">INDEX(Cualitativo!$A$6:$A$38,MATCH(A53,Cualitativo!$S$6:$S$38,0))</f>
        <v>R-010</v>
      </c>
      <c r="C53" s="10" t="str">
        <f t="array" ref="C53">INDEX(Cualitativo!$B$6:$B$38,MATCH($B53,Cualitativo!$A$6:$A$38,0))</f>
        <v>La caída del servicio externo de mapas impide consultar ubicaciones y completar la planificación de rutas</v>
      </c>
      <c r="D53" s="18">
        <f t="array" ref="D53">INDEX(Cualitativo!$Q$6:$Q$38,MATCH($B53,Cualitativo!$A$6:$A$38,0))</f>
        <v>0.02</v>
      </c>
      <c r="E53" s="10" t="str">
        <f t="array" ref="E53">INDEX(Cualitativo!$R$6:$R$38,MATCH($B53,Cualitativo!$A$6:$A$38,0))</f>
        <v>Baja</v>
      </c>
      <c r="F53" s="17">
        <f t="array" ref="F53">INDEX(Cualitativo!$AB$6:$AB$38,MATCH($B53,Cualitativo!$A$6:$A$38,0))</f>
        <v>19750</v>
      </c>
      <c r="G53" s="10" t="str">
        <f t="array" ref="G53">INDEX(Cualitativo!$E$6:$E$38,MATCH($B53,Cualitativo!$A$6:$A$38,0))</f>
        <v>Líder de operación / SRE</v>
      </c>
      <c r="H53" s="10" t="str">
        <f t="array" ref="H53">INDEX(Cualitativo!$U$6:$U$38,MATCH($B53,Cualitativo!$A$6:$A$38,0))</f>
        <v>Meses 21–56, operación de consulta y nuevos cálculos de rutas</v>
      </c>
      <c r="I53" s="1"/>
      <c r="J53" s="1"/>
      <c r="K53" s="1"/>
      <c r="L53" s="1"/>
      <c r="M53" s="1"/>
      <c r="N53" s="1"/>
    </row>
    <row r="54" ht="57.75" customHeight="1">
      <c r="A54" s="26">
        <v>32.0</v>
      </c>
      <c r="B54" s="26" t="str">
        <f t="array" ref="B54">INDEX(Cualitativo!$A$6:$A$38,MATCH(A54,Cualitativo!$S$6:$S$38,0))</f>
        <v>R-030</v>
      </c>
      <c r="C54" s="26" t="str">
        <f t="array" ref="C54">INDEX(Cualitativo!$B$6:$B$38,MATCH($B54,Cualitativo!$A$6:$A$38,0))</f>
        <v>Asalto a camión</v>
      </c>
      <c r="D54" s="28">
        <f t="array" ref="D54">INDEX(Cualitativo!$Q$6:$Q$38,MATCH($B54,Cualitativo!$A$6:$A$38,0))</f>
        <v>0.01</v>
      </c>
      <c r="E54" s="26" t="str">
        <f t="array" ref="E54">INDEX(Cualitativo!$R$6:$R$38,MATCH($B54,Cualitativo!$A$6:$A$38,0))</f>
        <v>Baja</v>
      </c>
      <c r="F54" s="30">
        <f t="array" ref="F54">INDEX(Cualitativo!$AB$6:$AB$38,MATCH($B54,Cualitativo!$A$6:$A$38,0))</f>
        <v>43866.66667</v>
      </c>
      <c r="G54" s="26" t="str">
        <f t="array" ref="G54">INDEX(Cualitativo!$E$6:$E$38,MATCH($B54,Cualitativo!$A$6:$A$38,0))</f>
        <v>Líder de implantación</v>
      </c>
      <c r="H54" s="26" t="str">
        <f t="array" ref="H54">INDEX(Cualitativo!$U$6:$U$38,MATCH($B54,Cualitativo!$A$6:$A$38,0))</f>
        <v>Meses 13–15 y 19–20, recorridos usados como evidencia de aceptación</v>
      </c>
      <c r="I54" s="1"/>
      <c r="J54" s="1"/>
      <c r="K54" s="1"/>
      <c r="L54" s="1"/>
      <c r="M54" s="1"/>
      <c r="N54" s="1"/>
    </row>
    <row r="55" ht="57.75" customHeight="1">
      <c r="A55" s="10">
        <v>33.0</v>
      </c>
      <c r="B55" s="10" t="str">
        <f t="array" ref="B55">INDEX(Cualitativo!$A$6:$A$38,MATCH(A55,Cualitativo!$S$6:$S$38,0))</f>
        <v>R-029</v>
      </c>
      <c r="C55" s="10" t="str">
        <f t="array" ref="C55">INDEX(Cualitativo!$B$6:$B$38,MATCH($B55,Cualitativo!$A$6:$A$38,0))</f>
        <v>Camión forma parte de un siniestro</v>
      </c>
      <c r="D55" s="18">
        <f t="array" ref="D55">INDEX(Cualitativo!$Q$6:$Q$38,MATCH($B55,Cualitativo!$A$6:$A$38,0))</f>
        <v>0.01</v>
      </c>
      <c r="E55" s="10" t="str">
        <f t="array" ref="E55">INDEX(Cualitativo!$R$6:$R$38,MATCH($B55,Cualitativo!$A$6:$A$38,0))</f>
        <v>Baja</v>
      </c>
      <c r="F55" s="17">
        <f t="array" ref="F55">INDEX(Cualitativo!$AB$6:$AB$38,MATCH($B55,Cualitativo!$A$6:$A$38,0))</f>
        <v>36666.66667</v>
      </c>
      <c r="G55" s="10" t="str">
        <f t="array" ref="G55">INDEX(Cualitativo!$E$6:$E$38,MATCH($B55,Cualitativo!$A$6:$A$38,0))</f>
        <v>Líder de implantación</v>
      </c>
      <c r="H55" s="10" t="str">
        <f t="array" ref="H55">INDEX(Cualitativo!$U$6:$U$38,MATCH($B55,Cualitativo!$A$6:$A$38,0))</f>
        <v>Meses 13–15 y 19–20, recorridos usados como evidencia de aceptación</v>
      </c>
      <c r="I55" s="1"/>
      <c r="J55" s="1"/>
      <c r="K55" s="1"/>
      <c r="L55" s="1"/>
      <c r="M55" s="1"/>
      <c r="N55" s="1"/>
    </row>
    <row r="56" ht="57.75" customHeight="1">
      <c r="A56" s="26">
        <v>34.0</v>
      </c>
      <c r="B56" s="26" t="str">
        <f t="array" ref="B56">INDEX(Cualitativo!$A$6:$A$38,MATCH(A56,Cualitativo!$S$6:$S$38,0))</f>
        <v>#N/A</v>
      </c>
      <c r="C56" s="26" t="str">
        <f t="array" ref="C56">INDEX(Cualitativo!$B$6:$B$38,MATCH($B56,Cualitativo!$A$6:$A$38,0))</f>
        <v>#N/A</v>
      </c>
      <c r="D56" s="28" t="str">
        <f t="array" ref="D56">INDEX(Cualitativo!$Q$6:$Q$38,MATCH($B56,Cualitativo!$A$6:$A$38,0))</f>
        <v>#N/A</v>
      </c>
      <c r="E56" s="26" t="str">
        <f t="array" ref="E56">INDEX(Cualitativo!$R$6:$R$38,MATCH($B56,Cualitativo!$A$6:$A$38,0))</f>
        <v>#N/A</v>
      </c>
      <c r="F56" s="30" t="str">
        <f t="array" ref="F56">INDEX(Cualitativo!$AB$6:$AB$38,MATCH($B56,Cualitativo!$A$6:$A$38,0))</f>
        <v>#N/A</v>
      </c>
      <c r="G56" s="26" t="str">
        <f t="array" ref="G56">INDEX(Cualitativo!$E$6:$E$38,MATCH($B56,Cualitativo!$A$6:$A$38,0))</f>
        <v>#N/A</v>
      </c>
      <c r="H56" s="26" t="str">
        <f t="array" ref="H56">INDEX(Cualitativo!$U$6:$U$38,MATCH($B56,Cualitativo!$A$6:$A$38,0))</f>
        <v>#N/A</v>
      </c>
      <c r="I56" s="1"/>
      <c r="J56" s="1"/>
      <c r="K56" s="1"/>
      <c r="L56" s="1"/>
      <c r="M56" s="1"/>
      <c r="N56" s="1"/>
    </row>
    <row r="57" ht="15.75" customHeight="1">
      <c r="A57" s="1"/>
      <c r="B57" s="1"/>
      <c r="C57" s="1"/>
      <c r="D57" s="1"/>
      <c r="E57" s="1"/>
      <c r="F57" s="1"/>
      <c r="G57" s="1"/>
      <c r="H57" s="1"/>
      <c r="I57" s="1"/>
      <c r="J57" s="1"/>
      <c r="K57" s="1"/>
      <c r="L57" s="1"/>
      <c r="M57" s="1"/>
      <c r="N57" s="1"/>
    </row>
    <row r="58" ht="15.75" customHeight="1">
      <c r="A58" s="1"/>
      <c r="B58" s="1"/>
      <c r="C58" s="1"/>
      <c r="D58" s="1"/>
      <c r="E58" s="1"/>
      <c r="F58" s="1"/>
      <c r="G58" s="1"/>
      <c r="H58" s="1"/>
      <c r="I58" s="1"/>
      <c r="J58" s="1"/>
      <c r="K58" s="1"/>
      <c r="L58" s="1"/>
      <c r="M58" s="1"/>
      <c r="N58" s="1"/>
    </row>
    <row r="59" ht="15.75" customHeight="1">
      <c r="A59" s="1"/>
      <c r="B59" s="1"/>
      <c r="C59" s="1"/>
      <c r="D59" s="1"/>
      <c r="E59" s="1"/>
      <c r="F59" s="1"/>
      <c r="G59" s="1"/>
      <c r="H59" s="1"/>
      <c r="I59" s="1"/>
      <c r="J59" s="1"/>
      <c r="K59" s="1"/>
      <c r="L59" s="1"/>
      <c r="M59" s="1"/>
      <c r="N59" s="1"/>
    </row>
    <row r="60" ht="15.75" customHeight="1">
      <c r="A60" s="1"/>
      <c r="B60" s="1"/>
      <c r="C60" s="1"/>
      <c r="D60" s="1"/>
      <c r="E60" s="1"/>
      <c r="F60" s="1"/>
      <c r="G60" s="1"/>
      <c r="H60" s="1"/>
      <c r="I60" s="1"/>
      <c r="J60" s="1"/>
      <c r="K60" s="1"/>
      <c r="L60" s="1"/>
      <c r="M60" s="1"/>
      <c r="N60" s="1"/>
    </row>
    <row r="61" ht="15.75" customHeight="1">
      <c r="A61" s="1"/>
      <c r="B61" s="1"/>
      <c r="C61" s="1"/>
      <c r="D61" s="1"/>
      <c r="E61" s="1"/>
      <c r="F61" s="1"/>
      <c r="G61" s="1"/>
      <c r="H61" s="1"/>
      <c r="I61" s="1"/>
      <c r="J61" s="1"/>
      <c r="K61" s="1"/>
      <c r="L61" s="1"/>
      <c r="M61" s="1"/>
      <c r="N61" s="1"/>
    </row>
    <row r="62" ht="15.75" customHeight="1">
      <c r="A62" s="1"/>
      <c r="B62" s="1"/>
      <c r="C62" s="1"/>
      <c r="D62" s="1"/>
      <c r="E62" s="1"/>
      <c r="F62" s="1"/>
      <c r="G62" s="1"/>
      <c r="H62" s="1"/>
      <c r="I62" s="1"/>
      <c r="J62" s="1"/>
      <c r="K62" s="1"/>
      <c r="L62" s="1"/>
      <c r="M62" s="1"/>
      <c r="N62" s="1"/>
    </row>
    <row r="63" ht="15.75" customHeight="1">
      <c r="A63" s="1"/>
      <c r="B63" s="1"/>
      <c r="C63" s="1"/>
      <c r="D63" s="1"/>
      <c r="E63" s="1"/>
      <c r="F63" s="1"/>
      <c r="G63" s="1"/>
      <c r="H63" s="1"/>
      <c r="I63" s="1"/>
      <c r="J63" s="1"/>
      <c r="K63" s="1"/>
      <c r="L63" s="1"/>
      <c r="M63" s="1"/>
      <c r="N63" s="1"/>
    </row>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
    <mergeCell ref="H11:M11"/>
    <mergeCell ref="B13:M13"/>
    <mergeCell ref="B14:M14"/>
    <mergeCell ref="B15:M15"/>
    <mergeCell ref="B16:M16"/>
    <mergeCell ref="B17:M17"/>
    <mergeCell ref="B18:M18"/>
  </mergeCells>
  <conditionalFormatting sqref="D6:D9">
    <cfRule type="containsText" dxfId="5" priority="1" operator="containsText" text="Crítica">
      <formula>NOT(ISERROR(SEARCH(("Crítica"),(D6))))</formula>
    </cfRule>
  </conditionalFormatting>
  <conditionalFormatting sqref="D6:D9">
    <cfRule type="containsText" dxfId="6" priority="2" operator="containsText" text="Alta">
      <formula>NOT(ISERROR(SEARCH(("Alta"),(D6))))</formula>
    </cfRule>
  </conditionalFormatting>
  <conditionalFormatting sqref="D6:D9">
    <cfRule type="containsText" dxfId="7" priority="3" operator="containsText" text="Media">
      <formula>NOT(ISERROR(SEARCH(("Media"),(D6))))</formula>
    </cfRule>
  </conditionalFormatting>
  <conditionalFormatting sqref="D6:D9">
    <cfRule type="containsText" dxfId="8" priority="4" operator="containsText" text="Baja">
      <formula>NOT(ISERROR(SEARCH(("Baja"),(D6))))</formula>
    </cfRule>
  </conditionalFormatting>
  <conditionalFormatting sqref="E23:E56">
    <cfRule type="containsText" dxfId="5" priority="5" operator="containsText" text="Crítica">
      <formula>NOT(ISERROR(SEARCH(("Crítica"),(E23))))</formula>
    </cfRule>
  </conditionalFormatting>
  <conditionalFormatting sqref="E23:E56">
    <cfRule type="containsText" dxfId="6" priority="6" operator="containsText" text="Alta">
      <formula>NOT(ISERROR(SEARCH(("Alta"),(E23))))</formula>
    </cfRule>
  </conditionalFormatting>
  <conditionalFormatting sqref="E23:E56">
    <cfRule type="containsText" dxfId="7" priority="7" operator="containsText" text="Media">
      <formula>NOT(ISERROR(SEARCH(("Media"),(E23))))</formula>
    </cfRule>
  </conditionalFormatting>
  <conditionalFormatting sqref="E23:E56">
    <cfRule type="containsText" dxfId="8" priority="8" operator="containsText" text="Baja">
      <formula>NOT(ISERROR(SEARCH(("Baja"),(E23))))</formula>
    </cfRule>
  </conditionalFormatting>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9EAEBB"/>
    <pageSetUpPr/>
  </sheetPr>
  <sheetViews>
    <sheetView showGridLines="0" workbookViewId="0">
      <pane xSplit="1.0" ySplit="5.0" topLeftCell="B6" activePane="bottomRight" state="frozen"/>
      <selection activeCell="B1" sqref="B1" pane="topRight"/>
      <selection activeCell="A6" sqref="A6" pane="bottomLeft"/>
      <selection activeCell="B6" sqref="B6" pane="bottomRight"/>
    </sheetView>
  </sheetViews>
  <sheetFormatPr customHeight="1" defaultColWidth="12.63" defaultRowHeight="15.0"/>
  <cols>
    <col customWidth="1" min="1" max="1" width="12.0"/>
    <col customWidth="1" min="2" max="2" width="110.38"/>
    <col customWidth="1" min="3" max="3" width="110.0"/>
    <col customWidth="1" min="4" max="4" width="30.0"/>
    <col customWidth="1" min="5" max="5" width="34.0"/>
    <col customWidth="1" min="6" max="6" width="16.0"/>
    <col customWidth="1" min="7" max="7" width="12.0"/>
    <col customWidth="1" min="8" max="8" width="15.0"/>
    <col customWidth="1" min="9" max="9" width="20.0"/>
    <col customWidth="1" min="10" max="11" width="18.0"/>
    <col customWidth="1" min="12" max="12" width="15.0"/>
    <col customWidth="1" min="13" max="13" width="18.0"/>
    <col customWidth="1" min="14" max="14" width="70.0"/>
    <col customWidth="1" min="15" max="15" width="17.0"/>
    <col customWidth="1" min="16" max="16" width="15.0"/>
    <col customWidth="1" min="17" max="17" width="18.0"/>
    <col customWidth="1" min="18" max="18" width="17.0"/>
    <col customWidth="1" min="19" max="19" width="14.0"/>
    <col customWidth="1" min="20" max="20" width="40.0"/>
    <col customWidth="1" min="21" max="21" width="60.0"/>
    <col customWidth="1" min="22" max="22" width="68.0"/>
    <col customWidth="1" min="23" max="23" width="64.0"/>
    <col customWidth="1" min="24" max="24" width="60.0"/>
    <col customWidth="1" min="25" max="25" width="36.0"/>
    <col customWidth="1" min="26" max="26" width="90.0"/>
    <col customWidth="1" min="27" max="27" width="48.0"/>
    <col customWidth="1" min="28" max="28" width="24.0"/>
    <col customWidth="1" min="29" max="29" width="52.0"/>
  </cols>
  <sheetData>
    <row r="1">
      <c r="A1" s="1"/>
      <c r="B1" s="1"/>
      <c r="C1" s="1"/>
      <c r="D1" s="1"/>
      <c r="E1" s="1"/>
      <c r="F1" s="1"/>
      <c r="G1" s="1"/>
      <c r="H1" s="1"/>
      <c r="I1" s="1"/>
      <c r="J1" s="1"/>
      <c r="K1" s="1"/>
      <c r="L1" s="1"/>
      <c r="M1" s="1"/>
      <c r="N1" s="1"/>
      <c r="O1" s="1"/>
      <c r="P1" s="1"/>
      <c r="Q1" s="1"/>
      <c r="R1" s="1"/>
      <c r="S1" s="1"/>
      <c r="T1" s="1"/>
      <c r="U1" s="1"/>
      <c r="V1" s="1"/>
      <c r="W1" s="1"/>
      <c r="X1" s="1"/>
      <c r="Y1" s="1"/>
      <c r="Z1" s="1"/>
      <c r="AA1" s="1"/>
      <c r="AB1" s="1"/>
      <c r="AC1" s="1"/>
    </row>
    <row r="2" ht="27.75" customHeight="1">
      <c r="A2" s="2" t="s">
        <v>3</v>
      </c>
      <c r="B2" s="1"/>
      <c r="C2" s="1"/>
      <c r="D2" s="1"/>
      <c r="E2" s="1"/>
      <c r="F2" s="1"/>
      <c r="G2" s="1"/>
      <c r="H2" s="1"/>
      <c r="I2" s="1"/>
      <c r="J2" s="1"/>
      <c r="K2" s="1"/>
      <c r="L2" s="1"/>
      <c r="M2" s="1"/>
      <c r="N2" s="1"/>
      <c r="O2" s="1"/>
      <c r="P2" s="1"/>
      <c r="Q2" s="1"/>
      <c r="R2" s="1"/>
      <c r="S2" s="1"/>
      <c r="T2" s="1"/>
      <c r="U2" s="1"/>
      <c r="V2" s="1"/>
      <c r="W2" s="1"/>
      <c r="X2" s="1"/>
      <c r="Y2" s="1"/>
      <c r="Z2" s="1"/>
      <c r="AA2" s="1"/>
      <c r="AB2" s="1"/>
      <c r="AC2" s="1"/>
    </row>
    <row r="3">
      <c r="A3" s="1" t="s">
        <v>8</v>
      </c>
      <c r="B3" s="1"/>
      <c r="C3" s="1"/>
      <c r="D3" s="1"/>
      <c r="E3" s="1"/>
      <c r="F3" s="1"/>
      <c r="G3" s="1"/>
      <c r="H3" s="1"/>
      <c r="I3" s="1"/>
      <c r="J3" s="1"/>
      <c r="K3" s="1"/>
      <c r="L3" s="1"/>
      <c r="M3" s="1"/>
      <c r="N3" s="1"/>
      <c r="O3" s="1"/>
      <c r="P3" s="1"/>
      <c r="Q3" s="1"/>
      <c r="R3" s="1"/>
      <c r="S3" s="1"/>
      <c r="T3" s="1"/>
      <c r="U3" s="1"/>
      <c r="V3" s="1"/>
      <c r="W3" s="1"/>
      <c r="X3" s="1"/>
      <c r="Y3" s="1"/>
      <c r="Z3" s="1"/>
      <c r="AA3" s="1"/>
      <c r="AB3" s="1"/>
      <c r="AC3" s="1"/>
    </row>
    <row r="4">
      <c r="A4" s="1"/>
      <c r="B4" s="1"/>
      <c r="C4" s="1"/>
      <c r="D4" s="1"/>
      <c r="E4" s="1"/>
      <c r="F4" s="1"/>
      <c r="G4" s="1"/>
      <c r="H4" s="1"/>
      <c r="I4" s="1"/>
      <c r="J4" s="1"/>
      <c r="K4" s="1"/>
      <c r="L4" s="1"/>
      <c r="M4" s="1"/>
      <c r="N4" s="1"/>
      <c r="O4" s="1"/>
      <c r="P4" s="1"/>
      <c r="Q4" s="1"/>
      <c r="R4" s="1"/>
      <c r="S4" s="1"/>
      <c r="T4" s="1"/>
      <c r="U4" s="1"/>
      <c r="V4" s="1"/>
      <c r="W4" s="1"/>
      <c r="X4" s="1"/>
      <c r="Y4" s="1"/>
      <c r="Z4" s="1"/>
      <c r="AA4" s="1"/>
      <c r="AB4" s="1"/>
      <c r="AC4" s="1"/>
    </row>
    <row r="5" ht="55.5" customHeight="1">
      <c r="A5" s="5" t="s">
        <v>14</v>
      </c>
      <c r="B5" s="5" t="s">
        <v>16</v>
      </c>
      <c r="C5" s="5" t="s">
        <v>17</v>
      </c>
      <c r="D5" s="5" t="s">
        <v>18</v>
      </c>
      <c r="E5" s="5" t="s">
        <v>19</v>
      </c>
      <c r="F5" s="5" t="s">
        <v>20</v>
      </c>
      <c r="G5" s="5" t="s">
        <v>22</v>
      </c>
      <c r="H5" s="5" t="s">
        <v>24</v>
      </c>
      <c r="I5" s="5" t="s">
        <v>26</v>
      </c>
      <c r="J5" s="5" t="s">
        <v>28</v>
      </c>
      <c r="K5" s="5" t="s">
        <v>30</v>
      </c>
      <c r="L5" s="5" t="s">
        <v>32</v>
      </c>
      <c r="M5" s="5" t="s">
        <v>35</v>
      </c>
      <c r="N5" s="5" t="s">
        <v>37</v>
      </c>
      <c r="O5" s="5" t="s">
        <v>39</v>
      </c>
      <c r="P5" s="5" t="s">
        <v>41</v>
      </c>
      <c r="Q5" s="5" t="s">
        <v>43</v>
      </c>
      <c r="R5" s="5" t="s">
        <v>6</v>
      </c>
      <c r="S5" s="5" t="s">
        <v>45</v>
      </c>
      <c r="T5" s="5" t="s">
        <v>47</v>
      </c>
      <c r="U5" s="5" t="s">
        <v>49</v>
      </c>
      <c r="V5" s="5" t="s">
        <v>51</v>
      </c>
      <c r="W5" s="5" t="s">
        <v>52</v>
      </c>
      <c r="X5" s="5" t="s">
        <v>54</v>
      </c>
      <c r="Y5" s="5" t="s">
        <v>56</v>
      </c>
      <c r="Z5" s="5" t="s">
        <v>59</v>
      </c>
      <c r="AA5" s="5" t="s">
        <v>61</v>
      </c>
      <c r="AB5" s="5" t="s">
        <v>63</v>
      </c>
      <c r="AC5" s="5" t="s">
        <v>65</v>
      </c>
    </row>
    <row r="6" ht="109.5" customHeight="1">
      <c r="A6" s="9" t="s">
        <v>68</v>
      </c>
      <c r="B6" s="10" t="str">
        <f t="array" ref="B6">INDEX('Registro original'!$B$6:$B$38,MATCH($A6,'Registro original'!$A$6:$A$38,0))</f>
        <v>Cadena comercial no completa oportunamente su certificación EDI</v>
      </c>
      <c r="C6" s="10" t="str">
        <f t="array" ref="C6">INDEX('Registro original'!$D$6:$D$38,MATCH($A6,'Registro original'!$A$6:$A$38,0))</f>
        <v>La habilitación EDI de cada cadena depende de su participación y certificación externa, necesarias antes del período final de evidencia de E2. Durante la integración con una cadena incluida en el alcance, su participación o certificación externa podría no concretarse antes de la activación necesaria para las cuatro semanas finales de marcha blanca de E2. LafroX no podría acreditar completo el intercambio electrónico exigido para el cierre de esa etapa y tendría que reprogramar pruebas y coordinación.</v>
      </c>
      <c r="D6" s="10" t="str">
        <f t="array" ref="D6">INDEX('Registro original'!$C$6:$C$38,MATCH($A6,'Registro original'!$A$6:$A$38,0))</f>
        <v>Integración y legado</v>
      </c>
      <c r="E6" s="10" t="s">
        <v>91</v>
      </c>
      <c r="F6" s="14">
        <f t="array" ref="F6">INDEX(Cuantitativo!$C$6:$C$38,MATCH($A6,Cuantitativo!$A$6:$A$38,0))</f>
        <v>0.45</v>
      </c>
      <c r="G6" s="10">
        <f t="shared" ref="G6:G38" si="1">IF(F6=0,0,IF(F6&lt;=0.1,1,IF(F6&lt;=0.3,2,IF(F6&lt;=0.5,3,IF(F6&lt;=0.7,4,5)))))</f>
        <v>3</v>
      </c>
      <c r="H6" s="18">
        <f t="array" ref="H6">IF(G6=0,0,INDEX('Parámetros'!$D$24:$D$28,G6))</f>
        <v>0.5</v>
      </c>
      <c r="I6" s="21" t="str">
        <f t="array" ref="I6">IF('Parámetros'!$B$6="","Pendiente",IF('Parámetros'!$B$6&lt;=0,"Revisar contrato",INDEX(Cuantitativo!$Y$6:$Y$38,MATCH($A6,Cuantitativo!$A$6:$A$38,0))/'Parámetros'!$B$6))</f>
        <v>Pendiente</v>
      </c>
      <c r="J6" s="10">
        <f t="shared" ref="J6:J38" si="2">IF(ISNUMBER(I6),IF(I6&lt;0.005,1,IF(I6&lt;0.01,2,IF(I6&lt;0.02,3,IF(I6&lt;=0.05,4,5)))),0)</f>
        <v>0</v>
      </c>
      <c r="K6" s="20">
        <f t="array" ref="K6">INDEX(Cuantitativo!$AD$6:$AD$38,MATCH($A6,Cuantitativo!$A$6:$A$38,0))</f>
        <v>22.16666667</v>
      </c>
      <c r="L6" s="10">
        <f t="shared" ref="L6:L38" si="3">IF(ISNUMBER(K6),IF(K6&lt;2,1,IF(K6&lt;7,2,IF(K6&lt;21,3,IF(K6&lt;=42,4,5)))),0)</f>
        <v>4</v>
      </c>
      <c r="M6" s="15">
        <v>4.0</v>
      </c>
      <c r="N6" s="10" t="s">
        <v>156</v>
      </c>
      <c r="O6" s="10">
        <f t="shared" ref="O6:O7" si="4">MAX(J6,L6,M6)</f>
        <v>4</v>
      </c>
      <c r="P6" s="18">
        <f t="array" ref="P6">INDEX('Parámetros'!$E$24:$E$28,O6)</f>
        <v>0.4</v>
      </c>
      <c r="Q6" s="18">
        <f t="shared" ref="Q6:Q38" si="5">ROUND(H6*P6,12)</f>
        <v>0.2</v>
      </c>
      <c r="R6" s="10" t="str">
        <f t="shared" ref="R6:R38" si="6">IF(Q6&gt;=0.4,"Crítica",IF(Q6&gt;=0.2,"Alta",IF(Q6&gt;=0.08,"Media","Baja")))</f>
        <v>Alta</v>
      </c>
      <c r="S6" s="10">
        <f t="shared" ref="S6:S38" si="7">1+COUNTIF($Q$6:$Q$38,"&gt;"&amp;Q6)+COUNTIFS($Q$6:$Q$38,Q6,$AB$6:$AB$38,"&gt;"&amp;AB6)+COUNTIFS($Q$6:$Q$38,Q6,$AB$6:$AB$38,AB6,$A$6:$A$38,"&lt;"&amp;A6)</f>
        <v>8</v>
      </c>
      <c r="T6" s="10" t="s">
        <v>207</v>
      </c>
      <c r="U6" s="10" t="s">
        <v>208</v>
      </c>
      <c r="V6" s="10" t="s">
        <v>209</v>
      </c>
      <c r="W6" s="10" t="s">
        <v>210</v>
      </c>
      <c r="X6" s="10" t="s">
        <v>211</v>
      </c>
      <c r="Y6" s="10" t="s">
        <v>212</v>
      </c>
      <c r="Z6" s="10" t="s">
        <v>213</v>
      </c>
      <c r="AA6" s="10" t="s">
        <v>214</v>
      </c>
      <c r="AB6" s="17">
        <f t="array" ref="AB6">INDEX(Cuantitativo!$Z$6:$Z$38,MATCH($A6,Cuantitativo!$A$6:$A$38,0))</f>
        <v>914400</v>
      </c>
      <c r="AC6" s="10" t="str">
        <f>IF(OR(NOT(ISNUMBER(F6)),NOT(ISNUMBER(K6)),NOT(ISNUMBER(AB6))),"Faltan entradas cuantitativas",IF('Parámetros'!$B$6="","Provisional: costo relativo pendiente","Evaluable con monto contractual"))</f>
        <v>Provisional: costo relativo pendiente</v>
      </c>
    </row>
    <row r="7" ht="109.5" customHeight="1">
      <c r="A7" s="9" t="s">
        <v>220</v>
      </c>
      <c r="B7" s="26" t="str">
        <f t="array" ref="B7">INDEX('Registro original'!$B$6:$B$38,MATCH($A7,'Registro original'!$A$6:$A$38,0))</f>
        <v>Defectos de historia sanitaria de origen impiden cerrar una carga</v>
      </c>
      <c r="C7" s="26" t="str">
        <f t="array" ref="C7">INDEX('Registro original'!$D$6:$D$38,MATCH($A7,'Registro original'!$A$6:$A$38,0))</f>
        <v>La migración sanitaria utiliza antecedentes del ERP, WMS y planillas cuya completitud y vinculación histórica deben comprobarse con evidencia de origen. Al preparar una carga de historia sanitaria del ERP, WMS o planillas, los datos recibidos podrían contener faltantes de lote o vínculos históricos que no sea posible resolver con evidencia de origen. Los conjuntos afectados quedarían pendientes de decisión documentada y conciliación, añadiendo trabajo de saneamiento a LafroX y condicionando la aceptación de esa carga.</v>
      </c>
      <c r="D7" s="26" t="str">
        <f t="array" ref="D7">INDEX('Registro original'!$C$6:$C$38,MATCH($A7,'Registro original'!$A$6:$A$38,0))</f>
        <v>Solución y tecnología</v>
      </c>
      <c r="E7" s="26" t="s">
        <v>229</v>
      </c>
      <c r="F7" s="27">
        <f t="array" ref="F7">INDEX(Cuantitativo!$C$6:$C$38,MATCH($A7,Cuantitativo!$A$6:$A$38,0))</f>
        <v>0.6</v>
      </c>
      <c r="G7" s="26">
        <f t="shared" si="1"/>
        <v>4</v>
      </c>
      <c r="H7" s="28">
        <f t="array" ref="H7">IF(G7=0,0,INDEX('Parámetros'!$D$24:$D$28,G7))</f>
        <v>0.7</v>
      </c>
      <c r="I7" s="29" t="str">
        <f t="array" ref="I7">IF('Parámetros'!$B$6="","Pendiente",IF('Parámetros'!$B$6&lt;=0,"Revisar contrato",INDEX(Cuantitativo!$Y$6:$Y$38,MATCH($A7,Cuantitativo!$A$6:$A$38,0))/'Parámetros'!$B$6))</f>
        <v>Pendiente</v>
      </c>
      <c r="J7" s="26">
        <f t="shared" si="2"/>
        <v>0</v>
      </c>
      <c r="K7" s="31">
        <f t="array" ref="K7">INDEX(Cuantitativo!$AD$6:$AD$38,MATCH($A7,Cuantitativo!$A$6:$A$38,0))</f>
        <v>16</v>
      </c>
      <c r="L7" s="26">
        <f t="shared" si="3"/>
        <v>3</v>
      </c>
      <c r="M7" s="15">
        <v>5.0</v>
      </c>
      <c r="N7" s="26" t="s">
        <v>242</v>
      </c>
      <c r="O7" s="26">
        <f t="shared" si="4"/>
        <v>5</v>
      </c>
      <c r="P7" s="28">
        <f t="array" ref="P7">INDEX('Parámetros'!$E$24:$E$28,O7)</f>
        <v>0.8</v>
      </c>
      <c r="Q7" s="28">
        <f t="shared" si="5"/>
        <v>0.56</v>
      </c>
      <c r="R7" s="26" t="str">
        <f t="shared" si="6"/>
        <v>Crítica</v>
      </c>
      <c r="S7" s="26">
        <f t="shared" si="7"/>
        <v>1</v>
      </c>
      <c r="T7" s="26" t="s">
        <v>207</v>
      </c>
      <c r="U7" s="26" t="s">
        <v>246</v>
      </c>
      <c r="V7" s="26" t="s">
        <v>247</v>
      </c>
      <c r="W7" s="26" t="s">
        <v>248</v>
      </c>
      <c r="X7" s="26" t="s">
        <v>249</v>
      </c>
      <c r="Y7" s="26" t="s">
        <v>250</v>
      </c>
      <c r="Z7" s="26" t="s">
        <v>251</v>
      </c>
      <c r="AA7" s="26" t="s">
        <v>252</v>
      </c>
      <c r="AB7" s="30">
        <f t="array" ref="AB7">INDEX(Cuantitativo!$Z$6:$Z$38,MATCH($A7,Cuantitativo!$A$6:$A$38,0))</f>
        <v>2176000</v>
      </c>
      <c r="AC7" s="26" t="str">
        <f>IF(OR(NOT(ISNUMBER(F7)),NOT(ISNUMBER(K7)),NOT(ISNUMBER(AB7))),"Faltan entradas cuantitativas",IF('Parámetros'!$B$6="","Provisional: costo relativo pendiente","Evaluable con monto contractual"))</f>
        <v>Provisional: costo relativo pendiente</v>
      </c>
    </row>
    <row r="8" ht="109.5" customHeight="1">
      <c r="A8" s="9" t="s">
        <v>236</v>
      </c>
      <c r="B8" s="10" t="str">
        <f t="array" ref="B8">INDEX('Registro original'!$B$6:$B$38,MATCH($A8,'Registro original'!$A$6:$A$38,0))</f>
        <v>Historial de ventas no utilizable para la carga y reposición previstas</v>
      </c>
      <c r="C8" s="10" t="str">
        <f t="array" ref="C8">INDEX('Registro original'!$D$6:$D$38,MATCH($A8,'Registro original'!$A$6:$A$38,0))</f>
        <v>La migración y la reposición dependen de la extensión y calidad efectiva del historial de ventas disponible en el ERP. Al extraer del ERP el historial requerido para migración y reposición, podrían recibirse períodos incompletos o datos cuya calidad no permita utilizarlos directamente. LafroX tendría que ampliar la preparación y conciliación de la carga y el tratamiento de las excepciones de reposición antes de demostrar los resultados requeridos.</v>
      </c>
      <c r="D8" s="10" t="str">
        <f t="array" ref="D8">INDEX('Registro original'!$C$6:$C$38,MATCH($A8,'Registro original'!$A$6:$A$38,0))</f>
        <v>Integración y legado</v>
      </c>
      <c r="E8" s="10" t="s">
        <v>229</v>
      </c>
      <c r="F8" s="14">
        <f t="array" ref="F8">INDEX(Cuantitativo!$C$6:$C$38,MATCH($A8,Cuantitativo!$A$6:$A$38,0))</f>
        <v>0.5</v>
      </c>
      <c r="G8" s="10">
        <f t="shared" si="1"/>
        <v>3</v>
      </c>
      <c r="H8" s="18">
        <f t="array" ref="H8">IF(G8=0,0,INDEX('Parámetros'!$D$24:$D$28,G8))</f>
        <v>0.5</v>
      </c>
      <c r="I8" s="21" t="str">
        <f t="array" ref="I8">IF('Parámetros'!$B$6="","Pendiente",IF('Parámetros'!$B$6&lt;=0,"Revisar contrato",INDEX(Cuantitativo!$Y$6:$Y$38,MATCH($A8,Cuantitativo!$A$6:$A$38,0))/'Parámetros'!$B$6))</f>
        <v>Pendiente</v>
      </c>
      <c r="J8" s="10">
        <f t="shared" si="2"/>
        <v>0</v>
      </c>
      <c r="K8" s="20">
        <f t="array" ref="K8">INDEX(Cuantitativo!$AD$6:$AD$38,MATCH($A8,Cuantitativo!$A$6:$A$38,0))</f>
        <v>10.66666667</v>
      </c>
      <c r="L8" s="10">
        <f t="shared" si="3"/>
        <v>3</v>
      </c>
      <c r="M8" s="15">
        <v>3.0</v>
      </c>
      <c r="N8" s="10" t="s">
        <v>274</v>
      </c>
      <c r="O8" s="9">
        <v>3.0</v>
      </c>
      <c r="P8" s="18">
        <f t="array" ref="P8">INDEX('Parámetros'!$E$24:$E$28,O8)</f>
        <v>0.2</v>
      </c>
      <c r="Q8" s="18">
        <f t="shared" si="5"/>
        <v>0.1</v>
      </c>
      <c r="R8" s="10" t="str">
        <f t="shared" si="6"/>
        <v>Media</v>
      </c>
      <c r="S8" s="10">
        <f t="shared" si="7"/>
        <v>18</v>
      </c>
      <c r="T8" s="10" t="s">
        <v>277</v>
      </c>
      <c r="U8" s="10" t="s">
        <v>279</v>
      </c>
      <c r="V8" s="10" t="s">
        <v>280</v>
      </c>
      <c r="W8" s="10" t="s">
        <v>281</v>
      </c>
      <c r="X8" s="10" t="s">
        <v>282</v>
      </c>
      <c r="Y8" s="10" t="s">
        <v>284</v>
      </c>
      <c r="Z8" s="10" t="s">
        <v>285</v>
      </c>
      <c r="AA8" s="10" t="s">
        <v>286</v>
      </c>
      <c r="AB8" s="17">
        <f t="array" ref="AB8">INDEX(Cuantitativo!$Z$6:$Z$38,MATCH($A8,Cuantitativo!$A$6:$A$38,0))</f>
        <v>1194666.667</v>
      </c>
      <c r="AC8" s="10" t="str">
        <f>IF(OR(NOT(ISNUMBER(F8)),NOT(ISNUMBER(K8)),NOT(ISNUMBER(AB8))),"Faltan entradas cuantitativas",IF('Parámetros'!$B$6="","Provisional: costo relativo pendiente","Evaluable con monto contractual"))</f>
        <v>Provisional: costo relativo pendiente</v>
      </c>
    </row>
    <row r="9" ht="109.5" customHeight="1">
      <c r="A9" s="9" t="s">
        <v>240</v>
      </c>
      <c r="B9" s="26" t="str">
        <f t="array" ref="B9">INDEX('Registro original'!$B$6:$B$38,MATCH($A9,'Registro original'!$A$6:$A$38,0))</f>
        <v>Diferencias de inventario sin resolver antes del corte de migración</v>
      </c>
      <c r="C9" s="26" t="str">
        <f t="array" ref="C9">INDEX('Registro original'!$D$6:$D$38,MATCH($A9,'Registro original'!$A$6:$A$38,0))</f>
        <v>La aceptación del inventario migrado requiere conciliar los saldos legados con el conteo físico y contar con explicaciones y ajustes aprobados antes del corte. Antes de un corte, la conciliación del saldo legado con el conteo físico podría detectar diferencias que no cuenten con explicación y ajuste aprobados a tiempo. LafroX tendría que repetir saneamiento y validación, y la carga afectada no podría superar su condición de aceptación hasta resolverlas.</v>
      </c>
      <c r="D9" s="26" t="str">
        <f t="array" ref="D9">INDEX('Registro original'!$C$6:$C$38,MATCH($A9,'Registro original'!$A$6:$A$38,0))</f>
        <v>Operación del cliente</v>
      </c>
      <c r="E9" s="26" t="s">
        <v>306</v>
      </c>
      <c r="F9" s="27">
        <f t="array" ref="F9">INDEX(Cuantitativo!$C$6:$C$38,MATCH($A9,Cuantitativo!$A$6:$A$38,0))</f>
        <v>0.55</v>
      </c>
      <c r="G9" s="26">
        <f t="shared" si="1"/>
        <v>4</v>
      </c>
      <c r="H9" s="28">
        <f t="array" ref="H9">IF(G9=0,0,INDEX('Parámetros'!$D$24:$D$28,G9))</f>
        <v>0.7</v>
      </c>
      <c r="I9" s="29" t="str">
        <f t="array" ref="I9">IF('Parámetros'!$B$6="","Pendiente",IF('Parámetros'!$B$6&lt;=0,"Revisar contrato",INDEX(Cuantitativo!$Y$6:$Y$38,MATCH($A9,Cuantitativo!$A$6:$A$38,0))/'Parámetros'!$B$6))</f>
        <v>Pendiente</v>
      </c>
      <c r="J9" s="26">
        <f t="shared" si="2"/>
        <v>0</v>
      </c>
      <c r="K9" s="31">
        <f t="array" ref="K9">INDEX(Cuantitativo!$AD$6:$AD$38,MATCH($A9,Cuantitativo!$A$6:$A$38,0))</f>
        <v>8.5</v>
      </c>
      <c r="L9" s="26">
        <f t="shared" si="3"/>
        <v>3</v>
      </c>
      <c r="M9" s="15">
        <v>4.0</v>
      </c>
      <c r="N9" s="26" t="s">
        <v>316</v>
      </c>
      <c r="O9" s="32">
        <v>3.0</v>
      </c>
      <c r="P9" s="28">
        <f t="array" ref="P9">INDEX('Parámetros'!$E$24:$E$28,O9)</f>
        <v>0.2</v>
      </c>
      <c r="Q9" s="28">
        <f t="shared" si="5"/>
        <v>0.14</v>
      </c>
      <c r="R9" s="26" t="str">
        <f t="shared" si="6"/>
        <v>Media</v>
      </c>
      <c r="S9" s="26">
        <f t="shared" si="7"/>
        <v>10</v>
      </c>
      <c r="T9" s="26" t="s">
        <v>207</v>
      </c>
      <c r="U9" s="26" t="s">
        <v>324</v>
      </c>
      <c r="V9" s="26" t="s">
        <v>325</v>
      </c>
      <c r="W9" s="26" t="s">
        <v>327</v>
      </c>
      <c r="X9" s="26" t="s">
        <v>330</v>
      </c>
      <c r="Y9" s="26" t="s">
        <v>333</v>
      </c>
      <c r="Z9" s="26" t="s">
        <v>335</v>
      </c>
      <c r="AA9" s="26" t="s">
        <v>337</v>
      </c>
      <c r="AB9" s="30">
        <f t="array" ref="AB9">INDEX(Cuantitativo!$Z$6:$Z$38,MATCH($A9,Cuantitativo!$A$6:$A$38,0))</f>
        <v>1123466.667</v>
      </c>
      <c r="AC9" s="26" t="str">
        <f>IF(OR(NOT(ISNUMBER(F9)),NOT(ISNUMBER(K9)),NOT(ISNUMBER(AB9))),"Faltan entradas cuantitativas",IF('Parámetros'!$B$6="","Provisional: costo relativo pendiente","Evaluable con monto contractual"))</f>
        <v>Provisional: costo relativo pendiente</v>
      </c>
    </row>
    <row r="10" ht="109.5" customHeight="1">
      <c r="A10" s="9" t="s">
        <v>244</v>
      </c>
      <c r="B10" s="10" t="str">
        <f t="array" ref="B10">INDEX('Registro original'!$B$6:$B$38,MATCH($A10,'Registro original'!$A$6:$A$38,0))</f>
        <v>Saldo inicial de envases no conciliable al preparar la carga de M8</v>
      </c>
      <c r="C10" s="10" t="str">
        <f t="array" ref="C10">INDEX('Registro original'!$D$6:$D$38,MATCH($A10,'Registro original'!$A$6:$A$38,0))</f>
        <v>La carga inicial de M8 requiere saldos de envases por cliente y transportista sustentados en antecedentes conciliables del cliente. Al preparar la carga inicial de M8, los antecedentes entregados por el cliente podrían no permitir determinar un saldo conciliado de envases por cliente y transportista. LafroX tendría que repetir preparación y validación de la carga con Finanzas y no podría demostrar el funcionamiento con saldos iniciales aceptados mientras ese dato de partida siga pendiente.</v>
      </c>
      <c r="D10" s="10" t="str">
        <f t="array" ref="D10">INDEX('Registro original'!$C$6:$C$38,MATCH($A10,'Registro original'!$A$6:$A$38,0))</f>
        <v>Operación del cliente</v>
      </c>
      <c r="E10" s="10" t="s">
        <v>306</v>
      </c>
      <c r="F10" s="14">
        <f t="array" ref="F10">INDEX(Cuantitativo!$C$6:$C$38,MATCH($A10,Cuantitativo!$A$6:$A$38,0))</f>
        <v>0.5</v>
      </c>
      <c r="G10" s="10">
        <f t="shared" si="1"/>
        <v>3</v>
      </c>
      <c r="H10" s="18">
        <f t="array" ref="H10">IF(G10=0,0,INDEX('Parámetros'!$D$24:$D$28,G10))</f>
        <v>0.5</v>
      </c>
      <c r="I10" s="21" t="str">
        <f t="array" ref="I10">IF('Parámetros'!$B$6="","Pendiente",IF('Parámetros'!$B$6&lt;=0,"Revisar contrato",INDEX(Cuantitativo!$Y$6:$Y$38,MATCH($A10,Cuantitativo!$A$6:$A$38,0))/'Parámetros'!$B$6))</f>
        <v>Pendiente</v>
      </c>
      <c r="J10" s="10">
        <f t="shared" si="2"/>
        <v>0</v>
      </c>
      <c r="K10" s="20">
        <f t="array" ref="K10">INDEX(Cuantitativo!$AD$6:$AD$38,MATCH($A10,Cuantitativo!$A$6:$A$38,0))</f>
        <v>8.666666667</v>
      </c>
      <c r="L10" s="10">
        <f t="shared" si="3"/>
        <v>3</v>
      </c>
      <c r="M10" s="15">
        <v>3.0</v>
      </c>
      <c r="N10" s="10" t="s">
        <v>358</v>
      </c>
      <c r="O10" s="9">
        <v>3.0</v>
      </c>
      <c r="P10" s="18">
        <f t="array" ref="P10">INDEX('Parámetros'!$E$24:$E$28,O10)</f>
        <v>0.2</v>
      </c>
      <c r="Q10" s="18">
        <f t="shared" si="5"/>
        <v>0.1</v>
      </c>
      <c r="R10" s="10" t="str">
        <f t="shared" si="6"/>
        <v>Media</v>
      </c>
      <c r="S10" s="10">
        <f t="shared" si="7"/>
        <v>19</v>
      </c>
      <c r="T10" s="10" t="s">
        <v>207</v>
      </c>
      <c r="U10" s="10" t="s">
        <v>366</v>
      </c>
      <c r="V10" s="10" t="s">
        <v>368</v>
      </c>
      <c r="W10" s="10" t="s">
        <v>370</v>
      </c>
      <c r="X10" s="10" t="s">
        <v>371</v>
      </c>
      <c r="Y10" s="10" t="s">
        <v>373</v>
      </c>
      <c r="Z10" s="10" t="s">
        <v>374</v>
      </c>
      <c r="AA10" s="10" t="s">
        <v>376</v>
      </c>
      <c r="AB10" s="17">
        <f t="array" ref="AB10">INDEX(Cuantitativo!$Z$6:$Z$38,MATCH($A10,Cuantitativo!$A$6:$A$38,0))</f>
        <v>925333.3333</v>
      </c>
      <c r="AC10" s="10" t="str">
        <f>IF(OR(NOT(ISNUMBER(F10)),NOT(ISNUMBER(K10)),NOT(ISNUMBER(AB10))),"Faltan entradas cuantitativas",IF('Parámetros'!$B$6="","Provisional: costo relativo pendiente","Evaluable con monto contractual"))</f>
        <v>Provisional: costo relativo pendiente</v>
      </c>
    </row>
    <row r="11" ht="109.5" customHeight="1">
      <c r="A11" s="9" t="s">
        <v>255</v>
      </c>
      <c r="B11" s="26" t="str">
        <f t="array" ref="B11">INDEX('Registro original'!$B$6:$B$38,MATCH($A11,'Registro original'!$A$6:$A$38,0))</f>
        <v>Historia de origen insuficiente para sustentar las líneas base de aceptación</v>
      </c>
      <c r="C11" s="26" t="str">
        <f t="array" ref="C11">INDEX('Registro original'!$D$6:$D$38,MATCH($A11,'Registro original'!$A$6:$A$38,0))</f>
        <v>Las comparaciones históricas de aceptación dependen de horas verificables de entrega y montos esperados de rendición que la captura futura no reconstruye. Al validar los antecedentes históricos que se usarán en la aceptación, podrían faltar horas verificables de entrega o montos esperados de rendición. LafroX no podría respaldar con esos registros las comparaciones de OTIF o cuadratura y tendría que repetir la validación del conjunto y período de referencia con las áreas del cliente.</v>
      </c>
      <c r="D11" s="26" t="str">
        <f t="array" ref="D11">INDEX('Registro original'!$C$6:$C$38,MATCH($A11,'Registro original'!$A$6:$A$38,0))</f>
        <v>Operación del cliente</v>
      </c>
      <c r="E11" s="26" t="s">
        <v>385</v>
      </c>
      <c r="F11" s="27">
        <f t="array" ref="F11">INDEX(Cuantitativo!$C$6:$C$38,MATCH($A11,Cuantitativo!$A$6:$A$38,0))</f>
        <v>0.55</v>
      </c>
      <c r="G11" s="26">
        <f t="shared" si="1"/>
        <v>4</v>
      </c>
      <c r="H11" s="28">
        <f t="array" ref="H11">IF(G11=0,0,INDEX('Parámetros'!$D$24:$D$28,G11))</f>
        <v>0.7</v>
      </c>
      <c r="I11" s="29" t="str">
        <f t="array" ref="I11">IF('Parámetros'!$B$6="","Pendiente",IF('Parámetros'!$B$6&lt;=0,"Revisar contrato",INDEX(Cuantitativo!$Y$6:$Y$38,MATCH($A11,Cuantitativo!$A$6:$A$38,0))/'Parámetros'!$B$6))</f>
        <v>Pendiente</v>
      </c>
      <c r="J11" s="26">
        <f t="shared" si="2"/>
        <v>0</v>
      </c>
      <c r="K11" s="31">
        <f t="array" ref="K11">INDEX(Cuantitativo!$AD$6:$AD$38,MATCH($A11,Cuantitativo!$A$6:$A$38,0))</f>
        <v>10.66666667</v>
      </c>
      <c r="L11" s="26">
        <f t="shared" si="3"/>
        <v>3</v>
      </c>
      <c r="M11" s="15">
        <v>3.0</v>
      </c>
      <c r="N11" s="26" t="s">
        <v>395</v>
      </c>
      <c r="O11" s="32">
        <v>3.0</v>
      </c>
      <c r="P11" s="28">
        <f t="array" ref="P11">INDEX('Parámetros'!$E$24:$E$28,O11)</f>
        <v>0.2</v>
      </c>
      <c r="Q11" s="28">
        <f t="shared" si="5"/>
        <v>0.14</v>
      </c>
      <c r="R11" s="26" t="str">
        <f t="shared" si="6"/>
        <v>Media</v>
      </c>
      <c r="S11" s="26">
        <f t="shared" si="7"/>
        <v>11</v>
      </c>
      <c r="T11" s="26" t="s">
        <v>277</v>
      </c>
      <c r="U11" s="26" t="s">
        <v>420</v>
      </c>
      <c r="V11" s="26" t="s">
        <v>422</v>
      </c>
      <c r="W11" s="26" t="s">
        <v>423</v>
      </c>
      <c r="X11" s="26" t="s">
        <v>425</v>
      </c>
      <c r="Y11" s="26" t="s">
        <v>426</v>
      </c>
      <c r="Z11" s="26" t="s">
        <v>427</v>
      </c>
      <c r="AA11" s="26" t="s">
        <v>428</v>
      </c>
      <c r="AB11" s="30">
        <f t="array" ref="AB11">INDEX(Cuantitativo!$Z$6:$Z$38,MATCH($A11,Cuantitativo!$A$6:$A$38,0))</f>
        <v>1076533.333</v>
      </c>
      <c r="AC11" s="26" t="str">
        <f>IF(OR(NOT(ISNUMBER(F11)),NOT(ISNUMBER(K11)),NOT(ISNUMBER(AB11))),"Faltan entradas cuantitativas",IF('Parámetros'!$B$6="","Provisional: costo relativo pendiente","Evaluable con monto contractual"))</f>
        <v>Provisional: costo relativo pendiente</v>
      </c>
    </row>
    <row r="12" ht="109.5" customHeight="1">
      <c r="A12" s="9" t="s">
        <v>260</v>
      </c>
      <c r="B12" s="10" t="str">
        <f t="array" ref="B12">INDEX('Registro original'!$B$6:$B$38,MATCH($A12,'Registro original'!$A$6:$A$38,0))</f>
        <v>Deuda viva adicional a la cartera incluida en la volumetría provisional</v>
      </c>
      <c r="C12" s="10" t="str">
        <f t="array" ref="C12">INDEX('Registro original'!$D$6:$D$38,MATCH($A12,'Registro original'!$A$6:$A$38,0))</f>
        <v>El volumen histórico utilizado para estimar la carga de cartera no acredita que incluya todos los documentos de deuda todavía vigente. Durante el perfilado de la cartera, podrían identificarse documentos de deuda todavía vigente que no estén comprendidos en el volumen histórico usado para estimar la carga. LafroX tendría que extraer, transformar y conciliar ese conjunto adicional, aumentando el trabajo y el volumen de transferencia antes de cerrar la migración de cartera.</v>
      </c>
      <c r="D12" s="10" t="str">
        <f t="array" ref="D12">INDEX('Registro original'!$C$6:$C$38,MATCH($A12,'Registro original'!$A$6:$A$38,0))</f>
        <v>Integración y legado</v>
      </c>
      <c r="E12" s="10" t="s">
        <v>229</v>
      </c>
      <c r="F12" s="14">
        <f t="array" ref="F12">INDEX(Cuantitativo!$C$6:$C$38,MATCH($A12,Cuantitativo!$A$6:$A$38,0))</f>
        <v>0.35</v>
      </c>
      <c r="G12" s="10">
        <f t="shared" si="1"/>
        <v>3</v>
      </c>
      <c r="H12" s="18">
        <f t="array" ref="H12">IF(G12=0,0,INDEX('Parámetros'!$D$24:$D$28,G12))</f>
        <v>0.5</v>
      </c>
      <c r="I12" s="21" t="str">
        <f t="array" ref="I12">IF('Parámetros'!$B$6="","Pendiente",IF('Parámetros'!$B$6&lt;=0,"Revisar contrato",INDEX(Cuantitativo!$Y$6:$Y$38,MATCH($A12,Cuantitativo!$A$6:$A$38,0))/'Parámetros'!$B$6))</f>
        <v>Pendiente</v>
      </c>
      <c r="J12" s="10">
        <f t="shared" si="2"/>
        <v>0</v>
      </c>
      <c r="K12" s="20">
        <f t="array" ref="K12">INDEX(Cuantitativo!$AD$6:$AD$38,MATCH($A12,Cuantitativo!$A$6:$A$38,0))</f>
        <v>6</v>
      </c>
      <c r="L12" s="10">
        <f t="shared" si="3"/>
        <v>2</v>
      </c>
      <c r="M12" s="15">
        <v>3.0</v>
      </c>
      <c r="N12" s="10" t="s">
        <v>441</v>
      </c>
      <c r="O12" s="9">
        <v>3.0</v>
      </c>
      <c r="P12" s="18">
        <f t="array" ref="P12">INDEX('Parámetros'!$E$24:$E$28,O12)</f>
        <v>0.2</v>
      </c>
      <c r="Q12" s="18">
        <f t="shared" si="5"/>
        <v>0.1</v>
      </c>
      <c r="R12" s="10" t="str">
        <f t="shared" si="6"/>
        <v>Media</v>
      </c>
      <c r="S12" s="10">
        <f t="shared" si="7"/>
        <v>21</v>
      </c>
      <c r="T12" s="10" t="s">
        <v>207</v>
      </c>
      <c r="U12" s="10" t="s">
        <v>442</v>
      </c>
      <c r="V12" s="10" t="s">
        <v>443</v>
      </c>
      <c r="W12" s="10" t="s">
        <v>444</v>
      </c>
      <c r="X12" s="10" t="s">
        <v>445</v>
      </c>
      <c r="Y12" s="10" t="s">
        <v>426</v>
      </c>
      <c r="Z12" s="10" t="s">
        <v>446</v>
      </c>
      <c r="AA12" s="10" t="s">
        <v>447</v>
      </c>
      <c r="AB12" s="17">
        <f t="array" ref="AB12">INDEX(Cuantitativo!$Z$6:$Z$38,MATCH($A12,Cuantitativo!$A$6:$A$38,0))</f>
        <v>532000</v>
      </c>
      <c r="AC12" s="10" t="str">
        <f>IF(OR(NOT(ISNUMBER(F12)),NOT(ISNUMBER(K12)),NOT(ISNUMBER(AB12))),"Faltan entradas cuantitativas",IF('Parámetros'!$B$6="","Provisional: costo relativo pendiente","Evaluable con monto contractual"))</f>
        <v>Provisional: costo relativo pendiente</v>
      </c>
    </row>
    <row r="13" ht="109.5" customHeight="1">
      <c r="A13" s="9" t="s">
        <v>267</v>
      </c>
      <c r="B13" s="26" t="str">
        <f t="array" ref="B13">INDEX('Registro original'!$B$6:$B$38,MATCH($A13,'Registro original'!$A$6:$A$38,0))</f>
        <v>El Servicio de Impuestos Internos no responde y deja pendiente un trámite tributario</v>
      </c>
      <c r="C13" s="26" t="str">
        <f t="array" ref="C13">INDEX('Registro original'!$D$6:$D$38,MATCH($A13,'Registro original'!$A$6:$A$38,0))</f>
        <v>La solución envía trámites tributarios por el sistema de gestión actual del cliente y necesita la respuesta del Servicio de Impuestos Internos (SII) para conocer su resultado. Mientras se tramita uno de esos documentos, el SII podría no responder. El trámite quedaría sin confirmación. LafroX tendría que mantenerlo identificado como pendiente, seguir la incidencia y comprobar su resultado al reintentar la comunicación. Esto podría retrasar el cierre del proceso, pero la falta de respuesta no equivale a una aprobación.</v>
      </c>
      <c r="D13" s="26" t="str">
        <f t="array" ref="D13">INDEX('Registro original'!$C$6:$C$38,MATCH($A13,'Registro original'!$A$6:$A$38,0))</f>
        <v>Integración y legado</v>
      </c>
      <c r="E13" s="26" t="s">
        <v>448</v>
      </c>
      <c r="F13" s="27">
        <f t="array" ref="F13">INDEX(Cuantitativo!$C$6:$C$38,MATCH($A13,Cuantitativo!$A$6:$A$38,0))</f>
        <v>0.1</v>
      </c>
      <c r="G13" s="26">
        <f t="shared" si="1"/>
        <v>1</v>
      </c>
      <c r="H13" s="28">
        <f t="array" ref="H13">IF(G13=0,0,INDEX('Parámetros'!$D$24:$D$28,G13))</f>
        <v>0.1</v>
      </c>
      <c r="I13" s="29" t="str">
        <f t="array" ref="I13">IF('Parámetros'!$B$6="","Pendiente",IF('Parámetros'!$B$6&lt;=0,"Revisar contrato",INDEX(Cuantitativo!$Y$6:$Y$38,MATCH($A13,Cuantitativo!$A$6:$A$38,0))/'Parámetros'!$B$6))</f>
        <v>Pendiente</v>
      </c>
      <c r="J13" s="26">
        <f t="shared" si="2"/>
        <v>0</v>
      </c>
      <c r="K13" s="31">
        <f t="array" ref="K13">INDEX(Cuantitativo!$AD$6:$AD$38,MATCH($A13,Cuantitativo!$A$6:$A$38,0))</f>
        <v>0.6833333333</v>
      </c>
      <c r="L13" s="26">
        <f t="shared" si="3"/>
        <v>1</v>
      </c>
      <c r="M13" s="15">
        <v>3.0</v>
      </c>
      <c r="N13" s="26" t="s">
        <v>454</v>
      </c>
      <c r="O13" s="32">
        <v>3.0</v>
      </c>
      <c r="P13" s="28">
        <f t="array" ref="P13">INDEX('Parámetros'!$E$24:$E$28,O13)</f>
        <v>0.2</v>
      </c>
      <c r="Q13" s="28">
        <f t="shared" si="5"/>
        <v>0.02</v>
      </c>
      <c r="R13" s="26" t="str">
        <f t="shared" si="6"/>
        <v>Baja</v>
      </c>
      <c r="S13" s="26">
        <f t="shared" si="7"/>
        <v>29</v>
      </c>
      <c r="T13" s="26" t="s">
        <v>455</v>
      </c>
      <c r="U13" s="26" t="s">
        <v>456</v>
      </c>
      <c r="V13" s="26" t="s">
        <v>457</v>
      </c>
      <c r="W13" s="26" t="s">
        <v>458</v>
      </c>
      <c r="X13" s="26" t="s">
        <v>459</v>
      </c>
      <c r="Y13" s="26" t="s">
        <v>460</v>
      </c>
      <c r="Z13" s="26" t="s">
        <v>461</v>
      </c>
      <c r="AA13" s="26" t="s">
        <v>462</v>
      </c>
      <c r="AB13" s="30">
        <f t="array" ref="AB13">INDEX(Cuantitativo!$Z$6:$Z$38,MATCH($A13,Cuantitativo!$A$6:$A$38,0))</f>
        <v>79000</v>
      </c>
      <c r="AC13" s="26" t="str">
        <f>IF(OR(NOT(ISNUMBER(F13)),NOT(ISNUMBER(K13)),NOT(ISNUMBER(AB13))),"Faltan entradas cuantitativas",IF('Parámetros'!$B$6="","Provisional: costo relativo pendiente","Evaluable con monto contractual"))</f>
        <v>Provisional: costo relativo pendiente</v>
      </c>
    </row>
    <row r="14" ht="93.75" customHeight="1">
      <c r="A14" s="9" t="s">
        <v>270</v>
      </c>
      <c r="B14" s="10" t="str">
        <f t="array" ref="B14">INDEX('Registro original'!$B$6:$B$38,MATCH($A14,'Registro original'!$A$6:$A$38,0))</f>
        <v>POS deja un pago sin resultado externo comprobable</v>
      </c>
      <c r="C14" s="10" t="str">
        <f t="array" ref="C14">INDEX('Registro original'!$D$6:$D$38,MATCH($A14,'Registro original'!$A$6:$A$38,0))</f>
        <v>La integración de pagos depende de la respuesta del POS del tercero; un timeout no permite concluir que el cargo fue rechazado. Después de enviar una autorización de pago, el POS del tercero podría agotar el tiempo de respuesta sin permitir comprobar si hubo cargo. El intercambio quedaría incierto y LafroX tendría que investigar y conciliar el estado de la integración con la contraparte financiera antes de dar por resuelta la incidencia.</v>
      </c>
      <c r="D14" s="10" t="str">
        <f t="array" ref="D14">INDEX('Registro original'!$C$6:$C$38,MATCH($A14,'Registro original'!$A$6:$A$38,0))</f>
        <v>Integración y legado</v>
      </c>
      <c r="E14" s="10" t="s">
        <v>91</v>
      </c>
      <c r="F14" s="14">
        <f t="array" ref="F14">INDEX(Cuantitativo!$C$6:$C$38,MATCH($A14,Cuantitativo!$A$6:$A$38,0))</f>
        <v>0.45</v>
      </c>
      <c r="G14" s="10">
        <f t="shared" si="1"/>
        <v>3</v>
      </c>
      <c r="H14" s="18">
        <f t="array" ref="H14">IF(G14=0,0,INDEX('Parámetros'!$D$24:$D$28,G14))</f>
        <v>0.5</v>
      </c>
      <c r="I14" s="21" t="str">
        <f t="array" ref="I14">IF('Parámetros'!$B$6="","Pendiente",IF('Parámetros'!$B$6&lt;=0,"Revisar contrato",INDEX(Cuantitativo!$Y$6:$Y$38,MATCH($A14,Cuantitativo!$A$6:$A$38,0))/'Parámetros'!$B$6))</f>
        <v>Pendiente</v>
      </c>
      <c r="J14" s="10">
        <f t="shared" si="2"/>
        <v>0</v>
      </c>
      <c r="K14" s="20">
        <f t="array" ref="K14">INDEX(Cuantitativo!$AD$6:$AD$38,MATCH($A14,Cuantitativo!$A$6:$A$38,0))</f>
        <v>1.183333333</v>
      </c>
      <c r="L14" s="10">
        <f t="shared" si="3"/>
        <v>1</v>
      </c>
      <c r="M14" s="15">
        <v>3.0</v>
      </c>
      <c r="N14" s="10" t="s">
        <v>468</v>
      </c>
      <c r="O14" s="9">
        <v>3.0</v>
      </c>
      <c r="P14" s="18">
        <f t="array" ref="P14">INDEX('Parámetros'!$E$24:$E$28,O14)</f>
        <v>0.2</v>
      </c>
      <c r="Q14" s="18">
        <f t="shared" si="5"/>
        <v>0.1</v>
      </c>
      <c r="R14" s="10" t="str">
        <f t="shared" si="6"/>
        <v>Media</v>
      </c>
      <c r="S14" s="10">
        <f t="shared" si="7"/>
        <v>24</v>
      </c>
      <c r="T14" s="10" t="s">
        <v>455</v>
      </c>
      <c r="U14" s="10" t="s">
        <v>471</v>
      </c>
      <c r="V14" s="10" t="s">
        <v>473</v>
      </c>
      <c r="W14" s="10" t="s">
        <v>474</v>
      </c>
      <c r="X14" s="10" t="s">
        <v>476</v>
      </c>
      <c r="Y14" s="10" t="s">
        <v>477</v>
      </c>
      <c r="Z14" s="10" t="s">
        <v>478</v>
      </c>
      <c r="AA14" s="10" t="s">
        <v>480</v>
      </c>
      <c r="AB14" s="17">
        <f t="array" ref="AB14">INDEX(Cuantitativo!$Z$6:$Z$38,MATCH($A14,Cuantitativo!$A$6:$A$38,0))</f>
        <v>247200</v>
      </c>
      <c r="AC14" s="10" t="str">
        <f>IF(OR(NOT(ISNUMBER(F14)),NOT(ISNUMBER(K14)),NOT(ISNUMBER(AB14))),"Faltan entradas cuantitativas",IF('Parámetros'!$B$6="","Provisional: costo relativo pendiente","Evaluable con monto contractual"))</f>
        <v>Provisional: costo relativo pendiente</v>
      </c>
    </row>
    <row r="15" ht="109.5" customHeight="1">
      <c r="A15" s="9" t="s">
        <v>275</v>
      </c>
      <c r="B15" s="26" t="str">
        <f t="array" ref="B15">INDEX('Registro original'!$B$6:$B$38,MATCH($A15,'Registro original'!$A$6:$A$38,0))</f>
        <v>La caída del servicio externo de mapas impide consultar ubicaciones y completar la planificación de rutas</v>
      </c>
      <c r="C15" s="26" t="str">
        <f t="array" ref="C15">INDEX('Registro original'!$D$6:$D$38,MATCH($A15,'Registro original'!$A$6:$A$38,0))</f>
        <v>Durante la operación, el servicio externo de mapas podría dejar de estar disponible, provocando que las solicitudes de consulta de ubicaciones y planificación de rutas no puedan completarse mientras dure la interrupción. LafroX podría experimentar retrasos o interrupciones en la planificación de rutas que dependa del servicio. Tendría que atender el incidente, verificar la recuperación del servicio y aplicar las medidas de continuidad previstas cuando corresponda.</v>
      </c>
      <c r="D15" s="26" t="str">
        <f t="array" ref="D15">INDEX('Registro original'!$C$6:$C$38,MATCH($A15,'Registro original'!$A$6:$A$38,0))</f>
        <v>Integración y legado</v>
      </c>
      <c r="E15" s="26" t="s">
        <v>448</v>
      </c>
      <c r="F15" s="27">
        <f t="array" ref="F15">INDEX(Cuantitativo!$C$6:$C$38,MATCH($A15,Cuantitativo!$A$6:$A$38,0))</f>
        <v>0.05</v>
      </c>
      <c r="G15" s="26">
        <f t="shared" si="1"/>
        <v>1</v>
      </c>
      <c r="H15" s="28">
        <f t="array" ref="H15">IF(G15=0,0,INDEX('Parámetros'!$D$24:$D$28,G15))</f>
        <v>0.1</v>
      </c>
      <c r="I15" s="29" t="str">
        <f t="array" ref="I15">IF('Parámetros'!$B$6="","Pendiente",IF('Parámetros'!$B$6&lt;=0,"Revisar contrato",INDEX(Cuantitativo!$Y$6:$Y$38,MATCH($A15,Cuantitativo!$A$6:$A$38,0))/'Parámetros'!$B$6))</f>
        <v>Pendiente</v>
      </c>
      <c r="J15" s="26">
        <f t="shared" si="2"/>
        <v>0</v>
      </c>
      <c r="K15" s="31">
        <f t="array" ref="K15">INDEX(Cuantitativo!$AD$6:$AD$38,MATCH($A15,Cuantitativo!$A$6:$A$38,0))</f>
        <v>0.6833333333</v>
      </c>
      <c r="L15" s="26">
        <f t="shared" si="3"/>
        <v>1</v>
      </c>
      <c r="M15" s="15">
        <v>3.0</v>
      </c>
      <c r="N15" s="26" t="s">
        <v>515</v>
      </c>
      <c r="O15" s="32">
        <v>3.0</v>
      </c>
      <c r="P15" s="28">
        <f t="array" ref="P15">INDEX('Parámetros'!$E$24:$E$28,O15)</f>
        <v>0.2</v>
      </c>
      <c r="Q15" s="28">
        <f t="shared" si="5"/>
        <v>0.02</v>
      </c>
      <c r="R15" s="26" t="str">
        <f t="shared" si="6"/>
        <v>Baja</v>
      </c>
      <c r="S15" s="26">
        <f t="shared" si="7"/>
        <v>31</v>
      </c>
      <c r="T15" s="26" t="s">
        <v>455</v>
      </c>
      <c r="U15" s="26" t="s">
        <v>522</v>
      </c>
      <c r="V15" s="26" t="s">
        <v>531</v>
      </c>
      <c r="W15" s="26" t="s">
        <v>532</v>
      </c>
      <c r="X15" s="26" t="s">
        <v>533</v>
      </c>
      <c r="Y15" s="26" t="s">
        <v>535</v>
      </c>
      <c r="Z15" s="26" t="s">
        <v>536</v>
      </c>
      <c r="AA15" s="26" t="s">
        <v>538</v>
      </c>
      <c r="AB15" s="30">
        <f t="array" ref="AB15">INDEX(Cuantitativo!$Z$6:$Z$38,MATCH($A15,Cuantitativo!$A$6:$A$38,0))</f>
        <v>19750</v>
      </c>
      <c r="AC15" s="26" t="str">
        <f>IF(OR(NOT(ISNUMBER(F15)),NOT(ISNUMBER(K15)),NOT(ISNUMBER(AB15))),"Faltan entradas cuantitativas",IF('Parámetros'!$B$6="","Provisional: costo relativo pendiente","Evaluable con monto contractual"))</f>
        <v>Provisional: costo relativo pendiente</v>
      </c>
    </row>
    <row r="16" ht="93.75" customHeight="1">
      <c r="A16" s="9" t="s">
        <v>283</v>
      </c>
      <c r="B16" s="10" t="str">
        <f t="array" ref="B16">INDEX('Registro original'!$B$6:$B$38,MATCH($A16,'Registro original'!$A$6:$A$38,0))</f>
        <v>Calidad no entrega la matriz térmica aprobada antes de certificar</v>
      </c>
      <c r="C16" s="10" t="str">
        <f t="array" ref="C16">INDEX('Registro original'!$D$6:$D$38,MATCH($A16,'Registro original'!$A$6:$A$38,0))</f>
        <v>La certificación de la parametrización térmica requiere una matriz de umbrales y duraciones por producto aprobada por Calidad del cliente. Antes de cerrar las pruebas y la marcha blanca de los productos afectados, Calidad del cliente podría no haber aprobado la matriz de umbrales y duraciones por producto. LafroX no podría completar la evidencia de parametrización y aceptación de ese alcance y tendría que reprogramar sus validaciones.</v>
      </c>
      <c r="D16" s="10" t="str">
        <f t="array" ref="D16">INDEX('Registro original'!$C$6:$C$38,MATCH($A16,'Registro original'!$A$6:$A$38,0))</f>
        <v>Operación del cliente</v>
      </c>
      <c r="E16" s="10" t="s">
        <v>552</v>
      </c>
      <c r="F16" s="14">
        <f t="array" ref="F16">INDEX(Cuantitativo!$C$6:$C$38,MATCH($A16,Cuantitativo!$A$6:$A$38,0))</f>
        <v>0.35</v>
      </c>
      <c r="G16" s="10">
        <f t="shared" si="1"/>
        <v>3</v>
      </c>
      <c r="H16" s="18">
        <f t="array" ref="H16">IF(G16=0,0,INDEX('Parámetros'!$D$24:$D$28,G16))</f>
        <v>0.5</v>
      </c>
      <c r="I16" s="21" t="str">
        <f t="array" ref="I16">IF('Parámetros'!$B$6="","Pendiente",IF('Parámetros'!$B$6&lt;=0,"Revisar contrato",INDEX(Cuantitativo!$Y$6:$Y$38,MATCH($A16,Cuantitativo!$A$6:$A$38,0))/'Parámetros'!$B$6))</f>
        <v>Pendiente</v>
      </c>
      <c r="J16" s="10">
        <f t="shared" si="2"/>
        <v>0</v>
      </c>
      <c r="K16" s="20">
        <f t="array" ref="K16">INDEX(Cuantitativo!$AD$6:$AD$38,MATCH($A16,Cuantitativo!$A$6:$A$38,0))</f>
        <v>11.83333333</v>
      </c>
      <c r="L16" s="10">
        <f t="shared" si="3"/>
        <v>3</v>
      </c>
      <c r="M16" s="15">
        <v>4.0</v>
      </c>
      <c r="N16" s="10" t="s">
        <v>570</v>
      </c>
      <c r="O16" s="9">
        <v>5.0</v>
      </c>
      <c r="P16" s="18">
        <f t="array" ref="P16">INDEX('Parámetros'!$E$24:$E$28,O16)</f>
        <v>0.8</v>
      </c>
      <c r="Q16" s="18">
        <f t="shared" si="5"/>
        <v>0.4</v>
      </c>
      <c r="R16" s="10" t="str">
        <f t="shared" si="6"/>
        <v>Crítica</v>
      </c>
      <c r="S16" s="10">
        <f t="shared" si="7"/>
        <v>2</v>
      </c>
      <c r="T16" s="10" t="s">
        <v>277</v>
      </c>
      <c r="U16" s="10" t="s">
        <v>578</v>
      </c>
      <c r="V16" s="10" t="s">
        <v>579</v>
      </c>
      <c r="W16" s="10" t="s">
        <v>580</v>
      </c>
      <c r="X16" s="10" t="s">
        <v>582</v>
      </c>
      <c r="Y16" s="10" t="s">
        <v>333</v>
      </c>
      <c r="Z16" s="10" t="s">
        <v>584</v>
      </c>
      <c r="AA16" s="10" t="s">
        <v>586</v>
      </c>
      <c r="AB16" s="17">
        <f t="array" ref="AB16">INDEX(Cuantitativo!$Z$6:$Z$38,MATCH($A16,Cuantitativo!$A$6:$A$38,0))</f>
        <v>462933.3333</v>
      </c>
      <c r="AC16" s="10" t="str">
        <f>IF(OR(NOT(ISNUMBER(F16)),NOT(ISNUMBER(K16)),NOT(ISNUMBER(AB16))),"Faltan entradas cuantitativas",IF('Parámetros'!$B$6="","Provisional: costo relativo pendiente","Evaluable con monto contractual"))</f>
        <v>Provisional: costo relativo pendiente</v>
      </c>
    </row>
    <row r="17" ht="93.75" customHeight="1">
      <c r="A17" s="9" t="s">
        <v>289</v>
      </c>
      <c r="B17" s="26" t="str">
        <f t="array" ref="B17">INDEX('Registro original'!$B$6:$B$38,MATCH($A17,'Registro original'!$A$6:$A$38,0))</f>
        <v>Equipos que compra el cliente no llegan antes de la ola prevista</v>
      </c>
      <c r="C17" s="26" t="str">
        <f t="array" ref="C17">INDEX('Registro original'!$D$6:$D$38,MATCH($A17,'Registro original'!$A$6:$A$38,0))</f>
        <v>El cliente compra el equipamiento de terreno conforme a la especificación de LafroX y debe disponer de él antes de cada ola. Pese a contar con la especificación de LafroX, el cliente o su proveedor podrían no entregar el equipamiento de terreno antes de la ola programada. LafroX no podría ejecutar con esos equipos la instalación y las pruebas previstas, teniendo que reprogramar despliegue y acompañamiento dentro de los hitos vigentes.</v>
      </c>
      <c r="D17" s="26" t="str">
        <f t="array" ref="D17">INDEX('Registro original'!$C$6:$C$38,MATCH($A17,'Registro original'!$A$6:$A$38,0))</f>
        <v>Operación del cliente</v>
      </c>
      <c r="E17" s="26" t="s">
        <v>600</v>
      </c>
      <c r="F17" s="27">
        <f t="array" ref="F17">INDEX(Cuantitativo!$C$6:$C$38,MATCH($A17,Cuantitativo!$A$6:$A$38,0))</f>
        <v>0.3</v>
      </c>
      <c r="G17" s="26">
        <f t="shared" si="1"/>
        <v>2</v>
      </c>
      <c r="H17" s="28">
        <f t="array" ref="H17">IF(G17=0,0,INDEX('Parámetros'!$D$24:$D$28,G17))</f>
        <v>0.3</v>
      </c>
      <c r="I17" s="29" t="str">
        <f t="array" ref="I17">IF('Parámetros'!$B$6="","Pendiente",IF('Parámetros'!$B$6&lt;=0,"Revisar contrato",INDEX(Cuantitativo!$Y$6:$Y$38,MATCH($A17,Cuantitativo!$A$6:$A$38,0))/'Parámetros'!$B$6))</f>
        <v>Pendiente</v>
      </c>
      <c r="J17" s="26">
        <f t="shared" si="2"/>
        <v>0</v>
      </c>
      <c r="K17" s="31">
        <f t="array" ref="K17">INDEX(Cuantitativo!$AD$6:$AD$38,MATCH($A17,Cuantitativo!$A$6:$A$38,0))</f>
        <v>15.66666667</v>
      </c>
      <c r="L17" s="26">
        <f t="shared" si="3"/>
        <v>3</v>
      </c>
      <c r="M17" s="15">
        <v>4.0</v>
      </c>
      <c r="N17" s="26" t="s">
        <v>615</v>
      </c>
      <c r="O17" s="32">
        <v>4.0</v>
      </c>
      <c r="P17" s="28">
        <f t="array" ref="P17">INDEX('Parámetros'!$E$24:$E$28,O17)</f>
        <v>0.4</v>
      </c>
      <c r="Q17" s="28">
        <f t="shared" si="5"/>
        <v>0.12</v>
      </c>
      <c r="R17" s="26" t="str">
        <f t="shared" si="6"/>
        <v>Media</v>
      </c>
      <c r="S17" s="26">
        <f t="shared" si="7"/>
        <v>14</v>
      </c>
      <c r="T17" s="26" t="s">
        <v>207</v>
      </c>
      <c r="U17" s="26" t="s">
        <v>621</v>
      </c>
      <c r="V17" s="26" t="s">
        <v>622</v>
      </c>
      <c r="W17" s="26" t="s">
        <v>624</v>
      </c>
      <c r="X17" s="26" t="s">
        <v>626</v>
      </c>
      <c r="Y17" s="26" t="s">
        <v>627</v>
      </c>
      <c r="Z17" s="26" t="s">
        <v>628</v>
      </c>
      <c r="AA17" s="26" t="s">
        <v>629</v>
      </c>
      <c r="AB17" s="30">
        <f t="array" ref="AB17">INDEX(Cuantitativo!$Z$6:$Z$38,MATCH($A17,Cuantitativo!$A$6:$A$38,0))</f>
        <v>352000</v>
      </c>
      <c r="AC17" s="26" t="str">
        <f>IF(OR(NOT(ISNUMBER(F17)),NOT(ISNUMBER(K17)),NOT(ISNUMBER(AB17))),"Faltan entradas cuantitativas",IF('Parámetros'!$B$6="","Provisional: costo relativo pendiente","Evaluable con monto contractual"))</f>
        <v>Provisional: costo relativo pendiente</v>
      </c>
    </row>
    <row r="18" ht="93.75" customHeight="1">
      <c r="A18" s="9" t="s">
        <v>295</v>
      </c>
      <c r="B18" s="10" t="str">
        <f t="array" ref="B18">INDEX('Registro original'!$B$6:$B$38,MATCH($A18,'Registro original'!$A$6:$A$38,0))</f>
        <v>Un transportista no firma a tiempo el acuerdo necesario para incorporarlo al reparto</v>
      </c>
      <c r="C18" s="10" t="str">
        <f t="array" ref="C18">INDEX('Registro original'!$D$6:$D$38,MATCH($A18,'Registro original'!$A$6:$A$38,0))</f>
        <v>Antes de incorporar a una empresa transportista al nuevo proceso de reparto, debe estar firmado su acuerdo operativo. Una de las empresas transportistas podría no firmar el acuerdo antes de la ola de implantación en la que estaba prevista. Sus conductores no podrían incorporarse ni completar las pruebas en esa ola. LafroX tendría que reorganizar la capacitación y las pruebas, y quedaría pendiente demostrar la cobertura de ese transportista.</v>
      </c>
      <c r="D18" s="10" t="str">
        <f t="array" ref="D18">INDEX('Registro original'!$C$6:$C$38,MATCH($A18,'Registro original'!$A$6:$A$38,0))</f>
        <v>Personas y adopción</v>
      </c>
      <c r="E18" s="10" t="s">
        <v>600</v>
      </c>
      <c r="F18" s="14">
        <f t="array" ref="F18">INDEX(Cuantitativo!$C$6:$C$38,MATCH($A18,Cuantitativo!$A$6:$A$38,0))</f>
        <v>0.35</v>
      </c>
      <c r="G18" s="10">
        <f t="shared" si="1"/>
        <v>3</v>
      </c>
      <c r="H18" s="18">
        <f t="array" ref="H18">IF(G18=0,0,INDEX('Parámetros'!$D$24:$D$28,G18))</f>
        <v>0.5</v>
      </c>
      <c r="I18" s="21" t="str">
        <f t="array" ref="I18">IF('Parámetros'!$B$6="","Pendiente",IF('Parámetros'!$B$6&lt;=0,"Revisar contrato",INDEX(Cuantitativo!$Y$6:$Y$38,MATCH($A18,Cuantitativo!$A$6:$A$38,0))/'Parámetros'!$B$6))</f>
        <v>Pendiente</v>
      </c>
      <c r="J18" s="10">
        <f t="shared" si="2"/>
        <v>0</v>
      </c>
      <c r="K18" s="20">
        <f t="array" ref="K18">INDEX(Cuantitativo!$AD$6:$AD$38,MATCH($A18,Cuantitativo!$A$6:$A$38,0))</f>
        <v>8.666666667</v>
      </c>
      <c r="L18" s="10">
        <f t="shared" si="3"/>
        <v>3</v>
      </c>
      <c r="M18" s="15">
        <v>3.0</v>
      </c>
      <c r="N18" s="10" t="s">
        <v>635</v>
      </c>
      <c r="O18" s="9">
        <v>3.0</v>
      </c>
      <c r="P18" s="18">
        <f t="array" ref="P18">INDEX('Parámetros'!$E$24:$E$28,O18)</f>
        <v>0.2</v>
      </c>
      <c r="Q18" s="18">
        <f t="shared" si="5"/>
        <v>0.1</v>
      </c>
      <c r="R18" s="10" t="str">
        <f t="shared" si="6"/>
        <v>Media</v>
      </c>
      <c r="S18" s="10">
        <f t="shared" si="7"/>
        <v>23</v>
      </c>
      <c r="T18" s="10" t="s">
        <v>207</v>
      </c>
      <c r="U18" s="10" t="s">
        <v>636</v>
      </c>
      <c r="V18" s="10" t="s">
        <v>637</v>
      </c>
      <c r="W18" s="10" t="s">
        <v>638</v>
      </c>
      <c r="X18" s="10" t="s">
        <v>639</v>
      </c>
      <c r="Y18" s="10" t="s">
        <v>640</v>
      </c>
      <c r="Z18" s="10" t="s">
        <v>641</v>
      </c>
      <c r="AA18" s="10" t="s">
        <v>642</v>
      </c>
      <c r="AB18" s="17">
        <f t="array" ref="AB18">INDEX(Cuantitativo!$Z$6:$Z$38,MATCH($A18,Cuantitativo!$A$6:$A$38,0))</f>
        <v>273000</v>
      </c>
      <c r="AC18" s="10" t="str">
        <f>IF(OR(NOT(ISNUMBER(F18)),NOT(ISNUMBER(K18)),NOT(ISNUMBER(AB18))),"Faltan entradas cuantitativas",IF('Parámetros'!$B$6="","Provisional: costo relativo pendiente","Evaluable con monto contractual"))</f>
        <v>Provisional: costo relativo pendiente</v>
      </c>
    </row>
    <row r="19" ht="109.5" customHeight="1">
      <c r="A19" s="9" t="s">
        <v>301</v>
      </c>
      <c r="B19" s="26" t="str">
        <f t="array" ref="B19">INDEX('Registro original'!$B$6:$B$38,MATCH($A19,'Registro original'!$A$6:$A$38,0))</f>
        <v>Un transportista no permite instalar el equipo que registra la temperatura de su camión</v>
      </c>
      <c r="C19" s="26" t="str">
        <f t="array" ref="C19">INDEX('Registro original'!$D$6:$D$38,MATCH($A19,'Registro original'!$A$6:$A$38,0))</f>
        <v>La solución prevé instalar un termógrafo, equipo que registra la temperatura, en camiones refrigerados de terceros. Para hacerlo se necesita acceso al vehículo y autorización de su propietario. Al preparar una ruta refrigerada, la empresa dueña del camión podría negar el acceso o la autorización para instalar ese equipo. LafroX no podría instalarlo ni integrarlo antes de incorporar esa ruta. La evidencia de temperatura que debía obtenerse mediante el equipo quedaría pendiente de una solución acordada y comprobada.</v>
      </c>
      <c r="D19" s="26" t="str">
        <f t="array" ref="D19">INDEX('Registro original'!$C$6:$C$38,MATCH($A19,'Registro original'!$A$6:$A$38,0))</f>
        <v>Operación del cliente</v>
      </c>
      <c r="E19" s="26" t="s">
        <v>600</v>
      </c>
      <c r="F19" s="27">
        <f t="array" ref="F19">INDEX(Cuantitativo!$C$6:$C$38,MATCH($A19,Cuantitativo!$A$6:$A$38,0))</f>
        <v>0.25</v>
      </c>
      <c r="G19" s="26">
        <f t="shared" si="1"/>
        <v>2</v>
      </c>
      <c r="H19" s="28">
        <f t="array" ref="H19">IF(G19=0,0,INDEX('Parámetros'!$D$24:$D$28,G19))</f>
        <v>0.3</v>
      </c>
      <c r="I19" s="29" t="str">
        <f t="array" ref="I19">IF('Parámetros'!$B$6="","Pendiente",IF('Parámetros'!$B$6&lt;=0,"Revisar contrato",INDEX(Cuantitativo!$Y$6:$Y$38,MATCH($A19,Cuantitativo!$A$6:$A$38,0))/'Parámetros'!$B$6))</f>
        <v>Pendiente</v>
      </c>
      <c r="J19" s="26">
        <f t="shared" si="2"/>
        <v>0</v>
      </c>
      <c r="K19" s="31">
        <f t="array" ref="K19">INDEX(Cuantitativo!$AD$6:$AD$38,MATCH($A19,Cuantitativo!$A$6:$A$38,0))</f>
        <v>11.83333333</v>
      </c>
      <c r="L19" s="26">
        <f t="shared" si="3"/>
        <v>3</v>
      </c>
      <c r="M19" s="15">
        <v>4.0</v>
      </c>
      <c r="N19" s="26" t="s">
        <v>648</v>
      </c>
      <c r="O19" s="32">
        <v>4.0</v>
      </c>
      <c r="P19" s="28">
        <f t="array" ref="P19">INDEX('Parámetros'!$E$24:$E$28,O19)</f>
        <v>0.4</v>
      </c>
      <c r="Q19" s="28">
        <f t="shared" si="5"/>
        <v>0.12</v>
      </c>
      <c r="R19" s="26" t="str">
        <f t="shared" si="6"/>
        <v>Media</v>
      </c>
      <c r="S19" s="26">
        <f t="shared" si="7"/>
        <v>15</v>
      </c>
      <c r="T19" s="26" t="s">
        <v>207</v>
      </c>
      <c r="U19" s="26" t="s">
        <v>649</v>
      </c>
      <c r="V19" s="26" t="s">
        <v>650</v>
      </c>
      <c r="W19" s="26" t="s">
        <v>651</v>
      </c>
      <c r="X19" s="26" t="s">
        <v>652</v>
      </c>
      <c r="Y19" s="26" t="s">
        <v>653</v>
      </c>
      <c r="Z19" s="26" t="s">
        <v>654</v>
      </c>
      <c r="AA19" s="26" t="s">
        <v>655</v>
      </c>
      <c r="AB19" s="30">
        <f t="array" ref="AB19">INDEX(Cuantitativo!$Z$6:$Z$38,MATCH($A19,Cuantitativo!$A$6:$A$38,0))</f>
        <v>292333.3333</v>
      </c>
      <c r="AC19" s="26" t="str">
        <f>IF(OR(NOT(ISNUMBER(F19)),NOT(ISNUMBER(K19)),NOT(ISNUMBER(AB19))),"Faltan entradas cuantitativas",IF('Parámetros'!$B$6="","Provisional: costo relativo pendiente","Evaluable con monto contractual"))</f>
        <v>Provisional: costo relativo pendiente</v>
      </c>
    </row>
    <row r="20" ht="109.5" customHeight="1">
      <c r="A20" s="9" t="s">
        <v>304</v>
      </c>
      <c r="B20" s="10" t="str">
        <f t="array" ref="B20">INDEX('Registro original'!$B$6:$B$38,MATCH($A20,'Registro original'!$A$6:$A$38,0))</f>
        <v>Usuarios mantienen el proceso anterior en lugar de registrar en la solución</v>
      </c>
      <c r="C20" s="10" t="str">
        <f t="array" ref="C20">INDEX('Registro original'!$D$6:$D$38,MATCH($A20,'Registro original'!$A$6:$A$38,0))</f>
        <v>La implantación cambia hábitos de trabajo y exige que los usuarios incorporen sus transacciones al registro oficial de la solución. Durante una ola, parte de los usuarios podría resistirse al cambio y continuar registrando exclusivamente en el procedimiento anterior, sin incorporar sus transacciones al registro oficial de la solución. LafroX no podría acreditar la cobertura de adopción requerida para cerrar esa ola y tendría que extender la intervención de implantación.</v>
      </c>
      <c r="D20" s="10" t="str">
        <f t="array" ref="D20">INDEX('Registro original'!$C$6:$C$38,MATCH($A20,'Registro original'!$A$6:$A$38,0))</f>
        <v>Personas y adopción</v>
      </c>
      <c r="E20" s="10" t="s">
        <v>660</v>
      </c>
      <c r="F20" s="14">
        <f t="array" ref="F20">INDEX(Cuantitativo!$C$6:$C$38,MATCH($A20,Cuantitativo!$A$6:$A$38,0))</f>
        <v>0.55</v>
      </c>
      <c r="G20" s="10">
        <f t="shared" si="1"/>
        <v>4</v>
      </c>
      <c r="H20" s="18">
        <f t="array" ref="H20">IF(G20=0,0,INDEX('Parámetros'!$D$24:$D$28,G20))</f>
        <v>0.7</v>
      </c>
      <c r="I20" s="21" t="str">
        <f t="array" ref="I20">IF('Parámetros'!$B$6="","Pendiente",IF('Parámetros'!$B$6&lt;=0,"Revisar contrato",INDEX(Cuantitativo!$Y$6:$Y$38,MATCH($A20,Cuantitativo!$A$6:$A$38,0))/'Parámetros'!$B$6))</f>
        <v>Pendiente</v>
      </c>
      <c r="J20" s="10">
        <f t="shared" si="2"/>
        <v>0</v>
      </c>
      <c r="K20" s="20">
        <f t="array" ref="K20">INDEX(Cuantitativo!$AD$6:$AD$38,MATCH($A20,Cuantitativo!$A$6:$A$38,0))</f>
        <v>11.83333333</v>
      </c>
      <c r="L20" s="10">
        <f t="shared" si="3"/>
        <v>3</v>
      </c>
      <c r="M20" s="15">
        <v>4.0</v>
      </c>
      <c r="N20" s="10" t="s">
        <v>662</v>
      </c>
      <c r="O20" s="9">
        <v>4.0</v>
      </c>
      <c r="P20" s="18">
        <f t="array" ref="P20">INDEX('Parámetros'!$E$24:$E$28,O20)</f>
        <v>0.4</v>
      </c>
      <c r="Q20" s="18">
        <f t="shared" si="5"/>
        <v>0.28</v>
      </c>
      <c r="R20" s="10" t="str">
        <f t="shared" si="6"/>
        <v>Alta</v>
      </c>
      <c r="S20" s="10">
        <f t="shared" si="7"/>
        <v>3</v>
      </c>
      <c r="T20" s="10" t="s">
        <v>207</v>
      </c>
      <c r="U20" s="10" t="s">
        <v>663</v>
      </c>
      <c r="V20" s="10" t="s">
        <v>664</v>
      </c>
      <c r="W20" s="10" t="s">
        <v>665</v>
      </c>
      <c r="X20" s="10" t="s">
        <v>666</v>
      </c>
      <c r="Y20" s="10" t="s">
        <v>667</v>
      </c>
      <c r="Z20" s="10" t="s">
        <v>668</v>
      </c>
      <c r="AA20" s="10" t="s">
        <v>669</v>
      </c>
      <c r="AB20" s="17">
        <f t="array" ref="AB20">INDEX(Cuantitativo!$Z$6:$Z$38,MATCH($A20,Cuantitativo!$A$6:$A$38,0))</f>
        <v>1267200</v>
      </c>
      <c r="AC20" s="10" t="str">
        <f>IF(OR(NOT(ISNUMBER(F20)),NOT(ISNUMBER(K20)),NOT(ISNUMBER(AB20))),"Faltan entradas cuantitativas",IF('Parámetros'!$B$6="","Provisional: costo relativo pendiente","Evaluable con monto contractual"))</f>
        <v>Provisional: costo relativo pendiente</v>
      </c>
    </row>
    <row r="21" ht="109.5" customHeight="1">
      <c r="A21" s="9" t="s">
        <v>309</v>
      </c>
      <c r="B21" s="26" t="str">
        <f t="array" ref="B21">INDEX('Registro original'!$B$6:$B$38,MATCH($A21,'Registro original'!$A$6:$A$38,0))</f>
        <v>Planificador deja de estar disponible antes de validar sus excepciones</v>
      </c>
      <c r="C21" s="26" t="str">
        <f t="array" ref="C21">INDEX('Registro original'!$D$6:$D$38,MATCH($A21,'Registro original'!$A$6:$A$38,0))</f>
        <v>Parte de las reglas y excepciones de rutas reside en el planificador del cliente y debe transferirse y validarse mientras esté disponible. Durante la captura y validación temprana de reglas de rutas, el planificador del cliente podría retirarse o dejar de estar disponible antes de transferir las excepciones que aún no estén documentadas. LafroX tendría que reconstruir y validar ese conocimiento con el ayudante y antecedentes históricos, afectando sus talleres y pruebas de rutas.</v>
      </c>
      <c r="D21" s="26" t="str">
        <f t="array" ref="D21">INDEX('Registro original'!$C$6:$C$38,MATCH($A21,'Registro original'!$A$6:$A$38,0))</f>
        <v>Personas y adopción</v>
      </c>
      <c r="E21" s="26" t="s">
        <v>675</v>
      </c>
      <c r="F21" s="27">
        <f t="array" ref="F21">INDEX(Cuantitativo!$C$6:$C$38,MATCH($A21,Cuantitativo!$A$6:$A$38,0))</f>
        <v>0.2</v>
      </c>
      <c r="G21" s="26">
        <f t="shared" si="1"/>
        <v>2</v>
      </c>
      <c r="H21" s="28">
        <f t="array" ref="H21">IF(G21=0,0,INDEX('Parámetros'!$D$24:$D$28,G21))</f>
        <v>0.3</v>
      </c>
      <c r="I21" s="29" t="str">
        <f t="array" ref="I21">IF('Parámetros'!$B$6="","Pendiente",IF('Parámetros'!$B$6&lt;=0,"Revisar contrato",INDEX(Cuantitativo!$Y$6:$Y$38,MATCH($A21,Cuantitativo!$A$6:$A$38,0))/'Parámetros'!$B$6))</f>
        <v>Pendiente</v>
      </c>
      <c r="J21" s="26">
        <f t="shared" si="2"/>
        <v>0</v>
      </c>
      <c r="K21" s="31">
        <f t="array" ref="K21">INDEX(Cuantitativo!$AD$6:$AD$38,MATCH($A21,Cuantitativo!$A$6:$A$38,0))</f>
        <v>11.83333333</v>
      </c>
      <c r="L21" s="26">
        <f t="shared" si="3"/>
        <v>3</v>
      </c>
      <c r="M21" s="15">
        <v>4.0</v>
      </c>
      <c r="N21" s="26" t="s">
        <v>676</v>
      </c>
      <c r="O21" s="32">
        <v>5.0</v>
      </c>
      <c r="P21" s="28">
        <f t="array" ref="P21">INDEX('Parámetros'!$E$24:$E$28,O21)</f>
        <v>0.8</v>
      </c>
      <c r="Q21" s="28">
        <f t="shared" si="5"/>
        <v>0.24</v>
      </c>
      <c r="R21" s="26" t="str">
        <f t="shared" si="6"/>
        <v>Alta</v>
      </c>
      <c r="S21" s="26">
        <f t="shared" si="7"/>
        <v>5</v>
      </c>
      <c r="T21" s="26" t="s">
        <v>277</v>
      </c>
      <c r="U21" s="26" t="s">
        <v>680</v>
      </c>
      <c r="V21" s="26" t="s">
        <v>682</v>
      </c>
      <c r="W21" s="26" t="s">
        <v>684</v>
      </c>
      <c r="X21" s="26" t="s">
        <v>686</v>
      </c>
      <c r="Y21" s="26" t="s">
        <v>687</v>
      </c>
      <c r="Z21" s="26" t="s">
        <v>688</v>
      </c>
      <c r="AA21" s="26" t="s">
        <v>689</v>
      </c>
      <c r="AB21" s="30">
        <f t="array" ref="AB21">INDEX(Cuantitativo!$Z$6:$Z$38,MATCH($A21,Cuantitativo!$A$6:$A$38,0))</f>
        <v>355733.3333</v>
      </c>
      <c r="AC21" s="26" t="str">
        <f>IF(OR(NOT(ISNUMBER(F21)),NOT(ISNUMBER(K21)),NOT(ISNUMBER(AB21))),"Faltan entradas cuantitativas",IF('Parámetros'!$B$6="","Provisional: costo relativo pendiente","Evaluable con monto contractual"))</f>
        <v>Provisional: costo relativo pendiente</v>
      </c>
    </row>
    <row r="22" ht="126.0" customHeight="1">
      <c r="A22" s="9" t="s">
        <v>312</v>
      </c>
      <c r="B22" s="10" t="str">
        <f t="array" ref="B22">INDEX('Registro original'!$B$6:$B$38,MATCH($A22,'Registro original'!$A$6:$A$38,0))</f>
        <v>Los usuarios no pueden asistir a la capacitación prevista antes de cerrar una ola</v>
      </c>
      <c r="C22" s="10" t="str">
        <f t="array" ref="C22">INDEX('Registro original'!$D$6:$D$38,MATCH($A22,'Registro original'!$A$6:$A$38,0))</f>
        <v>La capacitación y la certificación de usuarios deben realizarse sin detener la preparación de pedidos, la venta ni el reparto. Para ello, el cliente debe disponer de esas personas en los horarios acordados. Las necesidades de la operación podrían impedir que algunos usuarios asistan a las sesiones de formación y evaluación antes del cierre de su ola de implantación. LafroX tendría que reprogramar las sesiones y el acompañamiento. No podría acreditar que esos usuarios están preparados para usar la solución hasta que completen la evaluación.</v>
      </c>
      <c r="D22" s="10" t="str">
        <f t="array" ref="D22">INDEX('Registro original'!$C$6:$C$38,MATCH($A22,'Registro original'!$A$6:$A$38,0))</f>
        <v>Personas y adopción</v>
      </c>
      <c r="E22" s="10" t="s">
        <v>690</v>
      </c>
      <c r="F22" s="14">
        <f t="array" ref="F22">INDEX(Cuantitativo!$C$6:$C$38,MATCH($A22,Cuantitativo!$A$6:$A$38,0))</f>
        <v>0.3</v>
      </c>
      <c r="G22" s="10">
        <f t="shared" si="1"/>
        <v>2</v>
      </c>
      <c r="H22" s="18">
        <f t="array" ref="H22">IF(G22=0,0,INDEX('Parámetros'!$D$24:$D$28,G22))</f>
        <v>0.3</v>
      </c>
      <c r="I22" s="21" t="str">
        <f t="array" ref="I22">IF('Parámetros'!$B$6="","Pendiente",IF('Parámetros'!$B$6&lt;=0,"Revisar contrato",INDEX(Cuantitativo!$Y$6:$Y$38,MATCH($A22,Cuantitativo!$A$6:$A$38,0))/'Parámetros'!$B$6))</f>
        <v>Pendiente</v>
      </c>
      <c r="J22" s="10">
        <f t="shared" si="2"/>
        <v>0</v>
      </c>
      <c r="K22" s="20">
        <f t="array" ref="K22">INDEX(Cuantitativo!$AD$6:$AD$38,MATCH($A22,Cuantitativo!$A$6:$A$38,0))</f>
        <v>8.5</v>
      </c>
      <c r="L22" s="10">
        <f t="shared" si="3"/>
        <v>3</v>
      </c>
      <c r="M22" s="15">
        <v>3.0</v>
      </c>
      <c r="N22" s="10" t="s">
        <v>692</v>
      </c>
      <c r="O22" s="9">
        <v>3.0</v>
      </c>
      <c r="P22" s="18">
        <f t="array" ref="P22">INDEX('Parámetros'!$E$24:$E$28,O22)</f>
        <v>0.2</v>
      </c>
      <c r="Q22" s="18">
        <f t="shared" si="5"/>
        <v>0.06</v>
      </c>
      <c r="R22" s="10" t="str">
        <f t="shared" si="6"/>
        <v>Baja</v>
      </c>
      <c r="S22" s="10">
        <f t="shared" si="7"/>
        <v>25</v>
      </c>
      <c r="T22" s="10" t="s">
        <v>207</v>
      </c>
      <c r="U22" s="10" t="s">
        <v>698</v>
      </c>
      <c r="V22" s="10" t="s">
        <v>699</v>
      </c>
      <c r="W22" s="10" t="s">
        <v>700</v>
      </c>
      <c r="X22" s="10" t="s">
        <v>701</v>
      </c>
      <c r="Y22" s="10" t="s">
        <v>702</v>
      </c>
      <c r="Z22" s="10" t="s">
        <v>703</v>
      </c>
      <c r="AA22" s="10" t="s">
        <v>704</v>
      </c>
      <c r="AB22" s="17">
        <f t="array" ref="AB22">INDEX(Cuantitativo!$Z$6:$Z$38,MATCH($A22,Cuantitativo!$A$6:$A$38,0))</f>
        <v>460800</v>
      </c>
      <c r="AC22" s="10" t="str">
        <f>IF(OR(NOT(ISNUMBER(F22)),NOT(ISNUMBER(K22)),NOT(ISNUMBER(AB22))),"Faltan entradas cuantitativas",IF('Parámetros'!$B$6="","Provisional: costo relativo pendiente","Evaluable con monto contractual"))</f>
        <v>Provisional: costo relativo pendiente</v>
      </c>
    </row>
    <row r="23" ht="93.75" customHeight="1">
      <c r="A23" s="9" t="s">
        <v>315</v>
      </c>
      <c r="B23" s="26" t="str">
        <f t="array" ref="B23">INDEX('Registro original'!$B$6:$B$38,MATCH($A23,'Registro original'!$A$6:$A$38,0))</f>
        <v>Contraparte no entrega una validación necesaria en la fecha prevista</v>
      </c>
      <c r="C23" s="26" t="str">
        <f t="array" ref="C23">INDEX('Registro original'!$D$6:$D$38,MATCH($A23,'Registro original'!$A$6:$A$38,0))</f>
        <v>Los diseños, pruebas y aceptaciones incluyen actividades dependientes de validaciones o decisiones de las áreas del cliente. Antes de completar un diseño, una prueba o una aceptación programada, el área del cliente requerida podría no entregar la validación o decisión necesaria en la fecha acordada para esa actividad. LafroX tendría que detener o repetir las tareas dependientes, consumir holgura y reprogramar recursos.</v>
      </c>
      <c r="D23" s="26" t="str">
        <f t="array" ref="D23">INDEX('Registro original'!$C$6:$C$38,MATCH($A23,'Registro original'!$A$6:$A$38,0))</f>
        <v>Operación del cliente</v>
      </c>
      <c r="E23" s="26" t="s">
        <v>705</v>
      </c>
      <c r="F23" s="27">
        <f t="array" ref="F23">INDEX(Cuantitativo!$C$6:$C$38,MATCH($A23,Cuantitativo!$A$6:$A$38,0))</f>
        <v>0.45</v>
      </c>
      <c r="G23" s="26">
        <f t="shared" si="1"/>
        <v>3</v>
      </c>
      <c r="H23" s="28">
        <f t="array" ref="H23">IF(G23=0,0,INDEX('Parámetros'!$D$24:$D$28,G23))</f>
        <v>0.5</v>
      </c>
      <c r="I23" s="29" t="str">
        <f t="array" ref="I23">IF('Parámetros'!$B$6="","Pendiente",IF('Parámetros'!$B$6&lt;=0,"Revisar contrato",INDEX(Cuantitativo!$Y$6:$Y$38,MATCH($A23,Cuantitativo!$A$6:$A$38,0))/'Parámetros'!$B$6))</f>
        <v>Pendiente</v>
      </c>
      <c r="J23" s="26">
        <f t="shared" si="2"/>
        <v>0</v>
      </c>
      <c r="K23" s="31">
        <f t="array" ref="K23">INDEX(Cuantitativo!$AD$6:$AD$38,MATCH($A23,Cuantitativo!$A$6:$A$38,0))</f>
        <v>15.66666667</v>
      </c>
      <c r="L23" s="26">
        <f t="shared" si="3"/>
        <v>3</v>
      </c>
      <c r="M23" s="15">
        <v>4.0</v>
      </c>
      <c r="N23" s="26" t="s">
        <v>711</v>
      </c>
      <c r="O23" s="32">
        <v>4.0</v>
      </c>
      <c r="P23" s="28">
        <f t="array" ref="P23">INDEX('Parámetros'!$E$24:$E$28,O23)</f>
        <v>0.4</v>
      </c>
      <c r="Q23" s="28">
        <f t="shared" si="5"/>
        <v>0.2</v>
      </c>
      <c r="R23" s="26" t="str">
        <f t="shared" si="6"/>
        <v>Alta</v>
      </c>
      <c r="S23" s="26">
        <f t="shared" si="7"/>
        <v>9</v>
      </c>
      <c r="T23" s="26" t="s">
        <v>277</v>
      </c>
      <c r="U23" s="26" t="s">
        <v>712</v>
      </c>
      <c r="V23" s="26" t="s">
        <v>713</v>
      </c>
      <c r="W23" s="26" t="s">
        <v>714</v>
      </c>
      <c r="X23" s="26" t="s">
        <v>715</v>
      </c>
      <c r="Y23" s="26" t="s">
        <v>716</v>
      </c>
      <c r="Z23" s="26" t="s">
        <v>717</v>
      </c>
      <c r="AA23" s="26" t="s">
        <v>718</v>
      </c>
      <c r="AB23" s="30">
        <f t="array" ref="AB23">INDEX(Cuantitativo!$Z$6:$Z$38,MATCH($A23,Cuantitativo!$A$6:$A$38,0))</f>
        <v>844800</v>
      </c>
      <c r="AC23" s="26" t="str">
        <f>IF(OR(NOT(ISNUMBER(F23)),NOT(ISNUMBER(K23)),NOT(ISNUMBER(AB23))),"Faltan entradas cuantitativas",IF('Parámetros'!$B$6="","Provisional: costo relativo pendiente","Evaluable con monto contractual"))</f>
        <v>Provisional: costo relativo pendiente</v>
      </c>
    </row>
    <row r="24" ht="109.5" customHeight="1">
      <c r="A24" s="9" t="s">
        <v>319</v>
      </c>
      <c r="B24" s="10" t="str">
        <f t="array" ref="B24">INDEX('Registro original'!$B$6:$B$38,MATCH($A24,'Registro original'!$A$6:$A$38,0))</f>
        <v>Proveedor de conectividad interrumpe el enlace de un sitio operado</v>
      </c>
      <c r="C24" s="10" t="str">
        <f t="array" ref="C24">INDEX('Registro original'!$D$6:$D$38,MATCH($A24,'Registro original'!$A$6:$A$38,0))</f>
        <v>Los sitios utilizan servicios externos de fibra, LTE o satélite cuya conectividad con servicios centrales forma parte del servicio integrado. Durante pruebas u operación de un sitio, el proveedor de fibra, LTE o satélite podría interrumpir el enlace utilizado. La conexión con servicios centrales quedaría limitada y LafroX tendría que gestionar la restitución con el operador y verificar la posterior sincronización, manteniendo la continuidad local comprometida.</v>
      </c>
      <c r="D24" s="10" t="str">
        <f t="array" ref="D24">INDEX('Registro original'!$C$6:$C$38,MATCH($A24,'Registro original'!$A$6:$A$38,0))</f>
        <v>Operación del cliente</v>
      </c>
      <c r="E24" s="10" t="s">
        <v>448</v>
      </c>
      <c r="F24" s="14">
        <f t="array" ref="F24">INDEX(Cuantitativo!$C$6:$C$38,MATCH($A24,Cuantitativo!$A$6:$A$38,0))</f>
        <v>0.05</v>
      </c>
      <c r="G24" s="10">
        <f t="shared" si="1"/>
        <v>1</v>
      </c>
      <c r="H24" s="18">
        <f t="array" ref="H24">IF(G24=0,0,INDEX('Parámetros'!$D$24:$D$28,G24))</f>
        <v>0.1</v>
      </c>
      <c r="I24" s="21" t="str">
        <f t="array" ref="I24">IF('Parámetros'!$B$6="","Pendiente",IF('Parámetros'!$B$6&lt;=0,"Revisar contrato",INDEX(Cuantitativo!$Y$6:$Y$38,MATCH($A24,Cuantitativo!$A$6:$A$38,0))/'Parámetros'!$B$6))</f>
        <v>Pendiente</v>
      </c>
      <c r="J24" s="10">
        <f t="shared" si="2"/>
        <v>0</v>
      </c>
      <c r="K24" s="20">
        <f t="array" ref="K24">INDEX(Cuantitativo!$AD$6:$AD$38,MATCH($A24,Cuantitativo!$A$6:$A$38,0))</f>
        <v>0.6833333333</v>
      </c>
      <c r="L24" s="10">
        <f t="shared" si="3"/>
        <v>1</v>
      </c>
      <c r="M24" s="15">
        <v>3.0</v>
      </c>
      <c r="N24" s="10" t="s">
        <v>724</v>
      </c>
      <c r="O24" s="9">
        <v>3.0</v>
      </c>
      <c r="P24" s="18">
        <f t="array" ref="P24">INDEX('Parámetros'!$E$24:$E$28,O24)</f>
        <v>0.2</v>
      </c>
      <c r="Q24" s="18">
        <f t="shared" si="5"/>
        <v>0.02</v>
      </c>
      <c r="R24" s="10" t="str">
        <f t="shared" si="6"/>
        <v>Baja</v>
      </c>
      <c r="S24" s="10">
        <f t="shared" si="7"/>
        <v>30</v>
      </c>
      <c r="T24" s="10" t="s">
        <v>455</v>
      </c>
      <c r="U24" s="10" t="s">
        <v>725</v>
      </c>
      <c r="V24" s="10" t="s">
        <v>726</v>
      </c>
      <c r="W24" s="10" t="s">
        <v>727</v>
      </c>
      <c r="X24" s="10" t="s">
        <v>728</v>
      </c>
      <c r="Y24" s="10" t="s">
        <v>729</v>
      </c>
      <c r="Z24" s="10" t="s">
        <v>730</v>
      </c>
      <c r="AA24" s="10" t="s">
        <v>731</v>
      </c>
      <c r="AB24" s="17">
        <f t="array" ref="AB24">INDEX(Cuantitativo!$Z$6:$Z$38,MATCH($A24,Cuantitativo!$A$6:$A$38,0))</f>
        <v>70000</v>
      </c>
      <c r="AC24" s="10" t="str">
        <f>IF(OR(NOT(ISNUMBER(F24)),NOT(ISNUMBER(K24)),NOT(ISNUMBER(AB24))),"Faltan entradas cuantitativas",IF('Parámetros'!$B$6="","Provisional: costo relativo pendiente","Evaluable con monto contractual"))</f>
        <v>Provisional: costo relativo pendiente</v>
      </c>
    </row>
    <row r="25" ht="109.5" customHeight="1">
      <c r="A25" s="9" t="s">
        <v>323</v>
      </c>
      <c r="B25" s="26" t="str">
        <f t="array" ref="B25">INDEX('Registro original'!$B$6:$B$38,MATCH($A25,'Registro original'!$A$6:$A$38,0))</f>
        <v>Un corte de electricidad supera el tiempo de respaldo de equipos mantenidos por LafroX</v>
      </c>
      <c r="C25" s="26" t="str">
        <f t="array" ref="C25">INDEX('Registro original'!$D$6:$D$38,MATCH($A25,'Registro original'!$A$6:$A$38,0))</f>
        <v>Algunos equipos de la infraestructura dependen del suministro eléctrico y cuentan con baterías o generación de respaldo cuya autonomía es limitada. En un sitio atendido por LafroX, un corte de electricidad podría durar más que la autonomía del respaldo aplicable a los equipos afectados. Esos equipos podrían dejar de prestar servicio hasta que se restablezca la energía o se recupere la infraestructura. LafroX tendría que atender la incidencia y comprobar la restitución de los componentes bajo su mantenimiento.</v>
      </c>
      <c r="D25" s="26" t="str">
        <f t="array" ref="D25">INDEX('Registro original'!$C$6:$C$38,MATCH($A25,'Registro original'!$A$6:$A$38,0))</f>
        <v>Operación del cliente</v>
      </c>
      <c r="E25" s="26" t="s">
        <v>448</v>
      </c>
      <c r="F25" s="27">
        <f t="array" ref="F25">INDEX(Cuantitativo!$C$6:$C$38,MATCH($A25,Cuantitativo!$A$6:$A$38,0))</f>
        <v>0.05</v>
      </c>
      <c r="G25" s="26">
        <f t="shared" si="1"/>
        <v>1</v>
      </c>
      <c r="H25" s="28">
        <f t="array" ref="H25">IF(G25=0,0,INDEX('Parámetros'!$D$24:$D$28,G25))</f>
        <v>0.1</v>
      </c>
      <c r="I25" s="29" t="str">
        <f t="array" ref="I25">IF('Parámetros'!$B$6="","Pendiente",IF('Parámetros'!$B$6&lt;=0,"Revisar contrato",INDEX(Cuantitativo!$Y$6:$Y$38,MATCH($A25,Cuantitativo!$A$6:$A$38,0))/'Parámetros'!$B$6))</f>
        <v>Pendiente</v>
      </c>
      <c r="J25" s="26">
        <f t="shared" si="2"/>
        <v>0</v>
      </c>
      <c r="K25" s="31">
        <f t="array" ref="K25">INDEX(Cuantitativo!$AD$6:$AD$38,MATCH($A25,Cuantitativo!$A$6:$A$38,0))</f>
        <v>1.183333333</v>
      </c>
      <c r="L25" s="26">
        <f t="shared" si="3"/>
        <v>1</v>
      </c>
      <c r="M25" s="15">
        <v>4.0</v>
      </c>
      <c r="N25" s="26" t="s">
        <v>737</v>
      </c>
      <c r="O25" s="32">
        <v>4.0</v>
      </c>
      <c r="P25" s="28">
        <f t="array" ref="P25">INDEX('Parámetros'!$E$24:$E$28,O25)</f>
        <v>0.4</v>
      </c>
      <c r="Q25" s="28">
        <f t="shared" si="5"/>
        <v>0.04</v>
      </c>
      <c r="R25" s="26" t="str">
        <f t="shared" si="6"/>
        <v>Baja</v>
      </c>
      <c r="S25" s="26">
        <f t="shared" si="7"/>
        <v>26</v>
      </c>
      <c r="T25" s="26" t="s">
        <v>455</v>
      </c>
      <c r="U25" s="26" t="s">
        <v>738</v>
      </c>
      <c r="V25" s="26" t="s">
        <v>739</v>
      </c>
      <c r="W25" s="26" t="s">
        <v>740</v>
      </c>
      <c r="X25" s="26" t="s">
        <v>741</v>
      </c>
      <c r="Y25" s="26" t="s">
        <v>323</v>
      </c>
      <c r="Z25" s="26" t="s">
        <v>742</v>
      </c>
      <c r="AA25" s="26" t="s">
        <v>743</v>
      </c>
      <c r="AB25" s="30">
        <f t="array" ref="AB25">INDEX(Cuantitativo!$Z$6:$Z$38,MATCH($A25,Cuantitativo!$A$6:$A$38,0))</f>
        <v>30933.33333</v>
      </c>
      <c r="AC25" s="26" t="str">
        <f>IF(OR(NOT(ISNUMBER(F25)),NOT(ISNUMBER(K25)),NOT(ISNUMBER(AB25))),"Faltan entradas cuantitativas",IF('Parámetros'!$B$6="","Provisional: costo relativo pendiente","Evaluable con monto contractual"))</f>
        <v>Provisional: costo relativo pendiente</v>
      </c>
    </row>
    <row r="26" ht="109.5" customHeight="1">
      <c r="A26" s="9" t="s">
        <v>336</v>
      </c>
      <c r="B26" s="10" t="str">
        <f t="array" ref="B26">INDEX('Registro original'!$B$6:$B$38,MATCH($A26,'Registro original'!$A$6:$A$38,0))</f>
        <v>Falta la aprobación del cliente para tratar y respaldar datos en las regiones propuestas (revisar)</v>
      </c>
      <c r="C26" s="10" t="str">
        <f t="array" ref="C26">INDEX('Registro original'!$D$6:$D$38,MATCH($A26,'Registro original'!$A$6:$A$38,0))</f>
        <v>La solución propone operar y recuperarse usando regiones de nube en Brasil y Estados Unidos. El tratamiento y la transferencia internacional de los datos previstos requieren aprobación del cliente. Cuando corresponda habilitar esos entornos, el cliente podría no haber otorgado la aprobación necesaria sobre la residencia y transferencia de los datos. LafroX no podría completar la habilitación o la evidencia de recuperación afectada hasta resolver formalmente esa condición con el cliente.</v>
      </c>
      <c r="D26" s="10" t="str">
        <f t="array" ref="D26">INDEX('Registro original'!$C$6:$C$38,MATCH($A26,'Registro original'!$A$6:$A$38,0))</f>
        <v>Regulatorio y externo</v>
      </c>
      <c r="E26" s="10" t="s">
        <v>744</v>
      </c>
      <c r="F26" s="14">
        <f t="array" ref="F26">INDEX(Cuantitativo!$C$6:$C$38,MATCH($A26,Cuantitativo!$A$6:$A$38,0))</f>
        <v>0.3</v>
      </c>
      <c r="G26" s="10">
        <f t="shared" si="1"/>
        <v>2</v>
      </c>
      <c r="H26" s="18">
        <f t="array" ref="H26">IF(G26=0,0,INDEX('Parámetros'!$D$24:$D$28,G26))</f>
        <v>0.3</v>
      </c>
      <c r="I26" s="21" t="str">
        <f t="array" ref="I26">IF('Parámetros'!$B$6="","Pendiente",IF('Parámetros'!$B$6&lt;=0,"Revisar contrato",INDEX(Cuantitativo!$Y$6:$Y$38,MATCH($A26,Cuantitativo!$A$6:$A$38,0))/'Parámetros'!$B$6))</f>
        <v>Pendiente</v>
      </c>
      <c r="J26" s="10">
        <f t="shared" si="2"/>
        <v>0</v>
      </c>
      <c r="K26" s="20">
        <f t="array" ref="K26">INDEX(Cuantitativo!$AD$6:$AD$38,MATCH($A26,Cuantitativo!$A$6:$A$38,0))</f>
        <v>16</v>
      </c>
      <c r="L26" s="10">
        <f t="shared" si="3"/>
        <v>3</v>
      </c>
      <c r="M26" s="15">
        <v>4.0</v>
      </c>
      <c r="N26" s="10" t="s">
        <v>751</v>
      </c>
      <c r="O26" s="9">
        <v>4.0</v>
      </c>
      <c r="P26" s="18">
        <f t="array" ref="P26">INDEX('Parámetros'!$E$24:$E$28,O26)</f>
        <v>0.4</v>
      </c>
      <c r="Q26" s="18">
        <f t="shared" si="5"/>
        <v>0.12</v>
      </c>
      <c r="R26" s="10" t="str">
        <f t="shared" si="6"/>
        <v>Media</v>
      </c>
      <c r="S26" s="10">
        <f t="shared" si="7"/>
        <v>12</v>
      </c>
      <c r="T26" s="10" t="s">
        <v>277</v>
      </c>
      <c r="U26" s="10" t="s">
        <v>752</v>
      </c>
      <c r="V26" s="10" t="s">
        <v>753</v>
      </c>
      <c r="W26" s="10" t="s">
        <v>754</v>
      </c>
      <c r="X26" s="10" t="s">
        <v>755</v>
      </c>
      <c r="Y26" s="10" t="s">
        <v>756</v>
      </c>
      <c r="Z26" s="10" t="s">
        <v>757</v>
      </c>
      <c r="AA26" s="10" t="s">
        <v>758</v>
      </c>
      <c r="AB26" s="17">
        <f t="array" ref="AB26">INDEX(Cuantitativo!$Z$6:$Z$38,MATCH($A26,Cuantitativo!$A$6:$A$38,0))</f>
        <v>566400</v>
      </c>
      <c r="AC26" s="10" t="str">
        <f>IF(OR(NOT(ISNUMBER(F26)),NOT(ISNUMBER(K26)),NOT(ISNUMBER(AB26))),"Faltan entradas cuantitativas",IF('Parámetros'!$B$6="","Provisional: costo relativo pendiente","Evaluable con monto contractual"))</f>
        <v>Provisional: costo relativo pendiente</v>
      </c>
    </row>
    <row r="27" ht="109.5" customHeight="1">
      <c r="A27" s="9" t="s">
        <v>341</v>
      </c>
      <c r="B27" s="26" t="str">
        <f t="array" ref="B27">INDEX('Registro original'!$B$6:$B$38,MATCH($A27,'Registro original'!$A$6:$A$38,0))</f>
        <v>Cliente no autoriza la intervención urgente necesaria durante un congelamiento</v>
      </c>
      <c r="C27" s="26" t="str">
        <f t="array" ref="C27">INDEX('Registro original'!$D$6:$D$38,MATCH($A27,'Registro original'!$A$6:$A$38,0))</f>
        <v>La remediación de un incidente o vulnerabilidad puede requerir una intervención durante un período congelado, sujeta a autorización del cliente. Al detectarse una vulnerabilidad o incidente que requiere intervenir durante una fecha prohibida, el cliente podría no autorizar el cambio de emergencia solicitado. LafroX tendría que sostener la contención y gestionar el conflicto entre fecha habilitada y plazo de remediación, sin que esa decisión del cliente acredite por sí sola una exención contractual.</v>
      </c>
      <c r="D27" s="26" t="str">
        <f t="array" ref="D27">INDEX('Registro original'!$C$6:$C$38,MATCH($A27,'Registro original'!$A$6:$A$38,0))</f>
        <v>Operación del cliente</v>
      </c>
      <c r="E27" s="26" t="s">
        <v>764</v>
      </c>
      <c r="F27" s="27">
        <f t="array" ref="F27">INDEX(Cuantitativo!$C$6:$C$38,MATCH($A27,Cuantitativo!$A$6:$A$38,0))</f>
        <v>0.15</v>
      </c>
      <c r="G27" s="26">
        <f t="shared" si="1"/>
        <v>2</v>
      </c>
      <c r="H27" s="28">
        <f t="array" ref="H27">IF(G27=0,0,INDEX('Parámetros'!$D$24:$D$28,G27))</f>
        <v>0.3</v>
      </c>
      <c r="I27" s="29" t="str">
        <f t="array" ref="I27">IF('Parámetros'!$B$6="","Pendiente",IF('Parámetros'!$B$6&lt;=0,"Revisar contrato",INDEX(Cuantitativo!$Y$6:$Y$38,MATCH($A27,Cuantitativo!$A$6:$A$38,0))/'Parámetros'!$B$6))</f>
        <v>Pendiente</v>
      </c>
      <c r="J27" s="26">
        <f t="shared" si="2"/>
        <v>0</v>
      </c>
      <c r="K27" s="31">
        <f t="array" ref="K27">INDEX(Cuantitativo!$AD$6:$AD$38,MATCH($A27,Cuantitativo!$A$6:$A$38,0))</f>
        <v>3.833333333</v>
      </c>
      <c r="L27" s="26">
        <f t="shared" si="3"/>
        <v>2</v>
      </c>
      <c r="M27" s="15">
        <v>4.0</v>
      </c>
      <c r="N27" s="26" t="s">
        <v>765</v>
      </c>
      <c r="O27" s="32">
        <v>5.0</v>
      </c>
      <c r="P27" s="28">
        <f t="array" ref="P27">INDEX('Parámetros'!$E$24:$E$28,O27)</f>
        <v>0.8</v>
      </c>
      <c r="Q27" s="28">
        <f t="shared" si="5"/>
        <v>0.24</v>
      </c>
      <c r="R27" s="26" t="str">
        <f t="shared" si="6"/>
        <v>Alta</v>
      </c>
      <c r="S27" s="26">
        <f t="shared" si="7"/>
        <v>7</v>
      </c>
      <c r="T27" s="26" t="s">
        <v>455</v>
      </c>
      <c r="U27" s="26" t="s">
        <v>766</v>
      </c>
      <c r="V27" s="26" t="s">
        <v>767</v>
      </c>
      <c r="W27" s="26" t="s">
        <v>768</v>
      </c>
      <c r="X27" s="26" t="s">
        <v>769</v>
      </c>
      <c r="Y27" s="26" t="s">
        <v>770</v>
      </c>
      <c r="Z27" s="26" t="s">
        <v>771</v>
      </c>
      <c r="AA27" s="26" t="s">
        <v>772</v>
      </c>
      <c r="AB27" s="30">
        <f t="array" ref="AB27">INDEX(Cuantitativo!$Z$6:$Z$38,MATCH($A27,Cuantitativo!$A$6:$A$38,0))</f>
        <v>161200</v>
      </c>
      <c r="AC27" s="26" t="str">
        <f>IF(OR(NOT(ISNUMBER(F27)),NOT(ISNUMBER(K27)),NOT(ISNUMBER(AB27))),"Faltan entradas cuantitativas",IF('Parámetros'!$B$6="","Provisional: costo relativo pendiente","Evaluable con monto contractual"))</f>
        <v>Provisional: costo relativo pendiente</v>
      </c>
    </row>
    <row r="28" ht="141.75" customHeight="1">
      <c r="A28" s="9" t="s">
        <v>345</v>
      </c>
      <c r="B28" s="10" t="str">
        <f t="array" ref="B28">INDEX('Registro original'!$B$6:$B$38,MATCH($A28,'Registro original'!$A$6:$A$38,0))</f>
        <v>Un uso no autorizado de credenciales robadas permite suplantar la identidad de otra persona para registrar pedidos o acceder a un portal</v>
      </c>
      <c r="C28" s="10" t="str">
        <f t="array" ref="C28">INDEX('Registro original'!$D$6:$D$38,MATCH($A28,'Registro original'!$A$6:$A$38,0))</f>
        <v>El robo de credenciales mediante engaño, phishing u otros métodos puede permitir que un tercero obtenga las credenciales de acceso de otra persona y las utilice sin su autorización. Durante la operación, una persona que haya obtenido credenciales ajenas podría utilizarlas para autenticarse como si fuera su titular, intentar registrar pedidos o acceder a los portales de LafroX sin autorización. LafroX tendría que investigar el incidente, contener el uso indebido de las credenciales y verificar qué accesos u operaciones fueron afectados. Si la suplantación tuviera éxito, podrían registrarse pedidos o ejecutarse acciones atribuidas incorrectamente al titular legítimo de la cuenta.</v>
      </c>
      <c r="D28" s="10" t="str">
        <f t="array" ref="D28">INDEX('Registro original'!$C$6:$C$38,MATCH($A28,'Registro original'!$A$6:$A$38,0))</f>
        <v>Solución y tecnología</v>
      </c>
      <c r="E28" s="10" t="s">
        <v>764</v>
      </c>
      <c r="F28" s="14">
        <f t="array" ref="F28">INDEX(Cuantitativo!$C$6:$C$38,MATCH($A28,Cuantitativo!$A$6:$A$38,0))</f>
        <v>0.15</v>
      </c>
      <c r="G28" s="10">
        <f t="shared" si="1"/>
        <v>2</v>
      </c>
      <c r="H28" s="18">
        <f t="array" ref="H28">IF(G28=0,0,INDEX('Parámetros'!$D$24:$D$28,G28))</f>
        <v>0.3</v>
      </c>
      <c r="I28" s="21" t="str">
        <f t="array" ref="I28">IF('Parámetros'!$B$6="","Pendiente",IF('Parámetros'!$B$6&lt;=0,"Revisar contrato",INDEX(Cuantitativo!$Y$6:$Y$38,MATCH($A28,Cuantitativo!$A$6:$A$38,0))/'Parámetros'!$B$6))</f>
        <v>Pendiente</v>
      </c>
      <c r="J28" s="10">
        <f t="shared" si="2"/>
        <v>0</v>
      </c>
      <c r="K28" s="20">
        <f t="array" ref="K28">INDEX(Cuantitativo!$AD$6:$AD$38,MATCH($A28,Cuantitativo!$A$6:$A$38,0))</f>
        <v>2.583333333</v>
      </c>
      <c r="L28" s="10">
        <f t="shared" si="3"/>
        <v>2</v>
      </c>
      <c r="M28" s="15">
        <v>4.0</v>
      </c>
      <c r="N28" s="10" t="s">
        <v>778</v>
      </c>
      <c r="O28" s="9">
        <v>5.0</v>
      </c>
      <c r="P28" s="18">
        <f t="array" ref="P28">INDEX('Parámetros'!$E$24:$E$28,O28)</f>
        <v>0.8</v>
      </c>
      <c r="Q28" s="18">
        <f t="shared" si="5"/>
        <v>0.24</v>
      </c>
      <c r="R28" s="10" t="str">
        <f t="shared" si="6"/>
        <v>Alta</v>
      </c>
      <c r="S28" s="10">
        <f t="shared" si="7"/>
        <v>6</v>
      </c>
      <c r="T28" s="10" t="s">
        <v>455</v>
      </c>
      <c r="U28" s="10" t="s">
        <v>779</v>
      </c>
      <c r="V28" s="10" t="s">
        <v>780</v>
      </c>
      <c r="W28" s="10" t="s">
        <v>781</v>
      </c>
      <c r="X28" s="10" t="s">
        <v>782</v>
      </c>
      <c r="Y28" s="10" t="s">
        <v>783</v>
      </c>
      <c r="Z28" s="10" t="s">
        <v>784</v>
      </c>
      <c r="AA28" s="10" t="s">
        <v>785</v>
      </c>
      <c r="AB28" s="17">
        <f t="array" ref="AB28">INDEX(Cuantitativo!$Z$6:$Z$38,MATCH($A28,Cuantitativo!$A$6:$A$38,0))</f>
        <v>319200</v>
      </c>
      <c r="AC28" s="10" t="str">
        <f>IF(OR(NOT(ISNUMBER(F28)),NOT(ISNUMBER(K28)),NOT(ISNUMBER(AB28))),"Faltan entradas cuantitativas",IF('Parámetros'!$B$6="","Provisional: costo relativo pendiente","Evaluable con monto contractual"))</f>
        <v>Provisional: costo relativo pendiente</v>
      </c>
    </row>
    <row r="29" ht="109.5" customHeight="1">
      <c r="A29" s="9" t="s">
        <v>348</v>
      </c>
      <c r="B29" s="26" t="str">
        <f t="array" ref="B29">INDEX('Registro original'!$B$6:$B$38,MATCH($A29,'Registro original'!$A$6:$A$38,0))</f>
        <v>Llega un mensaje electrónico que aparenta venir de una cadena autorizada o fue alterado</v>
      </c>
      <c r="C29" s="26" t="str">
        <f t="array" ref="C29">INDEX('Registro original'!$D$6:$D$38,MATCH($A29,'Registro original'!$A$6:$A$38,0))</f>
        <v>La solución recibe de cadenas comerciales mensajes electrónicos de pedidos y avisos de despacho a través de una conexión con sistemas externos. Podría llegar un mensaje que aparenta provenir de una cadena autorizada sin serlo, o cuyo contenido haya sido cambiado durante el intercambio. LafroX tendría que separarlo de los mensajes válidos, comprobar su origen y contenido e investigar el incidente antes de procesar las operaciones afectadas. Si un mensaje falso se aceptara, podría alterar el pedido o aviso correspondiente.</v>
      </c>
      <c r="D29" s="26" t="str">
        <f t="array" ref="D29">INDEX('Registro original'!$C$6:$C$38,MATCH($A29,'Registro original'!$A$6:$A$38,0))</f>
        <v>Integración y legado</v>
      </c>
      <c r="E29" s="26" t="s">
        <v>91</v>
      </c>
      <c r="F29" s="27">
        <f t="array" ref="F29">INDEX(Cuantitativo!$C$6:$C$38,MATCH($A29,Cuantitativo!$A$6:$A$38,0))</f>
        <v>0.1</v>
      </c>
      <c r="G29" s="26">
        <f t="shared" si="1"/>
        <v>1</v>
      </c>
      <c r="H29" s="28">
        <f t="array" ref="H29">IF(G29=0,0,INDEX('Parámetros'!$D$24:$D$28,G29))</f>
        <v>0.1</v>
      </c>
      <c r="I29" s="29" t="str">
        <f t="array" ref="I29">IF('Parámetros'!$B$6="","Pendiente",IF('Parámetros'!$B$6&lt;=0,"Revisar contrato",INDEX(Cuantitativo!$Y$6:$Y$38,MATCH($A29,Cuantitativo!$A$6:$A$38,0))/'Parámetros'!$B$6))</f>
        <v>Pendiente</v>
      </c>
      <c r="J29" s="26">
        <f t="shared" si="2"/>
        <v>0</v>
      </c>
      <c r="K29" s="31">
        <f t="array" ref="K29">INDEX(Cuantitativo!$AD$6:$AD$38,MATCH($A29,Cuantitativo!$A$6:$A$38,0))</f>
        <v>1.416666667</v>
      </c>
      <c r="L29" s="26">
        <f t="shared" si="3"/>
        <v>1</v>
      </c>
      <c r="M29" s="15">
        <v>3.0</v>
      </c>
      <c r="N29" s="26" t="s">
        <v>791</v>
      </c>
      <c r="O29" s="26">
        <f>MAX(J29,L29,M29)</f>
        <v>3</v>
      </c>
      <c r="P29" s="28">
        <f t="array" ref="P29">INDEX('Parámetros'!$E$24:$E$28,O29)</f>
        <v>0.2</v>
      </c>
      <c r="Q29" s="28">
        <f t="shared" si="5"/>
        <v>0.02</v>
      </c>
      <c r="R29" s="26" t="str">
        <f t="shared" si="6"/>
        <v>Baja</v>
      </c>
      <c r="S29" s="26">
        <f t="shared" si="7"/>
        <v>28</v>
      </c>
      <c r="T29" s="26" t="s">
        <v>455</v>
      </c>
      <c r="U29" s="26" t="s">
        <v>797</v>
      </c>
      <c r="V29" s="26" t="s">
        <v>798</v>
      </c>
      <c r="W29" s="26" t="s">
        <v>799</v>
      </c>
      <c r="X29" s="26" t="s">
        <v>800</v>
      </c>
      <c r="Y29" s="26" t="s">
        <v>801</v>
      </c>
      <c r="Z29" s="26" t="s">
        <v>802</v>
      </c>
      <c r="AA29" s="26" t="s">
        <v>803</v>
      </c>
      <c r="AB29" s="30">
        <f t="array" ref="AB29">INDEX(Cuantitativo!$Z$6:$Z$38,MATCH($A29,Cuantitativo!$A$6:$A$38,0))</f>
        <v>116800</v>
      </c>
      <c r="AC29" s="26" t="str">
        <f>IF(OR(NOT(ISNUMBER(F29)),NOT(ISNUMBER(K29)),NOT(ISNUMBER(AB29))),"Faltan entradas cuantitativas",IF('Parámetros'!$B$6="","Provisional: costo relativo pendiente","Evaluable con monto contractual"))</f>
        <v>Provisional: costo relativo pendiente</v>
      </c>
    </row>
    <row r="30" ht="109.5" customHeight="1">
      <c r="A30" s="9" t="s">
        <v>351</v>
      </c>
      <c r="B30" s="10" t="str">
        <f t="array" ref="B30">INDEX('Registro original'!$B$6:$B$38,MATCH($A30,'Registro original'!$A$6:$A$38,0))</f>
        <v>Terminal enrolado se pierde o queda en poder de otra persona</v>
      </c>
      <c r="C30" s="10" t="str">
        <f t="array" ref="C30">INDEX('Registro original'!$D$6:$D$38,MATCH($A30,'Registro original'!$A$6:$A$38,0))</f>
        <v>Los terminales enrolados se utilizan físicamente en ruta y bodega y contienen datos locales asociados a usuarios autorizados. Durante su uso en ruta o bodega, un terminal enrolado podría perderse o entregarse a una persona distinta de su usuario autorizado. LafroX tendría que gestionar el incidente de dispositivo e identidad, verificar la exposición de datos locales y contener accesos indebidos dentro del servicio de seguridad y gestión del terminal.</v>
      </c>
      <c r="D30" s="10" t="str">
        <f t="array" ref="D30">INDEX('Registro original'!$C$6:$C$38,MATCH($A30,'Registro original'!$A$6:$A$38,0))</f>
        <v>Solución y tecnología</v>
      </c>
      <c r="E30" s="10" t="s">
        <v>448</v>
      </c>
      <c r="F30" s="14">
        <f t="array" ref="F30">INDEX(Cuantitativo!$C$6:$C$38,MATCH($A30,Cuantitativo!$A$6:$A$38,0))</f>
        <v>0.15</v>
      </c>
      <c r="G30" s="10">
        <f t="shared" si="1"/>
        <v>2</v>
      </c>
      <c r="H30" s="18">
        <f t="array" ref="H30">IF(G30=0,0,INDEX('Parámetros'!$D$24:$D$28,G30))</f>
        <v>0.3</v>
      </c>
      <c r="I30" s="21" t="str">
        <f t="array" ref="I30">IF('Parámetros'!$B$6="","Pendiente",IF('Parámetros'!$B$6&lt;=0,"Revisar contrato",INDEX(Cuantitativo!$Y$6:$Y$38,MATCH($A30,Cuantitativo!$A$6:$A$38,0))/'Parámetros'!$B$6))</f>
        <v>Pendiente</v>
      </c>
      <c r="J30" s="10">
        <f t="shared" si="2"/>
        <v>0</v>
      </c>
      <c r="K30" s="20">
        <f t="array" ref="K30">INDEX(Cuantitativo!$AD$6:$AD$38,MATCH($A30,Cuantitativo!$A$6:$A$38,0))</f>
        <v>0.6833333333</v>
      </c>
      <c r="L30" s="10">
        <f t="shared" si="3"/>
        <v>1</v>
      </c>
      <c r="M30" s="15">
        <v>3.0</v>
      </c>
      <c r="N30" s="10" t="s">
        <v>806</v>
      </c>
      <c r="O30" s="9">
        <v>4.0</v>
      </c>
      <c r="P30" s="18">
        <f t="array" ref="P30">INDEX('Parámetros'!$E$24:$E$28,O30)</f>
        <v>0.4</v>
      </c>
      <c r="Q30" s="18">
        <f t="shared" si="5"/>
        <v>0.12</v>
      </c>
      <c r="R30" s="10" t="str">
        <f t="shared" si="6"/>
        <v>Media</v>
      </c>
      <c r="S30" s="10">
        <f t="shared" si="7"/>
        <v>17</v>
      </c>
      <c r="T30" s="10" t="s">
        <v>455</v>
      </c>
      <c r="U30" s="10" t="s">
        <v>811</v>
      </c>
      <c r="V30" s="10" t="s">
        <v>812</v>
      </c>
      <c r="W30" s="10" t="s">
        <v>813</v>
      </c>
      <c r="X30" s="10" t="s">
        <v>814</v>
      </c>
      <c r="Y30" s="10" t="s">
        <v>815</v>
      </c>
      <c r="Z30" s="10" t="s">
        <v>816</v>
      </c>
      <c r="AA30" s="10" t="s">
        <v>817</v>
      </c>
      <c r="AB30" s="17">
        <f t="array" ref="AB30">INDEX(Cuantitativo!$Z$6:$Z$38,MATCH($A30,Cuantitativo!$A$6:$A$38,0))</f>
        <v>101400</v>
      </c>
      <c r="AC30" s="10" t="str">
        <f>IF(OR(NOT(ISNUMBER(F30)),NOT(ISNUMBER(K30)),NOT(ISNUMBER(AB30))),"Faltan entradas cuantitativas",IF('Parámetros'!$B$6="","Provisional: costo relativo pendiente","Evaluable con monto contractual"))</f>
        <v>Provisional: costo relativo pendiente</v>
      </c>
    </row>
    <row r="31" ht="93.75" customHeight="1">
      <c r="A31" s="9" t="s">
        <v>354</v>
      </c>
      <c r="B31" s="26" t="str">
        <f t="array" ref="B31">INDEX('Registro original'!$B$6:$B$38,MATCH($A31,'Registro original'!$A$6:$A$38,0))</f>
        <v>Ataques DDOS a los canales públicos</v>
      </c>
      <c r="C31" s="26" t="str">
        <f t="array" ref="C31">INDEX('Registro original'!$D$6:$D$38,MATCH($A31,'Registro original'!$A$6:$A$38,0))</f>
        <v>Los portales e interfaces públicas están expuestos a solicitudes de actores externos, incluidas posibles ráfagas abusivas. Durante la operación, un actor podría dirigir ráfagas de solicitudes abusivas a portales o interfaces públicas para impedir accesos legítimos. LafroX tendría que gestionar la contención y comprobar la disponibilidad del servicio, con atención extraordinaria de operación y seguridad.</v>
      </c>
      <c r="D31" s="26" t="str">
        <f t="array" ref="D31">INDEX('Registro original'!$C$6:$C$38,MATCH($A31,'Registro original'!$A$6:$A$38,0))</f>
        <v>Solución y tecnología</v>
      </c>
      <c r="E31" s="26" t="s">
        <v>764</v>
      </c>
      <c r="F31" s="27">
        <f t="array" ref="F31">INDEX(Cuantitativo!$C$6:$C$38,MATCH($A31,Cuantitativo!$A$6:$A$38,0))</f>
        <v>0.23</v>
      </c>
      <c r="G31" s="26">
        <f t="shared" si="1"/>
        <v>2</v>
      </c>
      <c r="H31" s="28">
        <f t="array" ref="H31">IF(G31=0,0,INDEX('Parámetros'!$D$24:$D$28,G31))</f>
        <v>0.3</v>
      </c>
      <c r="I31" s="29" t="str">
        <f t="array" ref="I31">IF('Parámetros'!$B$6="","Pendiente",IF('Parámetros'!$B$6&lt;=0,"Revisar contrato",INDEX(Cuantitativo!$Y$6:$Y$38,MATCH($A31,Cuantitativo!$A$6:$A$38,0))/'Parámetros'!$B$6))</f>
        <v>Pendiente</v>
      </c>
      <c r="J31" s="26">
        <f t="shared" si="2"/>
        <v>0</v>
      </c>
      <c r="K31" s="31">
        <f t="array" ref="K31">INDEX(Cuantitativo!$AD$6:$AD$38,MATCH($A31,Cuantitativo!$A$6:$A$38,0))</f>
        <v>0.6833333333</v>
      </c>
      <c r="L31" s="26">
        <f t="shared" si="3"/>
        <v>1</v>
      </c>
      <c r="M31" s="15">
        <v>4.0</v>
      </c>
      <c r="N31" s="26" t="s">
        <v>823</v>
      </c>
      <c r="O31" s="26">
        <f t="shared" ref="O31:O32" si="8">MAX(J31,L31,M31)</f>
        <v>4</v>
      </c>
      <c r="P31" s="28">
        <f t="array" ref="P31">INDEX('Parámetros'!$E$24:$E$28,O31)</f>
        <v>0.4</v>
      </c>
      <c r="Q31" s="28">
        <f t="shared" si="5"/>
        <v>0.12</v>
      </c>
      <c r="R31" s="26" t="str">
        <f t="shared" si="6"/>
        <v>Media</v>
      </c>
      <c r="S31" s="26">
        <f t="shared" si="7"/>
        <v>16</v>
      </c>
      <c r="T31" s="26" t="s">
        <v>455</v>
      </c>
      <c r="U31" s="26" t="s">
        <v>824</v>
      </c>
      <c r="V31" s="26" t="s">
        <v>825</v>
      </c>
      <c r="W31" s="26" t="s">
        <v>826</v>
      </c>
      <c r="X31" s="26" t="s">
        <v>827</v>
      </c>
      <c r="Y31" s="26" t="s">
        <v>828</v>
      </c>
      <c r="Z31" s="26" t="s">
        <v>829</v>
      </c>
      <c r="AA31" s="26" t="s">
        <v>830</v>
      </c>
      <c r="AB31" s="30">
        <f t="array" ref="AB31">INDEX(Cuantitativo!$Z$6:$Z$38,MATCH($A31,Cuantitativo!$A$6:$A$38,0))</f>
        <v>274160</v>
      </c>
      <c r="AC31" s="26" t="str">
        <f>IF(OR(NOT(ISNUMBER(F31)),NOT(ISNUMBER(K31)),NOT(ISNUMBER(AB31))),"Faltan entradas cuantitativas",IF('Parámetros'!$B$6="","Provisional: costo relativo pendiente","Evaluable con monto contractual"))</f>
        <v>Provisional: costo relativo pendiente</v>
      </c>
    </row>
    <row r="32" ht="126.0" customHeight="1">
      <c r="A32" s="9" t="s">
        <v>357</v>
      </c>
      <c r="B32" s="10" t="str">
        <f t="array" ref="B32">INDEX('Registro original'!$B$6:$B$38,MATCH($A32,'Registro original'!$A$6:$A$38,0))</f>
        <v>Atacante utiliza una cuenta administrativa comprometida contra la evidencia (phishing)</v>
      </c>
      <c r="C32" s="10" t="str">
        <f t="array" ref="C32">INDEX('Registro original'!$D$6:$D$38,MATCH($A32,'Registro original'!$A$6:$A$38,0))</f>
        <v>La exposición de los usuarios administrativos a campañas de phishing puede permitir que un atacante obtenga sus credenciales y acceda ilegítimamente a la plataforma. Durante la operación, un atacante que obtenga credenciales administrativas mediante phishing podría utilizarlas para borrar o alterar respaldos o evidencia almacenada en la plataforma. LafroX tendría que contener el acceso comprometido, investigar las acciones realizadas y verificar la integridad y recuperabilidad de los conjuntos afectados, dentro de sus obligaciones de seguridad y continuidad.</v>
      </c>
      <c r="D32" s="10" t="str">
        <f t="array" ref="D32">INDEX('Registro original'!$C$6:$C$38,MATCH($A32,'Registro original'!$A$6:$A$38,0))</f>
        <v>Solución y tecnología</v>
      </c>
      <c r="E32" s="10" t="s">
        <v>764</v>
      </c>
      <c r="F32" s="14">
        <f t="array" ref="F32">INDEX(Cuantitativo!$C$6:$C$38,MATCH($A32,Cuantitativo!$A$6:$A$38,0))</f>
        <v>0.15</v>
      </c>
      <c r="G32" s="10">
        <f t="shared" si="1"/>
        <v>2</v>
      </c>
      <c r="H32" s="18">
        <f t="array" ref="H32">IF(G32=0,0,INDEX('Parámetros'!$D$24:$D$28,G32))</f>
        <v>0.3</v>
      </c>
      <c r="I32" s="21" t="str">
        <f t="array" ref="I32">IF('Parámetros'!$B$6="","Pendiente",IF('Parámetros'!$B$6&lt;=0,"Revisar contrato",INDEX(Cuantitativo!$Y$6:$Y$38,MATCH($A32,Cuantitativo!$A$6:$A$38,0))/'Parámetros'!$B$6))</f>
        <v>Pendiente</v>
      </c>
      <c r="J32" s="10">
        <f t="shared" si="2"/>
        <v>0</v>
      </c>
      <c r="K32" s="20">
        <f t="array" ref="K32">INDEX(Cuantitativo!$AD$6:$AD$38,MATCH($A32,Cuantitativo!$A$6:$A$38,0))</f>
        <v>5.166666667</v>
      </c>
      <c r="L32" s="10">
        <f t="shared" si="3"/>
        <v>2</v>
      </c>
      <c r="M32" s="15">
        <v>5.0</v>
      </c>
      <c r="N32" s="10" t="s">
        <v>836</v>
      </c>
      <c r="O32" s="10">
        <f t="shared" si="8"/>
        <v>5</v>
      </c>
      <c r="P32" s="18">
        <f t="array" ref="P32">INDEX('Parámetros'!$E$24:$E$28,O32)</f>
        <v>0.8</v>
      </c>
      <c r="Q32" s="18">
        <f t="shared" si="5"/>
        <v>0.24</v>
      </c>
      <c r="R32" s="10" t="str">
        <f t="shared" si="6"/>
        <v>Alta</v>
      </c>
      <c r="S32" s="10">
        <f t="shared" si="7"/>
        <v>4</v>
      </c>
      <c r="T32" s="10" t="s">
        <v>455</v>
      </c>
      <c r="U32" s="10" t="s">
        <v>837</v>
      </c>
      <c r="V32" s="10" t="s">
        <v>838</v>
      </c>
      <c r="W32" s="10" t="s">
        <v>839</v>
      </c>
      <c r="X32" s="10" t="s">
        <v>840</v>
      </c>
      <c r="Y32" s="10" t="s">
        <v>828</v>
      </c>
      <c r="Z32" s="10" t="s">
        <v>841</v>
      </c>
      <c r="AA32" s="10" t="s">
        <v>842</v>
      </c>
      <c r="AB32" s="17">
        <f t="array" ref="AB32">INDEX(Cuantitativo!$Z$6:$Z$38,MATCH($A32,Cuantitativo!$A$6:$A$38,0))</f>
        <v>482800</v>
      </c>
      <c r="AC32" s="10" t="str">
        <f>IF(OR(NOT(ISNUMBER(F32)),NOT(ISNUMBER(K32)),NOT(ISNUMBER(AB32))),"Faltan entradas cuantitativas",IF('Parámetros'!$B$6="","Provisional: costo relativo pendiente","Evaluable con monto contractual"))</f>
        <v>Provisional: costo relativo pendiente</v>
      </c>
    </row>
    <row r="33" ht="78.0" customHeight="1">
      <c r="A33" s="9" t="s">
        <v>361</v>
      </c>
      <c r="B33" s="26" t="str">
        <f t="array" ref="B33">INDEX('Registro original'!$B$6:$B$38,MATCH($A33,'Registro original'!$A$6:$A$38,0))</f>
        <v>Fallas mecánicas del camión</v>
      </c>
      <c r="C33" s="26" t="str">
        <f t="array" ref="C33">INDEX('Registro original'!$D$6:$D$38,MATCH($A33,'Registro original'!$A$6:$A$38,0))</f>
        <v>Mientras el camión hace su recorrido, en algún momento de este, tiene una falla mecánica que impide la completitud del recorrido. eEl vehículo queda detenido y no puede completar el recorrido ni los casos de prueba programados. Como impide completar el recorrido,.</v>
      </c>
      <c r="D33" s="26" t="str">
        <f t="array" ref="D33">INDEX('Registro original'!$C$6:$C$38,MATCH($A33,'Registro original'!$A$6:$A$38,0))</f>
        <v>Operación del cliente</v>
      </c>
      <c r="E33" s="26" t="s">
        <v>600</v>
      </c>
      <c r="F33" s="27">
        <f t="array" ref="F33">INDEX(Cuantitativo!$C$6:$C$38,MATCH($A33,Cuantitativo!$A$6:$A$38,0))</f>
        <v>0.15</v>
      </c>
      <c r="G33" s="26">
        <f t="shared" si="1"/>
        <v>2</v>
      </c>
      <c r="H33" s="28">
        <f t="array" ref="H33">IF(G33=0,0,INDEX('Parámetros'!$D$24:$D$28,G33))</f>
        <v>0.3</v>
      </c>
      <c r="I33" s="29" t="str">
        <f t="array" ref="I33">IF('Parámetros'!$B$6="","Pendiente",IF('Parámetros'!$B$6&lt;=0,"Revisar contrato",INDEX(Cuantitativo!$Y$6:$Y$38,MATCH($A33,Cuantitativo!$A$6:$A$38,0))/'Parámetros'!$B$6))</f>
        <v>Pendiente</v>
      </c>
      <c r="J33" s="26">
        <f t="shared" si="2"/>
        <v>0</v>
      </c>
      <c r="K33" s="31">
        <f t="array" ref="K33">INDEX(Cuantitativo!$AD$6:$AD$38,MATCH($A33,Cuantitativo!$A$6:$A$38,0))</f>
        <v>3.333333333</v>
      </c>
      <c r="L33" s="26">
        <f t="shared" si="3"/>
        <v>2</v>
      </c>
      <c r="M33" s="15">
        <v>3.0</v>
      </c>
      <c r="N33" s="26" t="s">
        <v>848</v>
      </c>
      <c r="O33" s="32">
        <v>2.0</v>
      </c>
      <c r="P33" s="28">
        <f t="array" ref="P33">INDEX('Parámetros'!$E$24:$E$28,O33)</f>
        <v>0.1</v>
      </c>
      <c r="Q33" s="28">
        <f t="shared" si="5"/>
        <v>0.03</v>
      </c>
      <c r="R33" s="26" t="str">
        <f t="shared" si="6"/>
        <v>Baja</v>
      </c>
      <c r="S33" s="26">
        <f t="shared" si="7"/>
        <v>27</v>
      </c>
      <c r="T33" s="26" t="s">
        <v>207</v>
      </c>
      <c r="U33" s="26" t="s">
        <v>849</v>
      </c>
      <c r="V33" s="26" t="s">
        <v>850</v>
      </c>
      <c r="W33" s="26" t="s">
        <v>851</v>
      </c>
      <c r="X33" s="26" t="s">
        <v>852</v>
      </c>
      <c r="Y33" s="26" t="s">
        <v>853</v>
      </c>
      <c r="Z33" s="26" t="s">
        <v>854</v>
      </c>
      <c r="AA33" s="26" t="s">
        <v>855</v>
      </c>
      <c r="AB33" s="30">
        <f t="array" ref="AB33">INDEX(Cuantitativo!$Z$6:$Z$38,MATCH($A33,Cuantitativo!$A$6:$A$38,0))</f>
        <v>55000</v>
      </c>
      <c r="AC33" s="26" t="str">
        <f>IF(OR(NOT(ISNUMBER(F33)),NOT(ISNUMBER(K33)),NOT(ISNUMBER(AB33))),"Faltan entradas cuantitativas",IF('Parámetros'!$B$6="","Provisional: costo relativo pendiente","Evaluable con monto contractual"))</f>
        <v>Provisional: costo relativo pendiente</v>
      </c>
    </row>
    <row r="34" ht="93.75" customHeight="1">
      <c r="A34" s="9" t="s">
        <v>375</v>
      </c>
      <c r="B34" s="10" t="str">
        <f t="array" ref="B34">INDEX('Registro original'!$B$6:$B$38,MATCH($A34,'Registro original'!$A$6:$A$38,0))</f>
        <v>Camión forma parte de un siniestro</v>
      </c>
      <c r="C34" s="10" t="str">
        <f t="array" ref="C34">INDEX('Registro original'!$D$6:$D$38,MATCH($A34,'Registro original'!$A$6:$A$38,0))</f>
        <v>Mientras el camión hace su recorrido, se ve envuelto en un accidente de tránsito. El vehículo no puede continuar el trayecto o completar los casos de prueba programados. Si no se obtiene la evidencia prevista, LafroX tendría que coordinar con el cliente la reprogramación y repetición de las validaciones afectadas. Esto podría consumir tiempo y recursos adicionales de implantación y retrasar el cierre de la actividad correspondiente .</v>
      </c>
      <c r="D34" s="10" t="str">
        <f t="array" ref="D34">INDEX('Registro original'!$C$6:$C$38,MATCH($A34,'Registro original'!$A$6:$A$38,0))</f>
        <v>Operación del cliente</v>
      </c>
      <c r="E34" s="10" t="s">
        <v>600</v>
      </c>
      <c r="F34" s="14">
        <f t="array" ref="F34">INDEX(Cuantitativo!$C$6:$C$38,MATCH($A34,Cuantitativo!$A$6:$A$38,0))</f>
        <v>0.1</v>
      </c>
      <c r="G34" s="10">
        <f t="shared" si="1"/>
        <v>1</v>
      </c>
      <c r="H34" s="18">
        <f t="array" ref="H34">IF(G34=0,0,INDEX('Parámetros'!$D$24:$D$28,G34))</f>
        <v>0.1</v>
      </c>
      <c r="I34" s="21" t="str">
        <f t="array" ref="I34">IF('Parámetros'!$B$6="","Pendiente",IF('Parámetros'!$B$6&lt;=0,"Revisar contrato",INDEX(Cuantitativo!$Y$6:$Y$38,MATCH($A34,Cuantitativo!$A$6:$A$38,0))/'Parámetros'!$B$6))</f>
        <v>Pendiente</v>
      </c>
      <c r="J34" s="10">
        <f t="shared" si="2"/>
        <v>0</v>
      </c>
      <c r="K34" s="20">
        <f t="array" ref="K34">INDEX(Cuantitativo!$AD$6:$AD$38,MATCH($A34,Cuantitativo!$A$6:$A$38,0))</f>
        <v>6</v>
      </c>
      <c r="L34" s="10">
        <f t="shared" si="3"/>
        <v>2</v>
      </c>
      <c r="M34" s="15">
        <v>3.0</v>
      </c>
      <c r="N34" s="10" t="s">
        <v>861</v>
      </c>
      <c r="O34" s="9">
        <v>2.0</v>
      </c>
      <c r="P34" s="18">
        <f t="array" ref="P34">INDEX('Parámetros'!$E$24:$E$28,O34)</f>
        <v>0.1</v>
      </c>
      <c r="Q34" s="18">
        <f t="shared" si="5"/>
        <v>0.01</v>
      </c>
      <c r="R34" s="10" t="str">
        <f t="shared" si="6"/>
        <v>Baja</v>
      </c>
      <c r="S34" s="10">
        <f t="shared" si="7"/>
        <v>33</v>
      </c>
      <c r="T34" s="10" t="s">
        <v>207</v>
      </c>
      <c r="U34" s="10" t="s">
        <v>849</v>
      </c>
      <c r="V34" s="10" t="s">
        <v>862</v>
      </c>
      <c r="W34" s="10" t="s">
        <v>851</v>
      </c>
      <c r="X34" s="10" t="s">
        <v>863</v>
      </c>
      <c r="Y34" s="10" t="s">
        <v>864</v>
      </c>
      <c r="Z34" s="10" t="s">
        <v>865</v>
      </c>
      <c r="AA34" s="10" t="s">
        <v>866</v>
      </c>
      <c r="AB34" s="17">
        <f t="array" ref="AB34">INDEX(Cuantitativo!$Z$6:$Z$38,MATCH($A34,Cuantitativo!$A$6:$A$38,0))</f>
        <v>36666.66667</v>
      </c>
      <c r="AC34" s="10" t="str">
        <f>IF(OR(NOT(ISNUMBER(F34)),NOT(ISNUMBER(K34)),NOT(ISNUMBER(AB34))),"Faltan entradas cuantitativas",IF('Parámetros'!$B$6="","Provisional: costo relativo pendiente","Evaluable con monto contractual"))</f>
        <v>Provisional: costo relativo pendiente</v>
      </c>
    </row>
    <row r="35" ht="126.0" customHeight="1">
      <c r="A35" s="9" t="s">
        <v>380</v>
      </c>
      <c r="B35" s="26" t="str">
        <f t="array" ref="B35">INDEX('Registro original'!$B$6:$B$38,MATCH($A35,'Registro original'!$A$6:$A$38,0))</f>
        <v>Asalto a camión</v>
      </c>
      <c r="C35" s="26" t="str">
        <f t="array" ref="C35">INDEX('Registro original'!$D$6:$D$38,MATCH($A35,'Registro original'!$A$6:$A$38,0))</f>
        <v>Mientras el camión hace su recorrido, en algún momento de este, es abordado y robado por delincuentes, desviándose del camino entregado. O en otro caso, incendiado, perdiendo tanto el vehículo como el contenido de este. El vehículo se desvía, queda detenido o no llega al destino previsto, por lo que se interrumpe la validación del recorrido. LafroX podría no completar los casos de prueba ni reunir la evidencia de aceptación prevista. En ese caso, tendría que coordinar con el cliente la reprogramación y repetición de las validaciones afectadas, con posible consumo adicional de tiempo y recursos de implantación .</v>
      </c>
      <c r="D35" s="26" t="str">
        <f t="array" ref="D35">INDEX('Registro original'!$C$6:$C$38,MATCH($A35,'Registro original'!$A$6:$A$38,0))</f>
        <v>Operación del cliente</v>
      </c>
      <c r="E35" s="26" t="s">
        <v>600</v>
      </c>
      <c r="F35" s="27">
        <f t="array" ref="F35">INDEX(Cuantitativo!$C$6:$C$38,MATCH($A35,Cuantitativo!$A$6:$A$38,0))</f>
        <v>0.1</v>
      </c>
      <c r="G35" s="26">
        <f t="shared" si="1"/>
        <v>1</v>
      </c>
      <c r="H35" s="28">
        <f t="array" ref="H35">IF(G35=0,0,INDEX('Parámetros'!$D$24:$D$28,G35))</f>
        <v>0.1</v>
      </c>
      <c r="I35" s="29" t="str">
        <f t="array" ref="I35">IF('Parámetros'!$B$6="","Pendiente",IF('Parámetros'!$B$6&lt;=0,"Revisar contrato",INDEX(Cuantitativo!$Y$6:$Y$38,MATCH($A35,Cuantitativo!$A$6:$A$38,0))/'Parámetros'!$B$6))</f>
        <v>Pendiente</v>
      </c>
      <c r="J35" s="26">
        <f t="shared" si="2"/>
        <v>0</v>
      </c>
      <c r="K35" s="31">
        <f t="array" ref="K35">INDEX(Cuantitativo!$AD$6:$AD$38,MATCH($A35,Cuantitativo!$A$6:$A$38,0))</f>
        <v>7.333333333</v>
      </c>
      <c r="L35" s="26">
        <f t="shared" si="3"/>
        <v>3</v>
      </c>
      <c r="M35" s="15">
        <v>3.0</v>
      </c>
      <c r="N35" s="26" t="s">
        <v>873</v>
      </c>
      <c r="O35" s="32">
        <v>2.0</v>
      </c>
      <c r="P35" s="28">
        <f t="array" ref="P35">INDEX('Parámetros'!$E$24:$E$28,O35)</f>
        <v>0.1</v>
      </c>
      <c r="Q35" s="28">
        <f t="shared" si="5"/>
        <v>0.01</v>
      </c>
      <c r="R35" s="26" t="str">
        <f t="shared" si="6"/>
        <v>Baja</v>
      </c>
      <c r="S35" s="26">
        <f t="shared" si="7"/>
        <v>32</v>
      </c>
      <c r="T35" s="26" t="s">
        <v>207</v>
      </c>
      <c r="U35" s="26" t="s">
        <v>849</v>
      </c>
      <c r="V35" s="26" t="s">
        <v>874</v>
      </c>
      <c r="W35" s="26" t="s">
        <v>875</v>
      </c>
      <c r="X35" s="26" t="s">
        <v>876</v>
      </c>
      <c r="Y35" s="26" t="s">
        <v>877</v>
      </c>
      <c r="Z35" s="26" t="s">
        <v>878</v>
      </c>
      <c r="AA35" s="26" t="s">
        <v>879</v>
      </c>
      <c r="AB35" s="30">
        <f t="array" ref="AB35">INDEX(Cuantitativo!$Z$6:$Z$38,MATCH($A35,Cuantitativo!$A$6:$A$38,0))</f>
        <v>43866.66667</v>
      </c>
      <c r="AC35" s="26" t="str">
        <f>IF(OR(NOT(ISNUMBER(F35)),NOT(ISNUMBER(K35)),NOT(ISNUMBER(AB35))),"Faltan entradas cuantitativas",IF('Parámetros'!$B$6="","Provisional: costo relativo pendiente","Evaluable con monto contractual"))</f>
        <v>Provisional: costo relativo pendiente</v>
      </c>
    </row>
    <row r="36" ht="109.5" customHeight="1">
      <c r="A36" s="9" t="s">
        <v>382</v>
      </c>
      <c r="B36" s="10" t="str">
        <f t="array" ref="B36">INDEX('Registro original'!$B$6:$B$38,MATCH($A36,'Registro original'!$A$6:$A$38,0))</f>
        <v>Reemplazos de conductores externos sin aviso</v>
      </c>
      <c r="C36" s="10" t="str">
        <f t="array" ref="C36">INDEX('Registro original'!$D$6:$D$38,MATCH($A36,'Registro original'!$A$6:$A$38,0))</f>
        <v>El reparto incluye conductores de empresas transportistas externas, cuyos reemplazos requieren comunicación, autorización y capacitación para utilizar la solución. Durante una ola de implantación, un transportista podría sustituir al conductor sin avisar y presentar un reemplazo que aún no esté autorizado o capacitado. LafroX tendría que atender su habilitación y formación y verificar los registros de las entregas afectadas, pudiendo requerirse trabajo adicional de acompañamiento y validación antes de cerrar la evidencia de esa ola.</v>
      </c>
      <c r="D36" s="10" t="str">
        <f t="array" ref="D36">INDEX('Registro original'!$C$6:$C$38,MATCH($A36,'Registro original'!$A$6:$A$38,0))</f>
        <v>Personas y adopción</v>
      </c>
      <c r="E36" s="10" t="s">
        <v>690</v>
      </c>
      <c r="F36" s="14">
        <f t="array" ref="F36">INDEX(Cuantitativo!$C$6:$C$38,MATCH($A36,Cuantitativo!$A$6:$A$38,0))</f>
        <v>0.45</v>
      </c>
      <c r="G36" s="10">
        <f t="shared" si="1"/>
        <v>3</v>
      </c>
      <c r="H36" s="18">
        <f t="array" ref="H36">IF(G36=0,0,INDEX('Parámetros'!$D$24:$D$28,G36))</f>
        <v>0.5</v>
      </c>
      <c r="I36" s="21" t="str">
        <f t="array" ref="I36">IF('Parámetros'!$B$6="","Pendiente",IF('Parámetros'!$B$6&lt;=0,"Revisar contrato",INDEX(Cuantitativo!$Y$6:$Y$38,MATCH($A36,Cuantitativo!$A$6:$A$38,0))/'Parámetros'!$B$6))</f>
        <v>Pendiente</v>
      </c>
      <c r="J36" s="10">
        <f t="shared" si="2"/>
        <v>0</v>
      </c>
      <c r="K36" s="20">
        <f t="array" ref="K36">INDEX(Cuantitativo!$AD$6:$AD$38,MATCH($A36,Cuantitativo!$A$6:$A$38,0))</f>
        <v>1.25</v>
      </c>
      <c r="L36" s="10">
        <f t="shared" si="3"/>
        <v>1</v>
      </c>
      <c r="M36" s="15">
        <v>3.0</v>
      </c>
      <c r="N36" s="10" t="s">
        <v>880</v>
      </c>
      <c r="O36" s="9">
        <v>3.0</v>
      </c>
      <c r="P36" s="18">
        <f t="array" ref="P36">INDEX('Parámetros'!$E$24:$E$28,O36)</f>
        <v>0.2</v>
      </c>
      <c r="Q36" s="18">
        <f t="shared" si="5"/>
        <v>0.1</v>
      </c>
      <c r="R36" s="10" t="str">
        <f t="shared" si="6"/>
        <v>Media</v>
      </c>
      <c r="S36" s="10">
        <f t="shared" si="7"/>
        <v>22</v>
      </c>
      <c r="T36" s="10" t="s">
        <v>207</v>
      </c>
      <c r="U36" s="10" t="s">
        <v>881</v>
      </c>
      <c r="V36" s="10" t="s">
        <v>882</v>
      </c>
      <c r="W36" s="10" t="s">
        <v>883</v>
      </c>
      <c r="X36" s="10" t="s">
        <v>884</v>
      </c>
      <c r="Y36" s="10" t="s">
        <v>885</v>
      </c>
      <c r="Z36" s="10" t="s">
        <v>886</v>
      </c>
      <c r="AA36" s="10" t="s">
        <v>887</v>
      </c>
      <c r="AB36" s="17">
        <f t="array" ref="AB36">INDEX(Cuantitativo!$Z$6:$Z$38,MATCH($A36,Cuantitativo!$A$6:$A$38,0))</f>
        <v>315900</v>
      </c>
      <c r="AC36" s="10" t="str">
        <f>IF(OR(NOT(ISNUMBER(F36)),NOT(ISNUMBER(K36)),NOT(ISNUMBER(AB36))),"Faltan entradas cuantitativas",IF('Parámetros'!$B$6="","Provisional: costo relativo pendiente","Evaluable con monto contractual"))</f>
        <v>Provisional: costo relativo pendiente</v>
      </c>
    </row>
    <row r="37" ht="109.5" customHeight="1">
      <c r="A37" s="9" t="s">
        <v>384</v>
      </c>
      <c r="B37" s="26" t="str">
        <f t="array" ref="B37">INDEX('Registro original'!$B$6:$B$38,MATCH($A37,'Registro original'!$A$6:$A$38,0))</f>
        <v>Solicitudes que amplían el alcance</v>
      </c>
      <c r="C37" s="26" t="str">
        <f t="array" ref="C37">INDEX('Registro original'!$D$6:$D$38,MATCH($A37,'Registro original'!$A$6:$A$38,0))</f>
        <v>La solución tiene un alcance delimitado mediante requisitos, exclusiones y decisiones aprobadas, y las solicitudes posteriores deben contrastarse con esa base. Durante la ejecución, la contraparte podría solicitar una función, integración o modificación que exceda el alcance acordado y cuya incorporación requiera trabajo adicional. LafroX tendría que evaluar y tramitar el cambio; si se aprueba su incorporación, sería necesario ajustar el esfuerzo, costo o programación según el impacto acordado.</v>
      </c>
      <c r="D37" s="26" t="str">
        <f t="array" ref="D37">INDEX('Registro original'!$C$6:$C$38,MATCH($A37,'Registro original'!$A$6:$A$38,0))</f>
        <v>Contrato y licitación</v>
      </c>
      <c r="E37" s="26" t="s">
        <v>705</v>
      </c>
      <c r="F37" s="27">
        <f t="array" ref="F37">INDEX(Cuantitativo!$C$6:$C$38,MATCH($A37,Cuantitativo!$A$6:$A$38,0))</f>
        <v>0.35</v>
      </c>
      <c r="G37" s="26">
        <f t="shared" si="1"/>
        <v>3</v>
      </c>
      <c r="H37" s="28">
        <f t="array" ref="H37">IF(G37=0,0,INDEX('Parámetros'!$D$24:$D$28,G37))</f>
        <v>0.5</v>
      </c>
      <c r="I37" s="29" t="str">
        <f t="array" ref="I37">IF('Parámetros'!$B$6="","Pendiente",IF('Parámetros'!$B$6&lt;=0,"Revisar contrato",INDEX(Cuantitativo!$Y$6:$Y$38,MATCH($A37,Cuantitativo!$A$6:$A$38,0))/'Parámetros'!$B$6))</f>
        <v>Pendiente</v>
      </c>
      <c r="J37" s="26">
        <f t="shared" si="2"/>
        <v>0</v>
      </c>
      <c r="K37" s="31">
        <f t="array" ref="K37">INDEX(Cuantitativo!$AD$6:$AD$38,MATCH($A37,Cuantitativo!$A$6:$A$38,0))</f>
        <v>3.333333333</v>
      </c>
      <c r="L37" s="26">
        <f t="shared" si="3"/>
        <v>2</v>
      </c>
      <c r="M37" s="15">
        <v>3.0</v>
      </c>
      <c r="N37" s="26" t="s">
        <v>888</v>
      </c>
      <c r="O37" s="32">
        <v>3.0</v>
      </c>
      <c r="P37" s="28">
        <f t="array" ref="P37">INDEX('Parámetros'!$E$24:$E$28,O37)</f>
        <v>0.2</v>
      </c>
      <c r="Q37" s="28">
        <f t="shared" si="5"/>
        <v>0.1</v>
      </c>
      <c r="R37" s="26" t="str">
        <f t="shared" si="6"/>
        <v>Media</v>
      </c>
      <c r="S37" s="26">
        <f t="shared" si="7"/>
        <v>20</v>
      </c>
      <c r="T37" s="26" t="s">
        <v>277</v>
      </c>
      <c r="U37" s="26" t="s">
        <v>889</v>
      </c>
      <c r="V37" s="26" t="s">
        <v>890</v>
      </c>
      <c r="W37" s="26" t="s">
        <v>891</v>
      </c>
      <c r="X37" s="26" t="s">
        <v>892</v>
      </c>
      <c r="Y37" s="26" t="s">
        <v>756</v>
      </c>
      <c r="Z37" s="26" t="s">
        <v>893</v>
      </c>
      <c r="AA37" s="26" t="s">
        <v>894</v>
      </c>
      <c r="AB37" s="30">
        <f t="array" ref="AB37">INDEX(Cuantitativo!$Z$6:$Z$38,MATCH($A37,Cuantitativo!$A$6:$A$38,0))</f>
        <v>812000</v>
      </c>
      <c r="AC37" s="26" t="str">
        <f>IF(OR(NOT(ISNUMBER(F37)),NOT(ISNUMBER(K37)),NOT(ISNUMBER(AB37))),"Faltan entradas cuantitativas",IF('Parámetros'!$B$6="","Provisional: costo relativo pendiente","Evaluable con monto contractual"))</f>
        <v>Provisional: costo relativo pendiente</v>
      </c>
    </row>
    <row r="38" ht="126.0" customHeight="1">
      <c r="A38" s="9" t="s">
        <v>388</v>
      </c>
      <c r="B38" s="10" t="str">
        <f t="array" ref="B38">INDEX('Registro original'!$B$6:$B$38,MATCH($A38,'Registro original'!$A$6:$A$38,0))</f>
        <v>Cambios normativos</v>
      </c>
      <c r="C38" s="10" t="str">
        <f t="array" ref="C38">INDEX('Registro original'!$D$6:$D$38,MATCH($A38,'Registro original'!$A$6:$A$38,0))</f>
        <v>La solución trata y conserva documentos, ubicación y evidencia durante una vigencia contractual de varios años, sujeta a exigencias normativas aplicables. Durante esa vigencia, una modificación normativa o una nueva interpretación aplicable podría exigir ajustes en los controles, la conservación o la eliminación de datos de la solución. LafroX tendría que evaluar y adaptar los componentes y procedimientos afectados y volver a validar su funcionamiento, generando trabajo adicional y posibles ajustes de programación sujetos al tratamiento contractual correspondiente.</v>
      </c>
      <c r="D38" s="10" t="str">
        <f t="array" ref="D38">INDEX('Registro original'!$C$6:$C$38,MATCH($A38,'Registro original'!$A$6:$A$38,0))</f>
        <v>Regulatorio y externo</v>
      </c>
      <c r="E38" s="10" t="s">
        <v>744</v>
      </c>
      <c r="F38" s="14">
        <f t="array" ref="F38">INDEX(Cuantitativo!$C$6:$C$38,MATCH($A38,Cuantitativo!$A$6:$A$38,0))</f>
        <v>0.2</v>
      </c>
      <c r="G38" s="10">
        <f t="shared" si="1"/>
        <v>2</v>
      </c>
      <c r="H38" s="18">
        <f t="array" ref="H38">IF(G38=0,0,INDEX('Parámetros'!$D$24:$D$28,G38))</f>
        <v>0.3</v>
      </c>
      <c r="I38" s="21" t="str">
        <f t="array" ref="I38">IF('Parámetros'!$B$6="","Pendiente",IF('Parámetros'!$B$6&lt;=0,"Revisar contrato",INDEX(Cuantitativo!$Y$6:$Y$38,MATCH($A38,Cuantitativo!$A$6:$A$38,0))/'Parámetros'!$B$6))</f>
        <v>Pendiente</v>
      </c>
      <c r="J38" s="10">
        <f t="shared" si="2"/>
        <v>0</v>
      </c>
      <c r="K38" s="20">
        <f t="array" ref="K38">INDEX(Cuantitativo!$AD$6:$AD$38,MATCH($A38,Cuantitativo!$A$6:$A$38,0))</f>
        <v>16</v>
      </c>
      <c r="L38" s="10">
        <f t="shared" si="3"/>
        <v>3</v>
      </c>
      <c r="M38" s="15">
        <v>4.0</v>
      </c>
      <c r="N38" s="10" t="s">
        <v>895</v>
      </c>
      <c r="O38" s="9">
        <v>4.0</v>
      </c>
      <c r="P38" s="18">
        <f t="array" ref="P38">INDEX('Parámetros'!$E$24:$E$28,O38)</f>
        <v>0.4</v>
      </c>
      <c r="Q38" s="18">
        <f t="shared" si="5"/>
        <v>0.12</v>
      </c>
      <c r="R38" s="10" t="str">
        <f t="shared" si="6"/>
        <v>Media</v>
      </c>
      <c r="S38" s="10">
        <f t="shared" si="7"/>
        <v>13</v>
      </c>
      <c r="T38" s="10" t="s">
        <v>277</v>
      </c>
      <c r="U38" s="10" t="s">
        <v>896</v>
      </c>
      <c r="V38" s="10" t="s">
        <v>897</v>
      </c>
      <c r="W38" s="10" t="s">
        <v>898</v>
      </c>
      <c r="X38" s="10" t="s">
        <v>899</v>
      </c>
      <c r="Y38" s="10" t="s">
        <v>900</v>
      </c>
      <c r="Z38" s="10" t="s">
        <v>901</v>
      </c>
      <c r="AA38" s="10" t="s">
        <v>902</v>
      </c>
      <c r="AB38" s="17">
        <f t="array" ref="AB38">INDEX(Cuantitativo!$Z$6:$Z$38,MATCH($A38,Cuantitativo!$A$6:$A$38,0))</f>
        <v>460800</v>
      </c>
      <c r="AC38" s="10" t="str">
        <f>IF(OR(NOT(ISNUMBER(F38)),NOT(ISNUMBER(K38)),NOT(ISNUMBER(AB38))),"Faltan entradas cuantitativas",IF('Parámetros'!$B$6="","Provisional: costo relativo pendiente","Evaluable con monto contractual"))</f>
        <v>Provisional: costo relativo pendiente</v>
      </c>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row>
    <row r="41" ht="15.75" customHeight="1">
      <c r="A41" s="1" t="s">
        <v>903</v>
      </c>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row>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customSheetViews>
    <customSheetView guid="{CEBCCE61-A7BD-46DC-ADF9-3FF6DE78CEA3}" filter="1" showAutoFilter="1">
      <autoFilter ref="$A$5:$AC$38"/>
      <extLst>
        <ext uri="GoogleSheetsCustomDataVersion1">
          <go:sheetsCustomData xmlns:go="http://customooxmlschemas.google.com/" filterViewId="923867295"/>
        </ext>
      </extLst>
    </customSheetView>
  </customSheetViews>
  <conditionalFormatting sqref="R6:R38">
    <cfRule type="containsText" dxfId="5" priority="1" operator="containsText" text="Crítica">
      <formula>NOT(ISERROR(SEARCH(("Crítica"),(R6))))</formula>
    </cfRule>
  </conditionalFormatting>
  <conditionalFormatting sqref="R6:R38">
    <cfRule type="containsText" dxfId="6" priority="2" operator="containsText" text="Alta">
      <formula>NOT(ISERROR(SEARCH(("Alta"),(R6))))</formula>
    </cfRule>
  </conditionalFormatting>
  <conditionalFormatting sqref="R6:R38">
    <cfRule type="containsText" dxfId="7" priority="3" operator="containsText" text="Media">
      <formula>NOT(ISERROR(SEARCH(("Media"),(R6))))</formula>
    </cfRule>
  </conditionalFormatting>
  <conditionalFormatting sqref="R6:R38">
    <cfRule type="containsText" dxfId="8" priority="4" operator="containsText" text="Baja">
      <formula>NOT(ISERROR(SEARCH(("Baja"),(R6))))</formula>
    </cfRule>
  </conditionalFormatting>
  <dataValidations>
    <dataValidation type="decimal" allowBlank="1" sqref="M6:M38">
      <formula1>1.0</formula1>
      <formula2>5.0</formula2>
    </dataValidation>
  </dataValidation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9EAEBB"/>
    <pageSetUpPr/>
  </sheetPr>
  <sheetViews>
    <sheetView showGridLines="0" workbookViewId="0">
      <pane xSplit="2.0" ySplit="5.0" topLeftCell="C6" activePane="bottomRight" state="frozen"/>
      <selection activeCell="C1" sqref="C1" pane="topRight"/>
      <selection activeCell="A6" sqref="A6" pane="bottomLeft"/>
      <selection activeCell="C6" sqref="C6" pane="bottomRight"/>
    </sheetView>
  </sheetViews>
  <sheetFormatPr customHeight="1" defaultColWidth="12.63" defaultRowHeight="15.0"/>
  <cols>
    <col customWidth="1" min="1" max="1" width="12.0"/>
    <col customWidth="1" min="2" max="2" width="58.0"/>
    <col customWidth="1" min="3" max="3" width="18.0"/>
    <col customWidth="1" min="4" max="4" width="17.0"/>
    <col customWidth="1" min="5" max="5" width="15.0"/>
    <col customWidth="1" min="6" max="8" width="12.0"/>
    <col customWidth="1" min="9" max="9" width="20.0"/>
    <col customWidth="1" min="10" max="11" width="15.0"/>
    <col customWidth="1" min="12" max="14" width="12.0"/>
    <col customWidth="1" min="15" max="15" width="20.0"/>
    <col customWidth="1" min="16" max="16" width="15.0"/>
    <col customWidth="1" min="17" max="19" width="18.0"/>
    <col customWidth="1" min="20" max="20" width="20.0"/>
    <col customWidth="1" min="21" max="23" width="22.0"/>
    <col customWidth="1" min="24" max="24" width="24.0"/>
    <col customWidth="1" min="25" max="26" width="26.0"/>
    <col customWidth="1" min="27" max="29" width="16.0"/>
    <col customWidth="1" min="30" max="30" width="18.0"/>
    <col customWidth="1" min="31" max="31" width="78.0"/>
    <col customWidth="1" min="32" max="33" width="70.0"/>
    <col customWidth="1" min="34" max="35" width="80.0"/>
    <col customWidth="1" min="36" max="36" width="75.0"/>
    <col customWidth="1" min="37" max="37" width="55.0"/>
  </cols>
  <sheetData>
    <row r="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row>
    <row r="2" ht="27.75" customHeight="1">
      <c r="A2" s="2" t="s">
        <v>10</v>
      </c>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row>
    <row r="3">
      <c r="A3" s="1" t="s">
        <v>13</v>
      </c>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row>
    <row r="4">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row>
    <row r="5" ht="55.5" customHeight="1">
      <c r="A5" s="5" t="s">
        <v>14</v>
      </c>
      <c r="B5" s="5" t="s">
        <v>16</v>
      </c>
      <c r="C5" s="5" t="s">
        <v>21</v>
      </c>
      <c r="D5" s="5" t="s">
        <v>23</v>
      </c>
      <c r="E5" s="5" t="s">
        <v>25</v>
      </c>
      <c r="F5" s="5" t="s">
        <v>27</v>
      </c>
      <c r="G5" s="5" t="s">
        <v>29</v>
      </c>
      <c r="H5" s="5" t="s">
        <v>31</v>
      </c>
      <c r="I5" s="5" t="s">
        <v>33</v>
      </c>
      <c r="J5" s="5" t="s">
        <v>34</v>
      </c>
      <c r="K5" s="5" t="s">
        <v>36</v>
      </c>
      <c r="L5" s="5" t="s">
        <v>38</v>
      </c>
      <c r="M5" s="5" t="s">
        <v>40</v>
      </c>
      <c r="N5" s="5" t="s">
        <v>42</v>
      </c>
      <c r="O5" s="5" t="s">
        <v>44</v>
      </c>
      <c r="P5" s="5" t="s">
        <v>46</v>
      </c>
      <c r="Q5" s="5" t="s">
        <v>48</v>
      </c>
      <c r="R5" s="5" t="s">
        <v>50</v>
      </c>
      <c r="S5" s="5" t="s">
        <v>53</v>
      </c>
      <c r="T5" s="5" t="s">
        <v>55</v>
      </c>
      <c r="U5" s="5" t="s">
        <v>58</v>
      </c>
      <c r="V5" s="5" t="s">
        <v>60</v>
      </c>
      <c r="W5" s="5" t="s">
        <v>62</v>
      </c>
      <c r="X5" s="5" t="s">
        <v>64</v>
      </c>
      <c r="Y5" s="5" t="s">
        <v>66</v>
      </c>
      <c r="Z5" s="5" t="s">
        <v>67</v>
      </c>
      <c r="AA5" s="5" t="s">
        <v>69</v>
      </c>
      <c r="AB5" s="5" t="s">
        <v>71</v>
      </c>
      <c r="AC5" s="5" t="s">
        <v>72</v>
      </c>
      <c r="AD5" s="5" t="s">
        <v>30</v>
      </c>
      <c r="AE5" s="5" t="s">
        <v>74</v>
      </c>
      <c r="AF5" s="5" t="s">
        <v>75</v>
      </c>
      <c r="AG5" s="5" t="s">
        <v>76</v>
      </c>
      <c r="AH5" s="5" t="s">
        <v>77</v>
      </c>
      <c r="AI5" s="5" t="s">
        <v>79</v>
      </c>
      <c r="AJ5" s="5" t="s">
        <v>80</v>
      </c>
      <c r="AK5" s="5" t="s">
        <v>81</v>
      </c>
    </row>
    <row r="6" ht="57.0" customHeight="1">
      <c r="A6" s="9" t="s">
        <v>68</v>
      </c>
      <c r="B6" s="10" t="str">
        <f t="array" ref="B6">INDEX('Registro original'!$B$6:$B$38,MATCH($A6,'Registro original'!$A$6:$A$38,0))</f>
        <v>Cadena comercial no completa oportunamente su certificación EDI</v>
      </c>
      <c r="C6" s="12">
        <v>0.45</v>
      </c>
      <c r="D6" s="13">
        <v>1.0</v>
      </c>
      <c r="E6" s="15" t="s">
        <v>97</v>
      </c>
      <c r="F6" s="16">
        <v>24.0</v>
      </c>
      <c r="G6" s="16">
        <v>56.0</v>
      </c>
      <c r="H6" s="16">
        <v>120.0</v>
      </c>
      <c r="I6" s="17">
        <f t="array" ref="I6">INDEX('Parámetros'!$C$11:$C$19,MATCH(E6,'Parámetros'!$A$11:$A$19,0))</f>
        <v>22000</v>
      </c>
      <c r="J6" s="20">
        <f t="shared" ref="J6:J38" si="1">IF(COUNT(F6:H6)&lt;3,"Faltan entradas",(F6+4*G6+H6)/6)</f>
        <v>61.33333333</v>
      </c>
      <c r="K6" s="15" t="s">
        <v>103</v>
      </c>
      <c r="L6" s="16">
        <v>16.0</v>
      </c>
      <c r="M6" s="16">
        <v>40.0</v>
      </c>
      <c r="N6" s="16">
        <v>80.0</v>
      </c>
      <c r="O6" s="17">
        <f t="array" ref="O6">INDEX('Parámetros'!$C$11:$C$19,MATCH(K6,'Parámetros'!$A$11:$A$19,0))</f>
        <v>16000</v>
      </c>
      <c r="P6" s="20">
        <f t="shared" ref="P6:P38" si="2">IF(COUNT(L6:N6)&lt;3,"Faltan entradas",(L6+4*M6+N6)/6)</f>
        <v>42.66666667</v>
      </c>
      <c r="Q6" s="24">
        <v>0.0</v>
      </c>
      <c r="R6" s="24">
        <v>0.0</v>
      </c>
      <c r="S6" s="24">
        <v>0.0</v>
      </c>
      <c r="T6" s="17">
        <f t="shared" ref="T6:T38" si="3">IF(COUNT(Q6:S6)&lt;3,"Faltan entradas",(Q6+4*R6+S6)/6)</f>
        <v>0</v>
      </c>
      <c r="U6" s="17">
        <f t="shared" ref="U6:U38" si="4">IF(COUNT(F6,L6,Q6,I6,O6)&lt;5,"Faltan entradas",F6*I6+L6*O6+Q6)</f>
        <v>784000</v>
      </c>
      <c r="V6" s="17">
        <f t="shared" ref="V6:V38" si="5">IF(COUNT(G6,M6,R6,I6,O6)&lt;5,"Faltan entradas",G6*I6+M6*O6+R6)</f>
        <v>1872000</v>
      </c>
      <c r="W6" s="17">
        <f t="shared" ref="W6:W38" si="6">IF(COUNT(H6,N6,S6,I6,O6)&lt;5,"Faltan entradas",H6*I6+N6*O6+S6)</f>
        <v>3920000</v>
      </c>
      <c r="X6" s="17">
        <f t="shared" ref="X6:X38" si="7">IF(COUNT(U6:W6)&lt;3,"Faltan entradas",(U6+4*V6+W6)/6)</f>
        <v>2032000</v>
      </c>
      <c r="Y6" s="17">
        <f t="shared" ref="Y6:Y38" si="8">IF(COUNT(X6,D6)&lt;2,"Faltan entradas",X6*D6)</f>
        <v>2032000</v>
      </c>
      <c r="Z6" s="17">
        <f t="shared" ref="Z6:Z38" si="9">IF(COUNT(C6,Y6)&lt;2,"Faltan entradas",C6*Y6)</f>
        <v>914400</v>
      </c>
      <c r="AA6" s="16">
        <v>7.0</v>
      </c>
      <c r="AB6" s="16">
        <v>21.0</v>
      </c>
      <c r="AC6" s="16">
        <v>42.0</v>
      </c>
      <c r="AD6" s="20">
        <f t="shared" ref="AD6:AD38" si="10">IF(COUNT(AA6:AC6)&lt;3,"Faltan entradas",(AA6+4*AB6+AC6)/6)</f>
        <v>22.16666667</v>
      </c>
      <c r="AE6" s="10" t="s">
        <v>224</v>
      </c>
      <c r="AF6" s="10" t="s">
        <v>225</v>
      </c>
      <c r="AG6" s="10" t="s">
        <v>227</v>
      </c>
      <c r="AH6" s="10" t="s">
        <v>228</v>
      </c>
      <c r="AI6" s="10" t="s">
        <v>230</v>
      </c>
      <c r="AJ6" s="10" t="s">
        <v>231</v>
      </c>
      <c r="AK6" s="10" t="s">
        <v>232</v>
      </c>
    </row>
    <row r="7" ht="57.0" customHeight="1">
      <c r="A7" s="9" t="s">
        <v>220</v>
      </c>
      <c r="B7" s="26" t="str">
        <f t="array" ref="B7">INDEX('Registro original'!$B$6:$B$38,MATCH($A7,'Registro original'!$A$6:$A$38,0))</f>
        <v>Defectos de historia sanitaria de origen impiden cerrar una carga</v>
      </c>
      <c r="C7" s="12">
        <v>0.6</v>
      </c>
      <c r="D7" s="13">
        <v>1.0</v>
      </c>
      <c r="E7" s="15" t="s">
        <v>106</v>
      </c>
      <c r="F7" s="16">
        <v>48.0</v>
      </c>
      <c r="G7" s="16">
        <v>120.0</v>
      </c>
      <c r="H7" s="16">
        <v>240.0</v>
      </c>
      <c r="I7" s="30">
        <f t="array" ref="I7">INDEX('Parámetros'!$C$11:$C$19,MATCH(E7,'Parámetros'!$A$11:$A$19,0))</f>
        <v>20000</v>
      </c>
      <c r="J7" s="31">
        <f t="shared" si="1"/>
        <v>128</v>
      </c>
      <c r="K7" s="15" t="s">
        <v>103</v>
      </c>
      <c r="L7" s="16">
        <v>24.0</v>
      </c>
      <c r="M7" s="16">
        <v>64.0</v>
      </c>
      <c r="N7" s="16">
        <v>120.0</v>
      </c>
      <c r="O7" s="30">
        <f t="array" ref="O7">INDEX('Parámetros'!$C$11:$C$19,MATCH(K7,'Parámetros'!$A$11:$A$19,0))</f>
        <v>16000</v>
      </c>
      <c r="P7" s="31">
        <f t="shared" si="2"/>
        <v>66.66666667</v>
      </c>
      <c r="Q7" s="24">
        <v>0.0</v>
      </c>
      <c r="R7" s="24">
        <v>0.0</v>
      </c>
      <c r="S7" s="24">
        <v>0.0</v>
      </c>
      <c r="T7" s="30">
        <f t="shared" si="3"/>
        <v>0</v>
      </c>
      <c r="U7" s="30">
        <f t="shared" si="4"/>
        <v>1344000</v>
      </c>
      <c r="V7" s="30">
        <f t="shared" si="5"/>
        <v>3424000</v>
      </c>
      <c r="W7" s="30">
        <f t="shared" si="6"/>
        <v>6720000</v>
      </c>
      <c r="X7" s="30">
        <f t="shared" si="7"/>
        <v>3626666.667</v>
      </c>
      <c r="Y7" s="30">
        <f t="shared" si="8"/>
        <v>3626666.667</v>
      </c>
      <c r="Z7" s="30">
        <f t="shared" si="9"/>
        <v>2176000</v>
      </c>
      <c r="AA7" s="16">
        <v>5.0</v>
      </c>
      <c r="AB7" s="16">
        <v>14.0</v>
      </c>
      <c r="AC7" s="16">
        <v>35.0</v>
      </c>
      <c r="AD7" s="31">
        <f t="shared" si="10"/>
        <v>16</v>
      </c>
      <c r="AE7" s="26" t="s">
        <v>258</v>
      </c>
      <c r="AF7" s="26" t="s">
        <v>259</v>
      </c>
      <c r="AG7" s="26" t="s">
        <v>261</v>
      </c>
      <c r="AH7" s="26" t="s">
        <v>262</v>
      </c>
      <c r="AI7" s="26" t="s">
        <v>263</v>
      </c>
      <c r="AJ7" s="26" t="s">
        <v>231</v>
      </c>
      <c r="AK7" s="26" t="s">
        <v>264</v>
      </c>
    </row>
    <row r="8" ht="54.0" customHeight="1">
      <c r="A8" s="9" t="s">
        <v>236</v>
      </c>
      <c r="B8" s="10" t="str">
        <f t="array" ref="B8">INDEX('Registro original'!$B$6:$B$38,MATCH($A8,'Registro original'!$A$6:$A$38,0))</f>
        <v>Historial de ventas no utilizable para la carga y reposición previstas</v>
      </c>
      <c r="C8" s="12">
        <v>0.5</v>
      </c>
      <c r="D8" s="13">
        <v>1.0</v>
      </c>
      <c r="E8" s="15" t="s">
        <v>106</v>
      </c>
      <c r="F8" s="16">
        <v>32.0</v>
      </c>
      <c r="G8" s="16">
        <v>80.0</v>
      </c>
      <c r="H8" s="16">
        <v>160.0</v>
      </c>
      <c r="I8" s="17">
        <f t="array" ref="I8">INDEX('Parámetros'!$C$11:$C$19,MATCH(E8,'Parámetros'!$A$11:$A$19,0))</f>
        <v>20000</v>
      </c>
      <c r="J8" s="20">
        <f t="shared" si="1"/>
        <v>85.33333333</v>
      </c>
      <c r="K8" s="15" t="s">
        <v>103</v>
      </c>
      <c r="L8" s="16">
        <v>16.0</v>
      </c>
      <c r="M8" s="16">
        <v>40.0</v>
      </c>
      <c r="N8" s="16">
        <v>80.0</v>
      </c>
      <c r="O8" s="17">
        <f t="array" ref="O8">INDEX('Parámetros'!$C$11:$C$19,MATCH(K8,'Parámetros'!$A$11:$A$19,0))</f>
        <v>16000</v>
      </c>
      <c r="P8" s="20">
        <f t="shared" si="2"/>
        <v>42.66666667</v>
      </c>
      <c r="Q8" s="24">
        <v>0.0</v>
      </c>
      <c r="R8" s="24">
        <v>0.0</v>
      </c>
      <c r="S8" s="24">
        <v>0.0</v>
      </c>
      <c r="T8" s="17">
        <f t="shared" si="3"/>
        <v>0</v>
      </c>
      <c r="U8" s="17">
        <f t="shared" si="4"/>
        <v>896000</v>
      </c>
      <c r="V8" s="17">
        <f t="shared" si="5"/>
        <v>2240000</v>
      </c>
      <c r="W8" s="17">
        <f t="shared" si="6"/>
        <v>4480000</v>
      </c>
      <c r="X8" s="17">
        <f t="shared" si="7"/>
        <v>2389333.333</v>
      </c>
      <c r="Y8" s="17">
        <f t="shared" si="8"/>
        <v>2389333.333</v>
      </c>
      <c r="Z8" s="17">
        <f t="shared" si="9"/>
        <v>1194666.667</v>
      </c>
      <c r="AA8" s="16">
        <v>3.0</v>
      </c>
      <c r="AB8" s="16">
        <v>10.0</v>
      </c>
      <c r="AC8" s="16">
        <v>21.0</v>
      </c>
      <c r="AD8" s="20">
        <f t="shared" si="10"/>
        <v>10.66666667</v>
      </c>
      <c r="AE8" s="10" t="s">
        <v>292</v>
      </c>
      <c r="AF8" s="10" t="s">
        <v>293</v>
      </c>
      <c r="AG8" s="10" t="s">
        <v>294</v>
      </c>
      <c r="AH8" s="10" t="s">
        <v>296</v>
      </c>
      <c r="AI8" s="10" t="s">
        <v>230</v>
      </c>
      <c r="AJ8" s="10" t="s">
        <v>231</v>
      </c>
      <c r="AK8" s="10" t="s">
        <v>298</v>
      </c>
    </row>
    <row r="9" ht="54.0" customHeight="1">
      <c r="A9" s="9" t="s">
        <v>240</v>
      </c>
      <c r="B9" s="26" t="str">
        <f t="array" ref="B9">INDEX('Registro original'!$B$6:$B$38,MATCH($A9,'Registro original'!$A$6:$A$38,0))</f>
        <v>Diferencias de inventario sin resolver antes del corte de migración</v>
      </c>
      <c r="C9" s="12">
        <v>0.55</v>
      </c>
      <c r="D9" s="13">
        <v>1.0</v>
      </c>
      <c r="E9" s="15" t="s">
        <v>106</v>
      </c>
      <c r="F9" s="16">
        <v>24.0</v>
      </c>
      <c r="G9" s="16">
        <v>64.0</v>
      </c>
      <c r="H9" s="16">
        <v>128.0</v>
      </c>
      <c r="I9" s="30">
        <f t="array" ref="I9">INDEX('Parámetros'!$C$11:$C$19,MATCH(E9,'Parámetros'!$A$11:$A$19,0))</f>
        <v>20000</v>
      </c>
      <c r="J9" s="31">
        <f t="shared" si="1"/>
        <v>68</v>
      </c>
      <c r="K9" s="15" t="s">
        <v>103</v>
      </c>
      <c r="L9" s="16">
        <v>16.0</v>
      </c>
      <c r="M9" s="16">
        <v>40.0</v>
      </c>
      <c r="N9" s="16">
        <v>80.0</v>
      </c>
      <c r="O9" s="30">
        <f t="array" ref="O9">INDEX('Parámetros'!$C$11:$C$19,MATCH(K9,'Parámetros'!$A$11:$A$19,0))</f>
        <v>16000</v>
      </c>
      <c r="P9" s="31">
        <f t="shared" si="2"/>
        <v>42.66666667</v>
      </c>
      <c r="Q9" s="24">
        <v>0.0</v>
      </c>
      <c r="R9" s="24">
        <v>0.0</v>
      </c>
      <c r="S9" s="24">
        <v>0.0</v>
      </c>
      <c r="T9" s="30">
        <f t="shared" si="3"/>
        <v>0</v>
      </c>
      <c r="U9" s="30">
        <f t="shared" si="4"/>
        <v>736000</v>
      </c>
      <c r="V9" s="30">
        <f t="shared" si="5"/>
        <v>1920000</v>
      </c>
      <c r="W9" s="30">
        <f t="shared" si="6"/>
        <v>3840000</v>
      </c>
      <c r="X9" s="30">
        <f t="shared" si="7"/>
        <v>2042666.667</v>
      </c>
      <c r="Y9" s="30">
        <f t="shared" si="8"/>
        <v>2042666.667</v>
      </c>
      <c r="Z9" s="30">
        <f t="shared" si="9"/>
        <v>1123466.667</v>
      </c>
      <c r="AA9" s="16">
        <v>2.0</v>
      </c>
      <c r="AB9" s="16">
        <v>7.0</v>
      </c>
      <c r="AC9" s="16">
        <v>21.0</v>
      </c>
      <c r="AD9" s="31">
        <f t="shared" si="10"/>
        <v>8.5</v>
      </c>
      <c r="AE9" s="26" t="s">
        <v>326</v>
      </c>
      <c r="AF9" s="26" t="s">
        <v>328</v>
      </c>
      <c r="AG9" s="26" t="s">
        <v>332</v>
      </c>
      <c r="AH9" s="26" t="s">
        <v>334</v>
      </c>
      <c r="AI9" s="26" t="s">
        <v>230</v>
      </c>
      <c r="AJ9" s="26" t="s">
        <v>231</v>
      </c>
      <c r="AK9" s="26" t="s">
        <v>338</v>
      </c>
    </row>
    <row r="10" ht="54.0" customHeight="1">
      <c r="A10" s="9" t="s">
        <v>244</v>
      </c>
      <c r="B10" s="10" t="str">
        <f t="array" ref="B10">INDEX('Registro original'!$B$6:$B$38,MATCH($A10,'Registro original'!$A$6:$A$38,0))</f>
        <v>Saldo inicial de envases no conciliable al preparar la carga de M8</v>
      </c>
      <c r="C10" s="12">
        <v>0.5</v>
      </c>
      <c r="D10" s="13">
        <v>1.0</v>
      </c>
      <c r="E10" s="15" t="s">
        <v>106</v>
      </c>
      <c r="F10" s="16">
        <v>24.0</v>
      </c>
      <c r="G10" s="16">
        <v>56.0</v>
      </c>
      <c r="H10" s="16">
        <v>120.0</v>
      </c>
      <c r="I10" s="17">
        <f t="array" ref="I10">INDEX('Parámetros'!$C$11:$C$19,MATCH(E10,'Parámetros'!$A$11:$A$19,0))</f>
        <v>20000</v>
      </c>
      <c r="J10" s="20">
        <f t="shared" si="1"/>
        <v>61.33333333</v>
      </c>
      <c r="K10" s="15" t="s">
        <v>109</v>
      </c>
      <c r="L10" s="16">
        <v>16.0</v>
      </c>
      <c r="M10" s="16">
        <v>32.0</v>
      </c>
      <c r="N10" s="16">
        <v>64.0</v>
      </c>
      <c r="O10" s="17">
        <f t="array" ref="O10">INDEX('Parámetros'!$C$11:$C$19,MATCH(K10,'Parámetros'!$A$11:$A$19,0))</f>
        <v>18000</v>
      </c>
      <c r="P10" s="20">
        <f t="shared" si="2"/>
        <v>34.66666667</v>
      </c>
      <c r="Q10" s="24">
        <v>0.0</v>
      </c>
      <c r="R10" s="24">
        <v>0.0</v>
      </c>
      <c r="S10" s="24">
        <v>0.0</v>
      </c>
      <c r="T10" s="17">
        <f t="shared" si="3"/>
        <v>0</v>
      </c>
      <c r="U10" s="17">
        <f t="shared" si="4"/>
        <v>768000</v>
      </c>
      <c r="V10" s="17">
        <f t="shared" si="5"/>
        <v>1696000</v>
      </c>
      <c r="W10" s="17">
        <f t="shared" si="6"/>
        <v>3552000</v>
      </c>
      <c r="X10" s="17">
        <f t="shared" si="7"/>
        <v>1850666.667</v>
      </c>
      <c r="Y10" s="17">
        <f t="shared" si="8"/>
        <v>1850666.667</v>
      </c>
      <c r="Z10" s="17">
        <f t="shared" si="9"/>
        <v>925333.3333</v>
      </c>
      <c r="AA10" s="16">
        <v>3.0</v>
      </c>
      <c r="AB10" s="16">
        <v>7.0</v>
      </c>
      <c r="AC10" s="16">
        <v>21.0</v>
      </c>
      <c r="AD10" s="20">
        <f t="shared" si="10"/>
        <v>8.666666667</v>
      </c>
      <c r="AE10" s="10" t="s">
        <v>362</v>
      </c>
      <c r="AF10" s="10" t="s">
        <v>363</v>
      </c>
      <c r="AG10" s="10" t="s">
        <v>364</v>
      </c>
      <c r="AH10" s="10" t="s">
        <v>365</v>
      </c>
      <c r="AI10" s="10" t="s">
        <v>230</v>
      </c>
      <c r="AJ10" s="10" t="s">
        <v>231</v>
      </c>
      <c r="AK10" s="10" t="s">
        <v>372</v>
      </c>
    </row>
    <row r="11" ht="57.0" customHeight="1">
      <c r="A11" s="9" t="s">
        <v>255</v>
      </c>
      <c r="B11" s="26" t="str">
        <f t="array" ref="B11">INDEX('Registro original'!$B$6:$B$38,MATCH($A11,'Registro original'!$A$6:$A$38,0))</f>
        <v>Historia de origen insuficiente para sustentar las líneas base de aceptación</v>
      </c>
      <c r="C11" s="12">
        <v>0.55</v>
      </c>
      <c r="D11" s="13">
        <v>1.0</v>
      </c>
      <c r="E11" s="15" t="s">
        <v>106</v>
      </c>
      <c r="F11" s="16">
        <v>24.0</v>
      </c>
      <c r="G11" s="16">
        <v>64.0</v>
      </c>
      <c r="H11" s="16">
        <v>120.0</v>
      </c>
      <c r="I11" s="30">
        <f t="array" ref="I11">INDEX('Parámetros'!$C$11:$C$19,MATCH(E11,'Parámetros'!$A$11:$A$19,0))</f>
        <v>20000</v>
      </c>
      <c r="J11" s="31">
        <f t="shared" si="1"/>
        <v>66.66666667</v>
      </c>
      <c r="K11" s="15" t="s">
        <v>109</v>
      </c>
      <c r="L11" s="16">
        <v>16.0</v>
      </c>
      <c r="M11" s="16">
        <v>32.0</v>
      </c>
      <c r="N11" s="16">
        <v>64.0</v>
      </c>
      <c r="O11" s="30">
        <f t="array" ref="O11">INDEX('Parámetros'!$C$11:$C$19,MATCH(K11,'Parámetros'!$A$11:$A$19,0))</f>
        <v>18000</v>
      </c>
      <c r="P11" s="31">
        <f t="shared" si="2"/>
        <v>34.66666667</v>
      </c>
      <c r="Q11" s="24">
        <v>0.0</v>
      </c>
      <c r="R11" s="24">
        <v>0.0</v>
      </c>
      <c r="S11" s="24">
        <v>0.0</v>
      </c>
      <c r="T11" s="30">
        <f t="shared" si="3"/>
        <v>0</v>
      </c>
      <c r="U11" s="30">
        <f t="shared" si="4"/>
        <v>768000</v>
      </c>
      <c r="V11" s="30">
        <f t="shared" si="5"/>
        <v>1856000</v>
      </c>
      <c r="W11" s="30">
        <f t="shared" si="6"/>
        <v>3552000</v>
      </c>
      <c r="X11" s="30">
        <f t="shared" si="7"/>
        <v>1957333.333</v>
      </c>
      <c r="Y11" s="30">
        <f t="shared" si="8"/>
        <v>1957333.333</v>
      </c>
      <c r="Z11" s="30">
        <f t="shared" si="9"/>
        <v>1076533.333</v>
      </c>
      <c r="AA11" s="16">
        <v>3.0</v>
      </c>
      <c r="AB11" s="16">
        <v>10.0</v>
      </c>
      <c r="AC11" s="16">
        <v>21.0</v>
      </c>
      <c r="AD11" s="31">
        <f t="shared" si="10"/>
        <v>10.66666667</v>
      </c>
      <c r="AE11" s="26" t="s">
        <v>394</v>
      </c>
      <c r="AF11" s="26" t="s">
        <v>396</v>
      </c>
      <c r="AG11" s="26" t="s">
        <v>401</v>
      </c>
      <c r="AH11" s="26" t="s">
        <v>403</v>
      </c>
      <c r="AI11" s="26" t="s">
        <v>230</v>
      </c>
      <c r="AJ11" s="26" t="s">
        <v>231</v>
      </c>
      <c r="AK11" s="26" t="s">
        <v>413</v>
      </c>
    </row>
    <row r="12" ht="54.0" customHeight="1">
      <c r="A12" s="9" t="s">
        <v>260</v>
      </c>
      <c r="B12" s="10" t="str">
        <f t="array" ref="B12">INDEX('Registro original'!$B$6:$B$38,MATCH($A12,'Registro original'!$A$6:$A$38,0))</f>
        <v>Deuda viva adicional a la cartera incluida en la volumetría provisional</v>
      </c>
      <c r="C12" s="12">
        <v>0.35</v>
      </c>
      <c r="D12" s="13">
        <v>1.0</v>
      </c>
      <c r="E12" s="15" t="s">
        <v>106</v>
      </c>
      <c r="F12" s="16">
        <v>16.0</v>
      </c>
      <c r="G12" s="16">
        <v>48.0</v>
      </c>
      <c r="H12" s="16">
        <v>120.0</v>
      </c>
      <c r="I12" s="17">
        <f t="array" ref="I12">INDEX('Parámetros'!$C$11:$C$19,MATCH(E12,'Parámetros'!$A$11:$A$19,0))</f>
        <v>20000</v>
      </c>
      <c r="J12" s="20">
        <f t="shared" si="1"/>
        <v>54.66666667</v>
      </c>
      <c r="K12" s="15" t="s">
        <v>103</v>
      </c>
      <c r="L12" s="16">
        <v>8.0</v>
      </c>
      <c r="M12" s="16">
        <v>24.0</v>
      </c>
      <c r="N12" s="16">
        <v>56.0</v>
      </c>
      <c r="O12" s="17">
        <f t="array" ref="O12">INDEX('Parámetros'!$C$11:$C$19,MATCH(K12,'Parámetros'!$A$11:$A$19,0))</f>
        <v>16000</v>
      </c>
      <c r="P12" s="20">
        <f t="shared" si="2"/>
        <v>26.66666667</v>
      </c>
      <c r="Q12" s="24">
        <v>0.0</v>
      </c>
      <c r="R12" s="24">
        <v>0.0</v>
      </c>
      <c r="S12" s="24">
        <v>0.0</v>
      </c>
      <c r="T12" s="17">
        <f t="shared" si="3"/>
        <v>0</v>
      </c>
      <c r="U12" s="17">
        <f t="shared" si="4"/>
        <v>448000</v>
      </c>
      <c r="V12" s="17">
        <f t="shared" si="5"/>
        <v>1344000</v>
      </c>
      <c r="W12" s="17">
        <f t="shared" si="6"/>
        <v>3296000</v>
      </c>
      <c r="X12" s="17">
        <f t="shared" si="7"/>
        <v>1520000</v>
      </c>
      <c r="Y12" s="17">
        <f t="shared" si="8"/>
        <v>1520000</v>
      </c>
      <c r="Z12" s="17">
        <f t="shared" si="9"/>
        <v>532000</v>
      </c>
      <c r="AA12" s="16">
        <v>2.0</v>
      </c>
      <c r="AB12" s="16">
        <v>5.0</v>
      </c>
      <c r="AC12" s="16">
        <v>14.0</v>
      </c>
      <c r="AD12" s="20">
        <f t="shared" si="10"/>
        <v>6</v>
      </c>
      <c r="AE12" s="10" t="s">
        <v>432</v>
      </c>
      <c r="AF12" s="10" t="s">
        <v>433</v>
      </c>
      <c r="AG12" s="10" t="s">
        <v>434</v>
      </c>
      <c r="AH12" s="10" t="s">
        <v>436</v>
      </c>
      <c r="AI12" s="10" t="s">
        <v>230</v>
      </c>
      <c r="AJ12" s="10" t="s">
        <v>231</v>
      </c>
      <c r="AK12" s="10" t="s">
        <v>440</v>
      </c>
    </row>
    <row r="13" ht="57.0" customHeight="1">
      <c r="A13" s="9" t="s">
        <v>267</v>
      </c>
      <c r="B13" s="26" t="str">
        <f t="array" ref="B13">INDEX('Registro original'!$B$6:$B$38,MATCH($A13,'Registro original'!$A$6:$A$38,0))</f>
        <v>El Servicio de Impuestos Internos no responde y deja pendiente un trámite tributario</v>
      </c>
      <c r="C13" s="33">
        <v>0.1</v>
      </c>
      <c r="D13" s="13">
        <v>6.0</v>
      </c>
      <c r="E13" s="15" t="s">
        <v>116</v>
      </c>
      <c r="F13" s="16">
        <v>1.0</v>
      </c>
      <c r="G13" s="16">
        <v>3.0</v>
      </c>
      <c r="H13" s="16">
        <v>8.0</v>
      </c>
      <c r="I13" s="30">
        <f t="array" ref="I13">INDEX('Parámetros'!$C$11:$C$19,MATCH(E13,'Parámetros'!$A$11:$A$19,0))</f>
        <v>24000</v>
      </c>
      <c r="J13" s="31">
        <f t="shared" si="1"/>
        <v>3.5</v>
      </c>
      <c r="K13" s="15" t="s">
        <v>97</v>
      </c>
      <c r="L13" s="16">
        <v>1.0</v>
      </c>
      <c r="M13" s="16">
        <v>2.0</v>
      </c>
      <c r="N13" s="16">
        <v>4.0</v>
      </c>
      <c r="O13" s="30">
        <f t="array" ref="O13">INDEX('Parámetros'!$C$11:$C$19,MATCH(K13,'Parámetros'!$A$11:$A$19,0))</f>
        <v>22000</v>
      </c>
      <c r="P13" s="31">
        <f t="shared" si="2"/>
        <v>2.166666667</v>
      </c>
      <c r="Q13" s="24">
        <v>0.0</v>
      </c>
      <c r="R13" s="24">
        <v>0.0</v>
      </c>
      <c r="S13" s="24">
        <v>0.0</v>
      </c>
      <c r="T13" s="30">
        <f t="shared" si="3"/>
        <v>0</v>
      </c>
      <c r="U13" s="30">
        <f t="shared" si="4"/>
        <v>46000</v>
      </c>
      <c r="V13" s="30">
        <f t="shared" si="5"/>
        <v>116000</v>
      </c>
      <c r="W13" s="30">
        <f t="shared" si="6"/>
        <v>280000</v>
      </c>
      <c r="X13" s="30">
        <f t="shared" si="7"/>
        <v>131666.6667</v>
      </c>
      <c r="Y13" s="30">
        <f t="shared" si="8"/>
        <v>790000</v>
      </c>
      <c r="Z13" s="30">
        <f t="shared" si="9"/>
        <v>79000</v>
      </c>
      <c r="AA13" s="16">
        <v>0.1</v>
      </c>
      <c r="AB13" s="16">
        <v>0.5</v>
      </c>
      <c r="AC13" s="16">
        <v>2.0</v>
      </c>
      <c r="AD13" s="31">
        <f t="shared" si="10"/>
        <v>0.6833333333</v>
      </c>
      <c r="AE13" s="26" t="s">
        <v>449</v>
      </c>
      <c r="AF13" s="26" t="s">
        <v>450</v>
      </c>
      <c r="AG13" s="26" t="s">
        <v>451</v>
      </c>
      <c r="AH13" s="26" t="s">
        <v>452</v>
      </c>
      <c r="AI13" s="26" t="s">
        <v>230</v>
      </c>
      <c r="AJ13" s="26" t="s">
        <v>231</v>
      </c>
      <c r="AK13" s="26" t="s">
        <v>453</v>
      </c>
    </row>
    <row r="14" ht="57.0" customHeight="1">
      <c r="A14" s="9" t="s">
        <v>270</v>
      </c>
      <c r="B14" s="10" t="str">
        <f t="array" ref="B14">INDEX('Registro original'!$B$6:$B$38,MATCH($A14,'Registro original'!$A$6:$A$38,0))</f>
        <v>POS deja un pago sin resultado externo comprobable</v>
      </c>
      <c r="C14" s="12">
        <v>0.45</v>
      </c>
      <c r="D14" s="13">
        <v>4.0</v>
      </c>
      <c r="E14" s="15" t="s">
        <v>97</v>
      </c>
      <c r="F14" s="16">
        <v>2.0</v>
      </c>
      <c r="G14" s="16">
        <v>4.0</v>
      </c>
      <c r="H14" s="16">
        <v>10.0</v>
      </c>
      <c r="I14" s="17">
        <f t="array" ref="I14">INDEX('Parámetros'!$C$11:$C$19,MATCH(E14,'Parámetros'!$A$11:$A$19,0))</f>
        <v>22000</v>
      </c>
      <c r="J14" s="20">
        <f t="shared" si="1"/>
        <v>4.666666667</v>
      </c>
      <c r="K14" s="15" t="s">
        <v>103</v>
      </c>
      <c r="L14" s="16">
        <v>1.0</v>
      </c>
      <c r="M14" s="16">
        <v>2.0</v>
      </c>
      <c r="N14" s="16">
        <v>4.0</v>
      </c>
      <c r="O14" s="17">
        <f t="array" ref="O14">INDEX('Parámetros'!$C$11:$C$19,MATCH(K14,'Parámetros'!$A$11:$A$19,0))</f>
        <v>16000</v>
      </c>
      <c r="P14" s="20">
        <f t="shared" si="2"/>
        <v>2.166666667</v>
      </c>
      <c r="Q14" s="24">
        <v>0.0</v>
      </c>
      <c r="R14" s="24">
        <v>0.0</v>
      </c>
      <c r="S14" s="24">
        <v>0.0</v>
      </c>
      <c r="T14" s="17">
        <f t="shared" si="3"/>
        <v>0</v>
      </c>
      <c r="U14" s="17">
        <f t="shared" si="4"/>
        <v>60000</v>
      </c>
      <c r="V14" s="17">
        <f t="shared" si="5"/>
        <v>120000</v>
      </c>
      <c r="W14" s="17">
        <f t="shared" si="6"/>
        <v>284000</v>
      </c>
      <c r="X14" s="17">
        <f t="shared" si="7"/>
        <v>137333.3333</v>
      </c>
      <c r="Y14" s="17">
        <f t="shared" si="8"/>
        <v>549333.3333</v>
      </c>
      <c r="Z14" s="17">
        <f t="shared" si="9"/>
        <v>247200</v>
      </c>
      <c r="AA14" s="16">
        <v>0.1</v>
      </c>
      <c r="AB14" s="16">
        <v>1.0</v>
      </c>
      <c r="AC14" s="16">
        <v>3.0</v>
      </c>
      <c r="AD14" s="20">
        <f t="shared" si="10"/>
        <v>1.183333333</v>
      </c>
      <c r="AE14" s="10" t="s">
        <v>463</v>
      </c>
      <c r="AF14" s="10" t="s">
        <v>464</v>
      </c>
      <c r="AG14" s="10" t="s">
        <v>465</v>
      </c>
      <c r="AH14" s="10" t="s">
        <v>466</v>
      </c>
      <c r="AI14" s="10" t="s">
        <v>230</v>
      </c>
      <c r="AJ14" s="10" t="s">
        <v>231</v>
      </c>
      <c r="AK14" s="10" t="s">
        <v>467</v>
      </c>
    </row>
    <row r="15" ht="57.0" customHeight="1">
      <c r="A15" s="9" t="s">
        <v>275</v>
      </c>
      <c r="B15" s="26" t="str">
        <f t="array" ref="B15">INDEX('Registro original'!$B$6:$B$38,MATCH($A15,'Registro original'!$A$6:$A$38,0))</f>
        <v>La caída del servicio externo de mapas impide consultar ubicaciones y completar la planificación de rutas</v>
      </c>
      <c r="C15" s="33">
        <v>0.05</v>
      </c>
      <c r="D15" s="13">
        <v>3.0</v>
      </c>
      <c r="E15" s="15" t="s">
        <v>116</v>
      </c>
      <c r="F15" s="16">
        <v>1.0</v>
      </c>
      <c r="G15" s="16">
        <v>3.0</v>
      </c>
      <c r="H15" s="16">
        <v>8.0</v>
      </c>
      <c r="I15" s="30">
        <f t="array" ref="I15">INDEX('Parámetros'!$C$11:$C$19,MATCH(E15,'Parámetros'!$A$11:$A$19,0))</f>
        <v>24000</v>
      </c>
      <c r="J15" s="31">
        <f t="shared" si="1"/>
        <v>3.5</v>
      </c>
      <c r="K15" s="15" t="s">
        <v>97</v>
      </c>
      <c r="L15" s="16">
        <v>1.0</v>
      </c>
      <c r="M15" s="16">
        <v>2.0</v>
      </c>
      <c r="N15" s="16">
        <v>4.0</v>
      </c>
      <c r="O15" s="30">
        <f t="array" ref="O15">INDEX('Parámetros'!$C$11:$C$19,MATCH(K15,'Parámetros'!$A$11:$A$19,0))</f>
        <v>22000</v>
      </c>
      <c r="P15" s="31">
        <f t="shared" si="2"/>
        <v>2.166666667</v>
      </c>
      <c r="Q15" s="24">
        <v>0.0</v>
      </c>
      <c r="R15" s="24">
        <v>0.0</v>
      </c>
      <c r="S15" s="24">
        <v>0.0</v>
      </c>
      <c r="T15" s="30">
        <f t="shared" si="3"/>
        <v>0</v>
      </c>
      <c r="U15" s="30">
        <f t="shared" si="4"/>
        <v>46000</v>
      </c>
      <c r="V15" s="30">
        <f t="shared" si="5"/>
        <v>116000</v>
      </c>
      <c r="W15" s="30">
        <f t="shared" si="6"/>
        <v>280000</v>
      </c>
      <c r="X15" s="30">
        <f t="shared" si="7"/>
        <v>131666.6667</v>
      </c>
      <c r="Y15" s="30">
        <f t="shared" si="8"/>
        <v>395000</v>
      </c>
      <c r="Z15" s="30">
        <f t="shared" si="9"/>
        <v>19750</v>
      </c>
      <c r="AA15" s="16">
        <v>0.1</v>
      </c>
      <c r="AB15" s="16">
        <v>0.5</v>
      </c>
      <c r="AC15" s="16">
        <v>2.0</v>
      </c>
      <c r="AD15" s="31">
        <f t="shared" si="10"/>
        <v>0.6833333333</v>
      </c>
      <c r="AE15" s="26" t="s">
        <v>483</v>
      </c>
      <c r="AF15" s="26" t="s">
        <v>485</v>
      </c>
      <c r="AG15" s="26" t="s">
        <v>487</v>
      </c>
      <c r="AH15" s="26" t="s">
        <v>489</v>
      </c>
      <c r="AI15" s="26" t="s">
        <v>230</v>
      </c>
      <c r="AJ15" s="26" t="s">
        <v>231</v>
      </c>
      <c r="AK15" s="26" t="s">
        <v>491</v>
      </c>
    </row>
    <row r="16" ht="54.0" customHeight="1">
      <c r="A16" s="9" t="s">
        <v>283</v>
      </c>
      <c r="B16" s="10" t="str">
        <f t="array" ref="B16">INDEX('Registro original'!$B$6:$B$38,MATCH($A16,'Registro original'!$A$6:$A$38,0))</f>
        <v>Calidad no entrega la matriz térmica aprobada antes de certificar</v>
      </c>
      <c r="C16" s="33">
        <v>0.35</v>
      </c>
      <c r="D16" s="13">
        <v>1.0</v>
      </c>
      <c r="E16" s="15" t="s">
        <v>109</v>
      </c>
      <c r="F16" s="16">
        <v>16.0</v>
      </c>
      <c r="G16" s="16">
        <v>40.0</v>
      </c>
      <c r="H16" s="16">
        <v>80.0</v>
      </c>
      <c r="I16" s="17">
        <f t="array" ref="I16">INDEX('Parámetros'!$C$11:$C$19,MATCH(E16,'Parámetros'!$A$11:$A$19,0))</f>
        <v>18000</v>
      </c>
      <c r="J16" s="20">
        <f t="shared" si="1"/>
        <v>42.66666667</v>
      </c>
      <c r="K16" s="15" t="s">
        <v>103</v>
      </c>
      <c r="L16" s="16">
        <v>16.0</v>
      </c>
      <c r="M16" s="16">
        <v>32.0</v>
      </c>
      <c r="N16" s="16">
        <v>64.0</v>
      </c>
      <c r="O16" s="17">
        <f t="array" ref="O16">INDEX('Parámetros'!$C$11:$C$19,MATCH(K16,'Parámetros'!$A$11:$A$19,0))</f>
        <v>16000</v>
      </c>
      <c r="P16" s="20">
        <f t="shared" si="2"/>
        <v>34.66666667</v>
      </c>
      <c r="Q16" s="24">
        <v>0.0</v>
      </c>
      <c r="R16" s="24">
        <v>0.0</v>
      </c>
      <c r="S16" s="24">
        <v>0.0</v>
      </c>
      <c r="T16" s="17">
        <f t="shared" si="3"/>
        <v>0</v>
      </c>
      <c r="U16" s="17">
        <f t="shared" si="4"/>
        <v>544000</v>
      </c>
      <c r="V16" s="17">
        <f t="shared" si="5"/>
        <v>1232000</v>
      </c>
      <c r="W16" s="17">
        <f t="shared" si="6"/>
        <v>2464000</v>
      </c>
      <c r="X16" s="17">
        <f t="shared" si="7"/>
        <v>1322666.667</v>
      </c>
      <c r="Y16" s="17">
        <f t="shared" si="8"/>
        <v>1322666.667</v>
      </c>
      <c r="Z16" s="17">
        <f t="shared" si="9"/>
        <v>462933.3333</v>
      </c>
      <c r="AA16" s="16">
        <v>3.0</v>
      </c>
      <c r="AB16" s="16">
        <v>10.0</v>
      </c>
      <c r="AC16" s="16">
        <v>28.0</v>
      </c>
      <c r="AD16" s="20">
        <f t="shared" si="10"/>
        <v>11.83333333</v>
      </c>
      <c r="AE16" s="10" t="s">
        <v>521</v>
      </c>
      <c r="AF16" s="10" t="s">
        <v>523</v>
      </c>
      <c r="AG16" s="10" t="s">
        <v>524</v>
      </c>
      <c r="AH16" s="10" t="s">
        <v>525</v>
      </c>
      <c r="AI16" s="10" t="s">
        <v>230</v>
      </c>
      <c r="AJ16" s="10" t="s">
        <v>231</v>
      </c>
      <c r="AK16" s="10" t="s">
        <v>529</v>
      </c>
    </row>
    <row r="17" ht="54.0" customHeight="1">
      <c r="A17" s="9" t="s">
        <v>289</v>
      </c>
      <c r="B17" s="26" t="str">
        <f t="array" ref="B17">INDEX('Registro original'!$B$6:$B$38,MATCH($A17,'Registro original'!$A$6:$A$38,0))</f>
        <v>Equipos que compra el cliente no llegan antes de la ola prevista</v>
      </c>
      <c r="C17" s="33">
        <v>0.3</v>
      </c>
      <c r="D17" s="13">
        <v>1.0</v>
      </c>
      <c r="E17" s="15" t="s">
        <v>113</v>
      </c>
      <c r="F17" s="16">
        <v>16.0</v>
      </c>
      <c r="G17" s="16">
        <v>40.0</v>
      </c>
      <c r="H17" s="16">
        <v>80.0</v>
      </c>
      <c r="I17" s="30">
        <f t="array" ref="I17">INDEX('Parámetros'!$C$11:$C$19,MATCH(E17,'Parámetros'!$A$11:$A$19,0))</f>
        <v>18000</v>
      </c>
      <c r="J17" s="31">
        <f t="shared" si="1"/>
        <v>42.66666667</v>
      </c>
      <c r="K17" s="15" t="s">
        <v>103</v>
      </c>
      <c r="L17" s="16">
        <v>8.0</v>
      </c>
      <c r="M17" s="16">
        <v>24.0</v>
      </c>
      <c r="N17" s="16">
        <v>48.0</v>
      </c>
      <c r="O17" s="30">
        <f t="array" ref="O17">INDEX('Parámetros'!$C$11:$C$19,MATCH(K17,'Parámetros'!$A$11:$A$19,0))</f>
        <v>16000</v>
      </c>
      <c r="P17" s="31">
        <f t="shared" si="2"/>
        <v>25.33333333</v>
      </c>
      <c r="Q17" s="24">
        <v>0.0</v>
      </c>
      <c r="R17" s="24">
        <v>0.0</v>
      </c>
      <c r="S17" s="24">
        <v>0.0</v>
      </c>
      <c r="T17" s="30">
        <f t="shared" si="3"/>
        <v>0</v>
      </c>
      <c r="U17" s="30">
        <f t="shared" si="4"/>
        <v>416000</v>
      </c>
      <c r="V17" s="30">
        <f t="shared" si="5"/>
        <v>1104000</v>
      </c>
      <c r="W17" s="30">
        <f t="shared" si="6"/>
        <v>2208000</v>
      </c>
      <c r="X17" s="30">
        <f t="shared" si="7"/>
        <v>1173333.333</v>
      </c>
      <c r="Y17" s="30">
        <f t="shared" si="8"/>
        <v>1173333.333</v>
      </c>
      <c r="Z17" s="30">
        <f t="shared" si="9"/>
        <v>352000</v>
      </c>
      <c r="AA17" s="16">
        <v>3.0</v>
      </c>
      <c r="AB17" s="16">
        <v>14.0</v>
      </c>
      <c r="AC17" s="16">
        <v>35.0</v>
      </c>
      <c r="AD17" s="31">
        <f t="shared" si="10"/>
        <v>15.66666667</v>
      </c>
      <c r="AE17" s="26" t="s">
        <v>565</v>
      </c>
      <c r="AF17" s="26" t="s">
        <v>567</v>
      </c>
      <c r="AG17" s="26" t="s">
        <v>569</v>
      </c>
      <c r="AH17" s="26" t="s">
        <v>571</v>
      </c>
      <c r="AI17" s="26" t="s">
        <v>230</v>
      </c>
      <c r="AJ17" s="26" t="s">
        <v>231</v>
      </c>
      <c r="AK17" s="26" t="s">
        <v>574</v>
      </c>
    </row>
    <row r="18" ht="54.0" customHeight="1">
      <c r="A18" s="9" t="s">
        <v>295</v>
      </c>
      <c r="B18" s="10" t="str">
        <f t="array" ref="B18">INDEX('Registro original'!$B$6:$B$38,MATCH($A18,'Registro original'!$A$6:$A$38,0))</f>
        <v>Un transportista no firma a tiempo el acuerdo necesario para incorporarlo al reparto</v>
      </c>
      <c r="C18" s="12">
        <v>0.35</v>
      </c>
      <c r="D18" s="13">
        <v>1.0</v>
      </c>
      <c r="E18" s="15" t="s">
        <v>113</v>
      </c>
      <c r="F18" s="16">
        <v>12.0</v>
      </c>
      <c r="G18" s="16">
        <v>24.0</v>
      </c>
      <c r="H18" s="16">
        <v>48.0</v>
      </c>
      <c r="I18" s="17">
        <f t="array" ref="I18">INDEX('Parámetros'!$C$11:$C$19,MATCH(E18,'Parámetros'!$A$11:$A$19,0))</f>
        <v>18000</v>
      </c>
      <c r="J18" s="20">
        <f t="shared" si="1"/>
        <v>26</v>
      </c>
      <c r="K18" s="15" t="s">
        <v>109</v>
      </c>
      <c r="L18" s="16">
        <v>8.0</v>
      </c>
      <c r="M18" s="16">
        <v>16.0</v>
      </c>
      <c r="N18" s="16">
        <v>32.0</v>
      </c>
      <c r="O18" s="17">
        <f t="array" ref="O18">INDEX('Parámetros'!$C$11:$C$19,MATCH(K18,'Parámetros'!$A$11:$A$19,0))</f>
        <v>18000</v>
      </c>
      <c r="P18" s="20">
        <f t="shared" si="2"/>
        <v>17.33333333</v>
      </c>
      <c r="Q18" s="24">
        <v>0.0</v>
      </c>
      <c r="R18" s="24">
        <v>0.0</v>
      </c>
      <c r="S18" s="24">
        <v>0.0</v>
      </c>
      <c r="T18" s="17">
        <f t="shared" si="3"/>
        <v>0</v>
      </c>
      <c r="U18" s="17">
        <f t="shared" si="4"/>
        <v>360000</v>
      </c>
      <c r="V18" s="17">
        <f t="shared" si="5"/>
        <v>720000</v>
      </c>
      <c r="W18" s="17">
        <f t="shared" si="6"/>
        <v>1440000</v>
      </c>
      <c r="X18" s="17">
        <f t="shared" si="7"/>
        <v>780000</v>
      </c>
      <c r="Y18" s="17">
        <f t="shared" si="8"/>
        <v>780000</v>
      </c>
      <c r="Z18" s="17">
        <f t="shared" si="9"/>
        <v>273000</v>
      </c>
      <c r="AA18" s="16">
        <v>3.0</v>
      </c>
      <c r="AB18" s="16">
        <v>7.0</v>
      </c>
      <c r="AC18" s="16">
        <v>21.0</v>
      </c>
      <c r="AD18" s="20">
        <f t="shared" si="10"/>
        <v>8.666666667</v>
      </c>
      <c r="AE18" s="10" t="s">
        <v>608</v>
      </c>
      <c r="AF18" s="10" t="s">
        <v>609</v>
      </c>
      <c r="AG18" s="10" t="s">
        <v>610</v>
      </c>
      <c r="AH18" s="10" t="s">
        <v>611</v>
      </c>
      <c r="AI18" s="10" t="s">
        <v>230</v>
      </c>
      <c r="AJ18" s="10" t="s">
        <v>231</v>
      </c>
      <c r="AK18" s="10" t="s">
        <v>614</v>
      </c>
    </row>
    <row r="19" ht="57.0" customHeight="1">
      <c r="A19" s="9" t="s">
        <v>301</v>
      </c>
      <c r="B19" s="26" t="str">
        <f t="array" ref="B19">INDEX('Registro original'!$B$6:$B$38,MATCH($A19,'Registro original'!$A$6:$A$38,0))</f>
        <v>Un transportista no permite instalar el equipo que registra la temperatura de su camión</v>
      </c>
      <c r="C19" s="33">
        <v>0.25</v>
      </c>
      <c r="D19" s="13">
        <v>1.0</v>
      </c>
      <c r="E19" s="15" t="s">
        <v>113</v>
      </c>
      <c r="F19" s="16">
        <v>12.0</v>
      </c>
      <c r="G19" s="16">
        <v>32.0</v>
      </c>
      <c r="H19" s="16">
        <v>64.0</v>
      </c>
      <c r="I19" s="30">
        <f t="array" ref="I19">INDEX('Parámetros'!$C$11:$C$19,MATCH(E19,'Parámetros'!$A$11:$A$19,0))</f>
        <v>18000</v>
      </c>
      <c r="J19" s="31">
        <f t="shared" si="1"/>
        <v>34</v>
      </c>
      <c r="K19" s="15" t="s">
        <v>97</v>
      </c>
      <c r="L19" s="16">
        <v>8.0</v>
      </c>
      <c r="M19" s="16">
        <v>24.0</v>
      </c>
      <c r="N19" s="16">
        <v>48.0</v>
      </c>
      <c r="O19" s="30">
        <f t="array" ref="O19">INDEX('Parámetros'!$C$11:$C$19,MATCH(K19,'Parámetros'!$A$11:$A$19,0))</f>
        <v>22000</v>
      </c>
      <c r="P19" s="31">
        <f t="shared" si="2"/>
        <v>25.33333333</v>
      </c>
      <c r="Q19" s="24">
        <v>0.0</v>
      </c>
      <c r="R19" s="24">
        <v>0.0</v>
      </c>
      <c r="S19" s="24">
        <v>0.0</v>
      </c>
      <c r="T19" s="30">
        <f t="shared" si="3"/>
        <v>0</v>
      </c>
      <c r="U19" s="30">
        <f t="shared" si="4"/>
        <v>392000</v>
      </c>
      <c r="V19" s="30">
        <f t="shared" si="5"/>
        <v>1104000</v>
      </c>
      <c r="W19" s="30">
        <f t="shared" si="6"/>
        <v>2208000</v>
      </c>
      <c r="X19" s="30">
        <f t="shared" si="7"/>
        <v>1169333.333</v>
      </c>
      <c r="Y19" s="30">
        <f t="shared" si="8"/>
        <v>1169333.333</v>
      </c>
      <c r="Z19" s="30">
        <f t="shared" si="9"/>
        <v>292333.3333</v>
      </c>
      <c r="AA19" s="16">
        <v>3.0</v>
      </c>
      <c r="AB19" s="16">
        <v>10.0</v>
      </c>
      <c r="AC19" s="16">
        <v>28.0</v>
      </c>
      <c r="AD19" s="31">
        <f t="shared" si="10"/>
        <v>11.83333333</v>
      </c>
      <c r="AE19" s="26" t="s">
        <v>630</v>
      </c>
      <c r="AF19" s="26" t="s">
        <v>631</v>
      </c>
      <c r="AG19" s="26" t="s">
        <v>632</v>
      </c>
      <c r="AH19" s="26" t="s">
        <v>633</v>
      </c>
      <c r="AI19" s="26" t="s">
        <v>230</v>
      </c>
      <c r="AJ19" s="26" t="s">
        <v>231</v>
      </c>
      <c r="AK19" s="26" t="s">
        <v>634</v>
      </c>
    </row>
    <row r="20" ht="54.0" customHeight="1">
      <c r="A20" s="9" t="s">
        <v>304</v>
      </c>
      <c r="B20" s="10" t="str">
        <f t="array" ref="B20">INDEX('Registro original'!$B$6:$B$38,MATCH($A20,'Registro original'!$A$6:$A$38,0))</f>
        <v>Usuarios mantienen el proceso anterior en lugar de registrar en la solución</v>
      </c>
      <c r="C20" s="12">
        <v>0.55</v>
      </c>
      <c r="D20" s="13">
        <v>1.0</v>
      </c>
      <c r="E20" s="15" t="s">
        <v>113</v>
      </c>
      <c r="F20" s="16">
        <v>32.0</v>
      </c>
      <c r="G20" s="16">
        <v>80.0</v>
      </c>
      <c r="H20" s="16">
        <v>160.0</v>
      </c>
      <c r="I20" s="17">
        <f t="array" ref="I20">INDEX('Parámetros'!$C$11:$C$19,MATCH(E20,'Parámetros'!$A$11:$A$19,0))</f>
        <v>18000</v>
      </c>
      <c r="J20" s="20">
        <f t="shared" si="1"/>
        <v>85.33333333</v>
      </c>
      <c r="K20" s="15" t="s">
        <v>109</v>
      </c>
      <c r="L20" s="16">
        <v>16.0</v>
      </c>
      <c r="M20" s="16">
        <v>40.0</v>
      </c>
      <c r="N20" s="16">
        <v>80.0</v>
      </c>
      <c r="O20" s="17">
        <f t="array" ref="O20">INDEX('Parámetros'!$C$11:$C$19,MATCH(K20,'Parámetros'!$A$11:$A$19,0))</f>
        <v>18000</v>
      </c>
      <c r="P20" s="20">
        <f t="shared" si="2"/>
        <v>42.66666667</v>
      </c>
      <c r="Q20" s="24">
        <v>0.0</v>
      </c>
      <c r="R20" s="24">
        <v>0.0</v>
      </c>
      <c r="S20" s="24">
        <v>0.0</v>
      </c>
      <c r="T20" s="17">
        <f t="shared" si="3"/>
        <v>0</v>
      </c>
      <c r="U20" s="17">
        <f t="shared" si="4"/>
        <v>864000</v>
      </c>
      <c r="V20" s="17">
        <f t="shared" si="5"/>
        <v>2160000</v>
      </c>
      <c r="W20" s="17">
        <f t="shared" si="6"/>
        <v>4320000</v>
      </c>
      <c r="X20" s="17">
        <f t="shared" si="7"/>
        <v>2304000</v>
      </c>
      <c r="Y20" s="17">
        <f t="shared" si="8"/>
        <v>2304000</v>
      </c>
      <c r="Z20" s="17">
        <f t="shared" si="9"/>
        <v>1267200</v>
      </c>
      <c r="AA20" s="16">
        <v>3.0</v>
      </c>
      <c r="AB20" s="16">
        <v>10.0</v>
      </c>
      <c r="AC20" s="16">
        <v>28.0</v>
      </c>
      <c r="AD20" s="20">
        <f t="shared" si="10"/>
        <v>11.83333333</v>
      </c>
      <c r="AE20" s="10" t="s">
        <v>643</v>
      </c>
      <c r="AF20" s="10" t="s">
        <v>644</v>
      </c>
      <c r="AG20" s="10" t="s">
        <v>645</v>
      </c>
      <c r="AH20" s="10" t="s">
        <v>646</v>
      </c>
      <c r="AI20" s="10" t="s">
        <v>230</v>
      </c>
      <c r="AJ20" s="10" t="s">
        <v>231</v>
      </c>
      <c r="AK20" s="10" t="s">
        <v>647</v>
      </c>
    </row>
    <row r="21" ht="54.0" customHeight="1">
      <c r="A21" s="9" t="s">
        <v>309</v>
      </c>
      <c r="B21" s="26" t="str">
        <f t="array" ref="B21">INDEX('Registro original'!$B$6:$B$38,MATCH($A21,'Registro original'!$A$6:$A$38,0))</f>
        <v>Planificador deja de estar disponible antes de validar sus excepciones</v>
      </c>
      <c r="C21" s="33">
        <v>0.2</v>
      </c>
      <c r="D21" s="13">
        <v>1.0</v>
      </c>
      <c r="E21" s="15" t="s">
        <v>109</v>
      </c>
      <c r="F21" s="16">
        <v>24.0</v>
      </c>
      <c r="G21" s="16">
        <v>64.0</v>
      </c>
      <c r="H21" s="16">
        <v>128.0</v>
      </c>
      <c r="I21" s="30">
        <f t="array" ref="I21">INDEX('Parámetros'!$C$11:$C$19,MATCH(E21,'Parámetros'!$A$11:$A$19,0))</f>
        <v>18000</v>
      </c>
      <c r="J21" s="31">
        <f t="shared" si="1"/>
        <v>68</v>
      </c>
      <c r="K21" s="15" t="s">
        <v>103</v>
      </c>
      <c r="L21" s="16">
        <v>16.0</v>
      </c>
      <c r="M21" s="16">
        <v>32.0</v>
      </c>
      <c r="N21" s="16">
        <v>64.0</v>
      </c>
      <c r="O21" s="30">
        <f t="array" ref="O21">INDEX('Parámetros'!$C$11:$C$19,MATCH(K21,'Parámetros'!$A$11:$A$19,0))</f>
        <v>16000</v>
      </c>
      <c r="P21" s="31">
        <f t="shared" si="2"/>
        <v>34.66666667</v>
      </c>
      <c r="Q21" s="24">
        <v>0.0</v>
      </c>
      <c r="R21" s="24">
        <v>0.0</v>
      </c>
      <c r="S21" s="24">
        <v>0.0</v>
      </c>
      <c r="T21" s="30">
        <f t="shared" si="3"/>
        <v>0</v>
      </c>
      <c r="U21" s="30">
        <f t="shared" si="4"/>
        <v>688000</v>
      </c>
      <c r="V21" s="30">
        <f t="shared" si="5"/>
        <v>1664000</v>
      </c>
      <c r="W21" s="30">
        <f t="shared" si="6"/>
        <v>3328000</v>
      </c>
      <c r="X21" s="30">
        <f t="shared" si="7"/>
        <v>1778666.667</v>
      </c>
      <c r="Y21" s="30">
        <f t="shared" si="8"/>
        <v>1778666.667</v>
      </c>
      <c r="Z21" s="30">
        <f t="shared" si="9"/>
        <v>355733.3333</v>
      </c>
      <c r="AA21" s="16">
        <v>3.0</v>
      </c>
      <c r="AB21" s="16">
        <v>10.0</v>
      </c>
      <c r="AC21" s="16">
        <v>28.0</v>
      </c>
      <c r="AD21" s="31">
        <f t="shared" si="10"/>
        <v>11.83333333</v>
      </c>
      <c r="AE21" s="26" t="s">
        <v>656</v>
      </c>
      <c r="AF21" s="26" t="s">
        <v>657</v>
      </c>
      <c r="AG21" s="26" t="s">
        <v>658</v>
      </c>
      <c r="AH21" s="26" t="s">
        <v>659</v>
      </c>
      <c r="AI21" s="26" t="s">
        <v>230</v>
      </c>
      <c r="AJ21" s="26" t="s">
        <v>231</v>
      </c>
      <c r="AK21" s="26" t="s">
        <v>661</v>
      </c>
    </row>
    <row r="22" ht="54.0" customHeight="1">
      <c r="A22" s="9" t="s">
        <v>312</v>
      </c>
      <c r="B22" s="10" t="str">
        <f t="array" ref="B22">INDEX('Registro original'!$B$6:$B$38,MATCH($A22,'Registro original'!$A$6:$A$38,0))</f>
        <v>Los usuarios no pueden asistir a la capacitación prevista antes de cerrar una ola</v>
      </c>
      <c r="C22" s="33">
        <v>0.3</v>
      </c>
      <c r="D22" s="13">
        <v>1.0</v>
      </c>
      <c r="E22" s="15" t="s">
        <v>113</v>
      </c>
      <c r="F22" s="16">
        <v>24.0</v>
      </c>
      <c r="G22" s="16">
        <v>56.0</v>
      </c>
      <c r="H22" s="16">
        <v>112.0</v>
      </c>
      <c r="I22" s="17">
        <f t="array" ref="I22">INDEX('Parámetros'!$C$11:$C$19,MATCH(E22,'Parámetros'!$A$11:$A$19,0))</f>
        <v>18000</v>
      </c>
      <c r="J22" s="20">
        <f t="shared" si="1"/>
        <v>60</v>
      </c>
      <c r="K22" s="15" t="s">
        <v>109</v>
      </c>
      <c r="L22" s="16">
        <v>8.0</v>
      </c>
      <c r="M22" s="16">
        <v>24.0</v>
      </c>
      <c r="N22" s="16">
        <v>48.0</v>
      </c>
      <c r="O22" s="17">
        <f t="array" ref="O22">INDEX('Parámetros'!$C$11:$C$19,MATCH(K22,'Parámetros'!$A$11:$A$19,0))</f>
        <v>18000</v>
      </c>
      <c r="P22" s="20">
        <f t="shared" si="2"/>
        <v>25.33333333</v>
      </c>
      <c r="Q22" s="24">
        <v>0.0</v>
      </c>
      <c r="R22" s="24">
        <v>0.0</v>
      </c>
      <c r="S22" s="24">
        <v>0.0</v>
      </c>
      <c r="T22" s="17">
        <f t="shared" si="3"/>
        <v>0</v>
      </c>
      <c r="U22" s="17">
        <f t="shared" si="4"/>
        <v>576000</v>
      </c>
      <c r="V22" s="17">
        <f t="shared" si="5"/>
        <v>1440000</v>
      </c>
      <c r="W22" s="17">
        <f t="shared" si="6"/>
        <v>2880000</v>
      </c>
      <c r="X22" s="17">
        <f t="shared" si="7"/>
        <v>1536000</v>
      </c>
      <c r="Y22" s="17">
        <f t="shared" si="8"/>
        <v>1536000</v>
      </c>
      <c r="Z22" s="17">
        <f t="shared" si="9"/>
        <v>460800</v>
      </c>
      <c r="AA22" s="16">
        <v>2.0</v>
      </c>
      <c r="AB22" s="16">
        <v>7.0</v>
      </c>
      <c r="AC22" s="16">
        <v>21.0</v>
      </c>
      <c r="AD22" s="20">
        <f t="shared" si="10"/>
        <v>8.5</v>
      </c>
      <c r="AE22" s="10" t="s">
        <v>670</v>
      </c>
      <c r="AF22" s="10" t="s">
        <v>671</v>
      </c>
      <c r="AG22" s="10" t="s">
        <v>672</v>
      </c>
      <c r="AH22" s="10" t="s">
        <v>673</v>
      </c>
      <c r="AI22" s="10" t="s">
        <v>230</v>
      </c>
      <c r="AJ22" s="10" t="s">
        <v>231</v>
      </c>
      <c r="AK22" s="10" t="s">
        <v>674</v>
      </c>
    </row>
    <row r="23" ht="57.0" customHeight="1">
      <c r="A23" s="9" t="s">
        <v>315</v>
      </c>
      <c r="B23" s="26" t="str">
        <f t="array" ref="B23">INDEX('Registro original'!$B$6:$B$38,MATCH($A23,'Registro original'!$A$6:$A$38,0))</f>
        <v>Contraparte no entrega una validación necesaria en la fecha prevista</v>
      </c>
      <c r="C23" s="33">
        <v>0.45</v>
      </c>
      <c r="D23" s="13">
        <v>1.0</v>
      </c>
      <c r="E23" s="15" t="s">
        <v>126</v>
      </c>
      <c r="F23" s="16">
        <v>16.0</v>
      </c>
      <c r="G23" s="16">
        <v>40.0</v>
      </c>
      <c r="H23" s="16">
        <v>80.0</v>
      </c>
      <c r="I23" s="30">
        <f t="array" ref="I23">INDEX('Parámetros'!$C$11:$C$19,MATCH(E23,'Parámetros'!$A$11:$A$19,0))</f>
        <v>26000</v>
      </c>
      <c r="J23" s="31">
        <f t="shared" si="1"/>
        <v>42.66666667</v>
      </c>
      <c r="K23" s="15" t="s">
        <v>109</v>
      </c>
      <c r="L23" s="16">
        <v>16.0</v>
      </c>
      <c r="M23" s="16">
        <v>40.0</v>
      </c>
      <c r="N23" s="16">
        <v>80.0</v>
      </c>
      <c r="O23" s="30">
        <f t="array" ref="O23">INDEX('Parámetros'!$C$11:$C$19,MATCH(K23,'Parámetros'!$A$11:$A$19,0))</f>
        <v>18000</v>
      </c>
      <c r="P23" s="31">
        <f t="shared" si="2"/>
        <v>42.66666667</v>
      </c>
      <c r="Q23" s="24">
        <v>0.0</v>
      </c>
      <c r="R23" s="24">
        <v>0.0</v>
      </c>
      <c r="S23" s="24">
        <v>0.0</v>
      </c>
      <c r="T23" s="30">
        <f t="shared" si="3"/>
        <v>0</v>
      </c>
      <c r="U23" s="30">
        <f t="shared" si="4"/>
        <v>704000</v>
      </c>
      <c r="V23" s="30">
        <f t="shared" si="5"/>
        <v>1760000</v>
      </c>
      <c r="W23" s="30">
        <f t="shared" si="6"/>
        <v>3520000</v>
      </c>
      <c r="X23" s="30">
        <f t="shared" si="7"/>
        <v>1877333.333</v>
      </c>
      <c r="Y23" s="30">
        <f t="shared" si="8"/>
        <v>1877333.333</v>
      </c>
      <c r="Z23" s="30">
        <f t="shared" si="9"/>
        <v>844800</v>
      </c>
      <c r="AA23" s="16">
        <v>3.0</v>
      </c>
      <c r="AB23" s="16">
        <v>14.0</v>
      </c>
      <c r="AC23" s="16">
        <v>35.0</v>
      </c>
      <c r="AD23" s="31">
        <f t="shared" si="10"/>
        <v>15.66666667</v>
      </c>
      <c r="AE23" s="26" t="s">
        <v>677</v>
      </c>
      <c r="AF23" s="26" t="s">
        <v>678</v>
      </c>
      <c r="AG23" s="26" t="s">
        <v>679</v>
      </c>
      <c r="AH23" s="26" t="s">
        <v>681</v>
      </c>
      <c r="AI23" s="26" t="s">
        <v>683</v>
      </c>
      <c r="AJ23" s="26" t="s">
        <v>231</v>
      </c>
      <c r="AK23" s="26" t="s">
        <v>685</v>
      </c>
    </row>
    <row r="24" ht="54.0" customHeight="1">
      <c r="A24" s="9" t="s">
        <v>319</v>
      </c>
      <c r="B24" s="10" t="str">
        <f t="array" ref="B24">INDEX('Registro original'!$B$6:$B$38,MATCH($A24,'Registro original'!$A$6:$A$38,0))</f>
        <v>Proveedor de conectividad interrumpe el enlace de un sitio operado</v>
      </c>
      <c r="C24" s="33">
        <v>0.05</v>
      </c>
      <c r="D24" s="13">
        <v>8.0</v>
      </c>
      <c r="E24" s="15" t="s">
        <v>116</v>
      </c>
      <c r="F24" s="16">
        <v>2.0</v>
      </c>
      <c r="G24" s="16">
        <v>4.0</v>
      </c>
      <c r="H24" s="16">
        <v>12.0</v>
      </c>
      <c r="I24" s="17">
        <f t="array" ref="I24">INDEX('Parámetros'!$C$11:$C$19,MATCH(E24,'Parámetros'!$A$11:$A$19,0))</f>
        <v>24000</v>
      </c>
      <c r="J24" s="20">
        <f t="shared" si="1"/>
        <v>5</v>
      </c>
      <c r="K24" s="15" t="s">
        <v>97</v>
      </c>
      <c r="L24" s="16">
        <v>1.0</v>
      </c>
      <c r="M24" s="16">
        <v>2.0</v>
      </c>
      <c r="N24" s="16">
        <v>6.0</v>
      </c>
      <c r="O24" s="17">
        <f t="array" ref="O24">INDEX('Parámetros'!$C$11:$C$19,MATCH(K24,'Parámetros'!$A$11:$A$19,0))</f>
        <v>22000</v>
      </c>
      <c r="P24" s="20">
        <f t="shared" si="2"/>
        <v>2.5</v>
      </c>
      <c r="Q24" s="24">
        <v>0.0</v>
      </c>
      <c r="R24" s="24">
        <v>0.0</v>
      </c>
      <c r="S24" s="24">
        <v>0.0</v>
      </c>
      <c r="T24" s="17">
        <f t="shared" si="3"/>
        <v>0</v>
      </c>
      <c r="U24" s="17">
        <f t="shared" si="4"/>
        <v>70000</v>
      </c>
      <c r="V24" s="17">
        <f t="shared" si="5"/>
        <v>140000</v>
      </c>
      <c r="W24" s="17">
        <f t="shared" si="6"/>
        <v>420000</v>
      </c>
      <c r="X24" s="17">
        <f t="shared" si="7"/>
        <v>175000</v>
      </c>
      <c r="Y24" s="17">
        <f t="shared" si="8"/>
        <v>1400000</v>
      </c>
      <c r="Z24" s="17">
        <f t="shared" si="9"/>
        <v>70000</v>
      </c>
      <c r="AA24" s="16">
        <v>0.1</v>
      </c>
      <c r="AB24" s="16">
        <v>0.5</v>
      </c>
      <c r="AC24" s="16">
        <v>2.0</v>
      </c>
      <c r="AD24" s="20">
        <f t="shared" si="10"/>
        <v>0.6833333333</v>
      </c>
      <c r="AE24" s="10" t="s">
        <v>691</v>
      </c>
      <c r="AF24" s="10" t="s">
        <v>693</v>
      </c>
      <c r="AG24" s="10" t="s">
        <v>694</v>
      </c>
      <c r="AH24" s="10" t="s">
        <v>695</v>
      </c>
      <c r="AI24" s="10" t="s">
        <v>696</v>
      </c>
      <c r="AJ24" s="10" t="s">
        <v>231</v>
      </c>
      <c r="AK24" s="10" t="s">
        <v>697</v>
      </c>
    </row>
    <row r="25" ht="54.0" customHeight="1">
      <c r="A25" s="9" t="s">
        <v>323</v>
      </c>
      <c r="B25" s="26" t="str">
        <f t="array" ref="B25">INDEX('Registro original'!$B$6:$B$38,MATCH($A25,'Registro original'!$A$6:$A$38,0))</f>
        <v>Un corte de electricidad supera el tiempo de respaldo de equipos mantenidos por LafroX</v>
      </c>
      <c r="C25" s="33">
        <v>0.05</v>
      </c>
      <c r="D25" s="13">
        <v>2.0</v>
      </c>
      <c r="E25" s="15" t="s">
        <v>116</v>
      </c>
      <c r="F25" s="16">
        <v>4.0</v>
      </c>
      <c r="G25" s="16">
        <v>8.0</v>
      </c>
      <c r="H25" s="16">
        <v>24.0</v>
      </c>
      <c r="I25" s="30">
        <f t="array" ref="I25">INDEX('Parámetros'!$C$11:$C$19,MATCH(E25,'Parámetros'!$A$11:$A$19,0))</f>
        <v>24000</v>
      </c>
      <c r="J25" s="31">
        <f t="shared" si="1"/>
        <v>10</v>
      </c>
      <c r="K25" s="15" t="s">
        <v>103</v>
      </c>
      <c r="L25" s="16">
        <v>2.0</v>
      </c>
      <c r="M25" s="16">
        <v>4.0</v>
      </c>
      <c r="N25" s="16">
        <v>8.0</v>
      </c>
      <c r="O25" s="30">
        <f t="array" ref="O25">INDEX('Parámetros'!$C$11:$C$19,MATCH(K25,'Parámetros'!$A$11:$A$19,0))</f>
        <v>16000</v>
      </c>
      <c r="P25" s="31">
        <f t="shared" si="2"/>
        <v>4.333333333</v>
      </c>
      <c r="Q25" s="24">
        <v>0.0</v>
      </c>
      <c r="R25" s="24">
        <v>0.0</v>
      </c>
      <c r="S25" s="24">
        <v>0.0</v>
      </c>
      <c r="T25" s="30">
        <f t="shared" si="3"/>
        <v>0</v>
      </c>
      <c r="U25" s="30">
        <f t="shared" si="4"/>
        <v>128000</v>
      </c>
      <c r="V25" s="30">
        <f t="shared" si="5"/>
        <v>256000</v>
      </c>
      <c r="W25" s="30">
        <f t="shared" si="6"/>
        <v>704000</v>
      </c>
      <c r="X25" s="30">
        <f t="shared" si="7"/>
        <v>309333.3333</v>
      </c>
      <c r="Y25" s="30">
        <f t="shared" si="8"/>
        <v>618666.6667</v>
      </c>
      <c r="Z25" s="30">
        <f t="shared" si="9"/>
        <v>30933.33333</v>
      </c>
      <c r="AA25" s="16">
        <v>0.1</v>
      </c>
      <c r="AB25" s="16">
        <v>1.0</v>
      </c>
      <c r="AC25" s="16">
        <v>3.0</v>
      </c>
      <c r="AD25" s="31">
        <f t="shared" si="10"/>
        <v>1.183333333</v>
      </c>
      <c r="AE25" s="26" t="s">
        <v>706</v>
      </c>
      <c r="AF25" s="26" t="s">
        <v>707</v>
      </c>
      <c r="AG25" s="26" t="s">
        <v>708</v>
      </c>
      <c r="AH25" s="26" t="s">
        <v>709</v>
      </c>
      <c r="AI25" s="26" t="s">
        <v>230</v>
      </c>
      <c r="AJ25" s="26" t="s">
        <v>231</v>
      </c>
      <c r="AK25" s="26" t="s">
        <v>710</v>
      </c>
    </row>
    <row r="26" ht="57.0" customHeight="1">
      <c r="A26" s="9" t="s">
        <v>336</v>
      </c>
      <c r="B26" s="10" t="str">
        <f t="array" ref="B26">INDEX('Registro original'!$B$6:$B$38,MATCH($A26,'Registro original'!$A$6:$A$38,0))</f>
        <v>Falta la aprobación del cliente para tratar y respaldar datos en las regiones propuestas (revisar)</v>
      </c>
      <c r="C26" s="12">
        <v>0.3</v>
      </c>
      <c r="D26" s="13">
        <v>1.0</v>
      </c>
      <c r="E26" s="15" t="s">
        <v>119</v>
      </c>
      <c r="F26" s="16">
        <v>16.0</v>
      </c>
      <c r="G26" s="16">
        <v>40.0</v>
      </c>
      <c r="H26" s="16">
        <v>80.0</v>
      </c>
      <c r="I26" s="17">
        <f t="array" ref="I26">INDEX('Parámetros'!$C$11:$C$19,MATCH(E26,'Parámetros'!$A$11:$A$19,0))</f>
        <v>28000</v>
      </c>
      <c r="J26" s="20">
        <f t="shared" si="1"/>
        <v>42.66666667</v>
      </c>
      <c r="K26" s="15" t="s">
        <v>122</v>
      </c>
      <c r="L26" s="16">
        <v>8.0</v>
      </c>
      <c r="M26" s="16">
        <v>24.0</v>
      </c>
      <c r="N26" s="16">
        <v>56.0</v>
      </c>
      <c r="O26" s="17">
        <f t="array" ref="O26">INDEX('Parámetros'!$C$11:$C$19,MATCH(K26,'Parámetros'!$A$11:$A$19,0))</f>
        <v>26000</v>
      </c>
      <c r="P26" s="20">
        <f t="shared" si="2"/>
        <v>26.66666667</v>
      </c>
      <c r="Q26" s="24">
        <v>0.0</v>
      </c>
      <c r="R26" s="24">
        <v>0.0</v>
      </c>
      <c r="S26" s="24">
        <v>0.0</v>
      </c>
      <c r="T26" s="17">
        <f t="shared" si="3"/>
        <v>0</v>
      </c>
      <c r="U26" s="17">
        <f t="shared" si="4"/>
        <v>656000</v>
      </c>
      <c r="V26" s="17">
        <f t="shared" si="5"/>
        <v>1744000</v>
      </c>
      <c r="W26" s="17">
        <f t="shared" si="6"/>
        <v>3696000</v>
      </c>
      <c r="X26" s="17">
        <f t="shared" si="7"/>
        <v>1888000</v>
      </c>
      <c r="Y26" s="17">
        <f t="shared" si="8"/>
        <v>1888000</v>
      </c>
      <c r="Z26" s="17">
        <f t="shared" si="9"/>
        <v>566400</v>
      </c>
      <c r="AA26" s="16">
        <v>5.0</v>
      </c>
      <c r="AB26" s="16">
        <v>14.0</v>
      </c>
      <c r="AC26" s="16">
        <v>35.0</v>
      </c>
      <c r="AD26" s="20">
        <f t="shared" si="10"/>
        <v>16</v>
      </c>
      <c r="AE26" s="10" t="s">
        <v>719</v>
      </c>
      <c r="AF26" s="10" t="s">
        <v>720</v>
      </c>
      <c r="AG26" s="10" t="s">
        <v>721</v>
      </c>
      <c r="AH26" s="10" t="s">
        <v>722</v>
      </c>
      <c r="AI26" s="10" t="s">
        <v>230</v>
      </c>
      <c r="AJ26" s="10" t="s">
        <v>231</v>
      </c>
      <c r="AK26" s="10" t="s">
        <v>723</v>
      </c>
    </row>
    <row r="27" ht="54.0" customHeight="1">
      <c r="A27" s="9" t="s">
        <v>341</v>
      </c>
      <c r="B27" s="26" t="str">
        <f t="array" ref="B27">INDEX('Registro original'!$B$6:$B$38,MATCH($A27,'Registro original'!$A$6:$A$38,0))</f>
        <v>Cliente no autoriza la intervención urgente necesaria durante un congelamiento</v>
      </c>
      <c r="C27" s="33">
        <v>0.15</v>
      </c>
      <c r="D27" s="13">
        <v>2.0</v>
      </c>
      <c r="E27" s="15" t="s">
        <v>122</v>
      </c>
      <c r="F27" s="16">
        <v>4.0</v>
      </c>
      <c r="G27" s="16">
        <v>12.0</v>
      </c>
      <c r="H27" s="16">
        <v>24.0</v>
      </c>
      <c r="I27" s="30">
        <f t="array" ref="I27">INDEX('Parámetros'!$C$11:$C$19,MATCH(E27,'Parámetros'!$A$11:$A$19,0))</f>
        <v>26000</v>
      </c>
      <c r="J27" s="31">
        <f t="shared" si="1"/>
        <v>12.66666667</v>
      </c>
      <c r="K27" s="15" t="s">
        <v>116</v>
      </c>
      <c r="L27" s="16">
        <v>4.0</v>
      </c>
      <c r="M27" s="16">
        <v>8.0</v>
      </c>
      <c r="N27" s="16">
        <v>16.0</v>
      </c>
      <c r="O27" s="30">
        <f t="array" ref="O27">INDEX('Parámetros'!$C$11:$C$19,MATCH(K27,'Parámetros'!$A$11:$A$19,0))</f>
        <v>24000</v>
      </c>
      <c r="P27" s="31">
        <f t="shared" si="2"/>
        <v>8.666666667</v>
      </c>
      <c r="Q27" s="24">
        <v>0.0</v>
      </c>
      <c r="R27" s="24">
        <v>0.0</v>
      </c>
      <c r="S27" s="24">
        <v>0.0</v>
      </c>
      <c r="T27" s="30">
        <f t="shared" si="3"/>
        <v>0</v>
      </c>
      <c r="U27" s="30">
        <f t="shared" si="4"/>
        <v>200000</v>
      </c>
      <c r="V27" s="30">
        <f t="shared" si="5"/>
        <v>504000</v>
      </c>
      <c r="W27" s="30">
        <f t="shared" si="6"/>
        <v>1008000</v>
      </c>
      <c r="X27" s="30">
        <f t="shared" si="7"/>
        <v>537333.3333</v>
      </c>
      <c r="Y27" s="30">
        <f t="shared" si="8"/>
        <v>1074666.667</v>
      </c>
      <c r="Z27" s="30">
        <f t="shared" si="9"/>
        <v>161200</v>
      </c>
      <c r="AA27" s="16">
        <v>1.0</v>
      </c>
      <c r="AB27" s="16">
        <v>3.0</v>
      </c>
      <c r="AC27" s="16">
        <v>10.0</v>
      </c>
      <c r="AD27" s="31">
        <f t="shared" si="10"/>
        <v>3.833333333</v>
      </c>
      <c r="AE27" s="26" t="s">
        <v>732</v>
      </c>
      <c r="AF27" s="26" t="s">
        <v>733</v>
      </c>
      <c r="AG27" s="26" t="s">
        <v>734</v>
      </c>
      <c r="AH27" s="26" t="s">
        <v>735</v>
      </c>
      <c r="AI27" s="26" t="s">
        <v>230</v>
      </c>
      <c r="AJ27" s="26" t="s">
        <v>231</v>
      </c>
      <c r="AK27" s="26" t="s">
        <v>736</v>
      </c>
    </row>
    <row r="28" ht="54.0" customHeight="1">
      <c r="A28" s="9" t="s">
        <v>345</v>
      </c>
      <c r="B28" s="10" t="str">
        <f t="array" ref="B28">INDEX('Registro original'!$B$6:$B$38,MATCH($A28,'Registro original'!$A$6:$A$38,0))</f>
        <v>Un uso no autorizado de credenciales robadas permite suplantar la identidad de otra persona para registrar pedidos o acceder a un portal</v>
      </c>
      <c r="C28" s="33">
        <v>0.15</v>
      </c>
      <c r="D28" s="13">
        <v>2.0</v>
      </c>
      <c r="E28" s="15" t="s">
        <v>122</v>
      </c>
      <c r="F28" s="16">
        <v>8.0</v>
      </c>
      <c r="G28" s="16">
        <v>24.0</v>
      </c>
      <c r="H28" s="16">
        <v>64.0</v>
      </c>
      <c r="I28" s="17">
        <f t="array" ref="I28">INDEX('Parámetros'!$C$11:$C$19,MATCH(E28,'Parámetros'!$A$11:$A$19,0))</f>
        <v>26000</v>
      </c>
      <c r="J28" s="20">
        <f t="shared" si="1"/>
        <v>28</v>
      </c>
      <c r="K28" s="15" t="s">
        <v>116</v>
      </c>
      <c r="L28" s="16">
        <v>4.0</v>
      </c>
      <c r="M28" s="16">
        <v>12.0</v>
      </c>
      <c r="N28" s="16">
        <v>32.0</v>
      </c>
      <c r="O28" s="17">
        <f t="array" ref="O28">INDEX('Parámetros'!$C$11:$C$19,MATCH(K28,'Parámetros'!$A$11:$A$19,0))</f>
        <v>24000</v>
      </c>
      <c r="P28" s="20">
        <f t="shared" si="2"/>
        <v>14</v>
      </c>
      <c r="Q28" s="24">
        <v>0.0</v>
      </c>
      <c r="R28" s="24">
        <v>0.0</v>
      </c>
      <c r="S28" s="24">
        <v>0.0</v>
      </c>
      <c r="T28" s="17">
        <f t="shared" si="3"/>
        <v>0</v>
      </c>
      <c r="U28" s="17">
        <f t="shared" si="4"/>
        <v>304000</v>
      </c>
      <c r="V28" s="17">
        <f t="shared" si="5"/>
        <v>912000</v>
      </c>
      <c r="W28" s="17">
        <f t="shared" si="6"/>
        <v>2432000</v>
      </c>
      <c r="X28" s="17">
        <f t="shared" si="7"/>
        <v>1064000</v>
      </c>
      <c r="Y28" s="17">
        <f t="shared" si="8"/>
        <v>2128000</v>
      </c>
      <c r="Z28" s="17">
        <f t="shared" si="9"/>
        <v>319200</v>
      </c>
      <c r="AA28" s="16">
        <v>0.5</v>
      </c>
      <c r="AB28" s="16">
        <v>2.0</v>
      </c>
      <c r="AC28" s="16">
        <v>7.0</v>
      </c>
      <c r="AD28" s="20">
        <f t="shared" si="10"/>
        <v>2.583333333</v>
      </c>
      <c r="AE28" s="10" t="s">
        <v>745</v>
      </c>
      <c r="AF28" s="10" t="s">
        <v>746</v>
      </c>
      <c r="AG28" s="10" t="s">
        <v>747</v>
      </c>
      <c r="AH28" s="10" t="s">
        <v>748</v>
      </c>
      <c r="AI28" s="10" t="s">
        <v>749</v>
      </c>
      <c r="AJ28" s="10" t="s">
        <v>231</v>
      </c>
      <c r="AK28" s="10" t="s">
        <v>750</v>
      </c>
    </row>
    <row r="29" ht="54.0" customHeight="1">
      <c r="A29" s="9" t="s">
        <v>348</v>
      </c>
      <c r="B29" s="26" t="str">
        <f t="array" ref="B29">INDEX('Registro original'!$B$6:$B$38,MATCH($A29,'Registro original'!$A$6:$A$38,0))</f>
        <v>Llega un mensaje electrónico que aparenta venir de una cadena autorizada o fue alterado</v>
      </c>
      <c r="C29" s="33">
        <v>0.1</v>
      </c>
      <c r="D29" s="13">
        <v>2.0</v>
      </c>
      <c r="E29" s="15" t="s">
        <v>122</v>
      </c>
      <c r="F29" s="16">
        <v>4.0</v>
      </c>
      <c r="G29" s="16">
        <v>12.0</v>
      </c>
      <c r="H29" s="16">
        <v>32.0</v>
      </c>
      <c r="I29" s="30">
        <f t="array" ref="I29">INDEX('Parámetros'!$C$11:$C$19,MATCH(E29,'Parámetros'!$A$11:$A$19,0))</f>
        <v>26000</v>
      </c>
      <c r="J29" s="31">
        <f t="shared" si="1"/>
        <v>14</v>
      </c>
      <c r="K29" s="15" t="s">
        <v>97</v>
      </c>
      <c r="L29" s="16">
        <v>4.0</v>
      </c>
      <c r="M29" s="16">
        <v>8.0</v>
      </c>
      <c r="N29" s="16">
        <v>24.0</v>
      </c>
      <c r="O29" s="30">
        <f t="array" ref="O29">INDEX('Parámetros'!$C$11:$C$19,MATCH(K29,'Parámetros'!$A$11:$A$19,0))</f>
        <v>22000</v>
      </c>
      <c r="P29" s="31">
        <f t="shared" si="2"/>
        <v>10</v>
      </c>
      <c r="Q29" s="24">
        <v>0.0</v>
      </c>
      <c r="R29" s="24">
        <v>0.0</v>
      </c>
      <c r="S29" s="24">
        <v>0.0</v>
      </c>
      <c r="T29" s="30">
        <f t="shared" si="3"/>
        <v>0</v>
      </c>
      <c r="U29" s="30">
        <f t="shared" si="4"/>
        <v>192000</v>
      </c>
      <c r="V29" s="30">
        <f t="shared" si="5"/>
        <v>488000</v>
      </c>
      <c r="W29" s="30">
        <f t="shared" si="6"/>
        <v>1360000</v>
      </c>
      <c r="X29" s="30">
        <f t="shared" si="7"/>
        <v>584000</v>
      </c>
      <c r="Y29" s="30">
        <f t="shared" si="8"/>
        <v>1168000</v>
      </c>
      <c r="Z29" s="30">
        <f t="shared" si="9"/>
        <v>116800</v>
      </c>
      <c r="AA29" s="16">
        <v>0.5</v>
      </c>
      <c r="AB29" s="16">
        <v>1.0</v>
      </c>
      <c r="AC29" s="16">
        <v>4.0</v>
      </c>
      <c r="AD29" s="31">
        <f t="shared" si="10"/>
        <v>1.416666667</v>
      </c>
      <c r="AE29" s="26" t="s">
        <v>759</v>
      </c>
      <c r="AF29" s="26" t="s">
        <v>760</v>
      </c>
      <c r="AG29" s="26" t="s">
        <v>761</v>
      </c>
      <c r="AH29" s="26" t="s">
        <v>762</v>
      </c>
      <c r="AI29" s="26" t="s">
        <v>230</v>
      </c>
      <c r="AJ29" s="26" t="s">
        <v>231</v>
      </c>
      <c r="AK29" s="26" t="s">
        <v>763</v>
      </c>
    </row>
    <row r="30" ht="54.0" customHeight="1">
      <c r="A30" s="9" t="s">
        <v>351</v>
      </c>
      <c r="B30" s="10" t="str">
        <f t="array" ref="B30">INDEX('Registro original'!$B$6:$B$38,MATCH($A30,'Registro original'!$A$6:$A$38,0))</f>
        <v>Terminal enrolado se pierde o queda en poder de otra persona</v>
      </c>
      <c r="C30" s="33">
        <v>0.15</v>
      </c>
      <c r="D30" s="13">
        <v>4.0</v>
      </c>
      <c r="E30" s="15" t="s">
        <v>116</v>
      </c>
      <c r="F30" s="16">
        <v>2.0</v>
      </c>
      <c r="G30" s="16">
        <v>4.0</v>
      </c>
      <c r="H30" s="16">
        <v>8.0</v>
      </c>
      <c r="I30" s="17">
        <f t="array" ref="I30">INDEX('Parámetros'!$C$11:$C$19,MATCH(E30,'Parámetros'!$A$11:$A$19,0))</f>
        <v>24000</v>
      </c>
      <c r="J30" s="20">
        <f t="shared" si="1"/>
        <v>4.333333333</v>
      </c>
      <c r="K30" s="15" t="s">
        <v>122</v>
      </c>
      <c r="L30" s="16">
        <v>1.0</v>
      </c>
      <c r="M30" s="16">
        <v>2.0</v>
      </c>
      <c r="N30" s="16">
        <v>6.0</v>
      </c>
      <c r="O30" s="17">
        <f t="array" ref="O30">INDEX('Parámetros'!$C$11:$C$19,MATCH(K30,'Parámetros'!$A$11:$A$19,0))</f>
        <v>26000</v>
      </c>
      <c r="P30" s="20">
        <f t="shared" si="2"/>
        <v>2.5</v>
      </c>
      <c r="Q30" s="24">
        <v>0.0</v>
      </c>
      <c r="R30" s="24">
        <v>0.0</v>
      </c>
      <c r="S30" s="24">
        <v>0.0</v>
      </c>
      <c r="T30" s="17">
        <f t="shared" si="3"/>
        <v>0</v>
      </c>
      <c r="U30" s="17">
        <f t="shared" si="4"/>
        <v>74000</v>
      </c>
      <c r="V30" s="17">
        <f t="shared" si="5"/>
        <v>148000</v>
      </c>
      <c r="W30" s="17">
        <f t="shared" si="6"/>
        <v>348000</v>
      </c>
      <c r="X30" s="17">
        <f t="shared" si="7"/>
        <v>169000</v>
      </c>
      <c r="Y30" s="17">
        <f t="shared" si="8"/>
        <v>676000</v>
      </c>
      <c r="Z30" s="17">
        <f t="shared" si="9"/>
        <v>101400</v>
      </c>
      <c r="AA30" s="16">
        <v>0.1</v>
      </c>
      <c r="AB30" s="16">
        <v>0.5</v>
      </c>
      <c r="AC30" s="16">
        <v>2.0</v>
      </c>
      <c r="AD30" s="20">
        <f t="shared" si="10"/>
        <v>0.6833333333</v>
      </c>
      <c r="AE30" s="10" t="s">
        <v>773</v>
      </c>
      <c r="AF30" s="10" t="s">
        <v>774</v>
      </c>
      <c r="AG30" s="10" t="s">
        <v>775</v>
      </c>
      <c r="AH30" s="10" t="s">
        <v>776</v>
      </c>
      <c r="AI30" s="10" t="s">
        <v>230</v>
      </c>
      <c r="AJ30" s="10" t="s">
        <v>231</v>
      </c>
      <c r="AK30" s="10" t="s">
        <v>777</v>
      </c>
    </row>
    <row r="31" ht="54.0" customHeight="1">
      <c r="A31" s="9" t="s">
        <v>354</v>
      </c>
      <c r="B31" s="26" t="str">
        <f t="array" ref="B31">INDEX('Registro original'!$B$6:$B$38,MATCH($A31,'Registro original'!$A$6:$A$38,0))</f>
        <v>Ataques DDOS a los canales públicos</v>
      </c>
      <c r="C31" s="33">
        <v>0.23</v>
      </c>
      <c r="D31" s="13">
        <v>2.0</v>
      </c>
      <c r="E31" s="15" t="s">
        <v>116</v>
      </c>
      <c r="F31" s="16">
        <v>4.0</v>
      </c>
      <c r="G31" s="16">
        <v>12.0</v>
      </c>
      <c r="H31" s="16">
        <v>32.0</v>
      </c>
      <c r="I31" s="30">
        <f t="array" ref="I31">INDEX('Parámetros'!$C$11:$C$19,MATCH(E31,'Parámetros'!$A$11:$A$19,0))</f>
        <v>24000</v>
      </c>
      <c r="J31" s="31">
        <f t="shared" si="1"/>
        <v>14</v>
      </c>
      <c r="K31" s="15" t="s">
        <v>122</v>
      </c>
      <c r="L31" s="16">
        <v>4.0</v>
      </c>
      <c r="M31" s="16">
        <v>8.0</v>
      </c>
      <c r="N31" s="16">
        <v>24.0</v>
      </c>
      <c r="O31" s="30">
        <f t="array" ref="O31">INDEX('Parámetros'!$C$11:$C$19,MATCH(K31,'Parámetros'!$A$11:$A$19,0))</f>
        <v>26000</v>
      </c>
      <c r="P31" s="31">
        <f t="shared" si="2"/>
        <v>10</v>
      </c>
      <c r="Q31" s="24">
        <v>0.0</v>
      </c>
      <c r="R31" s="24">
        <v>0.0</v>
      </c>
      <c r="S31" s="24">
        <v>0.0</v>
      </c>
      <c r="T31" s="30">
        <f t="shared" si="3"/>
        <v>0</v>
      </c>
      <c r="U31" s="30">
        <f t="shared" si="4"/>
        <v>200000</v>
      </c>
      <c r="V31" s="30">
        <f t="shared" si="5"/>
        <v>496000</v>
      </c>
      <c r="W31" s="30">
        <f t="shared" si="6"/>
        <v>1392000</v>
      </c>
      <c r="X31" s="30">
        <f t="shared" si="7"/>
        <v>596000</v>
      </c>
      <c r="Y31" s="30">
        <f t="shared" si="8"/>
        <v>1192000</v>
      </c>
      <c r="Z31" s="30">
        <f t="shared" si="9"/>
        <v>274160</v>
      </c>
      <c r="AA31" s="16">
        <v>0.1</v>
      </c>
      <c r="AB31" s="16">
        <v>0.5</v>
      </c>
      <c r="AC31" s="16">
        <v>2.0</v>
      </c>
      <c r="AD31" s="31">
        <f t="shared" si="10"/>
        <v>0.6833333333</v>
      </c>
      <c r="AE31" s="26" t="s">
        <v>786</v>
      </c>
      <c r="AF31" s="26" t="s">
        <v>787</v>
      </c>
      <c r="AG31" s="26" t="s">
        <v>788</v>
      </c>
      <c r="AH31" s="26" t="s">
        <v>789</v>
      </c>
      <c r="AI31" s="26" t="s">
        <v>230</v>
      </c>
      <c r="AJ31" s="26" t="s">
        <v>231</v>
      </c>
      <c r="AK31" s="26" t="s">
        <v>790</v>
      </c>
    </row>
    <row r="32" ht="54.0" customHeight="1">
      <c r="A32" s="9" t="s">
        <v>357</v>
      </c>
      <c r="B32" s="10" t="str">
        <f t="array" ref="B32">INDEX('Registro original'!$B$6:$B$38,MATCH($A32,'Registro original'!$A$6:$A$38,0))</f>
        <v>Atacante utiliza una cuenta administrativa comprometida contra la evidencia (phishing)</v>
      </c>
      <c r="C32" s="12">
        <v>0.15</v>
      </c>
      <c r="D32" s="13">
        <v>1.0</v>
      </c>
      <c r="E32" s="15" t="s">
        <v>122</v>
      </c>
      <c r="F32" s="16">
        <v>24.0</v>
      </c>
      <c r="G32" s="16">
        <v>64.0</v>
      </c>
      <c r="H32" s="16">
        <v>160.0</v>
      </c>
      <c r="I32" s="17">
        <f t="array" ref="I32">INDEX('Parámetros'!$C$11:$C$19,MATCH(E32,'Parámetros'!$A$11:$A$19,0))</f>
        <v>26000</v>
      </c>
      <c r="J32" s="20">
        <f t="shared" si="1"/>
        <v>73.33333333</v>
      </c>
      <c r="K32" s="15" t="s">
        <v>116</v>
      </c>
      <c r="L32" s="16">
        <v>16.0</v>
      </c>
      <c r="M32" s="16">
        <v>48.0</v>
      </c>
      <c r="N32" s="16">
        <v>120.0</v>
      </c>
      <c r="O32" s="17">
        <f t="array" ref="O32">INDEX('Parámetros'!$C$11:$C$19,MATCH(K32,'Parámetros'!$A$11:$A$19,0))</f>
        <v>24000</v>
      </c>
      <c r="P32" s="20">
        <f t="shared" si="2"/>
        <v>54.66666667</v>
      </c>
      <c r="Q32" s="24">
        <v>0.0</v>
      </c>
      <c r="R32" s="24">
        <v>0.0</v>
      </c>
      <c r="S32" s="24">
        <v>0.0</v>
      </c>
      <c r="T32" s="17">
        <f t="shared" si="3"/>
        <v>0</v>
      </c>
      <c r="U32" s="17">
        <f t="shared" si="4"/>
        <v>1008000</v>
      </c>
      <c r="V32" s="17">
        <f t="shared" si="5"/>
        <v>2816000</v>
      </c>
      <c r="W32" s="17">
        <f t="shared" si="6"/>
        <v>7040000</v>
      </c>
      <c r="X32" s="17">
        <f t="shared" si="7"/>
        <v>3218666.667</v>
      </c>
      <c r="Y32" s="17">
        <f t="shared" si="8"/>
        <v>3218666.667</v>
      </c>
      <c r="Z32" s="17">
        <f t="shared" si="9"/>
        <v>482800</v>
      </c>
      <c r="AA32" s="16">
        <v>1.0</v>
      </c>
      <c r="AB32" s="16">
        <v>4.0</v>
      </c>
      <c r="AC32" s="16">
        <v>14.0</v>
      </c>
      <c r="AD32" s="20">
        <f t="shared" si="10"/>
        <v>5.166666667</v>
      </c>
      <c r="AE32" s="10" t="s">
        <v>792</v>
      </c>
      <c r="AF32" s="10" t="s">
        <v>793</v>
      </c>
      <c r="AG32" s="10" t="s">
        <v>794</v>
      </c>
      <c r="AH32" s="10" t="s">
        <v>795</v>
      </c>
      <c r="AI32" s="10" t="s">
        <v>230</v>
      </c>
      <c r="AJ32" s="10" t="s">
        <v>231</v>
      </c>
      <c r="AK32" s="10" t="s">
        <v>796</v>
      </c>
    </row>
    <row r="33" ht="54.0" customHeight="1">
      <c r="A33" s="9" t="s">
        <v>361</v>
      </c>
      <c r="B33" s="26" t="str">
        <f t="array" ref="B33">INDEX('Registro original'!$B$6:$B$38,MATCH($A33,'Registro original'!$A$6:$A$38,0))</f>
        <v>Fallas mecánicas del camión</v>
      </c>
      <c r="C33" s="33">
        <v>0.15</v>
      </c>
      <c r="D33" s="13">
        <v>1.0</v>
      </c>
      <c r="E33" s="15" t="s">
        <v>113</v>
      </c>
      <c r="F33" s="16">
        <v>4.0</v>
      </c>
      <c r="G33" s="16">
        <v>12.0</v>
      </c>
      <c r="H33" s="16">
        <v>24.0</v>
      </c>
      <c r="I33" s="30">
        <f t="array" ref="I33">INDEX('Parámetros'!$C$11:$C$19,MATCH(E33,'Parámetros'!$A$11:$A$19,0))</f>
        <v>18000</v>
      </c>
      <c r="J33" s="31">
        <f t="shared" si="1"/>
        <v>12.66666667</v>
      </c>
      <c r="K33" s="15" t="s">
        <v>103</v>
      </c>
      <c r="L33" s="16">
        <v>4.0</v>
      </c>
      <c r="M33" s="16">
        <v>8.0</v>
      </c>
      <c r="N33" s="16">
        <v>16.0</v>
      </c>
      <c r="O33" s="30">
        <f t="array" ref="O33">INDEX('Parámetros'!$C$11:$C$19,MATCH(K33,'Parámetros'!$A$11:$A$19,0))</f>
        <v>16000</v>
      </c>
      <c r="P33" s="31">
        <f t="shared" si="2"/>
        <v>8.666666667</v>
      </c>
      <c r="Q33" s="24">
        <v>0.0</v>
      </c>
      <c r="R33" s="24">
        <v>0.0</v>
      </c>
      <c r="S33" s="24">
        <v>0.0</v>
      </c>
      <c r="T33" s="30">
        <f t="shared" si="3"/>
        <v>0</v>
      </c>
      <c r="U33" s="30">
        <f t="shared" si="4"/>
        <v>136000</v>
      </c>
      <c r="V33" s="30">
        <f t="shared" si="5"/>
        <v>344000</v>
      </c>
      <c r="W33" s="30">
        <f t="shared" si="6"/>
        <v>688000</v>
      </c>
      <c r="X33" s="30">
        <f t="shared" si="7"/>
        <v>366666.6667</v>
      </c>
      <c r="Y33" s="30">
        <f t="shared" si="8"/>
        <v>366666.6667</v>
      </c>
      <c r="Z33" s="30">
        <f t="shared" si="9"/>
        <v>55000</v>
      </c>
      <c r="AA33" s="16">
        <v>1.0</v>
      </c>
      <c r="AB33" s="16">
        <v>3.0</v>
      </c>
      <c r="AC33" s="16">
        <v>7.0</v>
      </c>
      <c r="AD33" s="31">
        <f t="shared" si="10"/>
        <v>3.333333333</v>
      </c>
      <c r="AE33" s="26" t="s">
        <v>804</v>
      </c>
      <c r="AF33" s="26" t="s">
        <v>805</v>
      </c>
      <c r="AG33" s="26" t="s">
        <v>807</v>
      </c>
      <c r="AH33" s="26" t="s">
        <v>808</v>
      </c>
      <c r="AI33" s="26" t="s">
        <v>809</v>
      </c>
      <c r="AJ33" s="26" t="s">
        <v>231</v>
      </c>
      <c r="AK33" s="26" t="s">
        <v>810</v>
      </c>
    </row>
    <row r="34" ht="54.0" customHeight="1">
      <c r="A34" s="9" t="s">
        <v>375</v>
      </c>
      <c r="B34" s="10" t="str">
        <f t="array" ref="B34">INDEX('Registro original'!$B$6:$B$38,MATCH($A34,'Registro original'!$A$6:$A$38,0))</f>
        <v>Camión forma parte de un siniestro</v>
      </c>
      <c r="C34" s="12">
        <v>0.1</v>
      </c>
      <c r="D34" s="13">
        <v>1.0</v>
      </c>
      <c r="E34" s="15" t="s">
        <v>113</v>
      </c>
      <c r="F34" s="16">
        <v>4.0</v>
      </c>
      <c r="G34" s="16">
        <v>12.0</v>
      </c>
      <c r="H34" s="16">
        <v>24.0</v>
      </c>
      <c r="I34" s="17">
        <f t="array" ref="I34">INDEX('Parámetros'!$C$11:$C$19,MATCH(E34,'Parámetros'!$A$11:$A$19,0))</f>
        <v>18000</v>
      </c>
      <c r="J34" s="20">
        <f t="shared" si="1"/>
        <v>12.66666667</v>
      </c>
      <c r="K34" s="15" t="s">
        <v>103</v>
      </c>
      <c r="L34" s="16">
        <v>4.0</v>
      </c>
      <c r="M34" s="16">
        <v>8.0</v>
      </c>
      <c r="N34" s="16">
        <v>16.0</v>
      </c>
      <c r="O34" s="17">
        <f t="array" ref="O34">INDEX('Parámetros'!$C$11:$C$19,MATCH(K34,'Parámetros'!$A$11:$A$19,0))</f>
        <v>16000</v>
      </c>
      <c r="P34" s="20">
        <f t="shared" si="2"/>
        <v>8.666666667</v>
      </c>
      <c r="Q34" s="24">
        <v>0.0</v>
      </c>
      <c r="R34" s="24">
        <v>0.0</v>
      </c>
      <c r="S34" s="24">
        <v>0.0</v>
      </c>
      <c r="T34" s="17">
        <f t="shared" si="3"/>
        <v>0</v>
      </c>
      <c r="U34" s="17">
        <f t="shared" si="4"/>
        <v>136000</v>
      </c>
      <c r="V34" s="17">
        <f t="shared" si="5"/>
        <v>344000</v>
      </c>
      <c r="W34" s="17">
        <f t="shared" si="6"/>
        <v>688000</v>
      </c>
      <c r="X34" s="17">
        <f t="shared" si="7"/>
        <v>366666.6667</v>
      </c>
      <c r="Y34" s="17">
        <f t="shared" si="8"/>
        <v>366666.6667</v>
      </c>
      <c r="Z34" s="17">
        <f t="shared" si="9"/>
        <v>36666.66667</v>
      </c>
      <c r="AA34" s="16">
        <v>2.0</v>
      </c>
      <c r="AB34" s="16">
        <v>5.0</v>
      </c>
      <c r="AC34" s="16">
        <v>14.0</v>
      </c>
      <c r="AD34" s="20">
        <f t="shared" si="10"/>
        <v>6</v>
      </c>
      <c r="AE34" s="10" t="s">
        <v>818</v>
      </c>
      <c r="AF34" s="10" t="s">
        <v>819</v>
      </c>
      <c r="AG34" s="10" t="s">
        <v>820</v>
      </c>
      <c r="AH34" s="10" t="s">
        <v>821</v>
      </c>
      <c r="AI34" s="10" t="s">
        <v>230</v>
      </c>
      <c r="AJ34" s="10" t="s">
        <v>231</v>
      </c>
      <c r="AK34" s="10" t="s">
        <v>822</v>
      </c>
    </row>
    <row r="35" ht="57.0" customHeight="1">
      <c r="A35" s="9" t="s">
        <v>380</v>
      </c>
      <c r="B35" s="26" t="str">
        <f t="array" ref="B35">INDEX('Registro original'!$B$6:$B$38,MATCH($A35,'Registro original'!$A$6:$A$38,0))</f>
        <v>Asalto a camión</v>
      </c>
      <c r="C35" s="12">
        <v>0.1</v>
      </c>
      <c r="D35" s="13">
        <v>1.0</v>
      </c>
      <c r="E35" s="15" t="s">
        <v>113</v>
      </c>
      <c r="F35" s="16">
        <v>4.0</v>
      </c>
      <c r="G35" s="16">
        <v>16.0</v>
      </c>
      <c r="H35" s="16">
        <v>32.0</v>
      </c>
      <c r="I35" s="30">
        <f t="array" ref="I35">INDEX('Parámetros'!$C$11:$C$19,MATCH(E35,'Parámetros'!$A$11:$A$19,0))</f>
        <v>18000</v>
      </c>
      <c r="J35" s="31">
        <f t="shared" si="1"/>
        <v>16.66666667</v>
      </c>
      <c r="K35" s="15" t="s">
        <v>103</v>
      </c>
      <c r="L35" s="16">
        <v>4.0</v>
      </c>
      <c r="M35" s="16">
        <v>8.0</v>
      </c>
      <c r="N35" s="16">
        <v>16.0</v>
      </c>
      <c r="O35" s="30">
        <f t="array" ref="O35">INDEX('Parámetros'!$C$11:$C$19,MATCH(K35,'Parámetros'!$A$11:$A$19,0))</f>
        <v>16000</v>
      </c>
      <c r="P35" s="31">
        <f t="shared" si="2"/>
        <v>8.666666667</v>
      </c>
      <c r="Q35" s="24">
        <v>0.0</v>
      </c>
      <c r="R35" s="24">
        <v>0.0</v>
      </c>
      <c r="S35" s="24">
        <v>0.0</v>
      </c>
      <c r="T35" s="30">
        <f t="shared" si="3"/>
        <v>0</v>
      </c>
      <c r="U35" s="30">
        <f t="shared" si="4"/>
        <v>136000</v>
      </c>
      <c r="V35" s="30">
        <f t="shared" si="5"/>
        <v>416000</v>
      </c>
      <c r="W35" s="30">
        <f t="shared" si="6"/>
        <v>832000</v>
      </c>
      <c r="X35" s="30">
        <f t="shared" si="7"/>
        <v>438666.6667</v>
      </c>
      <c r="Y35" s="30">
        <f t="shared" si="8"/>
        <v>438666.6667</v>
      </c>
      <c r="Z35" s="30">
        <f t="shared" si="9"/>
        <v>43866.66667</v>
      </c>
      <c r="AA35" s="16">
        <v>2.0</v>
      </c>
      <c r="AB35" s="16">
        <v>7.0</v>
      </c>
      <c r="AC35" s="16">
        <v>14.0</v>
      </c>
      <c r="AD35" s="31">
        <f t="shared" si="10"/>
        <v>7.333333333</v>
      </c>
      <c r="AE35" s="26" t="s">
        <v>831</v>
      </c>
      <c r="AF35" s="26" t="s">
        <v>832</v>
      </c>
      <c r="AG35" s="26" t="s">
        <v>833</v>
      </c>
      <c r="AH35" s="26" t="s">
        <v>834</v>
      </c>
      <c r="AI35" s="26" t="s">
        <v>230</v>
      </c>
      <c r="AJ35" s="26" t="s">
        <v>231</v>
      </c>
      <c r="AK35" s="26" t="s">
        <v>835</v>
      </c>
    </row>
    <row r="36" ht="54.0" customHeight="1">
      <c r="A36" s="9" t="s">
        <v>382</v>
      </c>
      <c r="B36" s="10" t="str">
        <f t="array" ref="B36">INDEX('Registro original'!$B$6:$B$38,MATCH($A36,'Registro original'!$A$6:$A$38,0))</f>
        <v>Reemplazos de conductores externos sin aviso</v>
      </c>
      <c r="C36" s="12">
        <v>0.45</v>
      </c>
      <c r="D36" s="13">
        <v>3.0</v>
      </c>
      <c r="E36" s="15" t="s">
        <v>113</v>
      </c>
      <c r="F36" s="16">
        <v>4.0</v>
      </c>
      <c r="G36" s="16">
        <v>8.0</v>
      </c>
      <c r="H36" s="16">
        <v>16.0</v>
      </c>
      <c r="I36" s="17">
        <f t="array" ref="I36">INDEX('Parámetros'!$C$11:$C$19,MATCH(E36,'Parámetros'!$A$11:$A$19,0))</f>
        <v>18000</v>
      </c>
      <c r="J36" s="20">
        <f t="shared" si="1"/>
        <v>8.666666667</v>
      </c>
      <c r="K36" s="15" t="s">
        <v>109</v>
      </c>
      <c r="L36" s="16">
        <v>2.0</v>
      </c>
      <c r="M36" s="16">
        <v>4.0</v>
      </c>
      <c r="N36" s="16">
        <v>8.0</v>
      </c>
      <c r="O36" s="17">
        <f t="array" ref="O36">INDEX('Parámetros'!$C$11:$C$19,MATCH(K36,'Parámetros'!$A$11:$A$19,0))</f>
        <v>18000</v>
      </c>
      <c r="P36" s="20">
        <f t="shared" si="2"/>
        <v>4.333333333</v>
      </c>
      <c r="Q36" s="24">
        <v>0.0</v>
      </c>
      <c r="R36" s="24">
        <v>0.0</v>
      </c>
      <c r="S36" s="24">
        <v>0.0</v>
      </c>
      <c r="T36" s="17">
        <f t="shared" si="3"/>
        <v>0</v>
      </c>
      <c r="U36" s="17">
        <f t="shared" si="4"/>
        <v>108000</v>
      </c>
      <c r="V36" s="17">
        <f t="shared" si="5"/>
        <v>216000</v>
      </c>
      <c r="W36" s="17">
        <f t="shared" si="6"/>
        <v>432000</v>
      </c>
      <c r="X36" s="17">
        <f t="shared" si="7"/>
        <v>234000</v>
      </c>
      <c r="Y36" s="17">
        <f t="shared" si="8"/>
        <v>702000</v>
      </c>
      <c r="Z36" s="17">
        <f t="shared" si="9"/>
        <v>315900</v>
      </c>
      <c r="AA36" s="16">
        <v>0.5</v>
      </c>
      <c r="AB36" s="16">
        <v>1.0</v>
      </c>
      <c r="AC36" s="16">
        <v>3.0</v>
      </c>
      <c r="AD36" s="20">
        <f t="shared" si="10"/>
        <v>1.25</v>
      </c>
      <c r="AE36" s="10" t="s">
        <v>843</v>
      </c>
      <c r="AF36" s="10" t="s">
        <v>844</v>
      </c>
      <c r="AG36" s="10" t="s">
        <v>845</v>
      </c>
      <c r="AH36" s="10" t="s">
        <v>846</v>
      </c>
      <c r="AI36" s="10" t="s">
        <v>230</v>
      </c>
      <c r="AJ36" s="10" t="s">
        <v>231</v>
      </c>
      <c r="AK36" s="10" t="s">
        <v>847</v>
      </c>
    </row>
    <row r="37" ht="57.0" customHeight="1">
      <c r="A37" s="9" t="s">
        <v>384</v>
      </c>
      <c r="B37" s="26" t="str">
        <f t="array" ref="B37">INDEX('Registro original'!$B$6:$B$38,MATCH($A37,'Registro original'!$A$6:$A$38,0))</f>
        <v>Solicitudes que amplían el alcance</v>
      </c>
      <c r="C37" s="33">
        <v>0.35</v>
      </c>
      <c r="D37" s="13">
        <v>2.0</v>
      </c>
      <c r="E37" s="15" t="s">
        <v>126</v>
      </c>
      <c r="F37" s="16">
        <v>8.0</v>
      </c>
      <c r="G37" s="16">
        <v>16.0</v>
      </c>
      <c r="H37" s="16">
        <v>32.0</v>
      </c>
      <c r="I37" s="30">
        <f t="array" ref="I37">INDEX('Parámetros'!$C$11:$C$19,MATCH(E37,'Parámetros'!$A$11:$A$19,0))</f>
        <v>26000</v>
      </c>
      <c r="J37" s="31">
        <f t="shared" si="1"/>
        <v>17.33333333</v>
      </c>
      <c r="K37" s="15" t="s">
        <v>119</v>
      </c>
      <c r="L37" s="16">
        <v>8.0</v>
      </c>
      <c r="M37" s="16">
        <v>24.0</v>
      </c>
      <c r="N37" s="16">
        <v>48.0</v>
      </c>
      <c r="O37" s="30">
        <f t="array" ref="O37">INDEX('Parámetros'!$C$11:$C$19,MATCH(K37,'Parámetros'!$A$11:$A$19,0))</f>
        <v>28000</v>
      </c>
      <c r="P37" s="31">
        <f t="shared" si="2"/>
        <v>25.33333333</v>
      </c>
      <c r="Q37" s="24">
        <v>0.0</v>
      </c>
      <c r="R37" s="24">
        <v>0.0</v>
      </c>
      <c r="S37" s="24">
        <v>0.0</v>
      </c>
      <c r="T37" s="30">
        <f t="shared" si="3"/>
        <v>0</v>
      </c>
      <c r="U37" s="30">
        <f t="shared" si="4"/>
        <v>432000</v>
      </c>
      <c r="V37" s="30">
        <f t="shared" si="5"/>
        <v>1088000</v>
      </c>
      <c r="W37" s="30">
        <f t="shared" si="6"/>
        <v>2176000</v>
      </c>
      <c r="X37" s="30">
        <f t="shared" si="7"/>
        <v>1160000</v>
      </c>
      <c r="Y37" s="30">
        <f t="shared" si="8"/>
        <v>2320000</v>
      </c>
      <c r="Z37" s="30">
        <f t="shared" si="9"/>
        <v>812000</v>
      </c>
      <c r="AA37" s="16">
        <v>1.0</v>
      </c>
      <c r="AB37" s="16">
        <v>3.0</v>
      </c>
      <c r="AC37" s="16">
        <v>7.0</v>
      </c>
      <c r="AD37" s="31">
        <f t="shared" si="10"/>
        <v>3.333333333</v>
      </c>
      <c r="AE37" s="26" t="s">
        <v>856</v>
      </c>
      <c r="AF37" s="26" t="s">
        <v>857</v>
      </c>
      <c r="AG37" s="26" t="s">
        <v>858</v>
      </c>
      <c r="AH37" s="26" t="s">
        <v>859</v>
      </c>
      <c r="AI37" s="26" t="s">
        <v>230</v>
      </c>
      <c r="AJ37" s="26" t="s">
        <v>231</v>
      </c>
      <c r="AK37" s="26" t="s">
        <v>860</v>
      </c>
    </row>
    <row r="38" ht="57.0" customHeight="1">
      <c r="A38" s="9" t="s">
        <v>388</v>
      </c>
      <c r="B38" s="10" t="str">
        <f t="array" ref="B38">INDEX('Registro original'!$B$6:$B$38,MATCH($A38,'Registro original'!$A$6:$A$38,0))</f>
        <v>Cambios normativos</v>
      </c>
      <c r="C38" s="33">
        <v>0.2</v>
      </c>
      <c r="D38" s="13">
        <v>1.0</v>
      </c>
      <c r="E38" s="15" t="s">
        <v>119</v>
      </c>
      <c r="F38" s="16">
        <v>16.0</v>
      </c>
      <c r="G38" s="16">
        <v>40.0</v>
      </c>
      <c r="H38" s="16">
        <v>80.0</v>
      </c>
      <c r="I38" s="17">
        <f t="array" ref="I38">INDEX('Parámetros'!$C$11:$C$19,MATCH(E38,'Parámetros'!$A$11:$A$19,0))</f>
        <v>28000</v>
      </c>
      <c r="J38" s="20">
        <f t="shared" si="1"/>
        <v>42.66666667</v>
      </c>
      <c r="K38" s="15" t="s">
        <v>122</v>
      </c>
      <c r="L38" s="16">
        <v>16.0</v>
      </c>
      <c r="M38" s="16">
        <v>40.0</v>
      </c>
      <c r="N38" s="16">
        <v>80.0</v>
      </c>
      <c r="O38" s="17">
        <f t="array" ref="O38">INDEX('Parámetros'!$C$11:$C$19,MATCH(K38,'Parámetros'!$A$11:$A$19,0))</f>
        <v>26000</v>
      </c>
      <c r="P38" s="20">
        <f t="shared" si="2"/>
        <v>42.66666667</v>
      </c>
      <c r="Q38" s="24">
        <v>0.0</v>
      </c>
      <c r="R38" s="24">
        <v>0.0</v>
      </c>
      <c r="S38" s="24">
        <v>0.0</v>
      </c>
      <c r="T38" s="17">
        <f t="shared" si="3"/>
        <v>0</v>
      </c>
      <c r="U38" s="17">
        <f t="shared" si="4"/>
        <v>864000</v>
      </c>
      <c r="V38" s="17">
        <f t="shared" si="5"/>
        <v>2160000</v>
      </c>
      <c r="W38" s="17">
        <f t="shared" si="6"/>
        <v>4320000</v>
      </c>
      <c r="X38" s="17">
        <f t="shared" si="7"/>
        <v>2304000</v>
      </c>
      <c r="Y38" s="17">
        <f t="shared" si="8"/>
        <v>2304000</v>
      </c>
      <c r="Z38" s="17">
        <f t="shared" si="9"/>
        <v>460800</v>
      </c>
      <c r="AA38" s="16">
        <v>5.0</v>
      </c>
      <c r="AB38" s="16">
        <v>14.0</v>
      </c>
      <c r="AC38" s="16">
        <v>35.0</v>
      </c>
      <c r="AD38" s="20">
        <f t="shared" si="10"/>
        <v>16</v>
      </c>
      <c r="AE38" s="10" t="s">
        <v>867</v>
      </c>
      <c r="AF38" s="10" t="s">
        <v>868</v>
      </c>
      <c r="AG38" s="10" t="s">
        <v>869</v>
      </c>
      <c r="AH38" s="10" t="s">
        <v>870</v>
      </c>
      <c r="AI38" s="10" t="s">
        <v>230</v>
      </c>
      <c r="AJ38" s="10" t="s">
        <v>231</v>
      </c>
      <c r="AK38" s="10" t="s">
        <v>871</v>
      </c>
    </row>
    <row r="39" ht="15.75" customHeight="1">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row>
    <row r="40" ht="15.75" customHeight="1">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row>
    <row r="41" ht="15.75" customHeight="1">
      <c r="A41" s="1" t="s">
        <v>872</v>
      </c>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row>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customSheetViews>
    <customSheetView guid="{F21E4A68-D18F-4D02-8B22-77D25D907ADD}" filter="1" showAutoFilter="1">
      <autoFilter ref="$A$5:$AK$38"/>
      <extLst>
        <ext uri="GoogleSheetsCustomDataVersion1">
          <go:sheetsCustomData xmlns:go="http://customooxmlschemas.google.com/" filterViewId="1889460191"/>
        </ext>
      </extLst>
    </customSheetView>
  </customSheetViews>
  <dataValidations>
    <dataValidation type="decimal" allowBlank="1" sqref="C6:C38">
      <formula1>0.0</formula1>
      <formula2>1.0</formula2>
    </dataValidation>
    <dataValidation type="decimal" allowBlank="1" sqref="F6:H38 L6:N38 Q6:S38 AA6:AC38">
      <formula1>0.0</formula1>
      <formula2>1.0E9</formula2>
    </dataValidation>
    <dataValidation type="decimal" allowBlank="1" sqref="D6:D38">
      <formula1>1.0</formula1>
      <formula2>1000.0</formula2>
    </dataValidation>
    <dataValidation type="list" allowBlank="1" sqref="E6:E38 K6:K38">
      <formula1>"INT,QA,DAT,FUN,IMP,SRE,ARQ,SEG,JP"</formula1>
    </dataValidation>
  </dataValidation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7294AC"/>
    <pageSetUpPr/>
  </sheetPr>
  <sheetViews>
    <sheetView showGridLines="0" workbookViewId="0">
      <pane ySplit="5.0" topLeftCell="A6" activePane="bottomLeft" state="frozen"/>
      <selection activeCell="B7" sqref="B7" pane="bottomLeft"/>
    </sheetView>
  </sheetViews>
  <sheetFormatPr customHeight="1" defaultColWidth="12.63" defaultRowHeight="15.0"/>
  <cols>
    <col customWidth="1" min="1" max="1" width="24.0"/>
    <col customWidth="1" min="2" max="2" width="60.0"/>
    <col customWidth="1" min="3" max="3" width="22.0"/>
    <col customWidth="1" min="4" max="4" width="98.0"/>
    <col customWidth="1" min="5" max="6" width="48.0"/>
    <col customWidth="1" min="7" max="8" width="21.0"/>
    <col customWidth="1" min="9" max="10" width="18.0"/>
    <col customWidth="1" min="11" max="11" width="53.0"/>
    <col customWidth="1" min="12" max="26" width="8.63"/>
  </cols>
  <sheetData>
    <row r="1">
      <c r="A1" s="1"/>
      <c r="B1" s="1"/>
      <c r="C1" s="1"/>
      <c r="D1" s="1"/>
      <c r="E1" s="1"/>
      <c r="F1" s="1"/>
      <c r="G1" s="1"/>
      <c r="H1" s="1"/>
      <c r="I1" s="1"/>
      <c r="J1" s="1"/>
      <c r="K1" s="1"/>
    </row>
    <row r="2" ht="27.75" customHeight="1">
      <c r="A2" s="2" t="s">
        <v>73</v>
      </c>
      <c r="B2" s="1"/>
      <c r="C2" s="1"/>
      <c r="D2" s="1"/>
      <c r="E2" s="1"/>
      <c r="F2" s="1"/>
      <c r="G2" s="1"/>
      <c r="H2" s="1"/>
      <c r="I2" s="1"/>
      <c r="J2" s="1"/>
      <c r="K2" s="1"/>
    </row>
    <row r="3">
      <c r="A3" s="1" t="s">
        <v>78</v>
      </c>
      <c r="B3" s="1"/>
      <c r="C3" s="1"/>
      <c r="D3" s="1"/>
      <c r="E3" s="1"/>
      <c r="F3" s="1"/>
      <c r="G3" s="1"/>
      <c r="H3" s="1"/>
      <c r="I3" s="1"/>
      <c r="J3" s="1"/>
      <c r="K3" s="1"/>
    </row>
    <row r="4">
      <c r="A4" s="1"/>
      <c r="B4" s="1"/>
      <c r="C4" s="1"/>
      <c r="D4" s="1"/>
      <c r="E4" s="1"/>
      <c r="F4" s="1"/>
      <c r="G4" s="1"/>
      <c r="H4" s="1"/>
      <c r="I4" s="1"/>
      <c r="J4" s="1"/>
      <c r="K4" s="1"/>
    </row>
    <row r="5" ht="55.5" customHeight="1">
      <c r="A5" s="3" t="s">
        <v>82</v>
      </c>
      <c r="B5" s="3" t="s">
        <v>83</v>
      </c>
      <c r="C5" s="3" t="s">
        <v>84</v>
      </c>
      <c r="D5" s="3" t="s">
        <v>85</v>
      </c>
      <c r="E5" s="4"/>
      <c r="F5" s="4"/>
      <c r="G5" s="4"/>
      <c r="H5" s="4"/>
      <c r="I5" s="4"/>
      <c r="J5" s="4"/>
      <c r="K5" s="4"/>
    </row>
    <row r="6" ht="57.75" customHeight="1">
      <c r="A6" s="4" t="s">
        <v>86</v>
      </c>
      <c r="B6" s="11"/>
      <c r="C6" s="4" t="s">
        <v>89</v>
      </c>
      <c r="D6" s="4" t="s">
        <v>90</v>
      </c>
      <c r="E6" s="4"/>
      <c r="F6" s="4"/>
      <c r="G6" s="4"/>
      <c r="H6" s="4"/>
      <c r="I6" s="4"/>
      <c r="J6" s="4"/>
      <c r="K6" s="4"/>
    </row>
    <row r="7" ht="57.75" customHeight="1">
      <c r="A7" s="4" t="s">
        <v>92</v>
      </c>
      <c r="B7" s="11"/>
      <c r="C7" s="4" t="s">
        <v>89</v>
      </c>
      <c r="D7" s="4" t="s">
        <v>93</v>
      </c>
      <c r="E7" s="4"/>
      <c r="F7" s="4"/>
      <c r="G7" s="4"/>
      <c r="H7" s="4"/>
      <c r="I7" s="4"/>
      <c r="J7" s="4"/>
      <c r="K7" s="4"/>
    </row>
    <row r="8">
      <c r="A8" s="4"/>
      <c r="B8" s="4"/>
      <c r="C8" s="4"/>
      <c r="D8" s="4"/>
      <c r="E8" s="4"/>
      <c r="F8" s="4"/>
      <c r="G8" s="4"/>
      <c r="H8" s="4"/>
      <c r="I8" s="4"/>
      <c r="J8" s="4"/>
      <c r="K8" s="4"/>
    </row>
    <row r="9">
      <c r="A9" s="4"/>
      <c r="B9" s="4"/>
      <c r="C9" s="4"/>
      <c r="D9" s="4"/>
      <c r="E9" s="4"/>
      <c r="F9" s="4"/>
      <c r="G9" s="4"/>
      <c r="H9" s="4"/>
      <c r="I9" s="4"/>
      <c r="J9" s="4"/>
      <c r="K9" s="4"/>
    </row>
    <row r="10" ht="55.5" customHeight="1">
      <c r="A10" s="3" t="s">
        <v>94</v>
      </c>
      <c r="B10" s="3" t="s">
        <v>95</v>
      </c>
      <c r="C10" s="3" t="s">
        <v>96</v>
      </c>
      <c r="D10" s="3" t="s">
        <v>98</v>
      </c>
      <c r="E10" s="3" t="s">
        <v>99</v>
      </c>
      <c r="F10" s="4"/>
      <c r="G10" s="4"/>
      <c r="H10" s="4"/>
      <c r="I10" s="4"/>
      <c r="J10" s="4"/>
      <c r="K10" s="4"/>
    </row>
    <row r="11" ht="63.75" customHeight="1">
      <c r="A11" s="4" t="s">
        <v>97</v>
      </c>
      <c r="B11" s="4" t="s">
        <v>100</v>
      </c>
      <c r="C11" s="11">
        <v>22000.0</v>
      </c>
      <c r="D11" s="4" t="s">
        <v>101</v>
      </c>
      <c r="E11" s="4" t="s">
        <v>102</v>
      </c>
      <c r="F11" s="4"/>
      <c r="G11" s="4"/>
      <c r="H11" s="4"/>
      <c r="I11" s="4"/>
      <c r="J11" s="4"/>
      <c r="K11" s="4"/>
    </row>
    <row r="12" ht="63.75" customHeight="1">
      <c r="A12" s="4" t="s">
        <v>103</v>
      </c>
      <c r="B12" s="4" t="s">
        <v>104</v>
      </c>
      <c r="C12" s="11">
        <v>16000.0</v>
      </c>
      <c r="D12" s="4" t="s">
        <v>101</v>
      </c>
      <c r="E12" s="4" t="s">
        <v>105</v>
      </c>
      <c r="F12" s="4"/>
      <c r="G12" s="4"/>
      <c r="H12" s="4"/>
      <c r="I12" s="4"/>
      <c r="J12" s="4"/>
      <c r="K12" s="4"/>
    </row>
    <row r="13" ht="63.75" customHeight="1">
      <c r="A13" s="4" t="s">
        <v>106</v>
      </c>
      <c r="B13" s="4" t="s">
        <v>107</v>
      </c>
      <c r="C13" s="11">
        <v>20000.0</v>
      </c>
      <c r="D13" s="4" t="s">
        <v>101</v>
      </c>
      <c r="E13" s="4" t="s">
        <v>108</v>
      </c>
      <c r="F13" s="4"/>
      <c r="G13" s="4"/>
      <c r="H13" s="4"/>
      <c r="I13" s="4"/>
      <c r="J13" s="4"/>
      <c r="K13" s="4"/>
    </row>
    <row r="14" ht="63.75" customHeight="1">
      <c r="A14" s="4" t="s">
        <v>109</v>
      </c>
      <c r="B14" s="4" t="s">
        <v>110</v>
      </c>
      <c r="C14" s="11">
        <v>18000.0</v>
      </c>
      <c r="D14" s="4" t="s">
        <v>101</v>
      </c>
      <c r="E14" s="4" t="s">
        <v>112</v>
      </c>
      <c r="F14" s="4"/>
      <c r="G14" s="4"/>
      <c r="H14" s="4"/>
      <c r="I14" s="4"/>
      <c r="J14" s="4"/>
      <c r="K14" s="4"/>
    </row>
    <row r="15" ht="63.75" customHeight="1">
      <c r="A15" s="4" t="s">
        <v>113</v>
      </c>
      <c r="B15" s="4" t="s">
        <v>114</v>
      </c>
      <c r="C15" s="11">
        <v>18000.0</v>
      </c>
      <c r="D15" s="4" t="s">
        <v>101</v>
      </c>
      <c r="E15" s="4" t="s">
        <v>115</v>
      </c>
      <c r="F15" s="4"/>
      <c r="G15" s="4"/>
      <c r="H15" s="4"/>
      <c r="I15" s="4"/>
      <c r="J15" s="4"/>
      <c r="K15" s="4"/>
    </row>
    <row r="16" ht="63.75" customHeight="1">
      <c r="A16" s="4" t="s">
        <v>116</v>
      </c>
      <c r="B16" s="4" t="s">
        <v>117</v>
      </c>
      <c r="C16" s="11">
        <v>24000.0</v>
      </c>
      <c r="D16" s="4" t="s">
        <v>101</v>
      </c>
      <c r="E16" s="4" t="s">
        <v>118</v>
      </c>
      <c r="F16" s="4"/>
      <c r="G16" s="4"/>
      <c r="H16" s="4"/>
      <c r="I16" s="4"/>
      <c r="J16" s="4"/>
      <c r="K16" s="4"/>
    </row>
    <row r="17" ht="63.75" customHeight="1">
      <c r="A17" s="4" t="s">
        <v>119</v>
      </c>
      <c r="B17" s="4" t="s">
        <v>120</v>
      </c>
      <c r="C17" s="11">
        <v>28000.0</v>
      </c>
      <c r="D17" s="4" t="s">
        <v>101</v>
      </c>
      <c r="E17" s="4" t="s">
        <v>121</v>
      </c>
      <c r="F17" s="4"/>
      <c r="G17" s="4"/>
      <c r="H17" s="4"/>
      <c r="I17" s="4"/>
      <c r="J17" s="4"/>
      <c r="K17" s="4"/>
    </row>
    <row r="18" ht="63.75" customHeight="1">
      <c r="A18" s="4" t="s">
        <v>122</v>
      </c>
      <c r="B18" s="4" t="s">
        <v>123</v>
      </c>
      <c r="C18" s="11">
        <v>26000.0</v>
      </c>
      <c r="D18" s="4" t="s">
        <v>101</v>
      </c>
      <c r="E18" s="4" t="s">
        <v>124</v>
      </c>
      <c r="F18" s="4"/>
      <c r="G18" s="4"/>
      <c r="H18" s="4"/>
      <c r="I18" s="4"/>
      <c r="J18" s="4"/>
      <c r="K18" s="4"/>
    </row>
    <row r="19" ht="63.75" customHeight="1">
      <c r="A19" s="4" t="s">
        <v>126</v>
      </c>
      <c r="B19" s="4" t="s">
        <v>127</v>
      </c>
      <c r="C19" s="11">
        <v>26000.0</v>
      </c>
      <c r="D19" s="4" t="s">
        <v>101</v>
      </c>
      <c r="E19" s="4" t="s">
        <v>128</v>
      </c>
      <c r="F19" s="4"/>
      <c r="G19" s="4"/>
      <c r="H19" s="4"/>
      <c r="I19" s="4"/>
      <c r="J19" s="4"/>
      <c r="K19" s="4"/>
    </row>
    <row r="20">
      <c r="A20" s="4"/>
      <c r="B20" s="4"/>
      <c r="C20" s="4"/>
      <c r="D20" s="4"/>
      <c r="E20" s="4"/>
      <c r="F20" s="4"/>
      <c r="G20" s="4"/>
      <c r="H20" s="4"/>
      <c r="I20" s="4"/>
      <c r="J20" s="4"/>
      <c r="K20" s="4"/>
    </row>
    <row r="21" ht="15.75" customHeight="1">
      <c r="A21" s="4"/>
      <c r="B21" s="4"/>
      <c r="C21" s="4"/>
      <c r="D21" s="4"/>
      <c r="E21" s="4"/>
      <c r="F21" s="4"/>
      <c r="G21" s="4"/>
      <c r="H21" s="4"/>
      <c r="I21" s="4"/>
      <c r="J21" s="4"/>
      <c r="K21" s="4"/>
    </row>
    <row r="22" ht="15.75" customHeight="1">
      <c r="A22" s="4"/>
      <c r="B22" s="4"/>
      <c r="C22" s="4"/>
      <c r="D22" s="4"/>
      <c r="E22" s="4"/>
      <c r="F22" s="4"/>
      <c r="G22" s="4"/>
      <c r="H22" s="4"/>
      <c r="I22" s="4"/>
      <c r="J22" s="4"/>
      <c r="K22" s="4"/>
    </row>
    <row r="23" ht="55.5" customHeight="1">
      <c r="A23" s="3" t="s">
        <v>129</v>
      </c>
      <c r="B23" s="3" t="s">
        <v>130</v>
      </c>
      <c r="C23" s="3" t="s">
        <v>131</v>
      </c>
      <c r="D23" s="3" t="s">
        <v>132</v>
      </c>
      <c r="E23" s="3" t="s">
        <v>133</v>
      </c>
      <c r="F23" s="3" t="s">
        <v>134</v>
      </c>
      <c r="G23" s="3" t="s">
        <v>135</v>
      </c>
      <c r="H23" s="3" t="s">
        <v>136</v>
      </c>
      <c r="I23" s="3" t="s">
        <v>137</v>
      </c>
      <c r="J23" s="3" t="s">
        <v>138</v>
      </c>
      <c r="K23" s="3" t="s">
        <v>139</v>
      </c>
    </row>
    <row r="24" ht="75.75" customHeight="1">
      <c r="A24" s="4">
        <v>1.0</v>
      </c>
      <c r="B24" s="22">
        <v>0.0</v>
      </c>
      <c r="C24" s="22">
        <v>0.1</v>
      </c>
      <c r="D24" s="23">
        <v>0.1</v>
      </c>
      <c r="E24" s="23">
        <v>0.05</v>
      </c>
      <c r="F24" s="4" t="s">
        <v>140</v>
      </c>
      <c r="G24" s="19">
        <v>0.0</v>
      </c>
      <c r="H24" s="19">
        <v>0.005</v>
      </c>
      <c r="I24" s="4">
        <v>0.0</v>
      </c>
      <c r="J24" s="4">
        <v>2.0</v>
      </c>
      <c r="K24" s="4" t="s">
        <v>141</v>
      </c>
    </row>
    <row r="25" ht="75.75" customHeight="1">
      <c r="A25" s="4">
        <v>2.0</v>
      </c>
      <c r="B25" s="22">
        <v>0.1</v>
      </c>
      <c r="C25" s="22">
        <v>0.3</v>
      </c>
      <c r="D25" s="23">
        <v>0.3</v>
      </c>
      <c r="E25" s="23">
        <v>0.1</v>
      </c>
      <c r="F25" s="4" t="s">
        <v>142</v>
      </c>
      <c r="G25" s="19">
        <v>0.005</v>
      </c>
      <c r="H25" s="19">
        <v>0.01</v>
      </c>
      <c r="I25" s="4">
        <v>2.0</v>
      </c>
      <c r="J25" s="4">
        <v>7.0</v>
      </c>
      <c r="K25" s="4" t="s">
        <v>143</v>
      </c>
    </row>
    <row r="26" ht="75.75" customHeight="1">
      <c r="A26" s="4">
        <v>3.0</v>
      </c>
      <c r="B26" s="22">
        <v>0.3</v>
      </c>
      <c r="C26" s="22">
        <v>0.5</v>
      </c>
      <c r="D26" s="23">
        <v>0.5</v>
      </c>
      <c r="E26" s="23">
        <v>0.2</v>
      </c>
      <c r="F26" s="4" t="s">
        <v>144</v>
      </c>
      <c r="G26" s="19">
        <v>0.01</v>
      </c>
      <c r="H26" s="19">
        <v>0.02</v>
      </c>
      <c r="I26" s="4">
        <v>7.0</v>
      </c>
      <c r="J26" s="4">
        <v>21.0</v>
      </c>
      <c r="K26" s="4" t="s">
        <v>145</v>
      </c>
    </row>
    <row r="27" ht="75.75" customHeight="1">
      <c r="A27" s="4">
        <v>4.0</v>
      </c>
      <c r="B27" s="22">
        <v>0.5</v>
      </c>
      <c r="C27" s="22">
        <v>0.7</v>
      </c>
      <c r="D27" s="23">
        <v>0.7</v>
      </c>
      <c r="E27" s="23">
        <v>0.4</v>
      </c>
      <c r="F27" s="4" t="s">
        <v>146</v>
      </c>
      <c r="G27" s="19">
        <v>0.02</v>
      </c>
      <c r="H27" s="19">
        <v>0.05</v>
      </c>
      <c r="I27" s="4">
        <v>21.0</v>
      </c>
      <c r="J27" s="4">
        <v>42.0</v>
      </c>
      <c r="K27" s="4" t="s">
        <v>147</v>
      </c>
    </row>
    <row r="28" ht="75.75" customHeight="1">
      <c r="A28" s="4">
        <v>5.0</v>
      </c>
      <c r="B28" s="22">
        <v>0.7</v>
      </c>
      <c r="C28" s="22">
        <v>1.0</v>
      </c>
      <c r="D28" s="23">
        <v>0.9</v>
      </c>
      <c r="E28" s="23">
        <v>0.8</v>
      </c>
      <c r="F28" s="4" t="s">
        <v>148</v>
      </c>
      <c r="G28" s="19">
        <v>0.05</v>
      </c>
      <c r="H28" s="19"/>
      <c r="I28" s="4">
        <v>42.0</v>
      </c>
      <c r="J28" s="4"/>
      <c r="K28" s="4" t="s">
        <v>149</v>
      </c>
    </row>
    <row r="29" ht="15.75" customHeight="1">
      <c r="A29" s="4"/>
      <c r="B29" s="4"/>
      <c r="C29" s="4"/>
      <c r="D29" s="4"/>
      <c r="E29" s="4"/>
      <c r="F29" s="4"/>
      <c r="G29" s="4"/>
      <c r="H29" s="4"/>
      <c r="I29" s="4"/>
      <c r="J29" s="4"/>
      <c r="K29" s="4"/>
    </row>
    <row r="30" ht="15.75" customHeight="1">
      <c r="A30" s="4"/>
      <c r="B30" s="4"/>
      <c r="C30" s="4"/>
      <c r="D30" s="4"/>
      <c r="E30" s="4"/>
      <c r="F30" s="4"/>
      <c r="G30" s="4"/>
      <c r="H30" s="4"/>
      <c r="I30" s="4"/>
      <c r="J30" s="4"/>
      <c r="K30" s="4"/>
    </row>
    <row r="31" ht="15.75" customHeight="1">
      <c r="A31" s="4"/>
      <c r="B31" s="4"/>
      <c r="C31" s="4"/>
      <c r="D31" s="4"/>
      <c r="E31" s="4"/>
      <c r="F31" s="4"/>
      <c r="G31" s="4"/>
      <c r="H31" s="4"/>
      <c r="I31" s="4"/>
      <c r="J31" s="4"/>
      <c r="K31" s="4"/>
    </row>
    <row r="32" ht="45.0" customHeight="1">
      <c r="A32" s="4" t="s">
        <v>150</v>
      </c>
      <c r="B32" s="4" t="s">
        <v>151</v>
      </c>
    </row>
    <row r="33" ht="45.0" customHeight="1">
      <c r="A33" s="4" t="s">
        <v>152</v>
      </c>
      <c r="B33" s="4" t="s">
        <v>153</v>
      </c>
    </row>
    <row r="34" ht="45.0" customHeight="1">
      <c r="A34" s="4" t="s">
        <v>154</v>
      </c>
      <c r="B34" s="4" t="s">
        <v>155</v>
      </c>
    </row>
    <row r="35" ht="45.0" customHeight="1">
      <c r="A35" s="4" t="s">
        <v>157</v>
      </c>
      <c r="B35" s="4" t="s">
        <v>159</v>
      </c>
    </row>
    <row r="36" ht="45.0" customHeight="1">
      <c r="A36" s="4" t="s">
        <v>160</v>
      </c>
      <c r="B36" s="4" t="s">
        <v>161</v>
      </c>
    </row>
    <row r="37" ht="45.0" customHeight="1">
      <c r="A37" s="4" t="s">
        <v>163</v>
      </c>
      <c r="B37" s="4" t="s">
        <v>165</v>
      </c>
    </row>
    <row r="38" ht="45.0" customHeight="1">
      <c r="A38" s="4" t="s">
        <v>168</v>
      </c>
      <c r="B38" s="4" t="s">
        <v>171</v>
      </c>
    </row>
    <row r="39" ht="45.0" customHeight="1">
      <c r="A39" s="4" t="s">
        <v>173</v>
      </c>
      <c r="B39" s="4" t="s">
        <v>175</v>
      </c>
    </row>
    <row r="40" ht="57.75" customHeight="1">
      <c r="A40" s="4" t="s">
        <v>179</v>
      </c>
      <c r="B40" s="4" t="s">
        <v>181</v>
      </c>
    </row>
    <row r="41" ht="45.0" customHeight="1">
      <c r="A41" s="4" t="s">
        <v>182</v>
      </c>
      <c r="B41" s="4" t="s">
        <v>183</v>
      </c>
    </row>
    <row r="42" ht="45.0" customHeight="1">
      <c r="A42" s="4" t="s">
        <v>184</v>
      </c>
      <c r="B42" s="4" t="s">
        <v>185</v>
      </c>
    </row>
    <row r="43" ht="45.0" customHeight="1">
      <c r="A43" s="4" t="s">
        <v>187</v>
      </c>
      <c r="B43" s="4" t="s">
        <v>188</v>
      </c>
    </row>
    <row r="44" ht="45.0" customHeight="1">
      <c r="A44" s="4" t="s">
        <v>189</v>
      </c>
      <c r="B44" s="4" t="s">
        <v>191</v>
      </c>
    </row>
    <row r="45" ht="45.0" customHeight="1">
      <c r="A45" s="4" t="s">
        <v>192</v>
      </c>
      <c r="B45" s="4" t="s">
        <v>193</v>
      </c>
    </row>
    <row r="46" ht="45.0" customHeight="1">
      <c r="A46" s="4" t="s">
        <v>194</v>
      </c>
      <c r="B46" s="4" t="s">
        <v>196</v>
      </c>
    </row>
    <row r="47" ht="45.0" customHeight="1">
      <c r="A47" s="4" t="s">
        <v>197</v>
      </c>
      <c r="B47" s="4" t="s">
        <v>198</v>
      </c>
    </row>
    <row r="48" ht="45.0" customHeight="1">
      <c r="A48" s="4" t="s">
        <v>199</v>
      </c>
      <c r="B48" s="4" t="s">
        <v>200</v>
      </c>
    </row>
    <row r="49" ht="45.0" customHeight="1">
      <c r="A49" s="4" t="s">
        <v>201</v>
      </c>
      <c r="B49" s="4" t="s">
        <v>202</v>
      </c>
    </row>
    <row r="50" ht="45.0" customHeight="1">
      <c r="A50" s="4" t="s">
        <v>203</v>
      </c>
      <c r="B50" s="4" t="s">
        <v>204</v>
      </c>
    </row>
    <row r="51" ht="45.0" customHeight="1">
      <c r="A51" s="4" t="s">
        <v>205</v>
      </c>
      <c r="B51" s="4" t="s">
        <v>206</v>
      </c>
    </row>
    <row r="52" ht="15.75" customHeight="1">
      <c r="A52" s="4"/>
      <c r="B52" s="4"/>
      <c r="C52" s="4"/>
      <c r="D52" s="4"/>
      <c r="E52" s="4"/>
      <c r="F52" s="4"/>
      <c r="G52" s="4"/>
      <c r="H52" s="4"/>
      <c r="I52" s="4"/>
      <c r="J52" s="4"/>
      <c r="K52" s="4"/>
    </row>
    <row r="53" ht="15.75" customHeight="1">
      <c r="A53" s="4"/>
      <c r="B53" s="4"/>
      <c r="C53" s="4"/>
      <c r="D53" s="4"/>
      <c r="E53" s="4"/>
      <c r="F53" s="4"/>
      <c r="G53" s="4"/>
      <c r="H53" s="4"/>
      <c r="I53" s="4"/>
      <c r="J53" s="4"/>
      <c r="K53" s="4"/>
    </row>
    <row r="54" ht="15.75" customHeight="1">
      <c r="A54" s="4"/>
      <c r="B54" s="4"/>
      <c r="C54" s="4"/>
      <c r="D54" s="4"/>
      <c r="E54" s="4"/>
      <c r="F54" s="4"/>
      <c r="G54" s="4"/>
      <c r="H54" s="4"/>
      <c r="I54" s="4"/>
      <c r="J54" s="4"/>
      <c r="K54" s="4"/>
    </row>
    <row r="55" ht="15.75" customHeight="1">
      <c r="A55" s="4"/>
      <c r="B55" s="4"/>
      <c r="C55" s="4"/>
      <c r="D55" s="4"/>
      <c r="E55" s="4"/>
      <c r="F55" s="4"/>
      <c r="G55" s="4"/>
      <c r="H55" s="4"/>
      <c r="I55" s="4"/>
      <c r="J55" s="4"/>
      <c r="K55" s="4"/>
    </row>
    <row r="56" ht="15.75" customHeight="1">
      <c r="A56" s="4"/>
      <c r="B56" s="4"/>
      <c r="C56" s="4"/>
      <c r="D56" s="4"/>
      <c r="E56" s="4"/>
      <c r="F56" s="4"/>
      <c r="G56" s="4"/>
      <c r="H56" s="4"/>
      <c r="I56" s="4"/>
      <c r="J56" s="4"/>
      <c r="K56" s="4"/>
    </row>
    <row r="57" ht="55.5" customHeight="1">
      <c r="A57" s="5" t="s">
        <v>14</v>
      </c>
      <c r="B57" s="5" t="s">
        <v>215</v>
      </c>
      <c r="C57" s="5" t="s">
        <v>216</v>
      </c>
      <c r="D57" s="5" t="s">
        <v>217</v>
      </c>
      <c r="E57" s="5" t="s">
        <v>218</v>
      </c>
      <c r="F57" s="5" t="s">
        <v>219</v>
      </c>
      <c r="G57" s="4"/>
      <c r="H57" s="4"/>
      <c r="I57" s="4"/>
      <c r="J57" s="4"/>
      <c r="K57" s="4"/>
    </row>
    <row r="58" ht="150.0" customHeight="1">
      <c r="A58" s="26" t="s">
        <v>68</v>
      </c>
      <c r="B58" s="26" t="s">
        <v>221</v>
      </c>
      <c r="C58" s="26">
        <v>149.0</v>
      </c>
      <c r="D58" s="26" t="s">
        <v>222</v>
      </c>
      <c r="E58" s="26" t="s">
        <v>223</v>
      </c>
      <c r="F58" s="26" t="s">
        <v>226</v>
      </c>
      <c r="G58" s="4"/>
      <c r="H58" s="4"/>
      <c r="I58" s="4"/>
      <c r="J58" s="4"/>
      <c r="K58" s="4"/>
    </row>
    <row r="59" ht="150.0" customHeight="1">
      <c r="A59" s="10" t="s">
        <v>220</v>
      </c>
      <c r="B59" s="10" t="s">
        <v>233</v>
      </c>
      <c r="C59" s="10">
        <v>46.0</v>
      </c>
      <c r="D59" s="10" t="s">
        <v>234</v>
      </c>
      <c r="E59" s="10" t="s">
        <v>235</v>
      </c>
      <c r="F59" s="10" t="s">
        <v>226</v>
      </c>
      <c r="G59" s="4"/>
      <c r="H59" s="4"/>
      <c r="I59" s="4"/>
      <c r="J59" s="4"/>
      <c r="K59" s="4"/>
    </row>
    <row r="60" ht="150.0" customHeight="1">
      <c r="A60" s="26" t="s">
        <v>236</v>
      </c>
      <c r="B60" s="26" t="s">
        <v>237</v>
      </c>
      <c r="C60" s="26">
        <v>35.0</v>
      </c>
      <c r="D60" s="26" t="s">
        <v>238</v>
      </c>
      <c r="E60" s="26" t="s">
        <v>239</v>
      </c>
      <c r="F60" s="26" t="s">
        <v>226</v>
      </c>
      <c r="G60" s="4"/>
      <c r="H60" s="4"/>
      <c r="I60" s="4"/>
      <c r="J60" s="4"/>
      <c r="K60" s="4"/>
    </row>
    <row r="61" ht="150.0" customHeight="1">
      <c r="A61" s="10" t="s">
        <v>240</v>
      </c>
      <c r="B61" s="10" t="s">
        <v>221</v>
      </c>
      <c r="C61" s="10">
        <v>147.0</v>
      </c>
      <c r="D61" s="10" t="s">
        <v>241</v>
      </c>
      <c r="E61" s="10" t="s">
        <v>243</v>
      </c>
      <c r="F61" s="10" t="s">
        <v>226</v>
      </c>
      <c r="G61" s="4"/>
      <c r="H61" s="4"/>
      <c r="I61" s="4"/>
      <c r="J61" s="4"/>
      <c r="K61" s="4"/>
    </row>
    <row r="62" ht="150.0" customHeight="1">
      <c r="A62" s="26" t="s">
        <v>244</v>
      </c>
      <c r="B62" s="26" t="s">
        <v>245</v>
      </c>
      <c r="C62" s="26">
        <v>30.0</v>
      </c>
      <c r="D62" s="26" t="s">
        <v>253</v>
      </c>
      <c r="E62" s="26" t="s">
        <v>254</v>
      </c>
      <c r="F62" s="26" t="s">
        <v>226</v>
      </c>
      <c r="G62" s="4"/>
      <c r="H62" s="4"/>
      <c r="I62" s="4"/>
      <c r="J62" s="4"/>
      <c r="K62" s="4"/>
    </row>
    <row r="63" ht="150.0" customHeight="1">
      <c r="A63" s="10" t="s">
        <v>255</v>
      </c>
      <c r="B63" s="10" t="s">
        <v>221</v>
      </c>
      <c r="C63" s="10">
        <v>147.0</v>
      </c>
      <c r="D63" s="10" t="s">
        <v>256</v>
      </c>
      <c r="E63" s="10" t="s">
        <v>257</v>
      </c>
      <c r="F63" s="10" t="s">
        <v>226</v>
      </c>
      <c r="G63" s="4"/>
      <c r="H63" s="4"/>
      <c r="I63" s="4"/>
      <c r="J63" s="4"/>
      <c r="K63" s="4"/>
    </row>
    <row r="64" ht="150.0" customHeight="1">
      <c r="A64" s="26" t="s">
        <v>260</v>
      </c>
      <c r="B64" s="26" t="s">
        <v>221</v>
      </c>
      <c r="C64" s="26">
        <v>147.0</v>
      </c>
      <c r="D64" s="26" t="s">
        <v>265</v>
      </c>
      <c r="E64" s="26" t="s">
        <v>266</v>
      </c>
      <c r="F64" s="26" t="s">
        <v>226</v>
      </c>
      <c r="G64" s="4"/>
      <c r="H64" s="4"/>
      <c r="I64" s="4"/>
      <c r="J64" s="4"/>
      <c r="K64" s="4"/>
    </row>
    <row r="65" ht="150.0" customHeight="1">
      <c r="A65" s="10" t="s">
        <v>267</v>
      </c>
      <c r="B65" s="10" t="s">
        <v>237</v>
      </c>
      <c r="C65" s="10">
        <v>35.0</v>
      </c>
      <c r="D65" s="10" t="s">
        <v>268</v>
      </c>
      <c r="E65" s="10" t="s">
        <v>269</v>
      </c>
      <c r="F65" s="10" t="s">
        <v>226</v>
      </c>
      <c r="G65" s="4"/>
      <c r="H65" s="4"/>
      <c r="I65" s="4"/>
      <c r="J65" s="4"/>
      <c r="K65" s="4"/>
    </row>
    <row r="66" ht="150.0" customHeight="1">
      <c r="A66" s="26" t="s">
        <v>270</v>
      </c>
      <c r="B66" s="26" t="s">
        <v>271</v>
      </c>
      <c r="C66" s="26">
        <v>22.0</v>
      </c>
      <c r="D66" s="26" t="s">
        <v>272</v>
      </c>
      <c r="E66" s="26" t="s">
        <v>273</v>
      </c>
      <c r="F66" s="26" t="s">
        <v>226</v>
      </c>
      <c r="G66" s="4"/>
      <c r="H66" s="4"/>
      <c r="I66" s="4"/>
      <c r="J66" s="4"/>
      <c r="K66" s="4"/>
    </row>
    <row r="67" ht="150.0" customHeight="1">
      <c r="A67" s="10" t="s">
        <v>275</v>
      </c>
      <c r="B67" s="10" t="s">
        <v>271</v>
      </c>
      <c r="C67" s="10">
        <v>22.0</v>
      </c>
      <c r="D67" s="10" t="s">
        <v>276</v>
      </c>
      <c r="E67" s="10" t="s">
        <v>278</v>
      </c>
      <c r="F67" s="10" t="s">
        <v>226</v>
      </c>
      <c r="G67" s="4"/>
      <c r="H67" s="4"/>
      <c r="I67" s="4"/>
      <c r="J67" s="4"/>
      <c r="K67" s="4"/>
    </row>
    <row r="68" ht="150.0" customHeight="1">
      <c r="A68" s="26" t="s">
        <v>283</v>
      </c>
      <c r="B68" s="26" t="s">
        <v>271</v>
      </c>
      <c r="C68" s="26">
        <v>22.0</v>
      </c>
      <c r="D68" s="26" t="s">
        <v>287</v>
      </c>
      <c r="E68" s="26" t="s">
        <v>288</v>
      </c>
      <c r="F68" s="26" t="s">
        <v>226</v>
      </c>
      <c r="G68" s="4"/>
      <c r="H68" s="4"/>
      <c r="I68" s="4"/>
      <c r="J68" s="4"/>
      <c r="K68" s="4"/>
    </row>
    <row r="69" ht="150.0" customHeight="1">
      <c r="A69" s="10" t="s">
        <v>289</v>
      </c>
      <c r="B69" s="10" t="s">
        <v>221</v>
      </c>
      <c r="C69" s="10">
        <v>148.0</v>
      </c>
      <c r="D69" s="10" t="s">
        <v>290</v>
      </c>
      <c r="E69" s="10" t="s">
        <v>291</v>
      </c>
      <c r="F69" s="10" t="s">
        <v>226</v>
      </c>
      <c r="G69" s="4"/>
      <c r="H69" s="4"/>
      <c r="I69" s="4"/>
      <c r="J69" s="4"/>
      <c r="K69" s="4"/>
    </row>
    <row r="70" ht="150.0" customHeight="1">
      <c r="A70" s="26" t="s">
        <v>295</v>
      </c>
      <c r="B70" s="26" t="s">
        <v>297</v>
      </c>
      <c r="C70" s="26">
        <v>6.0</v>
      </c>
      <c r="D70" s="26" t="s">
        <v>299</v>
      </c>
      <c r="E70" s="26" t="s">
        <v>300</v>
      </c>
      <c r="F70" s="26" t="s">
        <v>226</v>
      </c>
      <c r="G70" s="4"/>
      <c r="H70" s="4"/>
      <c r="I70" s="4"/>
      <c r="J70" s="4"/>
      <c r="K70" s="4"/>
    </row>
    <row r="71" ht="150.0" customHeight="1">
      <c r="A71" s="10" t="s">
        <v>301</v>
      </c>
      <c r="B71" s="10" t="s">
        <v>297</v>
      </c>
      <c r="C71" s="10">
        <v>7.0</v>
      </c>
      <c r="D71" s="10" t="s">
        <v>302</v>
      </c>
      <c r="E71" s="10" t="s">
        <v>303</v>
      </c>
      <c r="F71" s="10" t="s">
        <v>226</v>
      </c>
      <c r="G71" s="4"/>
      <c r="H71" s="4"/>
      <c r="I71" s="4"/>
      <c r="J71" s="4"/>
      <c r="K71" s="4"/>
    </row>
    <row r="72" ht="150.0" customHeight="1">
      <c r="A72" s="26" t="s">
        <v>304</v>
      </c>
      <c r="B72" s="26" t="s">
        <v>305</v>
      </c>
      <c r="C72" s="26">
        <v>20.0</v>
      </c>
      <c r="D72" s="26" t="s">
        <v>307</v>
      </c>
      <c r="E72" s="26" t="s">
        <v>308</v>
      </c>
      <c r="F72" s="26" t="s">
        <v>226</v>
      </c>
      <c r="G72" s="4"/>
      <c r="H72" s="4"/>
      <c r="I72" s="4"/>
      <c r="J72" s="4"/>
      <c r="K72" s="4"/>
    </row>
    <row r="73" ht="150.0" customHeight="1">
      <c r="A73" s="10" t="s">
        <v>309</v>
      </c>
      <c r="B73" s="10" t="s">
        <v>233</v>
      </c>
      <c r="C73" s="10">
        <v>22.0</v>
      </c>
      <c r="D73" s="10" t="s">
        <v>310</v>
      </c>
      <c r="E73" s="10" t="s">
        <v>311</v>
      </c>
      <c r="F73" s="10" t="s">
        <v>226</v>
      </c>
      <c r="G73" s="4"/>
      <c r="H73" s="4"/>
      <c r="I73" s="4"/>
      <c r="J73" s="4"/>
      <c r="K73" s="4"/>
    </row>
    <row r="74" ht="150.0" customHeight="1">
      <c r="A74" s="26" t="s">
        <v>312</v>
      </c>
      <c r="B74" s="26" t="s">
        <v>221</v>
      </c>
      <c r="C74" s="26">
        <v>149.0</v>
      </c>
      <c r="D74" s="26" t="s">
        <v>313</v>
      </c>
      <c r="E74" s="26" t="s">
        <v>314</v>
      </c>
      <c r="F74" s="26" t="s">
        <v>226</v>
      </c>
      <c r="G74" s="4"/>
      <c r="H74" s="4"/>
      <c r="I74" s="4"/>
      <c r="J74" s="4"/>
      <c r="K74" s="4"/>
    </row>
    <row r="75" ht="150.0" customHeight="1">
      <c r="A75" s="10" t="s">
        <v>315</v>
      </c>
      <c r="B75" s="10" t="s">
        <v>233</v>
      </c>
      <c r="C75" s="10">
        <v>23.0</v>
      </c>
      <c r="D75" s="10" t="s">
        <v>317</v>
      </c>
      <c r="E75" s="10" t="s">
        <v>318</v>
      </c>
      <c r="F75" s="10" t="s">
        <v>226</v>
      </c>
      <c r="G75" s="4"/>
      <c r="H75" s="4"/>
      <c r="I75" s="4"/>
      <c r="J75" s="4"/>
      <c r="K75" s="4"/>
    </row>
    <row r="76" ht="150.0" customHeight="1">
      <c r="A76" s="26" t="s">
        <v>319</v>
      </c>
      <c r="B76" s="26" t="s">
        <v>320</v>
      </c>
      <c r="C76" s="26">
        <v>5.0</v>
      </c>
      <c r="D76" s="26" t="s">
        <v>321</v>
      </c>
      <c r="E76" s="26" t="s">
        <v>322</v>
      </c>
      <c r="F76" s="26" t="s">
        <v>226</v>
      </c>
      <c r="G76" s="4"/>
      <c r="H76" s="4"/>
      <c r="I76" s="4"/>
      <c r="J76" s="4"/>
      <c r="K76" s="4"/>
    </row>
    <row r="77" ht="150.0" customHeight="1">
      <c r="A77" s="10" t="s">
        <v>323</v>
      </c>
      <c r="B77" s="10" t="s">
        <v>297</v>
      </c>
      <c r="C77" s="10">
        <v>7.0</v>
      </c>
      <c r="D77" s="10" t="s">
        <v>329</v>
      </c>
      <c r="E77" s="10" t="s">
        <v>331</v>
      </c>
      <c r="F77" s="10" t="s">
        <v>226</v>
      </c>
      <c r="G77" s="4"/>
      <c r="H77" s="4"/>
      <c r="I77" s="4"/>
      <c r="J77" s="4"/>
      <c r="K77" s="4"/>
    </row>
    <row r="78" ht="150.0" customHeight="1">
      <c r="A78" s="26" t="s">
        <v>336</v>
      </c>
      <c r="B78" s="26" t="s">
        <v>271</v>
      </c>
      <c r="C78" s="26">
        <v>47.0</v>
      </c>
      <c r="D78" s="26" t="s">
        <v>339</v>
      </c>
      <c r="E78" s="26" t="s">
        <v>340</v>
      </c>
      <c r="F78" s="26" t="s">
        <v>226</v>
      </c>
      <c r="G78" s="4"/>
      <c r="H78" s="4"/>
      <c r="I78" s="4"/>
      <c r="J78" s="4"/>
      <c r="K78" s="4"/>
    </row>
    <row r="79" ht="150.0" customHeight="1">
      <c r="A79" s="10" t="s">
        <v>341</v>
      </c>
      <c r="B79" s="10" t="s">
        <v>342</v>
      </c>
      <c r="C79" s="10">
        <v>172.0</v>
      </c>
      <c r="D79" s="10" t="s">
        <v>343</v>
      </c>
      <c r="E79" s="10" t="s">
        <v>344</v>
      </c>
      <c r="F79" s="10" t="s">
        <v>226</v>
      </c>
      <c r="G79" s="4"/>
      <c r="H79" s="4"/>
      <c r="I79" s="4"/>
      <c r="J79" s="4"/>
      <c r="K79" s="4"/>
    </row>
    <row r="80" ht="150.0" customHeight="1">
      <c r="A80" s="26" t="s">
        <v>345</v>
      </c>
      <c r="B80" s="26" t="s">
        <v>342</v>
      </c>
      <c r="C80" s="26">
        <v>124.0</v>
      </c>
      <c r="D80" s="26" t="s">
        <v>346</v>
      </c>
      <c r="E80" s="26" t="s">
        <v>347</v>
      </c>
      <c r="F80" s="26" t="s">
        <v>226</v>
      </c>
      <c r="G80" s="4"/>
      <c r="H80" s="4"/>
      <c r="I80" s="4"/>
      <c r="J80" s="4"/>
      <c r="K80" s="4"/>
    </row>
    <row r="81" ht="150.0" customHeight="1">
      <c r="A81" s="10" t="s">
        <v>348</v>
      </c>
      <c r="B81" s="10" t="s">
        <v>271</v>
      </c>
      <c r="C81" s="10">
        <v>43.0</v>
      </c>
      <c r="D81" s="10" t="s">
        <v>349</v>
      </c>
      <c r="E81" s="10" t="s">
        <v>350</v>
      </c>
      <c r="F81" s="10" t="s">
        <v>226</v>
      </c>
      <c r="G81" s="4"/>
      <c r="H81" s="4"/>
      <c r="I81" s="4"/>
      <c r="J81" s="4"/>
      <c r="K81" s="4"/>
    </row>
    <row r="82" ht="150.0" customHeight="1">
      <c r="A82" s="26" t="s">
        <v>351</v>
      </c>
      <c r="B82" s="26" t="s">
        <v>271</v>
      </c>
      <c r="C82" s="26">
        <v>22.0</v>
      </c>
      <c r="D82" s="26" t="s">
        <v>352</v>
      </c>
      <c r="E82" s="26" t="s">
        <v>353</v>
      </c>
      <c r="F82" s="26" t="s">
        <v>226</v>
      </c>
      <c r="G82" s="4"/>
      <c r="H82" s="4"/>
      <c r="I82" s="4"/>
      <c r="J82" s="4"/>
      <c r="K82" s="4"/>
    </row>
    <row r="83" ht="150.0" customHeight="1">
      <c r="A83" s="10" t="s">
        <v>354</v>
      </c>
      <c r="B83" s="10" t="s">
        <v>271</v>
      </c>
      <c r="C83" s="10">
        <v>42.0</v>
      </c>
      <c r="D83" s="10" t="s">
        <v>355</v>
      </c>
      <c r="E83" s="10" t="s">
        <v>356</v>
      </c>
      <c r="F83" s="10" t="s">
        <v>226</v>
      </c>
      <c r="G83" s="4"/>
      <c r="H83" s="4"/>
      <c r="I83" s="4"/>
      <c r="J83" s="4"/>
      <c r="K83" s="4"/>
    </row>
    <row r="84" ht="150.0" customHeight="1">
      <c r="A84" s="26" t="s">
        <v>357</v>
      </c>
      <c r="B84" s="26" t="s">
        <v>342</v>
      </c>
      <c r="C84" s="26">
        <v>20.0</v>
      </c>
      <c r="D84" s="26" t="s">
        <v>359</v>
      </c>
      <c r="E84" s="26" t="s">
        <v>360</v>
      </c>
      <c r="F84" s="26" t="s">
        <v>226</v>
      </c>
      <c r="G84" s="4"/>
      <c r="H84" s="4"/>
      <c r="I84" s="4"/>
      <c r="J84" s="4"/>
      <c r="K84" s="4"/>
    </row>
    <row r="85" ht="150.0" customHeight="1">
      <c r="A85" s="10" t="s">
        <v>361</v>
      </c>
      <c r="B85" s="10" t="s">
        <v>305</v>
      </c>
      <c r="C85" s="10">
        <v>36.0</v>
      </c>
      <c r="D85" s="10" t="s">
        <v>367</v>
      </c>
      <c r="E85" s="10" t="s">
        <v>369</v>
      </c>
      <c r="F85" s="10" t="s">
        <v>226</v>
      </c>
      <c r="G85" s="4"/>
      <c r="H85" s="4"/>
      <c r="I85" s="4"/>
      <c r="J85" s="4"/>
      <c r="K85" s="4"/>
    </row>
    <row r="86" ht="150.0" customHeight="1">
      <c r="A86" s="26" t="s">
        <v>375</v>
      </c>
      <c r="B86" s="26" t="s">
        <v>233</v>
      </c>
      <c r="C86" s="26">
        <v>46.0</v>
      </c>
      <c r="D86" s="26" t="s">
        <v>377</v>
      </c>
      <c r="E86" s="26" t="s">
        <v>378</v>
      </c>
      <c r="F86" s="26" t="s">
        <v>379</v>
      </c>
      <c r="G86" s="4"/>
      <c r="H86" s="4"/>
      <c r="I86" s="4"/>
      <c r="J86" s="4"/>
      <c r="K86" s="4"/>
    </row>
    <row r="87" ht="150.0" customHeight="1">
      <c r="A87" s="10" t="s">
        <v>380</v>
      </c>
      <c r="B87" s="10" t="s">
        <v>233</v>
      </c>
      <c r="C87" s="10">
        <v>46.0</v>
      </c>
      <c r="D87" s="10" t="s">
        <v>377</v>
      </c>
      <c r="E87" s="10" t="s">
        <v>381</v>
      </c>
      <c r="F87" s="10" t="s">
        <v>379</v>
      </c>
      <c r="G87" s="4"/>
      <c r="H87" s="4"/>
      <c r="I87" s="4"/>
      <c r="J87" s="4"/>
      <c r="K87" s="4"/>
    </row>
    <row r="88" ht="150.0" customHeight="1">
      <c r="A88" s="26" t="s">
        <v>382</v>
      </c>
      <c r="B88" s="26" t="s">
        <v>233</v>
      </c>
      <c r="C88" s="26">
        <v>46.0</v>
      </c>
      <c r="D88" s="26" t="s">
        <v>377</v>
      </c>
      <c r="E88" s="26" t="s">
        <v>383</v>
      </c>
      <c r="F88" s="26" t="s">
        <v>379</v>
      </c>
      <c r="G88" s="4"/>
      <c r="H88" s="4"/>
      <c r="I88" s="4"/>
      <c r="J88" s="4"/>
      <c r="K88" s="4"/>
    </row>
    <row r="89" ht="150.0" customHeight="1">
      <c r="A89" s="10" t="s">
        <v>384</v>
      </c>
      <c r="B89" s="10" t="s">
        <v>233</v>
      </c>
      <c r="C89" s="10">
        <v>23.0</v>
      </c>
      <c r="D89" s="10" t="s">
        <v>386</v>
      </c>
      <c r="E89" s="10" t="s">
        <v>387</v>
      </c>
      <c r="F89" s="10" t="s">
        <v>226</v>
      </c>
      <c r="G89" s="4"/>
      <c r="H89" s="4"/>
      <c r="I89" s="4"/>
      <c r="J89" s="4"/>
      <c r="K89" s="4"/>
    </row>
    <row r="90" ht="150.0" customHeight="1">
      <c r="A90" s="26" t="s">
        <v>388</v>
      </c>
      <c r="B90" s="26" t="s">
        <v>320</v>
      </c>
      <c r="C90" s="26">
        <v>5.0</v>
      </c>
      <c r="D90" s="26" t="s">
        <v>389</v>
      </c>
      <c r="E90" s="26" t="s">
        <v>390</v>
      </c>
      <c r="F90" s="26" t="s">
        <v>226</v>
      </c>
      <c r="G90" s="4"/>
      <c r="H90" s="4"/>
      <c r="I90" s="4"/>
      <c r="J90" s="4"/>
      <c r="K90" s="4"/>
    </row>
    <row r="91" ht="150.0" customHeight="1">
      <c r="A91" s="10" t="s">
        <v>391</v>
      </c>
      <c r="B91" s="10" t="s">
        <v>342</v>
      </c>
      <c r="C91" s="10">
        <v>104.0</v>
      </c>
      <c r="D91" s="10" t="s">
        <v>392</v>
      </c>
      <c r="E91" s="10" t="s">
        <v>393</v>
      </c>
      <c r="F91" s="10" t="s">
        <v>226</v>
      </c>
      <c r="G91" s="4"/>
      <c r="H91" s="4"/>
      <c r="I91" s="4"/>
      <c r="J91" s="4"/>
      <c r="K91" s="4"/>
    </row>
    <row r="92" ht="15.75" customHeight="1">
      <c r="A92" s="4"/>
      <c r="B92" s="4"/>
      <c r="C92" s="4"/>
      <c r="D92" s="4"/>
      <c r="E92" s="4"/>
      <c r="F92" s="4"/>
      <c r="G92" s="4"/>
      <c r="H92" s="4"/>
      <c r="I92" s="4"/>
      <c r="J92" s="4"/>
      <c r="K92" s="4"/>
    </row>
    <row r="93" ht="15.75" customHeight="1">
      <c r="A93" s="4"/>
      <c r="B93" s="4"/>
      <c r="C93" s="4"/>
      <c r="D93" s="4"/>
      <c r="E93" s="4"/>
      <c r="F93" s="4"/>
      <c r="G93" s="4"/>
      <c r="H93" s="4"/>
      <c r="I93" s="4"/>
      <c r="J93" s="4"/>
      <c r="K93" s="4"/>
    </row>
    <row r="94" ht="15.75" customHeight="1">
      <c r="A94" s="4"/>
      <c r="B94" s="4"/>
      <c r="C94" s="4"/>
      <c r="D94" s="4"/>
      <c r="E94" s="4"/>
      <c r="F94" s="4"/>
      <c r="G94" s="4"/>
      <c r="H94" s="4"/>
      <c r="I94" s="4"/>
      <c r="J94" s="4"/>
      <c r="K94" s="4"/>
    </row>
    <row r="95" ht="15.75" customHeight="1">
      <c r="A95" s="4"/>
      <c r="B95" s="4"/>
      <c r="C95" s="4"/>
      <c r="D95" s="4"/>
      <c r="E95" s="4"/>
      <c r="F95" s="4"/>
      <c r="G95" s="4"/>
      <c r="H95" s="4"/>
      <c r="I95" s="4"/>
      <c r="J95" s="4"/>
      <c r="K95" s="4"/>
    </row>
    <row r="96" ht="55.5" customHeight="1">
      <c r="A96" s="3" t="s">
        <v>397</v>
      </c>
      <c r="B96" s="3" t="s">
        <v>398</v>
      </c>
      <c r="C96" s="3" t="s">
        <v>399</v>
      </c>
      <c r="D96" s="3" t="s">
        <v>400</v>
      </c>
      <c r="E96" s="4"/>
      <c r="F96" s="4"/>
      <c r="G96" s="4"/>
      <c r="H96" s="4"/>
      <c r="I96" s="4"/>
      <c r="J96" s="4"/>
      <c r="K96" s="4"/>
    </row>
    <row r="97" ht="63.75" customHeight="1">
      <c r="A97" s="4" t="s">
        <v>402</v>
      </c>
      <c r="B97" s="4" t="s">
        <v>404</v>
      </c>
      <c r="C97" s="4" t="s">
        <v>405</v>
      </c>
      <c r="D97" s="4" t="s">
        <v>406</v>
      </c>
      <c r="E97" s="4"/>
      <c r="F97" s="4"/>
      <c r="G97" s="4"/>
      <c r="H97" s="4"/>
      <c r="I97" s="4"/>
      <c r="J97" s="4"/>
      <c r="K97" s="4"/>
    </row>
    <row r="98" ht="63.75" customHeight="1">
      <c r="A98" s="4" t="s">
        <v>407</v>
      </c>
      <c r="B98" s="4" t="s">
        <v>408</v>
      </c>
      <c r="C98" s="4" t="s">
        <v>409</v>
      </c>
      <c r="D98" s="4" t="s">
        <v>410</v>
      </c>
      <c r="E98" s="4"/>
      <c r="F98" s="4"/>
      <c r="G98" s="4"/>
      <c r="H98" s="4"/>
      <c r="I98" s="4"/>
      <c r="J98" s="4"/>
      <c r="K98" s="4"/>
    </row>
    <row r="99" ht="63.75" customHeight="1">
      <c r="A99" s="4" t="s">
        <v>411</v>
      </c>
      <c r="B99" s="4" t="s">
        <v>412</v>
      </c>
      <c r="C99" s="4" t="s">
        <v>414</v>
      </c>
      <c r="D99" s="4" t="s">
        <v>415</v>
      </c>
      <c r="E99" s="4"/>
      <c r="F99" s="4"/>
      <c r="G99" s="4"/>
      <c r="H99" s="4"/>
      <c r="I99" s="4"/>
      <c r="J99" s="4"/>
      <c r="K99" s="4"/>
    </row>
    <row r="100" ht="63.75" customHeight="1">
      <c r="A100" s="4" t="s">
        <v>416</v>
      </c>
      <c r="B100" s="4" t="s">
        <v>417</v>
      </c>
      <c r="C100" s="4" t="s">
        <v>418</v>
      </c>
      <c r="D100" s="4" t="s">
        <v>419</v>
      </c>
      <c r="E100" s="4"/>
      <c r="F100" s="4"/>
      <c r="G100" s="4"/>
      <c r="H100" s="4"/>
      <c r="I100" s="4"/>
      <c r="J100" s="4"/>
      <c r="K100" s="4"/>
    </row>
    <row r="101" ht="15.75" customHeight="1">
      <c r="A101" s="1"/>
      <c r="B101" s="1"/>
      <c r="C101" s="1"/>
      <c r="D101" s="1"/>
      <c r="E101" s="1"/>
      <c r="F101" s="1"/>
      <c r="G101" s="1"/>
      <c r="H101" s="1"/>
      <c r="I101" s="1"/>
      <c r="J101" s="1"/>
      <c r="K101" s="1"/>
    </row>
    <row r="102" ht="15.75" customHeight="1">
      <c r="A102" s="1"/>
      <c r="B102" s="1"/>
      <c r="C102" s="1"/>
      <c r="D102" s="1"/>
      <c r="E102" s="1"/>
      <c r="F102" s="1"/>
      <c r="G102" s="1"/>
      <c r="H102" s="1"/>
      <c r="I102" s="1"/>
      <c r="J102" s="1"/>
      <c r="K102" s="1"/>
    </row>
    <row r="103" ht="15.75" customHeight="1">
      <c r="A103" s="1"/>
      <c r="B103" s="1"/>
      <c r="C103" s="1"/>
      <c r="D103" s="1"/>
      <c r="E103" s="1"/>
      <c r="F103" s="1"/>
      <c r="G103" s="1"/>
      <c r="H103" s="1"/>
      <c r="I103" s="1"/>
      <c r="J103" s="1"/>
      <c r="K103" s="1"/>
    </row>
    <row r="104" ht="55.5" customHeight="1">
      <c r="A104" s="3" t="s">
        <v>421</v>
      </c>
      <c r="B104" s="3" t="s">
        <v>4</v>
      </c>
      <c r="C104" s="1"/>
      <c r="D104" s="1"/>
      <c r="E104" s="1"/>
      <c r="F104" s="1"/>
      <c r="G104" s="1"/>
      <c r="H104" s="1"/>
      <c r="I104" s="1"/>
      <c r="J104" s="1"/>
      <c r="K104" s="1"/>
    </row>
    <row r="105" ht="39.75" customHeight="1">
      <c r="A105" s="4" t="s">
        <v>424</v>
      </c>
      <c r="B105" s="4">
        <f>COUNT(Cuantitativo!C6:C38)</f>
        <v>33</v>
      </c>
      <c r="C105" s="1"/>
      <c r="D105" s="1"/>
      <c r="E105" s="1"/>
      <c r="F105" s="1"/>
      <c r="G105" s="1"/>
      <c r="H105" s="1"/>
      <c r="I105" s="1"/>
      <c r="J105" s="1"/>
      <c r="K105" s="1"/>
    </row>
    <row r="106" ht="39.75" customHeight="1">
      <c r="A106" s="4" t="s">
        <v>429</v>
      </c>
      <c r="B106" s="4">
        <f>COUNT(Cuantitativo!Z6:Z38)</f>
        <v>33</v>
      </c>
      <c r="C106" s="1"/>
      <c r="D106" s="1"/>
      <c r="E106" s="1"/>
      <c r="F106" s="1"/>
      <c r="G106" s="1"/>
      <c r="H106" s="1"/>
      <c r="I106" s="1"/>
      <c r="J106" s="1"/>
      <c r="K106" s="1"/>
    </row>
    <row r="107" ht="39.75" customHeight="1">
      <c r="A107" s="4" t="s">
        <v>430</v>
      </c>
      <c r="B107" s="4">
        <f>SUMPRODUCT(--(Cuantitativo!F6:F38&lt;=Cuantitativo!G6:G38),--(Cuantitativo!G6:G38&lt;=Cuantitativo!H6:H38),--(Cuantitativo!L6:L38&lt;=Cuantitativo!M6:M38),--(Cuantitativo!M6:M38&lt;=Cuantitativo!N6:N38),--(Cuantitativo!AA6:AA38&lt;=Cuantitativo!AB6:AB38),--(Cuantitativo!AB6:AB38&lt;=Cuantitativo!AC6:AC38))</f>
        <v>33</v>
      </c>
      <c r="C107" s="1"/>
      <c r="D107" s="1"/>
      <c r="E107" s="1"/>
      <c r="F107" s="1"/>
      <c r="G107" s="1"/>
      <c r="H107" s="1"/>
      <c r="I107" s="1"/>
      <c r="J107" s="1"/>
      <c r="K107" s="1"/>
    </row>
    <row r="108" ht="39.75" customHeight="1">
      <c r="A108" s="4" t="s">
        <v>431</v>
      </c>
      <c r="B108" s="4">
        <f>COUNTA('Registro original'!A6:A38)</f>
        <v>33</v>
      </c>
      <c r="C108" s="1"/>
      <c r="D108" s="1"/>
      <c r="E108" s="1"/>
      <c r="F108" s="1"/>
      <c r="G108" s="1"/>
      <c r="H108" s="1"/>
      <c r="I108" s="1"/>
      <c r="J108" s="1"/>
      <c r="K108" s="1"/>
    </row>
    <row r="109" ht="39.75" customHeight="1">
      <c r="A109" s="4" t="s">
        <v>435</v>
      </c>
      <c r="B109" s="4" t="s">
        <v>437</v>
      </c>
      <c r="C109" s="1"/>
      <c r="D109" s="1"/>
      <c r="E109" s="1"/>
      <c r="F109" s="1"/>
      <c r="G109" s="1"/>
      <c r="H109" s="1"/>
      <c r="I109" s="1"/>
      <c r="J109" s="1"/>
      <c r="K109" s="1"/>
    </row>
    <row r="110" ht="39.75" customHeight="1">
      <c r="A110" s="4" t="s">
        <v>438</v>
      </c>
      <c r="B110" s="4" t="s">
        <v>439</v>
      </c>
      <c r="C110" s="1"/>
      <c r="D110" s="1"/>
      <c r="E110" s="1"/>
      <c r="F110" s="1"/>
      <c r="G110" s="1"/>
      <c r="H110" s="1"/>
      <c r="I110" s="1"/>
      <c r="J110" s="1"/>
      <c r="K110" s="1"/>
    </row>
    <row r="111" ht="15.75" customHeight="1">
      <c r="A111" s="1"/>
      <c r="B111" s="1"/>
      <c r="C111" s="1"/>
      <c r="D111" s="1"/>
      <c r="E111" s="1"/>
      <c r="F111" s="1"/>
      <c r="G111" s="1"/>
      <c r="H111" s="1"/>
      <c r="I111" s="1"/>
      <c r="J111" s="1"/>
      <c r="K111" s="1"/>
    </row>
    <row r="112" ht="15.75" customHeight="1">
      <c r="A112" s="1"/>
      <c r="B112" s="1"/>
      <c r="C112" s="1"/>
      <c r="D112" s="1"/>
      <c r="E112" s="1"/>
      <c r="F112" s="1"/>
      <c r="G112" s="1"/>
      <c r="H112" s="1"/>
      <c r="I112" s="1"/>
      <c r="J112" s="1"/>
      <c r="K112" s="1"/>
    </row>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0">
    <mergeCell ref="B32:K32"/>
    <mergeCell ref="B33:K33"/>
    <mergeCell ref="B34:K34"/>
    <mergeCell ref="B35:K35"/>
    <mergeCell ref="B36:K36"/>
    <mergeCell ref="B37:K37"/>
    <mergeCell ref="B38:K38"/>
    <mergeCell ref="B46:K46"/>
    <mergeCell ref="B47:K47"/>
    <mergeCell ref="B48:K48"/>
    <mergeCell ref="B49:K49"/>
    <mergeCell ref="B50:K50"/>
    <mergeCell ref="B51:K51"/>
    <mergeCell ref="B39:K39"/>
    <mergeCell ref="B40:K40"/>
    <mergeCell ref="B41:K41"/>
    <mergeCell ref="B42:K42"/>
    <mergeCell ref="B43:K43"/>
    <mergeCell ref="B44:K44"/>
    <mergeCell ref="B45:K45"/>
  </mergeCells>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9EAEBB"/>
    <pageSetUpPr/>
  </sheetPr>
  <sheetViews>
    <sheetView showGridLines="0" workbookViewId="0">
      <pane xSplit="2.0" ySplit="5.0" topLeftCell="C6" activePane="bottomRight" state="frozen"/>
      <selection activeCell="C1" sqref="C1" pane="topRight"/>
      <selection activeCell="A6" sqref="A6" pane="bottomLeft"/>
      <selection activeCell="C6" sqref="C6" pane="bottomRight"/>
    </sheetView>
  </sheetViews>
  <sheetFormatPr customHeight="1" defaultColWidth="12.63" defaultRowHeight="15.0"/>
  <cols>
    <col customWidth="1" min="1" max="1" width="12.0"/>
    <col customWidth="1" min="2" max="2" width="58.0"/>
    <col customWidth="1" min="3" max="3" width="32.0"/>
    <col customWidth="1" min="4" max="4" width="110.0"/>
    <col customWidth="1" min="5" max="5" width="85.0"/>
    <col customWidth="1" min="6" max="26" width="8.63"/>
  </cols>
  <sheetData>
    <row r="1">
      <c r="A1" s="1"/>
      <c r="B1" s="1"/>
      <c r="C1" s="1"/>
      <c r="D1" s="1"/>
      <c r="E1" s="1"/>
    </row>
    <row r="2" ht="27.75" customHeight="1">
      <c r="A2" s="2" t="s">
        <v>469</v>
      </c>
      <c r="B2" s="1"/>
      <c r="C2" s="1"/>
      <c r="D2" s="1"/>
      <c r="E2" s="1"/>
    </row>
    <row r="3">
      <c r="A3" s="1" t="s">
        <v>470</v>
      </c>
      <c r="B3" s="1"/>
      <c r="C3" s="1"/>
      <c r="D3" s="1"/>
      <c r="E3" s="1"/>
    </row>
    <row r="4">
      <c r="A4" s="1"/>
      <c r="B4" s="1"/>
      <c r="C4" s="1"/>
      <c r="D4" s="1"/>
      <c r="E4" s="1"/>
    </row>
    <row r="5" ht="55.5" customHeight="1">
      <c r="A5" s="5" t="s">
        <v>14</v>
      </c>
      <c r="B5" s="5" t="s">
        <v>472</v>
      </c>
      <c r="C5" s="5" t="s">
        <v>475</v>
      </c>
      <c r="D5" s="5" t="s">
        <v>479</v>
      </c>
      <c r="E5" s="5" t="s">
        <v>481</v>
      </c>
    </row>
    <row r="6" ht="87.0" customHeight="1">
      <c r="A6" s="9" t="s">
        <v>68</v>
      </c>
      <c r="B6" s="10" t="s">
        <v>482</v>
      </c>
      <c r="C6" s="10" t="s">
        <v>484</v>
      </c>
      <c r="D6" s="10" t="s">
        <v>486</v>
      </c>
      <c r="E6" s="10" t="s">
        <v>488</v>
      </c>
    </row>
    <row r="7" ht="87.0" customHeight="1">
      <c r="A7" s="9" t="s">
        <v>220</v>
      </c>
      <c r="B7" s="26" t="s">
        <v>490</v>
      </c>
      <c r="C7" s="26" t="s">
        <v>492</v>
      </c>
      <c r="D7" s="26" t="s">
        <v>493</v>
      </c>
      <c r="E7" s="26" t="s">
        <v>494</v>
      </c>
    </row>
    <row r="8" ht="87.0" customHeight="1">
      <c r="A8" s="9" t="s">
        <v>236</v>
      </c>
      <c r="B8" s="10" t="s">
        <v>495</v>
      </c>
      <c r="C8" s="10" t="s">
        <v>484</v>
      </c>
      <c r="D8" s="10" t="s">
        <v>496</v>
      </c>
      <c r="E8" s="10" t="s">
        <v>497</v>
      </c>
    </row>
    <row r="9" ht="87.0" customHeight="1">
      <c r="A9" s="9" t="s">
        <v>240</v>
      </c>
      <c r="B9" s="26" t="s">
        <v>498</v>
      </c>
      <c r="C9" s="26" t="s">
        <v>499</v>
      </c>
      <c r="D9" s="26" t="s">
        <v>500</v>
      </c>
      <c r="E9" s="26" t="s">
        <v>501</v>
      </c>
    </row>
    <row r="10" ht="87.0" customHeight="1">
      <c r="A10" s="9" t="s">
        <v>244</v>
      </c>
      <c r="B10" s="10" t="s">
        <v>502</v>
      </c>
      <c r="C10" s="10" t="s">
        <v>499</v>
      </c>
      <c r="D10" s="10" t="s">
        <v>503</v>
      </c>
      <c r="E10" s="10" t="s">
        <v>504</v>
      </c>
    </row>
    <row r="11" ht="87.0" customHeight="1">
      <c r="A11" s="9" t="s">
        <v>255</v>
      </c>
      <c r="B11" s="26" t="s">
        <v>505</v>
      </c>
      <c r="C11" s="26" t="s">
        <v>499</v>
      </c>
      <c r="D11" s="26" t="s">
        <v>506</v>
      </c>
      <c r="E11" s="26" t="s">
        <v>507</v>
      </c>
    </row>
    <row r="12" ht="87.0" customHeight="1">
      <c r="A12" s="9" t="s">
        <v>260</v>
      </c>
      <c r="B12" s="10" t="s">
        <v>508</v>
      </c>
      <c r="C12" s="10" t="s">
        <v>484</v>
      </c>
      <c r="D12" s="10" t="s">
        <v>509</v>
      </c>
      <c r="E12" s="10" t="s">
        <v>510</v>
      </c>
    </row>
    <row r="13" ht="87.0" customHeight="1">
      <c r="A13" s="9" t="s">
        <v>267</v>
      </c>
      <c r="B13" s="26" t="s">
        <v>511</v>
      </c>
      <c r="C13" s="26" t="s">
        <v>484</v>
      </c>
      <c r="D13" s="26" t="s">
        <v>512</v>
      </c>
      <c r="E13" s="26" t="s">
        <v>513</v>
      </c>
    </row>
    <row r="14" ht="87.0" customHeight="1">
      <c r="A14" s="9" t="s">
        <v>270</v>
      </c>
      <c r="B14" s="10" t="s">
        <v>514</v>
      </c>
      <c r="C14" s="10" t="s">
        <v>484</v>
      </c>
      <c r="D14" s="10" t="s">
        <v>516</v>
      </c>
      <c r="E14" s="10" t="s">
        <v>517</v>
      </c>
    </row>
    <row r="15" ht="87.0" customHeight="1">
      <c r="A15" s="9" t="s">
        <v>275</v>
      </c>
      <c r="B15" s="26" t="s">
        <v>518</v>
      </c>
      <c r="C15" s="26" t="s">
        <v>484</v>
      </c>
      <c r="D15" s="26" t="s">
        <v>519</v>
      </c>
      <c r="E15" s="26" t="s">
        <v>520</v>
      </c>
    </row>
    <row r="16" ht="87.0" customHeight="1">
      <c r="A16" s="9" t="s">
        <v>283</v>
      </c>
      <c r="B16" s="10" t="s">
        <v>526</v>
      </c>
      <c r="C16" s="10" t="s">
        <v>499</v>
      </c>
      <c r="D16" s="10" t="s">
        <v>527</v>
      </c>
      <c r="E16" s="10" t="s">
        <v>528</v>
      </c>
    </row>
    <row r="17" ht="87.0" customHeight="1">
      <c r="A17" s="9" t="s">
        <v>289</v>
      </c>
      <c r="B17" s="26" t="s">
        <v>530</v>
      </c>
      <c r="C17" s="26" t="s">
        <v>499</v>
      </c>
      <c r="D17" s="26" t="s">
        <v>534</v>
      </c>
      <c r="E17" s="26" t="s">
        <v>537</v>
      </c>
    </row>
    <row r="18" ht="87.0" customHeight="1">
      <c r="A18" s="9" t="s">
        <v>295</v>
      </c>
      <c r="B18" s="10" t="s">
        <v>539</v>
      </c>
      <c r="C18" s="10" t="s">
        <v>540</v>
      </c>
      <c r="D18" s="10" t="s">
        <v>541</v>
      </c>
      <c r="E18" s="10" t="s">
        <v>542</v>
      </c>
    </row>
    <row r="19" ht="87.0" customHeight="1">
      <c r="A19" s="9" t="s">
        <v>301</v>
      </c>
      <c r="B19" s="26" t="s">
        <v>543</v>
      </c>
      <c r="C19" s="26" t="s">
        <v>499</v>
      </c>
      <c r="D19" s="26" t="s">
        <v>544</v>
      </c>
      <c r="E19" s="26" t="s">
        <v>545</v>
      </c>
    </row>
    <row r="20" ht="87.0" customHeight="1">
      <c r="A20" s="9" t="s">
        <v>304</v>
      </c>
      <c r="B20" s="10" t="s">
        <v>546</v>
      </c>
      <c r="C20" s="10" t="s">
        <v>540</v>
      </c>
      <c r="D20" s="10" t="s">
        <v>547</v>
      </c>
      <c r="E20" s="10" t="s">
        <v>548</v>
      </c>
    </row>
    <row r="21" ht="87.0" customHeight="1">
      <c r="A21" s="9" t="s">
        <v>309</v>
      </c>
      <c r="B21" s="26" t="s">
        <v>549</v>
      </c>
      <c r="C21" s="26" t="s">
        <v>540</v>
      </c>
      <c r="D21" s="26" t="s">
        <v>550</v>
      </c>
      <c r="E21" s="26" t="s">
        <v>551</v>
      </c>
    </row>
    <row r="22" ht="87.0" customHeight="1">
      <c r="A22" s="9" t="s">
        <v>312</v>
      </c>
      <c r="B22" s="10" t="s">
        <v>553</v>
      </c>
      <c r="C22" s="10" t="s">
        <v>540</v>
      </c>
      <c r="D22" s="10" t="s">
        <v>554</v>
      </c>
      <c r="E22" s="10" t="s">
        <v>555</v>
      </c>
    </row>
    <row r="23" ht="102.0" customHeight="1">
      <c r="A23" s="9" t="s">
        <v>315</v>
      </c>
      <c r="B23" s="26" t="s">
        <v>556</v>
      </c>
      <c r="C23" s="26" t="s">
        <v>499</v>
      </c>
      <c r="D23" s="26" t="s">
        <v>557</v>
      </c>
      <c r="E23" s="26" t="s">
        <v>558</v>
      </c>
    </row>
    <row r="24" ht="72.0" customHeight="1">
      <c r="A24" s="9" t="s">
        <v>319</v>
      </c>
      <c r="B24" s="10" t="s">
        <v>559</v>
      </c>
      <c r="C24" s="10" t="s">
        <v>499</v>
      </c>
      <c r="D24" s="10" t="s">
        <v>560</v>
      </c>
      <c r="E24" s="10" t="s">
        <v>561</v>
      </c>
    </row>
    <row r="25" ht="87.0" customHeight="1">
      <c r="A25" s="9" t="s">
        <v>323</v>
      </c>
      <c r="B25" s="26" t="s">
        <v>562</v>
      </c>
      <c r="C25" s="26" t="s">
        <v>499</v>
      </c>
      <c r="D25" s="26" t="s">
        <v>563</v>
      </c>
      <c r="E25" s="26" t="s">
        <v>564</v>
      </c>
    </row>
    <row r="26" ht="87.0" customHeight="1">
      <c r="A26" s="9" t="s">
        <v>336</v>
      </c>
      <c r="B26" s="10" t="s">
        <v>566</v>
      </c>
      <c r="C26" s="10" t="s">
        <v>568</v>
      </c>
      <c r="D26" s="10" t="s">
        <v>572</v>
      </c>
      <c r="E26" s="10" t="s">
        <v>573</v>
      </c>
    </row>
    <row r="27" ht="87.0" customHeight="1">
      <c r="A27" s="9" t="s">
        <v>341</v>
      </c>
      <c r="B27" s="26" t="s">
        <v>575</v>
      </c>
      <c r="C27" s="26" t="s">
        <v>499</v>
      </c>
      <c r="D27" s="26" t="s">
        <v>576</v>
      </c>
      <c r="E27" s="26" t="s">
        <v>577</v>
      </c>
    </row>
    <row r="28" ht="87.0" customHeight="1">
      <c r="A28" s="9" t="s">
        <v>345</v>
      </c>
      <c r="B28" s="10" t="s">
        <v>581</v>
      </c>
      <c r="C28" s="10" t="s">
        <v>492</v>
      </c>
      <c r="D28" s="10" t="s">
        <v>583</v>
      </c>
      <c r="E28" s="10" t="s">
        <v>585</v>
      </c>
    </row>
    <row r="29" ht="117.0" customHeight="1">
      <c r="A29" s="9" t="s">
        <v>348</v>
      </c>
      <c r="B29" s="26" t="s">
        <v>587</v>
      </c>
      <c r="C29" s="26" t="s">
        <v>484</v>
      </c>
      <c r="D29" s="26" t="s">
        <v>588</v>
      </c>
      <c r="E29" s="26" t="s">
        <v>589</v>
      </c>
    </row>
    <row r="30" ht="87.0" customHeight="1">
      <c r="A30" s="9" t="s">
        <v>351</v>
      </c>
      <c r="B30" s="10" t="s">
        <v>590</v>
      </c>
      <c r="C30" s="10" t="s">
        <v>492</v>
      </c>
      <c r="D30" s="10" t="s">
        <v>591</v>
      </c>
      <c r="E30" s="10" t="s">
        <v>592</v>
      </c>
    </row>
    <row r="31" ht="87.0" customHeight="1">
      <c r="A31" s="9" t="s">
        <v>354</v>
      </c>
      <c r="B31" s="26" t="s">
        <v>593</v>
      </c>
      <c r="C31" s="26" t="s">
        <v>492</v>
      </c>
      <c r="D31" s="26" t="s">
        <v>594</v>
      </c>
      <c r="E31" s="26" t="s">
        <v>595</v>
      </c>
    </row>
    <row r="32" ht="72.0" customHeight="1">
      <c r="A32" s="9" t="s">
        <v>357</v>
      </c>
      <c r="B32" s="10" t="s">
        <v>596</v>
      </c>
      <c r="C32" s="10" t="s">
        <v>492</v>
      </c>
      <c r="D32" s="10" t="s">
        <v>597</v>
      </c>
      <c r="E32" s="10" t="s">
        <v>598</v>
      </c>
    </row>
    <row r="33" ht="102.0" customHeight="1">
      <c r="A33" s="9" t="s">
        <v>361</v>
      </c>
      <c r="B33" s="26" t="s">
        <v>599</v>
      </c>
      <c r="C33" s="26" t="s">
        <v>499</v>
      </c>
      <c r="D33" s="26" t="s">
        <v>601</v>
      </c>
      <c r="E33" s="26" t="s">
        <v>602</v>
      </c>
    </row>
    <row r="34" ht="87.0" customHeight="1">
      <c r="A34" s="9" t="s">
        <v>375</v>
      </c>
      <c r="B34" s="10" t="s">
        <v>603</v>
      </c>
      <c r="C34" s="10" t="s">
        <v>499</v>
      </c>
      <c r="D34" s="10" t="s">
        <v>604</v>
      </c>
      <c r="E34" s="10"/>
    </row>
    <row r="35" ht="87.0" customHeight="1">
      <c r="A35" s="9" t="s">
        <v>380</v>
      </c>
      <c r="B35" s="26" t="s">
        <v>605</v>
      </c>
      <c r="C35" s="26" t="s">
        <v>499</v>
      </c>
      <c r="D35" s="26" t="s">
        <v>606</v>
      </c>
      <c r="E35" s="26"/>
    </row>
    <row r="36" ht="102.0" customHeight="1">
      <c r="A36" s="9" t="s">
        <v>382</v>
      </c>
      <c r="B36" s="10" t="s">
        <v>607</v>
      </c>
      <c r="C36" s="10" t="s">
        <v>540</v>
      </c>
      <c r="D36" s="10" t="s">
        <v>612</v>
      </c>
      <c r="E36" s="10" t="s">
        <v>613</v>
      </c>
    </row>
    <row r="37" ht="102.0" customHeight="1">
      <c r="A37" s="9" t="s">
        <v>384</v>
      </c>
      <c r="B37" s="26" t="s">
        <v>616</v>
      </c>
      <c r="C37" s="26" t="s">
        <v>617</v>
      </c>
      <c r="D37" s="26" t="s">
        <v>618</v>
      </c>
      <c r="E37" s="26" t="s">
        <v>619</v>
      </c>
    </row>
    <row r="38" ht="87.0" customHeight="1">
      <c r="A38" s="9" t="s">
        <v>388</v>
      </c>
      <c r="B38" s="10" t="s">
        <v>620</v>
      </c>
      <c r="C38" s="10" t="s">
        <v>568</v>
      </c>
      <c r="D38" s="10" t="s">
        <v>623</v>
      </c>
      <c r="E38" s="10" t="s">
        <v>625</v>
      </c>
    </row>
    <row r="39" ht="102.0"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381FA0CE-515C-49B4-8683-167D90FAF281}" filter="1" showAutoFilter="1">
      <autoFilter ref="$A$5:$E$38"/>
      <extLst>
        <ext uri="GoogleSheetsCustomDataVersion1">
          <go:sheetsCustomData xmlns:go="http://customooxmlschemas.google.com/" filterViewId="622488746"/>
        </ext>
      </extLst>
    </customSheetView>
  </customSheetViews>
  <printOptions/>
  <pageMargins bottom="0.75" footer="0.0" header="0.0" left="0.7" right="0.7" top="0.75"/>
  <pageSetup orientation="landscape"/>
  <drawing r:id="rId1"/>
  <tableParts count="1">
    <tablePart r:id="rId3"/>
  </tableParts>
</worksheet>
</file>