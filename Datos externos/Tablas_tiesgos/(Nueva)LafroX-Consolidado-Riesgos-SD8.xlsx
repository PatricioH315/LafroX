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eabc1368d740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esgos LafroX" sheetId="1" r:id="R56c220bba1404b48"/>
  </x:sheets>
  <x:definedNames>
    <x:definedName name="HH_Dia">6.4</x:definedName>
    <x:definedName name="HH_Turno">8</x:definedName>
    <x:definedName name="Costos_Directos_Base_CLP">"Pendiente"</x:definedName>
    <x:definedName name="GG_Tasa">"Pendiente"</x:definedName>
    <x:definedName name="Utilidad_Tasa">"Pendiente"</x:definedName>
    <x:definedName name="Contrato_CLP">"Pendiente"</x:definedName>
    <x:definedName name="Regla_Interna_Tasa">"Pendiente"</x:definedName>
    <x:definedName name="Reserva_Gestion_CLP">"Pendiente"</x:definedName>
    <x:definedName name="RF_R001">0.5</x:definedName>
    <x:definedName name="RA_R001">64</x:definedName>
    <x:definedName name="Mes_R001">2</x:definedName>
    <x:definedName name="Externo_Inicial_R001">"Pendiente"</x:definedName>
    <x:definedName name="Externo_Residual_R001">"Pendiente"</x:definedName>
    <x:definedName name="RP_R002">0.2</x:definedName>
    <x:definedName name="RI_R002">3</x:definedName>
    <x:definedName name="RF_R002">0.5</x:definedName>
    <x:definedName name="RA_R002">32</x:definedName>
    <x:definedName name="Mes_R002">2</x:definedName>
    <x:definedName name="Externo_Inicial_R002">"Pendiente"</x:definedName>
    <x:definedName name="Externo_Residual_R002">"Pendiente"</x:definedName>
    <x:definedName name="Externo_Accion_R002">"Pendiente"</x:definedName>
    <x:definedName name="Estado_R002">"Propuesta"</x:definedName>
    <x:definedName name="Evidencia_R002">""</x:definedName>
    <x:definedName name="Fecha_R002">"Pendiente"</x:definedName>
    <x:definedName name="Revisor_R002">""</x:definedName>
    <x:definedName name="RP_R003">0.2</x:definedName>
    <x:definedName name="RI_R003">3</x:definedName>
    <x:definedName name="RF_R003">0.25</x:definedName>
    <x:definedName name="RA_R003">64</x:definedName>
    <x:definedName name="Mes_R003">11</x:definedName>
    <x:definedName name="Externo_Inicial_R003">"Pendiente"</x:definedName>
    <x:definedName name="Externo_Residual_R003">"Pendiente"</x:definedName>
    <x:definedName name="Externo_Accion_R003">"Pendiente"</x:definedName>
    <x:definedName name="Estado_R003">"Propuesta"</x:definedName>
    <x:definedName name="Evidencia_R003">""</x:definedName>
    <x:definedName name="Fecha_R003">"Pendiente"</x:definedName>
    <x:definedName name="Revisor_R003">""</x:definedName>
    <x:definedName name="RP_R004">0.25</x:definedName>
    <x:definedName name="RI_R004">3</x:definedName>
    <x:definedName name="RF_R004">0.25</x:definedName>
    <x:definedName name="RA_R004">96</x:definedName>
    <x:definedName name="Mes_R004">3</x:definedName>
    <x:definedName name="Externo_Inicial_R004">"Pendiente"</x:definedName>
    <x:definedName name="Externo_Residual_R004">"Pendiente"</x:definedName>
    <x:definedName name="Externo_Accion_R004">"Pendiente"</x:definedName>
    <x:definedName name="Estado_R004">"Propuesta"</x:definedName>
    <x:definedName name="Evidencia_R004">""</x:definedName>
    <x:definedName name="Fecha_R004">"Pendiente"</x:definedName>
    <x:definedName name="Revisor_R004">""</x:definedName>
    <x:definedName name="RP_R005">0.1</x:definedName>
    <x:definedName name="RI_R005">5</x:definedName>
    <x:definedName name="RF_R005">0.4</x:definedName>
    <x:definedName name="RA_R005">64</x:definedName>
    <x:definedName name="Mes_R005">8</x:definedName>
    <x:definedName name="Externo_Inicial_R005">"Pendiente"</x:definedName>
    <x:definedName name="Externo_Residual_R005">"Pendiente"</x:definedName>
    <x:definedName name="Externo_Accion_R005">"Pendiente"</x:definedName>
    <x:definedName name="Estado_R005">"Propuesta"</x:definedName>
    <x:definedName name="Evidencia_R005">""</x:definedName>
    <x:definedName name="Fecha_R005">"Pendiente"</x:definedName>
    <x:definedName name="Revisor_R005">""</x:definedName>
    <x:definedName name="RP_R006">0.1</x:definedName>
    <x:definedName name="RI_R006">5</x:definedName>
    <x:definedName name="RF_R006">0.5</x:definedName>
    <x:definedName name="RA_R006">32</x:definedName>
    <x:definedName name="Mes_R006">6</x:definedName>
    <x:definedName name="Externo_Inicial_R006">"Pendiente"</x:definedName>
    <x:definedName name="Externo_Residual_R006">"Pendiente"</x:definedName>
    <x:definedName name="Externo_Accion_R006">"Pendiente"</x:definedName>
    <x:definedName name="Estado_R006">"Propuesta"</x:definedName>
    <x:definedName name="Evidencia_R006">""</x:definedName>
    <x:definedName name="Fecha_R006">"Pendiente"</x:definedName>
    <x:definedName name="Revisor_R006">""</x:definedName>
    <x:definedName name="RP_R007">0.2</x:definedName>
    <x:definedName name="RI_R007">3</x:definedName>
    <x:definedName name="RF_R007">0.3</x:definedName>
    <x:definedName name="RA_R007">32</x:definedName>
    <x:definedName name="Mes_R007">9</x:definedName>
    <x:definedName name="Externo_Inicial_R007">"Pendiente"</x:definedName>
    <x:definedName name="Externo_Residual_R007">"Pendiente"</x:definedName>
    <x:definedName name="Externo_Accion_R007">"Pendiente"</x:definedName>
    <x:definedName name="Estado_R007">"Propuesta"</x:definedName>
    <x:definedName name="Evidencia_R007">""</x:definedName>
    <x:definedName name="Fecha_R007">"Pendiente"</x:definedName>
    <x:definedName name="Revisor_R007">""</x:definedName>
    <x:definedName name="RP_R008">0.1</x:definedName>
    <x:definedName name="RI_R008">4</x:definedName>
    <x:definedName name="RF_R008">0.25</x:definedName>
    <x:definedName name="RA_R008">48</x:definedName>
    <x:definedName name="Mes_R008">10</x:definedName>
    <x:definedName name="Externo_Inicial_R008">"Pendiente"</x:definedName>
    <x:definedName name="Externo_Residual_R008">"Pendiente"</x:definedName>
    <x:definedName name="Externo_Accion_R008">"Pendiente"</x:definedName>
    <x:definedName name="Estado_R008">"Propuesta"</x:definedName>
    <x:definedName name="Evidencia_R008">""</x:definedName>
    <x:definedName name="Fecha_R008">"Pendiente"</x:definedName>
    <x:definedName name="Revisor_R008">""</x:definedName>
    <x:definedName name="RP_R009">0.1</x:definedName>
    <x:definedName name="RI_R009">4</x:definedName>
    <x:definedName name="RF_R009">0.4</x:definedName>
    <x:definedName name="RA_R009">32</x:definedName>
    <x:definedName name="Mes_R009">8</x:definedName>
    <x:definedName name="Externo_Inicial_R009">"Pendiente"</x:definedName>
    <x:definedName name="Externo_Residual_R009">"Pendiente"</x:definedName>
    <x:definedName name="Externo_Accion_R009">"Pendiente"</x:definedName>
    <x:definedName name="Estado_R009">"Propuesta"</x:definedName>
    <x:definedName name="Evidencia_R009">""</x:definedName>
    <x:definedName name="Fecha_R009">"Pendiente"</x:definedName>
    <x:definedName name="Revisor_R009">""</x:definedName>
    <x:definedName name="RP_R010">0.1</x:definedName>
    <x:definedName name="RI_R010">3</x:definedName>
    <x:definedName name="RF_R010">0.3</x:definedName>
    <x:definedName name="RA_R010">40</x:definedName>
    <x:definedName name="Mes_R010">3</x:definedName>
    <x:definedName name="Externo_Inicial_R010">"Pendiente"</x:definedName>
    <x:definedName name="Externo_Residual_R010">"Pendiente"</x:definedName>
    <x:definedName name="Externo_Accion_R010">"Pendiente"</x:definedName>
    <x:definedName name="Estado_R010">"Propuesta"</x:definedName>
    <x:definedName name="Evidencia_R010">""</x:definedName>
    <x:definedName name="Fecha_R010">"Pendiente"</x:definedName>
    <x:definedName name="Revisor_R010">""</x:definedName>
    <x:definedName name="RP_R011">0.1</x:definedName>
    <x:definedName name="RI_R011">4</x:definedName>
    <x:definedName name="RF_R011">0.4</x:definedName>
    <x:definedName name="RA_R011">64</x:definedName>
    <x:definedName name="Mes_R011">8</x:definedName>
    <x:definedName name="Externo_Inicial_R011">"Pendiente"</x:definedName>
    <x:definedName name="Externo_Residual_R011">"Pendiente"</x:definedName>
    <x:definedName name="Externo_Accion_R011">"Pendiente"</x:definedName>
    <x:definedName name="Estado_R011">"Propuesta"</x:definedName>
    <x:definedName name="Evidencia_R011">""</x:definedName>
    <x:definedName name="Fecha_R011">"Pendiente"</x:definedName>
    <x:definedName name="Revisor_R011">""</x:definedName>
    <x:definedName name="RP_R012">0.1</x:definedName>
    <x:definedName name="RI_R012">4</x:definedName>
    <x:definedName name="RF_R012">0.375</x:definedName>
    <x:definedName name="RA_R012">80</x:definedName>
    <x:definedName name="Mes_R012">12</x:definedName>
    <x:definedName name="Externo_Inicial_R012">"Pendiente"</x:definedName>
    <x:definedName name="Externo_Residual_R012">"Pendiente"</x:definedName>
    <x:definedName name="Externo_Accion_R012">"Pendiente"</x:definedName>
    <x:definedName name="Estado_R012">"Propuesta"</x:definedName>
    <x:definedName name="Evidencia_R012">""</x:definedName>
    <x:definedName name="Fecha_R012">"Pendiente"</x:definedName>
    <x:definedName name="Revisor_R012">""</x:definedName>
    <x:definedName name="RP_R013">0.1</x:definedName>
    <x:definedName name="RI_R013">5</x:definedName>
    <x:definedName name="RF_R013">0.5</x:definedName>
    <x:definedName name="RA_R013">64</x:definedName>
    <x:definedName name="Mes_R013">11</x:definedName>
    <x:definedName name="Externo_Inicial_R013">"Pendiente"</x:definedName>
    <x:definedName name="Externo_Residual_R013">"Pendiente"</x:definedName>
    <x:definedName name="Externo_Accion_R013">"Pendiente"</x:definedName>
    <x:definedName name="Estado_R013">"Propuesta"</x:definedName>
    <x:definedName name="Evidencia_R013">""</x:definedName>
    <x:definedName name="Fecha_R013">"Pendiente"</x:definedName>
    <x:definedName name="Revisor_R013">""</x:definedName>
    <x:definedName name="RP_R014">0.1</x:definedName>
    <x:definedName name="RI_R014">5</x:definedName>
    <x:definedName name="RF_R014">0.4</x:definedName>
    <x:definedName name="RA_R014">40</x:definedName>
    <x:definedName name="Mes_R014">4</x:definedName>
    <x:definedName name="Externo_Inicial_R014">"Pendiente"</x:definedName>
    <x:definedName name="Externo_Residual_R014">"Pendiente"</x:definedName>
    <x:definedName name="Externo_Accion_R014">"Pendiente"</x:definedName>
    <x:definedName name="Estado_R014">"Propuesta"</x:definedName>
    <x:definedName name="Evidencia_R014">""</x:definedName>
    <x:definedName name="Fecha_R014">"Pendiente"</x:definedName>
    <x:definedName name="Revisor_R014">""</x:definedName>
    <x:definedName name="RP_R015">0.1</x:definedName>
    <x:definedName name="RI_R015">5</x:definedName>
    <x:definedName name="RF_R015">0.375</x:definedName>
    <x:definedName name="RA_R015">80</x:definedName>
    <x:definedName name="Mes_R015">11</x:definedName>
    <x:definedName name="Externo_Inicial_R015">"Pendiente"</x:definedName>
    <x:definedName name="Externo_Residual_R015">"Pendiente"</x:definedName>
    <x:definedName name="Externo_Accion_R015">"Pendiente"</x:definedName>
    <x:definedName name="Estado_R015">"Propuesta"</x:definedName>
    <x:definedName name="Evidencia_R015">""</x:definedName>
    <x:definedName name="Fecha_R015">"Pendiente"</x:definedName>
    <x:definedName name="Revisor_R015">""</x:definedName>
    <x:definedName name="RP_R016">0.1</x:definedName>
    <x:definedName name="RI_R016">5</x:definedName>
    <x:definedName name="RF_R016">0.4</x:definedName>
    <x:definedName name="RA_R016">64</x:definedName>
    <x:definedName name="Mes_R016">11</x:definedName>
    <x:definedName name="Externo_Inicial_R016">"Pendiente"</x:definedName>
    <x:definedName name="Externo_Residual_R016">"Pendiente"</x:definedName>
    <x:definedName name="Externo_Accion_R016">"Pendiente"</x:definedName>
    <x:definedName name="Estado_R016">"Propuesta"</x:definedName>
    <x:definedName name="Evidencia_R016">""</x:definedName>
    <x:definedName name="Fecha_R016">"Pendiente"</x:definedName>
    <x:definedName name="Revisor_R016">""</x:definedName>
    <x:definedName name="RP_R017">0.2</x:definedName>
    <x:definedName name="RI_R017">3</x:definedName>
    <x:definedName name="RF_R017">0.25</x:definedName>
    <x:definedName name="RA_R017">48</x:definedName>
    <x:definedName name="Mes_R017">3</x:definedName>
    <x:definedName name="Externo_Inicial_R017">"Pendiente"</x:definedName>
    <x:definedName name="Externo_Residual_R017">"Pendiente"</x:definedName>
    <x:definedName name="Externo_Accion_R017">"Pendiente"</x:definedName>
    <x:definedName name="Estado_R017">"Propuesta"</x:definedName>
    <x:definedName name="Evidencia_R017">""</x:definedName>
    <x:definedName name="Fecha_R017">"Pendiente"</x:definedName>
    <x:definedName name="Revisor_R017">""</x:definedName>
    <x:definedName name="RP_R018">0.25</x:definedName>
    <x:definedName name="RI_R018">3</x:definedName>
    <x:definedName name="RF_R018">0.25</x:definedName>
    <x:definedName name="RA_R018">64</x:definedName>
    <x:definedName name="Mes_R018">11</x:definedName>
    <x:definedName name="Externo_Inicial_R018">"Pendiente"</x:definedName>
    <x:definedName name="Externo_Residual_R018">"Pendiente"</x:definedName>
    <x:definedName name="Externo_Accion_R018">"Pendiente"</x:definedName>
    <x:definedName name="Estado_R018">"Propuesta"</x:definedName>
    <x:definedName name="Evidencia_R018">""</x:definedName>
    <x:definedName name="Fecha_R018">"Pendiente"</x:definedName>
    <x:definedName name="Revisor_R018">""</x:definedName>
    <x:definedName name="RP_R019">0.25</x:definedName>
    <x:definedName name="RI_R019">3</x:definedName>
    <x:definedName name="RF_R019">0.5</x:definedName>
    <x:definedName name="RA_R019">64</x:definedName>
    <x:definedName name="Mes_R019">12</x:definedName>
    <x:definedName name="Externo_Inicial_R019">"Pendiente"</x:definedName>
    <x:definedName name="Externo_Residual_R019">"Pendiente"</x:definedName>
    <x:definedName name="Externo_Accion_R019">"Pendiente"</x:definedName>
    <x:definedName name="Estado_R019">"Propuesta"</x:definedName>
    <x:definedName name="Evidencia_R019">""</x:definedName>
    <x:definedName name="Fecha_R019">"Pendiente"</x:definedName>
    <x:definedName name="Revisor_R019">""</x:definedName>
    <x:definedName name="RP_R020">0.2</x:definedName>
    <x:definedName name="RI_R020">3</x:definedName>
    <x:definedName name="RF_R020">0.5</x:definedName>
    <x:definedName name="RA_R020">32</x:definedName>
    <x:definedName name="Mes_R020">12</x:definedName>
    <x:definedName name="Externo_Inicial_R020">"Pendiente"</x:definedName>
    <x:definedName name="Externo_Residual_R020">"Pendiente"</x:definedName>
    <x:definedName name="Externo_Accion_R020">"Pendiente"</x:definedName>
    <x:definedName name="Estado_R020">"Propuesta"</x:definedName>
    <x:definedName name="Evidencia_R020">""</x:definedName>
    <x:definedName name="Fecha_R020">"Pendiente"</x:definedName>
    <x:definedName name="Revisor_R020">""</x:definedName>
    <x:definedName name="RP_R021">0.2</x:definedName>
    <x:definedName name="RI_R021">3</x:definedName>
    <x:definedName name="RF_R021">0.25</x:definedName>
    <x:definedName name="RA_R021">64</x:definedName>
    <x:definedName name="Mes_R021">3</x:definedName>
    <x:definedName name="Externo_Inicial_R021">"Pendiente"</x:definedName>
    <x:definedName name="Externo_Residual_R021">"Pendiente"</x:definedName>
    <x:definedName name="Externo_Accion_R021">"Pendiente"</x:definedName>
    <x:definedName name="Estado_R021">"Propuesta"</x:definedName>
    <x:definedName name="Evidencia_R021">""</x:definedName>
    <x:definedName name="Fecha_R021">"Pendiente"</x:definedName>
    <x:definedName name="Revisor_R021">""</x:definedName>
    <x:definedName name="RP_R022">0.25</x:definedName>
    <x:definedName name="RI_R022">3</x:definedName>
    <x:definedName name="RF_R022">0.25</x:definedName>
    <x:definedName name="RA_R022">32</x:definedName>
    <x:definedName name="Mes_R022">1</x:definedName>
    <x:definedName name="Externo_Inicial_R022">"Pendiente"</x:definedName>
    <x:definedName name="Externo_Residual_R022">"Pendiente"</x:definedName>
    <x:definedName name="Externo_Accion_R022">"Pendiente"</x:definedName>
    <x:definedName name="Estado_R022">"Propuesta"</x:definedName>
    <x:definedName name="Evidencia_R022">""</x:definedName>
    <x:definedName name="Fecha_R022">"Pendiente"</x:definedName>
    <x:definedName name="Revisor_R022">""</x:definedName>
    <x:definedName name="RP_R023">0.1</x:definedName>
    <x:definedName name="RI_R023">3</x:definedName>
    <x:definedName name="RF_R023">0.25</x:definedName>
    <x:definedName name="RA_R023">24</x:definedName>
    <x:definedName name="Mes_R023">4</x:definedName>
    <x:definedName name="Externo_Inicial_R023">"Pendiente"</x:definedName>
    <x:definedName name="Externo_Residual_R023">"Pendiente"</x:definedName>
    <x:definedName name="Externo_Accion_R023">"Pendiente"</x:definedName>
    <x:definedName name="Estado_R023">"Propuesta"</x:definedName>
    <x:definedName name="Evidencia_R023">""</x:definedName>
    <x:definedName name="Fecha_R023">"Pendiente"</x:definedName>
    <x:definedName name="Revisor_R023">""</x:definedName>
    <x:definedName name="RP_R024">0.2</x:definedName>
    <x:definedName name="RI_R024">3</x:definedName>
    <x:definedName name="RF_R024">0.25</x:definedName>
    <x:definedName name="RA_R024">32</x:definedName>
    <x:definedName name="Mes_R024">3</x:definedName>
    <x:definedName name="Externo_Inicial_R024">"Pendiente"</x:definedName>
    <x:definedName name="Externo_Residual_R024">"Pendiente"</x:definedName>
    <x:definedName name="Externo_Accion_R024">"Pendiente"</x:definedName>
    <x:definedName name="Estado_R024">"Propuesta"</x:definedName>
    <x:definedName name="Evidencia_R024">""</x:definedName>
    <x:definedName name="Fecha_R024">"Pendiente"</x:definedName>
    <x:definedName name="Revisor_R024">""</x:definedName>
    <x:definedName name="RP_R025">0.2</x:definedName>
    <x:definedName name="RI_R025">3</x:definedName>
    <x:definedName name="RF_R025">0.25</x:definedName>
    <x:definedName name="RA_R025">40</x:definedName>
    <x:definedName name="Mes_R025">4</x:definedName>
    <x:definedName name="Externo_Inicial_R025">"Pendiente"</x:definedName>
    <x:definedName name="Externo_Residual_R025">"Pendiente"</x:definedName>
    <x:definedName name="Externo_Accion_R025">"Pendiente"</x:definedName>
    <x:definedName name="Estado_R025">"Propuesta"</x:definedName>
    <x:definedName name="Evidencia_R025">""</x:definedName>
    <x:definedName name="Fecha_R025">"Pendiente"</x:definedName>
    <x:definedName name="Revisor_R025">""</x:definedName>
    <x:definedName name="RP_R026">0.25</x:definedName>
    <x:definedName name="RI_R026">3</x:definedName>
    <x:definedName name="RF_R026">0.25</x:definedName>
    <x:definedName name="RA_R026">48</x:definedName>
    <x:definedName name="Mes_R026">11</x:definedName>
    <x:definedName name="Externo_Inicial_R026">"Pendiente"</x:definedName>
    <x:definedName name="Externo_Residual_R026">"Pendiente"</x:definedName>
    <x:definedName name="Externo_Accion_R026">"Pendiente"</x:definedName>
    <x:definedName name="Estado_R026">"Propuesta"</x:definedName>
    <x:definedName name="Evidencia_R026">""</x:definedName>
    <x:definedName name="Fecha_R026">"Pendiente"</x:definedName>
    <x:definedName name="Revisor_R026">""</x:definedName>
    <x:definedName name="RP_R027">0.2</x:definedName>
    <x:definedName name="RI_R027">3</x:definedName>
    <x:definedName name="RF_R027">0.5</x:definedName>
    <x:definedName name="RA_R027">24</x:definedName>
    <x:definedName name="Mes_R027">1</x:definedName>
    <x:definedName name="Externo_Inicial_R027">"Pendiente"</x:definedName>
    <x:definedName name="Externo_Residual_R027">"Pendiente"</x:definedName>
    <x:definedName name="Externo_Accion_R027">"Pendiente"</x:definedName>
    <x:definedName name="Estado_R027">"Propuesta"</x:definedName>
    <x:definedName name="Evidencia_R027">""</x:definedName>
    <x:definedName name="Fecha_R027">"Pendiente"</x:definedName>
    <x:definedName name="Revisor_R027">""</x:definedName>
    <x:definedName name="RP_R028">0.15</x:definedName>
    <x:definedName name="RI_R028">3</x:definedName>
    <x:definedName name="RF_R028">0.3</x:definedName>
    <x:definedName name="RA_R028">40</x:definedName>
    <x:definedName name="Mes_R028">12</x:definedName>
    <x:definedName name="Externo_Inicial_R028">"Pendiente"</x:definedName>
    <x:definedName name="Externo_Residual_R028">"Pendiente"</x:definedName>
    <x:definedName name="Externo_Accion_R028">"Pendiente"</x:definedName>
    <x:definedName name="Estado_R028">"Propuesta"</x:definedName>
    <x:definedName name="Evidencia_R028">""</x:definedName>
    <x:definedName name="Fecha_R028">"Pendiente"</x:definedName>
    <x:definedName name="Revisor_R028">""</x:definedName>
    <x:definedName name="RP_R029">0.2</x:definedName>
    <x:definedName name="RI_R029">4</x:definedName>
    <x:definedName name="RF_R029">0.5</x:definedName>
    <x:definedName name="RA_R029">48</x:definedName>
    <x:definedName name="Mes_R029">8</x:definedName>
    <x:definedName name="Externo_Inicial_R029">"Pendiente"</x:definedName>
    <x:definedName name="Externo_Residual_R029">"Pendiente"</x:definedName>
    <x:definedName name="Externo_Accion_R029">"Pendiente"</x:definedName>
    <x:definedName name="Estado_R029">"Propuesta"</x:definedName>
    <x:definedName name="Evidencia_R029">""</x:definedName>
    <x:definedName name="Fecha_R029">"Pendiente"</x:definedName>
    <x:definedName name="Revisor_R029">""</x:definedName>
    <x:definedName name="RP_R030">0.35</x:definedName>
    <x:definedName name="RI_R030">4</x:definedName>
    <x:definedName name="RF_R030">0.8</x:definedName>
    <x:definedName name="RA_R030">64</x:definedName>
    <x:definedName name="Mes_R030">4</x:definedName>
    <x:definedName name="Externo_Inicial_R030">"Pendiente"</x:definedName>
    <x:definedName name="Externo_Residual_R030">"Pendiente"</x:definedName>
    <x:definedName name="Externo_Accion_R030">"Pendiente"</x:definedName>
    <x:definedName name="Estado_R030">"Propuesta"</x:definedName>
    <x:definedName name="Evidencia_R030">""</x:definedName>
    <x:definedName name="Fecha_R030">"Pendiente"</x:definedName>
    <x:definedName name="Revisor_R030">""</x:definedName>
    <x:definedName name="RP_R031">0.2</x:definedName>
    <x:definedName name="RI_R031">3</x:definedName>
    <x:definedName name="RF_R031">0.5</x:definedName>
    <x:definedName name="RA_R031">32</x:definedName>
    <x:definedName name="Mes_R031">8</x:definedName>
    <x:definedName name="Externo_Inicial_R031">"Pendiente"</x:definedName>
    <x:definedName name="Externo_Residual_R031">"Pendiente"</x:definedName>
    <x:definedName name="Externo_Accion_R031">"Pendiente"</x:definedName>
    <x:definedName name="Estado_R031">"Propuesta"</x:definedName>
    <x:definedName name="Evidencia_R031">""</x:definedName>
    <x:definedName name="Fecha_R031">"Pendiente"</x:definedName>
    <x:definedName name="Revisor_R031">""</x:definedName>
    <x:definedName name="RP_R032">0.15</x:definedName>
    <x:definedName name="RI_R032">3</x:definedName>
    <x:definedName name="RF_R032">0.25</x:definedName>
    <x:definedName name="RA_R032">48</x:definedName>
    <x:definedName name="Mes_R032">3</x:definedName>
    <x:definedName name="Externo_Inicial_R032">"Pendiente"</x:definedName>
    <x:definedName name="Externo_Residual_R032">"Pendiente"</x:definedName>
    <x:definedName name="Externo_Accion_R032">"Pendiente"</x:definedName>
    <x:definedName name="Estado_R032">"Propuesta"</x:definedName>
    <x:definedName name="Evidencia_R032">""</x:definedName>
    <x:definedName name="Fecha_R032">"Pendiente"</x:definedName>
    <x:definedName name="Revisor_R032">""</x:definedName>
    <x:definedName name="RP_R033">0.2</x:definedName>
    <x:definedName name="RI_R033">3</x:definedName>
    <x:definedName name="RF_R033">0.5</x:definedName>
    <x:definedName name="RA_R033">32</x:definedName>
    <x:definedName name="Mes_R033">6</x:definedName>
    <x:definedName name="Externo_Inicial_R033">"Pendiente"</x:definedName>
    <x:definedName name="Externo_Residual_R033">"Pendiente"</x:definedName>
    <x:definedName name="Externo_Accion_R033">"Pendiente"</x:definedName>
    <x:definedName name="Estado_R033">"Propuesta"</x:definedName>
    <x:definedName name="Evidencia_R033">""</x:definedName>
    <x:definedName name="Fecha_R033">"Pendiente"</x:definedName>
    <x:definedName name="Revisor_R033">""</x:definedName>
    <x:definedName name="RP_R034">0.15</x:definedName>
    <x:definedName name="RI_R034">3</x:definedName>
    <x:definedName name="RF_R034">0.3</x:definedName>
    <x:definedName name="RA_R034">40</x:definedName>
    <x:definedName name="Mes_R034">21</x:definedName>
    <x:definedName name="Externo_Inicial_R034">"Pendiente"</x:definedName>
    <x:definedName name="Externo_Residual_R034">"Pendiente"</x:definedName>
    <x:definedName name="Externo_Accion_R034">"Pendiente"</x:definedName>
    <x:definedName name="Estado_R034">"Propuesta"</x:definedName>
    <x:definedName name="Evidencia_R034">""</x:definedName>
    <x:definedName name="Fecha_R034">"Pendiente"</x:definedName>
    <x:definedName name="Revisor_R034">""</x:definedName>
    <x:definedName name="RP_R035">0.25</x:definedName>
    <x:definedName name="RI_R035">4</x:definedName>
    <x:definedName name="RF_R035">0.5</x:definedName>
    <x:definedName name="RA_R035">24</x:definedName>
    <x:definedName name="Mes_R035">1</x:definedName>
    <x:definedName name="Externo_Inicial_R035">"Pendiente"</x:definedName>
    <x:definedName name="Externo_Residual_R035">"Pendiente"</x:definedName>
    <x:definedName name="Externo_Accion_R035">"Pendiente"</x:definedName>
    <x:definedName name="Estado_R035">"Propuesta"</x:definedName>
    <x:definedName name="Evidencia_R035">""</x:definedName>
    <x:definedName name="Fecha_R035">"Pendiente"</x:definedName>
    <x:definedName name="Revisor_R035">""</x:definedName>
    <x:definedName name="RP_R036">0.2</x:definedName>
    <x:definedName name="RI_R036">3</x:definedName>
    <x:definedName name="RF_R036">0.5</x:definedName>
    <x:definedName name="RA_R036">32</x:definedName>
    <x:definedName name="Mes_R036">14</x:definedName>
    <x:definedName name="Externo_Inicial_R036">"Pendiente"</x:definedName>
    <x:definedName name="Externo_Residual_R036">"Pendiente"</x:definedName>
    <x:definedName name="Externo_Accion_R036">"Pendiente"</x:definedName>
    <x:definedName name="Estado_R036">"Propuesta"</x:definedName>
    <x:definedName name="Evidencia_R036">""</x:definedName>
    <x:definedName name="Fecha_R036">"Pendiente"</x:definedName>
    <x:definedName name="Revisor_R036">""</x:definedName>
    <x:definedName name="RP_R037">0.2</x:definedName>
    <x:definedName name="RI_R037">3</x:definedName>
    <x:definedName name="RF_R037">0.5</x:definedName>
    <x:definedName name="RA_R037">32</x:definedName>
    <x:definedName name="Mes_R037">10</x:definedName>
    <x:definedName name="Externo_Inicial_R037">"Pendiente"</x:definedName>
    <x:definedName name="Externo_Residual_R037">"Pendiente"</x:definedName>
    <x:definedName name="Externo_Accion_R037">"Pendiente"</x:definedName>
    <x:definedName name="Estado_R037">"Propuesta"</x:definedName>
    <x:definedName name="Evidencia_R037">""</x:definedName>
    <x:definedName name="Fecha_R037">"Pendiente"</x:definedName>
    <x:definedName name="Revisor_R037">""</x:definedName>
    <x:definedName name="RP_R038">0.2</x:definedName>
    <x:definedName name="RI_R038">3</x:definedName>
    <x:definedName name="RF_R038">0.25</x:definedName>
    <x:definedName name="RA_R038">64</x:definedName>
    <x:definedName name="Mes_R038">12</x:definedName>
    <x:definedName name="Externo_Inicial_R038">"Pendiente"</x:definedName>
    <x:definedName name="Externo_Residual_R038">"Pendiente"</x:definedName>
    <x:definedName name="Externo_Accion_R038">"Pendiente"</x:definedName>
    <x:definedName name="Estado_R038">"Propuesta"</x:definedName>
    <x:definedName name="Evidencia_R038">""</x:definedName>
    <x:definedName name="Fecha_R038">"Pendiente"</x:definedName>
    <x:definedName name="Revisor_R038">""</x:definedName>
    <x:definedName name="RP_R039">0.2</x:definedName>
    <x:definedName name="RI_R039">3</x:definedName>
    <x:definedName name="RF_R039">0.5</x:definedName>
    <x:definedName name="RA_R039">24</x:definedName>
    <x:definedName name="Mes_R039">4</x:definedName>
    <x:definedName name="Externo_Inicial_R039">"Pendiente"</x:definedName>
    <x:definedName name="Externo_Residual_R039">"Pendiente"</x:definedName>
    <x:definedName name="Externo_Accion_R039">"Pendiente"</x:definedName>
    <x:definedName name="Estado_R039">"Propuesta"</x:definedName>
    <x:definedName name="Evidencia_R039">""</x:definedName>
    <x:definedName name="Fecha_R039">"Pendiente"</x:definedName>
    <x:definedName name="Revisor_R039">""</x:definedName>
    <x:definedName name="RP_R040">0.2</x:definedName>
    <x:definedName name="RI_R040">3</x:definedName>
    <x:definedName name="RF_R040">0.5</x:definedName>
    <x:definedName name="RA_R040">32</x:definedName>
    <x:definedName name="Mes_R040">18</x:definedName>
    <x:definedName name="Externo_Inicial_R040">"Pendiente"</x:definedName>
    <x:definedName name="Externo_Residual_R040">"Pendiente"</x:definedName>
    <x:definedName name="Externo_Accion_R040">"Pendiente"</x:definedName>
    <x:definedName name="Estado_R040">"Propuesta"</x:definedName>
    <x:definedName name="Evidencia_R040">""</x:definedName>
    <x:definedName name="Fecha_R040">"Pendiente"</x:definedName>
    <x:definedName name="Revisor_R040">""</x:definedName>
    <x:definedName name="RP_R041">0.15</x:definedName>
    <x:definedName name="RI_R041">3</x:definedName>
    <x:definedName name="RF_R041">0.25</x:definedName>
    <x:definedName name="RA_R041">48</x:definedName>
    <x:definedName name="Mes_R041">53</x:definedName>
    <x:definedName name="Externo_Inicial_R041">"Pendiente"</x:definedName>
    <x:definedName name="Externo_Residual_R041">"Pendiente"</x:definedName>
    <x:definedName name="Externo_Accion_R041">"Pendiente"</x:definedName>
    <x:definedName name="Estado_R041">"Propuesta"</x:definedName>
    <x:definedName name="Evidencia_R041">""</x:definedName>
    <x:definedName name="Fecha_R041">"Pendiente"</x:definedName>
    <x:definedName name="Revisor_R041">""</x:definedName>
    <x:definedName name="RP_R042">0.2</x:definedName>
    <x:definedName name="RI_R042">3</x:definedName>
    <x:definedName name="RF_R042">0.25</x:definedName>
    <x:definedName name="RA_R042">40</x:definedName>
    <x:definedName name="Mes_R042">21</x:definedName>
    <x:definedName name="Externo_Inicial_R042">"Pendiente"</x:definedName>
    <x:definedName name="Externo_Residual_R042">"Pendiente"</x:definedName>
    <x:definedName name="Externo_Accion_R042">"Pendiente"</x:definedName>
    <x:definedName name="Estado_R042">"Propuesta"</x:definedName>
    <x:definedName name="Evidencia_R042">""</x:definedName>
    <x:definedName name="Fecha_R042">"Pendiente"</x:definedName>
    <x:definedName name="Revisor_R042">""</x:definedName>
    <x:definedName name="RP_R043">0.1</x:definedName>
    <x:definedName name="RI_R043">3</x:definedName>
    <x:definedName name="RF_R043">0.3</x:definedName>
    <x:definedName name="RA_R043">32</x:definedName>
    <x:definedName name="Mes_R043">8</x:definedName>
    <x:definedName name="Externo_Inicial_R043">"Pendiente"</x:definedName>
    <x:definedName name="Externo_Residual_R043">"Pendiente"</x:definedName>
    <x:definedName name="Externo_Accion_R043">"Pendiente"</x:definedName>
    <x:definedName name="Estado_R043">"Propuesta"</x:definedName>
    <x:definedName name="Evidencia_R043">""</x:definedName>
    <x:definedName name="Fecha_R043">"Pendiente"</x:definedName>
    <x:definedName name="Revisor_R043">""</x:definedName>
    <x:definedName name="RP_R044">0.1</x:definedName>
    <x:definedName name="RI_R044">3</x:definedName>
    <x:definedName name="RF_R044">0.3</x:definedName>
    <x:definedName name="RA_R044">32</x:definedName>
    <x:definedName name="Mes_R044">8</x:definedName>
    <x:definedName name="Externo_Inicial_R044">"Pendiente"</x:definedName>
    <x:definedName name="Externo_Residual_R044">"Pendiente"</x:definedName>
    <x:definedName name="Externo_Accion_R044">"Pendiente"</x:definedName>
    <x:definedName name="Estado_R044">"Propuesta"</x:definedName>
    <x:definedName name="Evidencia_R044">""</x:definedName>
    <x:definedName name="Fecha_R044">"Pendiente"</x:definedName>
    <x:definedName name="Revisor_R044">""</x:definedName>
    <x:definedName name="RP_R045">0.15</x:definedName>
    <x:definedName name="RI_R045">3</x:definedName>
    <x:definedName name="RF_R045">0.3333333333333333</x:definedName>
    <x:definedName name="RA_R045">40</x:definedName>
    <x:definedName name="Mes_R045">8</x:definedName>
    <x:definedName name="Externo_Inicial_R045">"Pendiente"</x:definedName>
    <x:definedName name="Externo_Residual_R045">"Pendiente"</x:definedName>
    <x:definedName name="Externo_Accion_R045">"Pendiente"</x:definedName>
    <x:definedName name="Estado_R045">"Propuesta"</x:definedName>
    <x:definedName name="Evidencia_R045">""</x:definedName>
    <x:definedName name="Fecha_R045">"Pendiente"</x:definedName>
    <x:definedName name="Revisor_R045">""</x:definedName>
    <x:definedName name="MA_R001">IF(AND(ISNUMBER(Tarifa_CLP_HH),ISNUMBER(Externo_Accion_R001)),RA_R001*Tarifa_CLP_HH+Externo_Accion_R001,"Pendiente")</x:definedName>
    <x:definedName name="RE_R001">IF(RP_R001&lt;=0.1,0.1,IF(RP_R001&lt;=0.3,0.3,IF(RP_R001&lt;=0.5,0.5,IF(RP_R001&lt;=0.7,0.7,0.9))))*CHOOSE(RI_R001,0.05,0.1,0.2,0.4,0.8)</x:definedName>
    <x:definedName name="RZ_R001">IF(RE_R001&gt;=0.4,"Crítica",IF(RE_R001&gt;=0.2,"Alta",IF(RE_R001&gt;=0.08,"Media","Baja")))</x:definedName>
    <x:definedName name="MA_R002">IF(AND(ISNUMBER(Tarifa_CLP_HH),ISNUMBER(Externo_Accion_R002)),RA_R002*Tarifa_CLP_HH+Externo_Accion_R002,"Pendiente")</x:definedName>
    <x:definedName name="RE_R002">IF(RP_R002&lt;=0.1,0.1,IF(RP_R002&lt;=0.3,0.3,IF(RP_R002&lt;=0.5,0.5,IF(RP_R002&lt;=0.7,0.7,0.9))))*CHOOSE(RI_R002,0.05,0.1,0.2,0.4,0.8)</x:definedName>
    <x:definedName name="RZ_R002">IF(RE_R002&gt;=0.4,"Crítica",IF(RE_R002&gt;=0.2,"Alta",IF(RE_R002&gt;=0.08,"Media","Baja")))</x:definedName>
    <x:definedName name="MA_R003">IF(AND(ISNUMBER(Tarifa_CLP_HH),ISNUMBER(Externo_Accion_R003)),RA_R003*Tarifa_CLP_HH+Externo_Accion_R003,"Pendiente")</x:definedName>
    <x:definedName name="RE_R003">IF(RP_R003&lt;=0.1,0.1,IF(RP_R003&lt;=0.3,0.3,IF(RP_R003&lt;=0.5,0.5,IF(RP_R003&lt;=0.7,0.7,0.9))))*CHOOSE(RI_R003,0.05,0.1,0.2,0.4,0.8)</x:definedName>
    <x:definedName name="RZ_R003">IF(RE_R003&gt;=0.4,"Crítica",IF(RE_R003&gt;=0.2,"Alta",IF(RE_R003&gt;=0.08,"Media","Baja")))</x:definedName>
    <x:definedName name="MA_R004">IF(AND(ISNUMBER(Tarifa_CLP_HH),ISNUMBER(Externo_Accion_R004)),RA_R004*Tarifa_CLP_HH+Externo_Accion_R004,"Pendiente")</x:definedName>
    <x:definedName name="RE_R004">IF(RP_R004&lt;=0.1,0.1,IF(RP_R004&lt;=0.3,0.3,IF(RP_R004&lt;=0.5,0.5,IF(RP_R004&lt;=0.7,0.7,0.9))))*CHOOSE(RI_R004,0.05,0.1,0.2,0.4,0.8)</x:definedName>
    <x:definedName name="RZ_R004">IF(RE_R004&gt;=0.4,"Crítica",IF(RE_R004&gt;=0.2,"Alta",IF(RE_R004&gt;=0.08,"Media","Baja")))</x:definedName>
    <x:definedName name="MA_R005">IF(AND(ISNUMBER(Tarifa_CLP_HH),ISNUMBER(Externo_Accion_R005)),RA_R005*Tarifa_CLP_HH+Externo_Accion_R005,"Pendiente")</x:definedName>
    <x:definedName name="RE_R005">IF(RP_R005&lt;=0.1,0.1,IF(RP_R005&lt;=0.3,0.3,IF(RP_R005&lt;=0.5,0.5,IF(RP_R005&lt;=0.7,0.7,0.9))))*CHOOSE(RI_R005,0.05,0.1,0.2,0.4,0.8)</x:definedName>
    <x:definedName name="RZ_R005">IF(RE_R005&gt;=0.4,"Crítica",IF(RE_R005&gt;=0.2,"Alta",IF(RE_R005&gt;=0.08,"Media","Baja")))</x:definedName>
    <x:definedName name="MA_R006">IF(AND(ISNUMBER(Tarifa_CLP_HH),ISNUMBER(Externo_Accion_R006)),RA_R006*Tarifa_CLP_HH+Externo_Accion_R006,"Pendiente")</x:definedName>
    <x:definedName name="RE_R006">IF(RP_R006&lt;=0.1,0.1,IF(RP_R006&lt;=0.3,0.3,IF(RP_R006&lt;=0.5,0.5,IF(RP_R006&lt;=0.7,0.7,0.9))))*CHOOSE(RI_R006,0.05,0.1,0.2,0.4,0.8)</x:definedName>
    <x:definedName name="RZ_R006">IF(RE_R006&gt;=0.4,"Crítica",IF(RE_R006&gt;=0.2,"Alta",IF(RE_R006&gt;=0.08,"Media","Baja")))</x:definedName>
    <x:definedName name="MA_R007">IF(AND(ISNUMBER(Tarifa_CLP_HH),ISNUMBER(Externo_Accion_R007)),RA_R007*Tarifa_CLP_HH+Externo_Accion_R007,"Pendiente")</x:definedName>
    <x:definedName name="RE_R007">IF(RP_R007&lt;=0.1,0.1,IF(RP_R007&lt;=0.3,0.3,IF(RP_R007&lt;=0.5,0.5,IF(RP_R007&lt;=0.7,0.7,0.9))))*CHOOSE(RI_R007,0.05,0.1,0.2,0.4,0.8)</x:definedName>
    <x:definedName name="RZ_R007">IF(RE_R007&gt;=0.4,"Crítica",IF(RE_R007&gt;=0.2,"Alta",IF(RE_R007&gt;=0.08,"Media","Baja")))</x:definedName>
    <x:definedName name="MA_R008">IF(AND(ISNUMBER(Tarifa_CLP_HH),ISNUMBER(Externo_Accion_R008)),RA_R008*Tarifa_CLP_HH+Externo_Accion_R008,"Pendiente")</x:definedName>
    <x:definedName name="RE_R008">IF(RP_R008&lt;=0.1,0.1,IF(RP_R008&lt;=0.3,0.3,IF(RP_R008&lt;=0.5,0.5,IF(RP_R008&lt;=0.7,0.7,0.9))))*CHOOSE(RI_R008,0.05,0.1,0.2,0.4,0.8)</x:definedName>
    <x:definedName name="RZ_R008">IF(RE_R008&gt;=0.4,"Crítica",IF(RE_R008&gt;=0.2,"Alta",IF(RE_R008&gt;=0.08,"Media","Baja")))</x:definedName>
    <x:definedName name="MA_R009">IF(AND(ISNUMBER(Tarifa_CLP_HH),ISNUMBER(Externo_Accion_R009)),RA_R009*Tarifa_CLP_HH+Externo_Accion_R009,"Pendiente")</x:definedName>
    <x:definedName name="RE_R009">IF(RP_R009&lt;=0.1,0.1,IF(RP_R009&lt;=0.3,0.3,IF(RP_R009&lt;=0.5,0.5,IF(RP_R009&lt;=0.7,0.7,0.9))))*CHOOSE(RI_R009,0.05,0.1,0.2,0.4,0.8)</x:definedName>
    <x:definedName name="RZ_R009">IF(RE_R009&gt;=0.4,"Crítica",IF(RE_R009&gt;=0.2,"Alta",IF(RE_R009&gt;=0.08,"Media","Baja")))</x:definedName>
    <x:definedName name="MA_R010">IF(AND(ISNUMBER(Tarifa_CLP_HH),ISNUMBER(Externo_Accion_R010)),RA_R010*Tarifa_CLP_HH+Externo_Accion_R010,"Pendiente")</x:definedName>
    <x:definedName name="RE_R010">IF(RP_R010&lt;=0.1,0.1,IF(RP_R010&lt;=0.3,0.3,IF(RP_R010&lt;=0.5,0.5,IF(RP_R010&lt;=0.7,0.7,0.9))))*CHOOSE(RI_R010,0.05,0.1,0.2,0.4,0.8)</x:definedName>
    <x:definedName name="RZ_R010">IF(RE_R010&gt;=0.4,"Crítica",IF(RE_R010&gt;=0.2,"Alta",IF(RE_R010&gt;=0.08,"Media","Baja")))</x:definedName>
    <x:definedName name="MA_R011">IF(AND(ISNUMBER(Tarifa_CLP_HH),ISNUMBER(Externo_Accion_R011)),RA_R011*Tarifa_CLP_HH+Externo_Accion_R011,"Pendiente")</x:definedName>
    <x:definedName name="RE_R011">IF(RP_R011&lt;=0.1,0.1,IF(RP_R011&lt;=0.3,0.3,IF(RP_R011&lt;=0.5,0.5,IF(RP_R011&lt;=0.7,0.7,0.9))))*CHOOSE(RI_R011,0.05,0.1,0.2,0.4,0.8)</x:definedName>
    <x:definedName name="RZ_R011">IF(RE_R011&gt;=0.4,"Crítica",IF(RE_R011&gt;=0.2,"Alta",IF(RE_R011&gt;=0.08,"Media","Baja")))</x:definedName>
    <x:definedName name="MA_R012">IF(AND(ISNUMBER(Tarifa_CLP_HH),ISNUMBER(Externo_Accion_R012)),RA_R012*Tarifa_CLP_HH+Externo_Accion_R012,"Pendiente")</x:definedName>
    <x:definedName name="RE_R012">IF(RP_R012&lt;=0.1,0.1,IF(RP_R012&lt;=0.3,0.3,IF(RP_R012&lt;=0.5,0.5,IF(RP_R012&lt;=0.7,0.7,0.9))))*CHOOSE(RI_R012,0.05,0.1,0.2,0.4,0.8)</x:definedName>
    <x:definedName name="RZ_R012">IF(RE_R012&gt;=0.4,"Crítica",IF(RE_R012&gt;=0.2,"Alta",IF(RE_R012&gt;=0.08,"Media","Baja")))</x:definedName>
    <x:definedName name="MA_R013">IF(AND(ISNUMBER(Tarifa_CLP_HH),ISNUMBER(Externo_Accion_R013)),RA_R013*Tarifa_CLP_HH+Externo_Accion_R013,"Pendiente")</x:definedName>
    <x:definedName name="RE_R013">IF(RP_R013&lt;=0.1,0.1,IF(RP_R013&lt;=0.3,0.3,IF(RP_R013&lt;=0.5,0.5,IF(RP_R013&lt;=0.7,0.7,0.9))))*CHOOSE(RI_R013,0.05,0.1,0.2,0.4,0.8)</x:definedName>
    <x:definedName name="RZ_R013">IF(RE_R013&gt;=0.4,"Crítica",IF(RE_R013&gt;=0.2,"Alta",IF(RE_R013&gt;=0.08,"Media","Baja")))</x:definedName>
    <x:definedName name="MA_R014">IF(AND(ISNUMBER(Tarifa_CLP_HH),ISNUMBER(Externo_Accion_R014)),RA_R014*Tarifa_CLP_HH+Externo_Accion_R014,"Pendiente")</x:definedName>
    <x:definedName name="RE_R014">IF(RP_R014&lt;=0.1,0.1,IF(RP_R014&lt;=0.3,0.3,IF(RP_R014&lt;=0.5,0.5,IF(RP_R014&lt;=0.7,0.7,0.9))))*CHOOSE(RI_R014,0.05,0.1,0.2,0.4,0.8)</x:definedName>
    <x:definedName name="RZ_R014">IF(RE_R014&gt;=0.4,"Crítica",IF(RE_R014&gt;=0.2,"Alta",IF(RE_R014&gt;=0.08,"Media","Baja")))</x:definedName>
    <x:definedName name="MA_R015">IF(AND(ISNUMBER(Tarifa_CLP_HH),ISNUMBER(Externo_Accion_R015)),RA_R015*Tarifa_CLP_HH+Externo_Accion_R015,"Pendiente")</x:definedName>
    <x:definedName name="RE_R015">IF(RP_R015&lt;=0.1,0.1,IF(RP_R015&lt;=0.3,0.3,IF(RP_R015&lt;=0.5,0.5,IF(RP_R015&lt;=0.7,0.7,0.9))))*CHOOSE(RI_R015,0.05,0.1,0.2,0.4,0.8)</x:definedName>
    <x:definedName name="RZ_R015">IF(RE_R015&gt;=0.4,"Crítica",IF(RE_R015&gt;=0.2,"Alta",IF(RE_R015&gt;=0.08,"Media","Baja")))</x:definedName>
    <x:definedName name="MA_R016">IF(AND(ISNUMBER(Tarifa_CLP_HH),ISNUMBER(Externo_Accion_R016)),RA_R016*Tarifa_CLP_HH+Externo_Accion_R016,"Pendiente")</x:definedName>
    <x:definedName name="RE_R016">IF(RP_R016&lt;=0.1,0.1,IF(RP_R016&lt;=0.3,0.3,IF(RP_R016&lt;=0.5,0.5,IF(RP_R016&lt;=0.7,0.7,0.9))))*CHOOSE(RI_R016,0.05,0.1,0.2,0.4,0.8)</x:definedName>
    <x:definedName name="RZ_R016">IF(RE_R016&gt;=0.4,"Crítica",IF(RE_R016&gt;=0.2,"Alta",IF(RE_R016&gt;=0.08,"Media","Baja")))</x:definedName>
    <x:definedName name="MA_R017">IF(AND(ISNUMBER(Tarifa_CLP_HH),ISNUMBER(Externo_Accion_R017)),RA_R017*Tarifa_CLP_HH+Externo_Accion_R017,"Pendiente")</x:definedName>
    <x:definedName name="RE_R017">IF(RP_R017&lt;=0.1,0.1,IF(RP_R017&lt;=0.3,0.3,IF(RP_R017&lt;=0.5,0.5,IF(RP_R017&lt;=0.7,0.7,0.9))))*CHOOSE(RI_R017,0.05,0.1,0.2,0.4,0.8)</x:definedName>
    <x:definedName name="RZ_R017">IF(RE_R017&gt;=0.4,"Crítica",IF(RE_R017&gt;=0.2,"Alta",IF(RE_R017&gt;=0.08,"Media","Baja")))</x:definedName>
    <x:definedName name="MA_R018">IF(AND(ISNUMBER(Tarifa_CLP_HH),ISNUMBER(Externo_Accion_R018)),RA_R018*Tarifa_CLP_HH+Externo_Accion_R018,"Pendiente")</x:definedName>
    <x:definedName name="RE_R018">IF(RP_R018&lt;=0.1,0.1,IF(RP_R018&lt;=0.3,0.3,IF(RP_R018&lt;=0.5,0.5,IF(RP_R018&lt;=0.7,0.7,0.9))))*CHOOSE(RI_R018,0.05,0.1,0.2,0.4,0.8)</x:definedName>
    <x:definedName name="RZ_R018">IF(RE_R018&gt;=0.4,"Crítica",IF(RE_R018&gt;=0.2,"Alta",IF(RE_R018&gt;=0.08,"Media","Baja")))</x:definedName>
    <x:definedName name="MA_R019">IF(AND(ISNUMBER(Tarifa_CLP_HH),ISNUMBER(Externo_Accion_R019)),RA_R019*Tarifa_CLP_HH+Externo_Accion_R019,"Pendiente")</x:definedName>
    <x:definedName name="RE_R019">IF(RP_R019&lt;=0.1,0.1,IF(RP_R019&lt;=0.3,0.3,IF(RP_R019&lt;=0.5,0.5,IF(RP_R019&lt;=0.7,0.7,0.9))))*CHOOSE(RI_R019,0.05,0.1,0.2,0.4,0.8)</x:definedName>
    <x:definedName name="RZ_R019">IF(RE_R019&gt;=0.4,"Crítica",IF(RE_R019&gt;=0.2,"Alta",IF(RE_R019&gt;=0.08,"Media","Baja")))</x:definedName>
    <x:definedName name="MA_R020">IF(AND(ISNUMBER(Tarifa_CLP_HH),ISNUMBER(Externo_Accion_R020)),RA_R020*Tarifa_CLP_HH+Externo_Accion_R020,"Pendiente")</x:definedName>
    <x:definedName name="RE_R020">IF(RP_R020&lt;=0.1,0.1,IF(RP_R020&lt;=0.3,0.3,IF(RP_R020&lt;=0.5,0.5,IF(RP_R020&lt;=0.7,0.7,0.9))))*CHOOSE(RI_R020,0.05,0.1,0.2,0.4,0.8)</x:definedName>
    <x:definedName name="RZ_R020">IF(RE_R020&gt;=0.4,"Crítica",IF(RE_R020&gt;=0.2,"Alta",IF(RE_R020&gt;=0.08,"Media","Baja")))</x:definedName>
    <x:definedName name="MA_R021">IF(AND(ISNUMBER(Tarifa_CLP_HH),ISNUMBER(Externo_Accion_R021)),RA_R021*Tarifa_CLP_HH+Externo_Accion_R021,"Pendiente")</x:definedName>
    <x:definedName name="RE_R021">IF(RP_R021&lt;=0.1,0.1,IF(RP_R021&lt;=0.3,0.3,IF(RP_R021&lt;=0.5,0.5,IF(RP_R021&lt;=0.7,0.7,0.9))))*CHOOSE(RI_R021,0.05,0.1,0.2,0.4,0.8)</x:definedName>
    <x:definedName name="RZ_R021">IF(RE_R021&gt;=0.4,"Crítica",IF(RE_R021&gt;=0.2,"Alta",IF(RE_R021&gt;=0.08,"Media","Baja")))</x:definedName>
    <x:definedName name="MA_R022">IF(AND(ISNUMBER(Tarifa_CLP_HH),ISNUMBER(Externo_Accion_R022)),RA_R022*Tarifa_CLP_HH+Externo_Accion_R022,"Pendiente")</x:definedName>
    <x:definedName name="RE_R022">IF(RP_R022&lt;=0.1,0.1,IF(RP_R022&lt;=0.3,0.3,IF(RP_R022&lt;=0.5,0.5,IF(RP_R022&lt;=0.7,0.7,0.9))))*CHOOSE(RI_R022,0.05,0.1,0.2,0.4,0.8)</x:definedName>
    <x:definedName name="RZ_R022">IF(RE_R022&gt;=0.4,"Crítica",IF(RE_R022&gt;=0.2,"Alta",IF(RE_R022&gt;=0.08,"Media","Baja")))</x:definedName>
    <x:definedName name="MA_R023">IF(AND(ISNUMBER(Tarifa_CLP_HH),ISNUMBER(Externo_Accion_R023)),RA_R023*Tarifa_CLP_HH+Externo_Accion_R023,"Pendiente")</x:definedName>
    <x:definedName name="RE_R023">IF(RP_R023&lt;=0.1,0.1,IF(RP_R023&lt;=0.3,0.3,IF(RP_R023&lt;=0.5,0.5,IF(RP_R023&lt;=0.7,0.7,0.9))))*CHOOSE(RI_R023,0.05,0.1,0.2,0.4,0.8)</x:definedName>
    <x:definedName name="RZ_R023">IF(RE_R023&gt;=0.4,"Crítica",IF(RE_R023&gt;=0.2,"Alta",IF(RE_R023&gt;=0.08,"Media","Baja")))</x:definedName>
    <x:definedName name="MA_R024">IF(AND(ISNUMBER(Tarifa_CLP_HH),ISNUMBER(Externo_Accion_R024)),RA_R024*Tarifa_CLP_HH+Externo_Accion_R024,"Pendiente")</x:definedName>
    <x:definedName name="RE_R024">IF(RP_R024&lt;=0.1,0.1,IF(RP_R024&lt;=0.3,0.3,IF(RP_R024&lt;=0.5,0.5,IF(RP_R024&lt;=0.7,0.7,0.9))))*CHOOSE(RI_R024,0.05,0.1,0.2,0.4,0.8)</x:definedName>
    <x:definedName name="RZ_R024">IF(RE_R024&gt;=0.4,"Crítica",IF(RE_R024&gt;=0.2,"Alta",IF(RE_R024&gt;=0.08,"Media","Baja")))</x:definedName>
    <x:definedName name="MA_R025">IF(AND(ISNUMBER(Tarifa_CLP_HH),ISNUMBER(Externo_Accion_R025)),RA_R025*Tarifa_CLP_HH+Externo_Accion_R025,"Pendiente")</x:definedName>
    <x:definedName name="RE_R025">IF(RP_R025&lt;=0.1,0.1,IF(RP_R025&lt;=0.3,0.3,IF(RP_R025&lt;=0.5,0.5,IF(RP_R025&lt;=0.7,0.7,0.9))))*CHOOSE(RI_R025,0.05,0.1,0.2,0.4,0.8)</x:definedName>
    <x:definedName name="RZ_R025">IF(RE_R025&gt;=0.4,"Crítica",IF(RE_R025&gt;=0.2,"Alta",IF(RE_R025&gt;=0.08,"Media","Baja")))</x:definedName>
    <x:definedName name="MA_R026">IF(AND(ISNUMBER(Tarifa_CLP_HH),ISNUMBER(Externo_Accion_R026)),RA_R026*Tarifa_CLP_HH+Externo_Accion_R026,"Pendiente")</x:definedName>
    <x:definedName name="RE_R026">IF(RP_R026&lt;=0.1,0.1,IF(RP_R026&lt;=0.3,0.3,IF(RP_R026&lt;=0.5,0.5,IF(RP_R026&lt;=0.7,0.7,0.9))))*CHOOSE(RI_R026,0.05,0.1,0.2,0.4,0.8)</x:definedName>
    <x:definedName name="RZ_R026">IF(RE_R026&gt;=0.4,"Crítica",IF(RE_R026&gt;=0.2,"Alta",IF(RE_R026&gt;=0.08,"Media","Baja")))</x:definedName>
    <x:definedName name="MA_R027">IF(AND(ISNUMBER(Tarifa_CLP_HH),ISNUMBER(Externo_Accion_R027)),RA_R027*Tarifa_CLP_HH+Externo_Accion_R027,"Pendiente")</x:definedName>
    <x:definedName name="RE_R027">IF(RP_R027&lt;=0.1,0.1,IF(RP_R027&lt;=0.3,0.3,IF(RP_R027&lt;=0.5,0.5,IF(RP_R027&lt;=0.7,0.7,0.9))))*CHOOSE(RI_R027,0.05,0.1,0.2,0.4,0.8)</x:definedName>
    <x:definedName name="RZ_R027">IF(RE_R027&gt;=0.4,"Crítica",IF(RE_R027&gt;=0.2,"Alta",IF(RE_R027&gt;=0.08,"Media","Baja")))</x:definedName>
    <x:definedName name="MA_R028">IF(AND(ISNUMBER(Tarifa_CLP_HH),ISNUMBER(Externo_Accion_R028)),RA_R028*Tarifa_CLP_HH+Externo_Accion_R028,"Pendiente")</x:definedName>
    <x:definedName name="RE_R028">IF(RP_R028&lt;=0.1,0.1,IF(RP_R028&lt;=0.3,0.3,IF(RP_R028&lt;=0.5,0.5,IF(RP_R028&lt;=0.7,0.7,0.9))))*CHOOSE(RI_R028,0.05,0.1,0.2,0.4,0.8)</x:definedName>
    <x:definedName name="RZ_R028">IF(RE_R028&gt;=0.4,"Crítica",IF(RE_R028&gt;=0.2,"Alta",IF(RE_R028&gt;=0.08,"Media","Baja")))</x:definedName>
    <x:definedName name="MA_R029">IF(AND(ISNUMBER(Tarifa_CLP_HH),ISNUMBER(Externo_Accion_R029)),RA_R029*Tarifa_CLP_HH+Externo_Accion_R029,"Pendiente")</x:definedName>
    <x:definedName name="RE_R029">IF(RP_R029&lt;=0.1,0.1,IF(RP_R029&lt;=0.3,0.3,IF(RP_R029&lt;=0.5,0.5,IF(RP_R029&lt;=0.7,0.7,0.9))))*CHOOSE(RI_R029,0.05,0.1,0.2,0.4,0.8)</x:definedName>
    <x:definedName name="RZ_R029">IF(RE_R029&gt;=0.4,"Crítica",IF(RE_R029&gt;=0.2,"Alta",IF(RE_R029&gt;=0.08,"Media","Baja")))</x:definedName>
    <x:definedName name="MA_R030">IF(AND(ISNUMBER(Tarifa_CLP_HH),ISNUMBER(Externo_Accion_R030)),RA_R030*Tarifa_CLP_HH+Externo_Accion_R030,"Pendiente")</x:definedName>
    <x:definedName name="RE_R030">IF(RP_R030&lt;=0.1,0.1,IF(RP_R030&lt;=0.3,0.3,IF(RP_R030&lt;=0.5,0.5,IF(RP_R030&lt;=0.7,0.7,0.9))))*CHOOSE(RI_R030,0.05,0.1,0.2,0.4,0.8)</x:definedName>
    <x:definedName name="RZ_R030">IF(RE_R030&gt;=0.4,"Crítica",IF(RE_R030&gt;=0.2,"Alta",IF(RE_R030&gt;=0.08,"Media","Baja")))</x:definedName>
    <x:definedName name="MA_R031">IF(AND(ISNUMBER(Tarifa_CLP_HH),ISNUMBER(Externo_Accion_R031)),RA_R031*Tarifa_CLP_HH+Externo_Accion_R031,"Pendiente")</x:definedName>
    <x:definedName name="RE_R031">IF(RP_R031&lt;=0.1,0.1,IF(RP_R031&lt;=0.3,0.3,IF(RP_R031&lt;=0.5,0.5,IF(RP_R031&lt;=0.7,0.7,0.9))))*CHOOSE(RI_R031,0.05,0.1,0.2,0.4,0.8)</x:definedName>
    <x:definedName name="RZ_R031">IF(RE_R031&gt;=0.4,"Crítica",IF(RE_R031&gt;=0.2,"Alta",IF(RE_R031&gt;=0.08,"Media","Baja")))</x:definedName>
    <x:definedName name="MA_R032">IF(AND(ISNUMBER(Tarifa_CLP_HH),ISNUMBER(Externo_Accion_R032)),RA_R032*Tarifa_CLP_HH+Externo_Accion_R032,"Pendiente")</x:definedName>
    <x:definedName name="RE_R032">IF(RP_R032&lt;=0.1,0.1,IF(RP_R032&lt;=0.3,0.3,IF(RP_R032&lt;=0.5,0.5,IF(RP_R032&lt;=0.7,0.7,0.9))))*CHOOSE(RI_R032,0.05,0.1,0.2,0.4,0.8)</x:definedName>
    <x:definedName name="RZ_R032">IF(RE_R032&gt;=0.4,"Crítica",IF(RE_R032&gt;=0.2,"Alta",IF(RE_R032&gt;=0.08,"Media","Baja")))</x:definedName>
    <x:definedName name="MA_R033">IF(AND(ISNUMBER(Tarifa_CLP_HH),ISNUMBER(Externo_Accion_R033)),RA_R033*Tarifa_CLP_HH+Externo_Accion_R033,"Pendiente")</x:definedName>
    <x:definedName name="RE_R033">IF(RP_R033&lt;=0.1,0.1,IF(RP_R033&lt;=0.3,0.3,IF(RP_R033&lt;=0.5,0.5,IF(RP_R033&lt;=0.7,0.7,0.9))))*CHOOSE(RI_R033,0.05,0.1,0.2,0.4,0.8)</x:definedName>
    <x:definedName name="RZ_R033">IF(RE_R033&gt;=0.4,"Crítica",IF(RE_R033&gt;=0.2,"Alta",IF(RE_R033&gt;=0.08,"Media","Baja")))</x:definedName>
    <x:definedName name="MA_R034">IF(AND(ISNUMBER(Tarifa_CLP_HH),ISNUMBER(Externo_Accion_R034)),RA_R034*Tarifa_CLP_HH+Externo_Accion_R034,"Pendiente")</x:definedName>
    <x:definedName name="RE_R034">IF(RP_R034&lt;=0.1,0.1,IF(RP_R034&lt;=0.3,0.3,IF(RP_R034&lt;=0.5,0.5,IF(RP_R034&lt;=0.7,0.7,0.9))))*CHOOSE(RI_R034,0.05,0.1,0.2,0.4,0.8)</x:definedName>
    <x:definedName name="RZ_R034">IF(RE_R034&gt;=0.4,"Crítica",IF(RE_R034&gt;=0.2,"Alta",IF(RE_R034&gt;=0.08,"Media","Baja")))</x:definedName>
    <x:definedName name="MA_R035">IF(AND(ISNUMBER(Tarifa_CLP_HH),ISNUMBER(Externo_Accion_R035)),RA_R035*Tarifa_CLP_HH+Externo_Accion_R035,"Pendiente")</x:definedName>
    <x:definedName name="RE_R035">IF(RP_R035&lt;=0.1,0.1,IF(RP_R035&lt;=0.3,0.3,IF(RP_R035&lt;=0.5,0.5,IF(RP_R035&lt;=0.7,0.7,0.9))))*CHOOSE(RI_R035,0.05,0.1,0.2,0.4,0.8)</x:definedName>
    <x:definedName name="RZ_R035">IF(RE_R035&gt;=0.4,"Crítica",IF(RE_R035&gt;=0.2,"Alta",IF(RE_R035&gt;=0.08,"Media","Baja")))</x:definedName>
    <x:definedName name="MA_R036">IF(AND(ISNUMBER(Tarifa_CLP_HH),ISNUMBER(Externo_Accion_R036)),RA_R036*Tarifa_CLP_HH+Externo_Accion_R036,"Pendiente")</x:definedName>
    <x:definedName name="RE_R036">IF(RP_R036&lt;=0.1,0.1,IF(RP_R036&lt;=0.3,0.3,IF(RP_R036&lt;=0.5,0.5,IF(RP_R036&lt;=0.7,0.7,0.9))))*CHOOSE(RI_R036,0.05,0.1,0.2,0.4,0.8)</x:definedName>
    <x:definedName name="RZ_R036">IF(RE_R036&gt;=0.4,"Crítica",IF(RE_R036&gt;=0.2,"Alta",IF(RE_R036&gt;=0.08,"Media","Baja")))</x:definedName>
    <x:definedName name="MA_R037">IF(AND(ISNUMBER(Tarifa_CLP_HH),ISNUMBER(Externo_Accion_R037)),RA_R037*Tarifa_CLP_HH+Externo_Accion_R037,"Pendiente")</x:definedName>
    <x:definedName name="RE_R037">IF(RP_R037&lt;=0.1,0.1,IF(RP_R037&lt;=0.3,0.3,IF(RP_R037&lt;=0.5,0.5,IF(RP_R037&lt;=0.7,0.7,0.9))))*CHOOSE(RI_R037,0.05,0.1,0.2,0.4,0.8)</x:definedName>
    <x:definedName name="RZ_R037">IF(RE_R037&gt;=0.4,"Crítica",IF(RE_R037&gt;=0.2,"Alta",IF(RE_R037&gt;=0.08,"Media","Baja")))</x:definedName>
    <x:definedName name="MA_R038">IF(AND(ISNUMBER(Tarifa_CLP_HH),ISNUMBER(Externo_Accion_R038)),RA_R038*Tarifa_CLP_HH+Externo_Accion_R038,"Pendiente")</x:definedName>
    <x:definedName name="RE_R038">IF(RP_R038&lt;=0.1,0.1,IF(RP_R038&lt;=0.3,0.3,IF(RP_R038&lt;=0.5,0.5,IF(RP_R038&lt;=0.7,0.7,0.9))))*CHOOSE(RI_R038,0.05,0.1,0.2,0.4,0.8)</x:definedName>
    <x:definedName name="RZ_R038">IF(RE_R038&gt;=0.4,"Crítica",IF(RE_R038&gt;=0.2,"Alta",IF(RE_R038&gt;=0.08,"Media","Baja")))</x:definedName>
    <x:definedName name="MA_R039">IF(AND(ISNUMBER(Tarifa_CLP_HH),ISNUMBER(Externo_Accion_R039)),RA_R039*Tarifa_CLP_HH+Externo_Accion_R039,"Pendiente")</x:definedName>
    <x:definedName name="RE_R039">IF(RP_R039&lt;=0.1,0.1,IF(RP_R039&lt;=0.3,0.3,IF(RP_R039&lt;=0.5,0.5,IF(RP_R039&lt;=0.7,0.7,0.9))))*CHOOSE(RI_R039,0.05,0.1,0.2,0.4,0.8)</x:definedName>
    <x:definedName name="RZ_R039">IF(RE_R039&gt;=0.4,"Crítica",IF(RE_R039&gt;=0.2,"Alta",IF(RE_R039&gt;=0.08,"Media","Baja")))</x:definedName>
    <x:definedName name="MA_R040">IF(AND(ISNUMBER(Tarifa_CLP_HH),ISNUMBER(Externo_Accion_R040)),RA_R040*Tarifa_CLP_HH+Externo_Accion_R040,"Pendiente")</x:definedName>
    <x:definedName name="RE_R040">IF(RP_R040&lt;=0.1,0.1,IF(RP_R040&lt;=0.3,0.3,IF(RP_R040&lt;=0.5,0.5,IF(RP_R040&lt;=0.7,0.7,0.9))))*CHOOSE(RI_R040,0.05,0.1,0.2,0.4,0.8)</x:definedName>
    <x:definedName name="RZ_R040">IF(RE_R040&gt;=0.4,"Crítica",IF(RE_R040&gt;=0.2,"Alta",IF(RE_R040&gt;=0.08,"Media","Baja")))</x:definedName>
    <x:definedName name="MA_R041">IF(AND(ISNUMBER(Tarifa_CLP_HH),ISNUMBER(Externo_Accion_R041)),RA_R041*Tarifa_CLP_HH+Externo_Accion_R041,"Pendiente")</x:definedName>
    <x:definedName name="RE_R041">IF(RP_R041&lt;=0.1,0.1,IF(RP_R041&lt;=0.3,0.3,IF(RP_R041&lt;=0.5,0.5,IF(RP_R041&lt;=0.7,0.7,0.9))))*CHOOSE(RI_R041,0.05,0.1,0.2,0.4,0.8)</x:definedName>
    <x:definedName name="RZ_R041">IF(RE_R041&gt;=0.4,"Crítica",IF(RE_R041&gt;=0.2,"Alta",IF(RE_R041&gt;=0.08,"Media","Baja")))</x:definedName>
    <x:definedName name="MA_R042">IF(AND(ISNUMBER(Tarifa_CLP_HH),ISNUMBER(Externo_Accion_R042)),RA_R042*Tarifa_CLP_HH+Externo_Accion_R042,"Pendiente")</x:definedName>
    <x:definedName name="RE_R042">IF(RP_R042&lt;=0.1,0.1,IF(RP_R042&lt;=0.3,0.3,IF(RP_R042&lt;=0.5,0.5,IF(RP_R042&lt;=0.7,0.7,0.9))))*CHOOSE(RI_R042,0.05,0.1,0.2,0.4,0.8)</x:definedName>
    <x:definedName name="RZ_R042">IF(RE_R042&gt;=0.4,"Crítica",IF(RE_R042&gt;=0.2,"Alta",IF(RE_R042&gt;=0.08,"Media","Baja")))</x:definedName>
    <x:definedName name="MA_R043">IF(AND(ISNUMBER(Tarifa_CLP_HH),ISNUMBER(Externo_Accion_R043)),RA_R043*Tarifa_CLP_HH+Externo_Accion_R043,"Pendiente")</x:definedName>
    <x:definedName name="RE_R043">IF(RP_R043&lt;=0.1,0.1,IF(RP_R043&lt;=0.3,0.3,IF(RP_R043&lt;=0.5,0.5,IF(RP_R043&lt;=0.7,0.7,0.9))))*CHOOSE(RI_R043,0.05,0.1,0.2,0.4,0.8)</x:definedName>
    <x:definedName name="RZ_R043">IF(RE_R043&gt;=0.4,"Crítica",IF(RE_R043&gt;=0.2,"Alta",IF(RE_R043&gt;=0.08,"Media","Baja")))</x:definedName>
    <x:definedName name="MA_R044">IF(AND(ISNUMBER(Tarifa_CLP_HH),ISNUMBER(Externo_Accion_R044)),RA_R044*Tarifa_CLP_HH+Externo_Accion_R044,"Pendiente")</x:definedName>
    <x:definedName name="RE_R044">IF(RP_R044&lt;=0.1,0.1,IF(RP_R044&lt;=0.3,0.3,IF(RP_R044&lt;=0.5,0.5,IF(RP_R044&lt;=0.7,0.7,0.9))))*CHOOSE(RI_R044,0.05,0.1,0.2,0.4,0.8)</x:definedName>
    <x:definedName name="RZ_R044">IF(RE_R044&gt;=0.4,"Crítica",IF(RE_R044&gt;=0.2,"Alta",IF(RE_R044&gt;=0.08,"Media","Baja")))</x:definedName>
    <x:definedName name="MA_R045">IF(AND(ISNUMBER(Tarifa_CLP_HH),ISNUMBER(Externo_Accion_R045)),RA_R045*Tarifa_CLP_HH+Externo_Accion_R045,"Pendiente")</x:definedName>
    <x:definedName name="RE_R045">IF(RP_R045&lt;=0.1,0.1,IF(RP_R045&lt;=0.3,0.3,IF(RP_R045&lt;=0.5,0.5,IF(RP_R045&lt;=0.7,0.7,0.9))))*CHOOSE(RI_R045,0.05,0.1,0.2,0.4,0.8)</x:definedName>
    <x:definedName name="RZ_R045">IF(RE_R045&gt;=0.4,"Crítica",IF(RE_R045&gt;=0.2,"Alta",IF(RE_R045&gt;=0.08,"Media","Baja")))</x:definedName>
    <x:definedName name="AC_R001">"Probar lectura, escritura autorizada y emisión con el proveedor; cerrar contrato de interfaz"</x:definedName>
    <x:definedName name="VF_R001">"Contrato firmado, extracción real, rechazo y reintento probados; no basta OpenAPI interno"</x:definedName>
    <x:definedName name="DU_R001">"Bastián Trejo"</x:definedName>
    <x:definedName name="DP_R001">"Al cierre del mes 2 no existe intercambio completo en ambiente de prueba"</x:definedName>
    <x:definedName name="ET_R001">"Implementación"</x:definedName>
    <x:definedName name="EF_R001">"retrabajo de la ACL y atraso de integración"</x:definedName>
    <x:definedName name="FT_R001">"Caso 02 — Logística, cap. 5 y restricción 10.4; Bases Técnicas Transversales RT-02.06–08"</x:definedName>
    <x:definedName name="CT_R001">"Subdocumento 4 4.1.3.5: ACL única, contratos e idempotencia"</x:definedName>
    <x:definedName name="ED_R001">"1.2.3 / 3.3.2"</x:definedName>
    <x:definedName name="EV_R001">"la interfaz disponible puede no soportar los contratos necesarios"</x:definedName>
    <x:definedName name="CA_R001">"ERP sin documentación de interfaces y sin permiso para modificarlo"</x:definedName>
    <x:definedName name="AC_R002">"Acordar licencia de datos, cuotas y prueba de extracción; exigir procedimiento de cambio"</x:definedName>
    <x:definedName name="VF_R002">"Autorización escrita y prueba de posición/historia con límites contratados"</x:definedName>
    <x:definedName name="DU_R002">"Bastián Trejo"</x:definedName>
    <x:definedName name="DP_R002">"No hay autorización y muestra válida al final del mes 2"</x:definedName>
    <x:definedName name="ET_R002">"Propuesta"</x:definedName>
    <x:definedName name="EF_R002">"ingesta incompleta de la flota propia"</x:definedName>
    <x:definedName name="FT_R002">"Caso 02 — Logística, cap. 5 y 16.1"</x:definedName>
    <x:definedName name="CT_R002">"Subdocumento 4 4.1.6: INT-15; termógrafos conservan registro térmico independiente"</x:definedName>
    <x:definedName name="ED_R002">"1.2.3 / 3.3.4"</x:definedName>
    <x:definedName name="EV_R002">"el tercero puede limitar API, cuotas o historia"</x:definedName>
    <x:definedName name="CA_R002">"El cliente desconoce condiciones contractuales de acceso a los datos"</x:definedName>
    <x:definedName name="AC_R003">"Ejecutar un ensayo adicional de delta y reversión con pendientes de recepción, picking y retornos"</x:definedName>
    <x:definedName name="VF_R003">"Conciliación aprobada por bodega y Finanzas; rollback restaura estado sin doble operación"</x:definedName>
    <x:definedName name="DU_R003">"Leandro Chamorro"</x:definedName>
    <x:definedName name="DP_R003">"Una diferencia de saldo o tarea queda sin explicación al ensayo"</x:definedName>
    <x:definedName name="ET_R003">"Implantación"</x:definedName>
    <x:definedName name="EF_R003">"reversión y extensión de la convivencia"</x:definedName>
    <x:definedName name="FT_R003">"Caso 02 — Logística, cap. 5 y 13.3; Bases Técnicas Transversales RT-05.11–15"</x:definedName>
    <x:definedName name="CT_R003">"Subdocumento 5 5.3: dos ensayos independientes, conciliación y rollback"</x:definedName>
    <x:definedName name="ED_R003">"3.3.3 / 3.7.5"</x:definedName>
    <x:definedName name="EV_R003">"el corte puede dejar saldos divergentes o tareas sin dueño"</x:definedName>
    <x:definedName name="CA_R003">"WMS de 2013 y registros físicos conviven durante la transición"</x:definedName>
    <x:definedName name="AC_R004">"Muestrear datos completos por origen y antigüedad, medir defectos y obtener responsables de corrección"</x:definedName>
    <x:definedName name="VF_R004">"Perfilado reproducible; rechazos aislados; no fabricar lotes faltantes; conciliación por conjunto"</x:definedName>
    <x:definedName name="DU_R004">"Leandro Chamorro"</x:definedName>
    <x:definedName name="DP_R004">"Campos críticos sin correspondencia o lote ausente en la muestra"</x:definedName>
    <x:definedName name="ET_R004">"Implementación"</x:definedName>
    <x:definedName name="EF_R004">"rechazo de migración y pérdida de trazabilidad"</x:definedName>
    <x:definedName name="FT_R004">"Caso 02 — Logística, cap. 4.2, 8 entrevista Ñanco y 15; Bases Técnicas Transversales RT-05.11–15"</x:definedName>
    <x:definedName name="CT_R004">"Subdocumento 5 5.3 y 5-L: perfilado, procedencia, rechazo y conciliación"</x:definedName>
    <x:definedName name="ED_R004">"3.7.1 / 3.7.2"</x:definedName>
    <x:definedName name="EV_R004">"el saneamiento puede exceder lo previsto o cargar datos inconsistentes"</x:definedName>
    <x:definedName name="CA_R004">"Lotes en texto libre y registros históricos incompletos"</x:definedName>
    <x:definedName name="AC_R005">"Inyectar fallas después de persistir y antes del acuse, con dos sitios y un móvil"</x:definedName>
    <x:definedName name="VF_R005">"Prueba con UUID repetido, orden invertido y corte de 24 h; invariantes conciliados"</x:definedName>
    <x:definedName name="DU_R005">"Tomás Pérez"</x:definedName>
    <x:definedName name="DP_R005">"Reintento genera más de un resultado económico o saldo negativo"</x:definedName>
    <x:definedName name="ET_R005">"Implementación"</x:definedName>
    <x:definedName name="EF_R005">"inconsistencia entre sitio, nube y ERP"</x:definedName>
    <x:definedName name="FT_R005">"Caso 02 — Logística, cap. 15 RT-03.13; Bases Técnicas Transversales RT-02.06 y RT-03.12"</x:definedName>
    <x:definedName name="CT_R005">"Subdocumento 4 4.1.3.5 y 4.1.4.3: outbox, UUID y acuse durable de retención"</x:definedName>
    <x:definedName name="ED_R005">"3.3.6 / 3.8.1"</x:definedName>
    <x:definedName name="EV_R005">"reintentos y orden parcial pueden duplicar cobros o reservar stock ya retenido"</x:definedName>
    <x:definedName name="CA_R005">"Los sitios y móviles acumulan operaciones desconectadas"</x:definedName>
    <x:definedName name="AC_R006">"Inspeccionar rutas físicas y simular caída de fibra y LTE con el satélite activo"</x:definedName>
    <x:definedName name="VF_R006">"Acta de diversidad y prueba de 24 h con recepción, preparación y despacho reales"</x:definedName>
    <x:definedName name="DU_R006">"Guillermo Castillo"</x:definedName>
    <x:definedName name="DP_R006">"Proveedor no demuestra diversidad o BGP no conmuta en prueba"</x:definedName>
    <x:definedName name="ET_R006">"Implementación"</x:definedName>
    <x:definedName name="EF_R006">"aislamiento del CD y acumulación de operaciones"</x:definedName>
    <x:definedName name="FT_R006">"Caso 02 — Logística, cap. 6 y 10.2; Bases Administrativas art. 16.4"</x:definedName>
    <x:definedName name="CT_R006">"Subdocumento 4 4.1.3.2 y 4.2: fibra, LTE, satélite y WMS local redundante"</x:definedName>
    <x:definedName name="ED_R006">"6.6 / 3.8.3"</x:definedName>
    <x:definedName name="EV_R006">"la redundancia propuesta puede no conmutar o compartir una falla física"</x:definedName>
    <x:definedName name="CA_R006">"Concepción tiene un solo enlace en la situación actual"</x:definedName>
    <x:definedName name="AC_R007">"Medir cobertura nocturna y ensayar las transferencias con corte y reposición de enlace"</x:definedName>
    <x:definedName name="VF_R007">"Acta nocturna por plataforma, cola durable y conciliación dentro de 2 h"</x:definedName>
    <x:definedName name="DU_R007">"Guillermo Castillo"</x:definedName>
    <x:definedName name="DP_R007">"Una transferencia depende de una llamada central durante el corte"</x:definedName>
    <x:definedName name="ET_R007">"Implementación"</x:definedName>
    <x:definedName name="EF_R007">"transferencias demoradas y stock desactualizado"</x:definedName>
    <x:definedName name="FT_R007">"Caso 02 — Logística, cap. 6, 10.2 y 15 RT-03.10"</x:definedName>
    <x:definedName name="CT_R007">"Subdocumento 4 4.2: gabinetes redundantes, conectividad de respaldo y ejecución local"</x:definedName>
    <x:definedName name="ED_R007">"6.6 / 3.3.6"</x:definedName>
    <x:definedName name="EV_R007">"el borde o su cola puede no sostener la carga de una madrugada sin WAN"</x:definedName>
    <x:definedName name="CA_R007">"Los Ángeles presenta señal móvil intermitente en su ventana operacional"</x:definedName>
    <x:definedName name="AC_R008">"Ensayar 14 h en ruta con periféricos y batería envejecida, más reconexión en 10 min"</x:definedName>
    <x:definedName name="VF_R008">"Jornada íntegra reproducible y sin duplicados, bajo condiciones de terreno"</x:definedName>
    <x:definedName name="DU_R008">"Tomás Pérez"</x:definedName>
    <x:definedName name="DP_R008">"Cierre inesperado, dato perdido o batería agotada antes de terminar el turno"</x:definedName>
    <x:definedName name="ET_R008">"Implementación"</x:definedName>
    <x:definedName name="EF_R008">"pedido, entrega o cobro perdido y repetición de visitas"</x:definedName>
    <x:definedName name="FT_R008">"Caso 02 — Logística, cap. 6, 10.3 y 15 RT-03.10"</x:definedName>
    <x:definedName name="CT_R008">"Subdocumento 4 4.1.3.1 y 4.2.6.7: datos locales y autonomía de 14 h"</x:definedName>
    <x:definedName name="ED_R008">"3.3.6 / 3.4.6 / 3.4.8"</x:definedName>
    <x:definedName name="EV_R008">"la aplicación o batería puede no conservar una jornada completa"</x:definedName>
    <x:definedName name="CA_R008">"Existen rutas sin cobertura hasta el regreso y trabajo bajo lluvia y calor"</x:definedName>
    <x:definedName name="AC_R009">"Probar dos relevos durante un corte, vencimiento y revocación con el verificador local"</x:definedName>
    <x:definedName name="VF_R009">"Acta de corte con cambios de turno, denegación y bitácora posterior"</x:definedName>
    <x:definedName name="DU_R009">"Álvaro Catalán"</x:definedName>
    <x:definedName name="DP_R009">"Turno válido denegado o manifiesto vencido aceptado"</x:definedName>
    <x:definedName name="ET_R009">"Implementación"</x:definedName>
    <x:definedName name="EF_R009">"bloqueo de una función válida o acceso indebido"</x:definedName>
    <x:definedName name="FT_R009">"Caso 02 — Logística, cap. 10.2; Bases Técnicas Transversales RT-12.07–08 y RT-03.10"</x:definedName>
    <x:definedName name="CT_R009">"Subdocumento 4 4.1.3.3 y 4.1.3.7: manifiesto firmado, PIN y permisos limitados"</x:definedName>
    <x:definedName name="ED_R009">"3.3.1 / 3.8.3"</x:definedName>
    <x:definedName name="EV_R009">"el manifiesto puede vencer o admitir permisos revocados"</x:definedName>
    <x:definedName name="CA_R009">"La operación nocturna requiere relevos mientras la identidad central está inaccesible"</x:definedName>
    <x:definedName name="AC_R010">"Validar una unidad por tipo en cámara, con guantes, condensación y ciclo entrada/salida"</x:definedName>
    <x:definedName name="VF_R010">"Ficha exacta y prueba funcional completa antes de compra masiva"</x:definedName>
    <x:definedName name="DU_R010">"Bastián Trejo"</x:definedName>
    <x:definedName name="DP_R010">"Modelo o accesorio no tiene rango acreditado o falla en ensayo"</x:definedName>
    <x:definedName name="ET_R010">"Implementación"</x:definedName>
    <x:definedName name="EF_R010">"picking lento o registros incompletos"</x:definedName>
    <x:definedName name="FT_R010">"Caso 02 — Logística, cap. 6 y 10.7; Bases Técnicas Transversales RT-08.11–15"</x:definedName>
    <x:definedName name="CT_R010">"Subdocumento 4 4.2 y T-11: equipos y accesorios por condición de uso"</x:definedName>
    <x:definedName name="ED_R010">"5.1.2 / 5.1.3 / 3.4.3"</x:definedName>
    <x:definedName name="EV_R010">"la batería, pantalla, lector o impresora puede fallar en uso real"</x:definedName>
    <x:definedName name="CA_R010">"La cámara de congelado está a −22 °C y sin señal"</x:definedName>
    <x:definedName name="AC_R011">"Validar rangos por familia y contrastar sensor patrón con alarma, desconexión y lectura tardía"</x:definedName>
    <x:definedName name="VF_R011">"Calidad aprueba reglas; sensor patrón y ensayo de bloqueo; ninguna liberación automática"</x:definedName>
    <x:definedName name="DU_R011">"Maximiliano Miño"</x:definedName>
    <x:definedName name="DP_R011">"Ficha sin aprobación, deriva de calibración o alarmas contradictorias"</x:definedName>
    <x:definedName name="ET_R011">"Implementación"</x:definedName>
    <x:definedName name="EF_R011">"bloqueo operacional o disposición sanitaria errónea"</x:definedName>
    <x:definedName name="FT_R011">"Caso 02 — Logística, cap. 8 entrevista Ñanco, 9.6 y 18; Bases Técnicas Transversales RT-16.03"</x:definedName>
    <x:definedName name="CT_R011">"Subdocumento 5 5.1: PREVENTIVA_FICHA, regla versionada y aprobación; Subdocumento 4 bloqueo local"</x:definedName>
    <x:definedName name="ED_R011">"3.4.4 / 3.4.5"</x:definedName>
    <x:definedName name="EV_R011">"calibración o parametrización puede liberar un lote no conforme o retener uno válido"</x:definedName>
    <x:definedName name="CA_R011">"La regla de excursión no estaba formalizada por producto en el levantamiento"</x:definedName>
    <x:definedName name="AC_R012">"Ejecutar retiro simulado extremo a extremo con lote repartido, devolución y sitio desconectado"</x:definedName>
    <x:definedName name="VF_R012">"Listado reconciliado contra entregas y devoluciones en menos de 2 h; historia incompleta declarada"</x:definedName>
    <x:definedName name="DU_R012">"Maximiliano Miño"</x:definedName>
    <x:definedName name="DP_R012">"Consulta no identifica todos los destinos o supera dos horas"</x:definedName>
    <x:definedName name="ET_R012">"Implantación"</x:definedName>
    <x:definedName name="EF_R012">"identificación tardía de clientes y lote afectado"</x:definedName>
    <x:definedName name="FT_R012">"Caso 02 — Logística, cap. 8 entrevista Ñanco, 9.5 y 18 criterio 2"</x:definedName>
    <x:definedName name="CT_R012">"Subdocumento 4 M9 y Subdocumento 5: lote, eventos y custodia; Subdocumento 9 pruebas de retiro"</x:definedName>
    <x:definedName name="ED_R012">"3.4.4 / 3.8.2"</x:definedName>
    <x:definedName name="EV_R012">"la cadena de custodia nueva puede quedar incompleta en algún sitio o retorno"</x:definedName>
    <x:definedName name="CA_R012">"El caso reporta recepciones sin lote y retiro de nueve días"</x:definedName>
    <x:definedName name="AC_R013">"Probar carga con un nodo fuera, backlog y periféricos reales en ventana de despacho"</x:definedName>
    <x:definedName name="VF_R013">"Prueba a peak de caso y margen declarado; 96 despachos completos con falla inyectada"</x:definedName>
    <x:definedName name="DU_R013">"Guillermo Castillo"</x:definedName>
    <x:definedName name="DP_R013">"Picking supera 1 s o la cola no drena antes del despacho"</x:definedName>
    <x:definedName name="ET_R013">"Implementación"</x:definedName>
    <x:definedName name="EF_R013">"día de operación afectado y SLA incumplido"</x:definedName>
    <x:definedName name="FT_R013">"Caso 02 — Logística, cap. 10.1, 13.2 y 15 RT-09.01"</x:definedName>
    <x:definedName name="CT_R013">"Subdocumento 4 4.1.3, 4.2.6: perfiles separados, WMS local y colas; Subdocumento 9 carga"</x:definedName>
    <x:definedName name="ED_R013">"3.8.4 / 3.9.3"</x:definedName>
    <x:definedName name="EV_R013">"la carga o un componente común puede degradar el despacho"</x:definedName>
    <x:definedName name="CA_R013">"Salen 96 camiones de 05:30 a 07:00 y septiembre casi duplica el volumen"</x:definedName>
    <x:definedName name="AC_R014">"Recepcionar energía, autonomía y climatización con carga, corte y alarma"</x:definedName>
    <x:definedName name="VF_R014">"Ensayo de energía y carga térmica, PDU/circuitos comprobados y acta de recepción"</x:definedName>
    <x:definedName name="DU_R014">"Guillermo Castillo"</x:definedName>
    <x:definedName name="DP_R014">"Autonomía o temperatura fuera del diseño en aceptación"</x:definedName>
    <x:definedName name="ET_R014">"Implementación"</x:definedName>
    <x:definedName name="EF_R014">"caída de los nodos locales críticos"</x:definedName>
    <x:definedName name="FT_R014">"Caso 02 — Logística, cap. 6 y 15 RT-06.01; Bases Técnicas Transversales cap. 6 y RT-08.04"</x:definedName>
    <x:definedName name="CT_R014">"Subdocumento 4 4.3 y T-11: sala acondicionada, circuitos y redundancia"</x:definedName>
    <x:definedName name="ED_R014">"6.1 / 6.3"</x:definedName>
    <x:definedName name="EV_R014">"la habilitación o redundancia eléctrica puede fallar ante un corte prolongado"</x:definedName>
    <x:definedName name="CA_R014">"La sala actual tiene split, UPS de diez minutos y acceso por llave"</x:definedName>
    <x:definedName name="AC_R015">"Ensayar desastre total con escritura en curso, exclusión del escritor y retorno"</x:definedName>
    <x:definedName name="VF_R015">"Informe medido de conmutación y retorno; incluir pérdida simultánea de WAN y nodo"</x:definedName>
    <x:definedName name="DU_R015">"Guillermo Castillo"</x:definedName>
    <x:definedName name="DP_R015">"RPO supera 15 min, RTO supera 4 h o dos escritores aceptan operaciones"</x:definedName>
    <x:definedName name="ET_R015">"Implementación"</x:definedName>
    <x:definedName name="EF_R015">"interrupción prolongada y conciliación extraordinaria"</x:definedName>
    <x:definedName name="FT_R015">"Bases Técnicas Transversales RT-07.04–09; Caso 02 — Logística, cap. 10.1–2"</x:definedName>
    <x:definedName name="CT_R015">"Subdocumento 4 4.3.2 y 4-M: réplica, protección externa y AL-DR-01"</x:definedName>
    <x:definedName name="ED_R015">"3.8.5 / 3.9.4"</x:definedName>
    <x:definedName name="EV_R015">"la restauración o promoción puede perder datos o superar los límites"</x:definedName>
    <x:definedName name="CA_R015">"La operación híbrida produce datos en varios sitios y medios"</x:definedName>
    <x:definedName name="AC_R016">"Revisar superficie y privilegios; probar restauración aislada y respuesta a credencial comprometida"</x:definedName>
    <x:definedName name="VF_R016">"Pentest sin hallazgos bloqueantes y ejercicio de contención/recuperación"</x:definedName>
    <x:definedName name="DU_R016">"Álvaro Catalán"</x:definedName>
    <x:definedName name="DP_R016">"Hallazgo explotable, acceso anómalo o registro de auditoría alterado"</x:definedName>
    <x:definedName name="ET_R016">"Implementación"</x:definedName>
    <x:definedName name="EF_R016">"indisponibilidad, fuga y recuperación forense"</x:definedName>
    <x:definedName name="FT_R016">"Bases Técnicas Transversales caps. 11–12; Caso 02 — Logística, cap. 15 RT-16.09"</x:definedName>
    <x:definedName name="CT_R016">"Subdocumento 4 4.1.3.7: MFA, cifrado, segregación, SOC y auditoría inmutable"</x:definedName>
    <x:definedName name="ED_R016">"2.2 / 3.8.6"</x:definedName>
    <x:definedName name="EV_R016">"una vulnerabilidad o cuenta privilegiada puede comprometer servicio o evidencia"</x:definedName>
    <x:definedName name="CA_R016">"Hay portales externos, flota móvil y datos comerciales sensibles"</x:definedName>
    <x:definedName name="AC_R017">"Acordar finalidades, retención y acceso con sindicato y dirección; demostrar uso sin control de jornada"</x:definedName>
    <x:definedName name="VF_R017">"Acta de participación, revisión de privacidad y prueba de permisos/retención"</x:definedName>
    <x:definedName name="DU_R017">"Patricio Henríquez"</x:definedName>
    <x:definedName name="DP_R017">"No existe acuerdo antes del piloto o se detecta finalidad distinta"</x:definedName>
    <x:definedName name="ET_R017">"Propuesta"</x:definedName>
    <x:definedName name="EF_R017">"adopción suspendida y rediseño de finalidades"</x:definedName>
    <x:definedName name="FT_R017">"Caso 02 — Logística, cap. 10.10 y 12; Bases Técnicas Transversales RT-11 y RT-16.09"</x:definedName>
    <x:definedName name="CT_R017">"Subdocumento 3 alcance y Subdocumento 4 seguridad: uso operacional y acceso limitado; no cámaras en cabina"</x:definedName>
    <x:definedName name="ED_R017">"5.4.2 / 2.2"</x:definedName>
    <x:definedName name="EV_R017">"el uso de ubicación puede ser rechazado aunque no se instalen cámaras"</x:definedName>
    <x:definedName name="CA_R017">"El sindicato objetó cámaras en cabina y control de jornada por GPS"</x:definedName>
    <x:definedName name="AC_R018">"Probar alta, baja y conductor suplente por cada empresa; pactar obligación de informar reemplazos"</x:definedName>
    <x:definedName name="VF_R018">"Diez acuerdos y prueba de enrolamiento/soporte que no detenga reparto"</x:definedName>
    <x:definedName name="DU_R018">"Patricio Henríquez"</x:definedName>
    <x:definedName name="DP_R018">"Conductor de reemplazo llega sin autorización o capacitación"</x:definedName>
    <x:definedName name="ET_R018">"Implantación"</x:definedName>
    <x:definedName name="EF_R018">"entregas sin evidencia y trabajo paralelo en papel"</x:definedName>
    <x:definedName name="FT_R018">"Caso 02 — Logística, cap. 10.6, 13.3.6 y 15 RT-22.04"</x:definedName>
    <x:definedName name="CT_R018">"Subdocumento 4 perfiles externos y T-18: incorporación por transportista"</x:definedName>
    <x:definedName name="ED_R018">"5.4.1 / 4.1"</x:definedName>
    <x:definedName name="EV_R018">"el acuerdo o enrolamiento puede no cubrir reemplazos"</x:definedName>
    <x:definedName name="CA_R018">"54 camiones pertenecen a diez empresas y sus conductores cambian sin aviso"</x:definedName>
    <x:definedName name="AC_R019">"Validar incorporación de personal nuevo con tareas reales y guías breves de turno"</x:definedName>
    <x:definedName name="VF_R019">"Medir tiempo, pasos y errores según 3.A.4a con novatos en turno nocturno"</x:definedName>
    <x:definedName name="DU_R019">"Patricio Henríquez"</x:definedName>
    <x:definedName name="DP_R019">"Errores superan el criterio aprobado o novato requiere apoyo continuo"</x:definedName>
    <x:definedName name="ET_R019">"Implantación"</x:definedName>
    <x:definedName name="EF_R019">"baja productividad y errores de picking"</x:definedName>
    <x:definedName name="FT_R019">"Caso 02 — Logística, cap. 8 entrevista Bravo, 10.11 y 15 RT-22.04"</x:definedName>
    <x:definedName name="CT_R019">"Subdocumento 3 3.A.4a y Subdocumento 9: usabilidad por perfil; T-18 entrenamiento por turno"</x:definedName>
    <x:definedName name="ED_R019">"4.1 / 4.2.1"</x:definedName>
    <x:definedName name="EV_R019">"el personal nuevo puede no alcanzar autonomía de preparación"</x:definedName>
    <x:definedName name="CA_R019">"Rotación anual del 38 % y turno nocturno crítico"</x:definedName>
    <x:definedName name="AC_R020">"Acordar microturnos de entrenamiento y recuperar ausencias por ruta y perfil"</x:definedName>
    <x:definedName name="VF_R020">"Agenda aprobada, asistencia y prueba práctica individual por perfil"</x:definedName>
    <x:definedName name="DU_R020">"Patricio Henríquez"</x:definedName>
    <x:definedName name="DP_R020">"Cobertura de certificación incompleta dos semanas antes de cierre"</x:definedName>
    <x:definedName name="ET_R020">"Implantación"</x:definedName>
    <x:definedName name="EF_R020">"usuarios no certificados al paso a producción"</x:definedName>
    <x:definedName name="FT_R020">"Caso 02 — Logística, cap. 13.3.4–5 y 15 RT-22.04"</x:definedName>
    <x:definedName name="CT_R020">"T-18: olas, acompañamiento en ruta y estabilización"</x:definedName>
    <x:definedName name="ED_R020">"4.1 / 4.2 / 4.3"</x:definedName>
    <x:definedName name="EV_R020">"la convocatoria puede no liberar tiempo sin afectar operación"</x:definedName>
    <x:definedName name="CA_R020">"Preventistas y conductores están en ruta de lunes a sábado"</x:definedName>
    <x:definedName name="AC_R021">"Capturar y validar reglas por zona con Hugo y un suplente, usando rutas y restricciones reales"</x:definedName>
    <x:definedName name="VF_R021">"Repositorio aprobado y suplente planifica rutas sin ayuda, sin violar peso/puentes/ventanas"</x:definedName>
    <x:definedName name="DU_R021">"Patricio Henríquez"</x:definedName>
    <x:definedName name="DP_R021">"Zona sin reglas y suplente sin ejecutar una planificación independiente"</x:definedName>
    <x:definedName name="ET_R021">"Implementación"</x:definedName>
    <x:definedName name="EF_R021">"rutas inseguras o promesas incumplidas"</x:definedName>
    <x:definedName name="FT_R021">"Caso 02 — Logística, cap. 8 entrevista Maldonado, 9.3 y 16.1.16"</x:definedName>
    <x:definedName name="CT_R021">"Subdocumento 4 M4 permite corrección; T-15 prevé captura de reglas"</x:definedName>
    <x:definedName name="ED_R021">"1.2.2 / 3.4.7"</x:definedName>
    <x:definedName name="EV_R021">"puede retirarse antes de transferir y validar todas las excepciones"</x:definedName>
    <x:definedName name="CA_R021">"Las reglas residen en Hugo Maldonado, que se jubila en dos años"</x:definedName>
    <x:definedName name="AC_R022">"Pactar titulares y suplentes, agenda y SLA de decisiones por hito"</x:definedName>
    <x:definedName name="VF_R022">"Agenda y acuerdos escritos; ninguna aprobación tácita de aceptación contractual"</x:definedName>
    <x:definedName name="DU_R022">"Alex Aravena"</x:definedName>
    <x:definedName name="DP_R022">"Validación pendiente cinco días hábiles o sin suplente"</x:definedName>
    <x:definedName name="ET_R022">"Propuesta"</x:definedName>
    <x:definedName name="EF_R022">"cadenas de aprobación retrasadas"</x:definedName>
    <x:definedName name="FT_R022">"Caso 02 — Logística, cap. 10.9; Bases Técnicas Transversales RT-19.04; Bases Administrativas art. 18"</x:definedName>
    <x:definedName name="CT_R022">"Subdocumento 6 6.1: comités, escalamiento y registro de decisiones"</x:definedName>
    <x:definedName name="ED_R022">"1.1 / 1.2 / 2.4"</x:definedName>
    <x:definedName name="EV_R022">"las validaciones o decisiones pueden no llegar a la fecha requerida"</x:definedName>
    <x:definedName name="CA_R022">"TI del cliente tiene cuatro personas y la operación no puede detenerse"</x:definedName>
    <x:definedName name="AC_R023">"Revalidar calendario por fecha efectiva y reservar alternativa permitida para cada corte"</x:definedName>
    <x:definedName name="VF_R023">"Calendario validado por contraparte y plan alternativo; emergencia requiere definición contractual"</x:definedName>
    <x:definedName name="DU_R023">"Alex Aravena"</x:definedName>
    <x:definedName name="DP_R023">"Fecha propuesta cae en congelamiento o cierre mensual"</x:definedName>
    <x:definedName name="ET_R023">"Implementación"</x:definedName>
    <x:definedName name="EF_R023">"reprogramación y multa por atraso"</x:definedName>
    <x:definedName name="FT_R023">"Caso 02 — Logística, cap. 10.8 y 13.3.2; Bases Administrativas art. 17"</x:definedName>
    <x:definedName name="CT_R023">"T-15 4–5 y T-18: calendario permitido y reversión"</x:definedName>
    <x:definedName name="ED_R023">"3.7.5 / 4.2 / 4.3"</x:definedName>
    <x:definedName name="EV_R023">"una demora puede desplazar un corte o parche a una ventana prohibida"</x:definedName>
    <x:definedName name="CA_R023">"Septiembre, diciembre y cierres mensuales restringen cambios"</x:definedName>
    <x:definedName name="AC_R024">"Confirmar orden, stock y plazo por ola; homologar alternativa antes de la compra"</x:definedName>
    <x:definedName name="VF_R024">"Orden y acta de muestra; préstamo o alternativa homologada no reduce población de prueba"</x:definedName>
    <x:definedName name="DU_R024">"Bastián Trejo"</x:definedName>
    <x:definedName name="DP_R024">"Orden sin fecha comprometida o muestra no aceptada un mes antes de ola"</x:definedName>
    <x:definedName name="ET_R024">"Implementación"</x:definedName>
    <x:definedName name="EF_R024">"piloto sin equipos completos o marcha blanca insuficiente"</x:definedName>
    <x:definedName name="FT_R024">"Bases Técnicas Transversales RT-08.10–15; Caso 02 — Logística, cap. 13.3; Bases Administrativas art. 17"</x:definedName>
    <x:definedName name="CT_R024">"T-15 4.2/5: responsabilidades separadas y recepción 5.1.3"</x:definedName>
    <x:definedName name="ED_R024">"5.1.2 / 5.1.3"</x:definedName>
    <x:definedName name="EV_R024">"una compra, entrega o recepción puede exceder la ventana de la ola"</x:definedName>
    <x:definedName name="CA_R024">"El cliente compra dispositivos de terreno y LafroX habilita la infraestructura"</x:definedName>
    <x:definedName name="AC_R025">"Nominar equipos separados y suplentes; verificar capacidad semanal y contrato de refuerzo"</x:definedName>
    <x:definedName name="VF_R025">"Cartas y calendario nominal; no sumar las HH de mitigación a capacidad inexistente"</x:definedName>
    <x:definedName name="DU_R025">"Alex Aravena"</x:definedName>
    <x:definedName name="DP_R025">"Capacidad disponible por rol menor que carga dos semanas seguidas"</x:definedName>
    <x:definedName name="ET_R025">"Implementación"</x:definedName>
    <x:definedName name="EF_R025">"atraso de E2 o deterioro de E1"</x:definedName>
    <x:definedName name="FT_R025">"Bases Administrativas art. 17.2; Bases Técnicas Transversales RT-19.02; Caso 02 — Logística, cap. 13.3"</x:definedName>
    <x:definedName name="CT_R025">"Subdocumento 1 1.5 y T-15 4.3: equipos y nivelación por rol"</x:definedName>
    <x:definedName name="ED_R025">"1.1 / 3.4 / 3.5 / 4.2"</x:definedName>
    <x:definedName name="EV_R025">"la dotación real puede no sostener los frentes simultáneos"</x:definedName>
    <x:definedName name="CA_R025">"Construcción E2 coincide con marcha blanca E1 y hay líderes con varios roles"</x:definedName>
    <x:definedName name="AC_R026">"Revisar evidencia con contraparte antes del hito y ejecutar ensayo de go/no-go"</x:definedName>
    <x:definedName name="VF_R026">"Checklist de seis condiciones con evidencia; ninguna firma ni prueba se presume"</x:definedName>
    <x:definedName name="DU_R026">"Maximiliano Miño"</x:definedName>
    <x:definedName name="DP_R026">"Incidente alto abierto, diferencia sin explicar o acta pendiente"</x:definedName>
    <x:definedName name="ET_R026">"Implantación"</x:definedName>
    <x:definedName name="EF_R026">"extensión a cargo de LafroX sin mover fases"</x:definedName>
    <x:definedName name="FT_R026">"Bases Administrativas art. 17.3 y 18; Caso 02 — Logística, cap. 13.3"</x:definedName>
    <x:definedName name="CT_R026">"Subdocumento 9 9.2 y T-17/T-18: puertas, criterios y evidencias"</x:definedName>
    <x:definedName name="ED_R026">"3.8.2 / 3.9.2 / 4.2 / 4.3"</x:definedName>
    <x:definedName name="EV_R026">"observaciones, capacitación o indicadores pueden seguir abiertos al cierre"</x:definedName>
    <x:definedName name="CA_R026">"Hay seis condiciones copulativas de cierre y revisión contractual"</x:definedName>
    <x:definedName name="AC_R027">"Trazar solicitudes a requisitos, impacto y aprobación antes de construcción"</x:definedName>
    <x:definedName name="VF_R027">"Registro de cambios, estimación y aprobación; exclusiones no eliminan integración obligatoria"</x:definedName>
    <x:definedName name="DU_R027">"Alex Aravena"</x:definedName>
    <x:definedName name="DP_R027">"Nueva función sin requisito o decisión aprobada"</x:definedName>
    <x:definedName name="ET_R027">"Propuesta"</x:definedName>
    <x:definedName name="EF_R027">"sobrecosto y retraso"</x:definedName>
    <x:definedName name="FT_R027">"Caso caps. 11 y 16; Bases Técnicas Transversales RT-19.03; Bases Administrativas art. 72"</x:definedName>
    <x:definedName name="CT_R027">"Subdocumento 3 decisiones y exclusiones; Subdocumento 6 6.1.5 control de cambios"</x:definedName>
    <x:definedName name="ED_R027">"1.2.4 / 1.2.5"</x:definedName>
    <x:definedName name="EV_R027">"una solicitud puede introducir trabajo no previsto o duplicar sistemas de registro"</x:definedName>
    <x:definedName name="CA_R027">"El caso contiene decisiones de diseño y sistemas excluidos con dependencias"</x:definedName>
    <x:definedName name="AC_R028">"Simular caja de turno, faltante, devolución y pago parcial; acordar custodia física con Finanzas"</x:definedName>
    <x:definedName name="VF_R028">"Cuadre por camión y turno el mismo día; importe externo no se incorpora como costo del proyecto"</x:definedName>
    <x:definedName name="DU_R028">"Leandro Chamorro"</x:definedName>
    <x:definedName name="DP_R028">"Diferencia al cierre sin evidencia ni responsable"</x:definedName>
    <x:definedName name="ET_R028">"Implantación"</x:definedName>
    <x:definedName name="EF_R028">"reproceso financiero y exposición del conductor"</x:definedName>
    <x:definedName name="FT_R028">"Caso 02 — Logística, cap. 4.7, 9.7, 10.5 y 18 criterio 10"</x:definedName>
    <x:definedName name="CT_R028">"Subdocumento 4 M7 y Subdocumento 5 5.1.8: rendición, segregación y conciliación"</x:definedName>
    <x:definedName name="ED_R028">"3.4.10 / 3.8.2"</x:definedName>
    <x:definedName name="EV_R028">"el circuito de custodia puede no explicar toda diferencia al retorno"</x:definedName>
    <x:definedName name="CA_R028">"38 % del canal tradicional paga en efectivo y hay diferencias mensuales"</x:definedName>
    <x:definedName name="AC_R029">"Validar flujo por acto con experto tributario y probar certificado vencido, POD offline y acuse"</x:definedName>
    <x:definedName name="VF_R029">"Dictamen sobre el flujo y AL-DTE-01 aprobado; no equiparar firma simple y avanzada"</x:definedName>
    <x:definedName name="DU_R029">"Bastián Trejo"</x:definedName>
    <x:definedName name="DP_R029">"Guía, identidad o certificado no coincide con el expediente"</x:definedName>
    <x:definedName name="ET_R029">"Implementación"</x:definedName>
    <x:definedName name="EF_R029">"rechazo de evidencia y disputa de entrega"</x:definedName>
    <x:definedName name="FT_R029">"Caso 02 — Logística, cap. 10.4/12 y 15 RT-16.14; Bases Técnicas Transversales RT-16.17–18"</x:definedName>
    <x:definedName name="CT_R029">"Subdocumento 4 4.1.17 y Subdocumento 5: vínculo ERP, hash, certificado y firma por acto"</x:definedName>
    <x:definedName name="ED_R029">"3.3.2 / 3.4.8"</x:definedName>
    <x:definedName name="EV_R029">"la prueba de entrega puede no vincularse o verificarse conforme al acto"</x:definedName>
    <x:definedName name="CA_R029">"El ERP es único emisor y el receptor suele carecer de firma avanzada"</x:definedName>
    <x:definedName name="AC_R030">"Obtener especificación, sandbox, fechas y responsable de certificación; ensayar el flujo completo"</x:definedName>
    <x:definedName name="VF_R030">"Confirmación escrita de cadena y certificación completa antes del H12; dependencia externa mantiene zona alta"</x:definedName>
    <x:definedName name="DU_R030">"Bastián Trejo"</x:definedName>
    <x:definedName name="DP_R030">"No hay ventana de certificación acordada al mes 4"</x:definedName>
    <x:definedName name="ET_R030">"Implementación"</x:definedName>
    <x:definedName name="EF_R030">"integración no habilitada y pérdida de capacidad comercial"</x:definedName>
    <x:definedName name="FT_R030">"Caso 02 — Logística, cap. 13.2 y 15 RT-05.23"</x:definedName>
    <x:definedName name="CT_R030">"Subdocumento 4 M11/INT-08 y T-14 3.6.5–6: contratos y pruebas por cadena"</x:definedName>
    <x:definedName name="ED_R030">"3.6.5 / 3.6.6"</x:definedName>
    <x:definedName name="EV_R030">"su formato, ambiente o certificación puede no estar disponible a tiempo"</x:definedName>
    <x:definedName name="CA_R030">"La cadena exige pedido electrónico, ASN, ventana y POD antes de enero de 2029"</x:definedName>
    <x:definedName name="AC_R031">"Validar contactos y probar fallback por canal con confirmación de entrega; medir apertura por separado"</x:definedName>
    <x:definedName name="VF_R031">"Prueba de recepción antes de salida; SMS sin lectura informable no cuenta como abierto"</x:definedName>
    <x:definedName name="DU_R031">"Tomás Pérez"</x:definedName>
    <x:definedName name="DP_R031">"Mensaje fallido o contacto inválido antes de partida"</x:definedName>
    <x:definedName name="ET_R031">"Implementación"</x:definedName>
    <x:definedName name="EF_R031">"cliente ausente y entrega fallida"</x:definedName>
    <x:definedName name="FT_R031">"Caso 02 — Logística, cap. 15 RT-16.21; Bases Técnicas Transversales RT-16.23"</x:definedName>
    <x:definedName name="CT_R031">"Subdocumento 4 INT-11 y Subdocumento 5 5.1.9: entrega/apertura diferenciadas y NO_SOPORTADA"</x:definedName>
    <x:definedName name="ED_R031">"3.6.4 / 3.4.7"</x:definedName>
    <x:definedName name="EV_R031">"el aviso de llegada puede no recibirse antes de la salida"</x:definedName>
    <x:definedName name="CA_R031">"El canal tradicional no usa siempre correo y proveedores no acreditan toda apertura"</x:definedName>
    <x:definedName name="AC_R032">"Ensayar exportación e importación de un flujo representativo y medir sustitución del servicio no portable"</x:definedName>
    <x:definedName name="VF_R032">"Ensayo reproducible, licencias y formatos declarados; costo de salida separado de EOL"</x:definedName>
    <x:definedName name="DU_R032">"Bastián Trejo"</x:definedName>
    <x:definedName name="DP_R032">"Componente sin alternativa o exportación sin semántica"</x:definedName>
    <x:definedName name="ET_R032">"Implementación"</x:definedName>
    <x:definedName name="EF_R032">"migración costosa y dependencia prolongada"</x:definedName>
    <x:definedName name="FT_R032">"Bases Administrativas art. 16.3; Bases Técnicas Transversales RT-03.07; Bases Administrativas Subdocumento 8"</x:definedName>
    <x:definedName name="CT_R032">"Subdocumento 4 anexos 4-O/4-P y plan de reversibilidad: componentes y alternativas"</x:definedName>
    <x:definedName name="ED_R032">"1.7.2 / 8.1.4"</x:definedName>
    <x:definedName name="EV_R032">"la reversibilidad puede no preservar funcionalidad y evidencia en una salida"</x:definedName>
    <x:definedName name="CA_R032">"La solución usa servicios administrados y APIs con contratos propios"</x:definedName>
    <x:definedName name="AC_R033">"Consolidar fechas EOL/EOS comprobadas y ensayar actualización o sustitución antes del fin de soporte"</x:definedName>
    <x:definedName name="VF_R033">"Ficha/versiones y calendario anual; presupuesto de reposición pendiente de tarifas"</x:definedName>
    <x:definedName name="DU_R033">"Bastián Trejo"</x:definedName>
    <x:definedName name="DP_R033">"Soporte restante menor a doce meses y sin reemplazo homologado"</x:definedName>
    <x:definedName name="ET_R033">"Operación"</x:definedName>
    <x:definedName name="EF_R033">"actualización no prevista o vulnerabilidad persistente"</x:definedName>
    <x:definedName name="FT_R033">"Bases Técnicas Transversales cap. 1 y RT-08.13; Bases Administrativas Subdocumento 8"</x:definedName>
    <x:definedName name="CT_R033">"Subdocumento 4 4-P y T-11: ciclo de vida y soporte de componentes"</x:definedName>
    <x:definedName name="ED_R033">"5.1 / 8.2"</x:definedName>
    <x:definedName name="EV_R033">"un componente puede quedar sin parche o repuesto antes del cierre"</x:definedName>
    <x:definedName name="CA_R033">"El contrato dura 56 meses y versiones/equipos tienen ciclos de soporte"</x:definedName>
    <x:definedName name="AC_R034">"Simular ausencia y peak de llamadas con traslado; pactar cobertura de suplentes por tecnología"</x:definedName>
    <x:definedName name="VF_R034">"Prueba de cola con 80 % antes de 20 s, abandono ≤5 % y guardia acreditada"</x:definedName>
    <x:definedName name="DU_R034">"Guillermo Castillo"</x:definedName>
    <x:definedName name="DP_R034">"Demanda supera capacidad del turno o especialista no puede llegar"</x:definedName>
    <x:definedName name="ET_R034">"Operación"</x:definedName>
    <x:definedName name="EF_R034">"interrupción más larga y abandono"</x:definedName>
    <x:definedName name="FT_R034">"Caso 02 — Logística, cap. 15 RT-21.06/16; Bases Técnicas Transversales RT-21.01–08"</x:definedName>
    <x:definedName name="CT_R034">"Subdocumento 4 4-W y T-15: turnos, capacidad de mesa y tercer agente desde mes 25"</x:definedName>
    <x:definedName name="ED_R034">"8.1.2 / 8.5"</x:definedName>
    <x:definedName name="EV_R034">"ausencia, demanda o traslado puede impedir atención dentro del SLA"</x:definedName>
    <x:definedName name="CA_R034">"Se requieren madrugada, peaks, seis sitios y traslados de hasta 340 km"</x:definedName>
    <x:definedName name="AC_R035">"Construir presupuesto por unidad, peak, divisa y calendario de cobro; probar alertas de consumo"</x:definedName>
    <x:definedName name="VF_R035">"Oferta económica y flujo de caja revisados; sin tarifas, severidad monetaria sigue pendiente"</x:definedName>
    <x:definedName name="DU_R035">"Alex Aravena"</x:definedName>
    <x:definedName name="DP_R035">"No hay precio/volumen contractual o desvío sin cobertura de caja"</x:definedName>
    <x:definedName name="ET_R035">"Propuesta"</x:definedName>
    <x:definedName name="EF_R035">"recorte de servicio o necesidad de financiamiento"</x:definedName>
    <x:definedName name="FT_R035">"Bases Administrativas art. 9/16.3/50.2; Bases Técnicas Transversales RT-16.24 y RT-08.13"</x:definedName>
    <x:definedName name="CT_R035">"Subdocumento 4 FinOps y Subdocumento 6 adquisiciones: presupuesto y consumo etiquetado"</x:definedName>
    <x:definedName name="ED_R035">"1.1 / 8.1 / 8.2"</x:definedName>
    <x:definedName name="EV_R035">"el consumo o los pagos pueden superar la previsión financiera"</x:definedName>
    <x:definedName name="CA_R035">"Nube, mensajes, licencias y reposiciones tienen consumo y pago durante 56 meses"</x:definedName>
    <x:definedName name="AC_R036">"Pilotear por locales voluntarios y separar saldo inferido de observado; validar avisos antes de acción"</x:definedName>
    <x:definedName name="VF_R036">"Muestra de avisos confirmados, intervención autorizada e indicador INN-01 medido"</x:definedName>
    <x:definedName name="DU_R036">"Patricio Henríquez"</x:definedName>
    <x:definedName name="DP_R036">"Avisos sin lote confirmado o rechazo reiterado del local"</x:definedName>
    <x:definedName name="ET_R036">"Implantación"</x:definedName>
    <x:definedName name="EF_R036">"visitas improductivas y beneficio no demostrable"</x:definedName>
    <x:definedName name="FT_R036">"Bases Técnicas Transversales RT-26.04; Caso 02 — Logística, cap. 4.8 y 10.5"</x:definedName>
    <x:definedName name="CT_R036">"Subdocumento 13 13.1: visita del preventista y acciones autorizadas"</x:definedName>
    <x:definedName name="ED_R036">"3.4 / Subdocumento 13 13.1"</x:definedName>
    <x:definedName name="EV_R036">"datos inferidos pueden generar avisos de vencimiento sin confirmación"</x:definedName>
    <x:definedName name="CA_R036">"El inventario de góndola no pertenece al sistema de registro de Puelche"</x:definedName>
    <x:definedName name="AC_R037">"Seleccionar incidentes de prueba y verificar reproducción con datos minimizados y versión exacta"</x:definedName>
    <x:definedName name="VF_R037">"Escenario reproduce fallo, corrección lo elimina y datos sensibles están protegidos"</x:definedName>
    <x:definedName name="DU_R037">"Tomás Pérez"</x:definedName>
    <x:definedName name="DP_R037">"Ticket se cierra sin reproducción o reaparece por la misma causa"</x:definedName>
    <x:definedName name="ET_R037">"Implementación"</x:definedName>
    <x:definedName name="EF_R037">"corrección ineficaz y reapertura de tickets"</x:definedName>
    <x:definedName name="FT_R037">"Bases Técnicas Transversales RT-26.04; Caso 02 — Logística, cap. 6 y 18 criterio 6"</x:definedName>
    <x:definedName name="CT_R037">"Subdocumento 13 13.2: escenario reproducible y validación antes de cierre"</x:definedName>
    <x:definedName name="ED_R037">"3.3.6 / Subdocumento 13 13.2"</x:definedName>
    <x:definedName name="EV_R037">"captura y reproducción pueden no conservar el orden causal del incidente"</x:definedName>
    <x:definedName name="CA_R037">"Los fallos aparecen en condiciones de terreno difíciles de replicar"</x:definedName>
    <x:definedName name="AC_R038">"Validar por familia contra evidencia del proveedor; mantener modo informativo hasta aceptación"</x:definedName>
    <x:definedName name="VF_R038">"Validación de Calidad/proveedor; innovación nunca libera ni amplía vencimiento automáticamente"</x:definedName>
    <x:definedName name="DU_R038">"Maximiliano Miño"</x:definedName>
    <x:definedName name="DP_R038">"Modelo sin parámetros aprobados o serie térmica incompleta"</x:definedName>
    <x:definedName name="ET_R038">"Implementación"</x:definedName>
    <x:definedName name="EF_R038">"decisión de disposición errónea"</x:definedName>
    <x:definedName name="FT_R038">"Bases Técnicas Transversales RT-26.04; Caso 02 — Logística, cap. 9.6 y 18"</x:definedName>
    <x:definedName name="CT_R038">"Subdocumento 13 13.3: modelo por familia y aprobación de Calidad; bloqueo base independiente"</x:definedName>
    <x:definedName name="ED_R038">"3.4.4 / Subdocumento 13 13.3"</x:definedName>
    <x:definedName name="EV_R038">"la estimación puede ser inválida o exceder el uso permitido"</x:definedName>
    <x:definedName name="CA_R038">"El modelo cinético depende de familia de producto e historia térmica completa"</x:definedName>
    <x:definedName name="AC_R039">"Acordar canasta y fórmula; recalcular casos de estacionalidad y OTIF bajo sin pago variable"</x:definedName>
    <x:definedName name="VF_R039">"Contrato y cálculo auditables por Finanzas; tarifas y techo monetario pendientes"</x:definedName>
    <x:definedName name="DU_R039">"Alex Aravena"</x:definedName>
    <x:definedName name="DP_R039">"Una variación externa modifica el incentivo sin ajuste o OTIF bajo genera pago"</x:definedName>
    <x:definedName name="ET_R039">"Propuesta"</x:definedName>
    <x:definedName name="EF_R039">"disputa del tramo variable o sacrificio del OTIF"</x:definedName>
    <x:definedName name="FT_R039">"Bases Técnicas Transversales RT-26.04; Caso 02 — Logística, cap. 9.8"</x:definedName>
    <x:definedName name="CT_R039">"Subdocumento 13 13.4: canasta, techo y piso OTIF; tarifa mayormente fija"</x:definedName>
    <x:definedName name="ED_R039">"5.4.3 / Subdocumento 13 13.4"</x:definedName>
    <x:definedName name="EV_R039">"la línea base o canasta puede atribuir un ahorro espurio"</x:definedName>
    <x:definedName name="CA_R039">"La mejora puede deberse a combustible, malla o mezcla de clientes y no al servicio"</x:definedName>
    <x:definedName name="AC_R040">"Probar comprensión con locales y revisión de divulgación; desactivar comparativos hasta autorización"</x:definedName>
    <x:definedName name="VF_R040">"Prueba de comprensión; revisión de privacidad y separación de copias pedidas/entregadas"</x:definedName>
    <x:definedName name="DU_R040">"Patricio Henríquez"</x:definedName>
    <x:definedName name="DP_R040">"Local no puede explicar la hoja o agregado permite reidentificar"</x:definedName>
    <x:definedName name="ET_R040">"Implantación"</x:definedName>
    <x:definedName name="EF_R040">"rechazo del servicio y divulgación comercial"</x:definedName>
    <x:definedName name="FT_R040">"Bases Técnicas Transversales RT-26.04; Caso 02 — Logística, cap. 10.5 y 12"</x:definedName>
    <x:definedName name="CT_R040">"Subdocumento 13 13.5: visita, impresión opcional y supresión de celdas"</x:definedName>
    <x:definedName name="ED_R040">"4.1 / Subdocumento 13 13.5"</x:definedName>
    <x:definedName name="EV_R040">"la hoja puede no entenderse o permitir identificar otro local"</x:definedName>
    <x:definedName name="CA_R040">"Hay baja alfabetización y agregados de negocios comparables"</x:definedName>
    <x:definedName name="AC_R041">"Ensayar una entrega parcial a operadores del cliente y corregir runbooks antes del cierre"</x:definedName>
    <x:definedName name="VF_R041">"Operador receptor ejecuta procedimiento con cuentas propias y exportación reconciliada"</x:definedName>
    <x:definedName name="DU_R041">"Guillermo Castillo"</x:definedName>
    <x:definedName name="DP_R041">"Tarea esencial solo puede ejecutarla el equipo saliente"</x:definedName>
    <x:definedName name="ET_R041">"Operación"</x:definedName>
    <x:definedName name="EF_R041">"dependencia al cierre y operación no sostenible"</x:definedName>
    <x:definedName name="FT_R041">"Bases Técnicas Transversales RT-21.04 y RT-03.07; Bases Administrativas art. 16.3"</x:definedName>
    <x:definedName name="CT_R041">"T-14 9.2 y Subdocumento 4 reversibilidad: acompañamiento de salida meses 54–56"</x:definedName>
    <x:definedName name="ED_R041">"9.2.1 / 1.7.2"</x:definedName>
    <x:definedName name="EV_R041">"documentación, cuentas o exportación pueden no permitir una entrega efectiva"</x:definedName>
    <x:definedName name="CA_R041">"El cliente tiene cuatro personas de TI y debe sostener o transferir el servicio"</x:definedName>
    <x:definedName name="AC_R042">"Revisar normativa aplicable con asesor competente y ensayar purga con expediente retenido"</x:definedName>
    <x:definedName name="VF_R042">"Matriz legal actualizada y ensayo de supresión sin reconstrucción; no se certifica legalidad con esta planilla"</x:definedName>
    <x:definedName name="DU_R042">"Álvaro Catalán"</x:definedName>
    <x:definedName name="DP_R042">"Nueva exigencia afecta dato tratado o purga elimina evidencia vigente"</x:definedName>
    <x:definedName name="ET_R042">"Operación"</x:definedName>
    <x:definedName name="EF_R042">"retrabajo, conservación indebida o incumplimiento"</x:definedName>
    <x:definedName name="FT_R042">"Caso 02 — Logística, cap. 12 y 15 RT-05.10; Bases Técnicas Transversales caps. 11–12 y RT-16.25"</x:definedName>
    <x:definedName name="CT_R042">"Subdocumento 5 5.2: retención por dominio, bloqueo legal y purga verificable"</x:definedName>
    <x:definedName name="ED_R042">"2.2 / 8.2"</x:definedName>
    <x:definedName name="EV_R042">"un cambio o interpretación puede exigir adaptar controles y purga"</x:definedName>
    <x:definedName name="CA_R042">"El contrato conserva documentos, ubicación y evidencia durante varios años"</x:definedName>
    <x:definedName name="AC_R043">"Inyectar timeout después del cargo y probar consulta, cancelación y autorización de alternativa"</x:definedName>
    <x:definedName name="VF_R043">"Contrato POS y prueba de un solo cargo económico con correlación y devolución"</x:definedName>
    <x:definedName name="DU_R043">"Leandro Chamorro"</x:definedName>
    <x:definedName name="DP_R043">"Existe pago incierto y se intenta cobrar otra vez sin consulta"</x:definedName>
    <x:definedName name="ET_R043">"Implementación"</x:definedName>
    <x:definedName name="EF_R043">"conciliación, devolución y reclamo del cliente"</x:definedName>
    <x:definedName name="FT_R043">"Caso 02 — Logística, cap. 4.7 y 15 RT-17.06; Bases Técnicas Transversales RT-02.06"</x:definedName>
    <x:definedName name="CT_R043">"Subdocumento 5 5.1.8: pago incierto, consulta externa y autorización segregada"</x:definedName>
    <x:definedName name="ED_R043">"3.6.2 / 3.4.10"</x:definedName>
    <x:definedName name="EV_R043">"el reintento o pago alternativo puede duplicar la obligación"</x:definedName>
    <x:definedName name="CA_R043">"El POS depende de un tercero y el timeout no equivale a rechazo"</x:definedName>
    <x:definedName name="AC_R044">"Probar retorno parcial, sitio offline y reintento con lote retenido y envase recuperado"</x:definedName>
    <x:definedName name="VF_R044">"Conciliación por cliente/tipo y lote; MERMA/DESTRUCCION no duplica costo"</x:definedName>
    <x:definedName name="DU_R044">"Leandro Chamorro"</x:definedName>
    <x:definedName name="DP_R044">"Dos movimientos para una recepción o saldo sin vínculo a entrega"</x:definedName>
    <x:definedName name="ET_R044">"Implementación"</x:definedName>
    <x:definedName name="EF_R044">"saldo, cuenta de envases y trazabilidad incorrectos"</x:definedName>
    <x:definedName name="FT_R044">"Caso 02 — Logística, cap. 4.8, 9.7 y 18"</x:definedName>
    <x:definedName name="CT_R044">"Subdocumento 4 M8 y Subdocumento 5 5.1: retornos, mermas y segregación de movimientos"</x:definedName>
    <x:definedName name="ED_R044">"3.4.9 / 3.8.1"</x:definedName>
    <x:definedName name="EV_R044">"una devolución puede contabilizarse dos veces o quedar sin vínculo al lote"</x:definedName>
    <x:definedName name="CA_R044">"Retornos en terreno y recepción local atraviesan varios registros"</x:definedName>
    <x:definedName name="AC_R045">"Validar rutas por zona y atributos físicos; comparar proveedor GIS y ruta conocida con conductor"</x:definedName>
    <x:definedName name="VF_R045">"Catálogo de restricciones aprobado y planificación con corrección auditada, incluso sin señal"</x:definedName>
    <x:definedName name="DU_R045">"Bastián Trejo"</x:definedName>
    <x:definedName name="DP_R045">"Dirección no ubicable o restricción de peso/volumen violada"</x:definedName>
    <x:definedName name="ET_R045">"Implementación"</x:definedName>
    <x:definedName name="EF_R045">"entrega fallida y reproceso de planificación"</x:definedName>
    <x:definedName name="FT_R045">"Caso 02 — Logística, cap. 8 entrevista Maldonado y 16.1; Bases Técnicas Transversales RT-05.23"</x:definedName>
    <x:definedName name="CT_R045">"Subdocumento 4 M4/INT-10: mapas, caché y corrección del planificador"</x:definedName>
    <x:definedName name="ED_R045">"3.6.3 / 3.4.7"</x:definedName>
    <x:definedName name="EV_R045">"geocodificación o propuesta puede asignar camión/ruta incompatible"</x:definedName>
    <x:definedName name="CA_R045">"Direcciones, pesos y puentes no están plenamente formalizados"</x:definedName>
    <x:definedName name="MI_R001">IF(AND(ISNUMBER(Tarifa_CLP_HH),ISNUMBER(Externo_Inicial_R001)),INDEX($F$142:$F$186,MATCH("R-001",$A$142:$A$186,0))*Tarifa_CLP_HH+Externo_Inicial_R001,"Pendiente")</x:definedName>
    <x:definedName name="MR_R001">IF(AND(ISNUMBER(Tarifa_CLP_HH),ISNUMBER(Externo_Residual_R001)),INDEX($F$142:$F$186,MATCH("R-001",$A$142:$A$186,0))*RF_R001*Tarifa_CLP_HH+Externo_Residual_R001,"Pendiente")</x:definedName>
    <x:definedName name="MI_R002">IF(AND(ISNUMBER(Tarifa_CLP_HH),ISNUMBER(Externo_Inicial_R002)),INDEX($F$142:$F$186,MATCH("R-002",$A$142:$A$186,0))*Tarifa_CLP_HH+Externo_Inicial_R002,"Pendiente")</x:definedName>
    <x:definedName name="MR_R002">IF(AND(ISNUMBER(Tarifa_CLP_HH),ISNUMBER(Externo_Residual_R002)),INDEX($F$142:$F$186,MATCH("R-002",$A$142:$A$186,0))*RF_R002*Tarifa_CLP_HH+Externo_Residual_R002,"Pendiente")</x:definedName>
    <x:definedName name="MI_R003">IF(AND(ISNUMBER(Tarifa_CLP_HH),ISNUMBER(Externo_Inicial_R003)),INDEX($F$142:$F$186,MATCH("R-003",$A$142:$A$186,0))*Tarifa_CLP_HH+Externo_Inicial_R003,"Pendiente")</x:definedName>
    <x:definedName name="MR_R003">IF(AND(ISNUMBER(Tarifa_CLP_HH),ISNUMBER(Externo_Residual_R003)),INDEX($F$142:$F$186,MATCH("R-003",$A$142:$A$186,0))*RF_R003*Tarifa_CLP_HH+Externo_Residual_R003,"Pendiente")</x:definedName>
    <x:definedName name="MI_R004">IF(AND(ISNUMBER(Tarifa_CLP_HH),ISNUMBER(Externo_Inicial_R004)),INDEX($F$142:$F$186,MATCH("R-004",$A$142:$A$186,0))*Tarifa_CLP_HH+Externo_Inicial_R004,"Pendiente")</x:definedName>
    <x:definedName name="MR_R004">IF(AND(ISNUMBER(Tarifa_CLP_HH),ISNUMBER(Externo_Residual_R004)),INDEX($F$142:$F$186,MATCH("R-004",$A$142:$A$186,0))*RF_R004*Tarifa_CLP_HH+Externo_Residual_R004,"Pendiente")</x:definedName>
    <x:definedName name="MI_R005">IF(AND(ISNUMBER(Tarifa_CLP_HH),ISNUMBER(Externo_Inicial_R005)),INDEX($F$142:$F$186,MATCH("R-005",$A$142:$A$186,0))*Tarifa_CLP_HH+Externo_Inicial_R005,"Pendiente")</x:definedName>
    <x:definedName name="MR_R005">IF(AND(ISNUMBER(Tarifa_CLP_HH),ISNUMBER(Externo_Residual_R005)),INDEX($F$142:$F$186,MATCH("R-005",$A$142:$A$186,0))*RF_R005*Tarifa_CLP_HH+Externo_Residual_R005,"Pendiente")</x:definedName>
    <x:definedName name="MI_R006">IF(AND(ISNUMBER(Tarifa_CLP_HH),ISNUMBER(Externo_Inicial_R006)),INDEX($F$142:$F$186,MATCH("R-006",$A$142:$A$186,0))*Tarifa_CLP_HH+Externo_Inicial_R006,"Pendiente")</x:definedName>
    <x:definedName name="MR_R006">IF(AND(ISNUMBER(Tarifa_CLP_HH),ISNUMBER(Externo_Residual_R006)),INDEX($F$142:$F$186,MATCH("R-006",$A$142:$A$186,0))*RF_R006*Tarifa_CLP_HH+Externo_Residual_R006,"Pendiente")</x:definedName>
    <x:definedName name="MI_R007">IF(AND(ISNUMBER(Tarifa_CLP_HH),ISNUMBER(Externo_Inicial_R007)),INDEX($F$142:$F$186,MATCH("R-007",$A$142:$A$186,0))*Tarifa_CLP_HH+Externo_Inicial_R007,"Pendiente")</x:definedName>
    <x:definedName name="MR_R007">IF(AND(ISNUMBER(Tarifa_CLP_HH),ISNUMBER(Externo_Residual_R007)),INDEX($F$142:$F$186,MATCH("R-007",$A$142:$A$186,0))*RF_R007*Tarifa_CLP_HH+Externo_Residual_R007,"Pendiente")</x:definedName>
    <x:definedName name="MI_R008">IF(AND(ISNUMBER(Tarifa_CLP_HH),ISNUMBER(Externo_Inicial_R008)),INDEX($F$142:$F$186,MATCH("R-008",$A$142:$A$186,0))*Tarifa_CLP_HH+Externo_Inicial_R008,"Pendiente")</x:definedName>
    <x:definedName name="MR_R008">IF(AND(ISNUMBER(Tarifa_CLP_HH),ISNUMBER(Externo_Residual_R008)),INDEX($F$142:$F$186,MATCH("R-008",$A$142:$A$186,0))*RF_R008*Tarifa_CLP_HH+Externo_Residual_R008,"Pendiente")</x:definedName>
    <x:definedName name="MI_R009">IF(AND(ISNUMBER(Tarifa_CLP_HH),ISNUMBER(Externo_Inicial_R009)),INDEX($F$142:$F$186,MATCH("R-009",$A$142:$A$186,0))*Tarifa_CLP_HH+Externo_Inicial_R009,"Pendiente")</x:definedName>
    <x:definedName name="MR_R009">IF(AND(ISNUMBER(Tarifa_CLP_HH),ISNUMBER(Externo_Residual_R009)),INDEX($F$142:$F$186,MATCH("R-009",$A$142:$A$186,0))*RF_R009*Tarifa_CLP_HH+Externo_Residual_R009,"Pendiente")</x:definedName>
    <x:definedName name="MI_R010">IF(AND(ISNUMBER(Tarifa_CLP_HH),ISNUMBER(Externo_Inicial_R010)),INDEX($F$142:$F$186,MATCH("R-010",$A$142:$A$186,0))*Tarifa_CLP_HH+Externo_Inicial_R010,"Pendiente")</x:definedName>
    <x:definedName name="MR_R010">IF(AND(ISNUMBER(Tarifa_CLP_HH),ISNUMBER(Externo_Residual_R010)),INDEX($F$142:$F$186,MATCH("R-010",$A$142:$A$186,0))*RF_R010*Tarifa_CLP_HH+Externo_Residual_R010,"Pendiente")</x:definedName>
    <x:definedName name="MI_R011">IF(AND(ISNUMBER(Tarifa_CLP_HH),ISNUMBER(Externo_Inicial_R011)),INDEX($F$142:$F$186,MATCH("R-011",$A$142:$A$186,0))*Tarifa_CLP_HH+Externo_Inicial_R011,"Pendiente")</x:definedName>
    <x:definedName name="MR_R011">IF(AND(ISNUMBER(Tarifa_CLP_HH),ISNUMBER(Externo_Residual_R011)),INDEX($F$142:$F$186,MATCH("R-011",$A$142:$A$186,0))*RF_R011*Tarifa_CLP_HH+Externo_Residual_R011,"Pendiente")</x:definedName>
    <x:definedName name="MI_R012">IF(AND(ISNUMBER(Tarifa_CLP_HH),ISNUMBER(Externo_Inicial_R012)),INDEX($F$142:$F$186,MATCH("R-012",$A$142:$A$186,0))*Tarifa_CLP_HH+Externo_Inicial_R012,"Pendiente")</x:definedName>
    <x:definedName name="MR_R012">IF(AND(ISNUMBER(Tarifa_CLP_HH),ISNUMBER(Externo_Residual_R012)),INDEX($F$142:$F$186,MATCH("R-012",$A$142:$A$186,0))*RF_R012*Tarifa_CLP_HH+Externo_Residual_R012,"Pendiente")</x:definedName>
    <x:definedName name="MI_R013">IF(AND(ISNUMBER(Tarifa_CLP_HH),ISNUMBER(Externo_Inicial_R013)),INDEX($F$142:$F$186,MATCH("R-013",$A$142:$A$186,0))*Tarifa_CLP_HH+Externo_Inicial_R013,"Pendiente")</x:definedName>
    <x:definedName name="MR_R013">IF(AND(ISNUMBER(Tarifa_CLP_HH),ISNUMBER(Externo_Residual_R013)),INDEX($F$142:$F$186,MATCH("R-013",$A$142:$A$186,0))*RF_R013*Tarifa_CLP_HH+Externo_Residual_R013,"Pendiente")</x:definedName>
    <x:definedName name="MI_R014">IF(AND(ISNUMBER(Tarifa_CLP_HH),ISNUMBER(Externo_Inicial_R014)),INDEX($F$142:$F$186,MATCH("R-014",$A$142:$A$186,0))*Tarifa_CLP_HH+Externo_Inicial_R014,"Pendiente")</x:definedName>
    <x:definedName name="MR_R014">IF(AND(ISNUMBER(Tarifa_CLP_HH),ISNUMBER(Externo_Residual_R014)),INDEX($F$142:$F$186,MATCH("R-014",$A$142:$A$186,0))*RF_R014*Tarifa_CLP_HH+Externo_Residual_R014,"Pendiente")</x:definedName>
    <x:definedName name="MI_R015">IF(AND(ISNUMBER(Tarifa_CLP_HH),ISNUMBER(Externo_Inicial_R015)),INDEX($F$142:$F$186,MATCH("R-015",$A$142:$A$186,0))*Tarifa_CLP_HH+Externo_Inicial_R015,"Pendiente")</x:definedName>
    <x:definedName name="MR_R015">IF(AND(ISNUMBER(Tarifa_CLP_HH),ISNUMBER(Externo_Residual_R015)),INDEX($F$142:$F$186,MATCH("R-015",$A$142:$A$186,0))*RF_R015*Tarifa_CLP_HH+Externo_Residual_R015,"Pendiente")</x:definedName>
    <x:definedName name="MI_R016">IF(AND(ISNUMBER(Tarifa_CLP_HH),ISNUMBER(Externo_Inicial_R016)),INDEX($F$142:$F$186,MATCH("R-016",$A$142:$A$186,0))*Tarifa_CLP_HH+Externo_Inicial_R016,"Pendiente")</x:definedName>
    <x:definedName name="MR_R016">IF(AND(ISNUMBER(Tarifa_CLP_HH),ISNUMBER(Externo_Residual_R016)),INDEX($F$142:$F$186,MATCH("R-016",$A$142:$A$186,0))*RF_R016*Tarifa_CLP_HH+Externo_Residual_R016,"Pendiente")</x:definedName>
    <x:definedName name="MI_R017">IF(AND(ISNUMBER(Tarifa_CLP_HH),ISNUMBER(Externo_Inicial_R017)),INDEX($F$142:$F$186,MATCH("R-017",$A$142:$A$186,0))*Tarifa_CLP_HH+Externo_Inicial_R017,"Pendiente")</x:definedName>
    <x:definedName name="MR_R017">IF(AND(ISNUMBER(Tarifa_CLP_HH),ISNUMBER(Externo_Residual_R017)),INDEX($F$142:$F$186,MATCH("R-017",$A$142:$A$186,0))*RF_R017*Tarifa_CLP_HH+Externo_Residual_R017,"Pendiente")</x:definedName>
    <x:definedName name="MI_R018">IF(AND(ISNUMBER(Tarifa_CLP_HH),ISNUMBER(Externo_Inicial_R018)),INDEX($F$142:$F$186,MATCH("R-018",$A$142:$A$186,0))*Tarifa_CLP_HH+Externo_Inicial_R018,"Pendiente")</x:definedName>
    <x:definedName name="MR_R018">IF(AND(ISNUMBER(Tarifa_CLP_HH),ISNUMBER(Externo_Residual_R018)),INDEX($F$142:$F$186,MATCH("R-018",$A$142:$A$186,0))*RF_R018*Tarifa_CLP_HH+Externo_Residual_R018,"Pendiente")</x:definedName>
    <x:definedName name="MI_R019">IF(AND(ISNUMBER(Tarifa_CLP_HH),ISNUMBER(Externo_Inicial_R019)),INDEX($F$142:$F$186,MATCH("R-019",$A$142:$A$186,0))*Tarifa_CLP_HH+Externo_Inicial_R019,"Pendiente")</x:definedName>
    <x:definedName name="MR_R019">IF(AND(ISNUMBER(Tarifa_CLP_HH),ISNUMBER(Externo_Residual_R019)),INDEX($F$142:$F$186,MATCH("R-019",$A$142:$A$186,0))*RF_R019*Tarifa_CLP_HH+Externo_Residual_R019,"Pendiente")</x:definedName>
    <x:definedName name="MI_R020">IF(AND(ISNUMBER(Tarifa_CLP_HH),ISNUMBER(Externo_Inicial_R020)),INDEX($F$142:$F$186,MATCH("R-020",$A$142:$A$186,0))*Tarifa_CLP_HH+Externo_Inicial_R020,"Pendiente")</x:definedName>
    <x:definedName name="MR_R020">IF(AND(ISNUMBER(Tarifa_CLP_HH),ISNUMBER(Externo_Residual_R020)),INDEX($F$142:$F$186,MATCH("R-020",$A$142:$A$186,0))*RF_R020*Tarifa_CLP_HH+Externo_Residual_R020,"Pendiente")</x:definedName>
    <x:definedName name="MI_R021">IF(AND(ISNUMBER(Tarifa_CLP_HH),ISNUMBER(Externo_Inicial_R021)),INDEX($F$142:$F$186,MATCH("R-021",$A$142:$A$186,0))*Tarifa_CLP_HH+Externo_Inicial_R021,"Pendiente")</x:definedName>
    <x:definedName name="MR_R021">IF(AND(ISNUMBER(Tarifa_CLP_HH),ISNUMBER(Externo_Residual_R021)),INDEX($F$142:$F$186,MATCH("R-021",$A$142:$A$186,0))*RF_R021*Tarifa_CLP_HH+Externo_Residual_R021,"Pendiente")</x:definedName>
    <x:definedName name="MI_R022">IF(AND(ISNUMBER(Tarifa_CLP_HH),ISNUMBER(Externo_Inicial_R022)),INDEX($F$142:$F$186,MATCH("R-022",$A$142:$A$186,0))*Tarifa_CLP_HH+Externo_Inicial_R022,"Pendiente")</x:definedName>
    <x:definedName name="MR_R022">IF(AND(ISNUMBER(Tarifa_CLP_HH),ISNUMBER(Externo_Residual_R022)),INDEX($F$142:$F$186,MATCH("R-022",$A$142:$A$186,0))*RF_R022*Tarifa_CLP_HH+Externo_Residual_R022,"Pendiente")</x:definedName>
    <x:definedName name="MI_R023">IF(AND(ISNUMBER(Tarifa_CLP_HH),ISNUMBER(Externo_Inicial_R023)),INDEX($F$142:$F$186,MATCH("R-023",$A$142:$A$186,0))*Tarifa_CLP_HH+Externo_Inicial_R023,"Pendiente")</x:definedName>
    <x:definedName name="MR_R023">IF(AND(ISNUMBER(Tarifa_CLP_HH),ISNUMBER(Externo_Residual_R023)),INDEX($F$142:$F$186,MATCH("R-023",$A$142:$A$186,0))*RF_R023*Tarifa_CLP_HH+Externo_Residual_R023,"Pendiente")</x:definedName>
    <x:definedName name="MI_R024">IF(AND(ISNUMBER(Tarifa_CLP_HH),ISNUMBER(Externo_Inicial_R024)),INDEX($F$142:$F$186,MATCH("R-024",$A$142:$A$186,0))*Tarifa_CLP_HH+Externo_Inicial_R024,"Pendiente")</x:definedName>
    <x:definedName name="MR_R024">IF(AND(ISNUMBER(Tarifa_CLP_HH),ISNUMBER(Externo_Residual_R024)),INDEX($F$142:$F$186,MATCH("R-024",$A$142:$A$186,0))*RF_R024*Tarifa_CLP_HH+Externo_Residual_R024,"Pendiente")</x:definedName>
    <x:definedName name="MI_R025">IF(AND(ISNUMBER(Tarifa_CLP_HH),ISNUMBER(Externo_Inicial_R025)),INDEX($F$142:$F$186,MATCH("R-025",$A$142:$A$186,0))*Tarifa_CLP_HH+Externo_Inicial_R025,"Pendiente")</x:definedName>
    <x:definedName name="MR_R025">IF(AND(ISNUMBER(Tarifa_CLP_HH),ISNUMBER(Externo_Residual_R025)),INDEX($F$142:$F$186,MATCH("R-025",$A$142:$A$186,0))*RF_R025*Tarifa_CLP_HH+Externo_Residual_R025,"Pendiente")</x:definedName>
    <x:definedName name="MI_R026">IF(AND(ISNUMBER(Tarifa_CLP_HH),ISNUMBER(Externo_Inicial_R026)),INDEX($F$142:$F$186,MATCH("R-026",$A$142:$A$186,0))*Tarifa_CLP_HH+Externo_Inicial_R026,"Pendiente")</x:definedName>
    <x:definedName name="MR_R026">IF(AND(ISNUMBER(Tarifa_CLP_HH),ISNUMBER(Externo_Residual_R026)),INDEX($F$142:$F$186,MATCH("R-026",$A$142:$A$186,0))*RF_R026*Tarifa_CLP_HH+Externo_Residual_R026,"Pendiente")</x:definedName>
    <x:definedName name="MI_R027">IF(AND(ISNUMBER(Tarifa_CLP_HH),ISNUMBER(Externo_Inicial_R027)),INDEX($F$142:$F$186,MATCH("R-027",$A$142:$A$186,0))*Tarifa_CLP_HH+Externo_Inicial_R027,"Pendiente")</x:definedName>
    <x:definedName name="MR_R027">IF(AND(ISNUMBER(Tarifa_CLP_HH),ISNUMBER(Externo_Residual_R027)),INDEX($F$142:$F$186,MATCH("R-027",$A$142:$A$186,0))*RF_R027*Tarifa_CLP_HH+Externo_Residual_R027,"Pendiente")</x:definedName>
    <x:definedName name="MI_R028">IF(AND(ISNUMBER(Tarifa_CLP_HH),ISNUMBER(Externo_Inicial_R028)),INDEX($F$142:$F$186,MATCH("R-028",$A$142:$A$186,0))*Tarifa_CLP_HH+Externo_Inicial_R028,"Pendiente")</x:definedName>
    <x:definedName name="MR_R028">IF(AND(ISNUMBER(Tarifa_CLP_HH),ISNUMBER(Externo_Residual_R028)),INDEX($F$142:$F$186,MATCH("R-028",$A$142:$A$186,0))*RF_R028*Tarifa_CLP_HH+Externo_Residual_R028,"Pendiente")</x:definedName>
    <x:definedName name="MI_R029">IF(AND(ISNUMBER(Tarifa_CLP_HH),ISNUMBER(Externo_Inicial_R029)),INDEX($F$142:$F$186,MATCH("R-029",$A$142:$A$186,0))*Tarifa_CLP_HH+Externo_Inicial_R029,"Pendiente")</x:definedName>
    <x:definedName name="MR_R029">IF(AND(ISNUMBER(Tarifa_CLP_HH),ISNUMBER(Externo_Residual_R029)),INDEX($F$142:$F$186,MATCH("R-029",$A$142:$A$186,0))*RF_R029*Tarifa_CLP_HH+Externo_Residual_R029,"Pendiente")</x:definedName>
    <x:definedName name="MI_R030">IF(AND(ISNUMBER(Tarifa_CLP_HH),ISNUMBER(Externo_Inicial_R030)),INDEX($F$142:$F$186,MATCH("R-030",$A$142:$A$186,0))*Tarifa_CLP_HH+Externo_Inicial_R030,"Pendiente")</x:definedName>
    <x:definedName name="MR_R030">IF(AND(ISNUMBER(Tarifa_CLP_HH),ISNUMBER(Externo_Residual_R030)),INDEX($F$142:$F$186,MATCH("R-030",$A$142:$A$186,0))*RF_R030*Tarifa_CLP_HH+Externo_Residual_R030,"Pendiente")</x:definedName>
    <x:definedName name="MI_R031">IF(AND(ISNUMBER(Tarifa_CLP_HH),ISNUMBER(Externo_Inicial_R031)),INDEX($F$142:$F$186,MATCH("R-031",$A$142:$A$186,0))*Tarifa_CLP_HH+Externo_Inicial_R031,"Pendiente")</x:definedName>
    <x:definedName name="MR_R031">IF(AND(ISNUMBER(Tarifa_CLP_HH),ISNUMBER(Externo_Residual_R031)),INDEX($F$142:$F$186,MATCH("R-031",$A$142:$A$186,0))*RF_R031*Tarifa_CLP_HH+Externo_Residual_R031,"Pendiente")</x:definedName>
    <x:definedName name="MI_R032">IF(AND(ISNUMBER(Tarifa_CLP_HH),ISNUMBER(Externo_Inicial_R032)),INDEX($F$142:$F$186,MATCH("R-032",$A$142:$A$186,0))*Tarifa_CLP_HH+Externo_Inicial_R032,"Pendiente")</x:definedName>
    <x:definedName name="MR_R032">IF(AND(ISNUMBER(Tarifa_CLP_HH),ISNUMBER(Externo_Residual_R032)),INDEX($F$142:$F$186,MATCH("R-032",$A$142:$A$186,0))*RF_R032*Tarifa_CLP_HH+Externo_Residual_R032,"Pendiente")</x:definedName>
    <x:definedName name="MI_R033">IF(AND(ISNUMBER(Tarifa_CLP_HH),ISNUMBER(Externo_Inicial_R033)),INDEX($F$142:$F$186,MATCH("R-033",$A$142:$A$186,0))*Tarifa_CLP_HH+Externo_Inicial_R033,"Pendiente")</x:definedName>
    <x:definedName name="MR_R033">IF(AND(ISNUMBER(Tarifa_CLP_HH),ISNUMBER(Externo_Residual_R033)),INDEX($F$142:$F$186,MATCH("R-033",$A$142:$A$186,0))*RF_R033*Tarifa_CLP_HH+Externo_Residual_R033,"Pendiente")</x:definedName>
    <x:definedName name="MI_R034">IF(AND(ISNUMBER(Tarifa_CLP_HH),ISNUMBER(Externo_Inicial_R034)),INDEX($F$142:$F$186,MATCH("R-034",$A$142:$A$186,0))*Tarifa_CLP_HH+Externo_Inicial_R034,"Pendiente")</x:definedName>
    <x:definedName name="MR_R034">IF(AND(ISNUMBER(Tarifa_CLP_HH),ISNUMBER(Externo_Residual_R034)),INDEX($F$142:$F$186,MATCH("R-034",$A$142:$A$186,0))*RF_R034*Tarifa_CLP_HH+Externo_Residual_R034,"Pendiente")</x:definedName>
    <x:definedName name="MI_R035">IF(AND(ISNUMBER(Tarifa_CLP_HH),ISNUMBER(Externo_Inicial_R035)),INDEX($F$142:$F$186,MATCH("R-035",$A$142:$A$186,0))*Tarifa_CLP_HH+Externo_Inicial_R035,"Pendiente")</x:definedName>
    <x:definedName name="MR_R035">IF(AND(ISNUMBER(Tarifa_CLP_HH),ISNUMBER(Externo_Residual_R035)),INDEX($F$142:$F$186,MATCH("R-035",$A$142:$A$186,0))*RF_R035*Tarifa_CLP_HH+Externo_Residual_R035,"Pendiente")</x:definedName>
    <x:definedName name="MI_R036">IF(AND(ISNUMBER(Tarifa_CLP_HH),ISNUMBER(Externo_Inicial_R036)),INDEX($F$142:$F$186,MATCH("R-036",$A$142:$A$186,0))*Tarifa_CLP_HH+Externo_Inicial_R036,"Pendiente")</x:definedName>
    <x:definedName name="MR_R036">IF(AND(ISNUMBER(Tarifa_CLP_HH),ISNUMBER(Externo_Residual_R036)),INDEX($F$142:$F$186,MATCH("R-036",$A$142:$A$186,0))*RF_R036*Tarifa_CLP_HH+Externo_Residual_R036,"Pendiente")</x:definedName>
    <x:definedName name="MI_R037">IF(AND(ISNUMBER(Tarifa_CLP_HH),ISNUMBER(Externo_Inicial_R037)),INDEX($F$142:$F$186,MATCH("R-037",$A$142:$A$186,0))*Tarifa_CLP_HH+Externo_Inicial_R037,"Pendiente")</x:definedName>
    <x:definedName name="MR_R037">IF(AND(ISNUMBER(Tarifa_CLP_HH),ISNUMBER(Externo_Residual_R037)),INDEX($F$142:$F$186,MATCH("R-037",$A$142:$A$186,0))*RF_R037*Tarifa_CLP_HH+Externo_Residual_R037,"Pendiente")</x:definedName>
    <x:definedName name="MI_R038">IF(AND(ISNUMBER(Tarifa_CLP_HH),ISNUMBER(Externo_Inicial_R038)),INDEX($F$142:$F$186,MATCH("R-038",$A$142:$A$186,0))*Tarifa_CLP_HH+Externo_Inicial_R038,"Pendiente")</x:definedName>
    <x:definedName name="MR_R038">IF(AND(ISNUMBER(Tarifa_CLP_HH),ISNUMBER(Externo_Residual_R038)),INDEX($F$142:$F$186,MATCH("R-038",$A$142:$A$186,0))*RF_R038*Tarifa_CLP_HH+Externo_Residual_R038,"Pendiente")</x:definedName>
    <x:definedName name="MI_R039">IF(AND(ISNUMBER(Tarifa_CLP_HH),ISNUMBER(Externo_Inicial_R039)),INDEX($F$142:$F$186,MATCH("R-039",$A$142:$A$186,0))*Tarifa_CLP_HH+Externo_Inicial_R039,"Pendiente")</x:definedName>
    <x:definedName name="MR_R039">IF(AND(ISNUMBER(Tarifa_CLP_HH),ISNUMBER(Externo_Residual_R039)),INDEX($F$142:$F$186,MATCH("R-039",$A$142:$A$186,0))*RF_R039*Tarifa_CLP_HH+Externo_Residual_R039,"Pendiente")</x:definedName>
    <x:definedName name="MI_R040">IF(AND(ISNUMBER(Tarifa_CLP_HH),ISNUMBER(Externo_Inicial_R040)),INDEX($F$142:$F$186,MATCH("R-040",$A$142:$A$186,0))*Tarifa_CLP_HH+Externo_Inicial_R040,"Pendiente")</x:definedName>
    <x:definedName name="MR_R040">IF(AND(ISNUMBER(Tarifa_CLP_HH),ISNUMBER(Externo_Residual_R040)),INDEX($F$142:$F$186,MATCH("R-040",$A$142:$A$186,0))*RF_R040*Tarifa_CLP_HH+Externo_Residual_R040,"Pendiente")</x:definedName>
    <x:definedName name="MI_R041">IF(AND(ISNUMBER(Tarifa_CLP_HH),ISNUMBER(Externo_Inicial_R041)),INDEX($F$142:$F$186,MATCH("R-041",$A$142:$A$186,0))*Tarifa_CLP_HH+Externo_Inicial_R041,"Pendiente")</x:definedName>
    <x:definedName name="MR_R041">IF(AND(ISNUMBER(Tarifa_CLP_HH),ISNUMBER(Externo_Residual_R041)),INDEX($F$142:$F$186,MATCH("R-041",$A$142:$A$186,0))*RF_R041*Tarifa_CLP_HH+Externo_Residual_R041,"Pendiente")</x:definedName>
    <x:definedName name="MI_R042">IF(AND(ISNUMBER(Tarifa_CLP_HH),ISNUMBER(Externo_Inicial_R042)),INDEX($F$142:$F$186,MATCH("R-042",$A$142:$A$186,0))*Tarifa_CLP_HH+Externo_Inicial_R042,"Pendiente")</x:definedName>
    <x:definedName name="MR_R042">IF(AND(ISNUMBER(Tarifa_CLP_HH),ISNUMBER(Externo_Residual_R042)),INDEX($F$142:$F$186,MATCH("R-042",$A$142:$A$186,0))*RF_R042*Tarifa_CLP_HH+Externo_Residual_R042,"Pendiente")</x:definedName>
    <x:definedName name="MI_R043">IF(AND(ISNUMBER(Tarifa_CLP_HH),ISNUMBER(Externo_Inicial_R043)),INDEX($F$142:$F$186,MATCH("R-043",$A$142:$A$186,0))*Tarifa_CLP_HH+Externo_Inicial_R043,"Pendiente")</x:definedName>
    <x:definedName name="MR_R043">IF(AND(ISNUMBER(Tarifa_CLP_HH),ISNUMBER(Externo_Residual_R043)),INDEX($F$142:$F$186,MATCH("R-043",$A$142:$A$186,0))*RF_R043*Tarifa_CLP_HH+Externo_Residual_R043,"Pendiente")</x:definedName>
    <x:definedName name="MI_R044">IF(AND(ISNUMBER(Tarifa_CLP_HH),ISNUMBER(Externo_Inicial_R044)),INDEX($F$142:$F$186,MATCH("R-044",$A$142:$A$186,0))*Tarifa_CLP_HH+Externo_Inicial_R044,"Pendiente")</x:definedName>
    <x:definedName name="MR_R044">IF(AND(ISNUMBER(Tarifa_CLP_HH),ISNUMBER(Externo_Residual_R044)),INDEX($F$142:$F$186,MATCH("R-044",$A$142:$A$186,0))*RF_R044*Tarifa_CLP_HH+Externo_Residual_R044,"Pendiente")</x:definedName>
    <x:definedName name="MI_R045">IF(AND(ISNUMBER(Tarifa_CLP_HH),ISNUMBER(Externo_Inicial_R045)),INDEX($F$142:$F$186,MATCH("R-045",$A$142:$A$186,0))*Tarifa_CLP_HH+Externo_Inicial_R045,"Pendiente")</x:definedName>
    <x:definedName name="MR_R045">IF(AND(ISNUMBER(Tarifa_CLP_HH),ISNUMBER(Externo_Residual_R045)),INDEX($F$142:$F$186,MATCH("R-045",$A$142:$A$186,0))*RF_R045*Tarifa_CLP_HH+Externo_Residual_R045,"Pendiente")</x:definedName>
    <x:definedName name="VE_Monetario_Inicial">IF(COUNT(MI_R001,MI_R002,MI_R003,MI_R004,MI_R005,MI_R006,MI_R007,MI_R008,MI_R009,MI_R010,MI_R011,MI_R012,MI_R013,MI_R014,MI_R015,MI_R016,MI_R017,MI_R018,MI_R019,MI_R020,MI_R021,MI_R022,MI_R023,MI_R024,MI_R025,MI_R026,MI_R027,MI_R028,MI_R029,MI_R030,MI_R031,MI_R032,MI_R033,MI_R034,MI_R035,MI_R036,MI_R037,MI_R038,MI_R039,MI_R040,MI_R041,MI_R042,MI_R043,MI_R044,MI_R045)=45,SUM(MI_R001*INDEX($B$192:$B$236,MATCH("R-001",$A$192:$A$236,0)),MI_R002*INDEX($B$192:$B$236,MATCH("R-002",$A$192:$A$236,0)),MI_R003*INDEX($B$192:$B$236,MATCH("R-003",$A$192:$A$236,0)),MI_R004*INDEX($B$192:$B$236,MATCH("R-004",$A$192:$A$236,0)),MI_R005*INDEX($B$192:$B$236,MATCH("R-005",$A$192:$A$236,0)),MI_R006*INDEX($B$192:$B$236,MATCH("R-006",$A$192:$A$236,0)),MI_R007*INDEX($B$192:$B$236,MATCH("R-007",$A$192:$A$236,0)),MI_R008*INDEX($B$192:$B$236,MATCH("R-008",$A$192:$A$236,0)),MI_R009*INDEX($B$192:$B$236,MATCH("R-009",$A$192:$A$236,0)),MI_R010*INDEX($B$192:$B$236,MATCH("R-010",$A$192:$A$236,0)),MI_R011*INDEX($B$192:$B$236,MATCH("R-011",$A$192:$A$236,0)),MI_R012*INDEX($B$192:$B$236,MATCH("R-012",$A$192:$A$236,0)),MI_R013*INDEX($B$192:$B$236,MATCH("R-013",$A$192:$A$236,0)),MI_R014*INDEX($B$192:$B$236,MATCH("R-014",$A$192:$A$236,0)),MI_R015*INDEX($B$192:$B$236,MATCH("R-015",$A$192:$A$236,0)),MI_R016*INDEX($B$192:$B$236,MATCH("R-016",$A$192:$A$236,0)),MI_R017*INDEX($B$192:$B$236,MATCH("R-017",$A$192:$A$236,0)),MI_R018*INDEX($B$192:$B$236,MATCH("R-018",$A$192:$A$236,0)),MI_R019*INDEX($B$192:$B$236,MATCH("R-019",$A$192:$A$236,0)),MI_R020*INDEX($B$192:$B$236,MATCH("R-020",$A$192:$A$236,0)),MI_R021*INDEX($B$192:$B$236,MATCH("R-021",$A$192:$A$236,0)),MI_R022*INDEX($B$192:$B$236,MATCH("R-022",$A$192:$A$236,0)),MI_R023*INDEX($B$192:$B$236,MATCH("R-023",$A$192:$A$236,0)),MI_R024*INDEX($B$192:$B$236,MATCH("R-024",$A$192:$A$236,0)),MI_R025*INDEX($B$192:$B$236,MATCH("R-025",$A$192:$A$236,0)),MI_R026*INDEX($B$192:$B$236,MATCH("R-026",$A$192:$A$236,0)),MI_R027*INDEX($B$192:$B$236,MATCH("R-027",$A$192:$A$236,0)),MI_R028*INDEX($B$192:$B$236,MATCH("R-028",$A$192:$A$236,0)),MI_R029*INDEX($B$192:$B$236,MATCH("R-029",$A$192:$A$236,0)),MI_R030*INDEX($B$192:$B$236,MATCH("R-030",$A$192:$A$236,0)),MI_R031*INDEX($B$192:$B$236,MATCH("R-031",$A$192:$A$236,0)),MI_R032*INDEX($B$192:$B$236,MATCH("R-032",$A$192:$A$236,0)),MI_R033*INDEX($B$192:$B$236,MATCH("R-033",$A$192:$A$236,0)),MI_R034*INDEX($B$192:$B$236,MATCH("R-034",$A$192:$A$236,0)),MI_R035*INDEX($B$192:$B$236,MATCH("R-035",$A$192:$A$236,0)),MI_R036*INDEX($B$192:$B$236,MATCH("R-036",$A$192:$A$236,0)),MI_R037*INDEX($B$192:$B$236,MATCH("R-037",$A$192:$A$236,0)),MI_R038*INDEX($B$192:$B$236,MATCH("R-038",$A$192:$A$236,0)),MI_R039*INDEX($B$192:$B$236,MATCH("R-039",$A$192:$A$236,0)),MI_R040*INDEX($B$192:$B$236,MATCH("R-040",$A$192:$A$236,0)),MI_R041*INDEX($B$192:$B$236,MATCH("R-041",$A$192:$A$236,0)),MI_R042*INDEX($B$192:$B$236,MATCH("R-042",$A$192:$A$236,0)),MI_R043*INDEX($B$192:$B$236,MATCH("R-043",$A$192:$A$236,0)),MI_R044*INDEX($B$192:$B$236,MATCH("R-044",$A$192:$A$236,0)),MI_R045*INDEX($B$192:$B$236,MATCH("R-045",$A$192:$A$236,0))),"Pendiente")</x:definedName>
    <x:definedName name="VE_Monetario_Residual">IF(COUNT(MR_R001,MR_R002,MR_R003,MR_R004,MR_R005,MR_R006,MR_R007,MR_R008,MR_R009,MR_R010,MR_R011,MR_R012,MR_R013,MR_R014,MR_R015,MR_R016,MR_R017,MR_R018,MR_R019,MR_R020,MR_R021,MR_R022,MR_R023,MR_R024,MR_R025,MR_R026,MR_R027,MR_R028,MR_R029,MR_R030,MR_R031,MR_R032,MR_R033,MR_R034,MR_R035,MR_R036,MR_R037,MR_R038,MR_R039,MR_R040,MR_R041,MR_R042,MR_R043,MR_R044,MR_R045)=45,SUM(MR_R001*RP_R001,MR_R002*RP_R002,MR_R003*RP_R003,MR_R004*RP_R004,MR_R005*RP_R005,MR_R006*RP_R006,MR_R007*RP_R007,MR_R008*RP_R008,MR_R009*RP_R009,MR_R010*RP_R010,MR_R011*RP_R011,MR_R012*RP_R012,MR_R013*RP_R013,MR_R014*RP_R014,MR_R015*RP_R015,MR_R016*RP_R016,MR_R017*RP_R017,MR_R018*RP_R018,MR_R019*RP_R019,MR_R020*RP_R020,MR_R021*RP_R021,MR_R022*RP_R022,MR_R023*RP_R023,MR_R024*RP_R024,MR_R025*RP_R025,MR_R026*RP_R026,MR_R027*RP_R027,MR_R028*RP_R028,MR_R029*RP_R029,MR_R030*RP_R030,MR_R031*RP_R031,MR_R032*RP_R032,MR_R033*RP_R033,MR_R034*RP_R034,MR_R035*RP_R035,MR_R036*RP_R036,MR_R037*RP_R037,MR_R038*RP_R038,MR_R039*RP_R039,MR_R040*RP_R040,MR_R041*RP_R041,MR_R042*RP_R042,MR_R043*RP_R043,MR_R044*RP_R044,MR_R045*RP_R045),"Pendiente")</x:definedName>
    <x:definedName name="Vector_Mes">(($A$38:$A$82="R-001")*Mes_R001+($A$38:$A$82="R-002")*Mes_R002+($A$38:$A$82="R-003")*Mes_R003+($A$38:$A$82="R-004")*Mes_R004+($A$38:$A$82="R-005")*Mes_R005+($A$38:$A$82="R-006")*Mes_R006+($A$38:$A$82="R-007")*Mes_R007+($A$38:$A$82="R-008")*Mes_R008+($A$38:$A$82="R-009")*Mes_R009+($A$38:$A$82="R-010")*Mes_R010+($A$38:$A$82="R-011")*Mes_R011+($A$38:$A$82="R-012")*Mes_R012+($A$38:$A$82="R-013")*Mes_R013+($A$38:$A$82="R-014")*Mes_R014+($A$38:$A$82="R-015")*Mes_R015+($A$38:$A$82="R-016")*Mes_R016+($A$38:$A$82="R-017")*Mes_R017+($A$38:$A$82="R-018")*Mes_R018+($A$38:$A$82="R-019")*Mes_R019+($A$38:$A$82="R-020")*Mes_R020+($A$38:$A$82="R-021")*Mes_R021+($A$38:$A$82="R-022")*Mes_R022+($A$38:$A$82="R-023")*Mes_R023+($A$38:$A$82="R-024")*Mes_R024+($A$38:$A$82="R-025")*Mes_R025+($A$38:$A$82="R-026")*Mes_R026+($A$38:$A$82="R-027")*Mes_R027+($A$38:$A$82="R-028")*Mes_R028+($A$38:$A$82="R-029")*Mes_R029+($A$38:$A$82="R-030")*Mes_R030+($A$38:$A$82="R-031")*Mes_R031+($A$38:$A$82="R-032")*Mes_R032+($A$38:$A$82="R-033")*Mes_R033+($A$38:$A$82="R-034")*Mes_R034+($A$38:$A$82="R-035")*Mes_R035+($A$38:$A$82="R-036")*Mes_R036+($A$38:$A$82="R-037")*Mes_R037+($A$38:$A$82="R-038")*Mes_R038+($A$38:$A$82="R-039")*Mes_R039+($A$38:$A$82="R-040")*Mes_R040+($A$38:$A$82="R-041")*Mes_R041+($A$38:$A$82="R-042")*Mes_R042+($A$38:$A$82="R-043")*Mes_R043+($A$38:$A$82="R-044")*Mes_R044+($A$38:$A$82="R-045")*Mes_R045)</x:definedName>
    <x:definedName name="Vector_ID">(($A$38:$A$82="R-001")*45+($A$38:$A$82="R-002")*44+($A$38:$A$82="R-003")*43+($A$38:$A$82="R-004")*42+($A$38:$A$82="R-005")*41+($A$38:$A$82="R-006")*40+($A$38:$A$82="R-007")*39+($A$38:$A$82="R-008")*38+($A$38:$A$82="R-009")*37+($A$38:$A$82="R-010")*36+($A$38:$A$82="R-011")*35+($A$38:$A$82="R-012")*34+($A$38:$A$82="R-013")*33+($A$38:$A$82="R-014")*32+($A$38:$A$82="R-015")*31+($A$38:$A$82="R-016")*30+($A$38:$A$82="R-017")*29+($A$38:$A$82="R-018")*28+($A$38:$A$82="R-019")*27+($A$38:$A$82="R-020")*26+($A$38:$A$82="R-021")*25+($A$38:$A$82="R-022")*24+($A$38:$A$82="R-023")*23+($A$38:$A$82="R-024")*22+($A$38:$A$82="R-025")*21+($A$38:$A$82="R-026")*20+($A$38:$A$82="R-027")*19+($A$38:$A$82="R-028")*18+($A$38:$A$82="R-029")*17+($A$38:$A$82="R-030")*16+($A$38:$A$82="R-031")*15+($A$38:$A$82="R-032")*14+($A$38:$A$82="R-033")*13+($A$38:$A$82="R-034")*12+($A$38:$A$82="R-035")*11+($A$38:$A$82="R-036")*10+($A$38:$A$82="R-037")*9+($A$38:$A$82="R-038")*8+($A$38:$A$82="R-039")*7+($A$38:$A$82="R-040")*6+($A$38:$A$82="R-041")*5+($A$38:$A$82="R-042")*4+($A$38:$A$82="R-043")*3+($A$38:$A$82="R-044")*2+($A$38:$A$82="R-045")*1)</x:definedName>
    <x:definedName name="Lugar_R001">1+SUMPRODUCT((($E$38:$E$82*$F$38:$F$82*1000000000000+(60-Vector_Mes)*1000000+$F$38:$F$82*1000+Vector_ID)&gt;(INDEX($E$38:$E$82,MATCH("R-001",$A$38:$A$82,0))*INDEX($F$38:$F$82,MATCH("R-001",$A$38:$A$82,0))*1000000000000+(60-Mes_R001)*1000000+INDEX($F$38:$F$82,MATCH("R-001",$A$38:$A$82,0))*1000+45))*1)</x:definedName>
    <x:definedName name="Lugar_R002">1+SUMPRODUCT((($E$38:$E$82*$F$38:$F$82*1000000000000+(60-Vector_Mes)*1000000+$F$38:$F$82*1000+Vector_ID)&gt;(INDEX($E$38:$E$82,MATCH("R-002",$A$38:$A$82,0))*INDEX($F$38:$F$82,MATCH("R-002",$A$38:$A$82,0))*1000000000000+(60-Mes_R002)*1000000+INDEX($F$38:$F$82,MATCH("R-002",$A$38:$A$82,0))*1000+44))*1)</x:definedName>
    <x:definedName name="Lugar_R003">1+SUMPRODUCT((($E$38:$E$82*$F$38:$F$82*1000000000000+(60-Vector_Mes)*1000000+$F$38:$F$82*1000+Vector_ID)&gt;(INDEX($E$38:$E$82,MATCH("R-003",$A$38:$A$82,0))*INDEX($F$38:$F$82,MATCH("R-003",$A$38:$A$82,0))*1000000000000+(60-Mes_R003)*1000000+INDEX($F$38:$F$82,MATCH("R-003",$A$38:$A$82,0))*1000+43))*1)</x:definedName>
    <x:definedName name="Lugar_R004">1+SUMPRODUCT((($E$38:$E$82*$F$38:$F$82*1000000000000+(60-Vector_Mes)*1000000+$F$38:$F$82*1000+Vector_ID)&gt;(INDEX($E$38:$E$82,MATCH("R-004",$A$38:$A$82,0))*INDEX($F$38:$F$82,MATCH("R-004",$A$38:$A$82,0))*1000000000000+(60-Mes_R004)*1000000+INDEX($F$38:$F$82,MATCH("R-004",$A$38:$A$82,0))*1000+42))*1)</x:definedName>
    <x:definedName name="Lugar_R005">1+SUMPRODUCT((($E$38:$E$82*$F$38:$F$82*1000000000000+(60-Vector_Mes)*1000000+$F$38:$F$82*1000+Vector_ID)&gt;(INDEX($E$38:$E$82,MATCH("R-005",$A$38:$A$82,0))*INDEX($F$38:$F$82,MATCH("R-005",$A$38:$A$82,0))*1000000000000+(60-Mes_R005)*1000000+INDEX($F$38:$F$82,MATCH("R-005",$A$38:$A$82,0))*1000+41))*1)</x:definedName>
    <x:definedName name="Lugar_R006">1+SUMPRODUCT((($E$38:$E$82*$F$38:$F$82*1000000000000+(60-Vector_Mes)*1000000+$F$38:$F$82*1000+Vector_ID)&gt;(INDEX($E$38:$E$82,MATCH("R-006",$A$38:$A$82,0))*INDEX($F$38:$F$82,MATCH("R-006",$A$38:$A$82,0))*1000000000000+(60-Mes_R006)*1000000+INDEX($F$38:$F$82,MATCH("R-006",$A$38:$A$82,0))*1000+40))*1)</x:definedName>
    <x:definedName name="Lugar_R007">1+SUMPRODUCT((($E$38:$E$82*$F$38:$F$82*1000000000000+(60-Vector_Mes)*1000000+$F$38:$F$82*1000+Vector_ID)&gt;(INDEX($E$38:$E$82,MATCH("R-007",$A$38:$A$82,0))*INDEX($F$38:$F$82,MATCH("R-007",$A$38:$A$82,0))*1000000000000+(60-Mes_R007)*1000000+INDEX($F$38:$F$82,MATCH("R-007",$A$38:$A$82,0))*1000+39))*1)</x:definedName>
    <x:definedName name="Lugar_R008">1+SUMPRODUCT((($E$38:$E$82*$F$38:$F$82*1000000000000+(60-Vector_Mes)*1000000+$F$38:$F$82*1000+Vector_ID)&gt;(INDEX($E$38:$E$82,MATCH("R-008",$A$38:$A$82,0))*INDEX($F$38:$F$82,MATCH("R-008",$A$38:$A$82,0))*1000000000000+(60-Mes_R008)*1000000+INDEX($F$38:$F$82,MATCH("R-008",$A$38:$A$82,0))*1000+38))*1)</x:definedName>
    <x:definedName name="Lugar_R009">1+SUMPRODUCT((($E$38:$E$82*$F$38:$F$82*1000000000000+(60-Vector_Mes)*1000000+$F$38:$F$82*1000+Vector_ID)&gt;(INDEX($E$38:$E$82,MATCH("R-009",$A$38:$A$82,0))*INDEX($F$38:$F$82,MATCH("R-009",$A$38:$A$82,0))*1000000000000+(60-Mes_R009)*1000000+INDEX($F$38:$F$82,MATCH("R-009",$A$38:$A$82,0))*1000+37))*1)</x:definedName>
    <x:definedName name="Lugar_R010">1+SUMPRODUCT((($E$38:$E$82*$F$38:$F$82*1000000000000+(60-Vector_Mes)*1000000+$F$38:$F$82*1000+Vector_ID)&gt;(INDEX($E$38:$E$82,MATCH("R-010",$A$38:$A$82,0))*INDEX($F$38:$F$82,MATCH("R-010",$A$38:$A$82,0))*1000000000000+(60-Mes_R010)*1000000+INDEX($F$38:$F$82,MATCH("R-010",$A$38:$A$82,0))*1000+36))*1)</x:definedName>
    <x:definedName name="Lugar_R011">1+SUMPRODUCT((($E$38:$E$82*$F$38:$F$82*1000000000000+(60-Vector_Mes)*1000000+$F$38:$F$82*1000+Vector_ID)&gt;(INDEX($E$38:$E$82,MATCH("R-011",$A$38:$A$82,0))*INDEX($F$38:$F$82,MATCH("R-011",$A$38:$A$82,0))*1000000000000+(60-Mes_R011)*1000000+INDEX($F$38:$F$82,MATCH("R-011",$A$38:$A$82,0))*1000+35))*1)</x:definedName>
    <x:definedName name="Lugar_R012">1+SUMPRODUCT((($E$38:$E$82*$F$38:$F$82*1000000000000+(60-Vector_Mes)*1000000+$F$38:$F$82*1000+Vector_ID)&gt;(INDEX($E$38:$E$82,MATCH("R-012",$A$38:$A$82,0))*INDEX($F$38:$F$82,MATCH("R-012",$A$38:$A$82,0))*1000000000000+(60-Mes_R012)*1000000+INDEX($F$38:$F$82,MATCH("R-012",$A$38:$A$82,0))*1000+34))*1)</x:definedName>
    <x:definedName name="Lugar_R013">1+SUMPRODUCT((($E$38:$E$82*$F$38:$F$82*1000000000000+(60-Vector_Mes)*1000000+$F$38:$F$82*1000+Vector_ID)&gt;(INDEX($E$38:$E$82,MATCH("R-013",$A$38:$A$82,0))*INDEX($F$38:$F$82,MATCH("R-013",$A$38:$A$82,0))*1000000000000+(60-Mes_R013)*1000000+INDEX($F$38:$F$82,MATCH("R-013",$A$38:$A$82,0))*1000+33))*1)</x:definedName>
    <x:definedName name="Lugar_R014">1+SUMPRODUCT((($E$38:$E$82*$F$38:$F$82*1000000000000+(60-Vector_Mes)*1000000+$F$38:$F$82*1000+Vector_ID)&gt;(INDEX($E$38:$E$82,MATCH("R-014",$A$38:$A$82,0))*INDEX($F$38:$F$82,MATCH("R-014",$A$38:$A$82,0))*1000000000000+(60-Mes_R014)*1000000+INDEX($F$38:$F$82,MATCH("R-014",$A$38:$A$82,0))*1000+32))*1)</x:definedName>
    <x:definedName name="Lugar_R015">1+SUMPRODUCT((($E$38:$E$82*$F$38:$F$82*1000000000000+(60-Vector_Mes)*1000000+$F$38:$F$82*1000+Vector_ID)&gt;(INDEX($E$38:$E$82,MATCH("R-015",$A$38:$A$82,0))*INDEX($F$38:$F$82,MATCH("R-015",$A$38:$A$82,0))*1000000000000+(60-Mes_R015)*1000000+INDEX($F$38:$F$82,MATCH("R-015",$A$38:$A$82,0))*1000+31))*1)</x:definedName>
    <x:definedName name="Lugar_R016">1+SUMPRODUCT((($E$38:$E$82*$F$38:$F$82*1000000000000+(60-Vector_Mes)*1000000+$F$38:$F$82*1000+Vector_ID)&gt;(INDEX($E$38:$E$82,MATCH("R-016",$A$38:$A$82,0))*INDEX($F$38:$F$82,MATCH("R-016",$A$38:$A$82,0))*1000000000000+(60-Mes_R016)*1000000+INDEX($F$38:$F$82,MATCH("R-016",$A$38:$A$82,0))*1000+30))*1)</x:definedName>
    <x:definedName name="Lugar_R017">1+SUMPRODUCT((($E$38:$E$82*$F$38:$F$82*1000000000000+(60-Vector_Mes)*1000000+$F$38:$F$82*1000+Vector_ID)&gt;(INDEX($E$38:$E$82,MATCH("R-017",$A$38:$A$82,0))*INDEX($F$38:$F$82,MATCH("R-017",$A$38:$A$82,0))*1000000000000+(60-Mes_R017)*1000000+INDEX($F$38:$F$82,MATCH("R-017",$A$38:$A$82,0))*1000+29))*1)</x:definedName>
    <x:definedName name="Lugar_R018">1+SUMPRODUCT((($E$38:$E$82*$F$38:$F$82*1000000000000+(60-Vector_Mes)*1000000+$F$38:$F$82*1000+Vector_ID)&gt;(INDEX($E$38:$E$82,MATCH("R-018",$A$38:$A$82,0))*INDEX($F$38:$F$82,MATCH("R-018",$A$38:$A$82,0))*1000000000000+(60-Mes_R018)*1000000+INDEX($F$38:$F$82,MATCH("R-018",$A$38:$A$82,0))*1000+28))*1)</x:definedName>
    <x:definedName name="Lugar_R019">1+SUMPRODUCT((($E$38:$E$82*$F$38:$F$82*1000000000000+(60-Vector_Mes)*1000000+$F$38:$F$82*1000+Vector_ID)&gt;(INDEX($E$38:$E$82,MATCH("R-019",$A$38:$A$82,0))*INDEX($F$38:$F$82,MATCH("R-019",$A$38:$A$82,0))*1000000000000+(60-Mes_R019)*1000000+INDEX($F$38:$F$82,MATCH("R-019",$A$38:$A$82,0))*1000+27))*1)</x:definedName>
    <x:definedName name="Lugar_R020">1+SUMPRODUCT((($E$38:$E$82*$F$38:$F$82*1000000000000+(60-Vector_Mes)*1000000+$F$38:$F$82*1000+Vector_ID)&gt;(INDEX($E$38:$E$82,MATCH("R-020",$A$38:$A$82,0))*INDEX($F$38:$F$82,MATCH("R-020",$A$38:$A$82,0))*1000000000000+(60-Mes_R020)*1000000+INDEX($F$38:$F$82,MATCH("R-020",$A$38:$A$82,0))*1000+26))*1)</x:definedName>
    <x:definedName name="Lugar_R021">1+SUMPRODUCT((($E$38:$E$82*$F$38:$F$82*1000000000000+(60-Vector_Mes)*1000000+$F$38:$F$82*1000+Vector_ID)&gt;(INDEX($E$38:$E$82,MATCH("R-021",$A$38:$A$82,0))*INDEX($F$38:$F$82,MATCH("R-021",$A$38:$A$82,0))*1000000000000+(60-Mes_R021)*1000000+INDEX($F$38:$F$82,MATCH("R-021",$A$38:$A$82,0))*1000+25))*1)</x:definedName>
    <x:definedName name="Lugar_R022">1+SUMPRODUCT((($E$38:$E$82*$F$38:$F$82*1000000000000+(60-Vector_Mes)*1000000+$F$38:$F$82*1000+Vector_ID)&gt;(INDEX($E$38:$E$82,MATCH("R-022",$A$38:$A$82,0))*INDEX($F$38:$F$82,MATCH("R-022",$A$38:$A$82,0))*1000000000000+(60-Mes_R022)*1000000+INDEX($F$38:$F$82,MATCH("R-022",$A$38:$A$82,0))*1000+24))*1)</x:definedName>
    <x:definedName name="Lugar_R023">1+SUMPRODUCT((($E$38:$E$82*$F$38:$F$82*1000000000000+(60-Vector_Mes)*1000000+$F$38:$F$82*1000+Vector_ID)&gt;(INDEX($E$38:$E$82,MATCH("R-023",$A$38:$A$82,0))*INDEX($F$38:$F$82,MATCH("R-023",$A$38:$A$82,0))*1000000000000+(60-Mes_R023)*1000000+INDEX($F$38:$F$82,MATCH("R-023",$A$38:$A$82,0))*1000+23))*1)</x:definedName>
    <x:definedName name="Lugar_R024">1+SUMPRODUCT((($E$38:$E$82*$F$38:$F$82*1000000000000+(60-Vector_Mes)*1000000+$F$38:$F$82*1000+Vector_ID)&gt;(INDEX($E$38:$E$82,MATCH("R-024",$A$38:$A$82,0))*INDEX($F$38:$F$82,MATCH("R-024",$A$38:$A$82,0))*1000000000000+(60-Mes_R024)*1000000+INDEX($F$38:$F$82,MATCH("R-024",$A$38:$A$82,0))*1000+22))*1)</x:definedName>
    <x:definedName name="Lugar_R025">1+SUMPRODUCT((($E$38:$E$82*$F$38:$F$82*1000000000000+(60-Vector_Mes)*1000000+$F$38:$F$82*1000+Vector_ID)&gt;(INDEX($E$38:$E$82,MATCH("R-025",$A$38:$A$82,0))*INDEX($F$38:$F$82,MATCH("R-025",$A$38:$A$82,0))*1000000000000+(60-Mes_R025)*1000000+INDEX($F$38:$F$82,MATCH("R-025",$A$38:$A$82,0))*1000+21))*1)</x:definedName>
    <x:definedName name="Lugar_R026">1+SUMPRODUCT((($E$38:$E$82*$F$38:$F$82*1000000000000+(60-Vector_Mes)*1000000+$F$38:$F$82*1000+Vector_ID)&gt;(INDEX($E$38:$E$82,MATCH("R-026",$A$38:$A$82,0))*INDEX($F$38:$F$82,MATCH("R-026",$A$38:$A$82,0))*1000000000000+(60-Mes_R026)*1000000+INDEX($F$38:$F$82,MATCH("R-026",$A$38:$A$82,0))*1000+20))*1)</x:definedName>
    <x:definedName name="Lugar_R027">1+SUMPRODUCT((($E$38:$E$82*$F$38:$F$82*1000000000000+(60-Vector_Mes)*1000000+$F$38:$F$82*1000+Vector_ID)&gt;(INDEX($E$38:$E$82,MATCH("R-027",$A$38:$A$82,0))*INDEX($F$38:$F$82,MATCH("R-027",$A$38:$A$82,0))*1000000000000+(60-Mes_R027)*1000000+INDEX($F$38:$F$82,MATCH("R-027",$A$38:$A$82,0))*1000+19))*1)</x:definedName>
    <x:definedName name="Lugar_R028">1+SUMPRODUCT((($E$38:$E$82*$F$38:$F$82*1000000000000+(60-Vector_Mes)*1000000+$F$38:$F$82*1000+Vector_ID)&gt;(INDEX($E$38:$E$82,MATCH("R-028",$A$38:$A$82,0))*INDEX($F$38:$F$82,MATCH("R-028",$A$38:$A$82,0))*1000000000000+(60-Mes_R028)*1000000+INDEX($F$38:$F$82,MATCH("R-028",$A$38:$A$82,0))*1000+18))*1)</x:definedName>
    <x:definedName name="Lugar_R029">1+SUMPRODUCT((($E$38:$E$82*$F$38:$F$82*1000000000000+(60-Vector_Mes)*1000000+$F$38:$F$82*1000+Vector_ID)&gt;(INDEX($E$38:$E$82,MATCH("R-029",$A$38:$A$82,0))*INDEX($F$38:$F$82,MATCH("R-029",$A$38:$A$82,0))*1000000000000+(60-Mes_R029)*1000000+INDEX($F$38:$F$82,MATCH("R-029",$A$38:$A$82,0))*1000+17))*1)</x:definedName>
    <x:definedName name="Lugar_R030">1+SUMPRODUCT((($E$38:$E$82*$F$38:$F$82*1000000000000+(60-Vector_Mes)*1000000+$F$38:$F$82*1000+Vector_ID)&gt;(INDEX($E$38:$E$82,MATCH("R-030",$A$38:$A$82,0))*INDEX($F$38:$F$82,MATCH("R-030",$A$38:$A$82,0))*1000000000000+(60-Mes_R030)*1000000+INDEX($F$38:$F$82,MATCH("R-030",$A$38:$A$82,0))*1000+16))*1)</x:definedName>
    <x:definedName name="Lugar_R031">1+SUMPRODUCT((($E$38:$E$82*$F$38:$F$82*1000000000000+(60-Vector_Mes)*1000000+$F$38:$F$82*1000+Vector_ID)&gt;(INDEX($E$38:$E$82,MATCH("R-031",$A$38:$A$82,0))*INDEX($F$38:$F$82,MATCH("R-031",$A$38:$A$82,0))*1000000000000+(60-Mes_R031)*1000000+INDEX($F$38:$F$82,MATCH("R-031",$A$38:$A$82,0))*1000+15))*1)</x:definedName>
    <x:definedName name="Lugar_R032">1+SUMPRODUCT((($E$38:$E$82*$F$38:$F$82*1000000000000+(60-Vector_Mes)*1000000+$F$38:$F$82*1000+Vector_ID)&gt;(INDEX($E$38:$E$82,MATCH("R-032",$A$38:$A$82,0))*INDEX($F$38:$F$82,MATCH("R-032",$A$38:$A$82,0))*1000000000000+(60-Mes_R032)*1000000+INDEX($F$38:$F$82,MATCH("R-032",$A$38:$A$82,0))*1000+14))*1)</x:definedName>
    <x:definedName name="Lugar_R033">1+SUMPRODUCT((($E$38:$E$82*$F$38:$F$82*1000000000000+(60-Vector_Mes)*1000000+$F$38:$F$82*1000+Vector_ID)&gt;(INDEX($E$38:$E$82,MATCH("R-033",$A$38:$A$82,0))*INDEX($F$38:$F$82,MATCH("R-033",$A$38:$A$82,0))*1000000000000+(60-Mes_R033)*1000000+INDEX($F$38:$F$82,MATCH("R-033",$A$38:$A$82,0))*1000+13))*1)</x:definedName>
    <x:definedName name="Lugar_R034">1+SUMPRODUCT((($E$38:$E$82*$F$38:$F$82*1000000000000+(60-Vector_Mes)*1000000+$F$38:$F$82*1000+Vector_ID)&gt;(INDEX($E$38:$E$82,MATCH("R-034",$A$38:$A$82,0))*INDEX($F$38:$F$82,MATCH("R-034",$A$38:$A$82,0))*1000000000000+(60-Mes_R034)*1000000+INDEX($F$38:$F$82,MATCH("R-034",$A$38:$A$82,0))*1000+12))*1)</x:definedName>
    <x:definedName name="Lugar_R035">1+SUMPRODUCT((($E$38:$E$82*$F$38:$F$82*1000000000000+(60-Vector_Mes)*1000000+$F$38:$F$82*1000+Vector_ID)&gt;(INDEX($E$38:$E$82,MATCH("R-035",$A$38:$A$82,0))*INDEX($F$38:$F$82,MATCH("R-035",$A$38:$A$82,0))*1000000000000+(60-Mes_R035)*1000000+INDEX($F$38:$F$82,MATCH("R-035",$A$38:$A$82,0))*1000+11))*1)</x:definedName>
    <x:definedName name="Lugar_R036">1+SUMPRODUCT((($E$38:$E$82*$F$38:$F$82*1000000000000+(60-Vector_Mes)*1000000+$F$38:$F$82*1000+Vector_ID)&gt;(INDEX($E$38:$E$82,MATCH("R-036",$A$38:$A$82,0))*INDEX($F$38:$F$82,MATCH("R-036",$A$38:$A$82,0))*1000000000000+(60-Mes_R036)*1000000+INDEX($F$38:$F$82,MATCH("R-036",$A$38:$A$82,0))*1000+10))*1)</x:definedName>
    <x:definedName name="Lugar_R037">1+SUMPRODUCT((($E$38:$E$82*$F$38:$F$82*1000000000000+(60-Vector_Mes)*1000000+$F$38:$F$82*1000+Vector_ID)&gt;(INDEX($E$38:$E$82,MATCH("R-037",$A$38:$A$82,0))*INDEX($F$38:$F$82,MATCH("R-037",$A$38:$A$82,0))*1000000000000+(60-Mes_R037)*1000000+INDEX($F$38:$F$82,MATCH("R-037",$A$38:$A$82,0))*1000+9))*1)</x:definedName>
    <x:definedName name="Lugar_R038">1+SUMPRODUCT((($E$38:$E$82*$F$38:$F$82*1000000000000+(60-Vector_Mes)*1000000+$F$38:$F$82*1000+Vector_ID)&gt;(INDEX($E$38:$E$82,MATCH("R-038",$A$38:$A$82,0))*INDEX($F$38:$F$82,MATCH("R-038",$A$38:$A$82,0))*1000000000000+(60-Mes_R038)*1000000+INDEX($F$38:$F$82,MATCH("R-038",$A$38:$A$82,0))*1000+8))*1)</x:definedName>
    <x:definedName name="Lugar_R039">1+SUMPRODUCT((($E$38:$E$82*$F$38:$F$82*1000000000000+(60-Vector_Mes)*1000000+$F$38:$F$82*1000+Vector_ID)&gt;(INDEX($E$38:$E$82,MATCH("R-039",$A$38:$A$82,0))*INDEX($F$38:$F$82,MATCH("R-039",$A$38:$A$82,0))*1000000000000+(60-Mes_R039)*1000000+INDEX($F$38:$F$82,MATCH("R-039",$A$38:$A$82,0))*1000+7))*1)</x:definedName>
    <x:definedName name="Lugar_R040">1+SUMPRODUCT((($E$38:$E$82*$F$38:$F$82*1000000000000+(60-Vector_Mes)*1000000+$F$38:$F$82*1000+Vector_ID)&gt;(INDEX($E$38:$E$82,MATCH("R-040",$A$38:$A$82,0))*INDEX($F$38:$F$82,MATCH("R-040",$A$38:$A$82,0))*1000000000000+(60-Mes_R040)*1000000+INDEX($F$38:$F$82,MATCH("R-040",$A$38:$A$82,0))*1000+6))*1)</x:definedName>
    <x:definedName name="Lugar_R041">1+SUMPRODUCT((($E$38:$E$82*$F$38:$F$82*1000000000000+(60-Vector_Mes)*1000000+$F$38:$F$82*1000+Vector_ID)&gt;(INDEX($E$38:$E$82,MATCH("R-041",$A$38:$A$82,0))*INDEX($F$38:$F$82,MATCH("R-041",$A$38:$A$82,0))*1000000000000+(60-Mes_R041)*1000000+INDEX($F$38:$F$82,MATCH("R-041",$A$38:$A$82,0))*1000+5))*1)</x:definedName>
    <x:definedName name="Lugar_R042">1+SUMPRODUCT((($E$38:$E$82*$F$38:$F$82*1000000000000+(60-Vector_Mes)*1000000+$F$38:$F$82*1000+Vector_ID)&gt;(INDEX($E$38:$E$82,MATCH("R-042",$A$38:$A$82,0))*INDEX($F$38:$F$82,MATCH("R-042",$A$38:$A$82,0))*1000000000000+(60-Mes_R042)*1000000+INDEX($F$38:$F$82,MATCH("R-042",$A$38:$A$82,0))*1000+4))*1)</x:definedName>
    <x:definedName name="Lugar_R043">1+SUMPRODUCT((($E$38:$E$82*$F$38:$F$82*1000000000000+(60-Vector_Mes)*1000000+$F$38:$F$82*1000+Vector_ID)&gt;(INDEX($E$38:$E$82,MATCH("R-043",$A$38:$A$82,0))*INDEX($F$38:$F$82,MATCH("R-043",$A$38:$A$82,0))*1000000000000+(60-Mes_R043)*1000000+INDEX($F$38:$F$82,MATCH("R-043",$A$38:$A$82,0))*1000+3))*1)</x:definedName>
    <x:definedName name="Lugar_R044">1+SUMPRODUCT((($E$38:$E$82*$F$38:$F$82*1000000000000+(60-Vector_Mes)*1000000+$F$38:$F$82*1000+Vector_ID)&gt;(INDEX($E$38:$E$82,MATCH("R-044",$A$38:$A$82,0))*INDEX($F$38:$F$82,MATCH("R-044",$A$38:$A$82,0))*1000000000000+(60-Mes_R044)*1000000+INDEX($F$38:$F$82,MATCH("R-044",$A$38:$A$82,0))*1000+2))*1)</x:definedName>
    <x:definedName name="Lugar_R045">1+SUMPRODUCT((($E$38:$E$82*$F$38:$F$82*1000000000000+(60-Vector_Mes)*1000000+$F$38:$F$82*1000+Vector_ID)&gt;(INDEX($E$38:$E$82,MATCH("R-045",$A$38:$A$82,0))*INDEX($F$38:$F$82,MATCH("R-045",$A$38:$A$82,0))*1000000000000+(60-Mes_R045)*1000000+INDEX($F$38:$F$82,MATCH("R-045",$A$38:$A$82,0))*1000+1))*1)</x:definedName>
    <x:definedName name="Tarifa_CLP_HH">"Pendiente"</x:definedName>
    <x:definedName name="Externo_Accion_R001">"Pendiente"</x:definedName>
    <x:definedName name="RP_R001">0.2</x:definedName>
    <x:definedName name="RI_R001">4</x:definedName>
    <x:definedName name="Estado_R001">"Propuesta"</x:definedName>
    <x:definedName name="Evidencia_R001">""</x:definedName>
    <x:definedName name="Fecha_R001">"Pendiente"</x:definedName>
    <x:definedName name="Revisor_R001">""</x:definedName>
    <x:definedName name="Aplicable_HH_01">SUM(IF(AND(Estado_R001="Verificada",Evidencia_R001&lt;&gt;"",ISNUMBER(Fecha_R001),Revisor_R001&lt;&gt;""),INDEX($C$449:$C$493,MATCH("R-001",$A$449:$A$493,0)),INDEX($E$192:$E$236,MATCH("R-001",$A$192:$A$236,0))),IF(AND(Estado_R002="Verificada",Evidencia_R002&lt;&gt;"",ISNUMBER(Fecha_R002),Revisor_R002&lt;&gt;""),INDEX($C$449:$C$493,MATCH("R-002",$A$449:$A$493,0)),INDEX($E$192:$E$236,MATCH("R-002",$A$192:$A$236,0))),IF(AND(Estado_R003="Verificada",Evidencia_R003&lt;&gt;"",ISNUMBER(Fecha_R003),Revisor_R003&lt;&gt;""),INDEX($C$449:$C$493,MATCH("R-003",$A$449:$A$493,0)),INDEX($E$192:$E$236,MATCH("R-003",$A$192:$A$236,0))),IF(AND(Estado_R004="Verificada",Evidencia_R004&lt;&gt;"",ISNUMBER(Fecha_R004),Revisor_R004&lt;&gt;""),INDEX($C$449:$C$493,MATCH("R-004",$A$449:$A$493,0)),INDEX($E$192:$E$236,MATCH("R-004",$A$192:$A$236,0))),IF(AND(Estado_R005="Verificada",Evidencia_R005&lt;&gt;"",ISNUMBER(Fecha_R005),Revisor_R005&lt;&gt;""),INDEX($C$449:$C$493,MATCH("R-005",$A$449:$A$493,0)),INDEX($E$192:$E$236,MATCH("R-005",$A$192:$A$236,0))),IF(AND(Estado_R006="Verificada",Evidencia_R006&lt;&gt;"",ISNUMBER(Fecha_R006),Revisor_R006&lt;&gt;""),INDEX($C$449:$C$493,MATCH("R-006",$A$449:$A$493,0)),INDEX($E$192:$E$236,MATCH("R-006",$A$192:$A$236,0))),IF(AND(Estado_R007="Verificada",Evidencia_R007&lt;&gt;"",ISNUMBER(Fecha_R007),Revisor_R007&lt;&gt;""),INDEX($C$449:$C$493,MATCH("R-007",$A$449:$A$493,0)),INDEX($E$192:$E$236,MATCH("R-007",$A$192:$A$236,0))),IF(AND(Estado_R008="Verificada",Evidencia_R008&lt;&gt;"",ISNUMBER(Fecha_R008),Revisor_R008&lt;&gt;""),INDEX($C$449:$C$493,MATCH("R-008",$A$449:$A$493,0)),INDEX($E$192:$E$236,MATCH("R-008",$A$192:$A$236,0))),IF(AND(Estado_R009="Verificada",Evidencia_R009&lt;&gt;"",ISNUMBER(Fecha_R009),Revisor_R009&lt;&gt;""),INDEX($C$449:$C$493,MATCH("R-009",$A$449:$A$493,0)),INDEX($E$192:$E$236,MATCH("R-009",$A$192:$A$236,0))),IF(AND(Estado_R010="Verificada",Evidencia_R010&lt;&gt;"",ISNUMBER(Fecha_R010),Revisor_R010&lt;&gt;""),INDEX($C$449:$C$493,MATCH("R-010",$A$449:$A$493,0)),INDEX($E$192:$E$236,MATCH("R-010",$A$192:$A$236,0))),IF(AND(Estado_R011="Verificada",Evidencia_R011&lt;&gt;"",ISNUMBER(Fecha_R011),Revisor_R011&lt;&gt;""),INDEX($C$449:$C$493,MATCH("R-011",$A$449:$A$493,0)),INDEX($E$192:$E$236,MATCH("R-011",$A$192:$A$236,0))),IF(AND(Estado_R012="Verificada",Evidencia_R012&lt;&gt;"",ISNUMBER(Fecha_R012),Revisor_R012&lt;&gt;""),INDEX($C$449:$C$493,MATCH("R-012",$A$449:$A$493,0)),INDEX($E$192:$E$236,MATCH("R-012",$A$192:$A$236,0))),IF(AND(Estado_R013="Verificada",Evidencia_R013&lt;&gt;"",ISNUMBER(Fecha_R013),Revisor_R013&lt;&gt;""),INDEX($C$449:$C$493,MATCH("R-013",$A$449:$A$493,0)),INDEX($E$192:$E$236,MATCH("R-013",$A$192:$A$236,0))),IF(AND(Estado_R014="Verificada",Evidencia_R014&lt;&gt;"",ISNUMBER(Fecha_R014),Revisor_R014&lt;&gt;""),INDEX($C$449:$C$493,MATCH("R-014",$A$449:$A$493,0)),INDEX($E$192:$E$236,MATCH("R-014",$A$192:$A$236,0))),IF(AND(Estado_R015="Verificada",Evidencia_R015&lt;&gt;"",ISNUMBER(Fecha_R015),Revisor_R015&lt;&gt;""),INDEX($C$449:$C$493,MATCH("R-015",$A$449:$A$493,0)),INDEX($E$192:$E$236,MATCH("R-015",$A$192:$A$236,0))))</x:definedName>
    <x:definedName name="Aplicable_HH_02">SUM(IF(AND(Estado_R016="Verificada",Evidencia_R016&lt;&gt;"",ISNUMBER(Fecha_R016),Revisor_R016&lt;&gt;""),INDEX($C$449:$C$493,MATCH("R-016",$A$449:$A$493,0)),INDEX($E$192:$E$236,MATCH("R-016",$A$192:$A$236,0))),IF(AND(Estado_R017="Verificada",Evidencia_R017&lt;&gt;"",ISNUMBER(Fecha_R017),Revisor_R017&lt;&gt;""),INDEX($C$449:$C$493,MATCH("R-017",$A$449:$A$493,0)),INDEX($E$192:$E$236,MATCH("R-017",$A$192:$A$236,0))),IF(AND(Estado_R018="Verificada",Evidencia_R018&lt;&gt;"",ISNUMBER(Fecha_R018),Revisor_R018&lt;&gt;""),INDEX($C$449:$C$493,MATCH("R-018",$A$449:$A$493,0)),INDEX($E$192:$E$236,MATCH("R-018",$A$192:$A$236,0))),IF(AND(Estado_R019="Verificada",Evidencia_R019&lt;&gt;"",ISNUMBER(Fecha_R019),Revisor_R019&lt;&gt;""),INDEX($C$449:$C$493,MATCH("R-019",$A$449:$A$493,0)),INDEX($E$192:$E$236,MATCH("R-019",$A$192:$A$236,0))),IF(AND(Estado_R020="Verificada",Evidencia_R020&lt;&gt;"",ISNUMBER(Fecha_R020),Revisor_R020&lt;&gt;""),INDEX($C$449:$C$493,MATCH("R-020",$A$449:$A$493,0)),INDEX($E$192:$E$236,MATCH("R-020",$A$192:$A$236,0))),IF(AND(Estado_R021="Verificada",Evidencia_R021&lt;&gt;"",ISNUMBER(Fecha_R021),Revisor_R021&lt;&gt;""),INDEX($C$449:$C$493,MATCH("R-021",$A$449:$A$493,0)),INDEX($E$192:$E$236,MATCH("R-021",$A$192:$A$236,0))),IF(AND(Estado_R022="Verificada",Evidencia_R022&lt;&gt;"",ISNUMBER(Fecha_R022),Revisor_R022&lt;&gt;""),INDEX($C$449:$C$493,MATCH("R-022",$A$449:$A$493,0)),INDEX($E$192:$E$236,MATCH("R-022",$A$192:$A$236,0))),IF(AND(Estado_R023="Verificada",Evidencia_R023&lt;&gt;"",ISNUMBER(Fecha_R023),Revisor_R023&lt;&gt;""),INDEX($C$449:$C$493,MATCH("R-023",$A$449:$A$493,0)),INDEX($E$192:$E$236,MATCH("R-023",$A$192:$A$236,0))),IF(AND(Estado_R024="Verificada",Evidencia_R024&lt;&gt;"",ISNUMBER(Fecha_R024),Revisor_R024&lt;&gt;""),INDEX($C$449:$C$493,MATCH("R-024",$A$449:$A$493,0)),INDEX($E$192:$E$236,MATCH("R-024",$A$192:$A$236,0))),IF(AND(Estado_R025="Verificada",Evidencia_R025&lt;&gt;"",ISNUMBER(Fecha_R025),Revisor_R025&lt;&gt;""),INDEX($C$449:$C$493,MATCH("R-025",$A$449:$A$493,0)),INDEX($E$192:$E$236,MATCH("R-025",$A$192:$A$236,0))),IF(AND(Estado_R026="Verificada",Evidencia_R026&lt;&gt;"",ISNUMBER(Fecha_R026),Revisor_R026&lt;&gt;""),INDEX($C$449:$C$493,MATCH("R-026",$A$449:$A$493,0)),INDEX($E$192:$E$236,MATCH("R-026",$A$192:$A$236,0))),IF(AND(Estado_R027="Verificada",Evidencia_R027&lt;&gt;"",ISNUMBER(Fecha_R027),Revisor_R027&lt;&gt;""),INDEX($C$449:$C$493,MATCH("R-027",$A$449:$A$493,0)),INDEX($E$192:$E$236,MATCH("R-027",$A$192:$A$236,0))),IF(AND(Estado_R028="Verificada",Evidencia_R028&lt;&gt;"",ISNUMBER(Fecha_R028),Revisor_R028&lt;&gt;""),INDEX($C$449:$C$493,MATCH("R-028",$A$449:$A$493,0)),INDEX($E$192:$E$236,MATCH("R-028",$A$192:$A$236,0))),IF(AND(Estado_R029="Verificada",Evidencia_R029&lt;&gt;"",ISNUMBER(Fecha_R029),Revisor_R029&lt;&gt;""),INDEX($C$449:$C$493,MATCH("R-029",$A$449:$A$493,0)),INDEX($E$192:$E$236,MATCH("R-029",$A$192:$A$236,0))),IF(AND(Estado_R030="Verificada",Evidencia_R030&lt;&gt;"",ISNUMBER(Fecha_R030),Revisor_R030&lt;&gt;""),INDEX($C$449:$C$493,MATCH("R-030",$A$449:$A$493,0)),INDEX($E$192:$E$236,MATCH("R-030",$A$192:$A$236,0))))</x:definedName>
    <x:definedName name="Aplicable_HH_03">SUM(IF(AND(Estado_R031="Verificada",Evidencia_R031&lt;&gt;"",ISNUMBER(Fecha_R031),Revisor_R031&lt;&gt;""),INDEX($C$449:$C$493,MATCH("R-031",$A$449:$A$493,0)),INDEX($E$192:$E$236,MATCH("R-031",$A$192:$A$236,0))),IF(AND(Estado_R032="Verificada",Evidencia_R032&lt;&gt;"",ISNUMBER(Fecha_R032),Revisor_R032&lt;&gt;""),INDEX($C$449:$C$493,MATCH("R-032",$A$449:$A$493,0)),INDEX($E$192:$E$236,MATCH("R-032",$A$192:$A$236,0))),IF(AND(Estado_R033="Verificada",Evidencia_R033&lt;&gt;"",ISNUMBER(Fecha_R033),Revisor_R033&lt;&gt;""),INDEX($C$449:$C$493,MATCH("R-033",$A$449:$A$493,0)),INDEX($E$192:$E$236,MATCH("R-033",$A$192:$A$236,0))),IF(AND(Estado_R034="Verificada",Evidencia_R034&lt;&gt;"",ISNUMBER(Fecha_R034),Revisor_R034&lt;&gt;""),INDEX($C$449:$C$493,MATCH("R-034",$A$449:$A$493,0)),INDEX($E$192:$E$236,MATCH("R-034",$A$192:$A$236,0))),IF(AND(Estado_R035="Verificada",Evidencia_R035&lt;&gt;"",ISNUMBER(Fecha_R035),Revisor_R035&lt;&gt;""),INDEX($C$449:$C$493,MATCH("R-035",$A$449:$A$493,0)),INDEX($E$192:$E$236,MATCH("R-035",$A$192:$A$236,0))),IF(AND(Estado_R036="Verificada",Evidencia_R036&lt;&gt;"",ISNUMBER(Fecha_R036),Revisor_R036&lt;&gt;""),INDEX($C$449:$C$493,MATCH("R-036",$A$449:$A$493,0)),INDEX($E$192:$E$236,MATCH("R-036",$A$192:$A$236,0))),IF(AND(Estado_R037="Verificada",Evidencia_R037&lt;&gt;"",ISNUMBER(Fecha_R037),Revisor_R037&lt;&gt;""),INDEX($C$449:$C$493,MATCH("R-037",$A$449:$A$493,0)),INDEX($E$192:$E$236,MATCH("R-037",$A$192:$A$236,0))),IF(AND(Estado_R038="Verificada",Evidencia_R038&lt;&gt;"",ISNUMBER(Fecha_R038),Revisor_R038&lt;&gt;""),INDEX($C$449:$C$493,MATCH("R-038",$A$449:$A$493,0)),INDEX($E$192:$E$236,MATCH("R-038",$A$192:$A$236,0))),IF(AND(Estado_R039="Verificada",Evidencia_R039&lt;&gt;"",ISNUMBER(Fecha_R039),Revisor_R039&lt;&gt;""),INDEX($C$449:$C$493,MATCH("R-039",$A$449:$A$493,0)),INDEX($E$192:$E$236,MATCH("R-039",$A$192:$A$236,0))),IF(AND(Estado_R040="Verificada",Evidencia_R040&lt;&gt;"",ISNUMBER(Fecha_R040),Revisor_R040&lt;&gt;""),INDEX($C$449:$C$493,MATCH("R-040",$A$449:$A$493,0)),INDEX($E$192:$E$236,MATCH("R-040",$A$192:$A$236,0))),IF(AND(Estado_R041="Verificada",Evidencia_R041&lt;&gt;"",ISNUMBER(Fecha_R041),Revisor_R041&lt;&gt;""),INDEX($C$449:$C$493,MATCH("R-041",$A$449:$A$493,0)),INDEX($E$192:$E$236,MATCH("R-041",$A$192:$A$236,0))),IF(AND(Estado_R042="Verificada",Evidencia_R042&lt;&gt;"",ISNUMBER(Fecha_R042),Revisor_R042&lt;&gt;""),INDEX($C$449:$C$493,MATCH("R-042",$A$449:$A$493,0)),INDEX($E$192:$E$236,MATCH("R-042",$A$192:$A$236,0))),IF(AND(Estado_R043="Verificada",Evidencia_R043&lt;&gt;"",ISNUMBER(Fecha_R043),Revisor_R043&lt;&gt;""),INDEX($C$449:$C$493,MATCH("R-043",$A$449:$A$493,0)),INDEX($E$192:$E$236,MATCH("R-043",$A$192:$A$236,0))),IF(AND(Estado_R044="Verificada",Evidencia_R044&lt;&gt;"",ISNUMBER(Fecha_R044),Revisor_R044&lt;&gt;""),INDEX($C$449:$C$493,MATCH("R-044",$A$449:$A$493,0)),INDEX($E$192:$E$236,MATCH("R-044",$A$192:$A$236,0))),IF(AND(Estado_R045="Verificada",Evidencia_R045&lt;&gt;"",ISNUMBER(Fecha_R045),Revisor_R045&lt;&gt;""),INDEX($C$449:$C$493,MATCH("R-045",$A$449:$A$493,0)),INDEX($E$192:$E$236,MATCH("R-045",$A$192:$A$236,0))))</x:definedName>
  </x:definedNames>
</x:workbook>
</file>

<file path=xl/comments1.xml><?xml version="1.0" encoding="utf-8"?>
<x:comments xmlns:x="http://schemas.openxmlformats.org/spreadsheetml/2006/main">
  <x:authors>
    <x:author/>
  </x:authors>
  <x:commentList>
    <x:comment ref="C38" authorId="0">
      <x:text>
        <x:r>
          <x:t>Fuente: Caso 02 — Logística, cap. 5 y restricción 10.4; Bases Técnicas Transversales RT-02.06–08. Objetivo afectado: retrabajo de la ACL y atraso de integración. Control existente en la propuesta: Subdocumento 4 4.1.3.5: ACL única, contratos e idempotencia. Etapa: Implementación; hito relativo mes 2; paquete T-14 1.2.3 / 3.3.2. Responsable: Bastián Trejo. Dependencia: tercero y contraparte; validar contrato antes de imputar eficacia. Secundario: prueba/acción puede consumir capacidad o afectar operación; hacerla en entorno autorizado.</x:t>
        </x:r>
      </x:text>
    </x:comment>
    <x:comment ref="F38" authorId="0">
      <x:text>
        <x:r>
          <x:t>Impacto inicial nivel 4, peso 0.4. Máximo de plazo (20 días de afectación), alcance/calidad y continuidad. El evento de mayor gravedad determina el nivel; no se promedia. Costo pendiente por falta de contrato y tarifas. La calificación es provisional. Residual objetivo: nivel 4; 10 días; condicionado a: Contrato firmado, extracción real, rechazo y reintento probados; no basta OpenAPI interno.</x:t>
        </x:r>
      </x:text>
    </x:comment>
    <x:comment ref="C39" authorId="0">
      <x:text>
        <x:r>
          <x:t>Fuente: Caso 02 — Logística, cap. 5 y 16.1. Objetivo afectado: ingesta incompleta de la flota propia. Control existente en la propuesta: Subdocumento 4 4.1.6: INT-15; termógrafos conservan registro térmico independiente. Etapa: Propuesta; hito relativo mes 2; paquete T-14 1.2.3 / 3.3.4. Responsable: Bastián Trejo. Dependencia: tercero y contraparte; validar contrato antes de imputar eficacia. Secundario: prueba/acción puede consumir capacidad o afectar operación; hacerla en entorno autorizado.</x:t>
        </x:r>
      </x:text>
    </x:comment>
    <x:comment ref="F39" authorId="0">
      <x:text>
        <x:r>
          <x:t>Impacto inicial nivel 3, peso 0.2. Máximo de plazo (10 días de afectación), alcance/calidad y continuidad. El evento de mayor gravedad determina el nivel; no se promedia. Costo pendiente por falta de contrato y tarifas. La calificación es provisional. Residual objetivo: nivel 3; 5 días; condicionado a: Autorización escrita y prueba de posición/historia con límites contratados.</x:t>
        </x:r>
      </x:text>
    </x:comment>
    <x:comment ref="C40" authorId="0">
      <x:text>
        <x:r>
          <x:t>Fuente: Caso 02 — Logística, cap. 5 y 13.3; Bases Técnicas Transversales RT-05.11–15. Objetivo afectado: reversión y extensión de la convivencia. Control existente en la propuesta: Subdocumento 5 5.3: dos ensayos independientes, conciliación y rollback. Etapa: Implantación; hito relativo mes 11; paquete T-14 3.3.3 / 3.7.5. Responsable: Leandro Chamorro. Dependencia: tercero y contraparte; validar contrato antes de imputar eficacia. Secundario: prueba/acción puede consumir capacidad o afectar operación; hacerla en entorno autorizado.</x:t>
        </x:r>
      </x:text>
    </x:comment>
    <x:comment ref="F40" authorId="0">
      <x:text>
        <x:r>
          <x:t>Impacto inicial nivel 4, peso 0.4. Máximo de plazo (20 días de afectación), alcance/calidad y continuidad. El evento de mayor gravedad determina el nivel; no se promedia. Costo pendiente por falta de contrato y tarifas. La calificación es provisional. Residual objetivo: nivel 3; 5 días; condicionado a: Conciliación aprobada por bodega y Finanzas; rollback restaura estado sin doble operación.</x:t>
        </x:r>
      </x:text>
    </x:comment>
    <x:comment ref="C41" authorId="0">
      <x:text>
        <x:r>
          <x:t>Fuente: Caso 02 — Logística, cap. 4.2, 8 entrevista Ñanco y 15; Bases Técnicas Transversales RT-05.11–15. Objetivo afectado: rechazo de migración y pérdida de trazabilidad. Control existente en la propuesta: Subdocumento 5 5.3 y 5-L: perfilado, procedencia, rechazo y conciliación. Etapa: Implementación; hito relativo mes 3; paquete T-14 3.7.1 / 3.7.2. Responsable: Leandro Chamorro. Dependencia: dueño y contraparte; asignar ventana sin desplazar hitos. Secundario: prueba/acción puede consumir capacidad o afectar operación; hacerla en entorno autorizado.</x:t>
        </x:r>
      </x:text>
    </x:comment>
    <x:comment ref="F41" authorId="0">
      <x:text>
        <x:r>
          <x:t>Impacto inicial nivel 4, peso 0.4. Máximo de plazo (20 días de afectación), alcance/calidad y continuidad. El evento de mayor gravedad determina el nivel; no se promedia. Costo pendiente por falta de contrato y tarifas. La calificación es provisional. Residual objetivo: nivel 3; 5 días; condicionado a: Perfilado reproducible; rechazos aislados; no fabricar lotes faltantes; conciliación por conjunto.</x:t>
        </x:r>
      </x:text>
    </x:comment>
    <x:comment ref="C42" authorId="0">
      <x:text>
        <x:r>
          <x:t>Fuente: Caso 02 — Logística, cap. 15 RT-03.13; Bases Técnicas Transversales RT-02.06 y RT-03.12. Objetivo afectado: inconsistencia entre sitio, nube y ERP. Control existente en la propuesta: Subdocumento 4 4.1.3.5 y 4.1.4.3: outbox, UUID y acuse durable de retención. Etapa: Implementación; hito relativo mes 8; paquete T-14 3.3.6 / 3.8.1. Responsable: Tomás Pérez. Dependencia: dueño y contraparte; asignar ventana sin desplazar hitos. Secundario: prueba/acción puede consumir capacidad o afectar operación; hacerla en entorno autorizado.</x:t>
        </x:r>
      </x:text>
    </x:comment>
    <x:comment ref="F42" authorId="0">
      <x:text>
        <x:r>
          <x:t>Impacto inicial nivel 5, peso 0.8. Máximo de plazo (5 días de afectación), alcance/calidad y continuidad. El evento de mayor gravedad determina el nivel; no se promedia. Costo pendiente por falta de contrato y tarifas. La calificación es provisional. Residual objetivo: nivel 5; 2 días; condicionado a: Prueba con UUID repetido, orden invertido y corte de 24 h; invariantes conciliados.</x:t>
        </x:r>
      </x:text>
    </x:comment>
    <x:comment ref="C43" authorId="0">
      <x:text>
        <x:r>
          <x:t>Fuente: Caso 02 — Logística, cap. 6 y 10.2; Bases Administrativas art. 16.4. Objetivo afectado: aislamiento del CD y acumulación de operaciones. Control existente en la propuesta: Subdocumento 4 4.1.3.2 y 4.2: fibra, LTE, satélite y WMS local redundante. Etapa: Implementación; hito relativo mes 6; paquete T-14 6.6 / 3.8.3. Responsable: Guillermo Castillo. Dependencia: dueño y contraparte; asignar ventana sin desplazar hitos. Secundario: prueba/acción puede consumir capacidad o afectar operación; hacerla en entorno autorizado.</x:t>
        </x:r>
      </x:text>
    </x:comment>
    <x:comment ref="F43" authorId="0">
      <x:text>
        <x:r>
          <x:t>Impacto inicial nivel 5, peso 0.8. Máximo de plazo (2 días de afectación), alcance/calidad y continuidad. El evento de mayor gravedad determina el nivel; no se promedia. Costo pendiente por falta de contrato y tarifas. La calificación es provisional. Residual objetivo: nivel 5; 1 días; condicionado a: Acta de diversidad y prueba de 24 h con recepción, preparación y despacho reales.</x:t>
        </x:r>
      </x:text>
    </x:comment>
    <x:comment ref="C44" authorId="0">
      <x:text>
        <x:r>
          <x:t>Fuente: Caso 02 — Logística, cap. 6, 10.2 y 15 RT-03.10. Objetivo afectado: transferencias demoradas y stock desactualizado. Control existente en la propuesta: Subdocumento 4 4.2: gabinetes redundantes, conectividad de respaldo y ejecución local. Etapa: Implementación; hito relativo mes 9; paquete T-14 6.6 / 3.3.6. Responsable: Guillermo Castillo. Dependencia: dueño y contraparte; asignar ventana sin desplazar hitos. Secundario: prueba/acción puede consumir capacidad o afectar operación; hacerla en entorno autorizado.</x:t>
        </x:r>
      </x:text>
    </x:comment>
    <x:comment ref="F44" authorId="0">
      <x:text>
        <x:r>
          <x:t>Impacto inicial nivel 4, peso 0.4. Máximo de plazo (10 días de afectación), alcance/calidad y continuidad. El evento de mayor gravedad determina el nivel; no se promedia. Costo pendiente por falta de contrato y tarifas. La calificación es provisional. Residual objetivo: nivel 3; 3 días; condicionado a: Acta nocturna por plataforma, cola durable y conciliación dentro de 2 h.</x:t>
        </x:r>
      </x:text>
    </x:comment>
    <x:comment ref="C45" authorId="0">
      <x:text>
        <x:r>
          <x:t>Fuente: Caso 02 — Logística, cap. 6, 10.3 y 15 RT-03.10. Objetivo afectado: pedido, entrega o cobro perdido y repetición de visitas. Control existente en la propuesta: Subdocumento 4 4.1.3.1 y 4.2.6.7: datos locales y autonomía de 14 h. Etapa: Implementación; hito relativo mes 10; paquete T-14 3.3.6 / 3.4.6 / 3.4.8. Responsable: Tomás Pérez. Dependencia: dueño y contraparte; asignar ventana sin desplazar hitos. Secundario: prueba/acción puede consumir capacidad o afectar operación; hacerla en entorno autorizado.</x:t>
        </x:r>
      </x:text>
    </x:comment>
    <x:comment ref="F45" authorId="0">
      <x:text>
        <x:r>
          <x:t>Impacto inicial nivel 4, peso 0.4. Máximo de plazo (8 días de afectación), alcance/calidad y continuidad. El evento de mayor gravedad determina el nivel; no se promedia. Costo pendiente por falta de contrato y tarifas. La calificación es provisional. Residual objetivo: nivel 4; 2 días; condicionado a: Jornada íntegra reproducible y sin duplicados, bajo condiciones de terreno.</x:t>
        </x:r>
      </x:text>
    </x:comment>
    <x:comment ref="C46" authorId="0">
      <x:text>
        <x:r>
          <x:t>Fuente: Caso 02 — Logística, cap. 10.2; Bases Técnicas Transversales RT-12.07–08 y RT-03.10. Objetivo afectado: bloqueo de una función válida o acceso indebido. Control existente en la propuesta: Subdocumento 4 4.1.3.3 y 4.1.3.7: manifiesto firmado, PIN y permisos limitados. Etapa: Implementación; hito relativo mes 8; paquete T-14 3.3.1 / 3.8.3. Responsable: Álvaro Catalán. Dependencia: dueño y contraparte; asignar ventana sin desplazar hitos. Secundario: prueba/acción puede consumir capacidad o afectar operación; hacerla en entorno autorizado.</x:t>
        </x:r>
      </x:text>
    </x:comment>
    <x:comment ref="F46" authorId="0">
      <x:text>
        <x:r>
          <x:t>Impacto inicial nivel 4, peso 0.4. Máximo de plazo (5 días de afectación), alcance/calidad y continuidad. El evento de mayor gravedad determina el nivel; no se promedia. Costo pendiente por falta de contrato y tarifas. La calificación es provisional. Residual objetivo: nivel 4; 2 días; condicionado a: Acta de corte con cambios de turno, denegación y bitácora posterior.</x:t>
        </x:r>
      </x:text>
    </x:comment>
    <x:comment ref="C47" authorId="0">
      <x:text>
        <x:r>
          <x:t>Fuente: Caso 02 — Logística, cap. 6 y 10.7; Bases Técnicas Transversales RT-08.11–15. Objetivo afectado: picking lento o registros incompletos. Control existente en la propuesta: Subdocumento 4 4.2 y T-11: equipos y accesorios por condición de uso. Etapa: Implementación; hito relativo mes 3; paquete T-14 5.1.2 / 5.1.3 / 3.4.3. Responsable: Bastián Trejo. Dependencia: dueño y contraparte; asignar ventana sin desplazar hitos. Secundario: prueba/acción puede consumir capacidad o afectar operación; hacerla en entorno autorizado.</x:t>
        </x:r>
      </x:text>
    </x:comment>
    <x:comment ref="F47" authorId="0">
      <x:text>
        <x:r>
          <x:t>Impacto inicial nivel 4, peso 0.4. Máximo de plazo (10 días de afectación), alcance/calidad y continuidad. El evento de mayor gravedad determina el nivel; no se promedia. Costo pendiente por falta de contrato y tarifas. La calificación es provisional. Residual objetivo: nivel 3; 3 días; condicionado a: Ficha exacta y prueba funcional completa antes de compra masiva.</x:t>
        </x:r>
      </x:text>
    </x:comment>
    <x:comment ref="C48" authorId="0">
      <x:text>
        <x:r>
          <x:t>Fuente: Caso 02 — Logística, cap. 8 entrevista Ñanco, 9.6 y 18; Bases Técnicas Transversales RT-16.03. Objetivo afectado: bloqueo operacional o disposición sanitaria errónea. Control existente en la propuesta: Subdocumento 5 5.1: PREVENTIVA_FICHA, regla versionada y aprobación; Subdocumento 4 bloqueo local. Etapa: Implementación; hito relativo mes 8; paquete T-14 3.4.4 / 3.4.5. Responsable: Maximiliano Miño. Dependencia: dueño y contraparte; asignar ventana sin desplazar hitos. Secundario: prueba/acción puede consumir capacidad o afectar operación; hacerla en entorno autorizado.</x:t>
        </x:r>
      </x:text>
    </x:comment>
    <x:comment ref="F48" authorId="0">
      <x:text>
        <x:r>
          <x:t>Impacto inicial nivel 5, peso 0.8. Máximo de plazo (5 días de afectación), alcance/calidad y continuidad. El evento de mayor gravedad determina el nivel; no se promedia. Costo pendiente por falta de contrato y tarifas. La calificación es provisional. Residual objetivo: nivel 4; 2 días; condicionado a: Calidad aprueba reglas; sensor patrón y ensayo de bloqueo; ninguna liberación automática.</x:t>
        </x:r>
      </x:text>
    </x:comment>
    <x:comment ref="C49" authorId="0">
      <x:text>
        <x:r>
          <x:t>Fuente: Caso 02 — Logística, cap. 8 entrevista Ñanco, 9.5 y 18 criterio 2. Objetivo afectado: identificación tardía de clientes y lote afectado. Control existente en la propuesta: Subdocumento 4 M9 y Subdocumento 5: lote, eventos y custodia; Subdocumento 9 pruebas de retiro. Etapa: Implantación; hito relativo mes 12; paquete T-14 3.4.4 / 3.8.2. Responsable: Maximiliano Miño. Dependencia: dueño y contraparte; asignar ventana sin desplazar hitos. Secundario: prueba/acción puede consumir capacidad o afectar operación; hacerla en entorno autorizado.</x:t>
        </x:r>
      </x:text>
    </x:comment>
    <x:comment ref="F49" authorId="0">
      <x:text>
        <x:r>
          <x:t>Impacto inicial nivel 5, peso 0.8. Máximo de plazo (8 días de afectación), alcance/calidad y continuidad. El evento de mayor gravedad determina el nivel; no se promedia. Costo pendiente por falta de contrato y tarifas. La calificación es provisional. Residual objetivo: nivel 4; 3 días; condicionado a: Listado reconciliado contra entregas y devoluciones en menos de 2 h; historia incompleta declarada.</x:t>
        </x:r>
      </x:text>
    </x:comment>
    <x:comment ref="C50" authorId="0">
      <x:text>
        <x:r>
          <x:t>Fuente: Caso 02 — Logística, cap. 10.1, 13.2 y 15 RT-09.01. Objetivo afectado: día de operación afectado y SLA incumplido. Control existente en la propuesta: Subdocumento 4 4.1.3, 4.2.6: perfiles separados, WMS local y colas; Subdocumento 9 carga. Etapa: Implementación; hito relativo mes 11; paquete T-14 3.8.4 / 3.9.3. Responsable: Guillermo Castillo. Dependencia: dueño y contraparte; asignar ventana sin desplazar hitos. Secundario: prueba/acción puede consumir capacidad o afectar operación; hacerla en entorno autorizado.</x:t>
        </x:r>
      </x:text>
    </x:comment>
    <x:comment ref="F50" authorId="0">
      <x:text>
        <x:r>
          <x:t>Impacto inicial nivel 5, peso 0.8. Máximo de plazo (2 días de afectación), alcance/calidad y continuidad. El evento de mayor gravedad determina el nivel; no se promedia. Costo pendiente por falta de contrato y tarifas. La calificación es provisional. Residual objetivo: nivel 5; 1 días; condicionado a: Prueba a peak de caso y margen declarado; 96 despachos completos con falla inyectada.</x:t>
        </x:r>
      </x:text>
    </x:comment>
    <x:comment ref="C51" authorId="0">
      <x:text>
        <x:r>
          <x:t>Fuente: Caso 02 — Logística, cap. 6 y 15 RT-06.01; Bases Técnicas Transversales cap. 6 y RT-08.04. Objetivo afectado: caída de los nodos locales críticos. Control existente en la propuesta: Subdocumento 4 4.3 y T-11: sala acondicionada, circuitos y redundancia. Etapa: Implementación; hito relativo mes 4; paquete T-14 6.1 / 6.3. Responsable: Guillermo Castillo. Dependencia: dueño y contraparte; asignar ventana sin desplazar hitos. Secundario: prueba/acción puede consumir capacidad o afectar operación; hacerla en entorno autorizado.</x:t>
        </x:r>
      </x:text>
    </x:comment>
    <x:comment ref="F51" authorId="0">
      <x:text>
        <x:r>
          <x:t>Impacto inicial nivel 5, peso 0.8. Máximo de plazo (5 días de afectación), alcance/calidad y continuidad. El evento de mayor gravedad determina el nivel; no se promedia. Costo pendiente por falta de contrato y tarifas. La calificación es provisional. Residual objetivo: nivel 5; 2 días; condicionado a: Ensayo de energía y carga térmica, PDU/circuitos comprobados y acta de recepción.</x:t>
        </x:r>
      </x:text>
    </x:comment>
    <x:comment ref="C52" authorId="0">
      <x:text>
        <x:r>
          <x:t>Fuente: Bases Técnicas Transversales RT-07.04–09; Caso 02 — Logística, cap. 10.1–2. Objetivo afectado: interrupción prolongada y conciliación extraordinaria. Control existente en la propuesta: Subdocumento 4 4.3.2 y 4-M: réplica, protección externa y AL-DR-01. Etapa: Implementación; hito relativo mes 11; paquete T-14 3.8.5 / 3.9.4. Responsable: Guillermo Castillo. Dependencia: dueño y contraparte; asignar ventana sin desplazar hitos. Secundario: prueba/acción puede consumir capacidad o afectar operación; hacerla en entorno autorizado.</x:t>
        </x:r>
      </x:text>
    </x:comment>
    <x:comment ref="F52" authorId="0">
      <x:text>
        <x:r>
          <x:t>Impacto inicial nivel 5, peso 0.8. Máximo de plazo (8 días de afectación), alcance/calidad y continuidad. El evento de mayor gravedad determina el nivel; no se promedia. Costo pendiente por falta de contrato y tarifas. La calificación es provisional. Residual objetivo: nivel 5; 3 días; condicionado a: Informe medido de conmutación y retorno; incluir pérdida simultánea de WAN y nodo.</x:t>
        </x:r>
      </x:text>
    </x:comment>
    <x:comment ref="C53" authorId="0">
      <x:text>
        <x:r>
          <x:t>Fuente: Bases Técnicas Transversales caps. 11–12; Caso 02 — Logística, cap. 15 RT-16.09. Objetivo afectado: indisponibilidad, fuga y recuperación forense. Control existente en la propuesta: Subdocumento 4 4.1.3.7: MFA, cifrado, segregación, SOC y auditoría inmutable. Etapa: Implementación; hito relativo mes 11; paquete T-14 2.2 / 3.8.6. Responsable: Álvaro Catalán. Dependencia: dueño y contraparte; asignar ventana sin desplazar hitos. Secundario: prueba/acción puede consumir capacidad o afectar operación; hacerla en entorno autorizado.</x:t>
        </x:r>
      </x:text>
    </x:comment>
    <x:comment ref="F53" authorId="0">
      <x:text>
        <x:r>
          <x:t>Impacto inicial nivel 5, peso 0.8. Máximo de plazo (5 días de afectación), alcance/calidad y continuidad. El evento de mayor gravedad determina el nivel; no se promedia. Costo pendiente por falta de contrato y tarifas. La calificación es provisional. Residual objetivo: nivel 5; 2 días; condicionado a: Pentest sin hallazgos bloqueantes y ejercicio de contención/recuperación.</x:t>
        </x:r>
      </x:text>
    </x:comment>
    <x:comment ref="C54" authorId="0">
      <x:text>
        <x:r>
          <x:t>Fuente: Caso 02 — Logística, cap. 10.10 y 12; Bases Técnicas Transversales RT-11 y RT-16.09. Objetivo afectado: adopción suspendida y rediseño de finalidades. Control existente en la propuesta: Subdocumento 3 alcance y Subdocumento 4 seguridad: uso operacional y acceso limitado; no cámaras en cabina. Etapa: Propuesta; hito relativo mes 3; paquete T-14 5.4.2 / 2.2. Responsable: Patricio Henríquez. Dependencia: dueño y contraparte; asignar ventana sin desplazar hitos. Secundario: prueba/acción puede consumir capacidad o afectar operación; hacerla en entorno autorizado.</x:t>
        </x:r>
      </x:text>
    </x:comment>
    <x:comment ref="F54" authorId="0">
      <x:text>
        <x:r>
          <x:t>Impacto inicial nivel 4, peso 0.4. Máximo de plazo (20 días de afectación), alcance/calidad y continuidad. El evento de mayor gravedad determina el nivel; no se promedia. Costo pendiente por falta de contrato y tarifas. La calificación es provisional. Residual objetivo: nivel 3; 5 días; condicionado a: Acta de participación, revisión de privacidad y prueba de permisos/retención.</x:t>
        </x:r>
      </x:text>
    </x:comment>
    <x:comment ref="C55" authorId="0">
      <x:text>
        <x:r>
          <x:t>Fuente: Caso 02 — Logística, cap. 10.6, 13.3.6 y 15 RT-22.04. Objetivo afectado: entregas sin evidencia y trabajo paralelo en papel. Control existente en la propuesta: Subdocumento 4 perfiles externos y T-18: incorporación por transportista. Etapa: Implantación; hito relativo mes 11; paquete T-14 5.4.1 / 4.1. Responsable: Patricio Henríquez. Dependencia: dueño y contraparte; asignar ventana sin desplazar hitos. Secundario: prueba/acción puede consumir capacidad o afectar operación; hacerla en entorno autorizado.</x:t>
        </x:r>
      </x:text>
    </x:comment>
    <x:comment ref="F55" authorId="0">
      <x:text>
        <x:r>
          <x:t>Impacto inicial nivel 4, peso 0.4. Máximo de plazo (20 días de afectación), alcance/calidad y continuidad. El evento de mayor gravedad determina el nivel; no se promedia. Costo pendiente por falta de contrato y tarifas. La calificación es provisional. Residual objetivo: nivel 3; 5 días; condicionado a: Diez acuerdos y prueba de enrolamiento/soporte que no detenga reparto.</x:t>
        </x:r>
      </x:text>
    </x:comment>
    <x:comment ref="C56" authorId="0">
      <x:text>
        <x:r>
          <x:t>Fuente: Caso 02 — Logística, cap. 8 entrevista Bravo, 10.11 y 15 RT-22.04. Objetivo afectado: baja productividad y errores de picking. Control existente en la propuesta: Subdocumento 3 3.A.4a y Subdocumento 9: usabilidad por perfil; T-18 entrenamiento por turno. Etapa: Implantación; hito relativo mes 12; paquete T-14 4.1 / 4.2.1. Responsable: Patricio Henríquez. Dependencia: dueño y contraparte; asignar ventana sin desplazar hitos. Secundario: prueba/acción puede consumir capacidad o afectar operación; hacerla en entorno autorizado.</x:t>
        </x:r>
      </x:text>
    </x:comment>
    <x:comment ref="F56" authorId="0">
      <x:text>
        <x:r>
          <x:t>Impacto inicial nivel 3, peso 0.2. Máximo de plazo (10 días de afectación), alcance/calidad y continuidad. El evento de mayor gravedad determina el nivel; no se promedia. Costo pendiente por falta de contrato y tarifas. La calificación es provisional. Residual objetivo: nivel 3; 5 días; condicionado a: Medir tiempo, pasos y errores según 3.A.4a con novatos en turno nocturno.</x:t>
        </x:r>
      </x:text>
    </x:comment>
    <x:comment ref="C57" authorId="0">
      <x:text>
        <x:r>
          <x:t>Fuente: Caso 02 — Logística, cap. 13.3.4–5 y 15 RT-22.04. Objetivo afectado: usuarios no certificados al paso a producción. Control existente en la propuesta: T-18: olas, acompañamiento en ruta y estabilización. Etapa: Implantación; hito relativo mes 12; paquete T-14 4.1 / 4.2 / 4.3. Responsable: Patricio Henríquez. Dependencia: dueño y contraparte; asignar ventana sin desplazar hitos. Secundario: prueba/acción puede consumir capacidad o afectar operación; hacerla en entorno autorizado.</x:t>
        </x:r>
      </x:text>
    </x:comment>
    <x:comment ref="F57" authorId="0">
      <x:text>
        <x:r>
          <x:t>Impacto inicial nivel 3, peso 0.2. Máximo de plazo (10 días de afectación), alcance/calidad y continuidad. El evento de mayor gravedad determina el nivel; no se promedia. Costo pendiente por falta de contrato y tarifas. La calificación es provisional. Residual objetivo: nivel 3; 5 días; condicionado a: Agenda aprobada, asistencia y prueba práctica individual por perfil.</x:t>
        </x:r>
      </x:text>
    </x:comment>
    <x:comment ref="C58" authorId="0">
      <x:text>
        <x:r>
          <x:t>Fuente: Caso 02 — Logística, cap. 8 entrevista Maldonado, 9.3 y 16.1.16. Objetivo afectado: rutas inseguras o promesas incumplidas. Control existente en la propuesta: Subdocumento 4 M4 permite corrección; T-15 prevé captura de reglas. Etapa: Implementación; hito relativo mes 3; paquete T-14 1.2.2 / 3.4.7. Responsable: Patricio Henríquez. Dependencia: dueño y contraparte; asignar ventana sin desplazar hitos. Secundario: prueba/acción puede consumir capacidad o afectar operación; hacerla en entorno autorizado.</x:t>
        </x:r>
      </x:text>
    </x:comment>
    <x:comment ref="F58" authorId="0">
      <x:text>
        <x:r>
          <x:t>Impacto inicial nivel 4, peso 0.4. Máximo de plazo (20 días de afectación), alcance/calidad y continuidad. El evento de mayor gravedad determina el nivel; no se promedia. Costo pendiente por falta de contrato y tarifas. La calificación es provisional. Residual objetivo: nivel 3; 5 días; condicionado a: Repositorio aprobado y suplente planifica rutas sin ayuda, sin violar peso/puentes/ventanas.</x:t>
        </x:r>
      </x:text>
    </x:comment>
    <x:comment ref="C59" authorId="0">
      <x:text>
        <x:r>
          <x:t>Fuente: Caso 02 — Logística, cap. 10.9; Bases Técnicas Transversales RT-19.04; Bases Administrativas art. 18. Objetivo afectado: cadenas de aprobación retrasadas. Control existente en la propuesta: Subdocumento 6 6.1: comités, escalamiento y registro de decisiones. Etapa: Propuesta; hito relativo mes 1; paquete T-14 1.1 / 1.2 / 2.4. Responsable: Alex Aravena. Dependencia: dueño y contraparte; asignar ventana sin desplazar hitos. Secundario: prueba/acción puede consumir capacidad o afectar operación; hacerla en entorno autorizado.</x:t>
        </x:r>
      </x:text>
    </x:comment>
    <x:comment ref="F59" authorId="0">
      <x:text>
        <x:r>
          <x:t>Impacto inicial nivel 4, peso 0.4. Máximo de plazo (20 días de afectación), alcance/calidad y continuidad. El evento de mayor gravedad determina el nivel; no se promedia. Costo pendiente por falta de contrato y tarifas. La calificación es provisional. Residual objetivo: nivel 3; 5 días; condicionado a: Agenda y acuerdos escritos; ninguna aprobación tácita de aceptación contractual.</x:t>
        </x:r>
      </x:text>
    </x:comment>
    <x:comment ref="C60" authorId="0">
      <x:text>
        <x:r>
          <x:t>Fuente: Caso 02 — Logística, cap. 10.8 y 13.3.2; Bases Administrativas art. 17. Objetivo afectado: reprogramación y multa por atraso. Control existente en la propuesta: T-15 4–5 y T-18: calendario permitido y reversión. Etapa: Implementación; hito relativo mes 4; paquete T-14 3.7.5 / 4.2 / 4.3. Responsable: Alex Aravena. Dependencia: dueño y contraparte; asignar ventana sin desplazar hitos. Secundario: prueba/acción puede consumir capacidad o afectar operación; hacerla en entorno autorizado.</x:t>
        </x:r>
      </x:text>
    </x:comment>
    <x:comment ref="F60" authorId="0">
      <x:text>
        <x:r>
          <x:t>Impacto inicial nivel 4, peso 0.4. Máximo de plazo (20 días de afectación), alcance/calidad y continuidad. El evento de mayor gravedad determina el nivel; no se promedia. Costo pendiente por falta de contrato y tarifas. La calificación es provisional. Residual objetivo: nivel 3; 5 días; condicionado a: Calendario validado por contraparte y plan alternativo; emergencia requiere definición contractual.</x:t>
        </x:r>
      </x:text>
    </x:comment>
    <x:comment ref="C61" authorId="0">
      <x:text>
        <x:r>
          <x:t>Fuente: Bases Técnicas Transversales RT-08.10–15; Caso 02 — Logística, cap. 13.3; Bases Administrativas art. 17. Objetivo afectado: piloto sin equipos completos o marcha blanca insuficiente. Control existente en la propuesta: T-15 4.2/5: responsabilidades separadas y recepción 5.1.3. Etapa: Implementación; hito relativo mes 3; paquete T-14 5.1.2 / 5.1.3. Responsable: Bastián Trejo. Dependencia: dueño y contraparte; asignar ventana sin desplazar hitos. Secundario: prueba/acción puede consumir capacidad o afectar operación; hacerla en entorno autorizado.</x:t>
        </x:r>
      </x:text>
    </x:comment>
    <x:comment ref="F61" authorId="0">
      <x:text>
        <x:r>
          <x:t>Impacto inicial nivel 4, peso 0.4. Máximo de plazo (20 días de afectación), alcance/calidad y continuidad. El evento de mayor gravedad determina el nivel; no se promedia. Costo pendiente por falta de contrato y tarifas. La calificación es provisional. Residual objetivo: nivel 3; 5 días; condicionado a: Orden y acta de muestra; préstamo o alternativa homologada no reduce población de prueba.</x:t>
        </x:r>
      </x:text>
    </x:comment>
    <x:comment ref="C62" authorId="0">
      <x:text>
        <x:r>
          <x:t>Fuente: Bases Administrativas art. 17.2; Bases Técnicas Transversales RT-19.02; Caso 02 — Logística, cap. 13.3. Objetivo afectado: atraso de E2 o deterioro de E1. Control existente en la propuesta: Subdocumento 1 1.5 y T-15 4.3: equipos y nivelación por rol. Etapa: Implementación; hito relativo mes 4; paquete T-14 1.1 / 3.4 / 3.5 / 4.2. Responsable: Alex Aravena. Dependencia: dueño y contraparte; asignar ventana sin desplazar hitos. Secundario: prueba/acción puede consumir capacidad o afectar operación; hacerla en entorno autorizado.</x:t>
        </x:r>
      </x:text>
    </x:comment>
    <x:comment ref="F62" authorId="0">
      <x:text>
        <x:r>
          <x:t>Impacto inicial nivel 4, peso 0.4. Máximo de plazo (20 días de afectación), alcance/calidad y continuidad. El evento de mayor gravedad determina el nivel; no se promedia. Costo pendiente por falta de contrato y tarifas. La calificación es provisional. Residual objetivo: nivel 3; 5 días; condicionado a: Cartas y calendario nominal; no sumar las HH de mitigación a capacidad inexistente.</x:t>
        </x:r>
      </x:text>
    </x:comment>
    <x:comment ref="C63" authorId="0">
      <x:text>
        <x:r>
          <x:t>Fuente: Bases Administrativas art. 17.3 y 18; Caso 02 — Logística, cap. 13.3. Objetivo afectado: extensión a cargo de LafroX sin mover fases. Control existente en la propuesta: Subdocumento 9 9.2 y T-17/T-18: puertas, criterios y evidencias. Etapa: Implantación; hito relativo mes 11; paquete T-14 3.8.2 / 3.9.2 / 4.2 / 4.3. Responsable: Maximiliano Miño. Dependencia: dueño y contraparte; asignar ventana sin desplazar hitos. Secundario: prueba/acción puede consumir capacidad o afectar operación; hacerla en entorno autorizado.</x:t>
        </x:r>
      </x:text>
    </x:comment>
    <x:comment ref="F63" authorId="0">
      <x:text>
        <x:r>
          <x:t>Impacto inicial nivel 4, peso 0.4. Máximo de plazo (20 días de afectación), alcance/calidad y continuidad. El evento de mayor gravedad determina el nivel; no se promedia. Costo pendiente por falta de contrato y tarifas. La calificación es provisional. Residual objetivo: nivel 3; 5 días; condicionado a: Checklist de seis condiciones con evidencia; ninguna firma ni prueba se presume.</x:t>
        </x:r>
      </x:text>
    </x:comment>
    <x:comment ref="C64" authorId="0">
      <x:text>
        <x:r>
          <x:t>Fuente: Caso caps. 11 y 16; Bases Técnicas Transversales RT-19.03; Bases Administrativas art. 72. Objetivo afectado: sobrecosto y retraso. Control existente en la propuesta: Subdocumento 3 decisiones y exclusiones; Subdocumento 6 6.1.5 control de cambios. Etapa: Propuesta; hito relativo mes 1; paquete T-14 1.2.4 / 1.2.5. Responsable: Alex Aravena. Dependencia: dueño y contraparte; asignar ventana sin desplazar hitos. Secundario: prueba/acción puede consumir capacidad o afectar operación; hacerla en entorno autorizado.</x:t>
        </x:r>
      </x:text>
    </x:comment>
    <x:comment ref="F64" authorId="0">
      <x:text>
        <x:r>
          <x:t>Impacto inicial nivel 3, peso 0.2. Máximo de plazo (10 días de afectación), alcance/calidad y continuidad. El evento de mayor gravedad determina el nivel; no se promedia. Costo pendiente por falta de contrato y tarifas. La calificación es provisional. Residual objetivo: nivel 3; 5 días; condicionado a: Registro de cambios, estimación y aprobación; exclusiones no eliminan integración obligatoria.</x:t>
        </x:r>
      </x:text>
    </x:comment>
    <x:comment ref="C65" authorId="0">
      <x:text>
        <x:r>
          <x:t>Fuente: Caso 02 — Logística, cap. 4.7, 9.7, 10.5 y 18 criterio 10. Objetivo afectado: reproceso financiero y exposición del conductor. Control existente en la propuesta: Subdocumento 4 M7 y Subdocumento 5 5.1.8: rendición, segregación y conciliación. Etapa: Implantación; hito relativo mes 12; paquete T-14 3.4.10 / 3.8.2. Responsable: Leandro Chamorro. Dependencia: dueño y contraparte; asignar ventana sin desplazar hitos. Secundario: prueba/acción puede consumir capacidad o afectar operación; hacerla en entorno autorizado.</x:t>
        </x:r>
      </x:text>
    </x:comment>
    <x:comment ref="F65" authorId="0">
      <x:text>
        <x:r>
          <x:t>Impacto inicial nivel 4, peso 0.4. Máximo de plazo (10 días de afectación), alcance/calidad y continuidad. El evento de mayor gravedad determina el nivel; no se promedia. Costo pendiente por falta de contrato y tarifas. La calificación es provisional. Residual objetivo: nivel 3; 3 días; condicionado a: Cuadre por camión y turno el mismo día; importe externo no se incorpora como costo del proyecto.</x:t>
        </x:r>
      </x:text>
    </x:comment>
    <x:comment ref="C66" authorId="0">
      <x:text>
        <x:r>
          <x:t>Fuente: Caso 02 — Logística, cap. 10.4/12 y 15 RT-16.14; Bases Técnicas Transversales RT-16.17–18. Objetivo afectado: rechazo de evidencia y disputa de entrega. Control existente en la propuesta: Subdocumento 4 4.1.17 y Subdocumento 5: vínculo ERP, hash, certificado y firma por acto. Etapa: Implementación; hito relativo mes 8; paquete T-14 3.3.2 / 3.4.8. Responsable: Bastián Trejo. Dependencia: dueño y contraparte; asignar ventana sin desplazar hitos. Secundario: prueba/acción puede consumir capacidad o afectar operación; hacerla en entorno autorizado.</x:t>
        </x:r>
      </x:text>
    </x:comment>
    <x:comment ref="F66" authorId="0">
      <x:text>
        <x:r>
          <x:t>Impacto inicial nivel 4, peso 0.4. Máximo de plazo (20 días de afectación), alcance/calidad y continuidad. El evento de mayor gravedad determina el nivel; no se promedia. Costo pendiente por falta de contrato y tarifas. La calificación es provisional. Residual objetivo: nivel 4; 10 días; condicionado a: Dictamen sobre el flujo y AL-DTE-01 aprobado; no equiparar firma simple y avanzada.</x:t>
        </x:r>
      </x:text>
    </x:comment>
    <x:comment ref="C67" authorId="0">
      <x:text>
        <x:r>
          <x:t>Fuente: Caso 02 — Logística, cap. 13.2 y 15 RT-05.23. Objetivo afectado: integración no habilitada y pérdida de capacidad comercial. Control existente en la propuesta: Subdocumento 4 M11/INT-08 y T-14 3.6.5–6: contratos y pruebas por cadena. Etapa: Implementación; hito relativo mes 4; paquete T-14 3.6.5 / 3.6.6. Responsable: Bastián Trejo. Dependencia: tercero y contraparte; validar contrato antes de imputar eficacia. Secundario: prueba/acción puede consumir capacidad o afectar operación; hacerla en entorno autorizado.</x:t>
        </x:r>
      </x:text>
    </x:comment>
    <x:comment ref="F67" authorId="0">
      <x:text>
        <x:r>
          <x:t>Impacto inicial nivel 4, peso 0.4. Máximo de plazo (25 días de afectación), alcance/calidad y continuidad. El evento de mayor gravedad determina el nivel; no se promedia. Costo pendiente por falta de contrato y tarifas. La calificación es provisional. Residual objetivo: nivel 4; 20 días; condicionado a: Confirmación escrita de cadena y certificación completa antes del H12; dependencia externa mantiene zona alta.</x:t>
        </x:r>
      </x:text>
    </x:comment>
    <x:comment ref="C68" authorId="0">
      <x:text>
        <x:r>
          <x:t>Fuente: Caso 02 — Logística, cap. 15 RT-16.21; Bases Técnicas Transversales RT-16.23. Objetivo afectado: cliente ausente y entrega fallida. Control existente en la propuesta: Subdocumento 4 INT-11 y Subdocumento 5 5.1.9: entrega/apertura diferenciadas y NO_SOPORTADA. Etapa: Implementación; hito relativo mes 8; paquete T-14 3.6.4 / 3.4.7. Responsable: Tomás Pérez. Dependencia: tercero y contraparte; validar contrato antes de imputar eficacia. Secundario: prueba/acción puede consumir capacidad o afectar operación; hacerla en entorno autorizado.</x:t>
        </x:r>
      </x:text>
    </x:comment>
    <x:comment ref="F68" authorId="0">
      <x:text>
        <x:r>
          <x:t>Impacto inicial nivel 3, peso 0.2. Máximo de plazo (10 días de afectación), alcance/calidad y continuidad. El evento de mayor gravedad determina el nivel; no se promedia. Costo pendiente por falta de contrato y tarifas. La calificación es provisional. Residual objetivo: nivel 3; 5 días; condicionado a: Prueba de recepción antes de salida; SMS sin lectura informable no cuenta como abierto.</x:t>
        </x:r>
      </x:text>
    </x:comment>
    <x:comment ref="C69" authorId="0">
      <x:text>
        <x:r>
          <x:t>Fuente: Bases Administrativas art. 16.3; Bases Técnicas Transversales RT-03.07; Bases Administrativas Subdocumento 8. Objetivo afectado: migración costosa y dependencia prolongada. Control existente en la propuesta: Subdocumento 4 anexos 4-O/4-P y plan de reversibilidad: componentes y alternativas. Etapa: Implementación; hito relativo mes 3; paquete T-14 1.7.2 / 8.1.4. Responsable: Bastián Trejo. Dependencia: dueño y contraparte; asignar ventana sin desplazar hitos. Secundario: prueba/acción puede consumir capacidad o afectar operación; hacerla en entorno autorizado.</x:t>
        </x:r>
      </x:text>
    </x:comment>
    <x:comment ref="F69" authorId="0">
      <x:text>
        <x:r>
          <x:t>Impacto inicial nivel 4, peso 0.4. Máximo de plazo (20 días de afectación), alcance/calidad y continuidad. El evento de mayor gravedad determina el nivel; no se promedia. Costo pendiente por falta de contrato y tarifas. La calificación es provisional. Residual objetivo: nivel 3; 5 días; condicionado a: Ensayo reproducible, licencias y formatos declarados; costo de salida separado de EOL.</x:t>
        </x:r>
      </x:text>
    </x:comment>
    <x:comment ref="C70" authorId="0">
      <x:text>
        <x:r>
          <x:t>Fuente: Bases Técnicas Transversales cap. 1 y RT-08.13; Bases Administrativas Subdocumento 8. Objetivo afectado: actualización no prevista o vulnerabilidad persistente. Control existente en la propuesta: Subdocumento 4 4-P y T-11: ciclo de vida y soporte de componentes. Etapa: Operación; hito relativo mes 6; paquete T-14 5.1 / 8.2. Responsable: Bastián Trejo. Dependencia: dueño y contraparte; asignar ventana sin desplazar hitos. Secundario: prueba/acción puede consumir capacidad o afectar operación; hacerla en entorno autorizado.</x:t>
        </x:r>
      </x:text>
    </x:comment>
    <x:comment ref="F70" authorId="0">
      <x:text>
        <x:r>
          <x:t>Impacto inicial nivel 3, peso 0.2. Máximo de plazo (10 días de afectación), alcance/calidad y continuidad. El evento de mayor gravedad determina el nivel; no se promedia. Costo pendiente por falta de contrato y tarifas. La calificación es provisional. Residual objetivo: nivel 3; 5 días; condicionado a: Ficha/versiones y calendario anual; presupuesto de reposición pendiente de tarifas.</x:t>
        </x:r>
      </x:text>
    </x:comment>
    <x:comment ref="C71" authorId="0">
      <x:text>
        <x:r>
          <x:t>Fuente: Caso 02 — Logística, cap. 15 RT-21.06/16; Bases Técnicas Transversales RT-21.01–08. Objetivo afectado: interrupción más larga y abandono. Control existente en la propuesta: Subdocumento 4 4-W y T-15: turnos, capacidad de mesa y tercer agente desde mes 25. Etapa: Operación; hito relativo mes 21; paquete T-14 8.1.2 / 8.5. Responsable: Guillermo Castillo. Dependencia: dueño y contraparte; asignar ventana sin desplazar hitos. Secundario: prueba/acción puede consumir capacidad o afectar operación; hacerla en entorno autorizado.</x:t>
        </x:r>
      </x:text>
    </x:comment>
    <x:comment ref="F71" authorId="0">
      <x:text>
        <x:r>
          <x:t>Impacto inicial nivel 4, peso 0.4. Máximo de plazo (10 días de afectación), alcance/calidad y continuidad. El evento de mayor gravedad determina el nivel; no se promedia. Costo pendiente por falta de contrato y tarifas. La calificación es provisional. Residual objetivo: nivel 3; 3 días; condicionado a: Prueba de cola con 80 % antes de 20 s, abandono ≤5 % y guardia acreditada.</x:t>
        </x:r>
      </x:text>
    </x:comment>
    <x:comment ref="C72" authorId="0">
      <x:text>
        <x:r>
          <x:t>Fuente: Bases Administrativas art. 9/16.3/50.2; Bases Técnicas Transversales RT-16.24 y RT-08.13. Objetivo afectado: recorte de servicio o necesidad de financiamiento. Control existente en la propuesta: Subdocumento 4 FinOps y Subdocumento 6 adquisiciones: presupuesto y consumo etiquetado. Etapa: Propuesta; hito relativo mes 1; paquete T-14 1.1 / 8.1 / 8.2. Responsable: Alex Aravena. Dependencia: dueño y contraparte; asignar ventana sin desplazar hitos. Secundario: prueba/acción puede consumir capacidad o afectar operación; hacerla en entorno autorizado.</x:t>
        </x:r>
      </x:text>
    </x:comment>
    <x:comment ref="F72" authorId="0">
      <x:text>
        <x:r>
          <x:t>Impacto inicial nivel 4, peso 0.4. Máximo de plazo (20 días de afectación), alcance/calidad y continuidad. El evento de mayor gravedad determina el nivel; no se promedia. Costo pendiente por falta de contrato y tarifas. La calificación es provisional. Residual objetivo: nivel 4; 10 días; condicionado a: Oferta económica y flujo de caja revisados; sin tarifas, severidad monetaria sigue pendiente.</x:t>
        </x:r>
      </x:text>
    </x:comment>
    <x:comment ref="C73" authorId="0">
      <x:text>
        <x:r>
          <x:t>Fuente: Bases Técnicas Transversales RT-26.04; Caso 02 — Logística, cap. 4.8 y 10.5. Objetivo afectado: visitas improductivas y beneficio no demostrable. Control existente en la propuesta: Subdocumento 13 13.1: visita del preventista y acciones autorizadas. Etapa: Implantación; hito relativo mes 14; paquete T-14 3.4 / Subdocumento 13 13.1. Responsable: Patricio Henríquez. Dependencia: dueño y contraparte; asignar ventana sin desplazar hitos. Secundario: prueba/acción puede consumir capacidad o afectar operación; hacerla en entorno autorizado.</x:t>
        </x:r>
      </x:text>
    </x:comment>
    <x:comment ref="F73" authorId="0">
      <x:text>
        <x:r>
          <x:t>Impacto inicial nivel 3, peso 0.2. Máximo de plazo (10 días de afectación), alcance/calidad y continuidad. El evento de mayor gravedad determina el nivel; no se promedia. Costo pendiente por falta de contrato y tarifas. La calificación es provisional. Residual objetivo: nivel 3; 5 días; condicionado a: Muestra de avisos confirmados, intervención autorizada e indicador INN-01 medido.</x:t>
        </x:r>
      </x:text>
    </x:comment>
    <x:comment ref="C74" authorId="0">
      <x:text>
        <x:r>
          <x:t>Fuente: Bases Técnicas Transversales RT-26.04; Caso 02 — Logística, cap. 6 y 18 criterio 6. Objetivo afectado: corrección ineficaz y reapertura de tickets. Control existente en la propuesta: Subdocumento 13 13.2: escenario reproducible y validación antes de cierre. Etapa: Implementación; hito relativo mes 10; paquete T-14 3.3.6 / Subdocumento 13 13.2. Responsable: Tomás Pérez. Dependencia: dueño y contraparte; asignar ventana sin desplazar hitos. Secundario: prueba/acción puede consumir capacidad o afectar operación; hacerla en entorno autorizado.</x:t>
        </x:r>
      </x:text>
    </x:comment>
    <x:comment ref="F74" authorId="0">
      <x:text>
        <x:r>
          <x:t>Impacto inicial nivel 3, peso 0.2. Máximo de plazo (10 días de afectación), alcance/calidad y continuidad. El evento de mayor gravedad determina el nivel; no se promedia. Costo pendiente por falta de contrato y tarifas. La calificación es provisional. Residual objetivo: nivel 3; 5 días; condicionado a: Escenario reproduce fallo, corrección lo elimina y datos sensibles están protegidos.</x:t>
        </x:r>
      </x:text>
    </x:comment>
    <x:comment ref="C75" authorId="0">
      <x:text>
        <x:r>
          <x:t>Fuente: Bases Técnicas Transversales RT-26.04; Caso 02 — Logística, cap. 9.6 y 18. Objetivo afectado: decisión de disposición errónea. Control existente en la propuesta: Subdocumento 13 13.3: modelo por familia y aprobación de Calidad; bloqueo base independiente. Etapa: Implementación; hito relativo mes 12; paquete T-14 3.4.4 / Subdocumento 13 13.3. Responsable: Maximiliano Miño. Dependencia: dueño y contraparte; asignar ventana sin desplazar hitos. Secundario: prueba/acción puede consumir capacidad o afectar operación; hacerla en entorno autorizado.</x:t>
        </x:r>
      </x:text>
    </x:comment>
    <x:comment ref="F75" authorId="0">
      <x:text>
        <x:r>
          <x:t>Impacto inicial nivel 4, peso 0.4. Máximo de plazo (20 días de afectación), alcance/calidad y continuidad. El evento de mayor gravedad determina el nivel; no se promedia. Costo pendiente por falta de contrato y tarifas. La calificación es provisional. Residual objetivo: nivel 3; 5 días; condicionado a: Validación de Calidad/proveedor; innovación nunca libera ni amplía vencimiento automáticamente.</x:t>
        </x:r>
      </x:text>
    </x:comment>
    <x:comment ref="C76" authorId="0">
      <x:text>
        <x:r>
          <x:t>Fuente: Bases Técnicas Transversales RT-26.04; Caso 02 — Logística, cap. 9.8. Objetivo afectado: disputa del tramo variable o sacrificio del OTIF. Control existente en la propuesta: Subdocumento 13 13.4: canasta, techo y piso OTIF; tarifa mayormente fija. Etapa: Propuesta; hito relativo mes 4; paquete T-14 5.4.3 / Subdocumento 13 13.4. Responsable: Alex Aravena. Dependencia: dueño y contraparte; asignar ventana sin desplazar hitos. Secundario: prueba/acción puede consumir capacidad o afectar operación; hacerla en entorno autorizado.</x:t>
        </x:r>
      </x:text>
    </x:comment>
    <x:comment ref="F76" authorId="0">
      <x:text>
        <x:r>
          <x:t>Impacto inicial nivel 3, peso 0.2. Máximo de plazo (10 días de afectación), alcance/calidad y continuidad. El evento de mayor gravedad determina el nivel; no se promedia. Costo pendiente por falta de contrato y tarifas. La calificación es provisional. Residual objetivo: nivel 3; 5 días; condicionado a: Contrato y cálculo auditables por Finanzas; tarifas y techo monetario pendientes.</x:t>
        </x:r>
      </x:text>
    </x:comment>
    <x:comment ref="C77" authorId="0">
      <x:text>
        <x:r>
          <x:t>Fuente: Bases Técnicas Transversales RT-26.04; Caso 02 — Logística, cap. 10.5 y 12. Objetivo afectado: rechazo del servicio y divulgación comercial. Control existente en la propuesta: Subdocumento 13 13.5: visita, impresión opcional y supresión de celdas. Etapa: Implantación; hito relativo mes 18; paquete T-14 4.1 / Subdocumento 13 13.5. Responsable: Patricio Henríquez. Dependencia: dueño y contraparte; asignar ventana sin desplazar hitos. Secundario: prueba/acción puede consumir capacidad o afectar operación; hacerla en entorno autorizado.</x:t>
        </x:r>
      </x:text>
    </x:comment>
    <x:comment ref="F77" authorId="0">
      <x:text>
        <x:r>
          <x:t>Impacto inicial nivel 3, peso 0.2. Máximo de plazo (10 días de afectación), alcance/calidad y continuidad. El evento de mayor gravedad determina el nivel; no se promedia. Costo pendiente por falta de contrato y tarifas. La calificación es provisional. Residual objetivo: nivel 3; 5 días; condicionado a: Prueba de comprensión; revisión de privacidad y separación de copias pedidas/entregadas.</x:t>
        </x:r>
      </x:text>
    </x:comment>
    <x:comment ref="C78" authorId="0">
      <x:text>
        <x:r>
          <x:t>Fuente: Bases Técnicas Transversales RT-21.04 y RT-03.07; Bases Administrativas art. 16.3. Objetivo afectado: dependencia al cierre y operación no sostenible. Control existente en la propuesta: T-14 9.2 y Subdocumento 4 reversibilidad: acompañamiento de salida meses 54–56. Etapa: Operación; hito relativo mes 53; paquete T-14 9.2.1 / 1.7.2. Responsable: Guillermo Castillo. Dependencia: dueño y contraparte; asignar ventana sin desplazar hitos. Secundario: prueba/acción puede consumir capacidad o afectar operación; hacerla en entorno autorizado.</x:t>
        </x:r>
      </x:text>
    </x:comment>
    <x:comment ref="F78" authorId="0">
      <x:text>
        <x:r>
          <x:t>Impacto inicial nivel 4, peso 0.4. Máximo de plazo (20 días de afectación), alcance/calidad y continuidad. El evento de mayor gravedad determina el nivel; no se promedia. Costo pendiente por falta de contrato y tarifas. La calificación es provisional. Residual objetivo: nivel 3; 5 días; condicionado a: Operador receptor ejecuta procedimiento con cuentas propias y exportación reconciliada.</x:t>
        </x:r>
      </x:text>
    </x:comment>
    <x:comment ref="C79" authorId="0">
      <x:text>
        <x:r>
          <x:t>Fuente: Caso 02 — Logística, cap. 12 y 15 RT-05.10; Bases Técnicas Transversales caps. 11–12 y RT-16.25. Objetivo afectado: retrabajo, conservación indebida o incumplimiento. Control existente en la propuesta: Subdocumento 5 5.2: retención por dominio, bloqueo legal y purga verificable. Etapa: Operación; hito relativo mes 21; paquete T-14 2.2 / 8.2. Responsable: Álvaro Catalán. Dependencia: dueño y contraparte; asignar ventana sin desplazar hitos. Secundario: prueba/acción puede consumir capacidad o afectar operación; hacerla en entorno autorizado.</x:t>
        </x:r>
      </x:text>
    </x:comment>
    <x:comment ref="F79" authorId="0">
      <x:text>
        <x:r>
          <x:t>Impacto inicial nivel 4, peso 0.4. Máximo de plazo (20 días de afectación), alcance/calidad y continuidad. El evento de mayor gravedad determina el nivel; no se promedia. Costo pendiente por falta de contrato y tarifas. La calificación es provisional. Residual objetivo: nivel 3; 5 días; condicionado a: Matriz legal actualizada y ensayo de supresión sin reconstrucción; no se certifica legalidad con esta planilla.</x:t>
        </x:r>
      </x:text>
    </x:comment>
    <x:comment ref="C80" authorId="0">
      <x:text>
        <x:r>
          <x:t>Fuente: Caso 02 — Logística, cap. 4.7 y 15 RT-17.06; Bases Técnicas Transversales RT-02.06. Objetivo afectado: conciliación, devolución y reclamo del cliente. Control existente en la propuesta: Subdocumento 5 5.1.8: pago incierto, consulta externa y autorización segregada. Etapa: Implementación; hito relativo mes 8; paquete T-14 3.6.2 / 3.4.10. Responsable: Leandro Chamorro. Dependencia: tercero y contraparte; validar contrato antes de imputar eficacia. Secundario: prueba/acción puede consumir capacidad o afectar operación; hacerla en entorno autorizado.</x:t>
        </x:r>
      </x:text>
    </x:comment>
    <x:comment ref="F80" authorId="0">
      <x:text>
        <x:r>
          <x:t>Impacto inicial nivel 4, peso 0.4. Máximo de plazo (10 días de afectación), alcance/calidad y continuidad. El evento de mayor gravedad determina el nivel; no se promedia. Costo pendiente por falta de contrato y tarifas. La calificación es provisional. Residual objetivo: nivel 3; 3 días; condicionado a: Contrato POS y prueba de un solo cargo económico con correlación y devolución.</x:t>
        </x:r>
      </x:text>
    </x:comment>
    <x:comment ref="C81" authorId="0">
      <x:text>
        <x:r>
          <x:t>Fuente: Caso 02 — Logística, cap. 4.8, 9.7 y 18. Objetivo afectado: saldo, cuenta de envases y trazabilidad incorrectos. Control existente en la propuesta: Subdocumento 4 M8 y Subdocumento 5 5.1: retornos, mermas y segregación de movimientos. Etapa: Implementación; hito relativo mes 8; paquete T-14 3.4.9 / 3.8.1. Responsable: Leandro Chamorro. Dependencia: dueño y contraparte; asignar ventana sin desplazar hitos. Secundario: prueba/acción puede consumir capacidad o afectar operación; hacerla en entorno autorizado.</x:t>
        </x:r>
      </x:text>
    </x:comment>
    <x:comment ref="F81" authorId="0">
      <x:text>
        <x:r>
          <x:t>Impacto inicial nivel 3, peso 0.2. Máximo de plazo (10 días de afectación), alcance/calidad y continuidad. El evento de mayor gravedad determina el nivel; no se promedia. Costo pendiente por falta de contrato y tarifas. La calificación es provisional. Residual objetivo: nivel 3; 3 días; condicionado a: Conciliación por cliente/tipo y lote; MERMA/DESTRUCCION no duplica costo.</x:t>
        </x:r>
      </x:text>
    </x:comment>
    <x:comment ref="C82" authorId="0">
      <x:text>
        <x:r>
          <x:t>Fuente: Caso 02 — Logística, cap. 8 entrevista Maldonado y 16.1; Bases Técnicas Transversales RT-05.23. Objetivo afectado: entrega fallida y reproceso de planificación. Control existente en la propuesta: Subdocumento 4 M4/INT-10: mapas, caché y corrección del planificador. Etapa: Implementación; hito relativo mes 8; paquete T-14 3.6.3 / 3.4.7. Responsable: Bastián Trejo. Dependencia: tercero y contraparte; validar contrato antes de imputar eficacia. Secundario: prueba/acción puede consumir capacidad o afectar operación; hacerla en entorno autorizado.</x:t>
        </x:r>
      </x:text>
    </x:comment>
    <x:comment ref="F82" authorId="0">
      <x:text>
        <x:r>
          <x:t>Impacto inicial nivel 4, peso 0.4. Máximo de plazo (15 días de afectación), alcance/calidad y continuidad. El evento de mayor gravedad determina el nivel; no se promedia. Costo pendiente por falta de contrato y tarifas. La calificación es provisional. Residual objetivo: nivel 3; 5 días; condicionado a: Catálogo de restricciones aprobado y planificación con corrección auditada, incluso sin señal.</x:t>
        </x:r>
      </x:text>
    </x:comment>
    <x:comment ref="F142" authorId="0">
      <x:text>
        <x:r>
          <x:t>Descomposición estimada de R-001, editable en esta fórmula. HH_Dia=6,4 según T-15 §5; HH_Turno=8, supuesto de planificación. No equivale a retraso del proyecto. Reducción de esfuerzo RF_R001=10/20, estimada y no verificada. Externo_Inicial_R001 y Externo_Residual_R001 pendientes. Revisar correlación y no imputar la misma tarea a dos eventos simultáneos.</x:t>
        </x:r>
      </x:text>
    </x:comment>
    <x:comment ref="F143" authorId="0">
      <x:text>
        <x:r>
          <x:t>Descomposición estimada de R-002, editable en esta fórmula. HH_Dia=6,4 según T-15 §5; HH_Turno=8, supuesto de planificación. No equivale a retraso del proyecto. Reducción de esfuerzo RF_R002=5/10, estimada y no verificada. Externo_Inicial_R002 y Externo_Residual_R002 pendientes. Revisar correlación y no imputar la misma tarea a dos eventos simultáneos.</x:t>
        </x:r>
      </x:text>
    </x:comment>
    <x:comment ref="F144" authorId="0">
      <x:text>
        <x:r>
          <x:t>Descomposición estimada de R-003, editable en esta fórmula. HH_Dia=6,4 según T-15 §5; HH_Turno=8, supuesto de planificación. No equivale a retraso del proyecto. Reducción de esfuerzo RF_R003=5/20, estimada y no verificada. Externo_Inicial_R003 y Externo_Residual_R003 pendientes. Revisar correlación y no imputar la misma tarea a dos eventos simultáneos.</x:t>
        </x:r>
      </x:text>
    </x:comment>
    <x:comment ref="F145" authorId="0">
      <x:text>
        <x:r>
          <x:t>Descomposición estimada de R-004, editable en esta fórmula. HH_Dia=6,4 según T-15 §5; HH_Turno=8, supuesto de planificación. No equivale a retraso del proyecto. Reducción de esfuerzo RF_R004=5/20, estimada y no verificada. Externo_Inicial_R004 y Externo_Residual_R004 pendientes. Revisar correlación y no imputar la misma tarea a dos eventos simultáneos.</x:t>
        </x:r>
      </x:text>
    </x:comment>
    <x:comment ref="F146" authorId="0">
      <x:text>
        <x:r>
          <x:t>Descomposición estimada de R-005, editable en esta fórmula. HH_Dia=6,4 según T-15 §5; HH_Turno=8, supuesto de planificación. No equivale a retraso del proyecto. Reducción de esfuerzo RF_R005=2/5, estimada y no verificada. Externo_Inicial_R005 y Externo_Residual_R005 pendientes. Revisar correlación y no imputar la misma tarea a dos eventos simultáneos.</x:t>
        </x:r>
      </x:text>
    </x:comment>
    <x:comment ref="F147" authorId="0">
      <x:text>
        <x:r>
          <x:t>Descomposición estimada de R-006, editable en esta fórmula. HH_Dia=6,4 según T-15 §5; HH_Turno=8, supuesto de planificación. No equivale a retraso del proyecto. Reducción de esfuerzo RF_R006=1/2, estimada y no verificada. Externo_Inicial_R006 y Externo_Residual_R006 pendientes. Revisar correlación y no imputar la misma tarea a dos eventos simultáneos.</x:t>
        </x:r>
      </x:text>
    </x:comment>
    <x:comment ref="F148" authorId="0">
      <x:text>
        <x:r>
          <x:t>Descomposición estimada de R-007, editable en esta fórmula. HH_Dia=6,4 según T-15 §5; HH_Turno=8, supuesto de planificación. No equivale a retraso del proyecto. Reducción de esfuerzo RF_R007=3/10, estimada y no verificada. Externo_Inicial_R007 y Externo_Residual_R007 pendientes. Revisar correlación y no imputar la misma tarea a dos eventos simultáneos.</x:t>
        </x:r>
      </x:text>
    </x:comment>
    <x:comment ref="F149" authorId="0">
      <x:text>
        <x:r>
          <x:t>Descomposición estimada de R-008, editable en esta fórmula. HH_Dia=6,4 según T-15 §5; HH_Turno=8, supuesto de planificación. No equivale a retraso del proyecto. Reducción de esfuerzo RF_R008=2/8, estimada y no verificada. Externo_Inicial_R008 y Externo_Residual_R008 pendientes. Revisar correlación y no imputar la misma tarea a dos eventos simultáneos.</x:t>
        </x:r>
      </x:text>
    </x:comment>
    <x:comment ref="F150" authorId="0">
      <x:text>
        <x:r>
          <x:t>Descomposición estimada de R-009, editable en esta fórmula. HH_Dia=6,4 según T-15 §5; HH_Turno=8, supuesto de planificación. No equivale a retraso del proyecto. Reducción de esfuerzo RF_R009=2/5, estimada y no verificada. Externo_Inicial_R009 y Externo_Residual_R009 pendientes. Revisar correlación y no imputar la misma tarea a dos eventos simultáneos.</x:t>
        </x:r>
      </x:text>
    </x:comment>
    <x:comment ref="F151" authorId="0">
      <x:text>
        <x:r>
          <x:t>Descomposición estimada de R-010, editable en esta fórmula. HH_Dia=6,4 según T-15 §5; HH_Turno=8, supuesto de planificación. No equivale a retraso del proyecto. Reducción de esfuerzo RF_R010=3/10, estimada y no verificada. Externo_Inicial_R010 y Externo_Residual_R010 pendientes. Revisar correlación y no imputar la misma tarea a dos eventos simultáneos.</x:t>
        </x:r>
      </x:text>
    </x:comment>
    <x:comment ref="F152" authorId="0">
      <x:text>
        <x:r>
          <x:t>Descomposición estimada de R-011, editable en esta fórmula. HH_Dia=6,4 según T-15 §5; HH_Turno=8, supuesto de planificación. No equivale a retraso del proyecto. Reducción de esfuerzo RF_R011=2/5, estimada y no verificada. Externo_Inicial_R011 y Externo_Residual_R011 pendientes. Revisar correlación y no imputar la misma tarea a dos eventos simultáneos.</x:t>
        </x:r>
      </x:text>
    </x:comment>
    <x:comment ref="F153" authorId="0">
      <x:text>
        <x:r>
          <x:t>Descomposición estimada de R-012, editable en esta fórmula. HH_Dia=6,4 según T-15 §5; HH_Turno=8, supuesto de planificación. No equivale a retraso del proyecto. Reducción de esfuerzo RF_R012=3/8, estimada y no verificada. Externo_Inicial_R012 y Externo_Residual_R012 pendientes. Revisar correlación y no imputar la misma tarea a dos eventos simultáneos.</x:t>
        </x:r>
      </x:text>
    </x:comment>
    <x:comment ref="F154" authorId="0">
      <x:text>
        <x:r>
          <x:t>Descomposición estimada de R-013, editable en esta fórmula. HH_Dia=6,4 según T-15 §5; HH_Turno=8, supuesto de planificación. No equivale a retraso del proyecto. Reducción de esfuerzo RF_R013=1/2, estimada y no verificada. Externo_Inicial_R013 y Externo_Residual_R013 pendientes. Revisar correlación y no imputar la misma tarea a dos eventos simultáneos.</x:t>
        </x:r>
      </x:text>
    </x:comment>
    <x:comment ref="F155" authorId="0">
      <x:text>
        <x:r>
          <x:t>Descomposición estimada de R-014, editable en esta fórmula. HH_Dia=6,4 según T-15 §5; HH_Turno=8, supuesto de planificación. No equivale a retraso del proyecto. Reducción de esfuerzo RF_R014=2/5, estimada y no verificada. Externo_Inicial_R014 y Externo_Residual_R014 pendientes. Revisar correlación y no imputar la misma tarea a dos eventos simultáneos.</x:t>
        </x:r>
      </x:text>
    </x:comment>
    <x:comment ref="F156" authorId="0">
      <x:text>
        <x:r>
          <x:t>Descomposición estimada de R-015, editable en esta fórmula. HH_Dia=6,4 según T-15 §5; HH_Turno=8, supuesto de planificación. No equivale a retraso del proyecto. Reducción de esfuerzo RF_R015=3/8, estimada y no verificada. Externo_Inicial_R015 y Externo_Residual_R015 pendientes. Revisar correlación y no imputar la misma tarea a dos eventos simultáneos.</x:t>
        </x:r>
      </x:text>
    </x:comment>
    <x:comment ref="F157" authorId="0">
      <x:text>
        <x:r>
          <x:t>Descomposición estimada de R-016, editable en esta fórmula. HH_Dia=6,4 según T-15 §5; HH_Turno=8, supuesto de planificación. No equivale a retraso del proyecto. Reducción de esfuerzo RF_R016=2/5, estimada y no verificada. Externo_Inicial_R016 y Externo_Residual_R016 pendientes. Revisar correlación y no imputar la misma tarea a dos eventos simultáneos.</x:t>
        </x:r>
      </x:text>
    </x:comment>
    <x:comment ref="F158" authorId="0">
      <x:text>
        <x:r>
          <x:t>Descomposición estimada de R-017, editable en esta fórmula. HH_Dia=6,4 según T-15 §5; HH_Turno=8, supuesto de planificación. No equivale a retraso del proyecto. Reducción de esfuerzo RF_R017=5/20, estimada y no verificada. Externo_Inicial_R017 y Externo_Residual_R017 pendientes. Revisar correlación y no imputar la misma tarea a dos eventos simultáneos.</x:t>
        </x:r>
      </x:text>
    </x:comment>
    <x:comment ref="F159" authorId="0">
      <x:text>
        <x:r>
          <x:t>Descomposición estimada de R-018, editable en esta fórmula. HH_Dia=6,4 según T-15 §5; HH_Turno=8, supuesto de planificación. No equivale a retraso del proyecto. Reducción de esfuerzo RF_R018=5/20, estimada y no verificada. Externo_Inicial_R018 y Externo_Residual_R018 pendientes. Revisar correlación y no imputar la misma tarea a dos eventos simultáneos.</x:t>
        </x:r>
      </x:text>
    </x:comment>
    <x:comment ref="F160" authorId="0">
      <x:text>
        <x:r>
          <x:t>Descomposición estimada de R-019, editable en esta fórmula. HH_Dia=6,4 según T-15 §5; HH_Turno=8, supuesto de planificación. No equivale a retraso del proyecto. Reducción de esfuerzo RF_R019=5/10, estimada y no verificada. Externo_Inicial_R019 y Externo_Residual_R019 pendientes. Revisar correlación y no imputar la misma tarea a dos eventos simultáneos.</x:t>
        </x:r>
      </x:text>
    </x:comment>
    <x:comment ref="F161" authorId="0">
      <x:text>
        <x:r>
          <x:t>Descomposición estimada de R-020, editable en esta fórmula. HH_Dia=6,4 según T-15 §5; HH_Turno=8, supuesto de planificación. No equivale a retraso del proyecto. Reducción de esfuerzo RF_R020=5/10, estimada y no verificada. Externo_Inicial_R020 y Externo_Residual_R020 pendientes. Revisar correlación y no imputar la misma tarea a dos eventos simultáneos.</x:t>
        </x:r>
      </x:text>
    </x:comment>
    <x:comment ref="F162" authorId="0">
      <x:text>
        <x:r>
          <x:t>Descomposición estimada de R-021, editable en esta fórmula. HH_Dia=6,4 según T-15 §5; HH_Turno=8, supuesto de planificación. No equivale a retraso del proyecto. Reducción de esfuerzo RF_R021=5/20, estimada y no verificada. Externo_Inicial_R021 y Externo_Residual_R021 pendientes. Revisar correlación y no imputar la misma tarea a dos eventos simultáneos.</x:t>
        </x:r>
      </x:text>
    </x:comment>
    <x:comment ref="F163" authorId="0">
      <x:text>
        <x:r>
          <x:t>Descomposición estimada de R-022, editable en esta fórmula. HH_Dia=6,4 según T-15 §5; HH_Turno=8, supuesto de planificación. No equivale a retraso del proyecto. Reducción de esfuerzo RF_R022=5/20, estimada y no verificada. Externo_Inicial_R022 y Externo_Residual_R022 pendientes. Revisar correlación y no imputar la misma tarea a dos eventos simultáneos.</x:t>
        </x:r>
      </x:text>
    </x:comment>
    <x:comment ref="F164" authorId="0">
      <x:text>
        <x:r>
          <x:t>Descomposición estimada de R-023, editable en esta fórmula. HH_Dia=6,4 según T-15 §5; HH_Turno=8, supuesto de planificación. No equivale a retraso del proyecto. Reducción de esfuerzo RF_R023=5/20, estimada y no verificada. Externo_Inicial_R023 y Externo_Residual_R023 pendientes. Revisar correlación y no imputar la misma tarea a dos eventos simultáneos.</x:t>
        </x:r>
      </x:text>
    </x:comment>
    <x:comment ref="F165" authorId="0">
      <x:text>
        <x:r>
          <x:t>Descomposición estimada de R-024, editable en esta fórmula. HH_Dia=6,4 según T-15 §5; HH_Turno=8, supuesto de planificación. No equivale a retraso del proyecto. Reducción de esfuerzo RF_R024=5/20, estimada y no verificada. Externo_Inicial_R024 y Externo_Residual_R024 pendientes. Revisar correlación y no imputar la misma tarea a dos eventos simultáneos.</x:t>
        </x:r>
      </x:text>
    </x:comment>
    <x:comment ref="F166" authorId="0">
      <x:text>
        <x:r>
          <x:t>Descomposición estimada de R-025, editable en esta fórmula. HH_Dia=6,4 según T-15 §5; HH_Turno=8, supuesto de planificación. No equivale a retraso del proyecto. Reducción de esfuerzo RF_R025=5/20, estimada y no verificada. Externo_Inicial_R025 y Externo_Residual_R025 pendientes. Revisar correlación y no imputar la misma tarea a dos eventos simultáneos.</x:t>
        </x:r>
      </x:text>
    </x:comment>
    <x:comment ref="F167" authorId="0">
      <x:text>
        <x:r>
          <x:t>Descomposición estimada de R-026, editable en esta fórmula. HH_Dia=6,4 según T-15 §5; HH_Turno=8, supuesto de planificación. No equivale a retraso del proyecto. Reducción de esfuerzo RF_R026=5/20, estimada y no verificada. Externo_Inicial_R026 y Externo_Residual_R026 pendientes. Revisar correlación y no imputar la misma tarea a dos eventos simultáneos.</x:t>
        </x:r>
      </x:text>
    </x:comment>
    <x:comment ref="F168" authorId="0">
      <x:text>
        <x:r>
          <x:t>Descomposición estimada de R-027, editable en esta fórmula. HH_Dia=6,4 según T-15 §5; HH_Turno=8, supuesto de planificación. No equivale a retraso del proyecto. Reducción de esfuerzo RF_R027=5/10, estimada y no verificada. Externo_Inicial_R027 y Externo_Residual_R027 pendientes. Revisar correlación y no imputar la misma tarea a dos eventos simultáneos.</x:t>
        </x:r>
      </x:text>
    </x:comment>
    <x:comment ref="F169" authorId="0">
      <x:text>
        <x:r>
          <x:t>Descomposición estimada de R-028, editable en esta fórmula. HH_Dia=6,4 según T-15 §5; HH_Turno=8, supuesto de planificación. No equivale a retraso del proyecto. Reducción de esfuerzo RF_R028=3/10, estimada y no verificada. Externo_Inicial_R028 y Externo_Residual_R028 pendientes. Revisar correlación y no imputar la misma tarea a dos eventos simultáneos.</x:t>
        </x:r>
      </x:text>
    </x:comment>
    <x:comment ref="F170" authorId="0">
      <x:text>
        <x:r>
          <x:t>Descomposición estimada de R-029, editable en esta fórmula. HH_Dia=6,4 según T-15 §5; HH_Turno=8, supuesto de planificación. No equivale a retraso del proyecto. Reducción de esfuerzo RF_R029=10/20, estimada y no verificada. Externo_Inicial_R029 y Externo_Residual_R029 pendientes. Revisar correlación y no imputar la misma tarea a dos eventos simultáneos.</x:t>
        </x:r>
      </x:text>
    </x:comment>
    <x:comment ref="F171" authorId="0">
      <x:text>
        <x:r>
          <x:t>Descomposición estimada de R-030, editable en esta fórmula. HH_Dia=6,4 según T-15 §5; HH_Turno=8, supuesto de planificación. No equivale a retraso del proyecto. Reducción de esfuerzo RF_R030=20/25, estimada y no verificada. Externo_Inicial_R030 y Externo_Residual_R030 pendientes. Revisar correlación y no imputar la misma tarea a dos eventos simultáneos.</x:t>
        </x:r>
      </x:text>
    </x:comment>
    <x:comment ref="F172" authorId="0">
      <x:text>
        <x:r>
          <x:t>Descomposición estimada de R-031, editable en esta fórmula. HH_Dia=6,4 según T-15 §5; HH_Turno=8, supuesto de planificación. No equivale a retraso del proyecto. Reducción de esfuerzo RF_R031=5/10, estimada y no verificada. Externo_Inicial_R031 y Externo_Residual_R031 pendientes. Revisar correlación y no imputar la misma tarea a dos eventos simultáneos.</x:t>
        </x:r>
      </x:text>
    </x:comment>
    <x:comment ref="F173" authorId="0">
      <x:text>
        <x:r>
          <x:t>Descomposición estimada de R-032, editable en esta fórmula. HH_Dia=6,4 según T-15 §5; HH_Turno=8, supuesto de planificación. No equivale a retraso del proyecto. Reducción de esfuerzo RF_R032=5/20, estimada y no verificada. Externo_Inicial_R032 y Externo_Residual_R032 pendientes. Revisar correlación y no imputar la misma tarea a dos eventos simultáneos.</x:t>
        </x:r>
      </x:text>
    </x:comment>
    <x:comment ref="F174" authorId="0">
      <x:text>
        <x:r>
          <x:t>Descomposición estimada de R-033, editable en esta fórmula. HH_Dia=6,4 según T-15 §5; HH_Turno=8, supuesto de planificación. No equivale a retraso del proyecto. Reducción de esfuerzo RF_R033=5/10, estimada y no verificada. Externo_Inicial_R033 y Externo_Residual_R033 pendientes. Revisar correlación y no imputar la misma tarea a dos eventos simultáneos.</x:t>
        </x:r>
      </x:text>
    </x:comment>
    <x:comment ref="F175" authorId="0">
      <x:text>
        <x:r>
          <x:t>Descomposición estimada de R-034, editable en esta fórmula. HH_Dia=6,4 según T-15 §5; HH_Turno=8, supuesto de planificación. No equivale a retraso del proyecto. Reducción de esfuerzo RF_R034=3/10, estimada y no verificada. Externo_Inicial_R034 y Externo_Residual_R034 pendientes. Revisar correlación y no imputar la misma tarea a dos eventos simultáneos.</x:t>
        </x:r>
      </x:text>
    </x:comment>
    <x:comment ref="F176" authorId="0">
      <x:text>
        <x:r>
          <x:t>Descomposición estimada de R-035, editable en esta fórmula. HH_Dia=6,4 según T-15 §5; HH_Turno=8, supuesto de planificación. No equivale a retraso del proyecto. Reducción de esfuerzo RF_R035=10/20, estimada y no verificada. Externo_Inicial_R035 y Externo_Residual_R035 pendientes. Revisar correlación y no imputar la misma tarea a dos eventos simultáneos.</x:t>
        </x:r>
      </x:text>
    </x:comment>
    <x:comment ref="F177" authorId="0">
      <x:text>
        <x:r>
          <x:t>Descomposición estimada de R-036, editable en esta fórmula. HH_Dia=6,4 según T-15 §5; HH_Turno=8, supuesto de planificación. No equivale a retraso del proyecto. Reducción de esfuerzo RF_R036=5/10, estimada y no verificada. Externo_Inicial_R036 y Externo_Residual_R036 pendientes. Revisar correlación y no imputar la misma tarea a dos eventos simultáneos.</x:t>
        </x:r>
      </x:text>
    </x:comment>
    <x:comment ref="F178" authorId="0">
      <x:text>
        <x:r>
          <x:t>Descomposición estimada de R-037, editable en esta fórmula. HH_Dia=6,4 según T-15 §5; HH_Turno=8, supuesto de planificación. No equivale a retraso del proyecto. Reducción de esfuerzo RF_R037=5/10, estimada y no verificada. Externo_Inicial_R037 y Externo_Residual_R037 pendientes. Revisar correlación y no imputar la misma tarea a dos eventos simultáneos.</x:t>
        </x:r>
      </x:text>
    </x:comment>
    <x:comment ref="F179" authorId="0">
      <x:text>
        <x:r>
          <x:t>Descomposición estimada de R-038, editable en esta fórmula. HH_Dia=6,4 según T-15 §5; HH_Turno=8, supuesto de planificación. No equivale a retraso del proyecto. Reducción de esfuerzo RF_R038=5/20, estimada y no verificada. Externo_Inicial_R038 y Externo_Residual_R038 pendientes. Revisar correlación y no imputar la misma tarea a dos eventos simultáneos.</x:t>
        </x:r>
      </x:text>
    </x:comment>
    <x:comment ref="F180" authorId="0">
      <x:text>
        <x:r>
          <x:t>Descomposición estimada de R-039, editable en esta fórmula. HH_Dia=6,4 según T-15 §5; HH_Turno=8, supuesto de planificación. No equivale a retraso del proyecto. Reducción de esfuerzo RF_R039=5/10, estimada y no verificada. Externo_Inicial_R039 y Externo_Residual_R039 pendientes. Revisar correlación y no imputar la misma tarea a dos eventos simultáneos.</x:t>
        </x:r>
      </x:text>
    </x:comment>
    <x:comment ref="F181" authorId="0">
      <x:text>
        <x:r>
          <x:t>Descomposición estimada de R-040, editable en esta fórmula. HH_Dia=6,4 según T-15 §5; HH_Turno=8, supuesto de planificación. No equivale a retraso del proyecto. Reducción de esfuerzo RF_R040=5/10, estimada y no verificada. Externo_Inicial_R040 y Externo_Residual_R040 pendientes. Revisar correlación y no imputar la misma tarea a dos eventos simultáneos.</x:t>
        </x:r>
      </x:text>
    </x:comment>
    <x:comment ref="F182" authorId="0">
      <x:text>
        <x:r>
          <x:t>Descomposición estimada de R-041, editable en esta fórmula. HH_Dia=6,4 según T-15 §5; HH_Turno=8, supuesto de planificación. No equivale a retraso del proyecto. Reducción de esfuerzo RF_R041=5/20, estimada y no verificada. Externo_Inicial_R041 y Externo_Residual_R041 pendientes. Revisar correlación y no imputar la misma tarea a dos eventos simultáneos.</x:t>
        </x:r>
      </x:text>
    </x:comment>
    <x:comment ref="F183" authorId="0">
      <x:text>
        <x:r>
          <x:t>Descomposición estimada de R-042, editable en esta fórmula. HH_Dia=6,4 según T-15 §5; HH_Turno=8, supuesto de planificación. No equivale a retraso del proyecto. Reducción de esfuerzo RF_R042=5/20, estimada y no verificada. Externo_Inicial_R042 y Externo_Residual_R042 pendientes. Revisar correlación y no imputar la misma tarea a dos eventos simultáneos.</x:t>
        </x:r>
      </x:text>
    </x:comment>
    <x:comment ref="F184" authorId="0">
      <x:text>
        <x:r>
          <x:t>Descomposición estimada de R-043, editable en esta fórmula. HH_Dia=6,4 según T-15 §5; HH_Turno=8, supuesto de planificación. No equivale a retraso del proyecto. Reducción de esfuerzo RF_R043=3/10, estimada y no verificada. Externo_Inicial_R043 y Externo_Residual_R043 pendientes. Revisar correlación y no imputar la misma tarea a dos eventos simultáneos.</x:t>
        </x:r>
      </x:text>
    </x:comment>
    <x:comment ref="F185" authorId="0">
      <x:text>
        <x:r>
          <x:t>Descomposición estimada de R-044, editable en esta fórmula. HH_Dia=6,4 según T-15 §5; HH_Turno=8, supuesto de planificación. No equivale a retraso del proyecto. Reducción de esfuerzo RF_R044=3/10, estimada y no verificada. Externo_Inicial_R044 y Externo_Residual_R044 pendientes. Revisar correlación y no imputar la misma tarea a dos eventos simultáneos.</x:t>
        </x:r>
      </x:text>
    </x:comment>
    <x:comment ref="F186" authorId="0">
      <x:text>
        <x:r>
          <x:t>Descomposición estimada de R-045, editable en esta fórmula. HH_Dia=6,4 según T-15 §5; HH_Turno=8, supuesto de planificación. No equivale a retraso del proyecto. Reducción de esfuerzo RF_R045=5/15, estimada y no verificada. Externo_Inicial_R045 y Externo_Residual_R045 pendientes. Revisar correlación y no imputar la misma tarea a dos eventos simultáneos.</x:t>
        </x:r>
      </x:text>
    </x:comment>
    <x:comment ref="F245" authorId="0">
      <x:text>
        <x:r>
          <x:t>No se traslada la regla del 5 % del ejercicio. Los nombres económicos comienzan en Pendiente; modificar solo con presupuesto y fundamento aprobados.</x:t>
        </x:r>
      </x:text>
    </x:comment>
    <x:comment ref="C362" authorId="0">
      <x:text>
        <x:r>
          <x:t>R-002: Acordar licencia de datos, cuotas y prueba de extracción; exigir procedimiento de cambio
R-017: Acordar finalidades, retención y acceso con sindicato y dirección; demostrar uso sin control de jornada
R-022: Pactar titulares y suplentes, agenda y SLA de decisiones por hito
R-027: Trazar solicitudes a requisitos, impacto y aprobación antes de construcción
R-035: Construir presupuesto por unidad, peak, divisa y calendario de cobro; probar alertas de consumo
R-039: Acordar canasta y fórmula; recalcular casos de estacionalidad y OTIF bajo sin pago variable</x:t>
        </x:r>
      </x:text>
    </x:comment>
    <x:comment ref="C363" authorId="0">
      <x:text>
        <x:r>
          <x:t>R-001: Probar lectura, escritura autorizada y emisión con el proveedor; cerrar contrato de interfaz
R-004: Muestrear datos completos por origen y antigüedad, medir defectos y obtener responsables de corrección
R-005: Inyectar fallas después de persistir y antes del acuse, con dos sitios y un móvil
R-006: Inspeccionar rutas físicas y simular caída de fibra y LTE con el satélite activo
R-007: Medir cobertura nocturna y ensayar las transferencias con corte y reposición de enlace
R-008: Ensayar 14 h en ruta con periféricos y batería envejecida, más reconexión en 10 min
R-009: Probar dos relevos durante un corte, vencimiento y revocación con el verificador local
R-010: Validar una unidad por tipo en cámara, con guantes, condensación y ciclo entrada/salida
R-011: Validar rangos por familia y contrastar sensor patrón con alarma, desconexión y lectura tardía
R-013: Probar carga con un nodo fuera, backlog y periféricos reales en ventana de despacho
R-014: Recepcionar energía, autonomía y climatización con carga, corte y alarma
R-015: Ensayar desastre total con escritura en curso, exclusión del escritor y retorno
R-016: Revisar superficie y privilegios; probar restauración aislada y respuesta a credencial comprometida
R-021: Capturar y validar reglas por zona con Hugo y un suplente, usando rutas y restricciones reales
R-023: Revalidar calendario por fecha efectiva y reservar alternativa permitida para cada corte
R-024: Confirmar orden, stock y plazo por ola; homologar alternativa antes de la compra
R-025: Nominar equipos separados y suplentes; verificar capacidad semanal y contrato de refuerzo
R-029: Validar flujo por acto con experto tributario y probar certificado vencido, POD offline y acuse
R-030: Obtener especificación, sandbox, fechas y responsable de certificación; ensayar el flujo completo
R-031: Validar contactos y probar fallback por canal con confirmación de entrega; medir apertura por separado
R-032: Ensayar exportación e importación de un flujo representativo y medir sustitución del servicio no portable
R-037: Seleccionar incidentes de prueba y verificar reproducción con datos minimizados y versión exacta
R-038: Validar por familia contra evidencia del proveedor; mantener modo informativo hasta aceptación
R-043: Inyectar timeout después del cargo y probar consulta, cancelación y autorización de alternativa
R-044: Probar retorno parcial, sitio offline y reintento con lote retenido y envase recuperado
R-045: Validar rutas por zona y atributos físicos; comparar proveedor GIS y ruta conocida con conductor</x:t>
        </x:r>
      </x:text>
    </x:comment>
    <x:comment ref="C364" authorId="0">
      <x:text>
        <x:r>
          <x:t>R-003: Ejecutar un ensayo adicional de delta y reversión con pendientes de recepción, picking y retornos
R-012: Ejecutar retiro simulado extremo a extremo con lote repartido, devolución y sitio desconectado
R-018: Probar alta, baja y conductor suplente por cada empresa; pactar obligación de informar reemplazos
R-019: Validar incorporación de personal nuevo con tareas reales y guías breves de turno
R-020: Acordar microturnos de entrenamiento y recuperar ausencias por ruta y perfil
R-026: Revisar evidencia con contraparte antes del hito y ejecutar ensayo de go/no-go
R-028: Simular caja de turno, faltante, devolución y pago parcial; acordar custodia física con Finanzas
R-036: Pilotear por locales voluntarios y separar saldo inferido de observado; validar avisos antes de acción
R-040: Probar comprensión con locales y revisión de divulgación; desactivar comparativos hasta autorización</x:t>
        </x:r>
      </x:text>
    </x:comment>
    <x:comment ref="C365" authorId="0">
      <x:text>
        <x:r>
          <x:t>R-033: Consolidar fechas EOL/EOS comprobadas y ensayar actualización o sustitución antes del fin de soporte
R-034: Simular ausencia y peak de llamadas con traslado; pactar cobertura de suplentes por tecnología
R-041: Ensayar una entrega parcial a operadores del cliente y corregir runbooks antes del cierre
R-042: Revisar normativa aplicable con asesor competente y ensayar purga con expediente retenido</x:t>
        </x:r>
      </x:text>
    </x:comment>
    <x:comment ref="C449" authorId="0">
      <x:text>
        <x:r>
          <x:t>Escenario objetivo de R-001: RP_R001=20 %; RI_R001=4; RF_R001=10/20. Reducción propuesta, sin eficacia verificada. Probar lectura, escritura autorizada y emisión con el proveedor; cerrar contrato de interfaz. Validación necesaria: Contrato firmado, extracción real, rechazo y reintento probados; no basta OpenAPI interno. Las HH residuales no incluyen pagos externos; entradas monetarias pendientes.</x:t>
        </x:r>
      </x:text>
    </x:comment>
    <x:comment ref="E449" authorId="0">
      <x:text>
        <x:r>
          <x:t>Esfuerzo adicional 64 HH. Descomposición de planificación: 8 jornadas-persona de 8 h para preparar, ejecutar y revisar la medida; validar reparto real por rol con Bastián Trejo. Conciliar T-14 1.2.3 / 3.3.2 y retirar trabajo ya presupuestado. CLP: tarifa y desembolsos de terceros pendientes.</x:t>
        </x:r>
      </x:text>
    </x:comment>
    <x:comment ref="C450" authorId="0">
      <x:text>
        <x:r>
          <x:t>Escenario objetivo de R-002: RP_R002=20 %; RI_R002=3; RF_R002=5/10. Reducción propuesta, sin eficacia verificada. Acordar licencia de datos, cuotas y prueba de extracción; exigir procedimiento de cambio. Validación necesaria: Autorización escrita y prueba de posición/historia con límites contratados. Las HH residuales no incluyen pagos externos; entradas monetarias pendientes.</x:t>
        </x:r>
      </x:text>
    </x:comment>
    <x:comment ref="E450" authorId="0">
      <x:text>
        <x:r>
          <x:t>Esfuerzo adicional 32 HH. Descomposición de planificación: 4 jornadas-persona de 8 h para preparar, ejecutar y revisar la medida; validar reparto real por rol con Bastián Trejo. Conciliar T-14 1.2.3 / 3.3.4 y retirar trabajo ya presupuestado. CLP: tarifa y desembolsos de terceros pendientes.</x:t>
        </x:r>
      </x:text>
    </x:comment>
    <x:comment ref="C451" authorId="0">
      <x:text>
        <x:r>
          <x:t>Escenario objetivo de R-003: RP_R003=20 %; RI_R003=3; RF_R003=5/20. Reducción propuesta, sin eficacia verificada. Ejecutar un ensayo adicional de delta y reversión con pendientes de recepción, picking y retornos. Validación necesaria: Conciliación aprobada por bodega y Finanzas; rollback restaura estado sin doble operación. Las HH residuales no incluyen pagos externos; entradas monetarias pendientes.</x:t>
        </x:r>
      </x:text>
    </x:comment>
    <x:comment ref="E451" authorId="0">
      <x:text>
        <x:r>
          <x:t>Esfuerzo adicional 64 HH. Descomposición de planificación: 8 jornadas-persona de 8 h para preparar, ejecutar y revisar la medida; validar reparto real por rol con Leandro Chamorro. Conciliar T-14 3.3.3 / 3.7.5 y retirar trabajo ya presupuestado. CLP: tarifa y desembolsos de terceros pendientes.</x:t>
        </x:r>
      </x:text>
    </x:comment>
    <x:comment ref="C452" authorId="0">
      <x:text>
        <x:r>
          <x:t>Escenario objetivo de R-004: RP_R004=25 %; RI_R004=3; RF_R004=5/20. Reducción propuesta, sin eficacia verificada. Muestrear datos completos por origen y antigüedad, medir defectos y obtener responsables de corrección. Validación necesaria: Perfilado reproducible; rechazos aislados; no fabricar lotes faltantes; conciliación por conjunto. Las HH residuales no incluyen pagos externos; entradas monetarias pendientes.</x:t>
        </x:r>
      </x:text>
    </x:comment>
    <x:comment ref="E452" authorId="0">
      <x:text>
        <x:r>
          <x:t>Esfuerzo adicional 96 HH. Descomposición de planificación: 12 jornadas-persona de 8 h para preparar, ejecutar y revisar la medida; validar reparto real por rol con Leandro Chamorro. Conciliar T-14 3.7.1 / 3.7.2 y retirar trabajo ya presupuestado. CLP: tarifa y desembolsos de terceros pendientes.</x:t>
        </x:r>
      </x:text>
    </x:comment>
    <x:comment ref="C453" authorId="0">
      <x:text>
        <x:r>
          <x:t>Escenario objetivo de R-005: RP_R005=10 %; RI_R005=5; RF_R005=2/5. Reducción propuesta, sin eficacia verificada. Inyectar fallas después de persistir y antes del acuse, con dos sitios y un móvil. Validación necesaria: Prueba con UUID repetido, orden invertido y corte de 24 h; invariantes conciliados. Las HH residuales no incluyen pagos externos; entradas monetarias pendientes.</x:t>
        </x:r>
      </x:text>
    </x:comment>
    <x:comment ref="E453" authorId="0">
      <x:text>
        <x:r>
          <x:t>Esfuerzo adicional 64 HH. Descomposición de planificación: 8 jornadas-persona de 8 h para preparar, ejecutar y revisar la medida; validar reparto real por rol con Tomás Pérez. Conciliar T-14 3.3.6 / 3.8.1 y retirar trabajo ya presupuestado. CLP: tarifa y desembolsos de terceros pendientes.</x:t>
        </x:r>
      </x:text>
    </x:comment>
    <x:comment ref="C454" authorId="0">
      <x:text>
        <x:r>
          <x:t>Escenario objetivo de R-006: RP_R006=10 %; RI_R006=5; RF_R006=1/2. Reducción propuesta, sin eficacia verificada. Inspeccionar rutas físicas y simular caída de fibra y LTE con el satélite activo. Validación necesaria: Acta de diversidad y prueba de 24 h con recepción, preparación y despacho reales. Las HH residuales no incluyen pagos externos; entradas monetarias pendientes.</x:t>
        </x:r>
      </x:text>
    </x:comment>
    <x:comment ref="E454" authorId="0">
      <x:text>
        <x:r>
          <x:t>Esfuerzo adicional 32 HH. Descomposición de planificación: 4 jornadas-persona de 8 h para preparar, ejecutar y revisar la medida; validar reparto real por rol con Guillermo Castillo. Conciliar T-14 6.6 / 3.8.3 y retirar trabajo ya presupuestado. CLP: tarifa y desembolsos de terceros pendientes.</x:t>
        </x:r>
      </x:text>
    </x:comment>
    <x:comment ref="C455" authorId="0">
      <x:text>
        <x:r>
          <x:t>Escenario objetivo de R-007: RP_R007=20 %; RI_R007=3; RF_R007=3/10. Reducción propuesta, sin eficacia verificada. Medir cobertura nocturna y ensayar las transferencias con corte y reposición de enlace. Validación necesaria: Acta nocturna por plataforma, cola durable y conciliación dentro de 2 h. Las HH residuales no incluyen pagos externos; entradas monetarias pendientes.</x:t>
        </x:r>
      </x:text>
    </x:comment>
    <x:comment ref="E455" authorId="0">
      <x:text>
        <x:r>
          <x:t>Esfuerzo adicional 32 HH. Descomposición de planificación: 4 jornadas-persona de 8 h para preparar, ejecutar y revisar la medida; validar reparto real por rol con Guillermo Castillo. Conciliar T-14 6.6 / 3.3.6 y retirar trabajo ya presupuestado. CLP: tarifa y desembolsos de terceros pendientes.</x:t>
        </x:r>
      </x:text>
    </x:comment>
    <x:comment ref="C456" authorId="0">
      <x:text>
        <x:r>
          <x:t>Escenario objetivo de R-008: RP_R008=10 %; RI_R008=4; RF_R008=2/8. Reducción propuesta, sin eficacia verificada. Ensayar 14 h en ruta con periféricos y batería envejecida, más reconexión en 10 min. Validación necesaria: Jornada íntegra reproducible y sin duplicados, bajo condiciones de terreno. Las HH residuales no incluyen pagos externos; entradas monetarias pendientes.</x:t>
        </x:r>
      </x:text>
    </x:comment>
    <x:comment ref="E456" authorId="0">
      <x:text>
        <x:r>
          <x:t>Esfuerzo adicional 48 HH. Descomposición de planificación: 6 jornadas-persona de 8 h para preparar, ejecutar y revisar la medida; validar reparto real por rol con Tomás Pérez. Conciliar T-14 3.3.6 / 3.4.6 / 3.4.8 y retirar trabajo ya presupuestado. CLP: tarifa y desembolsos de terceros pendientes.</x:t>
        </x:r>
      </x:text>
    </x:comment>
    <x:comment ref="C457" authorId="0">
      <x:text>
        <x:r>
          <x:t>Escenario objetivo de R-009: RP_R009=10 %; RI_R009=4; RF_R009=2/5. Reducción propuesta, sin eficacia verificada. Probar dos relevos durante un corte, vencimiento y revocación con el verificador local. Validación necesaria: Acta de corte con cambios de turno, denegación y bitácora posterior. Las HH residuales no incluyen pagos externos; entradas monetarias pendientes.</x:t>
        </x:r>
      </x:text>
    </x:comment>
    <x:comment ref="E457" authorId="0">
      <x:text>
        <x:r>
          <x:t>Esfuerzo adicional 32 HH. Descomposición de planificación: 4 jornadas-persona de 8 h para preparar, ejecutar y revisar la medida; validar reparto real por rol con Álvaro Catalán. Conciliar T-14 3.3.1 / 3.8.3 y retirar trabajo ya presupuestado. CLP: tarifa y desembolsos de terceros pendientes.</x:t>
        </x:r>
      </x:text>
    </x:comment>
    <x:comment ref="C458" authorId="0">
      <x:text>
        <x:r>
          <x:t>Escenario objetivo de R-010: RP_R010=10 %; RI_R010=3; RF_R010=3/10. Reducción propuesta, sin eficacia verificada. Validar una unidad por tipo en cámara, con guantes, condensación y ciclo entrada/salida. Validación necesaria: Ficha exacta y prueba funcional completa antes de compra masiva. Las HH residuales no incluyen pagos externos; entradas monetarias pendientes.</x:t>
        </x:r>
      </x:text>
    </x:comment>
    <x:comment ref="E458" authorId="0">
      <x:text>
        <x:r>
          <x:t>Esfuerzo adicional 40 HH. Descomposición de planificación: 5 jornadas-persona de 8 h para preparar, ejecutar y revisar la medida; validar reparto real por rol con Bastián Trejo. Conciliar T-14 5.1.2 / 5.1.3 / 3.4.3 y retirar trabajo ya presupuestado. CLP: tarifa y desembolsos de terceros pendientes.</x:t>
        </x:r>
      </x:text>
    </x:comment>
    <x:comment ref="C459" authorId="0">
      <x:text>
        <x:r>
          <x:t>Escenario objetivo de R-011: RP_R011=10 %; RI_R011=4; RF_R011=2/5. Reducción propuesta, sin eficacia verificada. Validar rangos por familia y contrastar sensor patrón con alarma, desconexión y lectura tardía. Validación necesaria: Calidad aprueba reglas; sensor patrón y ensayo de bloqueo; ninguna liberación automática. Las HH residuales no incluyen pagos externos; entradas monetarias pendientes.</x:t>
        </x:r>
      </x:text>
    </x:comment>
    <x:comment ref="E459" authorId="0">
      <x:text>
        <x:r>
          <x:t>Esfuerzo adicional 64 HH. Descomposición de planificación: 8 jornadas-persona de 8 h para preparar, ejecutar y revisar la medida; validar reparto real por rol con Maximiliano Miño. Conciliar T-14 3.4.4 / 3.4.5 y retirar trabajo ya presupuestado. CLP: tarifa y desembolsos de terceros pendientes.</x:t>
        </x:r>
      </x:text>
    </x:comment>
    <x:comment ref="C460" authorId="0">
      <x:text>
        <x:r>
          <x:t>Escenario objetivo de R-012: RP_R012=10 %; RI_R012=4; RF_R012=3/8. Reducción propuesta, sin eficacia verificada. Ejecutar retiro simulado extremo a extremo con lote repartido, devolución y sitio desconectado. Validación necesaria: Listado reconciliado contra entregas y devoluciones en menos de 2 h; historia incompleta declarada. Las HH residuales no incluyen pagos externos; entradas monetarias pendientes.</x:t>
        </x:r>
      </x:text>
    </x:comment>
    <x:comment ref="E460" authorId="0">
      <x:text>
        <x:r>
          <x:t>Esfuerzo adicional 80 HH. Descomposición de planificación: 10 jornadas-persona de 8 h para preparar, ejecutar y revisar la medida; validar reparto real por rol con Maximiliano Miño. Conciliar T-14 3.4.4 / 3.8.2 y retirar trabajo ya presupuestado. CLP: tarifa y desembolsos de terceros pendientes.</x:t>
        </x:r>
      </x:text>
    </x:comment>
    <x:comment ref="C461" authorId="0">
      <x:text>
        <x:r>
          <x:t>Escenario objetivo de R-013: RP_R013=10 %; RI_R013=5; RF_R013=1/2. Reducción propuesta, sin eficacia verificada. Probar carga con un nodo fuera, backlog y periféricos reales en ventana de despacho. Validación necesaria: Prueba a peak de caso y margen declarado; 96 despachos completos con falla inyectada. Las HH residuales no incluyen pagos externos; entradas monetarias pendientes.</x:t>
        </x:r>
      </x:text>
    </x:comment>
    <x:comment ref="E461" authorId="0">
      <x:text>
        <x:r>
          <x:t>Esfuerzo adicional 64 HH. Descomposición de planificación: 8 jornadas-persona de 8 h para preparar, ejecutar y revisar la medida; validar reparto real por rol con Guillermo Castillo. Conciliar T-14 3.8.4 / 3.9.3 y retirar trabajo ya presupuestado. CLP: tarifa y desembolsos de terceros pendientes.</x:t>
        </x:r>
      </x:text>
    </x:comment>
    <x:comment ref="C462" authorId="0">
      <x:text>
        <x:r>
          <x:t>Escenario objetivo de R-014: RP_R014=10 %; RI_R014=5; RF_R014=2/5. Reducción propuesta, sin eficacia verificada. Recepcionar energía, autonomía y climatización con carga, corte y alarma. Validación necesaria: Ensayo de energía y carga térmica, PDU/circuitos comprobados y acta de recepción. Las HH residuales no incluyen pagos externos; entradas monetarias pendientes.</x:t>
        </x:r>
      </x:text>
    </x:comment>
    <x:comment ref="E462" authorId="0">
      <x:text>
        <x:r>
          <x:t>Esfuerzo adicional 40 HH. Descomposición de planificación: 5 jornadas-persona de 8 h para preparar, ejecutar y revisar la medida; validar reparto real por rol con Guillermo Castillo. Conciliar T-14 6.1 / 6.3 y retirar trabajo ya presupuestado. CLP: tarifa y desembolsos de terceros pendientes.</x:t>
        </x:r>
      </x:text>
    </x:comment>
    <x:comment ref="C463" authorId="0">
      <x:text>
        <x:r>
          <x:t>Escenario objetivo de R-015: RP_R015=10 %; RI_R015=5; RF_R015=3/8. Reducción propuesta, sin eficacia verificada. Ensayar desastre total con escritura en curso, exclusión del escritor y retorno. Validación necesaria: Informe medido de conmutación y retorno; incluir pérdida simultánea de WAN y nodo. Las HH residuales no incluyen pagos externos; entradas monetarias pendientes.</x:t>
        </x:r>
      </x:text>
    </x:comment>
    <x:comment ref="E463" authorId="0">
      <x:text>
        <x:r>
          <x:t>Esfuerzo adicional 80 HH. Descomposición de planificación: 10 jornadas-persona de 8 h para preparar, ejecutar y revisar la medida; validar reparto real por rol con Guillermo Castillo. Conciliar T-14 3.8.5 / 3.9.4 y retirar trabajo ya presupuestado. CLP: tarifa y desembolsos de terceros pendientes.</x:t>
        </x:r>
      </x:text>
    </x:comment>
    <x:comment ref="C464" authorId="0">
      <x:text>
        <x:r>
          <x:t>Escenario objetivo de R-016: RP_R016=10 %; RI_R016=5; RF_R016=2/5. Reducción propuesta, sin eficacia verificada. Revisar superficie y privilegios; probar restauración aislada y respuesta a credencial comprometida. Validación necesaria: Pentest sin hallazgos bloqueantes y ejercicio de contención/recuperación. Las HH residuales no incluyen pagos externos; entradas monetarias pendientes.</x:t>
        </x:r>
      </x:text>
    </x:comment>
    <x:comment ref="E464" authorId="0">
      <x:text>
        <x:r>
          <x:t>Esfuerzo adicional 64 HH. Descomposición de planificación: 8 jornadas-persona de 8 h para preparar, ejecutar y revisar la medida; validar reparto real por rol con Álvaro Catalán. Conciliar T-14 2.2 / 3.8.6 y retirar trabajo ya presupuestado. CLP: tarifa y desembolsos de terceros pendientes.</x:t>
        </x:r>
      </x:text>
    </x:comment>
    <x:comment ref="C465" authorId="0">
      <x:text>
        <x:r>
          <x:t>Escenario objetivo de R-017: RP_R017=20 %; RI_R017=3; RF_R017=5/20. Reducción propuesta, sin eficacia verificada. Acordar finalidades, retención y acceso con sindicato y dirección; demostrar uso sin control de jornada. Validación necesaria: Acta de participación, revisión de privacidad y prueba de permisos/retención. Las HH residuales no incluyen pagos externos; entradas monetarias pendientes.</x:t>
        </x:r>
      </x:text>
    </x:comment>
    <x:comment ref="E465" authorId="0">
      <x:text>
        <x:r>
          <x:t>Esfuerzo adicional 48 HH. Descomposición de planificación: 6 jornadas-persona de 8 h para preparar, ejecutar y revisar la medida; validar reparto real por rol con Patricio Henríquez. Conciliar T-14 5.4.2 / 2.2 y retirar trabajo ya presupuestado. CLP: tarifa y desembolsos de terceros pendientes.</x:t>
        </x:r>
      </x:text>
    </x:comment>
    <x:comment ref="C466" authorId="0">
      <x:text>
        <x:r>
          <x:t>Escenario objetivo de R-018: RP_R018=25 %; RI_R018=3; RF_R018=5/20. Reducción propuesta, sin eficacia verificada. Probar alta, baja y conductor suplente por cada empresa; pactar obligación de informar reemplazos. Validación necesaria: Diez acuerdos y prueba de enrolamiento/soporte que no detenga reparto. Las HH residuales no incluyen pagos externos; entradas monetarias pendientes.</x:t>
        </x:r>
      </x:text>
    </x:comment>
    <x:comment ref="E466" authorId="0">
      <x:text>
        <x:r>
          <x:t>Esfuerzo adicional 64 HH. Descomposición de planificación: 8 jornadas-persona de 8 h para preparar, ejecutar y revisar la medida; validar reparto real por rol con Patricio Henríquez. Conciliar T-14 5.4.1 / 4.1 y retirar trabajo ya presupuestado. CLP: tarifa y desembolsos de terceros pendientes.</x:t>
        </x:r>
      </x:text>
    </x:comment>
    <x:comment ref="C467" authorId="0">
      <x:text>
        <x:r>
          <x:t>Escenario objetivo de R-019: RP_R019=25 %; RI_R019=3; RF_R019=5/10. Reducción propuesta, sin eficacia verificada. Validar incorporación de personal nuevo con tareas reales y guías breves de turno. Validación necesaria: Medir tiempo, pasos y errores según 3.A.4a con novatos en turno nocturno. Las HH residuales no incluyen pagos externos; entradas monetarias pendientes.</x:t>
        </x:r>
      </x:text>
    </x:comment>
    <x:comment ref="E467" authorId="0">
      <x:text>
        <x:r>
          <x:t>Esfuerzo adicional 64 HH. Descomposición de planificación: 8 jornadas-persona de 8 h para preparar, ejecutar y revisar la medida; validar reparto real por rol con Patricio Henríquez. Conciliar T-14 4.1 / 4.2.1 y retirar trabajo ya presupuestado. CLP: tarifa y desembolsos de terceros pendientes.</x:t>
        </x:r>
      </x:text>
    </x:comment>
    <x:comment ref="C468" authorId="0">
      <x:text>
        <x:r>
          <x:t>Escenario objetivo de R-020: RP_R020=20 %; RI_R020=3; RF_R020=5/10. Reducción propuesta, sin eficacia verificada. Acordar microturnos de entrenamiento y recuperar ausencias por ruta y perfil. Validación necesaria: Agenda aprobada, asistencia y prueba práctica individual por perfil. Las HH residuales no incluyen pagos externos; entradas monetarias pendientes.</x:t>
        </x:r>
      </x:text>
    </x:comment>
    <x:comment ref="E468" authorId="0">
      <x:text>
        <x:r>
          <x:t>Esfuerzo adicional 32 HH. Descomposición de planificación: 4 jornadas-persona de 8 h para preparar, ejecutar y revisar la medida; validar reparto real por rol con Patricio Henríquez. Conciliar T-14 4.1 / 4.2 / 4.3 y retirar trabajo ya presupuestado. CLP: tarifa y desembolsos de terceros pendientes.</x:t>
        </x:r>
      </x:text>
    </x:comment>
    <x:comment ref="C469" authorId="0">
      <x:text>
        <x:r>
          <x:t>Escenario objetivo de R-021: RP_R021=20 %; RI_R021=3; RF_R021=5/20. Reducción propuesta, sin eficacia verificada. Capturar y validar reglas por zona con Hugo y un suplente, usando rutas y restricciones reales. Validación necesaria: Repositorio aprobado y suplente planifica rutas sin ayuda, sin violar peso/puentes/ventanas. Las HH residuales no incluyen pagos externos; entradas monetarias pendientes.</x:t>
        </x:r>
      </x:text>
    </x:comment>
    <x:comment ref="E469" authorId="0">
      <x:text>
        <x:r>
          <x:t>Esfuerzo adicional 64 HH. Descomposición de planificación: 8 jornadas-persona de 8 h para preparar, ejecutar y revisar la medida; validar reparto real por rol con Patricio Henríquez. Conciliar T-14 1.2.2 / 3.4.7 y retirar trabajo ya presupuestado. CLP: tarifa y desembolsos de terceros pendientes.</x:t>
        </x:r>
      </x:text>
    </x:comment>
    <x:comment ref="C470" authorId="0">
      <x:text>
        <x:r>
          <x:t>Escenario objetivo de R-022: RP_R022=25 %; RI_R022=3; RF_R022=5/20. Reducción propuesta, sin eficacia verificada. Pactar titulares y suplentes, agenda y SLA de decisiones por hito. Validación necesaria: Agenda y acuerdos escritos; ninguna aprobación tácita de aceptación contractual. Las HH residuales no incluyen pagos externos; entradas monetarias pendientes.</x:t>
        </x:r>
      </x:text>
    </x:comment>
    <x:comment ref="E470" authorId="0">
      <x:text>
        <x:r>
          <x:t>Esfuerzo adicional 32 HH. Descomposición de planificación: 4 jornadas-persona de 8 h para preparar, ejecutar y revisar la medida; validar reparto real por rol con Alex Aravena. Conciliar T-14 1.1 / 1.2 / 2.4 y retirar trabajo ya presupuestado. CLP: tarifa y desembolsos de terceros pendientes.</x:t>
        </x:r>
      </x:text>
    </x:comment>
    <x:comment ref="C471" authorId="0">
      <x:text>
        <x:r>
          <x:t>Escenario objetivo de R-023: RP_R023=10 %; RI_R023=3; RF_R023=5/20. Reducción propuesta, sin eficacia verificada. Revalidar calendario por fecha efectiva y reservar alternativa permitida para cada corte. Validación necesaria: Calendario validado por contraparte y plan alternativo; emergencia requiere definición contractual. Las HH residuales no incluyen pagos externos; entradas monetarias pendientes.</x:t>
        </x:r>
      </x:text>
    </x:comment>
    <x:comment ref="E471" authorId="0">
      <x:text>
        <x:r>
          <x:t>Esfuerzo adicional 24 HH. Descomposición de planificación: 3 jornadas-persona de 8 h para preparar, ejecutar y revisar la medida; validar reparto real por rol con Alex Aravena. Conciliar T-14 3.7.5 / 4.2 / 4.3 y retirar trabajo ya presupuestado. CLP: tarifa y desembolsos de terceros pendientes.</x:t>
        </x:r>
      </x:text>
    </x:comment>
    <x:comment ref="C472" authorId="0">
      <x:text>
        <x:r>
          <x:t>Escenario objetivo de R-024: RP_R024=20 %; RI_R024=3; RF_R024=5/20. Reducción propuesta, sin eficacia verificada. Confirmar orden, stock y plazo por ola; homologar alternativa antes de la compra. Validación necesaria: Orden y acta de muestra; préstamo o alternativa homologada no reduce población de prueba. Las HH residuales no incluyen pagos externos; entradas monetarias pendientes.</x:t>
        </x:r>
      </x:text>
    </x:comment>
    <x:comment ref="E472" authorId="0">
      <x:text>
        <x:r>
          <x:t>Esfuerzo adicional 32 HH. Descomposición de planificación: 4 jornadas-persona de 8 h para preparar, ejecutar y revisar la medida; validar reparto real por rol con Bastián Trejo. Conciliar T-14 5.1.2 / 5.1.3 y retirar trabajo ya presupuestado. CLP: tarifa y desembolsos de terceros pendientes.</x:t>
        </x:r>
      </x:text>
    </x:comment>
    <x:comment ref="C473" authorId="0">
      <x:text>
        <x:r>
          <x:t>Escenario objetivo de R-025: RP_R025=20 %; RI_R025=3; RF_R025=5/20. Reducción propuesta, sin eficacia verificada. Nominar equipos separados y suplentes; verificar capacidad semanal y contrato de refuerzo. Validación necesaria: Cartas y calendario nominal; no sumar las HH de mitigación a capacidad inexistente. Las HH residuales no incluyen pagos externos; entradas monetarias pendientes.</x:t>
        </x:r>
      </x:text>
    </x:comment>
    <x:comment ref="E473" authorId="0">
      <x:text>
        <x:r>
          <x:t>Esfuerzo adicional 40 HH. Descomposición de planificación: 5 jornadas-persona de 8 h para preparar, ejecutar y revisar la medida; validar reparto real por rol con Alex Aravena. Conciliar T-14 1.1 / 3.4 / 3.5 / 4.2 y retirar trabajo ya presupuestado. CLP: tarifa y desembolsos de terceros pendientes.</x:t>
        </x:r>
      </x:text>
    </x:comment>
    <x:comment ref="C474" authorId="0">
      <x:text>
        <x:r>
          <x:t>Escenario objetivo de R-026: RP_R026=25 %; RI_R026=3; RF_R026=5/20. Reducción propuesta, sin eficacia verificada. Revisar evidencia con contraparte antes del hito y ejecutar ensayo de go/no-go. Validación necesaria: Checklist de seis condiciones con evidencia; ninguna firma ni prueba se presume. Las HH residuales no incluyen pagos externos; entradas monetarias pendientes.</x:t>
        </x:r>
      </x:text>
    </x:comment>
    <x:comment ref="E474" authorId="0">
      <x:text>
        <x:r>
          <x:t>Esfuerzo adicional 48 HH. Descomposición de planificación: 6 jornadas-persona de 8 h para preparar, ejecutar y revisar la medida; validar reparto real por rol con Maximiliano Miño. Conciliar T-14 3.8.2 / 3.9.2 / 4.2 / 4.3 y retirar trabajo ya presupuestado. CLP: tarifa y desembolsos de terceros pendientes.</x:t>
        </x:r>
      </x:text>
    </x:comment>
    <x:comment ref="C475" authorId="0">
      <x:text>
        <x:r>
          <x:t>Escenario objetivo de R-027: RP_R027=20 %; RI_R027=3; RF_R027=5/10. Reducción propuesta, sin eficacia verificada. Trazar solicitudes a requisitos, impacto y aprobación antes de construcción. Validación necesaria: Registro de cambios, estimación y aprobación; exclusiones no eliminan integración obligatoria. Las HH residuales no incluyen pagos externos; entradas monetarias pendientes.</x:t>
        </x:r>
      </x:text>
    </x:comment>
    <x:comment ref="E475" authorId="0">
      <x:text>
        <x:r>
          <x:t>Esfuerzo adicional 24 HH. Descomposición de planificación: 3 jornadas-persona de 8 h para preparar, ejecutar y revisar la medida; validar reparto real por rol con Alex Aravena. Conciliar T-14 1.2.4 / 1.2.5 y retirar trabajo ya presupuestado. CLP: tarifa y desembolsos de terceros pendientes.</x:t>
        </x:r>
      </x:text>
    </x:comment>
    <x:comment ref="C476" authorId="0">
      <x:text>
        <x:r>
          <x:t>Escenario objetivo de R-028: RP_R028=15 %; RI_R028=3; RF_R028=3/10. Reducción propuesta, sin eficacia verificada. Simular caja de turno, faltante, devolución y pago parcial; acordar custodia física con Finanzas. Validación necesaria: Cuadre por camión y turno el mismo día; importe externo no se incorpora como costo del proyecto. Las HH residuales no incluyen pagos externos; entradas monetarias pendientes.</x:t>
        </x:r>
      </x:text>
    </x:comment>
    <x:comment ref="E476" authorId="0">
      <x:text>
        <x:r>
          <x:t>Esfuerzo adicional 40 HH. Descomposición de planificación: 5 jornadas-persona de 8 h para preparar, ejecutar y revisar la medida; validar reparto real por rol con Leandro Chamorro. Conciliar T-14 3.4.10 / 3.8.2 y retirar trabajo ya presupuestado. CLP: tarifa y desembolsos de terceros pendientes.</x:t>
        </x:r>
      </x:text>
    </x:comment>
    <x:comment ref="C477" authorId="0">
      <x:text>
        <x:r>
          <x:t>Escenario objetivo de R-029: RP_R029=20 %; RI_R029=4; RF_R029=10/20. Reducción propuesta, sin eficacia verificada. Validar flujo por acto con experto tributario y probar certificado vencido, POD offline y acuse. Validación necesaria: Dictamen sobre el flujo y AL-DTE-01 aprobado; no equiparar firma simple y avanzada. Las HH residuales no incluyen pagos externos; entradas monetarias pendientes.</x:t>
        </x:r>
      </x:text>
    </x:comment>
    <x:comment ref="E477" authorId="0">
      <x:text>
        <x:r>
          <x:t>Esfuerzo adicional 48 HH. Descomposición de planificación: 6 jornadas-persona de 8 h para preparar, ejecutar y revisar la medida; validar reparto real por rol con Bastián Trejo. Conciliar T-14 3.3.2 / 3.4.8 y retirar trabajo ya presupuestado. CLP: tarifa y desembolsos de terceros pendientes.</x:t>
        </x:r>
      </x:text>
    </x:comment>
    <x:comment ref="C478" authorId="0">
      <x:text>
        <x:r>
          <x:t>Escenario objetivo de R-030: RP_R030=35 %; RI_R030=4; RF_R030=20/25. Reducción propuesta, sin eficacia verificada. Obtener especificación, sandbox, fechas y responsable de certificación; ensayar el flujo completo. Validación necesaria: Confirmación escrita de cadena y certificación completa antes del H12; dependencia externa mantiene zona alta. Las HH residuales no incluyen pagos externos; entradas monetarias pendientes.</x:t>
        </x:r>
      </x:text>
    </x:comment>
    <x:comment ref="E478" authorId="0">
      <x:text>
        <x:r>
          <x:t>Esfuerzo adicional 64 HH. Descomposición de planificación: 8 jornadas-persona de 8 h para preparar, ejecutar y revisar la medida; validar reparto real por rol con Bastián Trejo. Conciliar T-14 3.6.5 / 3.6.6 y retirar trabajo ya presupuestado. CLP: tarifa y desembolsos de terceros pendientes.</x:t>
        </x:r>
      </x:text>
    </x:comment>
    <x:comment ref="C479" authorId="0">
      <x:text>
        <x:r>
          <x:t>Escenario objetivo de R-031: RP_R031=20 %; RI_R031=3; RF_R031=5/10. Reducción propuesta, sin eficacia verificada. Validar contactos y probar fallback por canal con confirmación de entrega; medir apertura por separado. Validación necesaria: Prueba de recepción antes de salida; SMS sin lectura informable no cuenta como abierto. Las HH residuales no incluyen pagos externos; entradas monetarias pendientes.</x:t>
        </x:r>
      </x:text>
    </x:comment>
    <x:comment ref="E479" authorId="0">
      <x:text>
        <x:r>
          <x:t>Esfuerzo adicional 32 HH. Descomposición de planificación: 4 jornadas-persona de 8 h para preparar, ejecutar y revisar la medida; validar reparto real por rol con Tomás Pérez. Conciliar T-14 3.6.4 / 3.4.7 y retirar trabajo ya presupuestado. CLP: tarifa y desembolsos de terceros pendientes.</x:t>
        </x:r>
      </x:text>
    </x:comment>
    <x:comment ref="C480" authorId="0">
      <x:text>
        <x:r>
          <x:t>Escenario objetivo de R-032: RP_R032=15 %; RI_R032=3; RF_R032=5/20. Reducción propuesta, sin eficacia verificada. Ensayar exportación e importación de un flujo representativo y medir sustitución del servicio no portable. Validación necesaria: Ensayo reproducible, licencias y formatos declarados; costo de salida separado de EOL. Las HH residuales no incluyen pagos externos; entradas monetarias pendientes.</x:t>
        </x:r>
      </x:text>
    </x:comment>
    <x:comment ref="E480" authorId="0">
      <x:text>
        <x:r>
          <x:t>Esfuerzo adicional 48 HH. Descomposición de planificación: 6 jornadas-persona de 8 h para preparar, ejecutar y revisar la medida; validar reparto real por rol con Bastián Trejo. Conciliar T-14 1.7.2 / 8.1.4 y retirar trabajo ya presupuestado. CLP: tarifa y desembolsos de terceros pendientes.</x:t>
        </x:r>
      </x:text>
    </x:comment>
    <x:comment ref="C481" authorId="0">
      <x:text>
        <x:r>
          <x:t>Escenario objetivo de R-033: RP_R033=20 %; RI_R033=3; RF_R033=5/10. Reducción propuesta, sin eficacia verificada. Consolidar fechas EOL/EOS comprobadas y ensayar actualización o sustitución antes del fin de soporte. Validación necesaria: Ficha/versiones y calendario anual; presupuesto de reposición pendiente de tarifas. Las HH residuales no incluyen pagos externos; entradas monetarias pendientes.</x:t>
        </x:r>
      </x:text>
    </x:comment>
    <x:comment ref="E481" authorId="0">
      <x:text>
        <x:r>
          <x:t>Esfuerzo adicional 32 HH. Descomposición de planificación: 4 jornadas-persona de 8 h para preparar, ejecutar y revisar la medida; validar reparto real por rol con Bastián Trejo. Conciliar T-14 5.1 / 8.2 y retirar trabajo ya presupuestado. CLP: tarifa y desembolsos de terceros pendientes.</x:t>
        </x:r>
      </x:text>
    </x:comment>
    <x:comment ref="C482" authorId="0">
      <x:text>
        <x:r>
          <x:t>Escenario objetivo de R-034: RP_R034=15 %; RI_R034=3; RF_R034=3/10. Reducción propuesta, sin eficacia verificada. Simular ausencia y peak de llamadas con traslado; pactar cobertura de suplentes por tecnología. Validación necesaria: Prueba de cola con 80 % antes de 20 s, abandono ≤5 % y guardia acreditada. Las HH residuales no incluyen pagos externos; entradas monetarias pendientes.</x:t>
        </x:r>
      </x:text>
    </x:comment>
    <x:comment ref="E482" authorId="0">
      <x:text>
        <x:r>
          <x:t>Esfuerzo adicional 40 HH. Descomposición de planificación: 5 jornadas-persona de 8 h para preparar, ejecutar y revisar la medida; validar reparto real por rol con Guillermo Castillo. Conciliar T-14 8.1.2 / 8.5 y retirar trabajo ya presupuestado. CLP: tarifa y desembolsos de terceros pendientes.</x:t>
        </x:r>
      </x:text>
    </x:comment>
    <x:comment ref="C483" authorId="0">
      <x:text>
        <x:r>
          <x:t>Escenario objetivo de R-035: RP_R035=25 %; RI_R035=4; RF_R035=10/20. Reducción propuesta, sin eficacia verificada. Construir presupuesto por unidad, peak, divisa y calendario de cobro; probar alertas de consumo. Validación necesaria: Oferta económica y flujo de caja revisados; sin tarifas, severidad monetaria sigue pendiente. Las HH residuales no incluyen pagos externos; entradas monetarias pendientes.</x:t>
        </x:r>
      </x:text>
    </x:comment>
    <x:comment ref="E483" authorId="0">
      <x:text>
        <x:r>
          <x:t>Esfuerzo adicional 24 HH. Descomposición de planificación: 3 jornadas-persona de 8 h para preparar, ejecutar y revisar la medida; validar reparto real por rol con Alex Aravena. Conciliar T-14 1.1 / 8.1 / 8.2 y retirar trabajo ya presupuestado. CLP: tarifa y desembolsos de terceros pendientes.</x:t>
        </x:r>
      </x:text>
    </x:comment>
    <x:comment ref="C484" authorId="0">
      <x:text>
        <x:r>
          <x:t>Escenario objetivo de R-036: RP_R036=20 %; RI_R036=3; RF_R036=5/10. Reducción propuesta, sin eficacia verificada. Pilotear por locales voluntarios y separar saldo inferido de observado; validar avisos antes de acción. Validación necesaria: Muestra de avisos confirmados, intervención autorizada e indicador INN-01 medido. Las HH residuales no incluyen pagos externos; entradas monetarias pendientes.</x:t>
        </x:r>
      </x:text>
    </x:comment>
    <x:comment ref="E484" authorId="0">
      <x:text>
        <x:r>
          <x:t>Esfuerzo adicional 32 HH. Descomposición de planificación: 4 jornadas-persona de 8 h para preparar, ejecutar y revisar la medida; validar reparto real por rol con Patricio Henríquez. Conciliar T-14 3.4 / Subdocumento 13 13.1 y retirar trabajo ya presupuestado. CLP: tarifa y desembolsos de terceros pendientes.</x:t>
        </x:r>
      </x:text>
    </x:comment>
    <x:comment ref="C485" authorId="0">
      <x:text>
        <x:r>
          <x:t>Escenario objetivo de R-037: RP_R037=20 %; RI_R037=3; RF_R037=5/10. Reducción propuesta, sin eficacia verificada. Seleccionar incidentes de prueba y verificar reproducción con datos minimizados y versión exacta. Validación necesaria: Escenario reproduce fallo, corrección lo elimina y datos sensibles están protegidos. Las HH residuales no incluyen pagos externos; entradas monetarias pendientes.</x:t>
        </x:r>
      </x:text>
    </x:comment>
    <x:comment ref="E485" authorId="0">
      <x:text>
        <x:r>
          <x:t>Esfuerzo adicional 32 HH. Descomposición de planificación: 4 jornadas-persona de 8 h para preparar, ejecutar y revisar la medida; validar reparto real por rol con Tomás Pérez. Conciliar T-14 3.3.6 / Subdocumento 13 13.2 y retirar trabajo ya presupuestado. CLP: tarifa y desembolsos de terceros pendientes.</x:t>
        </x:r>
      </x:text>
    </x:comment>
    <x:comment ref="C486" authorId="0">
      <x:text>
        <x:r>
          <x:t>Escenario objetivo de R-038: RP_R038=20 %; RI_R038=3; RF_R038=5/20. Reducción propuesta, sin eficacia verificada. Validar por familia contra evidencia del proveedor; mantener modo informativo hasta aceptación. Validación necesaria: Validación de Calidad/proveedor; innovación nunca libera ni amplía vencimiento automáticamente. Las HH residuales no incluyen pagos externos; entradas monetarias pendientes.</x:t>
        </x:r>
      </x:text>
    </x:comment>
    <x:comment ref="E486" authorId="0">
      <x:text>
        <x:r>
          <x:t>Esfuerzo adicional 64 HH. Descomposición de planificación: 8 jornadas-persona de 8 h para preparar, ejecutar y revisar la medida; validar reparto real por rol con Maximiliano Miño. Conciliar T-14 3.4.4 / Subdocumento 13 13.3 y retirar trabajo ya presupuestado. CLP: tarifa y desembolsos de terceros pendientes.</x:t>
        </x:r>
      </x:text>
    </x:comment>
    <x:comment ref="C487" authorId="0">
      <x:text>
        <x:r>
          <x:t>Escenario objetivo de R-039: RP_R039=20 %; RI_R039=3; RF_R039=5/10. Reducción propuesta, sin eficacia verificada. Acordar canasta y fórmula; recalcular casos de estacionalidad y OTIF bajo sin pago variable. Validación necesaria: Contrato y cálculo auditables por Finanzas; tarifas y techo monetario pendientes. Las HH residuales no incluyen pagos externos; entradas monetarias pendientes.</x:t>
        </x:r>
      </x:text>
    </x:comment>
    <x:comment ref="E487" authorId="0">
      <x:text>
        <x:r>
          <x:t>Esfuerzo adicional 24 HH. Descomposición de planificación: 3 jornadas-persona de 8 h para preparar, ejecutar y revisar la medida; validar reparto real por rol con Alex Aravena. Conciliar T-14 5.4.3 / Subdocumento 13 13.4 y retirar trabajo ya presupuestado. CLP: tarifa y desembolsos de terceros pendientes.</x:t>
        </x:r>
      </x:text>
    </x:comment>
    <x:comment ref="C488" authorId="0">
      <x:text>
        <x:r>
          <x:t>Escenario objetivo de R-040: RP_R040=20 %; RI_R040=3; RF_R040=5/10. Reducción propuesta, sin eficacia verificada. Probar comprensión con locales y revisión de divulgación; desactivar comparativos hasta autorización. Validación necesaria: Prueba de comprensión; revisión de privacidad y separación de copias pedidas/entregadas. Las HH residuales no incluyen pagos externos; entradas monetarias pendientes.</x:t>
        </x:r>
      </x:text>
    </x:comment>
    <x:comment ref="E488" authorId="0">
      <x:text>
        <x:r>
          <x:t>Esfuerzo adicional 32 HH. Descomposición de planificación: 4 jornadas-persona de 8 h para preparar, ejecutar y revisar la medida; validar reparto real por rol con Patricio Henríquez. Conciliar T-14 4.1 / Subdocumento 13 13.5 y retirar trabajo ya presupuestado. CLP: tarifa y desembolsos de terceros pendientes.</x:t>
        </x:r>
      </x:text>
    </x:comment>
    <x:comment ref="C489" authorId="0">
      <x:text>
        <x:r>
          <x:t>Escenario objetivo de R-041: RP_R041=15 %; RI_R041=3; RF_R041=5/20. Reducción propuesta, sin eficacia verificada. Ensayar una entrega parcial a operadores del cliente y corregir runbooks antes del cierre. Validación necesaria: Operador receptor ejecuta procedimiento con cuentas propias y exportación reconciliada. Las HH residuales no incluyen pagos externos; entradas monetarias pendientes.</x:t>
        </x:r>
      </x:text>
    </x:comment>
    <x:comment ref="E489" authorId="0">
      <x:text>
        <x:r>
          <x:t>Esfuerzo adicional 48 HH. Descomposición de planificación: 6 jornadas-persona de 8 h para preparar, ejecutar y revisar la medida; validar reparto real por rol con Guillermo Castillo. Conciliar T-14 9.2.1 / 1.7.2 y retirar trabajo ya presupuestado. CLP: tarifa y desembolsos de terceros pendientes.</x:t>
        </x:r>
      </x:text>
    </x:comment>
    <x:comment ref="C490" authorId="0">
      <x:text>
        <x:r>
          <x:t>Escenario objetivo de R-042: RP_R042=20 %; RI_R042=3; RF_R042=5/20. Reducción propuesta, sin eficacia verificada. Revisar normativa aplicable con asesor competente y ensayar purga con expediente retenido. Validación necesaria: Matriz legal actualizada y ensayo de supresión sin reconstrucción; no se certifica legalidad con esta planilla. Las HH residuales no incluyen pagos externos; entradas monetarias pendientes.</x:t>
        </x:r>
      </x:text>
    </x:comment>
    <x:comment ref="E490" authorId="0">
      <x:text>
        <x:r>
          <x:t>Esfuerzo adicional 40 HH. Descomposición de planificación: 5 jornadas-persona de 8 h para preparar, ejecutar y revisar la medida; validar reparto real por rol con Álvaro Catalán. Conciliar T-14 2.2 / 8.2 y retirar trabajo ya presupuestado. CLP: tarifa y desembolsos de terceros pendientes.</x:t>
        </x:r>
      </x:text>
    </x:comment>
    <x:comment ref="C491" authorId="0">
      <x:text>
        <x:r>
          <x:t>Escenario objetivo de R-043: RP_R043=10 %; RI_R043=3; RF_R043=3/10. Reducción propuesta, sin eficacia verificada. Inyectar timeout después del cargo y probar consulta, cancelación y autorización de alternativa. Validación necesaria: Contrato POS y prueba de un solo cargo económico con correlación y devolución. Las HH residuales no incluyen pagos externos; entradas monetarias pendientes.</x:t>
        </x:r>
      </x:text>
    </x:comment>
    <x:comment ref="E491" authorId="0">
      <x:text>
        <x:r>
          <x:t>Esfuerzo adicional 32 HH. Descomposición de planificación: 4 jornadas-persona de 8 h para preparar, ejecutar y revisar la medida; validar reparto real por rol con Leandro Chamorro. Conciliar T-14 3.6.2 / 3.4.10 y retirar trabajo ya presupuestado. CLP: tarifa y desembolsos de terceros pendientes.</x:t>
        </x:r>
      </x:text>
    </x:comment>
    <x:comment ref="C492" authorId="0">
      <x:text>
        <x:r>
          <x:t>Escenario objetivo de R-044: RP_R044=10 %; RI_R044=3; RF_R044=3/10. Reducción propuesta, sin eficacia verificada. Probar retorno parcial, sitio offline y reintento con lote retenido y envase recuperado. Validación necesaria: Conciliación por cliente/tipo y lote; MERMA/DESTRUCCION no duplica costo. Las HH residuales no incluyen pagos externos; entradas monetarias pendientes.</x:t>
        </x:r>
      </x:text>
    </x:comment>
    <x:comment ref="E492" authorId="0">
      <x:text>
        <x:r>
          <x:t>Esfuerzo adicional 32 HH. Descomposición de planificación: 4 jornadas-persona de 8 h para preparar, ejecutar y revisar la medida; validar reparto real por rol con Leandro Chamorro. Conciliar T-14 3.4.9 / 3.8.1 y retirar trabajo ya presupuestado. CLP: tarifa y desembolsos de terceros pendientes.</x:t>
        </x:r>
      </x:text>
    </x:comment>
    <x:comment ref="C493" authorId="0">
      <x:text>
        <x:r>
          <x:t>Escenario objetivo de R-045: RP_R045=15 %; RI_R045=3; RF_R045=5/15. Reducción propuesta, sin eficacia verificada. Validar rutas por zona y atributos físicos; comparar proveedor GIS y ruta conocida con conductor. Validación necesaria: Catálogo de restricciones aprobado y planificación con corrección auditada, incluso sin señal. Las HH residuales no incluyen pagos externos; entradas monetarias pendientes.</x:t>
        </x:r>
      </x:text>
    </x:comment>
    <x:comment ref="E493" authorId="0">
      <x:text>
        <x:r>
          <x:t>Esfuerzo adicional 40 HH. Descomposición de planificación: 5 jornadas-persona de 8 h para preparar, ejecutar y revisar la medida; validar reparto real por rol con Bastián Trejo. Conciliar T-14 3.6.3 / 3.4.7 y retirar trabajo ya presupuestado. CLP: tarifa y desembolsos de terceros pendientes.</x:t>
        </x:r>
      </x:text>
    </x:comment>
    <x:comment ref="F508" authorId="0">
      <x:text>
        <x:r>
          <x:t>Entradas editables mediante Fórmulas &gt; Administrador de nombres: Tarifa_CLP_HH; Costos_Directos_Base_CLP; GG_Tasa; Utilidad_Tasa; Contrato_CLP; Regla_Interna_Tasa; Reserva_Gestion_CLP. Valores actuales: Pendiente. Externo_Accion_R001…R045 requiere revisar el costo directo externo, aunque sea cero confirmado. Nunca completar los pendientes con los valores del ejercicio.</x:t>
        </x:r>
      </x:text>
    </x:comment>
    <x:comment ref="D38" authorId="0">
      <x:text>
        <x:r>
          <x:t>Dueño: Bastián Trejo. Acción: Probar lectura, escritura autorizada y emisión con el proveedor; cerrar contrato de interfaz. Plazo: mes 2, relativo al inicio contractual confirmado. Etapa: Implementación. Esfuerzo adicional RA_R001=64 HH. Disparador: Al cierre del mes 2 no existe intercambio completo en ambiente de prueba. Evidencia: Contrato firmado, extracción real, rechazo y reintento probados; no basta OpenAPI interno. Dependencia y riesgo secundario: Dependencia: tercero y contraparte; validar contrato antes de imputar eficacia. Secundario: prueba/acción puede consumir capacidad o afectar operación; hacerla en entorno autorizado.. Contingencia: conservar el control base, aislar el flujo afectado, corregir/conciliar; no promover versión ni cerrar aceptación sin evidencia, activar reversión del paquete 1.2.3 / 3.3.2 y escalar al JP. Antes de línea base, confirmar asignación con dueño y EDT. Validación editable: Estado_R001, Evidencia_R001, Fecha_R001 (fecha serial Excel), Revisor_R001. Una etiqueta Verificada sin los tres respaldos no permite aplicar la reducción.</x:t>
        </x:r>
      </x:text>
    </x:comment>
    <x:comment ref="D39" authorId="0">
      <x:text>
        <x:r>
          <x:t>Dueño: Bastián Trejo. Acción: Acordar licencia de datos, cuotas y prueba de extracción; exigir procedimiento de cambio. Plazo: antes de presentar; hito de ejecución mes 2, relativo al inicio contractual confirmado. Etapa: Propuesta. Esfuerzo adicional RA_R002=32 HH. Disparador: No hay autorización y muestra válida al final del mes 2. Evidencia: Autorización escrita y prueba de posición/historia con límites contratados. Dependencia y riesgo secundario: Dependencia: tercero y contraparte; validar contrato antes de imputar eficacia. Secundario: prueba/acción puede consumir capacidad o afectar operación; hacerla en entorno autorizado.. Contingencia: conservar el control base, aislar el flujo afectado, corregir/conciliar; no promover versión ni cerrar aceptación sin evidencia, activar reversión del paquete 1.2.3 / 3.3.4 y escalar al JP. Antes de línea base, confirmar asignación con dueño y EDT. Validación editable: Estado_R002, Evidencia_R002, Fecha_R002 (fecha serial Excel), Revisor_R002. Una etiqueta Verificada sin los tres respaldos no permite aplicar la reducción.</x:t>
        </x:r>
      </x:text>
    </x:comment>
    <x:comment ref="D40" authorId="0">
      <x:text>
        <x:r>
          <x:t>Dueño: Leandro Chamorro. Acción: Ejecutar un ensayo adicional de delta y reversión con pendientes de recepción, picking y retornos. Plazo: mes 11, relativo al inicio contractual confirmado. Etapa: Implantación. Esfuerzo adicional RA_R003=64 HH. Disparador: Una diferencia de saldo o tarea queda sin explicación al ensayo. Evidencia: Conciliación aprobada por bodega y Finanzas; rollback restaura estado sin doble operación. Dependencia y riesgo secundario: Dependencia: tercero y contraparte; validar contrato antes de imputar eficacia. Secundario: prueba/acción puede consumir capacidad o afectar operación; hacerla en entorno autorizado.. Contingencia: conservar el control base, aislar el flujo afectado, corregir/conciliar; no promover versión ni cerrar aceptación sin evidencia, activar reversión del paquete 3.3.3 / 3.7.5 y escalar al JP. Antes de línea base, confirmar asignación con dueño y EDT. Validación editable: Estado_R003, Evidencia_R003, Fecha_R003 (fecha serial Excel), Revisor_R003. Una etiqueta Verificada sin los tres respaldos no permite aplicar la reducción.</x:t>
        </x:r>
      </x:text>
    </x:comment>
    <x:comment ref="D41" authorId="0">
      <x:text>
        <x:r>
          <x:t>Dueño: Leandro Chamorro. Acción: Muestrear datos completos por origen y antigüedad, medir defectos y obtener responsables de corrección. Plazo: mes 3, relativo al inicio contractual confirmado. Etapa: Implementación. Esfuerzo adicional RA_R004=96 HH. Disparador: Campos críticos sin correspondencia o lote ausente en la muestra. Evidencia: Perfilado reproducible; rechazos aislados; no fabricar lotes faltantes; conciliación por conjunto. Dependencia y riesgo secundario: Dependencia: dueño y contraparte; asignar ventana sin desplazar hitos. Secundario: prueba/acción puede consumir capacidad o afectar operación; hacerla en entorno autorizado.. Contingencia: conservar el control base, aislar el flujo afectado, corregir/conciliar; no promover versión ni cerrar aceptación sin evidencia, activar reversión del paquete 3.7.1 / 3.7.2 y escalar al JP. Antes de línea base, confirmar asignación con dueño y EDT. Validación editable: Estado_R004, Evidencia_R004, Fecha_R004 (fecha serial Excel), Revisor_R004. Una etiqueta Verificada sin los tres respaldos no permite aplicar la reducción.</x:t>
        </x:r>
      </x:text>
    </x:comment>
    <x:comment ref="D42" authorId="0">
      <x:text>
        <x:r>
          <x:t>Dueño: Tomás Pérez. Acción: Inyectar fallas después de persistir y antes del acuse, con dos sitios y un móvil. Plazo: mes 8, relativo al inicio contractual confirmado. Etapa: Implementación. Esfuerzo adicional RA_R005=64 HH. Disparador: Reintento genera más de un resultado económico o saldo negativo. Evidencia: Prueba con UUID repetido, orden invertido y corte de 24 h; invariantes conciliados. Dependencia y riesgo secundario: Dependencia: dueño y contraparte; asignar ventana sin desplazar hitos. Secundario: prueba/acción puede consumir capacidad o afectar operación; hacerla en entorno autorizado.. Contingencia: conservar el control base, aislar el flujo afectado, corregir/conciliar; no promover versión ni cerrar aceptación sin evidencia, activar reversión del paquete 3.3.6 / 3.8.1 y escalar al JP. Antes de línea base, confirmar asignación con dueño y EDT. Validación editable: Estado_R005, Evidencia_R005, Fecha_R005 (fecha serial Excel), Revisor_R005. Una etiqueta Verificada sin los tres respaldos no permite aplicar la reducción.</x:t>
        </x:r>
      </x:text>
    </x:comment>
    <x:comment ref="D43" authorId="0">
      <x:text>
        <x:r>
          <x:t>Dueño: Guillermo Castillo. Acción: Inspeccionar rutas físicas y simular caída de fibra y LTE con el satélite activo. Plazo: mes 6, relativo al inicio contractual confirmado. Etapa: Implementación. Esfuerzo adicional RA_R006=32 HH. Disparador: Proveedor no demuestra diversidad o BGP no conmuta en prueba. Evidencia: Acta de diversidad y prueba de 24 h con recepción, preparación y despacho reales. Dependencia y riesgo secundario: Dependencia: dueño y contraparte; asignar ventana sin desplazar hitos. Secundario: prueba/acción puede consumir capacidad o afectar operación; hacerla en entorno autorizado.. Contingencia: conservar el control base, aislar el flujo afectado, corregir/conciliar; no promover versión ni cerrar aceptación sin evidencia, activar reversión del paquete 6.6 / 3.8.3 y escalar al JP. Antes de línea base, confirmar asignación con dueño y EDT. Validación editable: Estado_R006, Evidencia_R006, Fecha_R006 (fecha serial Excel), Revisor_R006. Una etiqueta Verificada sin los tres respaldos no permite aplicar la reducción.</x:t>
        </x:r>
      </x:text>
    </x:comment>
    <x:comment ref="D44" authorId="0">
      <x:text>
        <x:r>
          <x:t>Dueño: Guillermo Castillo. Acción: Medir cobertura nocturna y ensayar las transferencias con corte y reposición de enlace. Plazo: mes 9, relativo al inicio contractual confirmado. Etapa: Implementación. Esfuerzo adicional RA_R007=32 HH. Disparador: Una transferencia depende de una llamada central durante el corte. Evidencia: Acta nocturna por plataforma, cola durable y conciliación dentro de 2 h. Dependencia y riesgo secundario: Dependencia: dueño y contraparte; asignar ventana sin desplazar hitos. Secundario: prueba/acción puede consumir capacidad o afectar operación; hacerla en entorno autorizado.. Contingencia: conservar el control base, aislar el flujo afectado, corregir/conciliar; no promover versión ni cerrar aceptación sin evidencia, activar reversión del paquete 6.6 / 3.3.6 y escalar al JP. Antes de línea base, confirmar asignación con dueño y EDT. Validación editable: Estado_R007, Evidencia_R007, Fecha_R007 (fecha serial Excel), Revisor_R007. Una etiqueta Verificada sin los tres respaldos no permite aplicar la reducción.</x:t>
        </x:r>
      </x:text>
    </x:comment>
    <x:comment ref="D45" authorId="0">
      <x:text>
        <x:r>
          <x:t>Dueño: Tomás Pérez. Acción: Ensayar 14 h en ruta con periféricos y batería envejecida, más reconexión en 10 min. Plazo: mes 10, relativo al inicio contractual confirmado. Etapa: Implementación. Esfuerzo adicional RA_R008=48 HH. Disparador: Cierre inesperado, dato perdido o batería agotada antes de terminar el turno. Evidencia: Jornada íntegra reproducible y sin duplicados, bajo condiciones de terreno. Dependencia y riesgo secundario: Dependencia: dueño y contraparte; asignar ventana sin desplazar hitos. Secundario: prueba/acción puede consumir capacidad o afectar operación; hacerla en entorno autorizado.. Contingencia: conservar el control base, aislar el flujo afectado, corregir/conciliar; no promover versión ni cerrar aceptación sin evidencia, activar reversión del paquete 3.3.6 / 3.4.6 / 3.4.8 y escalar al JP. Antes de línea base, confirmar asignación con dueño y EDT. Validación editable: Estado_R008, Evidencia_R008, Fecha_R008 (fecha serial Excel), Revisor_R008. Una etiqueta Verificada sin los tres respaldos no permite aplicar la reducción.</x:t>
        </x:r>
      </x:text>
    </x:comment>
    <x:comment ref="D46" authorId="0">
      <x:text>
        <x:r>
          <x:t>Dueño: Álvaro Catalán. Acción: Probar dos relevos durante un corte, vencimiento y revocación con el verificador local. Plazo: mes 8, relativo al inicio contractual confirmado. Etapa: Implementación. Esfuerzo adicional RA_R009=32 HH. Disparador: Turno válido denegado o manifiesto vencido aceptado. Evidencia: Acta de corte con cambios de turno, denegación y bitácora posterior. Dependencia y riesgo secundario: Dependencia: dueño y contraparte; asignar ventana sin desplazar hitos. Secundario: prueba/acción puede consumir capacidad o afectar operación; hacerla en entorno autorizado.. Contingencia: conservar el control base, aislar el flujo afectado, corregir/conciliar; no promover versión ni cerrar aceptación sin evidencia, activar reversión del paquete 3.3.1 / 3.8.3 y escalar al JP. Antes de línea base, confirmar asignación con dueño y EDT. Validación editable: Estado_R009, Evidencia_R009, Fecha_R009 (fecha serial Excel), Revisor_R009. Una etiqueta Verificada sin los tres respaldos no permite aplicar la reducción.</x:t>
        </x:r>
      </x:text>
    </x:comment>
    <x:comment ref="D47" authorId="0">
      <x:text>
        <x:r>
          <x:t>Dueño: Bastián Trejo. Acción: Validar una unidad por tipo en cámara, con guantes, condensación y ciclo entrada/salida. Plazo: mes 3, relativo al inicio contractual confirmado. Etapa: Implementación. Esfuerzo adicional RA_R010=40 HH. Disparador: Modelo o accesorio no tiene rango acreditado o falla en ensayo. Evidencia: Ficha exacta y prueba funcional completa antes de compra masiva. Dependencia y riesgo secundario: Dependencia: dueño y contraparte; asignar ventana sin desplazar hitos. Secundario: prueba/acción puede consumir capacidad o afectar operación; hacerla en entorno autorizado.. Contingencia: conservar el control base, aislar el flujo afectado, corregir/conciliar; no promover versión ni cerrar aceptación sin evidencia, activar reversión del paquete 5.1.2 / 5.1.3 / 3.4.3 y escalar al JP. Antes de línea base, confirmar asignación con dueño y EDT. Validación editable: Estado_R010, Evidencia_R010, Fecha_R010 (fecha serial Excel), Revisor_R010. Una etiqueta Verificada sin los tres respaldos no permite aplicar la reducción.</x:t>
        </x:r>
      </x:text>
    </x:comment>
    <x:comment ref="D48" authorId="0">
      <x:text>
        <x:r>
          <x:t>Dueño: Maximiliano Miño. Acción: Validar rangos por familia y contrastar sensor patrón con alarma, desconexión y lectura tardía. Plazo: mes 8, relativo al inicio contractual confirmado. Etapa: Implementación. Esfuerzo adicional RA_R011=64 HH. Disparador: Ficha sin aprobación, deriva de calibración o alarmas contradictorias. Evidencia: Calidad aprueba reglas; sensor patrón y ensayo de bloqueo; ninguna liberación automática. Dependencia y riesgo secundario: Dependencia: dueño y contraparte; asignar ventana sin desplazar hitos. Secundario: prueba/acción puede consumir capacidad o afectar operación; hacerla en entorno autorizado.. Contingencia: conservar el control base, aislar el flujo afectado, corregir/conciliar; no promover versión ni cerrar aceptación sin evidencia, activar reversión del paquete 3.4.4 / 3.4.5 y escalar al JP. Antes de línea base, confirmar asignación con dueño y EDT. Validación editable: Estado_R011, Evidencia_R011, Fecha_R011 (fecha serial Excel), Revisor_R011. Una etiqueta Verificada sin los tres respaldos no permite aplicar la reducción.</x:t>
        </x:r>
      </x:text>
    </x:comment>
    <x:comment ref="D49" authorId="0">
      <x:text>
        <x:r>
          <x:t>Dueño: Maximiliano Miño. Acción: Ejecutar retiro simulado extremo a extremo con lote repartido, devolución y sitio desconectado. Plazo: mes 12, relativo al inicio contractual confirmado. Etapa: Implantación. Esfuerzo adicional RA_R012=80 HH. Disparador: Consulta no identifica todos los destinos o supera dos horas. Evidencia: Listado reconciliado contra entregas y devoluciones en menos de 2 h; historia incompleta declarada. Dependencia y riesgo secundario: Dependencia: dueño y contraparte; asignar ventana sin desplazar hitos. Secundario: prueba/acción puede consumir capacidad o afectar operación; hacerla en entorno autorizado.. Contingencia: conservar el control base, aislar el flujo afectado, corregir/conciliar; no promover versión ni cerrar aceptación sin evidencia, activar reversión del paquete 3.4.4 / 3.8.2 y escalar al JP. Antes de línea base, confirmar asignación con dueño y EDT. Validación editable: Estado_R012, Evidencia_R012, Fecha_R012 (fecha serial Excel), Revisor_R012. Una etiqueta Verificada sin los tres respaldos no permite aplicar la reducción.</x:t>
        </x:r>
      </x:text>
    </x:comment>
    <x:comment ref="D50" authorId="0">
      <x:text>
        <x:r>
          <x:t>Dueño: Guillermo Castillo. Acción: Probar carga con un nodo fuera, backlog y periféricos reales en ventana de despacho. Plazo: mes 11, relativo al inicio contractual confirmado. Etapa: Implementación. Esfuerzo adicional RA_R013=64 HH. Disparador: Picking supera 1 s o la cola no drena antes del despacho. Evidencia: Prueba a peak de caso y margen declarado; 96 despachos completos con falla inyectada. Dependencia y riesgo secundario: Dependencia: dueño y contraparte; asignar ventana sin desplazar hitos. Secundario: prueba/acción puede consumir capacidad o afectar operación; hacerla en entorno autorizado.. Contingencia: conservar el control base, aislar el flujo afectado, corregir/conciliar; no promover versión ni cerrar aceptación sin evidencia, activar reversión del paquete 3.8.4 / 3.9.3 y escalar al JP. Antes de línea base, confirmar asignación con dueño y EDT. Validación editable: Estado_R013, Evidencia_R013, Fecha_R013 (fecha serial Excel), Revisor_R013. Una etiqueta Verificada sin los tres respaldos no permite aplicar la reducción.</x:t>
        </x:r>
      </x:text>
    </x:comment>
    <x:comment ref="D51" authorId="0">
      <x:text>
        <x:r>
          <x:t>Dueño: Guillermo Castillo. Acción: Recepcionar energía, autonomía y climatización con carga, corte y alarma. Plazo: mes 4, relativo al inicio contractual confirmado. Etapa: Implementación. Esfuerzo adicional RA_R014=40 HH. Disparador: Autonomía o temperatura fuera del diseño en aceptación. Evidencia: Ensayo de energía y carga térmica, PDU/circuitos comprobados y acta de recepción. Dependencia y riesgo secundario: Dependencia: dueño y contraparte; asignar ventana sin desplazar hitos. Secundario: prueba/acción puede consumir capacidad o afectar operación; hacerla en entorno autorizado.. Contingencia: conservar el control base, aislar el flujo afectado, corregir/conciliar; no promover versión ni cerrar aceptación sin evidencia, activar reversión del paquete 6.1 / 6.3 y escalar al JP. Antes de línea base, confirmar asignación con dueño y EDT. Validación editable: Estado_R014, Evidencia_R014, Fecha_R014 (fecha serial Excel), Revisor_R014. Una etiqueta Verificada sin los tres respaldos no permite aplicar la reducción.</x:t>
        </x:r>
      </x:text>
    </x:comment>
    <x:comment ref="D52" authorId="0">
      <x:text>
        <x:r>
          <x:t>Dueño: Guillermo Castillo. Acción: Ensayar desastre total con escritura en curso, exclusión del escritor y retorno. Plazo: mes 11, relativo al inicio contractual confirmado. Etapa: Implementación. Esfuerzo adicional RA_R015=80 HH. Disparador: RPO supera 15 min, RTO supera 4 h o dos escritores aceptan operaciones. Evidencia: Informe medido de conmutación y retorno; incluir pérdida simultánea de WAN y nodo. Dependencia y riesgo secundario: Dependencia: dueño y contraparte; asignar ventana sin desplazar hitos. Secundario: prueba/acción puede consumir capacidad o afectar operación; hacerla en entorno autorizado.. Contingencia: conservar el control base, aislar el flujo afectado, corregir/conciliar; no promover versión ni cerrar aceptación sin evidencia, activar reversión del paquete 3.8.5 / 3.9.4 y escalar al JP. Antes de línea base, confirmar asignación con dueño y EDT. Validación editable: Estado_R015, Evidencia_R015, Fecha_R015 (fecha serial Excel), Revisor_R015. Una etiqueta Verificada sin los tres respaldos no permite aplicar la reducción.</x:t>
        </x:r>
      </x:text>
    </x:comment>
    <x:comment ref="D53" authorId="0">
      <x:text>
        <x:r>
          <x:t>Dueño: Álvaro Catalán. Acción: Revisar superficie y privilegios; probar restauración aislada y respuesta a credencial comprometida. Plazo: mes 11, relativo al inicio contractual confirmado. Etapa: Implementación. Esfuerzo adicional RA_R016=64 HH. Disparador: Hallazgo explotable, acceso anómalo o registro de auditoría alterado. Evidencia: Pentest sin hallazgos bloqueantes y ejercicio de contención/recuperación. Dependencia y riesgo secundario: Dependencia: dueño y contraparte; asignar ventana sin desplazar hitos. Secundario: prueba/acción puede consumir capacidad o afectar operación; hacerla en entorno autorizado.. Contingencia: conservar el control base, aislar el flujo afectado, corregir/conciliar; no promover versión ni cerrar aceptación sin evidencia, activar reversión del paquete 2.2 / 3.8.6 y escalar al JP. Antes de línea base, confirmar asignación con dueño y EDT. Validación editable: Estado_R016, Evidencia_R016, Fecha_R016 (fecha serial Excel), Revisor_R016. Una etiqueta Verificada sin los tres respaldos no permite aplicar la reducción.</x:t>
        </x:r>
      </x:text>
    </x:comment>
    <x:comment ref="D54" authorId="0">
      <x:text>
        <x:r>
          <x:t>Dueño: Patricio Henríquez. Acción: Acordar finalidades, retención y acceso con sindicato y dirección; demostrar uso sin control de jornada. Plazo: antes de presentar; hito de ejecución mes 3, relativo al inicio contractual confirmado. Etapa: Propuesta. Esfuerzo adicional RA_R017=48 HH. Disparador: No existe acuerdo antes del piloto o se detecta finalidad distinta. Evidencia: Acta de participación, revisión de privacidad y prueba de permisos/retención. Dependencia y riesgo secundario: Dependencia: dueño y contraparte; asignar ventana sin desplazar hitos. Secundario: prueba/acción puede consumir capacidad o afectar operación; hacerla en entorno autorizado.. Contingencia: conservar el control base, aislar el flujo afectado, corregir/conciliar; no promover versión ni cerrar aceptación sin evidencia, activar reversión del paquete 5.4.2 / 2.2 y escalar al JP. Antes de línea base, confirmar asignación con dueño y EDT. Validación editable: Estado_R017, Evidencia_R017, Fecha_R017 (fecha serial Excel), Revisor_R017. Una etiqueta Verificada sin los tres respaldos no permite aplicar la reducción.</x:t>
        </x:r>
      </x:text>
    </x:comment>
    <x:comment ref="D55" authorId="0">
      <x:text>
        <x:r>
          <x:t>Dueño: Patricio Henríquez. Acción: Probar alta, baja y conductor suplente por cada empresa; pactar obligación de informar reemplazos. Plazo: mes 11, relativo al inicio contractual confirmado. Etapa: Implantación. Esfuerzo adicional RA_R018=64 HH. Disparador: Conductor de reemplazo llega sin autorización o capacitación. Evidencia: Diez acuerdos y prueba de enrolamiento/soporte que no detenga reparto. Dependencia y riesgo secundario: Dependencia: dueño y contraparte; asignar ventana sin desplazar hitos. Secundario: prueba/acción puede consumir capacidad o afectar operación; hacerla en entorno autorizado.. Contingencia: conservar el control base, aislar el flujo afectado, corregir/conciliar; no promover versión ni cerrar aceptación sin evidencia, activar reversión del paquete 5.4.1 / 4.1 y escalar al JP. Antes de línea base, confirmar asignación con dueño y EDT. Validación editable: Estado_R018, Evidencia_R018, Fecha_R018 (fecha serial Excel), Revisor_R018. Una etiqueta Verificada sin los tres respaldos no permite aplicar la reducción.</x:t>
        </x:r>
      </x:text>
    </x:comment>
    <x:comment ref="D56" authorId="0">
      <x:text>
        <x:r>
          <x:t>Dueño: Patricio Henríquez. Acción: Validar incorporación de personal nuevo con tareas reales y guías breves de turno. Plazo: mes 12, relativo al inicio contractual confirmado. Etapa: Implantación. Esfuerzo adicional RA_R019=64 HH. Disparador: Errores superan el criterio aprobado o novato requiere apoyo continuo. Evidencia: Medir tiempo, pasos y errores según 3.A.4a con novatos en turno nocturno. Dependencia y riesgo secundario: Dependencia: dueño y contraparte; asignar ventana sin desplazar hitos. Secundario: prueba/acción puede consumir capacidad o afectar operación; hacerla en entorno autorizado.. Contingencia: conservar el control base, aislar el flujo afectado, corregir/conciliar; no promover versión ni cerrar aceptación sin evidencia, activar reversión del paquete 4.1 / 4.2.1 y escalar al JP. Antes de línea base, confirmar asignación con dueño y EDT. Validación editable: Estado_R019, Evidencia_R019, Fecha_R019 (fecha serial Excel), Revisor_R019. Una etiqueta Verificada sin los tres respaldos no permite aplicar la reducción.</x:t>
        </x:r>
      </x:text>
    </x:comment>
    <x:comment ref="D57" authorId="0">
      <x:text>
        <x:r>
          <x:t>Dueño: Patricio Henríquez. Acción: Acordar microturnos de entrenamiento y recuperar ausencias por ruta y perfil. Plazo: mes 12, relativo al inicio contractual confirmado. Etapa: Implantación. Esfuerzo adicional RA_R020=32 HH. Disparador: Cobertura de certificación incompleta dos semanas antes de cierre. Evidencia: Agenda aprobada, asistencia y prueba práctica individual por perfil. Dependencia y riesgo secundario: Dependencia: dueño y contraparte; asignar ventana sin desplazar hitos. Secundario: prueba/acción puede consumir capacidad o afectar operación; hacerla en entorno autorizado.. Contingencia: conservar el control base, aislar el flujo afectado, corregir/conciliar; no promover versión ni cerrar aceptación sin evidencia, activar reversión del paquete 4.1 / 4.2 / 4.3 y escalar al JP. Antes de línea base, confirmar asignación con dueño y EDT. Validación editable: Estado_R020, Evidencia_R020, Fecha_R020 (fecha serial Excel), Revisor_R020. Una etiqueta Verificada sin los tres respaldos no permite aplicar la reducción.</x:t>
        </x:r>
      </x:text>
    </x:comment>
    <x:comment ref="D58" authorId="0">
      <x:text>
        <x:r>
          <x:t>Dueño: Patricio Henríquez. Acción: Capturar y validar reglas por zona con Hugo y un suplente, usando rutas y restricciones reales. Plazo: mes 3, relativo al inicio contractual confirmado. Etapa: Implementación. Esfuerzo adicional RA_R021=64 HH. Disparador: Zona sin reglas y suplente sin ejecutar una planificación independiente. Evidencia: Repositorio aprobado y suplente planifica rutas sin ayuda, sin violar peso/puentes/ventanas. Dependencia y riesgo secundario: Dependencia: dueño y contraparte; asignar ventana sin desplazar hitos. Secundario: prueba/acción puede consumir capacidad o afectar operación; hacerla en entorno autorizado.. Contingencia: conservar el control base, aislar el flujo afectado, corregir/conciliar; no promover versión ni cerrar aceptación sin evidencia, activar reversión del paquete 1.2.2 / 3.4.7 y escalar al JP. Antes de línea base, confirmar asignación con dueño y EDT. Validación editable: Estado_R021, Evidencia_R021, Fecha_R021 (fecha serial Excel), Revisor_R021. Una etiqueta Verificada sin los tres respaldos no permite aplicar la reducción.</x:t>
        </x:r>
      </x:text>
    </x:comment>
    <x:comment ref="D59" authorId="0">
      <x:text>
        <x:r>
          <x:t>Dueño: Alex Aravena. Acción: Pactar titulares y suplentes, agenda y SLA de decisiones por hito. Plazo: antes de presentar; hito de ejecución mes 1, relativo al inicio contractual confirmado. Etapa: Propuesta. Esfuerzo adicional RA_R022=32 HH. Disparador: Validación pendiente cinco días hábiles o sin suplente. Evidencia: Agenda y acuerdos escritos; ninguna aprobación tácita de aceptación contractual. Dependencia y riesgo secundario: Dependencia: dueño y contraparte; asignar ventana sin desplazar hitos. Secundario: prueba/acción puede consumir capacidad o afectar operación; hacerla en entorno autorizado.. Contingencia: conservar el control base, aislar el flujo afectado, corregir/conciliar; no promover versión ni cerrar aceptación sin evidencia, activar reversión del paquete 1.1 / 1.2 / 2.4 y escalar al JP. Antes de línea base, confirmar asignación con dueño y EDT. Validación editable: Estado_R022, Evidencia_R022, Fecha_R022 (fecha serial Excel), Revisor_R022. Una etiqueta Verificada sin los tres respaldos no permite aplicar la reducción.</x:t>
        </x:r>
      </x:text>
    </x:comment>
    <x:comment ref="D60" authorId="0">
      <x:text>
        <x:r>
          <x:t>Dueño: Alex Aravena. Acción: Revalidar calendario por fecha efectiva y reservar alternativa permitida para cada corte. Plazo: mes 4, relativo al inicio contractual confirmado. Etapa: Implementación. Esfuerzo adicional RA_R023=24 HH. Disparador: Fecha propuesta cae en congelamiento o cierre mensual. Evidencia: Calendario validado por contraparte y plan alternativo; emergencia requiere definición contractual. Dependencia y riesgo secundario: Dependencia: dueño y contraparte; asignar ventana sin desplazar hitos. Secundario: prueba/acción puede consumir capacidad o afectar operación; hacerla en entorno autorizado.. Contingencia: conservar el control base, aislar el flujo afectado, corregir/conciliar; no promover versión ni cerrar aceptación sin evidencia, activar reversión del paquete 3.7.5 / 4.2 / 4.3 y escalar al JP. Antes de línea base, confirmar asignación con dueño y EDT. Validación editable: Estado_R023, Evidencia_R023, Fecha_R023 (fecha serial Excel), Revisor_R023. Una etiqueta Verificada sin los tres respaldos no permite aplicar la reducción.</x:t>
        </x:r>
      </x:text>
    </x:comment>
    <x:comment ref="D61" authorId="0">
      <x:text>
        <x:r>
          <x:t>Dueño: Bastián Trejo. Acción: Confirmar orden, stock y plazo por ola; homologar alternativa antes de la compra. Plazo: mes 3, relativo al inicio contractual confirmado. Etapa: Implementación. Esfuerzo adicional RA_R024=32 HH. Disparador: Orden sin fecha comprometida o muestra no aceptada un mes antes de ola. Evidencia: Orden y acta de muestra; préstamo o alternativa homologada no reduce población de prueba. Dependencia y riesgo secundario: Dependencia: dueño y contraparte; asignar ventana sin desplazar hitos. Secundario: prueba/acción puede consumir capacidad o afectar operación; hacerla en entorno autorizado.. Contingencia: conservar el control base, aislar el flujo afectado, corregir/conciliar; no promover versión ni cerrar aceptación sin evidencia, activar reversión del paquete 5.1.2 / 5.1.3 y escalar al JP. Antes de línea base, confirmar asignación con dueño y EDT. Validación editable: Estado_R024, Evidencia_R024, Fecha_R024 (fecha serial Excel), Revisor_R024. Una etiqueta Verificada sin los tres respaldos no permite aplicar la reducción.</x:t>
        </x:r>
      </x:text>
    </x:comment>
    <x:comment ref="D62" authorId="0">
      <x:text>
        <x:r>
          <x:t>Dueño: Alex Aravena. Acción: Nominar equipos separados y suplentes; verificar capacidad semanal y contrato de refuerzo. Plazo: mes 4, relativo al inicio contractual confirmado. Etapa: Implementación. Esfuerzo adicional RA_R025=40 HH. Disparador: Capacidad disponible por rol menor que carga dos semanas seguidas. Evidencia: Cartas y calendario nominal; no sumar las HH de mitigación a capacidad inexistente. Dependencia y riesgo secundario: Dependencia: dueño y contraparte; asignar ventana sin desplazar hitos. Secundario: prueba/acción puede consumir capacidad o afectar operación; hacerla en entorno autorizado.. Contingencia: conservar el control base, aislar el flujo afectado, corregir/conciliar; no promover versión ni cerrar aceptación sin evidencia, activar reversión del paquete 1.1 / 3.4 / 3.5 / 4.2 y escalar al JP. Antes de línea base, confirmar asignación con dueño y EDT. Validación editable: Estado_R025, Evidencia_R025, Fecha_R025 (fecha serial Excel), Revisor_R025. Una etiqueta Verificada sin los tres respaldos no permite aplicar la reducción.</x:t>
        </x:r>
      </x:text>
    </x:comment>
    <x:comment ref="D63" authorId="0">
      <x:text>
        <x:r>
          <x:t>Dueño: Maximiliano Miño. Acción: Revisar evidencia con contraparte antes del hito y ejecutar ensayo de go/no-go. Plazo: mes 11, relativo al inicio contractual confirmado. Etapa: Implantación. Esfuerzo adicional RA_R026=48 HH. Disparador: Incidente alto abierto, diferencia sin explicar o acta pendiente. Evidencia: Checklist de seis condiciones con evidencia; ninguna firma ni prueba se presume. Dependencia y riesgo secundario: Dependencia: dueño y contraparte; asignar ventana sin desplazar hitos. Secundario: prueba/acción puede consumir capacidad o afectar operación; hacerla en entorno autorizado.. Contingencia: conservar el control base, aislar el flujo afectado, corregir/conciliar; no promover versión ni cerrar aceptación sin evidencia, activar reversión del paquete 3.8.2 / 3.9.2 / 4.2 / 4.3 y escalar al JP. Antes de línea base, confirmar asignación con dueño y EDT. Validación editable: Estado_R026, Evidencia_R026, Fecha_R026 (fecha serial Excel), Revisor_R026. Una etiqueta Verificada sin los tres respaldos no permite aplicar la reducción.</x:t>
        </x:r>
      </x:text>
    </x:comment>
    <x:comment ref="D64" authorId="0">
      <x:text>
        <x:r>
          <x:t>Dueño: Alex Aravena. Acción: Trazar solicitudes a requisitos, impacto y aprobación antes de construcción. Plazo: antes de presentar; hito de ejecución mes 1, relativo al inicio contractual confirmado. Etapa: Propuesta. Esfuerzo adicional RA_R027=24 HH. Disparador: Nueva función sin requisito o decisión aprobada. Evidencia: Registro de cambios, estimación y aprobación; exclusiones no eliminan integración obligatoria. Dependencia y riesgo secundario: Dependencia: dueño y contraparte; asignar ventana sin desplazar hitos. Secundario: prueba/acción puede consumir capacidad o afectar operación; hacerla en entorno autorizado.. Contingencia: conservar el control base, aislar el flujo afectado, corregir/conciliar; no promover versión ni cerrar aceptación sin evidencia, activar reversión del paquete 1.2.4 / 1.2.5 y escalar al JP. Antes de línea base, confirmar asignación con dueño y EDT. Validación editable: Estado_R027, Evidencia_R027, Fecha_R027 (fecha serial Excel), Revisor_R027. Una etiqueta Verificada sin los tres respaldos no permite aplicar la reducción.</x:t>
        </x:r>
      </x:text>
    </x:comment>
    <x:comment ref="D65" authorId="0">
      <x:text>
        <x:r>
          <x:t>Dueño: Leandro Chamorro. Acción: Simular caja de turno, faltante, devolución y pago parcial; acordar custodia física con Finanzas. Plazo: mes 12, relativo al inicio contractual confirmado. Etapa: Implantación. Esfuerzo adicional RA_R028=40 HH. Disparador: Diferencia al cierre sin evidencia ni responsable. Evidencia: Cuadre por camión y turno el mismo día; importe externo no se incorpora como costo del proyecto. Dependencia y riesgo secundario: Dependencia: dueño y contraparte; asignar ventana sin desplazar hitos. Secundario: prueba/acción puede consumir capacidad o afectar operación; hacerla en entorno autorizado.. Contingencia: conservar el control base, aislar el flujo afectado, corregir/conciliar; no promover versión ni cerrar aceptación sin evidencia, activar reversión del paquete 3.4.10 / 3.8.2 y escalar al JP. Antes de línea base, confirmar asignación con dueño y EDT. Validación editable: Estado_R028, Evidencia_R028, Fecha_R028 (fecha serial Excel), Revisor_R028. Una etiqueta Verificada sin los tres respaldos no permite aplicar la reducción.</x:t>
        </x:r>
      </x:text>
    </x:comment>
    <x:comment ref="D66" authorId="0">
      <x:text>
        <x:r>
          <x:t>Dueño: Bastián Trejo. Acción: Validar flujo por acto con experto tributario y probar certificado vencido, POD offline y acuse. Plazo: mes 8, relativo al inicio contractual confirmado. Etapa: Implementación. Esfuerzo adicional RA_R029=48 HH. Disparador: Guía, identidad o certificado no coincide con el expediente. Evidencia: Dictamen sobre el flujo y AL-DTE-01 aprobado; no equiparar firma simple y avanzada. Dependencia y riesgo secundario: Dependencia: dueño y contraparte; asignar ventana sin desplazar hitos. Secundario: prueba/acción puede consumir capacidad o afectar operación; hacerla en entorno autorizado.. Contingencia: conservar el control base, aislar el flujo afectado, corregir/conciliar; no promover versión ni cerrar aceptación sin evidencia, activar reversión del paquete 3.3.2 / 3.4.8 y escalar al JP. Antes de línea base, confirmar asignación con dueño y EDT. Validación editable: Estado_R029, Evidencia_R029, Fecha_R029 (fecha serial Excel), Revisor_R029. Una etiqueta Verificada sin los tres respaldos no permite aplicar la reducción.</x:t>
        </x:r>
      </x:text>
    </x:comment>
    <x:comment ref="D67" authorId="0">
      <x:text>
        <x:r>
          <x:t>Dueño: Bastián Trejo. Acción: Obtener especificación, sandbox, fechas y responsable de certificación; ensayar el flujo completo. Plazo: mes 4, relativo al inicio contractual confirmado. Etapa: Implementación. Esfuerzo adicional RA_R030=64 HH. Disparador: No hay ventana de certificación acordada al mes 4. Evidencia: Confirmación escrita de cadena y certificación completa antes del H12; dependencia externa mantiene zona alta. Dependencia y riesgo secundario: Dependencia: tercero y contraparte; validar contrato antes de imputar eficacia. Secundario: prueba/acción puede consumir capacidad o afectar operación; hacerla en entorno autorizado.. Contingencia: conservar el control base, aislar el flujo afectado, corregir/conciliar; no promover versión ni cerrar aceptación sin evidencia, activar reversión del paquete 3.6.5 / 3.6.6 y escalar al JP. Antes de línea base, confirmar asignación con dueño y EDT. Validación editable: Estado_R030, Evidencia_R030, Fecha_R030 (fecha serial Excel), Revisor_R030. Una etiqueta Verificada sin los tres respaldos no permite aplicar la reducción.</x:t>
        </x:r>
      </x:text>
    </x:comment>
    <x:comment ref="D68" authorId="0">
      <x:text>
        <x:r>
          <x:t>Dueño: Tomás Pérez. Acción: Validar contactos y probar fallback por canal con confirmación de entrega; medir apertura por separado. Plazo: mes 8, relativo al inicio contractual confirmado. Etapa: Implementación. Esfuerzo adicional RA_R031=32 HH. Disparador: Mensaje fallido o contacto inválido antes de partida. Evidencia: Prueba de recepción antes de salida; SMS sin lectura informable no cuenta como abierto. Dependencia y riesgo secundario: Dependencia: tercero y contraparte; validar contrato antes de imputar eficacia. Secundario: prueba/acción puede consumir capacidad o afectar operación; hacerla en entorno autorizado.. Contingencia: conservar el control base, aislar el flujo afectado, corregir/conciliar; no promover versión ni cerrar aceptación sin evidencia, activar reversión del paquete 3.6.4 / 3.4.7 y escalar al JP. Antes de línea base, confirmar asignación con dueño y EDT. Validación editable: Estado_R031, Evidencia_R031, Fecha_R031 (fecha serial Excel), Revisor_R031. Una etiqueta Verificada sin los tres respaldos no permite aplicar la reducción.</x:t>
        </x:r>
      </x:text>
    </x:comment>
    <x:comment ref="D69" authorId="0">
      <x:text>
        <x:r>
          <x:t>Dueño: Bastián Trejo. Acción: Ensayar exportación e importación de un flujo representativo y medir sustitución del servicio no portable. Plazo: mes 3, relativo al inicio contractual confirmado. Etapa: Implementación. Esfuerzo adicional RA_R032=48 HH. Disparador: Componente sin alternativa o exportación sin semántica. Evidencia: Ensayo reproducible, licencias y formatos declarados; costo de salida separado de EOL. Dependencia y riesgo secundario: Dependencia: dueño y contraparte; asignar ventana sin desplazar hitos. Secundario: prueba/acción puede consumir capacidad o afectar operación; hacerla en entorno autorizado.. Contingencia: conservar el control base, aislar el flujo afectado, corregir/conciliar; no promover versión ni cerrar aceptación sin evidencia, activar reversión del paquete 1.7.2 / 8.1.4 y escalar al JP. Antes de línea base, confirmar asignación con dueño y EDT. Validación editable: Estado_R032, Evidencia_R032, Fecha_R032 (fecha serial Excel), Revisor_R032. Una etiqueta Verificada sin los tres respaldos no permite aplicar la reducción.</x:t>
        </x:r>
      </x:text>
    </x:comment>
    <x:comment ref="D70" authorId="0">
      <x:text>
        <x:r>
          <x:t>Dueño: Bastián Trejo. Acción: Consolidar fechas EOL/EOS comprobadas y ensayar actualización o sustitución antes del fin de soporte. Plazo: mes 6, relativo al inicio contractual confirmado. Etapa: Operación. Esfuerzo adicional RA_R033=32 HH. Disparador: Soporte restante menor a doce meses y sin reemplazo homologado. Evidencia: Ficha/versiones y calendario anual; presupuesto de reposición pendiente de tarifas. Dependencia y riesgo secundario: Dependencia: dueño y contraparte; asignar ventana sin desplazar hitos. Secundario: prueba/acción puede consumir capacidad o afectar operación; hacerla en entorno autorizado.. Contingencia: conservar el control base, aislar el flujo afectado, corregir/conciliar; no promover versión ni cerrar aceptación sin evidencia, activar reversión del paquete 5.1 / 8.2 y escalar al JP. Antes de línea base, confirmar asignación con dueño y EDT. Validación editable: Estado_R033, Evidencia_R033, Fecha_R033 (fecha serial Excel), Revisor_R033. Una etiqueta Verificada sin los tres respaldos no permite aplicar la reducción.</x:t>
        </x:r>
      </x:text>
    </x:comment>
    <x:comment ref="D71" authorId="0">
      <x:text>
        <x:r>
          <x:t>Dueño: Guillermo Castillo. Acción: Simular ausencia y peak de llamadas con traslado; pactar cobertura de suplentes por tecnología. Plazo: mes 21, relativo al inicio contractual confirmado. Etapa: Operación. Esfuerzo adicional RA_R034=40 HH. Disparador: Demanda supera capacidad del turno o especialista no puede llegar. Evidencia: Prueba de cola con 80 % antes de 20 s, abandono ≤5 % y guardia acreditada. Dependencia y riesgo secundario: Dependencia: dueño y contraparte; asignar ventana sin desplazar hitos. Secundario: prueba/acción puede consumir capacidad o afectar operación; hacerla en entorno autorizado.. Contingencia: conservar el control base, aislar el flujo afectado, corregir/conciliar; no promover versión ni cerrar aceptación sin evidencia, activar reversión del paquete 8.1.2 / 8.5 y escalar al JP. Antes de línea base, confirmar asignación con dueño y EDT. Validación editable: Estado_R034, Evidencia_R034, Fecha_R034 (fecha serial Excel), Revisor_R034. Una etiqueta Verificada sin los tres respaldos no permite aplicar la reducción.</x:t>
        </x:r>
      </x:text>
    </x:comment>
    <x:comment ref="D72" authorId="0">
      <x:text>
        <x:r>
          <x:t>Dueño: Alex Aravena. Acción: Construir presupuesto por unidad, peak, divisa y calendario de cobro; probar alertas de consumo. Plazo: antes de presentar; hito de ejecución mes 1, relativo al inicio contractual confirmado. Etapa: Propuesta. Esfuerzo adicional RA_R035=24 HH. Disparador: No hay precio/volumen contractual o desvío sin cobertura de caja. Evidencia: Oferta económica y flujo de caja revisados; sin tarifas, severidad monetaria sigue pendiente. Dependencia y riesgo secundario: Dependencia: dueño y contraparte; asignar ventana sin desplazar hitos. Secundario: prueba/acción puede consumir capacidad o afectar operación; hacerla en entorno autorizado.. Contingencia: conservar el control base, aislar el flujo afectado, corregir/conciliar; no promover versión ni cerrar aceptación sin evidencia, activar reversión del paquete 1.1 / 8.1 / 8.2 y escalar al JP. Antes de línea base, confirmar asignación con dueño y EDT. Validación editable: Estado_R035, Evidencia_R035, Fecha_R035 (fecha serial Excel), Revisor_R035. Una etiqueta Verificada sin los tres respaldos no permite aplicar la reducción.</x:t>
        </x:r>
      </x:text>
    </x:comment>
    <x:comment ref="D73" authorId="0">
      <x:text>
        <x:r>
          <x:t>Dueño: Patricio Henríquez. Acción: Pilotear por locales voluntarios y separar saldo inferido de observado; validar avisos antes de acción. Plazo: mes 14, relativo al inicio contractual confirmado. Etapa: Implantación. Esfuerzo adicional RA_R036=32 HH. Disparador: Avisos sin lote confirmado o rechazo reiterado del local. Evidencia: Muestra de avisos confirmados, intervención autorizada e indicador INN-01 medido. Dependencia y riesgo secundario: Dependencia: dueño y contraparte; asignar ventana sin desplazar hitos. Secundario: prueba/acción puede consumir capacidad o afectar operación; hacerla en entorno autorizado.. Contingencia: conservar el control base, aislar el flujo afectado, corregir/conciliar; no promover versión ni cerrar aceptación sin evidencia, activar reversión del paquete 3.4 / Subdocumento 13 13.1 y escalar al JP. Antes de línea base, confirmar asignación con dueño y EDT. Validación editable: Estado_R036, Evidencia_R036, Fecha_R036 (fecha serial Excel), Revisor_R036. Una etiqueta Verificada sin los tres respaldos no permite aplicar la reducción.</x:t>
        </x:r>
      </x:text>
    </x:comment>
    <x:comment ref="D74" authorId="0">
      <x:text>
        <x:r>
          <x:t>Dueño: Tomás Pérez. Acción: Seleccionar incidentes de prueba y verificar reproducción con datos minimizados y versión exacta. Plazo: mes 10, relativo al inicio contractual confirmado. Etapa: Implementación. Esfuerzo adicional RA_R037=32 HH. Disparador: Ticket se cierra sin reproducción o reaparece por la misma causa. Evidencia: Escenario reproduce fallo, corrección lo elimina y datos sensibles están protegidos. Dependencia y riesgo secundario: Dependencia: dueño y contraparte; asignar ventana sin desplazar hitos. Secundario: prueba/acción puede consumir capacidad o afectar operación; hacerla en entorno autorizado.. Contingencia: conservar el control base, aislar el flujo afectado, corregir/conciliar; no promover versión ni cerrar aceptación sin evidencia, activar reversión del paquete 3.3.6 / Subdocumento 13 13.2 y escalar al JP. Antes de línea base, confirmar asignación con dueño y EDT. Validación editable: Estado_R037, Evidencia_R037, Fecha_R037 (fecha serial Excel), Revisor_R037. Una etiqueta Verificada sin los tres respaldos no permite aplicar la reducción.</x:t>
        </x:r>
      </x:text>
    </x:comment>
    <x:comment ref="D75" authorId="0">
      <x:text>
        <x:r>
          <x:t>Dueño: Maximiliano Miño. Acción: Validar por familia contra evidencia del proveedor; mantener modo informativo hasta aceptación. Plazo: mes 12, relativo al inicio contractual confirmado. Etapa: Implementación. Esfuerzo adicional RA_R038=64 HH. Disparador: Modelo sin parámetros aprobados o serie térmica incompleta. Evidencia: Validación de Calidad/proveedor; innovación nunca libera ni amplía vencimiento automáticamente. Dependencia y riesgo secundario: Dependencia: dueño y contraparte; asignar ventana sin desplazar hitos. Secundario: prueba/acción puede consumir capacidad o afectar operación; hacerla en entorno autorizado.. Contingencia: conservar el control base, aislar el flujo afectado, corregir/conciliar; no promover versión ni cerrar aceptación sin evidencia, activar reversión del paquete 3.4.4 / Subdocumento 13 13.3 y escalar al JP. Antes de línea base, confirmar asignación con dueño y EDT. Validación editable: Estado_R038, Evidencia_R038, Fecha_R038 (fecha serial Excel), Revisor_R038. Una etiqueta Verificada sin los tres respaldos no permite aplicar la reducción.</x:t>
        </x:r>
      </x:text>
    </x:comment>
    <x:comment ref="D76" authorId="0">
      <x:text>
        <x:r>
          <x:t>Dueño: Alex Aravena. Acción: Acordar canasta y fórmula; recalcular casos de estacionalidad y OTIF bajo sin pago variable. Plazo: antes de presentar; hito de ejecución mes 4, relativo al inicio contractual confirmado. Etapa: Propuesta. Esfuerzo adicional RA_R039=24 HH. Disparador: Una variación externa modifica el incentivo sin ajuste o OTIF bajo genera pago. Evidencia: Contrato y cálculo auditables por Finanzas; tarifas y techo monetario pendientes. Dependencia y riesgo secundario: Dependencia: dueño y contraparte; asignar ventana sin desplazar hitos. Secundario: prueba/acción puede consumir capacidad o afectar operación; hacerla en entorno autorizado.. Contingencia: conservar el control base, aislar el flujo afectado, corregir/conciliar; no promover versión ni cerrar aceptación sin evidencia, activar reversión del paquete 5.4.3 / Subdocumento 13 13.4 y escalar al JP. Antes de línea base, confirmar asignación con dueño y EDT. Validación editable: Estado_R039, Evidencia_R039, Fecha_R039 (fecha serial Excel), Revisor_R039. Una etiqueta Verificada sin los tres respaldos no permite aplicar la reducción.</x:t>
        </x:r>
      </x:text>
    </x:comment>
    <x:comment ref="D77" authorId="0">
      <x:text>
        <x:r>
          <x:t>Dueño: Patricio Henríquez. Acción: Probar comprensión con locales y revisión de divulgación; desactivar comparativos hasta autorización. Plazo: mes 18, relativo al inicio contractual confirmado. Etapa: Implantación. Esfuerzo adicional RA_R040=32 HH. Disparador: Local no puede explicar la hoja o agregado permite reidentificar. Evidencia: Prueba de comprensión; revisión de privacidad y separación de copias pedidas/entregadas. Dependencia y riesgo secundario: Dependencia: dueño y contraparte; asignar ventana sin desplazar hitos. Secundario: prueba/acción puede consumir capacidad o afectar operación; hacerla en entorno autorizado.. Contingencia: conservar el control base, aislar el flujo afectado, corregir/conciliar; no promover versión ni cerrar aceptación sin evidencia, activar reversión del paquete 4.1 / Subdocumento 13 13.5 y escalar al JP. Antes de línea base, confirmar asignación con dueño y EDT. Validación editable: Estado_R040, Evidencia_R040, Fecha_R040 (fecha serial Excel), Revisor_R040. Una etiqueta Verificada sin los tres respaldos no permite aplicar la reducción.</x:t>
        </x:r>
      </x:text>
    </x:comment>
    <x:comment ref="D78" authorId="0">
      <x:text>
        <x:r>
          <x:t>Dueño: Guillermo Castillo. Acción: Ensayar una entrega parcial a operadores del cliente y corregir runbooks antes del cierre. Plazo: mes 53, relativo al inicio contractual confirmado. Etapa: Operación. Esfuerzo adicional RA_R041=48 HH. Disparador: Tarea esencial solo puede ejecutarla el equipo saliente. Evidencia: Operador receptor ejecuta procedimiento con cuentas propias y exportación reconciliada. Dependencia y riesgo secundario: Dependencia: dueño y contraparte; asignar ventana sin desplazar hitos. Secundario: prueba/acción puede consumir capacidad o afectar operación; hacerla en entorno autorizado.. Contingencia: conservar el control base, aislar el flujo afectado, corregir/conciliar; no promover versión ni cerrar aceptación sin evidencia, activar reversión del paquete 9.2.1 / 1.7.2 y escalar al JP. Antes de línea base, confirmar asignación con dueño y EDT. Validación editable: Estado_R041, Evidencia_R041, Fecha_R041 (fecha serial Excel), Revisor_R041. Una etiqueta Verificada sin los tres respaldos no permite aplicar la reducción.</x:t>
        </x:r>
      </x:text>
    </x:comment>
    <x:comment ref="D79" authorId="0">
      <x:text>
        <x:r>
          <x:t>Dueño: Álvaro Catalán. Acción: Revisar normativa aplicable con asesor competente y ensayar purga con expediente retenido. Plazo: mes 21, relativo al inicio contractual confirmado. Etapa: Operación. Esfuerzo adicional RA_R042=40 HH. Disparador: Nueva exigencia afecta dato tratado o purga elimina evidencia vigente. Evidencia: Matriz legal actualizada y ensayo de supresión sin reconstrucción; no se certifica legalidad con esta planilla. Dependencia y riesgo secundario: Dependencia: dueño y contraparte; asignar ventana sin desplazar hitos. Secundario: prueba/acción puede consumir capacidad o afectar operación; hacerla en entorno autorizado.. Contingencia: conservar el control base, aislar el flujo afectado, corregir/conciliar; no promover versión ni cerrar aceptación sin evidencia, activar reversión del paquete 2.2 / 8.2 y escalar al JP. Antes de línea base, confirmar asignación con dueño y EDT. Validación editable: Estado_R042, Evidencia_R042, Fecha_R042 (fecha serial Excel), Revisor_R042. Una etiqueta Verificada sin los tres respaldos no permite aplicar la reducción.</x:t>
        </x:r>
      </x:text>
    </x:comment>
    <x:comment ref="D80" authorId="0">
      <x:text>
        <x:r>
          <x:t>Dueño: Leandro Chamorro. Acción: Inyectar timeout después del cargo y probar consulta, cancelación y autorización de alternativa. Plazo: mes 8, relativo al inicio contractual confirmado. Etapa: Implementación. Esfuerzo adicional RA_R043=32 HH. Disparador: Existe pago incierto y se intenta cobrar otra vez sin consulta. Evidencia: Contrato POS y prueba de un solo cargo económico con correlación y devolución. Dependencia y riesgo secundario: Dependencia: tercero y contraparte; validar contrato antes de imputar eficacia. Secundario: prueba/acción puede consumir capacidad o afectar operación; hacerla en entorno autorizado.. Contingencia: conservar el control base, aislar el flujo afectado, corregir/conciliar; no promover versión ni cerrar aceptación sin evidencia, activar reversión del paquete 3.6.2 / 3.4.10 y escalar al JP. Antes de línea base, confirmar asignación con dueño y EDT. Validación editable: Estado_R043, Evidencia_R043, Fecha_R043 (fecha serial Excel), Revisor_R043. Una etiqueta Verificada sin los tres respaldos no permite aplicar la reducción.</x:t>
        </x:r>
      </x:text>
    </x:comment>
    <x:comment ref="D81" authorId="0">
      <x:text>
        <x:r>
          <x:t>Dueño: Leandro Chamorro. Acción: Probar retorno parcial, sitio offline y reintento con lote retenido y envase recuperado. Plazo: mes 8, relativo al inicio contractual confirmado. Etapa: Implementación. Esfuerzo adicional RA_R044=32 HH. Disparador: Dos movimientos para una recepción o saldo sin vínculo a entrega. Evidencia: Conciliación por cliente/tipo y lote; MERMA/DESTRUCCION no duplica costo. Dependencia y riesgo secundario: Dependencia: dueño y contraparte; asignar ventana sin desplazar hitos. Secundario: prueba/acción puede consumir capacidad o afectar operación; hacerla en entorno autorizado.. Contingencia: conservar el control base, aislar el flujo afectado, corregir/conciliar; no promover versión ni cerrar aceptación sin evidencia, activar reversión del paquete 3.4.9 / 3.8.1 y escalar al JP. Antes de línea base, confirmar asignación con dueño y EDT. Validación editable: Estado_R044, Evidencia_R044, Fecha_R044 (fecha serial Excel), Revisor_R044. Una etiqueta Verificada sin los tres respaldos no permite aplicar la reducción.</x:t>
        </x:r>
      </x:text>
    </x:comment>
    <x:comment ref="D82" authorId="0">
      <x:text>
        <x:r>
          <x:t>Dueño: Bastián Trejo. Acción: Validar rutas por zona y atributos físicos; comparar proveedor GIS y ruta conocida con conductor. Plazo: mes 8, relativo al inicio contractual confirmado. Etapa: Implementación. Esfuerzo adicional RA_R045=40 HH. Disparador: Dirección no ubicable o restricción de peso/volumen violada. Evidencia: Catálogo de restricciones aprobado y planificación con corrección auditada, incluso sin señal. Dependencia y riesgo secundario: Dependencia: tercero y contraparte; validar contrato antes de imputar eficacia. Secundario: prueba/acción puede consumir capacidad o afectar operación; hacerla en entorno autorizado.. Contingencia: conservar el control base, aislar el flujo afectado, corregir/conciliar; no promover versión ni cerrar aceptación sin evidencia, activar reversión del paquete 3.6.3 / 3.4.7 y escalar al JP. Antes de línea base, confirmar asignación con dueño y EDT. Validación editable: Estado_R045, Evidencia_R045, Fecha_R045 (fecha serial Excel), Revisor_R045. Una etiqueta Verificada sin los tres respaldos no permite aplicar la reducción.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"/>
    <x:numFmt numFmtId="201" formatCode="#,##0.0&quot; HH&quot;"/>
    <x:numFmt numFmtId="202" formatCode="0.0%"/>
    <x:numFmt numFmtId="203" formatCode="#,##0.000&quot; HH&quot;"/>
    <x:numFmt numFmtId="204" formatCode="0.000"/>
    <x:numFmt numFmtId="205" formatCode="&quot;$&quot;#,##0&quot; CLP&quot;"/>
  </x:numFmts>
  <x:fonts count="10">
    <x:font>
      <x:sz val="11"/>
      <x:name val="Carlito"/>
    </x:font>
    <x:font>
      <x:sz val="9"/>
      <x:color rgb="FF2E3440"/>
      <x:name val="Arial"/>
    </x:font>
    <x:font>
      <x:b/>
      <x:sz val="15"/>
      <x:color rgb="FF2E3440"/>
      <x:name val="Arial"/>
    </x:font>
    <x:font>
      <x:sz val="9"/>
      <x:color rgb="FF2E3440"/>
      <x:name val="Arial"/>
    </x:font>
    <x:font>
      <x:b/>
      <x:sz val="12"/>
      <x:color rgb="FF2E3440"/>
      <x:name val="Arial"/>
    </x:font>
    <x:font>
      <x:sz val="10"/>
      <x:color rgb="FF2E3440"/>
      <x:name val="Arial"/>
    </x:font>
    <x:font>
      <x:b/>
      <x:sz val="9"/>
      <x:color rgb="FFFFFFFF"/>
      <x:name val="Arial"/>
    </x:font>
    <x:font>
      <x:sz val="9"/>
      <x:color rgb="FF0000FF"/>
      <x:name val="Arial"/>
    </x:font>
    <x:font>
      <x:b/>
      <x:sz val="11"/>
      <x:color rgb="FF2E3440"/>
      <x:name val="Arial"/>
    </x:font>
    <x:font>
      <x:b/>
      <x:sz val="9"/>
      <x:color rgb="FF2E344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2E3440"/>
      </x:patternFill>
    </x:fill>
    <x:fill>
      <x:patternFill patternType="solid">
        <x:fgColor rgb="FFFFFFFF"/>
      </x:patternFill>
    </x:fill>
    <x:fill>
      <x:patternFill patternType="solid">
        <x:fgColor rgb="FFF4F6F8"/>
      </x:patternFill>
    </x:fill>
    <x:fill>
      <x:patternFill patternType="solid">
        <x:fgColor rgb="FFE5E9F0"/>
      </x:patternFill>
    </x:fill>
    <x:fill>
      <x:patternFill patternType="solid">
        <x:fgColor rgb="FFFFF1CC"/>
      </x:patternFill>
    </x:fill>
  </x:fills>
  <x:borders count="10">
    <x:border>
      <x:left/>
      <x:right/>
      <x:top/>
      <x:bottom/>
      <x:diagonal/>
    </x:border>
    <x:border>
      <x:left style="thin">
        <x:color rgb="FFD8DEE9"/>
      </x:left>
      <x:right style="thin">
        <x:color rgb="FFD8DEE9"/>
      </x:right>
      <x:top style="thin">
        <x:color rgb="FFD8DEE9"/>
      </x:top>
      <x:bottom style="thin">
        <x:color rgb="FFD8DEE9"/>
      </x:bottom>
      <x:diagonal/>
    </x:border>
    <x:border>
      <x:left style="thin">
        <x:color rgb="FFD8DEE9"/>
      </x:left>
      <x:right/>
      <x:top style="thin">
        <x:color rgb="FFD8DEE9"/>
      </x:top>
      <x:bottom/>
      <x:diagonal/>
    </x:border>
    <x:border>
      <x:left/>
      <x:right/>
      <x:top style="thin">
        <x:color rgb="FFD8DEE9"/>
      </x:top>
      <x:bottom/>
      <x:diagonal/>
    </x:border>
    <x:border>
      <x:left/>
      <x:right style="thin">
        <x:color rgb="FFD8DEE9"/>
      </x:right>
      <x:top style="thin">
        <x:color rgb="FFD8DEE9"/>
      </x:top>
      <x:bottom/>
      <x:diagonal/>
    </x:border>
    <x:border>
      <x:left style="thin">
        <x:color rgb="FFD8DEE9"/>
      </x:left>
      <x:right/>
      <x:top/>
      <x:bottom/>
      <x:diagonal/>
    </x:border>
    <x:border>
      <x:left/>
      <x:right style="thin">
        <x:color rgb="FFD8DEE9"/>
      </x:right>
      <x:top/>
      <x:bottom/>
      <x:diagonal/>
    </x:border>
    <x:border>
      <x:left style="thin">
        <x:color rgb="FFD8DEE9"/>
      </x:left>
      <x:right/>
      <x:top/>
      <x:bottom style="thin">
        <x:color rgb="FFD8DEE9"/>
      </x:bottom>
      <x:diagonal/>
    </x:border>
    <x:border>
      <x:left/>
      <x:right/>
      <x:top/>
      <x:bottom style="thin">
        <x:color rgb="FFD8DEE9"/>
      </x:bottom>
      <x:diagonal/>
    </x:border>
    <x:border>
      <x:left/>
      <x:right style="thin">
        <x:color rgb="FFD8DEE9"/>
      </x:right>
      <x:top/>
      <x:bottom style="thin">
        <x:color rgb="FFD8DEE9"/>
      </x:bottom>
      <x:diagonal/>
    </x:border>
  </x:borders>
  <x:cellStyleXfs count="1">
    <x:xf numFmtId="0" fontId="0" fillId="0" borderId="0"/>
  </x:cellStyleXfs>
  <x:cellXfs count="6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 applyAlignment="1">
      <x:alignment vertical="top" wrapText="1"/>
    </x:xf>
    <x:xf numFmtId="0" fontId="6" fillId="2" borderId="1" xfId="0" applyNumberFormat="1" applyFont="1" applyFill="1" applyBorder="1" applyAlignment="1">
      <x:alignment vertical="top" wrapText="1"/>
    </x:xf>
    <x:xf numFmtId="0" fontId="6" fillId="2" borderId="1" xfId="0" applyNumberFormat="1" applyFont="1" applyFill="1" applyBorder="1" applyAlignment="1">
      <x:alignment horizontal="center" vertical="top" wrapText="1"/>
    </x:xf>
    <x:xf numFmtId="0" fontId="6" fillId="2" borderId="1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4" borderId="1" xfId="0" applyNumberFormat="1" applyFont="1" applyFill="1" applyBorder="1" applyAlignment="1">
      <x:alignment vertical="top" wrapText="1"/>
    </x:xf>
    <x:xf numFmtId="0" fontId="7" fillId="3" borderId="1" xfId="0" applyNumberFormat="1" applyFont="1" applyFill="1" applyBorder="1" applyAlignment="1">
      <x:alignment vertical="top" wrapText="1"/>
    </x:xf>
    <x:xf numFmtId="200" fontId="1" fillId="3" borderId="1" xfId="0" applyNumberFormat="1" applyFont="1" applyFill="1" applyBorder="1" applyAlignment="1">
      <x:alignment vertical="top" wrapText="1"/>
    </x:xf>
    <x:xf numFmtId="200" fontId="7" fillId="3" borderId="1" xfId="0" applyNumberFormat="1" applyFont="1" applyFill="1" applyBorder="1" applyAlignment="1">
      <x:alignment vertical="top" wrapText="1"/>
    </x:xf>
    <x:xf numFmtId="0" fontId="7" fillId="4" borderId="1" xfId="0" applyNumberFormat="1" applyFont="1" applyFill="1" applyBorder="1" applyAlignment="1">
      <x:alignment vertical="top" wrapText="1"/>
    </x:xf>
    <x:xf numFmtId="200" fontId="1" fillId="4" borderId="1" xfId="0" applyNumberFormat="1" applyFont="1" applyFill="1" applyBorder="1" applyAlignment="1">
      <x:alignment vertical="top" wrapText="1"/>
    </x:xf>
    <x:xf numFmtId="200" fontId="7" fillId="4" borderId="1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 applyAlignment="1">
      <x:alignment vertical="top" wrapText="1"/>
    </x:xf>
    <x:xf numFmtId="201" fontId="1" fillId="3" borderId="1" xfId="0" applyNumberFormat="1" applyFont="1" applyFill="1" applyBorder="1" applyAlignment="1">
      <x:alignment vertical="top" wrapText="1"/>
    </x:xf>
    <x:xf numFmtId="201" fontId="7" fillId="3" borderId="1" xfId="0" applyNumberFormat="1" applyFont="1" applyFill="1" applyBorder="1" applyAlignment="1">
      <x:alignment vertical="top" wrapText="1"/>
    </x:xf>
    <x:xf numFmtId="201" fontId="1" fillId="4" borderId="1" xfId="0" applyNumberFormat="1" applyFont="1" applyFill="1" applyBorder="1" applyAlignment="1">
      <x:alignment vertical="top" wrapText="1"/>
    </x:xf>
    <x:xf numFmtId="201" fontId="7" fillId="4" borderId="1" xfId="0" applyNumberFormat="1" applyFont="1" applyFill="1" applyBorder="1" applyAlignment="1">
      <x:alignment vertical="top" wrapText="1"/>
    </x:xf>
    <x:xf numFmtId="202" fontId="1" fillId="3" borderId="1" xfId="0" applyNumberFormat="1" applyFont="1" applyFill="1" applyBorder="1" applyAlignment="1">
      <x:alignment vertical="top" wrapText="1"/>
    </x:xf>
    <x:xf numFmtId="202" fontId="7" fillId="3" borderId="1" xfId="0" applyNumberFormat="1" applyFont="1" applyFill="1" applyBorder="1" applyAlignment="1">
      <x:alignment vertical="top" wrapText="1"/>
    </x:xf>
    <x:xf numFmtId="203" fontId="1" fillId="3" borderId="1" xfId="0" applyNumberFormat="1" applyFont="1" applyFill="1" applyBorder="1" applyAlignment="1">
      <x:alignment vertical="top" wrapText="1"/>
    </x:xf>
    <x:xf numFmtId="202" fontId="1" fillId="4" borderId="1" xfId="0" applyNumberFormat="1" applyFont="1" applyFill="1" applyBorder="1" applyAlignment="1">
      <x:alignment vertical="top" wrapText="1"/>
    </x:xf>
    <x:xf numFmtId="202" fontId="7" fillId="4" borderId="1" xfId="0" applyNumberFormat="1" applyFont="1" applyFill="1" applyBorder="1" applyAlignment="1">
      <x:alignment vertical="top" wrapText="1"/>
    </x:xf>
    <x:xf numFmtId="203" fontId="1" fillId="4" borderId="1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203" fontId="1" fillId="0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201" fontId="1" fillId="5" borderId="0" xfId="0" applyNumberFormat="1" applyFont="1" applyFill="1" applyBorder="1" applyAlignment="1">
      <x:alignment vertical="top" wrapText="1"/>
    </x:xf>
    <x:xf numFmtId="203" fontId="1" fillId="5" borderId="0" xfId="0" applyNumberFormat="1" applyFont="1" applyFill="1" applyBorder="1" applyAlignment="1">
      <x:alignment vertical="top" wrapText="1"/>
    </x:xf>
    <x:xf numFmtId="0" fontId="9" fillId="5" borderId="0" xfId="0" applyNumberFormat="1" applyFont="1" applyFill="1" applyBorder="1" applyAlignment="1">
      <x:alignment vertical="top" wrapText="1"/>
    </x:xf>
    <x:xf numFmtId="201" fontId="9" fillId="5" borderId="0" xfId="0" applyNumberFormat="1" applyFont="1" applyFill="1" applyBorder="1" applyAlignment="1">
      <x:alignment vertical="top" wrapText="1"/>
    </x:xf>
    <x:xf numFmtId="203" fontId="9" fillId="5" borderId="0" xfId="0" applyNumberFormat="1" applyFont="1" applyFill="1" applyBorder="1" applyAlignment="1">
      <x:alignment vertical="top" wrapText="1"/>
    </x:xf>
    <x:xf numFmtId="0" fontId="9" fillId="5" borderId="1" xfId="0" applyNumberFormat="1" applyFont="1" applyFill="1" applyBorder="1" applyAlignment="1">
      <x:alignment vertical="top" wrapText="1"/>
    </x:xf>
    <x:xf numFmtId="201" fontId="9" fillId="5" borderId="1" xfId="0" applyNumberFormat="1" applyFont="1" applyFill="1" applyBorder="1" applyAlignment="1">
      <x:alignment vertical="top" wrapText="1"/>
    </x:xf>
    <x:xf numFmtId="203" fontId="9" fillId="5" borderId="1" xfId="0" applyNumberFormat="1" applyFont="1" applyFill="1" applyBorder="1" applyAlignment="1">
      <x:alignment vertical="top" wrapText="1"/>
    </x:xf>
    <x:xf numFmtId="202" fontId="1" fillId="6" borderId="1" xfId="0" applyNumberFormat="1" applyFont="1" applyFill="1" applyBorder="1" applyAlignment="1">
      <x:alignment vertical="top" wrapText="1"/>
    </x:xf>
    <x:xf numFmtId="0" fontId="1" fillId="6" borderId="1" xfId="0" applyNumberFormat="1" applyFont="1" applyFill="1" applyBorder="1" applyAlignment="1">
      <x:alignment vertical="top" wrapText="1"/>
    </x:xf>
    <x:xf numFmtId="204" fontId="1" fillId="3" borderId="1" xfId="0" applyNumberFormat="1" applyFont="1" applyFill="1" applyBorder="1" applyAlignment="1">
      <x:alignment vertical="top" wrapText="1"/>
    </x:xf>
    <x:xf numFmtId="204" fontId="1" fillId="4" borderId="1" xfId="0" applyNumberFormat="1" applyFont="1" applyFill="1" applyBorder="1" applyAlignment="1">
      <x:alignment vertical="top" wrapText="1"/>
    </x:xf>
    <x:xf numFmtId="0" fontId="1" fillId="4" borderId="2" xfId="0" applyNumberFormat="1" applyFont="1" applyFill="1" applyBorder="1" applyAlignment="1">
      <x:alignment vertical="top" wrapText="1"/>
    </x:xf>
    <x:xf numFmtId="0" fontId="1" fillId="4" borderId="3" xfId="0" applyNumberFormat="1" applyFont="1" applyFill="1" applyBorder="1" applyAlignment="1">
      <x:alignment vertical="top" wrapText="1"/>
    </x:xf>
    <x:xf numFmtId="0" fontId="1" fillId="4" borderId="4" xfId="0" applyNumberFormat="1" applyFont="1" applyFill="1" applyBorder="1" applyAlignment="1">
      <x:alignment vertical="top" wrapText="1"/>
    </x:xf>
    <x:xf numFmtId="0" fontId="1" fillId="4" borderId="5" xfId="0" applyNumberFormat="1" applyFont="1" applyFill="1" applyBorder="1" applyAlignment="1">
      <x:alignment vertical="top" wrapText="1"/>
    </x:xf>
    <x:xf numFmtId="0" fontId="1" fillId="4" borderId="6" xfId="0" applyNumberFormat="1" applyFont="1" applyFill="1" applyBorder="1" applyAlignment="1">
      <x:alignment vertical="top" wrapText="1"/>
    </x:xf>
    <x:xf numFmtId="0" fontId="1" fillId="4" borderId="7" xfId="0" applyNumberFormat="1" applyFont="1" applyFill="1" applyBorder="1" applyAlignment="1">
      <x:alignment vertical="top" wrapText="1"/>
    </x:xf>
    <x:xf numFmtId="0" fontId="1" fillId="4" borderId="8" xfId="0" applyNumberFormat="1" applyFont="1" applyFill="1" applyBorder="1" applyAlignment="1">
      <x:alignment vertical="top" wrapText="1"/>
    </x:xf>
    <x:xf numFmtId="0" fontId="1" fillId="4" borderId="9" xfId="0" applyNumberFormat="1" applyFont="1" applyFill="1" applyBorder="1" applyAlignment="1">
      <x:alignment vertical="top" wrapText="1"/>
    </x:xf>
    <x:xf numFmtId="203" fontId="7" fillId="3" borderId="1" xfId="0" applyNumberFormat="1" applyFont="1" applyFill="1" applyBorder="1" applyAlignment="1">
      <x:alignment vertical="top" wrapText="1"/>
    </x:xf>
    <x:xf numFmtId="203" fontId="7" fillId="4" borderId="1" xfId="0" applyNumberFormat="1" applyFont="1" applyFill="1" applyBorder="1" applyAlignment="1">
      <x:alignment vertical="top" wrapText="1"/>
    </x:xf>
    <x:xf numFmtId="205" fontId="1" fillId="3" borderId="1" xfId="0" applyNumberFormat="1" applyFont="1" applyFill="1" applyBorder="1" applyAlignment="1">
      <x:alignment vertical="top" wrapText="1"/>
    </x:xf>
    <x:xf numFmtId="205" fontId="1" fillId="6" borderId="1" xfId="0" applyNumberFormat="1" applyFont="1" applyFill="1" applyBorder="1" applyAlignment="1">
      <x:alignment vertical="top" wrapText="1"/>
    </x:xf>
    <x:xf numFmtId="205" fontId="1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540">
    <x:dxf>
      <x:font>
        <x:b/>
        <x:color rgb="FF8B1724"/>
      </x:font>
      <x:fill>
        <x:patternFill>
          <x:bgColor rgb="FFFADBDD"/>
        </x:patternFill>
      </x:fill>
    </x:dxf>
    <x:dxf>
      <x:font>
        <x:b/>
        <x:color rgb="FF864200"/>
      </x:font>
      <x:fill>
        <x:patternFill>
          <x:bgColor rgb="FFFCE3BC"/>
        </x:patternFill>
      </x:fill>
    </x:dxf>
    <x:dxf>
      <x:font>
        <x:b/>
        <x:color rgb="FF685313"/>
      </x:font>
      <x:fill>
        <x:patternFill>
          <x:bgColor rgb="FFFFF3C8"/>
        </x:patternFill>
      </x:fill>
    </x:dxf>
    <x:dxf>
      <x:font>
        <x:b/>
        <x:color rgb="FF255848"/>
      </x:font>
      <x:fill>
        <x:patternFill>
          <x:bgColor rgb="FFDCEEE7"/>
        </x:patternFill>
      </x:fill>
    </x:dxf>
    <x:dxf>
      <x:font>
        <x:b/>
        <x:color rgb="FF8B1724"/>
      </x:font>
      <x:fill>
        <x:patternFill>
          <x:bgColor rgb="FFFADBDD"/>
        </x:patternFill>
      </x:fill>
    </x:dxf>
    <x:dxf>
      <x:font>
        <x:b/>
        <x:color rgb="FF864200"/>
      </x:font>
      <x:fill>
        <x:patternFill>
          <x:bgColor rgb="FFFCE3BC"/>
        </x:patternFill>
      </x:fill>
    </x:dxf>
    <x:dxf>
      <x:font>
        <x:b/>
        <x:color rgb="FF685313"/>
      </x:font>
      <x:fill>
        <x:patternFill>
          <x:bgColor rgb="FFFFF3C8"/>
        </x:patternFill>
      </x:fill>
    </x:dxf>
    <x:dxf>
      <x:font>
        <x:b/>
        <x:color rgb="FF255848"/>
      </x:font>
      <x:fill>
        <x:patternFill>
          <x:bgColor rgb="FFDCEEE7"/>
        </x:patternFill>
      </x:fill>
    </x:dxf>
    <x:dxf>
      <x:font>
        <x:b/>
        <x:color rgb="FF8B1724"/>
      </x:font>
      <x:fill>
        <x:patternFill>
          <x:bgColor rgb="FFFADBDD"/>
        </x:patternFill>
      </x:fill>
    </x:dxf>
    <x:dxf>
      <x:font>
        <x:b/>
        <x:color rgb="FF864200"/>
      </x:font>
      <x:fill>
        <x:patternFill>
          <x:bgColor rgb="FFFCE3BC"/>
        </x:patternFill>
      </x:fill>
    </x:dxf>
    <x:dxf>
      <x:font>
        <x:b/>
        <x:color rgb="FF685313"/>
      </x:font>
      <x:fill>
        <x:patternFill>
          <x:bgColor rgb="FFFFF3C8"/>
        </x:patternFill>
      </x:fill>
    </x:dxf>
    <x:dxf>
      <x:font>
        <x:b/>
        <x:color rgb="FF255848"/>
      </x:font>
      <x:fill>
        <x:patternFill>
          <x:bgColor rgb="FFDCEEE7"/>
        </x:patternFill>
      </x:fill>
    </x:dxf>
    <x:dxf>
      <x:font>
        <x:b/>
        <x:color rgb="FF8B1724"/>
      </x:font>
      <x:fill>
        <x:patternFill>
          <x:bgColor rgb="FFFADBDD"/>
        </x:patternFill>
      </x:fill>
    </x:dxf>
    <x:dxf>
      <x:font>
        <x:b/>
        <x:color rgb="FF864200"/>
      </x:font>
      <x:fill>
        <x:patternFill>
          <x:bgColor rgb="FFFCE3BC"/>
        </x:patternFill>
      </x:fill>
    </x:dxf>
    <x:dxf>
      <x:font>
        <x:b/>
        <x:color rgb="FF685313"/>
      </x:font>
      <x:fill>
        <x:patternFill>
          <x:bgColor rgb="FFFFF3C8"/>
        </x:patternFill>
      </x:fill>
    </x:dxf>
    <x:dxf>
      <x:font>
        <x:b/>
        <x:color rgb="FF255848"/>
      </x:font>
      <x:fill>
        <x:patternFill>
          <x:bgColor rgb="FFDCEEE7"/>
        </x:patternFill>
      </x:fill>
    </x:dxf>
    <x:dxf>
      <x:font>
        <x:b/>
        <x:color rgb="FF8B1724"/>
      </x:font>
      <x:fill>
        <x:patternFill>
          <x:bgColor rgb="FFFADBDD"/>
        </x:patternFill>
      </x:fill>
    </x:dxf>
    <x:dxf>
      <x:font>
        <x:b/>
        <x:color rgb="FF864200"/>
      </x:font>
      <x:fill>
        <x:patternFill>
          <x:bgColor rgb="FFFCE3BC"/>
        </x:patternFill>
      </x:fill>
    </x:dxf>
    <x:dxf>
      <x:font>
        <x:b/>
        <x:color rgb="FF685313"/>
      </x:font>
      <x:fill>
        <x:patternFill>
          <x:bgColor rgb="FFFFF3C8"/>
        </x:patternFill>
      </x:fill>
    </x:dxf>
    <x:dxf>
      <x:font>
        <x:b/>
        <x:color rgb="FF255848"/>
      </x:font>
      <x:fill>
        <x:patternFill>
          <x:bgColor rgb="FFDCEEE7"/>
        </x:patternFill>
      </x:fill>
    </x:dxf>
    <x:dxf>
      <x:font>
        <x:b/>
        <x:color rgb="FF8B1724"/>
      </x:font>
      <x:fill>
        <x:patternFill>
          <x:bgColor rgb="FFFADBDD"/>
        </x:patternFill>
      </x:fill>
    </x:dxf>
    <x:dxf>
      <x:font>
        <x:b/>
        <x:color rgb="FF864200"/>
      </x:font>
      <x:fill>
        <x:patternFill>
          <x:bgColor rgb="FFFCE3BC"/>
        </x:patternFill>
      </x:fill>
    </x:dxf>
    <x:dxf>
      <x:font>
        <x:b/>
        <x:color rgb="FF685313"/>
      </x:font>
      <x:fill>
        <x:patternFill>
          <x:bgColor rgb="FFFFF3C8"/>
        </x:patternFill>
      </x:fill>
    </x:dxf>
    <x:dxf>
      <x:font>
        <x:b/>
        <x:color rgb="FF255848"/>
      </x:font>
      <x:fill>
        <x:patternFill>
          <x:bgColor rgb="FFDCEEE7"/>
        </x:patternFill>
      </x:fill>
    </x:dxf>
    <x:dxf>
      <x:font>
        <x:b/>
        <x:color rgb="FF8B1724"/>
      </x:font>
      <x:fill>
        <x:patternFill>
          <x:bgColor rgb="FFFADBDD"/>
        </x:patternFill>
      </x:fill>
    </x:dxf>
    <x:dxf>
      <x:font>
        <x:b/>
        <x:color rgb="FF864200"/>
      </x:font>
      <x:fill>
        <x:patternFill>
          <x:bgColor rgb="FFFCE3BC"/>
        </x:patternFill>
      </x:fill>
    </x:dxf>
    <x:dxf>
      <x:font>
        <x:b/>
        <x:color rgb="FF685313"/>
      </x:font>
      <x:fill>
        <x:patternFill>
          <x:bgColor rgb="FFFFF3C8"/>
        </x:patternFill>
      </x:fill>
    </x:dxf>
    <x:dxf>
      <x:font>
        <x:b/>
        <x:color rgb="FF255848"/>
      </x:font>
      <x:fill>
        <x:patternFill>
          <x:bgColor rgb="FFDCEEE7"/>
        </x:patternFill>
      </x:fill>
    </x:dxf>
    <x:dxf>
      <x:font>
        <x:b/>
        <x:color rgb="FF8B1724"/>
      </x:font>
      <x:fill>
        <x:patternFill>
          <x:bgColor rgb="FFFADBDD"/>
        </x:patternFill>
      </x:fill>
    </x:dxf>
    <x:dxf>
      <x:font>
        <x:b/>
        <x:color rgb="FF864200"/>
      </x:font>
      <x:fill>
        <x:patternFill>
          <x:bgColor rgb="FFFCE3BC"/>
        </x:patternFill>
      </x:fill>
    </x:dxf>
    <x:dxf>
      <x:font>
        <x:b/>
        <x:color rgb="FF685313"/>
      </x:font>
      <x:fill>
        <x:patternFill>
          <x:bgColor rgb="FFFFF3C8"/>
        </x:patternFill>
      </x:fill>
    </x:dxf>
    <x:dxf>
      <x:font>
        <x:b/>
        <x:color rgb="FF255848"/>
      </x:font>
      <x:fill>
        <x:patternFill>
          <x:bgColor rgb="FFDCEEE7"/>
        </x:patternFill>
      </x:fill>
    </x:dxf>
    <x:dxf>
      <x:font>
        <x:b/>
        <x:color rgb="FF8B1724"/>
      </x:font>
      <x:fill>
        <x:patternFill>
          <x:bgColor rgb="FFFADBDD"/>
        </x:patternFill>
      </x:fill>
    </x:dxf>
    <x:dxf>
      <x:font>
        <x:b/>
        <x:color rgb="FF864200"/>
      </x:font>
      <x:fill>
        <x:patternFill>
          <x:bgColor rgb="FFFCE3BC"/>
        </x:patternFill>
      </x:fill>
    </x:dxf>
    <x:dxf>
      <x:font>
        <x:b/>
        <x:color rgb="FF685313"/>
      </x:font>
      <x:fill>
        <x:patternFill>
          <x:bgColor rgb="FFFFF3C8"/>
        </x:patternFill>
      </x:fill>
    </x:dxf>
    <x:dxf>
      <x:font>
        <x:b/>
        <x:color rgb="FF255848"/>
      </x:font>
      <x:fill>
        <x:patternFill>
          <x:bgColor rgb="FFDCEEE7"/>
        </x:patternFill>
      </x:fill>
    </x:dxf>
    <x:dxf>
      <x:font>
        <x:b/>
        <x:color rgb="FF8B1724"/>
      </x:font>
      <x:fill>
        <x:patternFill>
          <x:bgColor rgb="FFFADBDD"/>
        </x:patternFill>
      </x:fill>
    </x:dxf>
    <x:dxf>
      <x:font>
        <x:b/>
        <x:color rgb="FF864200"/>
      </x:font>
      <x:fill>
        <x:patternFill>
          <x:bgColor rgb="FFFCE3BC"/>
        </x:patternFill>
      </x:fill>
    </x:dxf>
    <x:dxf>
      <x:font>
        <x:b/>
        <x:color rgb="FF685313"/>
      </x:font>
      <x:fill>
        <x:patternFill>
          <x:bgColor rgb="FFFFF3C8"/>
        </x:patternFill>
      </x:fill>
    </x:dxf>
    <x:dxf>
      <x:font>
        <x:b/>
        <x:color rgb="FF255848"/>
      </x:font>
      <x:fill>
        <x:patternFill>
          <x:bgColor rgb="FFDCEEE7"/>
        </x:patternFill>
      </x:fill>
    </x:dxf>
    <x:dxf>
      <x:font>
        <x:b/>
        <x:color rgb="FF8B1724"/>
      </x:font>
      <x:fill>
        <x:patternFill>
          <x:bgColor rgb="FFFADBDD"/>
        </x:patternFill>
      </x:fill>
    </x:dxf>
    <x:dxf>
      <x:font>
        <x:b/>
        <x:color rgb="FF864200"/>
      </x:font>
      <x:fill>
        <x:patternFill>
          <x:bgColor rgb="FFFCE3BC"/>
        </x:patternFill>
      </x:fill>
    </x:dxf>
    <x:dxf>
      <x:font>
        <x:b/>
        <x:color rgb="FF685313"/>
      </x:font>
      <x:fill>
        <x:patternFill>
          <x:bgColor rgb="FFFFF3C8"/>
        </x:patternFill>
      </x:fill>
    </x:dxf>
    <x:dxf>
      <x:font>
        <x:b/>
        <x:color rgb="FF255848"/>
      </x:font>
      <x:fill>
        <x:patternFill>
          <x:bgColor rgb="FFDCEEE7"/>
        </x:patternFill>
      </x:fill>
    </x:dxf>
    <x:dxf>
      <x:font>
        <x:b/>
        <x:color rgb="FF8B1724"/>
      </x:font>
      <x:fill>
        <x:patternFill>
          <x:bgColor rgb="FFFADBDD"/>
        </x:patternFill>
      </x:fill>
    </x:dxf>
    <x:dxf>
      <x:font>
        <x:b/>
        <x:color rgb="FF864200"/>
      </x:font>
      <x:fill>
        <x:patternFill>
          <x:bgColor rgb="FFFCE3BC"/>
        </x:patternFill>
      </x:fill>
    </x:dxf>
    <x:dxf>
      <x:font>
        <x:b/>
        <x:color rgb="FF685313"/>
      </x:font>
      <x:fill>
        <x:patternFill>
          <x:bgColor rgb="FFFFF3C8"/>
        </x:patternFill>
      </x:fill>
    </x:dxf>
    <x:dxf>
      <x:font>
        <x:b/>
        <x:color rgb="FF255848"/>
      </x:font>
      <x:fill>
        <x:patternFill>
          <x:bgColor rgb="FFDCEEE7"/>
        </x:patternFill>
      </x:fill>
    </x:dxf>
    <x:dxf>
      <x:font>
        <x:b/>
        <x:color rgb="FF8B1724"/>
      </x:font>
      <x:fill>
        <x:patternFill>
          <x:bgColor rgb="FFFADBDD"/>
        </x:patternFill>
      </x:fill>
    </x:dxf>
    <x:dxf>
      <x:font>
        <x:b/>
        <x:color rgb="FF864200"/>
      </x:font>
      <x:fill>
        <x:patternFill>
          <x:bgColor rgb="FFFCE3BC"/>
        </x:patternFill>
      </x:fill>
    </x:dxf>
    <x:dxf>
      <x:font>
        <x:b/>
        <x:color rgb="FF685313"/>
      </x:font>
      <x:fill>
        <x:patternFill>
          <x:bgColor rgb="FFFFF3C8"/>
        </x:patternFill>
      </x:fill>
    </x:dxf>
    <x:dxf>
      <x:font>
        <x:b/>
        <x:color rgb="FF255848"/>
      </x:font>
      <x:fill>
        <x:patternFill>
          <x:bgColor rgb="FFDCEEE7"/>
        </x:patternFill>
      </x:fill>
    </x:dxf>
    <x:dxf>
      <x:font>
        <x:b/>
        <x:color rgb="FF8B1724"/>
      </x:font>
      <x:fill>
        <x:patternFill>
          <x:bgColor rgb="FFFADBDD"/>
        </x:patternFill>
      </x:fill>
    </x:dxf>
    <x:dxf>
      <x:font>
        <x:b/>
        <x:color rgb="FF864200"/>
      </x:font>
      <x:fill>
        <x:patternFill>
          <x:bgColor rgb="FFFCE3BC"/>
        </x:patternFill>
      </x:fill>
    </x:dxf>
    <x:dxf>
      <x:font>
        <x:b/>
        <x:color rgb="FF685313"/>
      </x:font>
      <x:fill>
        <x:patternFill>
          <x:bgColor rgb="FFFFF3C8"/>
        </x:patternFill>
      </x:fill>
    </x:dxf>
    <x:dxf>
      <x:font>
        <x:b/>
        <x:color rgb="FF255848"/>
      </x:font>
      <x:fill>
        <x:patternFill>
          <x:bgColor rgb="FFDCEEE7"/>
        </x:patternFill>
      </x:fill>
    </x:dxf>
    <x:dxf>
      <x:font>
        <x:b/>
        <x:color rgb="FF8B1724"/>
      </x:font>
      <x:fill>
        <x:patternFill>
          <x:bgColor rgb="FFFADBDD"/>
        </x:patternFill>
      </x:fill>
    </x:dxf>
    <x:dxf>
      <x:font>
        <x:b/>
        <x:color rgb="FF864200"/>
      </x:font>
      <x:fill>
        <x:patternFill>
          <x:bgColor rgb="FFFCE3BC"/>
        </x:patternFill>
      </x:fill>
    </x:dxf>
    <x:dxf>
      <x:font>
        <x:b/>
        <x:color rgb="FF685313"/>
      </x:font>
      <x:fill>
        <x:patternFill>
          <x:bgColor rgb="FFFFF3C8"/>
        </x:patternFill>
      </x:fill>
    </x:dxf>
    <x:dxf>
      <x:font>
        <x:b/>
        <x:color rgb="FF255848"/>
      </x:font>
      <x:fill>
        <x:patternFill>
          <x:bgColor rgb="FFDCEEE7"/>
        </x:patternFill>
      </x:fill>
    </x:dxf>
    <x:dxf>
      <x:font>
        <x:b/>
        <x:color rgb="FF8B1724"/>
      </x:font>
      <x:fill>
        <x:patternFill>
          <x:bgColor rgb="FFFADBDD"/>
        </x:patternFill>
      </x:fill>
    </x:dxf>
    <x:dxf>
      <x:font>
        <x:b/>
        <x:color rgb="FF864200"/>
      </x:font>
      <x:fill>
        <x:patternFill>
          <x:bgColor rgb="FFFCE3BC"/>
        </x:patternFill>
      </x:fill>
    </x:dxf>
    <x:dxf>
      <x:font>
        <x:b/>
        <x:color rgb="FF685313"/>
      </x:font>
      <x:fill>
        <x:patternFill>
          <x:bgColor rgb="FFFFF3C8"/>
        </x:patternFill>
      </x:fill>
    </x:dxf>
    <x:dxf>
      <x:font>
        <x:b/>
        <x:color rgb="FF255848"/>
      </x:font>
      <x:fill>
        <x:patternFill>
          <x:bgColor rgb="FFDCEEE7"/>
        </x:patternFill>
      </x:fill>
    </x:dxf>
    <x:dxf>
      <x:font>
        <x:b/>
        <x:color rgb="FF8B1724"/>
      </x:font>
      <x:fill>
        <x:patternFill>
          <x:bgColor rgb="FFFADBDD"/>
        </x:patternFill>
      </x:fill>
    </x:dxf>
    <x:dxf>
      <x:font>
        <x:b/>
        <x:color rgb="FF864200"/>
      </x:font>
      <x:fill>
        <x:patternFill>
          <x:bgColor rgb="FFFCE3BC"/>
        </x:patternFill>
      </x:fill>
    </x:dxf>
    <x:dxf>
      <x:font>
        <x:b/>
        <x:color rgb="FF685313"/>
      </x:font>
      <x:fill>
        <x:patternFill>
          <x:bgColor rgb="FFFFF3C8"/>
        </x:patternFill>
      </x:fill>
    </x:dxf>
    <x:dxf>
      <x:font>
        <x:b/>
        <x:color rgb="FF255848"/>
      </x:font>
      <x:fill>
        <x:patternFill>
          <x:bgColor rgb="FFDCEEE7"/>
        </x:patternFill>
      </x:fill>
    </x:dxf>
    <x:dxf>
      <x:font>
        <x:b/>
        <x:color rgb="FF8B1724"/>
      </x:font>
      <x:fill>
        <x:patternFill>
          <x:bgColor rgb="FFFADBDD"/>
        </x:patternFill>
      </x:fill>
    </x:dxf>
    <x:dxf>
      <x:font>
        <x:b/>
        <x:color rgb="FF864200"/>
      </x:font>
      <x:fill>
        <x:patternFill>
          <x:bgColor rgb="FFFCE3BC"/>
        </x:patternFill>
      </x:fill>
    </x:dxf>
    <x:dxf>
      <x:font>
        <x:b/>
        <x:color rgb="FF685313"/>
      </x:font>
      <x:fill>
        <x:patternFill>
          <x:bgColor rgb="FFFFF3C8"/>
        </x:patternFill>
      </x:fill>
    </x:dxf>
    <x:dxf>
      <x:font>
        <x:b/>
        <x:color rgb="FF255848"/>
      </x:font>
      <x:fill>
        <x:patternFill>
          <x:bgColor rgb="FFDCEEE7"/>
        </x:patternFill>
      </x:fill>
    </x:dxf>
    <x:dxf>
      <x:font>
        <x:b/>
        <x:color rgb="FF8B1724"/>
      </x:font>
      <x:fill>
        <x:patternFill>
          <x:bgColor rgb="FFFADBDD"/>
        </x:patternFill>
      </x:fill>
    </x:dxf>
    <x:dxf>
      <x:font>
        <x:b/>
        <x:color rgb="FF864200"/>
      </x:font>
      <x:fill>
        <x:patternFill>
          <x:bgColor rgb="FFFCE3BC"/>
        </x:patternFill>
      </x:fill>
    </x:dxf>
    <x:dxf>
      <x:font>
        <x:b/>
        <x:color rgb="FF685313"/>
      </x:font>
      <x:fill>
        <x:patternFill>
          <x:bgColor rgb="FFFFF3C8"/>
        </x:patternFill>
      </x:fill>
    </x:dxf>
    <x:dxf>
      <x:font>
        <x:b/>
        <x:color rgb="FF255848"/>
      </x:font>
      <x:fill>
        <x:patternFill>
          <x:bgColor rgb="FFDCEEE7"/>
        </x:patternFill>
      </x:fill>
    </x:dxf>
    <x:dxf>
      <x:font>
        <x:b/>
        <x:color rgb="FF8B1724"/>
      </x:font>
      <x:fill>
        <x:patternFill>
          <x:bgColor rgb="FFFADBDD"/>
        </x:patternFill>
      </x:fill>
    </x:dxf>
    <x:dxf>
      <x:font>
        <x:b/>
        <x:color rgb="FF864200"/>
      </x:font>
      <x:fill>
        <x:patternFill>
          <x:bgColor rgb="FFFCE3BC"/>
        </x:patternFill>
      </x:fill>
    </x:dxf>
    <x:dxf>
      <x:font>
        <x:b/>
        <x:color rgb="FF685313"/>
      </x:font>
      <x:fill>
        <x:patternFill>
          <x:bgColor rgb="FFFFF3C8"/>
        </x:patternFill>
      </x:fill>
    </x:dxf>
    <x:dxf>
      <x:font>
        <x:b/>
        <x:color rgb="FF255848"/>
      </x:font>
      <x:fill>
        <x:patternFill>
          <x:bgColor rgb="FFDCEEE7"/>
        </x:patternFill>
      </x:fill>
    </x:dxf>
    <x:dxf>
      <x:font>
        <x:b/>
        <x:color rgb="FF8B1724"/>
      </x:font>
      <x:fill>
        <x:patternFill>
          <x:bgColor rgb="FFFADBDD"/>
        </x:patternFill>
      </x:fill>
    </x:dxf>
    <x:dxf>
      <x:font>
        <x:b/>
        <x:color rgb="FF864200"/>
      </x:font>
      <x:fill>
        <x:patternFill>
          <x:bgColor rgb="FFFCE3BC"/>
        </x:patternFill>
      </x:fill>
    </x:dxf>
    <x:dxf>
      <x:font>
        <x:b/>
        <x:color rgb="FF685313"/>
      </x:font>
      <x:fill>
        <x:patternFill>
          <x:bgColor rgb="FFFFF3C8"/>
        </x:patternFill>
      </x:fill>
    </x:dxf>
    <x:dxf>
      <x:font>
        <x:b/>
        <x:color rgb="FF255848"/>
      </x:font>
      <x:fill>
        <x:patternFill>
          <x:bgColor rgb="FFDCEEE7"/>
        </x:patternFill>
      </x:fill>
    </x:dxf>
    <x:dxf>
      <x:font>
        <x:b/>
        <x:color rgb="FF8B1724"/>
      </x:font>
      <x:fill>
        <x:patternFill>
          <x:bgColor rgb="FFFADBDD"/>
        </x:patternFill>
      </x:fill>
    </x:dxf>
    <x:dxf>
      <x:font>
        <x:b/>
        <x:color rgb="FF864200"/>
      </x:font>
      <x:fill>
        <x:patternFill>
          <x:bgColor rgb="FFFCE3BC"/>
        </x:patternFill>
      </x:fill>
    </x:dxf>
    <x:dxf>
      <x:font>
        <x:b/>
        <x:color rgb="FF685313"/>
      </x:font>
      <x:fill>
        <x:patternFill>
          <x:bgColor rgb="FFFFF3C8"/>
        </x:patternFill>
      </x:fill>
    </x:dxf>
    <x:dxf>
      <x:font>
        <x:b/>
        <x:color rgb="FF255848"/>
      </x:font>
      <x:fill>
        <x:patternFill>
          <x:bgColor rgb="FFDCEEE7"/>
        </x:patternFill>
      </x:fill>
    </x:dxf>
    <x:dxf>
      <x:font>
        <x:b/>
        <x:color rgb="FF8B1724"/>
      </x:font>
      <x:fill>
        <x:patternFill>
          <x:bgColor rgb="FFFADBDD"/>
        </x:patternFill>
      </x:fill>
    </x:dxf>
    <x:dxf>
      <x:font>
        <x:b/>
        <x:color rgb="FF864200"/>
      </x:font>
      <x:fill>
        <x:patternFill>
          <x:bgColor rgb="FFFCE3BC"/>
        </x:patternFill>
      </x:fill>
    </x:dxf>
    <x:dxf>
      <x:font>
        <x:b/>
        <x:color rgb="FF685313"/>
      </x:font>
      <x:fill>
        <x:patternFill>
          <x:bgColor rgb="FFFFF3C8"/>
        </x:patternFill>
      </x:fill>
    </x:dxf>
    <x:dxf>
      <x:font>
        <x:b/>
        <x:color rgb="FF255848"/>
      </x:font>
      <x:fill>
        <x:patternFill>
          <x:bgColor rgb="FFDCEEE7"/>
        </x:patternFill>
      </x:fill>
    </x:dxf>
    <x:dxf>
      <x:font>
        <x:b/>
        <x:color rgb="FF8B1724"/>
      </x:font>
      <x:fill>
        <x:patternFill>
          <x:bgColor rgb="FFFADBDD"/>
        </x:patternFill>
      </x:fill>
    </x:dxf>
    <x:dxf>
      <x:font>
        <x:b/>
        <x:color rgb="FF864200"/>
      </x:font>
      <x:fill>
        <x:patternFill>
          <x:bgColor rgb="FFFCE3BC"/>
        </x:patternFill>
      </x:fill>
    </x:dxf>
    <x:dxf>
      <x:font>
        <x:b/>
        <x:color rgb="FF685313"/>
      </x:font>
      <x:fill>
        <x:patternFill>
          <x:bgColor rgb="FFFFF3C8"/>
        </x:patternFill>
      </x:fill>
    </x:dxf>
    <x:dxf>
      <x:font>
        <x:b/>
        <x:color rgb="FF255848"/>
      </x:font>
      <x:fill>
        <x:patternFill>
          <x:bgColor rgb="FFDCEEE7"/>
        </x:patternFill>
      </x:fill>
    </x:dxf>
    <x:dxf>
      <x:font>
        <x:b/>
        <x:color rgb="FF8B1724"/>
      </x:font>
      <x:fill>
        <x:patternFill>
          <x:bgColor rgb="FFFADBDD"/>
        </x:patternFill>
      </x:fill>
    </x:dxf>
    <x:dxf>
      <x:font>
        <x:b/>
        <x:color rgb="FF864200"/>
      </x:font>
      <x:fill>
        <x:patternFill>
          <x:bgColor rgb="FFFCE3BC"/>
        </x:patternFill>
      </x:fill>
    </x:dxf>
    <x:dxf>
      <x:font>
        <x:b/>
        <x:color rgb="FF685313"/>
      </x:font>
      <x:fill>
        <x:patternFill>
          <x:bgColor rgb="FFFFF3C8"/>
        </x:patternFill>
      </x:fill>
    </x:dxf>
    <x:dxf>
      <x:font>
        <x:b/>
        <x:color rgb="FF255848"/>
      </x:font>
      <x:fill>
        <x:patternFill>
          <x:bgColor rgb="FFDCEEE7"/>
        </x:patternFill>
      </x:fill>
    </x:dxf>
    <x:dxf>
      <x:font>
        <x:b/>
        <x:color rgb="FF8B1724"/>
      </x:font>
      <x:fill>
        <x:patternFill>
          <x:bgColor rgb="FFFADBDD"/>
        </x:patternFill>
      </x:fill>
    </x:dxf>
    <x:dxf>
      <x:font>
        <x:b/>
        <x:color rgb="FF864200"/>
      </x:font>
      <x:fill>
        <x:patternFill>
          <x:bgColor rgb="FFFCE3BC"/>
        </x:patternFill>
      </x:fill>
    </x:dxf>
    <x:dxf>
      <x:font>
        <x:b/>
        <x:color rgb="FF685313"/>
      </x:font>
      <x:fill>
        <x:patternFill>
          <x:bgColor rgb="FFFFF3C8"/>
        </x:patternFill>
      </x:fill>
    </x:dxf>
    <x:dxf>
      <x:font>
        <x:b/>
        <x:color rgb="FF255848"/>
      </x:font>
      <x:fill>
        <x:patternFill>
          <x:bgColor rgb="FFDCEEE7"/>
        </x:patternFill>
      </x:fill>
    </x:dxf>
    <x:dxf>
      <x:font>
        <x:b/>
        <x:color rgb="FF8B1724"/>
      </x:font>
      <x:fill>
        <x:patternFill>
          <x:bgColor rgb="FFFADBDD"/>
        </x:patternFill>
      </x:fill>
    </x:dxf>
    <x:dxf>
      <x:font>
        <x:b/>
        <x:color rgb="FF864200"/>
      </x:font>
      <x:fill>
        <x:patternFill>
          <x:bgColor rgb="FFFCE3BC"/>
        </x:patternFill>
      </x:fill>
    </x:dxf>
    <x:dxf>
      <x:font>
        <x:b/>
        <x:color rgb="FF685313"/>
      </x:font>
      <x:fill>
        <x:patternFill>
          <x:bgColor rgb="FFFFF3C8"/>
        </x:patternFill>
      </x:fill>
    </x:dxf>
    <x:dxf>
      <x:font>
        <x:b/>
        <x:color rgb="FF255848"/>
      </x:font>
      <x:fill>
        <x:patternFill>
          <x:bgColor rgb="FFDCEEE7"/>
        </x:patternFill>
      </x:fill>
    </x:dxf>
    <x:dxf>
      <x:font>
        <x:b/>
        <x:color rgb="FF8B1724"/>
      </x:font>
      <x:fill>
        <x:patternFill>
          <x:bgColor rgb="FFFADBDD"/>
        </x:patternFill>
      </x:fill>
    </x:dxf>
    <x:dxf>
      <x:font>
        <x:b/>
        <x:color rgb="FF864200"/>
      </x:font>
      <x:fill>
        <x:patternFill>
          <x:bgColor rgb="FFFCE3BC"/>
        </x:patternFill>
      </x:fill>
    </x:dxf>
    <x:dxf>
      <x:font>
        <x:b/>
        <x:color rgb="FF685313"/>
      </x:font>
      <x:fill>
        <x:patternFill>
          <x:bgColor rgb="FFFFF3C8"/>
        </x:patternFill>
      </x:fill>
    </x:dxf>
    <x:dxf>
      <x:font>
        <x:b/>
        <x:color rgb="FF255848"/>
      </x:font>
      <x:fill>
        <x:patternFill>
          <x:bgColor rgb="FFDCEEE7"/>
        </x:patternFill>
      </x:fill>
    </x:dxf>
    <x:dxf>
      <x:font>
        <x:b/>
        <x:color rgb="FF8B1724"/>
      </x:font>
      <x:fill>
        <x:patternFill>
          <x:bgColor rgb="FFFADBDD"/>
        </x:patternFill>
      </x:fill>
    </x:dxf>
    <x:dxf>
      <x:font>
        <x:b/>
        <x:color rgb="FF864200"/>
      </x:font>
      <x:fill>
        <x:patternFill>
          <x:bgColor rgb="FFFCE3BC"/>
        </x:patternFill>
      </x:fill>
    </x:dxf>
    <x:dxf>
      <x:font>
        <x:b/>
        <x:color rgb="FF685313"/>
      </x:font>
      <x:fill>
        <x:patternFill>
          <x:bgColor rgb="FFFFF3C8"/>
        </x:patternFill>
      </x:fill>
    </x:dxf>
    <x:dxf>
      <x:font>
        <x:b/>
        <x:color rgb="FF255848"/>
      </x:font>
      <x:fill>
        <x:patternFill>
          <x:bgColor rgb="FFDCEEE7"/>
        </x:patternFill>
      </x:fill>
    </x:dxf>
    <x:dxf>
      <x:font>
        <x:b/>
        <x:color rgb="FF8B1724"/>
      </x:font>
      <x:fill>
        <x:patternFill>
          <x:bgColor rgb="FFFADBDD"/>
        </x:patternFill>
      </x:fill>
    </x:dxf>
    <x:dxf>
      <x:font>
        <x:b/>
        <x:color rgb="FF864200"/>
      </x:font>
      <x:fill>
        <x:patternFill>
          <x:bgColor rgb="FFFCE3BC"/>
        </x:patternFill>
      </x:fill>
    </x:dxf>
    <x:dxf>
      <x:font>
        <x:b/>
        <x:color rgb="FF685313"/>
      </x:font>
      <x:fill>
        <x:patternFill>
          <x:bgColor rgb="FFFFF3C8"/>
        </x:patternFill>
      </x:fill>
    </x:dxf>
    <x:dxf>
      <x:font>
        <x:b/>
        <x:color rgb="FF255848"/>
      </x:font>
      <x:fill>
        <x:patternFill>
          <x:bgColor rgb="FFDCEEE7"/>
        </x:patternFill>
      </x:fill>
    </x:dxf>
    <x:dxf>
      <x:font>
        <x:b/>
        <x:color rgb="FF8B1724"/>
      </x:font>
      <x:fill>
        <x:patternFill>
          <x:bgColor rgb="FFFADBDD"/>
        </x:patternFill>
      </x:fill>
    </x:dxf>
    <x:dxf>
      <x:font>
        <x:b/>
        <x:color rgb="FF864200"/>
      </x:font>
      <x:fill>
        <x:patternFill>
          <x:bgColor rgb="FFFCE3BC"/>
        </x:patternFill>
      </x:fill>
    </x:dxf>
    <x:dxf>
      <x:font>
        <x:b/>
        <x:color rgb="FF685313"/>
      </x:font>
      <x:fill>
        <x:patternFill>
          <x:bgColor rgb="FFFFF3C8"/>
        </x:patternFill>
      </x:fill>
    </x:dxf>
    <x:dxf>
      <x:font>
        <x:b/>
        <x:color rgb="FF255848"/>
      </x:font>
      <x:fill>
        <x:patternFill>
          <x:bgColor rgb="FFDCEEE7"/>
        </x:patternFill>
      </x:fill>
    </x:dxf>
    <x:dxf>
      <x:font>
        <x:b/>
        <x:color rgb="FF8B1724"/>
      </x:font>
      <x:fill>
        <x:patternFill>
          <x:bgColor rgb="FFFADBDD"/>
        </x:patternFill>
      </x:fill>
    </x:dxf>
    <x:dxf>
      <x:font>
        <x:b/>
        <x:color rgb="FF864200"/>
      </x:font>
      <x:fill>
        <x:patternFill>
          <x:bgColor rgb="FFFCE3BC"/>
        </x:patternFill>
      </x:fill>
    </x:dxf>
    <x:dxf>
      <x:font>
        <x:b/>
        <x:color rgb="FF685313"/>
      </x:font>
      <x:fill>
        <x:patternFill>
          <x:bgColor rgb="FFFFF3C8"/>
        </x:patternFill>
      </x:fill>
    </x:dxf>
    <x:dxf>
      <x:font>
        <x:b/>
        <x:color rgb="FF255848"/>
      </x:font>
      <x:fill>
        <x:patternFill>
          <x:bgColor rgb="FFDCEEE7"/>
        </x:patternFill>
      </x:fill>
    </x:dxf>
    <x:dxf>
      <x:font>
        <x:b/>
        <x:color rgb="FF8B1724"/>
      </x:font>
      <x:fill>
        <x:patternFill>
          <x:bgColor rgb="FFFADBDD"/>
        </x:patternFill>
      </x:fill>
    </x:dxf>
    <x:dxf>
      <x:font>
        <x:b/>
        <x:color rgb="FF864200"/>
      </x:font>
      <x:fill>
        <x:patternFill>
          <x:bgColor rgb="FFFCE3BC"/>
        </x:patternFill>
      </x:fill>
    </x:dxf>
    <x:dxf>
      <x:font>
        <x:b/>
        <x:color rgb="FF685313"/>
      </x:font>
      <x:fill>
        <x:patternFill>
          <x:bgColor rgb="FFFFF3C8"/>
        </x:patternFill>
      </x:fill>
    </x:dxf>
    <x:dxf>
      <x:font>
        <x:b/>
        <x:color rgb="FF255848"/>
      </x:font>
      <x:fill>
        <x:patternFill>
          <x:bgColor rgb="FFDCEEE7"/>
        </x:patternFill>
      </x:fill>
    </x:dxf>
    <x:dxf>
      <x:font>
        <x:b/>
        <x:color rgb="FF8B1724"/>
      </x:font>
      <x:fill>
        <x:patternFill>
          <x:bgColor rgb="FFFADBDD"/>
        </x:patternFill>
      </x:fill>
    </x:dxf>
    <x:dxf>
      <x:font>
        <x:b/>
        <x:color rgb="FF864200"/>
      </x:font>
      <x:fill>
        <x:patternFill>
          <x:bgColor rgb="FFFCE3BC"/>
        </x:patternFill>
      </x:fill>
    </x:dxf>
    <x:dxf>
      <x:font>
        <x:b/>
        <x:color rgb="FF685313"/>
      </x:font>
      <x:fill>
        <x:patternFill>
          <x:bgColor rgb="FFFFF3C8"/>
        </x:patternFill>
      </x:fill>
    </x:dxf>
    <x:dxf>
      <x:font>
        <x:b/>
        <x:color rgb="FF255848"/>
      </x:font>
      <x:fill>
        <x:patternFill>
          <x:bgColor rgb="FFDCEEE7"/>
        </x:patternFill>
      </x:fill>
    </x:dxf>
    <x:dxf>
      <x:font>
        <x:b/>
        <x:color rgb="FF8B1724"/>
      </x:font>
      <x:fill>
        <x:patternFill>
          <x:bgColor rgb="FFFADBDD"/>
        </x:patternFill>
      </x:fill>
    </x:dxf>
    <x:dxf>
      <x:font>
        <x:b/>
        <x:color rgb="FF864200"/>
      </x:font>
      <x:fill>
        <x:patternFill>
          <x:bgColor rgb="FFFCE3BC"/>
        </x:patternFill>
      </x:fill>
    </x:dxf>
    <x:dxf>
      <x:font>
        <x:b/>
        <x:color rgb="FF685313"/>
      </x:font>
      <x:fill>
        <x:patternFill>
          <x:bgColor rgb="FFFFF3C8"/>
        </x:patternFill>
      </x:fill>
    </x:dxf>
    <x:dxf>
      <x:font>
        <x:b/>
        <x:color rgb="FF255848"/>
      </x:font>
      <x:fill>
        <x:patternFill>
          <x:bgColor rgb="FFDCEEE7"/>
        </x:patternFill>
      </x:fill>
    </x:dxf>
    <x:dxf>
      <x:font>
        <x:b/>
        <x:color rgb="FF8B1724"/>
      </x:font>
      <x:fill>
        <x:patternFill>
          <x:bgColor rgb="FFFADBDD"/>
        </x:patternFill>
      </x:fill>
    </x:dxf>
    <x:dxf>
      <x:font>
        <x:b/>
        <x:color rgb="FF864200"/>
      </x:font>
      <x:fill>
        <x:patternFill>
          <x:bgColor rgb="FFFCE3BC"/>
        </x:patternFill>
      </x:fill>
    </x:dxf>
    <x:dxf>
      <x:font>
        <x:b/>
        <x:color rgb="FF685313"/>
      </x:font>
      <x:fill>
        <x:patternFill>
          <x:bgColor rgb="FFFFF3C8"/>
        </x:patternFill>
      </x:fill>
    </x:dxf>
    <x:dxf>
      <x:font>
        <x:b/>
        <x:color rgb="FF255848"/>
      </x:font>
      <x:fill>
        <x:patternFill>
          <x:bgColor rgb="FFDCEEE7"/>
        </x:patternFill>
      </x:fill>
    </x:dxf>
    <x:dxf>
      <x:font>
        <x:b/>
        <x:color rgb="FF8B1724"/>
      </x:font>
      <x:fill>
        <x:patternFill>
          <x:bgColor rgb="FFFADBDD"/>
        </x:patternFill>
      </x:fill>
    </x:dxf>
    <x:dxf>
      <x:font>
        <x:b/>
        <x:color rgb="FF864200"/>
      </x:font>
      <x:fill>
        <x:patternFill>
          <x:bgColor rgb="FFFCE3BC"/>
        </x:patternFill>
      </x:fill>
    </x:dxf>
    <x:dxf>
      <x:font>
        <x:b/>
        <x:color rgb="FF685313"/>
      </x:font>
      <x:fill>
        <x:patternFill>
          <x:bgColor rgb="FFFFF3C8"/>
        </x:patternFill>
      </x:fill>
    </x:dxf>
    <x:dxf>
      <x:font>
        <x:b/>
        <x:color rgb="FF255848"/>
      </x:font>
      <x:fill>
        <x:patternFill>
          <x:bgColor rgb="FFDCEEE7"/>
        </x:patternFill>
      </x:fill>
    </x:dxf>
    <x:dxf>
      <x:font>
        <x:b/>
        <x:color rgb="FF8B1724"/>
      </x:font>
      <x:fill>
        <x:patternFill>
          <x:bgColor rgb="FFFADBDD"/>
        </x:patternFill>
      </x:fill>
    </x:dxf>
    <x:dxf>
      <x:font>
        <x:b/>
        <x:color rgb="FF864200"/>
      </x:font>
      <x:fill>
        <x:patternFill>
          <x:bgColor rgb="FFFCE3BC"/>
        </x:patternFill>
      </x:fill>
    </x:dxf>
    <x:dxf>
      <x:font>
        <x:b/>
        <x:color rgb="FF685313"/>
      </x:font>
      <x:fill>
        <x:patternFill>
          <x:bgColor rgb="FFFFF3C8"/>
        </x:patternFill>
      </x:fill>
    </x:dxf>
    <x:dxf>
      <x:font>
        <x:b/>
        <x:color rgb="FF255848"/>
      </x:font>
      <x:fill>
        <x:patternFill>
          <x:bgColor rgb="FFDCEEE7"/>
        </x:patternFill>
      </x:fill>
    </x:dxf>
    <x:dxf>
      <x:font>
        <x:b/>
        <x:color rgb="FF8B1724"/>
      </x:font>
      <x:fill>
        <x:patternFill>
          <x:bgColor rgb="FFFADBDD"/>
        </x:patternFill>
      </x:fill>
    </x:dxf>
    <x:dxf>
      <x:font>
        <x:b/>
        <x:color rgb="FF864200"/>
      </x:font>
      <x:fill>
        <x:patternFill>
          <x:bgColor rgb="FFFCE3BC"/>
        </x:patternFill>
      </x:fill>
    </x:dxf>
    <x:dxf>
      <x:font>
        <x:b/>
        <x:color rgb="FF685313"/>
      </x:font>
      <x:fill>
        <x:patternFill>
          <x:bgColor rgb="FFFFF3C8"/>
        </x:patternFill>
      </x:fill>
    </x:dxf>
    <x:dxf>
      <x:font>
        <x:b/>
        <x:color rgb="FF255848"/>
      </x:font>
      <x:fill>
        <x:patternFill>
          <x:bgColor rgb="FFDCEEE7"/>
        </x:patternFill>
      </x:fill>
    </x:dxf>
    <x:dxf>
      <x:font>
        <x:b/>
        <x:color rgb="FF8B1724"/>
      </x:font>
      <x:fill>
        <x:patternFill>
          <x:bgColor rgb="FFFADBDD"/>
        </x:patternFill>
      </x:fill>
    </x:dxf>
    <x:dxf>
      <x:font>
        <x:b/>
        <x:color rgb="FF864200"/>
      </x:font>
      <x:fill>
        <x:patternFill>
          <x:bgColor rgb="FFFCE3BC"/>
        </x:patternFill>
      </x:fill>
    </x:dxf>
    <x:dxf>
      <x:font>
        <x:b/>
        <x:color rgb="FF685313"/>
      </x:font>
      <x:fill>
        <x:patternFill>
          <x:bgColor rgb="FFFFF3C8"/>
        </x:patternFill>
      </x:fill>
    </x:dxf>
    <x:dxf>
      <x:font>
        <x:b/>
        <x:color rgb="FF255848"/>
      </x:font>
      <x:fill>
        <x:patternFill>
          <x:bgColor rgb="FFDCEEE7"/>
        </x:patternFill>
      </x:fill>
    </x:dxf>
    <x:dxf>
      <x:font>
        <x:b/>
        <x:color rgb="FF8B1724"/>
      </x:font>
      <x:fill>
        <x:patternFill>
          <x:bgColor rgb="FFFADBDD"/>
        </x:patternFill>
      </x:fill>
    </x:dxf>
    <x:dxf>
      <x:font>
        <x:b/>
        <x:color rgb="FF864200"/>
      </x:font>
      <x:fill>
        <x:patternFill>
          <x:bgColor rgb="FFFCE3BC"/>
        </x:patternFill>
      </x:fill>
    </x:dxf>
    <x:dxf>
      <x:font>
        <x:b/>
        <x:color rgb="FF685313"/>
      </x:font>
      <x:fill>
        <x:patternFill>
          <x:bgColor rgb="FFFFF3C8"/>
        </x:patternFill>
      </x:fill>
    </x:dxf>
    <x:dxf>
      <x:font>
        <x:b/>
        <x:color rgb="FF255848"/>
      </x:font>
      <x:fill>
        <x:patternFill>
          <x:bgColor rgb="FFDCEEE7"/>
        </x:patternFill>
      </x:fill>
    </x:dxf>
    <x:dxf>
      <x:font>
        <x:b/>
        <x:color rgb="FF8B1724"/>
      </x:font>
      <x:fill>
        <x:patternFill>
          <x:bgColor rgb="FFFADBDD"/>
        </x:patternFill>
      </x:fill>
    </x:dxf>
    <x:dxf>
      <x:font>
        <x:b/>
        <x:color rgb="FF864200"/>
      </x:font>
      <x:fill>
        <x:patternFill>
          <x:bgColor rgb="FFFCE3BC"/>
        </x:patternFill>
      </x:fill>
    </x:dxf>
    <x:dxf>
      <x:font>
        <x:b/>
        <x:color rgb="FF685313"/>
      </x:font>
      <x:fill>
        <x:patternFill>
          <x:bgColor rgb="FFFFF3C8"/>
        </x:patternFill>
      </x:fill>
    </x:dxf>
    <x:dxf>
      <x:font>
        <x:b/>
        <x:color rgb="FF255848"/>
      </x:font>
      <x:fill>
        <x:patternFill>
          <x:bgColor rgb="FFDCEEE7"/>
        </x:patternFill>
      </x:fill>
    </x:dxf>
    <x:dxf>
      <x:font>
        <x:b/>
        <x:color rgb="FF8B1724"/>
      </x:font>
      <x:fill>
        <x:patternFill>
          <x:bgColor rgb="FFFADBDD"/>
        </x:patternFill>
      </x:fill>
    </x:dxf>
    <x:dxf>
      <x:font>
        <x:b/>
        <x:color rgb="FF864200"/>
      </x:font>
      <x:fill>
        <x:patternFill>
          <x:bgColor rgb="FFFCE3BC"/>
        </x:patternFill>
      </x:fill>
    </x:dxf>
    <x:dxf>
      <x:font>
        <x:b/>
        <x:color rgb="FF685313"/>
      </x:font>
      <x:fill>
        <x:patternFill>
          <x:bgColor rgb="FFFFF3C8"/>
        </x:patternFill>
      </x:fill>
    </x:dxf>
    <x:dxf>
      <x:font>
        <x:b/>
        <x:color rgb="FF255848"/>
      </x:font>
      <x:fill>
        <x:patternFill>
          <x:bgColor rgb="FFDCEEE7"/>
        </x:patternFill>
      </x:fill>
    </x:dxf>
    <x:dxf>
      <x:font>
        <x:b/>
        <x:color rgb="FF8B1724"/>
      </x:font>
      <x:fill>
        <x:patternFill>
          <x:bgColor rgb="FFFADBDD"/>
        </x:patternFill>
      </x:fill>
    </x:dxf>
    <x:dxf>
      <x:font>
        <x:b/>
        <x:color rgb="FF864200"/>
      </x:font>
      <x:fill>
        <x:patternFill>
          <x:bgColor rgb="FFFCE3BC"/>
        </x:patternFill>
      </x:fill>
    </x:dxf>
    <x:dxf>
      <x:font>
        <x:b/>
        <x:color rgb="FF685313"/>
      </x:font>
      <x:fill>
        <x:patternFill>
          <x:bgColor rgb="FFFFF3C8"/>
        </x:patternFill>
      </x:fill>
    </x:dxf>
    <x:dxf>
      <x:font>
        <x:b/>
        <x:color rgb="FF255848"/>
      </x:font>
      <x:fill>
        <x:patternFill>
          <x:bgColor rgb="FFDCEEE7"/>
        </x:patternFill>
      </x:fill>
    </x:dxf>
    <x:dxf>
      <x:font>
        <x:b/>
        <x:color rgb="FF8B1724"/>
      </x:font>
      <x:fill>
        <x:patternFill>
          <x:bgColor rgb="FFFADBDD"/>
        </x:patternFill>
      </x:fill>
    </x:dxf>
    <x:dxf>
      <x:font>
        <x:b/>
        <x:color rgb="FF864200"/>
      </x:font>
      <x:fill>
        <x:patternFill>
          <x:bgColor rgb="FFFCE3BC"/>
        </x:patternFill>
      </x:fill>
    </x:dxf>
    <x:dxf>
      <x:font>
        <x:b/>
        <x:color rgb="FF685313"/>
      </x:font>
      <x:fill>
        <x:patternFill>
          <x:bgColor rgb="FFFFF3C8"/>
        </x:patternFill>
      </x:fill>
    </x:dxf>
    <x:dxf>
      <x:font>
        <x:b/>
        <x:color rgb="FF255848"/>
      </x:font>
      <x:fill>
        <x:patternFill>
          <x:bgColor rgb="FFDCEEE7"/>
        </x:patternFill>
      </x:fill>
    </x:dxf>
    <x:dxf>
      <x:font>
        <x:b/>
        <x:color rgb="FF8B1724"/>
      </x:font>
      <x:fill>
        <x:patternFill>
          <x:bgColor rgb="FFFADBDD"/>
        </x:patternFill>
      </x:fill>
    </x:dxf>
    <x:dxf>
      <x:font>
        <x:b/>
        <x:color rgb="FF864200"/>
      </x:font>
      <x:fill>
        <x:patternFill>
          <x:bgColor rgb="FFFCE3BC"/>
        </x:patternFill>
      </x:fill>
    </x:dxf>
    <x:dxf>
      <x:font>
        <x:b/>
        <x:color rgb="FF685313"/>
      </x:font>
      <x:fill>
        <x:patternFill>
          <x:bgColor rgb="FFFFF3C8"/>
        </x:patternFill>
      </x:fill>
    </x:dxf>
    <x:dxf>
      <x:font>
        <x:b/>
        <x:color rgb="FF255848"/>
      </x:font>
      <x:fill>
        <x:patternFill>
          <x:bgColor rgb="FFDCEEE7"/>
        </x:patternFill>
      </x:fill>
    </x:dxf>
    <x:dxf>
      <x:font>
        <x:b/>
        <x:color rgb="FF8B1724"/>
      </x:font>
      <x:fill>
        <x:patternFill>
          <x:bgColor rgb="FFFADBDD"/>
        </x:patternFill>
      </x:fill>
    </x:dxf>
    <x:dxf>
      <x:font>
        <x:b/>
        <x:color rgb="FF864200"/>
      </x:font>
      <x:fill>
        <x:patternFill>
          <x:bgColor rgb="FFFCE3BC"/>
        </x:patternFill>
      </x:fill>
    </x:dxf>
    <x:dxf>
      <x:font>
        <x:b/>
        <x:color rgb="FF685313"/>
      </x:font>
      <x:fill>
        <x:patternFill>
          <x:bgColor rgb="FFFFF3C8"/>
        </x:patternFill>
      </x:fill>
    </x:dxf>
    <x:dxf>
      <x:font>
        <x:b/>
        <x:color rgb="FF255848"/>
      </x:font>
      <x:fill>
        <x:patternFill>
          <x:bgColor rgb="FFDCEEE7"/>
        </x:patternFill>
      </x:fill>
    </x:dxf>
    <x:dxf>
      <x:font>
        <x:b/>
        <x:color rgb="FF8B1724"/>
      </x:font>
      <x:fill>
        <x:patternFill>
          <x:bgColor rgb="FFFADBDD"/>
        </x:patternFill>
      </x:fill>
    </x:dxf>
    <x:dxf>
      <x:font>
        <x:b/>
        <x:color rgb="FF864200"/>
      </x:font>
      <x:fill>
        <x:patternFill>
          <x:bgColor rgb="FFFCE3BC"/>
        </x:patternFill>
      </x:fill>
    </x:dxf>
    <x:dxf>
      <x:font>
        <x:b/>
        <x:color rgb="FF685313"/>
      </x:font>
      <x:fill>
        <x:patternFill>
          <x:bgColor rgb="FFFFF3C8"/>
        </x:patternFill>
      </x:fill>
    </x:dxf>
    <x:dxf>
      <x:font>
        <x:b/>
        <x:color rgb="FF255848"/>
      </x:font>
      <x:fill>
        <x:patternFill>
          <x:bgColor rgb="FFDCEEE7"/>
        </x:patternFill>
      </x:fill>
    </x:dxf>
    <x:dxf>
      <x:font>
        <x:b/>
        <x:color rgb="FF8B1724"/>
      </x:font>
      <x:fill>
        <x:patternFill>
          <x:bgColor rgb="FFFADBDD"/>
        </x:patternFill>
      </x:fill>
    </x:dxf>
    <x:dxf>
      <x:font>
        <x:b/>
        <x:color rgb="FF864200"/>
      </x:font>
      <x:fill>
        <x:patternFill>
          <x:bgColor rgb="FFFCE3BC"/>
        </x:patternFill>
      </x:fill>
    </x:dxf>
    <x:dxf>
      <x:font>
        <x:b/>
        <x:color rgb="FF685313"/>
      </x:font>
      <x:fill>
        <x:patternFill>
          <x:bgColor rgb="FFFFF3C8"/>
        </x:patternFill>
      </x:fill>
    </x:dxf>
    <x:dxf>
      <x:font>
        <x:b/>
        <x:color rgb="FF255848"/>
      </x:font>
      <x:fill>
        <x:patternFill>
          <x:bgColor rgb="FFDCEEE7"/>
        </x:patternFill>
      </x:fill>
    </x:dxf>
    <x:dxf>
      <x:font>
        <x:b/>
        <x:color rgb="FF8B1724"/>
      </x:font>
      <x:fill>
        <x:patternFill>
          <x:bgColor rgb="FFFADBDD"/>
        </x:patternFill>
      </x:fill>
    </x:dxf>
    <x:dxf>
      <x:font>
        <x:b/>
        <x:color rgb="FF864200"/>
      </x:font>
      <x:fill>
        <x:patternFill>
          <x:bgColor rgb="FFFCE3BC"/>
        </x:patternFill>
      </x:fill>
    </x:dxf>
    <x:dxf>
      <x:font>
        <x:b/>
        <x:color rgb="FF685313"/>
      </x:font>
      <x:fill>
        <x:patternFill>
          <x:bgColor rgb="FFFFF3C8"/>
        </x:patternFill>
      </x:fill>
    </x:dxf>
    <x:dxf>
      <x:font>
        <x:b/>
        <x:color rgb="FF255848"/>
      </x:font>
      <x:fill>
        <x:patternFill>
          <x:bgColor rgb="FFDCEEE7"/>
        </x:patternFill>
      </x:fill>
    </x:dxf>
    <x:dxf>
      <x:font>
        <x:b/>
        <x:color rgb="FF8B1724"/>
      </x:font>
      <x:fill>
        <x:patternFill>
          <x:bgColor rgb="FFFADBDD"/>
        </x:patternFill>
      </x:fill>
    </x:dxf>
    <x:dxf>
      <x:font>
        <x:b/>
        <x:color rgb="FF864200"/>
      </x:font>
      <x:fill>
        <x:patternFill>
          <x:bgColor rgb="FFFCE3BC"/>
        </x:patternFill>
      </x:fill>
    </x:dxf>
    <x:dxf>
      <x:font>
        <x:b/>
        <x:color rgb="FF685313"/>
      </x:font>
      <x:fill>
        <x:patternFill>
          <x:bgColor rgb="FFFFF3C8"/>
        </x:patternFill>
      </x:fill>
    </x:dxf>
    <x:dxf>
      <x:font>
        <x:b/>
        <x:color rgb="FF255848"/>
      </x:font>
      <x:fill>
        <x:patternFill>
          <x:bgColor rgb="FFDCEEE7"/>
        </x:patternFill>
      </x:fill>
    </x:dxf>
    <x:dxf>
      <x:font>
        <x:b/>
        <x:color rgb="FF8B1724"/>
      </x:font>
      <x:fill>
        <x:patternFill>
          <x:bgColor rgb="FFFADBDD"/>
        </x:patternFill>
      </x:fill>
    </x:dxf>
    <x:dxf>
      <x:font>
        <x:b/>
        <x:color rgb="FF864200"/>
      </x:font>
      <x:fill>
        <x:patternFill>
          <x:bgColor rgb="FFFCE3BC"/>
        </x:patternFill>
      </x:fill>
    </x:dxf>
    <x:dxf>
      <x:font>
        <x:b/>
        <x:color rgb="FF685313"/>
      </x:font>
      <x:fill>
        <x:patternFill>
          <x:bgColor rgb="FFFFF3C8"/>
        </x:patternFill>
      </x:fill>
    </x:dxf>
    <x:dxf>
      <x:font>
        <x:b/>
        <x:color rgb="FF255848"/>
      </x:font>
      <x:fill>
        <x:patternFill>
          <x:bgColor rgb="FFDCEEE7"/>
        </x:patternFill>
      </x:fill>
    </x:dxf>
    <x:dxf>
      <x:font>
        <x:b/>
        <x:color rgb="FF8B1724"/>
      </x:font>
      <x:fill>
        <x:patternFill>
          <x:bgColor rgb="FFFADBDD"/>
        </x:patternFill>
      </x:fill>
    </x:dxf>
    <x:dxf>
      <x:font>
        <x:b/>
        <x:color rgb="FF864200"/>
      </x:font>
      <x:fill>
        <x:patternFill>
          <x:bgColor rgb="FFFCE3BC"/>
        </x:patternFill>
      </x:fill>
    </x:dxf>
    <x:dxf>
      <x:font>
        <x:b/>
        <x:color rgb="FF685313"/>
      </x:font>
      <x:fill>
        <x:patternFill>
          <x:bgColor rgb="FFFFF3C8"/>
        </x:patternFill>
      </x:fill>
    </x:dxf>
    <x:dxf>
      <x:font>
        <x:b/>
        <x:color rgb="FF255848"/>
      </x:font>
      <x:fill>
        <x:patternFill>
          <x:bgColor rgb="FFDCEEE7"/>
        </x:patternFill>
      </x:fill>
    </x:dxf>
    <x:dxf>
      <x:font>
        <x:b/>
        <x:color rgb="FF8B1724"/>
      </x:font>
      <x:fill>
        <x:patternFill>
          <x:bgColor rgb="FFFADBDD"/>
        </x:patternFill>
      </x:fill>
    </x:dxf>
    <x:dxf>
      <x:font>
        <x:b/>
        <x:color rgb="FF864200"/>
      </x:font>
      <x:fill>
        <x:patternFill>
          <x:bgColor rgb="FFFCE3BC"/>
        </x:patternFill>
      </x:fill>
    </x:dxf>
    <x:dxf>
      <x:font>
        <x:b/>
        <x:color rgb="FF685313"/>
      </x:font>
      <x:fill>
        <x:patternFill>
          <x:bgColor rgb="FFFFF3C8"/>
        </x:patternFill>
      </x:fill>
    </x:dxf>
    <x:dxf>
      <x:font>
        <x:b/>
        <x:color rgb="FF255848"/>
      </x:font>
      <x:fill>
        <x:patternFill>
          <x:bgColor rgb="FFDCEEE7"/>
        </x:patternFill>
      </x:fill>
    </x:dxf>
    <x:dxf>
      <x:font>
        <x:b/>
        <x:color rgb="FF8B1724"/>
      </x:font>
      <x:fill>
        <x:patternFill>
          <x:bgColor rgb="FFFADBDD"/>
        </x:patternFill>
      </x:fill>
    </x:dxf>
    <x:dxf>
      <x:font>
        <x:b/>
        <x:color rgb="FF864200"/>
      </x:font>
      <x:fill>
        <x:patternFill>
          <x:bgColor rgb="FFFCE3BC"/>
        </x:patternFill>
      </x:fill>
    </x:dxf>
    <x:dxf>
      <x:font>
        <x:b/>
        <x:color rgb="FF685313"/>
      </x:font>
      <x:fill>
        <x:patternFill>
          <x:bgColor rgb="FFFFF3C8"/>
        </x:patternFill>
      </x:fill>
    </x:dxf>
    <x:dxf>
      <x:font>
        <x:b/>
        <x:color rgb="FF255848"/>
      </x:font>
      <x:fill>
        <x:patternFill>
          <x:bgColor rgb="FFDCEEE7"/>
        </x:patternFill>
      </x:fill>
    </x:dxf>
    <x:dxf>
      <x:font>
        <x:b/>
        <x:color rgb="FF8B1724"/>
      </x:font>
      <x:fill>
        <x:patternFill>
          <x:bgColor rgb="FFFADBDD"/>
        </x:patternFill>
      </x:fill>
    </x:dxf>
    <x:dxf>
      <x:font>
        <x:b/>
        <x:color rgb="FF864200"/>
      </x:font>
      <x:fill>
        <x:patternFill>
          <x:bgColor rgb="FFFCE3BC"/>
        </x:patternFill>
      </x:fill>
    </x:dxf>
    <x:dxf>
      <x:font>
        <x:b/>
        <x:color rgb="FF685313"/>
      </x:font>
      <x:fill>
        <x:patternFill>
          <x:bgColor rgb="FFFFF3C8"/>
        </x:patternFill>
      </x:fill>
    </x:dxf>
    <x:dxf>
      <x:font>
        <x:b/>
        <x:color rgb="FF255848"/>
      </x:font>
      <x:fill>
        <x:patternFill>
          <x:bgColor rgb="FFDCEEE7"/>
        </x:patternFill>
      </x:fill>
    </x:dxf>
    <x:dxf>
      <x:font>
        <x:b/>
        <x:color rgb="FF8B1724"/>
      </x:font>
      <x:fill>
        <x:patternFill>
          <x:bgColor rgb="FFFADBDD"/>
        </x:patternFill>
      </x:fill>
    </x:dxf>
    <x:dxf>
      <x:font>
        <x:b/>
        <x:color rgb="FF864200"/>
      </x:font>
      <x:fill>
        <x:patternFill>
          <x:bgColor rgb="FFFCE3BC"/>
        </x:patternFill>
      </x:fill>
    </x:dxf>
    <x:dxf>
      <x:font>
        <x:b/>
        <x:color rgb="FF685313"/>
      </x:font>
      <x:fill>
        <x:patternFill>
          <x:bgColor rgb="FFFFF3C8"/>
        </x:patternFill>
      </x:fill>
    </x:dxf>
    <x:dxf>
      <x:font>
        <x:b/>
        <x:color rgb="FF255848"/>
      </x:font>
      <x:fill>
        <x:patternFill>
          <x:bgColor rgb="FFDCEEE7"/>
        </x:patternFill>
      </x:fill>
    </x:dxf>
    <x:dxf>
      <x:font>
        <x:b/>
        <x:color rgb="FF8B1724"/>
      </x:font>
      <x:fill>
        <x:patternFill>
          <x:bgColor rgb="FFFADBDD"/>
        </x:patternFill>
      </x:fill>
    </x:dxf>
    <x:dxf>
      <x:font>
        <x:b/>
        <x:color rgb="FF864200"/>
      </x:font>
      <x:fill>
        <x:patternFill>
          <x:bgColor rgb="FFFCE3BC"/>
        </x:patternFill>
      </x:fill>
    </x:dxf>
    <x:dxf>
      <x:font>
        <x:b/>
        <x:color rgb="FF685313"/>
      </x:font>
      <x:fill>
        <x:patternFill>
          <x:bgColor rgb="FFFFF3C8"/>
        </x:patternFill>
      </x:fill>
    </x:dxf>
    <x:dxf>
      <x:font>
        <x:b/>
        <x:color rgb="FF255848"/>
      </x:font>
      <x:fill>
        <x:patternFill>
          <x:bgColor rgb="FFDCEEE7"/>
        </x:patternFill>
      </x:fill>
    </x:dxf>
    <x:dxf>
      <x:font>
        <x:b/>
        <x:color rgb="FF8B1724"/>
      </x:font>
      <x:fill>
        <x:patternFill>
          <x:bgColor rgb="FFFADBDD"/>
        </x:patternFill>
      </x:fill>
    </x:dxf>
    <x:dxf>
      <x:font>
        <x:b/>
        <x:color rgb="FF864200"/>
      </x:font>
      <x:fill>
        <x:patternFill>
          <x:bgColor rgb="FFFCE3BC"/>
        </x:patternFill>
      </x:fill>
    </x:dxf>
    <x:dxf>
      <x:font>
        <x:b/>
        <x:color rgb="FF685313"/>
      </x:font>
      <x:fill>
        <x:patternFill>
          <x:bgColor rgb="FFFFF3C8"/>
        </x:patternFill>
      </x:fill>
    </x:dxf>
    <x:dxf>
      <x:font>
        <x:b/>
        <x:color rgb="FF255848"/>
      </x:font>
      <x:fill>
        <x:patternFill>
          <x:bgColor rgb="FFDCEEE7"/>
        </x:patternFill>
      </x:fill>
    </x:dxf>
    <x:dxf>
      <x:font>
        <x:b/>
        <x:color rgb="FF8B1724"/>
      </x:font>
      <x:fill>
        <x:patternFill>
          <x:bgColor rgb="FFFADBDD"/>
        </x:patternFill>
      </x:fill>
    </x:dxf>
    <x:dxf>
      <x:font>
        <x:b/>
        <x:color rgb="FF864200"/>
      </x:font>
      <x:fill>
        <x:patternFill>
          <x:bgColor rgb="FFFCE3BC"/>
        </x:patternFill>
      </x:fill>
    </x:dxf>
    <x:dxf>
      <x:font>
        <x:b/>
        <x:color rgb="FF685313"/>
      </x:font>
      <x:fill>
        <x:patternFill>
          <x:bgColor rgb="FFFFF3C8"/>
        </x:patternFill>
      </x:fill>
    </x:dxf>
    <x:dxf>
      <x:font>
        <x:b/>
        <x:color rgb="FF255848"/>
      </x:font>
      <x:fill>
        <x:patternFill>
          <x:bgColor rgb="FFDCEEE7"/>
        </x:patternFill>
      </x:fill>
    </x:dxf>
    <x:dxf>
      <x:font>
        <x:b/>
        <x:color rgb="FF8B1724"/>
      </x:font>
      <x:fill>
        <x:patternFill>
          <x:bgColor rgb="FFFADBDD"/>
        </x:patternFill>
      </x:fill>
    </x:dxf>
    <x:dxf>
      <x:font>
        <x:b/>
        <x:color rgb="FF864200"/>
      </x:font>
      <x:fill>
        <x:patternFill>
          <x:bgColor rgb="FFFCE3BC"/>
        </x:patternFill>
      </x:fill>
    </x:dxf>
    <x:dxf>
      <x:font>
        <x:b/>
        <x:color rgb="FF685313"/>
      </x:font>
      <x:fill>
        <x:patternFill>
          <x:bgColor rgb="FFFFF3C8"/>
        </x:patternFill>
      </x:fill>
    </x:dxf>
    <x:dxf>
      <x:font>
        <x:b/>
        <x:color rgb="FF255848"/>
      </x:font>
      <x:fill>
        <x:patternFill>
          <x:bgColor rgb="FFDCEEE7"/>
        </x:patternFill>
      </x:fill>
    </x:dxf>
    <x:dxf>
      <x:font>
        <x:b/>
        <x:color rgb="FF8B1724"/>
      </x:font>
      <x:fill>
        <x:patternFill>
          <x:bgColor rgb="FFFADBDD"/>
        </x:patternFill>
      </x:fill>
    </x:dxf>
    <x:dxf>
      <x:font>
        <x:b/>
        <x:color rgb="FF864200"/>
      </x:font>
      <x:fill>
        <x:patternFill>
          <x:bgColor rgb="FFFCE3BC"/>
        </x:patternFill>
      </x:fill>
    </x:dxf>
    <x:dxf>
      <x:font>
        <x:b/>
        <x:color rgb="FF685313"/>
      </x:font>
      <x:fill>
        <x:patternFill>
          <x:bgColor rgb="FFFFF3C8"/>
        </x:patternFill>
      </x:fill>
    </x:dxf>
    <x:dxf>
      <x:font>
        <x:b/>
        <x:color rgb="FF255848"/>
      </x:font>
      <x:fill>
        <x:patternFill>
          <x:bgColor rgb="FFDCEEE7"/>
        </x:patternFill>
      </x:fill>
    </x:dxf>
    <x:dxf>
      <x:font>
        <x:b/>
        <x:color rgb="FF8B1724"/>
      </x:font>
      <x:fill>
        <x:patternFill>
          <x:bgColor rgb="FFFADBDD"/>
        </x:patternFill>
      </x:fill>
    </x:dxf>
    <x:dxf>
      <x:font>
        <x:b/>
        <x:color rgb="FF864200"/>
      </x:font>
      <x:fill>
        <x:patternFill>
          <x:bgColor rgb="FFFCE3BC"/>
        </x:patternFill>
      </x:fill>
    </x:dxf>
    <x:dxf>
      <x:font>
        <x:b/>
        <x:color rgb="FF685313"/>
      </x:font>
      <x:fill>
        <x:patternFill>
          <x:bgColor rgb="FFFFF3C8"/>
        </x:patternFill>
      </x:fill>
    </x:dxf>
    <x:dxf>
      <x:font>
        <x:b/>
        <x:color rgb="FF255848"/>
      </x:font>
      <x:fill>
        <x:patternFill>
          <x:bgColor rgb="FFDCEEE7"/>
        </x:patternFill>
      </x:fill>
    </x:dxf>
    <x:dxf>
      <x:font>
        <x:b/>
        <x:color rgb="FF8B1724"/>
      </x:font>
      <x:fill>
        <x:patternFill>
          <x:bgColor rgb="FFFADBDD"/>
        </x:patternFill>
      </x:fill>
    </x:dxf>
    <x:dxf>
      <x:font>
        <x:b/>
        <x:color rgb="FF864200"/>
      </x:font>
      <x:fill>
        <x:patternFill>
          <x:bgColor rgb="FFFCE3BC"/>
        </x:patternFill>
      </x:fill>
    </x:dxf>
    <x:dxf>
      <x:font>
        <x:b/>
        <x:color rgb="FF685313"/>
      </x:font>
      <x:fill>
        <x:patternFill>
          <x:bgColor rgb="FFFFF3C8"/>
        </x:patternFill>
      </x:fill>
    </x:dxf>
    <x:dxf>
      <x:font>
        <x:b/>
        <x:color rgb="FF255848"/>
      </x:font>
      <x:fill>
        <x:patternFill>
          <x:bgColor rgb="FFDCEEE7"/>
        </x:patternFill>
      </x:fill>
    </x:dxf>
    <x:dxf>
      <x:font>
        <x:b/>
        <x:color rgb="FF8B1724"/>
      </x:font>
      <x:fill>
        <x:patternFill>
          <x:bgColor rgb="FFFADBDD"/>
        </x:patternFill>
      </x:fill>
    </x:dxf>
    <x:dxf>
      <x:font>
        <x:b/>
        <x:color rgb="FF864200"/>
      </x:font>
      <x:fill>
        <x:patternFill>
          <x:bgColor rgb="FFFCE3BC"/>
        </x:patternFill>
      </x:fill>
    </x:dxf>
    <x:dxf>
      <x:font>
        <x:b/>
        <x:color rgb="FF685313"/>
      </x:font>
      <x:fill>
        <x:patternFill>
          <x:bgColor rgb="FFFFF3C8"/>
        </x:patternFill>
      </x:fill>
    </x:dxf>
    <x:dxf>
      <x:font>
        <x:b/>
        <x:color rgb="FF255848"/>
      </x:font>
      <x:fill>
        <x:patternFill>
          <x:bgColor rgb="FFDCEEE7"/>
        </x:patternFill>
      </x:fill>
    </x:dxf>
    <x:dxf>
      <x:font>
        <x:b/>
        <x:color rgb="FF8B1724"/>
      </x:font>
      <x:fill>
        <x:patternFill>
          <x:bgColor rgb="FFFADBDD"/>
        </x:patternFill>
      </x:fill>
    </x:dxf>
    <x:dxf>
      <x:font>
        <x:b/>
        <x:color rgb="FF864200"/>
      </x:font>
      <x:fill>
        <x:patternFill>
          <x:bgColor rgb="FFFCE3BC"/>
        </x:patternFill>
      </x:fill>
    </x:dxf>
    <x:dxf>
      <x:font>
        <x:b/>
        <x:color rgb="FF685313"/>
      </x:font>
      <x:fill>
        <x:patternFill>
          <x:bgColor rgb="FFFFF3C8"/>
        </x:patternFill>
      </x:fill>
    </x:dxf>
    <x:dxf>
      <x:font>
        <x:b/>
        <x:color rgb="FF255848"/>
      </x:font>
      <x:fill>
        <x:patternFill>
          <x:bgColor rgb="FFDCEEE7"/>
        </x:patternFill>
      </x:fill>
    </x:dxf>
    <x:dxf>
      <x:font>
        <x:b/>
        <x:color rgb="FF8B1724"/>
      </x:font>
      <x:fill>
        <x:patternFill>
          <x:bgColor rgb="FFFADBDD"/>
        </x:patternFill>
      </x:fill>
    </x:dxf>
    <x:dxf>
      <x:font>
        <x:b/>
        <x:color rgb="FF864200"/>
      </x:font>
      <x:fill>
        <x:patternFill>
          <x:bgColor rgb="FFFCE3BC"/>
        </x:patternFill>
      </x:fill>
    </x:dxf>
    <x:dxf>
      <x:font>
        <x:b/>
        <x:color rgb="FF685313"/>
      </x:font>
      <x:fill>
        <x:patternFill>
          <x:bgColor rgb="FFFFF3C8"/>
        </x:patternFill>
      </x:fill>
    </x:dxf>
    <x:dxf>
      <x:font>
        <x:b/>
        <x:color rgb="FF255848"/>
      </x:font>
      <x:fill>
        <x:patternFill>
          <x:bgColor rgb="FFDCEEE7"/>
        </x:patternFill>
      </x:fill>
    </x:dxf>
    <x:dxf>
      <x:font>
        <x:b/>
        <x:color rgb="FF8B1724"/>
      </x:font>
      <x:fill>
        <x:patternFill>
          <x:bgColor rgb="FFFADBDD"/>
        </x:patternFill>
      </x:fill>
    </x:dxf>
    <x:dxf>
      <x:font>
        <x:b/>
        <x:color rgb="FF864200"/>
      </x:font>
      <x:fill>
        <x:patternFill>
          <x:bgColor rgb="FFFCE3BC"/>
        </x:patternFill>
      </x:fill>
    </x:dxf>
    <x:dxf>
      <x:font>
        <x:b/>
        <x:color rgb="FF685313"/>
      </x:font>
      <x:fill>
        <x:patternFill>
          <x:bgColor rgb="FFFFF3C8"/>
        </x:patternFill>
      </x:fill>
    </x:dxf>
    <x:dxf>
      <x:font>
        <x:b/>
        <x:color rgb="FF255848"/>
      </x:font>
      <x:fill>
        <x:patternFill>
          <x:bgColor rgb="FFDCEEE7"/>
        </x:patternFill>
      </x:fill>
    </x:dxf>
    <x:dxf>
      <x:font>
        <x:b/>
        <x:color rgb="FF8B1724"/>
      </x:font>
      <x:fill>
        <x:patternFill>
          <x:bgColor rgb="FFFADBDD"/>
        </x:patternFill>
      </x:fill>
    </x:dxf>
    <x:dxf>
      <x:font>
        <x:b/>
        <x:color rgb="FF864200"/>
      </x:font>
      <x:fill>
        <x:patternFill>
          <x:bgColor rgb="FFFCE3BC"/>
        </x:patternFill>
      </x:fill>
    </x:dxf>
    <x:dxf>
      <x:font>
        <x:b/>
        <x:color rgb="FF685313"/>
      </x:font>
      <x:fill>
        <x:patternFill>
          <x:bgColor rgb="FFFFF3C8"/>
        </x:patternFill>
      </x:fill>
    </x:dxf>
    <x:dxf>
      <x:font>
        <x:b/>
        <x:color rgb="FF255848"/>
      </x:font>
      <x:fill>
        <x:patternFill>
          <x:bgColor rgb="FFDCEEE7"/>
        </x:patternFill>
      </x:fill>
    </x:dxf>
    <x:dxf>
      <x:font>
        <x:b/>
        <x:color rgb="FF8B1724"/>
      </x:font>
      <x:fill>
        <x:patternFill>
          <x:bgColor rgb="FFFADBDD"/>
        </x:patternFill>
      </x:fill>
    </x:dxf>
    <x:dxf>
      <x:font>
        <x:b/>
        <x:color rgb="FF864200"/>
      </x:font>
      <x:fill>
        <x:patternFill>
          <x:bgColor rgb="FFFCE3BC"/>
        </x:patternFill>
      </x:fill>
    </x:dxf>
    <x:dxf>
      <x:font>
        <x:b/>
        <x:color rgb="FF685313"/>
      </x:font>
      <x:fill>
        <x:patternFill>
          <x:bgColor rgb="FFFFF3C8"/>
        </x:patternFill>
      </x:fill>
    </x:dxf>
    <x:dxf>
      <x:font>
        <x:b/>
        <x:color rgb="FF255848"/>
      </x:font>
      <x:fill>
        <x:patternFill>
          <x:bgColor rgb="FFDCEEE7"/>
        </x:patternFill>
      </x:fill>
    </x:dxf>
    <x:dxf>
      <x:font>
        <x:b/>
        <x:color rgb="FF8B1724"/>
      </x:font>
      <x:fill>
        <x:patternFill>
          <x:bgColor rgb="FFFADBDD"/>
        </x:patternFill>
      </x:fill>
    </x:dxf>
    <x:dxf>
      <x:font>
        <x:b/>
        <x:color rgb="FF864200"/>
      </x:font>
      <x:fill>
        <x:patternFill>
          <x:bgColor rgb="FFFCE3BC"/>
        </x:patternFill>
      </x:fill>
    </x:dxf>
    <x:dxf>
      <x:font>
        <x:b/>
        <x:color rgb="FF685313"/>
      </x:font>
      <x:fill>
        <x:patternFill>
          <x:bgColor rgb="FFFFF3C8"/>
        </x:patternFill>
      </x:fill>
    </x:dxf>
    <x:dxf>
      <x:font>
        <x:b/>
        <x:color rgb="FF255848"/>
      </x:font>
      <x:fill>
        <x:patternFill>
          <x:bgColor rgb="FFDCEEE7"/>
        </x:patternFill>
      </x:fill>
    </x:dxf>
    <x:dxf>
      <x:font>
        <x:b/>
        <x:color rgb="FF8B1724"/>
      </x:font>
      <x:fill>
        <x:patternFill>
          <x:bgColor rgb="FFFADBDD"/>
        </x:patternFill>
      </x:fill>
    </x:dxf>
    <x:dxf>
      <x:font>
        <x:b/>
        <x:color rgb="FF864200"/>
      </x:font>
      <x:fill>
        <x:patternFill>
          <x:bgColor rgb="FFFCE3BC"/>
        </x:patternFill>
      </x:fill>
    </x:dxf>
    <x:dxf>
      <x:font>
        <x:b/>
        <x:color rgb="FF685313"/>
      </x:font>
      <x:fill>
        <x:patternFill>
          <x:bgColor rgb="FFFFF3C8"/>
        </x:patternFill>
      </x:fill>
    </x:dxf>
    <x:dxf>
      <x:font>
        <x:b/>
        <x:color rgb="FF255848"/>
      </x:font>
      <x:fill>
        <x:patternFill>
          <x:bgColor rgb="FFDCEEE7"/>
        </x:patternFill>
      </x:fill>
    </x:dxf>
    <x:dxf>
      <x:font>
        <x:b/>
        <x:color rgb="FF8B1724"/>
      </x:font>
      <x:fill>
        <x:patternFill>
          <x:bgColor rgb="FFFADBDD"/>
        </x:patternFill>
      </x:fill>
    </x:dxf>
    <x:dxf>
      <x:font>
        <x:b/>
        <x:color rgb="FF864200"/>
      </x:font>
      <x:fill>
        <x:patternFill>
          <x:bgColor rgb="FFFCE3BC"/>
        </x:patternFill>
      </x:fill>
    </x:dxf>
    <x:dxf>
      <x:font>
        <x:b/>
        <x:color rgb="FF685313"/>
      </x:font>
      <x:fill>
        <x:patternFill>
          <x:bgColor rgb="FFFFF3C8"/>
        </x:patternFill>
      </x:fill>
    </x:dxf>
    <x:dxf>
      <x:font>
        <x:b/>
        <x:color rgb="FF255848"/>
      </x:font>
      <x:fill>
        <x:patternFill>
          <x:bgColor rgb="FFDCEEE7"/>
        </x:patternFill>
      </x:fill>
    </x:dxf>
    <x:dxf>
      <x:font>
        <x:b/>
        <x:color rgb="FF8B1724"/>
      </x:font>
      <x:fill>
        <x:patternFill>
          <x:bgColor rgb="FFFADBDD"/>
        </x:patternFill>
      </x:fill>
    </x:dxf>
    <x:dxf>
      <x:font>
        <x:b/>
        <x:color rgb="FF864200"/>
      </x:font>
      <x:fill>
        <x:patternFill>
          <x:bgColor rgb="FFFCE3BC"/>
        </x:patternFill>
      </x:fill>
    </x:dxf>
    <x:dxf>
      <x:font>
        <x:b/>
        <x:color rgb="FF685313"/>
      </x:font>
      <x:fill>
        <x:patternFill>
          <x:bgColor rgb="FFFFF3C8"/>
        </x:patternFill>
      </x:fill>
    </x:dxf>
    <x:dxf>
      <x:font>
        <x:b/>
        <x:color rgb="FF255848"/>
      </x:font>
      <x:fill>
        <x:patternFill>
          <x:bgColor rgb="FFDCEEE7"/>
        </x:patternFill>
      </x:fill>
    </x:dxf>
    <x:dxf>
      <x:font>
        <x:b/>
        <x:color rgb="FF8B1724"/>
      </x:font>
      <x:fill>
        <x:patternFill>
          <x:bgColor rgb="FFFADBDD"/>
        </x:patternFill>
      </x:fill>
    </x:dxf>
    <x:dxf>
      <x:font>
        <x:b/>
        <x:color rgb="FF864200"/>
      </x:font>
      <x:fill>
        <x:patternFill>
          <x:bgColor rgb="FFFCE3BC"/>
        </x:patternFill>
      </x:fill>
    </x:dxf>
    <x:dxf>
      <x:font>
        <x:b/>
        <x:color rgb="FF685313"/>
      </x:font>
      <x:fill>
        <x:patternFill>
          <x:bgColor rgb="FFFFF3C8"/>
        </x:patternFill>
      </x:fill>
    </x:dxf>
    <x:dxf>
      <x:font>
        <x:b/>
        <x:color rgb="FF255848"/>
      </x:font>
      <x:fill>
        <x:patternFill>
          <x:bgColor rgb="FFDCEEE7"/>
        </x:patternFill>
      </x:fill>
    </x:dxf>
    <x:dxf>
      <x:font>
        <x:b/>
        <x:color rgb="FF8B1724"/>
      </x:font>
      <x:fill>
        <x:patternFill>
          <x:bgColor rgb="FFFADBDD"/>
        </x:patternFill>
      </x:fill>
    </x:dxf>
    <x:dxf>
      <x:font>
        <x:b/>
        <x:color rgb="FF864200"/>
      </x:font>
      <x:fill>
        <x:patternFill>
          <x:bgColor rgb="FFFCE3BC"/>
        </x:patternFill>
      </x:fill>
    </x:dxf>
    <x:dxf>
      <x:font>
        <x:b/>
        <x:color rgb="FF685313"/>
      </x:font>
      <x:fill>
        <x:patternFill>
          <x:bgColor rgb="FFFFF3C8"/>
        </x:patternFill>
      </x:fill>
    </x:dxf>
    <x:dxf>
      <x:font>
        <x:b/>
        <x:color rgb="FF255848"/>
      </x:font>
      <x:fill>
        <x:patternFill>
          <x:bgColor rgb="FFDCEEE7"/>
        </x:patternFill>
      </x:fill>
    </x:dxf>
    <x:dxf>
      <x:font>
        <x:b/>
        <x:color rgb="FF8B1724"/>
      </x:font>
      <x:fill>
        <x:patternFill>
          <x:bgColor rgb="FFFADBDD"/>
        </x:patternFill>
      </x:fill>
    </x:dxf>
    <x:dxf>
      <x:font>
        <x:b/>
        <x:color rgb="FF864200"/>
      </x:font>
      <x:fill>
        <x:patternFill>
          <x:bgColor rgb="FFFCE3BC"/>
        </x:patternFill>
      </x:fill>
    </x:dxf>
    <x:dxf>
      <x:font>
        <x:b/>
        <x:color rgb="FF685313"/>
      </x:font>
      <x:fill>
        <x:patternFill>
          <x:bgColor rgb="FFFFF3C8"/>
        </x:patternFill>
      </x:fill>
    </x:dxf>
    <x:dxf>
      <x:font>
        <x:b/>
        <x:color rgb="FF255848"/>
      </x:font>
      <x:fill>
        <x:patternFill>
          <x:bgColor rgb="FFDCEEE7"/>
        </x:patternFill>
      </x:fill>
    </x:dxf>
    <x:dxf>
      <x:font>
        <x:b/>
        <x:color rgb="FF8B1724"/>
      </x:font>
      <x:fill>
        <x:patternFill>
          <x:bgColor rgb="FFFADBDD"/>
        </x:patternFill>
      </x:fill>
    </x:dxf>
    <x:dxf>
      <x:font>
        <x:b/>
        <x:color rgb="FF864200"/>
      </x:font>
      <x:fill>
        <x:patternFill>
          <x:bgColor rgb="FFFCE3BC"/>
        </x:patternFill>
      </x:fill>
    </x:dxf>
    <x:dxf>
      <x:font>
        <x:b/>
        <x:color rgb="FF685313"/>
      </x:font>
      <x:fill>
        <x:patternFill>
          <x:bgColor rgb="FFFFF3C8"/>
        </x:patternFill>
      </x:fill>
    </x:dxf>
    <x:dxf>
      <x:font>
        <x:b/>
        <x:color rgb="FF255848"/>
      </x:font>
      <x:fill>
        <x:patternFill>
          <x:bgColor rgb="FFDCEEE7"/>
        </x:patternFill>
      </x:fill>
    </x:dxf>
    <x:dxf>
      <x:font>
        <x:b/>
        <x:color rgb="FF8B1724"/>
      </x:font>
      <x:fill>
        <x:patternFill>
          <x:bgColor rgb="FFFADBDD"/>
        </x:patternFill>
      </x:fill>
    </x:dxf>
    <x:dxf>
      <x:font>
        <x:b/>
        <x:color rgb="FF864200"/>
      </x:font>
      <x:fill>
        <x:patternFill>
          <x:bgColor rgb="FFFCE3BC"/>
        </x:patternFill>
      </x:fill>
    </x:dxf>
    <x:dxf>
      <x:font>
        <x:b/>
        <x:color rgb="FF685313"/>
      </x:font>
      <x:fill>
        <x:patternFill>
          <x:bgColor rgb="FFFFF3C8"/>
        </x:patternFill>
      </x:fill>
    </x:dxf>
    <x:dxf>
      <x:font>
        <x:b/>
        <x:color rgb="FF255848"/>
      </x:font>
      <x:fill>
        <x:patternFill>
          <x:bgColor rgb="FFDCEEE7"/>
        </x:patternFill>
      </x:fill>
    </x:dxf>
    <x:dxf>
      <x:font>
        <x:b/>
        <x:color rgb="FF8B1724"/>
      </x:font>
      <x:fill>
        <x:patternFill>
          <x:bgColor rgb="FFFADBDD"/>
        </x:patternFill>
      </x:fill>
    </x:dxf>
    <x:dxf>
      <x:font>
        <x:b/>
        <x:color rgb="FF864200"/>
      </x:font>
      <x:fill>
        <x:patternFill>
          <x:bgColor rgb="FFFCE3BC"/>
        </x:patternFill>
      </x:fill>
    </x:dxf>
    <x:dxf>
      <x:font>
        <x:b/>
        <x:color rgb="FF685313"/>
      </x:font>
      <x:fill>
        <x:patternFill>
          <x:bgColor rgb="FFFFF3C8"/>
        </x:patternFill>
      </x:fill>
    </x:dxf>
    <x:dxf>
      <x:font>
        <x:b/>
        <x:color rgb="FF255848"/>
      </x:font>
      <x:fill>
        <x:patternFill>
          <x:bgColor rgb="FFDCEEE7"/>
        </x:patternFill>
      </x:fill>
    </x:dxf>
    <x:dxf>
      <x:font>
        <x:b/>
        <x:color rgb="FF8B1724"/>
      </x:font>
      <x:fill>
        <x:patternFill>
          <x:bgColor rgb="FFFADBDD"/>
        </x:patternFill>
      </x:fill>
    </x:dxf>
    <x:dxf>
      <x:font>
        <x:b/>
        <x:color rgb="FF864200"/>
      </x:font>
      <x:fill>
        <x:patternFill>
          <x:bgColor rgb="FFFCE3BC"/>
        </x:patternFill>
      </x:fill>
    </x:dxf>
    <x:dxf>
      <x:font>
        <x:b/>
        <x:color rgb="FF685313"/>
      </x:font>
      <x:fill>
        <x:patternFill>
          <x:bgColor rgb="FFFFF3C8"/>
        </x:patternFill>
      </x:fill>
    </x:dxf>
    <x:dxf>
      <x:font>
        <x:b/>
        <x:color rgb="FF255848"/>
      </x:font>
      <x:fill>
        <x:patternFill>
          <x:bgColor rgb="FFDCEEE7"/>
        </x:patternFill>
      </x:fill>
    </x:dxf>
    <x:dxf>
      <x:font>
        <x:b/>
        <x:color rgb="FF8B1724"/>
      </x:font>
      <x:fill>
        <x:patternFill>
          <x:bgColor rgb="FFFADBDD"/>
        </x:patternFill>
      </x:fill>
    </x:dxf>
    <x:dxf>
      <x:font>
        <x:b/>
        <x:color rgb="FF864200"/>
      </x:font>
      <x:fill>
        <x:patternFill>
          <x:bgColor rgb="FFFCE3BC"/>
        </x:patternFill>
      </x:fill>
    </x:dxf>
    <x:dxf>
      <x:font>
        <x:b/>
        <x:color rgb="FF685313"/>
      </x:font>
      <x:fill>
        <x:patternFill>
          <x:bgColor rgb="FFFFF3C8"/>
        </x:patternFill>
      </x:fill>
    </x:dxf>
    <x:dxf>
      <x:font>
        <x:b/>
        <x:color rgb="FF255848"/>
      </x:font>
      <x:fill>
        <x:patternFill>
          <x:bgColor rgb="FFDCEEE7"/>
        </x:patternFill>
      </x:fill>
    </x:dxf>
    <x:dxf>
      <x:font>
        <x:b/>
        <x:color rgb="FF8B1724"/>
      </x:font>
      <x:fill>
        <x:patternFill>
          <x:bgColor rgb="FFFADBDD"/>
        </x:patternFill>
      </x:fill>
    </x:dxf>
    <x:dxf>
      <x:font>
        <x:b/>
        <x:color rgb="FF864200"/>
      </x:font>
      <x:fill>
        <x:patternFill>
          <x:bgColor rgb="FFFCE3BC"/>
        </x:patternFill>
      </x:fill>
    </x:dxf>
    <x:dxf>
      <x:font>
        <x:b/>
        <x:color rgb="FF685313"/>
      </x:font>
      <x:fill>
        <x:patternFill>
          <x:bgColor rgb="FFFFF3C8"/>
        </x:patternFill>
      </x:fill>
    </x:dxf>
    <x:dxf>
      <x:font>
        <x:b/>
        <x:color rgb="FF255848"/>
      </x:font>
      <x:fill>
        <x:patternFill>
          <x:bgColor rgb="FFDCEEE7"/>
        </x:patternFill>
      </x:fill>
    </x:dxf>
    <x:dxf>
      <x:font>
        <x:b/>
        <x:color rgb="FF8B1724"/>
      </x:font>
      <x:fill>
        <x:patternFill>
          <x:bgColor rgb="FFFADBDD"/>
        </x:patternFill>
      </x:fill>
    </x:dxf>
    <x:dxf>
      <x:font>
        <x:b/>
        <x:color rgb="FF864200"/>
      </x:font>
      <x:fill>
        <x:patternFill>
          <x:bgColor rgb="FFFCE3BC"/>
        </x:patternFill>
      </x:fill>
    </x:dxf>
    <x:dxf>
      <x:font>
        <x:b/>
        <x:color rgb="FF685313"/>
      </x:font>
      <x:fill>
        <x:patternFill>
          <x:bgColor rgb="FFFFF3C8"/>
        </x:patternFill>
      </x:fill>
    </x:dxf>
    <x:dxf>
      <x:font>
        <x:b/>
        <x:color rgb="FF255848"/>
      </x:font>
      <x:fill>
        <x:patternFill>
          <x:bgColor rgb="FFDCEEE7"/>
        </x:patternFill>
      </x:fill>
    </x:dxf>
    <x:dxf>
      <x:font>
        <x:b/>
        <x:color rgb="FF8B1724"/>
      </x:font>
      <x:fill>
        <x:patternFill>
          <x:bgColor rgb="FFFADBDD"/>
        </x:patternFill>
      </x:fill>
    </x:dxf>
    <x:dxf>
      <x:font>
        <x:b/>
        <x:color rgb="FF864200"/>
      </x:font>
      <x:fill>
        <x:patternFill>
          <x:bgColor rgb="FFFCE3BC"/>
        </x:patternFill>
      </x:fill>
    </x:dxf>
    <x:dxf>
      <x:font>
        <x:b/>
        <x:color rgb="FF685313"/>
      </x:font>
      <x:fill>
        <x:patternFill>
          <x:bgColor rgb="FFFFF3C8"/>
        </x:patternFill>
      </x:fill>
    </x:dxf>
    <x:dxf>
      <x:font>
        <x:b/>
        <x:color rgb="FF255848"/>
      </x:font>
      <x:fill>
        <x:patternFill>
          <x:bgColor rgb="FFDCEEE7"/>
        </x:patternFill>
      </x:fill>
    </x:dxf>
    <x:dxf>
      <x:font>
        <x:b/>
        <x:color rgb="FF8B1724"/>
      </x:font>
      <x:fill>
        <x:patternFill>
          <x:bgColor rgb="FFFADBDD"/>
        </x:patternFill>
      </x:fill>
    </x:dxf>
    <x:dxf>
      <x:font>
        <x:b/>
        <x:color rgb="FF864200"/>
      </x:font>
      <x:fill>
        <x:patternFill>
          <x:bgColor rgb="FFFCE3BC"/>
        </x:patternFill>
      </x:fill>
    </x:dxf>
    <x:dxf>
      <x:font>
        <x:b/>
        <x:color rgb="FF685313"/>
      </x:font>
      <x:fill>
        <x:patternFill>
          <x:bgColor rgb="FFFFF3C8"/>
        </x:patternFill>
      </x:fill>
    </x:dxf>
    <x:dxf>
      <x:font>
        <x:b/>
        <x:color rgb="FF255848"/>
      </x:font>
      <x:fill>
        <x:patternFill>
          <x:bgColor rgb="FFDCEEE7"/>
        </x:patternFill>
      </x:fill>
    </x:dxf>
    <x:dxf>
      <x:font>
        <x:b/>
        <x:color rgb="FF8B1724"/>
      </x:font>
      <x:fill>
        <x:patternFill>
          <x:bgColor rgb="FFFADBDD"/>
        </x:patternFill>
      </x:fill>
    </x:dxf>
    <x:dxf>
      <x:font>
        <x:b/>
        <x:color rgb="FF864200"/>
      </x:font>
      <x:fill>
        <x:patternFill>
          <x:bgColor rgb="FFFCE3BC"/>
        </x:patternFill>
      </x:fill>
    </x:dxf>
    <x:dxf>
      <x:font>
        <x:b/>
        <x:color rgb="FF685313"/>
      </x:font>
      <x:fill>
        <x:patternFill>
          <x:bgColor rgb="FFFFF3C8"/>
        </x:patternFill>
      </x:fill>
    </x:dxf>
    <x:dxf>
      <x:font>
        <x:b/>
        <x:color rgb="FF255848"/>
      </x:font>
      <x:fill>
        <x:patternFill>
          <x:bgColor rgb="FFDCEEE7"/>
        </x:patternFill>
      </x:fill>
    </x:dxf>
    <x:dxf>
      <x:font>
        <x:b/>
        <x:color rgb="FF8B1724"/>
      </x:font>
      <x:fill>
        <x:patternFill>
          <x:bgColor rgb="FFFADBDD"/>
        </x:patternFill>
      </x:fill>
    </x:dxf>
    <x:dxf>
      <x:font>
        <x:b/>
        <x:color rgb="FF864200"/>
      </x:font>
      <x:fill>
        <x:patternFill>
          <x:bgColor rgb="FFFCE3BC"/>
        </x:patternFill>
      </x:fill>
    </x:dxf>
    <x:dxf>
      <x:font>
        <x:b/>
        <x:color rgb="FF685313"/>
      </x:font>
      <x:fill>
        <x:patternFill>
          <x:bgColor rgb="FFFFF3C8"/>
        </x:patternFill>
      </x:fill>
    </x:dxf>
    <x:dxf>
      <x:font>
        <x:b/>
        <x:color rgb="FF255848"/>
      </x:font>
      <x:fill>
        <x:patternFill>
          <x:bgColor rgb="FFDCEEE7"/>
        </x:patternFill>
      </x:fill>
    </x:dxf>
    <x:dxf>
      <x:font>
        <x:b/>
        <x:color rgb="FF8B1724"/>
      </x:font>
      <x:fill>
        <x:patternFill>
          <x:bgColor rgb="FFFADBDD"/>
        </x:patternFill>
      </x:fill>
    </x:dxf>
    <x:dxf>
      <x:font>
        <x:b/>
        <x:color rgb="FF864200"/>
      </x:font>
      <x:fill>
        <x:patternFill>
          <x:bgColor rgb="FFFCE3BC"/>
        </x:patternFill>
      </x:fill>
    </x:dxf>
    <x:dxf>
      <x:font>
        <x:b/>
        <x:color rgb="FF685313"/>
      </x:font>
      <x:fill>
        <x:patternFill>
          <x:bgColor rgb="FFFFF3C8"/>
        </x:patternFill>
      </x:fill>
    </x:dxf>
    <x:dxf>
      <x:font>
        <x:b/>
        <x:color rgb="FF255848"/>
      </x:font>
      <x:fill>
        <x:patternFill>
          <x:bgColor rgb="FFDCEEE7"/>
        </x:patternFill>
      </x:fill>
    </x:dxf>
    <x:dxf>
      <x:font>
        <x:b/>
        <x:color rgb="FF8B1724"/>
      </x:font>
      <x:fill>
        <x:patternFill>
          <x:bgColor rgb="FFFADBDD"/>
        </x:patternFill>
      </x:fill>
    </x:dxf>
    <x:dxf>
      <x:font>
        <x:b/>
        <x:color rgb="FF864200"/>
      </x:font>
      <x:fill>
        <x:patternFill>
          <x:bgColor rgb="FFFCE3BC"/>
        </x:patternFill>
      </x:fill>
    </x:dxf>
    <x:dxf>
      <x:font>
        <x:b/>
        <x:color rgb="FF685313"/>
      </x:font>
      <x:fill>
        <x:patternFill>
          <x:bgColor rgb="FFFFF3C8"/>
        </x:patternFill>
      </x:fill>
    </x:dxf>
    <x:dxf>
      <x:font>
        <x:b/>
        <x:color rgb="FF255848"/>
      </x:font>
      <x:fill>
        <x:patternFill>
          <x:bgColor rgb="FFDCEEE7"/>
        </x:patternFill>
      </x:fill>
    </x:dxf>
    <x:dxf>
      <x:font>
        <x:b/>
        <x:color rgb="FF8B1724"/>
      </x:font>
      <x:fill>
        <x:patternFill>
          <x:bgColor rgb="FFFADBDD"/>
        </x:patternFill>
      </x:fill>
    </x:dxf>
    <x:dxf>
      <x:font>
        <x:b/>
        <x:color rgb="FF864200"/>
      </x:font>
      <x:fill>
        <x:patternFill>
          <x:bgColor rgb="FFFCE3BC"/>
        </x:patternFill>
      </x:fill>
    </x:dxf>
    <x:dxf>
      <x:font>
        <x:b/>
        <x:color rgb="FF685313"/>
      </x:font>
      <x:fill>
        <x:patternFill>
          <x:bgColor rgb="FFFFF3C8"/>
        </x:patternFill>
      </x:fill>
    </x:dxf>
    <x:dxf>
      <x:font>
        <x:b/>
        <x:color rgb="FF255848"/>
      </x:font>
      <x:fill>
        <x:patternFill>
          <x:bgColor rgb="FFDCEEE7"/>
        </x:patternFill>
      </x:fill>
    </x:dxf>
    <x:dxf>
      <x:font>
        <x:b/>
        <x:color rgb="FF8B1724"/>
      </x:font>
      <x:fill>
        <x:patternFill>
          <x:bgColor rgb="FFFADBDD"/>
        </x:patternFill>
      </x:fill>
    </x:dxf>
    <x:dxf>
      <x:font>
        <x:b/>
        <x:color rgb="FF864200"/>
      </x:font>
      <x:fill>
        <x:patternFill>
          <x:bgColor rgb="FFFCE3BC"/>
        </x:patternFill>
      </x:fill>
    </x:dxf>
    <x:dxf>
      <x:font>
        <x:b/>
        <x:color rgb="FF685313"/>
      </x:font>
      <x:fill>
        <x:patternFill>
          <x:bgColor rgb="FFFFF3C8"/>
        </x:patternFill>
      </x:fill>
    </x:dxf>
    <x:dxf>
      <x:font>
        <x:b/>
        <x:color rgb="FF255848"/>
      </x:font>
      <x:fill>
        <x:patternFill>
          <x:bgColor rgb="FFDCEEE7"/>
        </x:patternFill>
      </x:fill>
    </x:dxf>
    <x:dxf>
      <x:font>
        <x:b/>
        <x:color rgb="FF8B1724"/>
      </x:font>
      <x:fill>
        <x:patternFill>
          <x:bgColor rgb="FFFADBDD"/>
        </x:patternFill>
      </x:fill>
    </x:dxf>
    <x:dxf>
      <x:font>
        <x:b/>
        <x:color rgb="FF864200"/>
      </x:font>
      <x:fill>
        <x:patternFill>
          <x:bgColor rgb="FFFCE3BC"/>
        </x:patternFill>
      </x:fill>
    </x:dxf>
    <x:dxf>
      <x:font>
        <x:b/>
        <x:color rgb="FF685313"/>
      </x:font>
      <x:fill>
        <x:patternFill>
          <x:bgColor rgb="FFFFF3C8"/>
        </x:patternFill>
      </x:fill>
    </x:dxf>
    <x:dxf>
      <x:font>
        <x:b/>
        <x:color rgb="FF255848"/>
      </x:font>
      <x:fill>
        <x:patternFill>
          <x:bgColor rgb="FFDCEEE7"/>
        </x:patternFill>
      </x:fill>
    </x:dxf>
    <x:dxf>
      <x:font>
        <x:b/>
        <x:color rgb="FF8B1724"/>
      </x:font>
      <x:fill>
        <x:patternFill>
          <x:bgColor rgb="FFFADBDD"/>
        </x:patternFill>
      </x:fill>
    </x:dxf>
    <x:dxf>
      <x:font>
        <x:b/>
        <x:color rgb="FF864200"/>
      </x:font>
      <x:fill>
        <x:patternFill>
          <x:bgColor rgb="FFFCE3BC"/>
        </x:patternFill>
      </x:fill>
    </x:dxf>
    <x:dxf>
      <x:font>
        <x:b/>
        <x:color rgb="FF685313"/>
      </x:font>
      <x:fill>
        <x:patternFill>
          <x:bgColor rgb="FFFFF3C8"/>
        </x:patternFill>
      </x:fill>
    </x:dxf>
    <x:dxf>
      <x:font>
        <x:b/>
        <x:color rgb="FF255848"/>
      </x:font>
      <x:fill>
        <x:patternFill>
          <x:bgColor rgb="FFDCEEE7"/>
        </x:patternFill>
      </x:fill>
    </x:dxf>
    <x:dxf>
      <x:font>
        <x:b/>
        <x:color rgb="FF8B1724"/>
      </x:font>
      <x:fill>
        <x:patternFill>
          <x:bgColor rgb="FFFADBDD"/>
        </x:patternFill>
      </x:fill>
    </x:dxf>
    <x:dxf>
      <x:font>
        <x:b/>
        <x:color rgb="FF864200"/>
      </x:font>
      <x:fill>
        <x:patternFill>
          <x:bgColor rgb="FFFCE3BC"/>
        </x:patternFill>
      </x:fill>
    </x:dxf>
    <x:dxf>
      <x:font>
        <x:b/>
        <x:color rgb="FF685313"/>
      </x:font>
      <x:fill>
        <x:patternFill>
          <x:bgColor rgb="FFFFF3C8"/>
        </x:patternFill>
      </x:fill>
    </x:dxf>
    <x:dxf>
      <x:font>
        <x:b/>
        <x:color rgb="FF255848"/>
      </x:font>
      <x:fill>
        <x:patternFill>
          <x:bgColor rgb="FFDCEEE7"/>
        </x:patternFill>
      </x:fill>
    </x:dxf>
    <x:dxf>
      <x:font>
        <x:b/>
        <x:color rgb="FF8B1724"/>
      </x:font>
      <x:fill>
        <x:patternFill>
          <x:bgColor rgb="FFFADBDD"/>
        </x:patternFill>
      </x:fill>
    </x:dxf>
    <x:dxf>
      <x:font>
        <x:b/>
        <x:color rgb="FF864200"/>
      </x:font>
      <x:fill>
        <x:patternFill>
          <x:bgColor rgb="FFFCE3BC"/>
        </x:patternFill>
      </x:fill>
    </x:dxf>
    <x:dxf>
      <x:font>
        <x:b/>
        <x:color rgb="FF685313"/>
      </x:font>
      <x:fill>
        <x:patternFill>
          <x:bgColor rgb="FFFFF3C8"/>
        </x:patternFill>
      </x:fill>
    </x:dxf>
    <x:dxf>
      <x:font>
        <x:b/>
        <x:color rgb="FF255848"/>
      </x:font>
      <x:fill>
        <x:patternFill>
          <x:bgColor rgb="FFDCEEE7"/>
        </x:patternFill>
      </x:fill>
    </x:dxf>
    <x:dxf>
      <x:font>
        <x:b/>
        <x:color rgb="FF8B1724"/>
      </x:font>
      <x:fill>
        <x:patternFill>
          <x:bgColor rgb="FFFADBDD"/>
        </x:patternFill>
      </x:fill>
    </x:dxf>
    <x:dxf>
      <x:font>
        <x:b/>
        <x:color rgb="FF864200"/>
      </x:font>
      <x:fill>
        <x:patternFill>
          <x:bgColor rgb="FFFCE3BC"/>
        </x:patternFill>
      </x:fill>
    </x:dxf>
    <x:dxf>
      <x:font>
        <x:b/>
        <x:color rgb="FF685313"/>
      </x:font>
      <x:fill>
        <x:patternFill>
          <x:bgColor rgb="FFFFF3C8"/>
        </x:patternFill>
      </x:fill>
    </x:dxf>
    <x:dxf>
      <x:font>
        <x:b/>
        <x:color rgb="FF255848"/>
      </x:font>
      <x:fill>
        <x:patternFill>
          <x:bgColor rgb="FFDCEEE7"/>
        </x:patternFill>
      </x:fill>
    </x:dxf>
    <x:dxf>
      <x:font>
        <x:b/>
        <x:color rgb="FF8B1724"/>
      </x:font>
      <x:fill>
        <x:patternFill>
          <x:bgColor rgb="FFFADBDD"/>
        </x:patternFill>
      </x:fill>
    </x:dxf>
    <x:dxf>
      <x:font>
        <x:b/>
        <x:color rgb="FF864200"/>
      </x:font>
      <x:fill>
        <x:patternFill>
          <x:bgColor rgb="FFFCE3BC"/>
        </x:patternFill>
      </x:fill>
    </x:dxf>
    <x:dxf>
      <x:font>
        <x:b/>
        <x:color rgb="FF685313"/>
      </x:font>
      <x:fill>
        <x:patternFill>
          <x:bgColor rgb="FFFFF3C8"/>
        </x:patternFill>
      </x:fill>
    </x:dxf>
    <x:dxf>
      <x:font>
        <x:b/>
        <x:color rgb="FF255848"/>
      </x:font>
      <x:fill>
        <x:patternFill>
          <x:bgColor rgb="FFDCEEE7"/>
        </x:patternFill>
      </x:fill>
    </x:dxf>
    <x:dxf>
      <x:font>
        <x:b/>
        <x:color rgb="FF8B1724"/>
      </x:font>
      <x:fill>
        <x:patternFill>
          <x:bgColor rgb="FFFADBDD"/>
        </x:patternFill>
      </x:fill>
    </x:dxf>
    <x:dxf>
      <x:font>
        <x:b/>
        <x:color rgb="FF864200"/>
      </x:font>
      <x:fill>
        <x:patternFill>
          <x:bgColor rgb="FFFCE3BC"/>
        </x:patternFill>
      </x:fill>
    </x:dxf>
    <x:dxf>
      <x:font>
        <x:b/>
        <x:color rgb="FF685313"/>
      </x:font>
      <x:fill>
        <x:patternFill>
          <x:bgColor rgb="FFFFF3C8"/>
        </x:patternFill>
      </x:fill>
    </x:dxf>
    <x:dxf>
      <x:font>
        <x:b/>
        <x:color rgb="FF255848"/>
      </x:font>
      <x:fill>
        <x:patternFill>
          <x:bgColor rgb="FFDCEEE7"/>
        </x:patternFill>
      </x:fill>
    </x:dxf>
    <x:dxf>
      <x:font>
        <x:b/>
        <x:color rgb="FF8B1724"/>
      </x:font>
      <x:fill>
        <x:patternFill>
          <x:bgColor rgb="FFFADBDD"/>
        </x:patternFill>
      </x:fill>
    </x:dxf>
    <x:dxf>
      <x:font>
        <x:b/>
        <x:color rgb="FF864200"/>
      </x:font>
      <x:fill>
        <x:patternFill>
          <x:bgColor rgb="FFFCE3BC"/>
        </x:patternFill>
      </x:fill>
    </x:dxf>
    <x:dxf>
      <x:font>
        <x:b/>
        <x:color rgb="FF685313"/>
      </x:font>
      <x:fill>
        <x:patternFill>
          <x:bgColor rgb="FFFFF3C8"/>
        </x:patternFill>
      </x:fill>
    </x:dxf>
    <x:dxf>
      <x:font>
        <x:b/>
        <x:color rgb="FF255848"/>
      </x:font>
      <x:fill>
        <x:patternFill>
          <x:bgColor rgb="FFDCEEE7"/>
        </x:patternFill>
      </x:fill>
    </x:dxf>
    <x:dxf>
      <x:font>
        <x:b/>
        <x:color rgb="FF8B1724"/>
      </x:font>
      <x:fill>
        <x:patternFill>
          <x:bgColor rgb="FFFADBDD"/>
        </x:patternFill>
      </x:fill>
    </x:dxf>
    <x:dxf>
      <x:font>
        <x:b/>
        <x:color rgb="FF864200"/>
      </x:font>
      <x:fill>
        <x:patternFill>
          <x:bgColor rgb="FFFCE3BC"/>
        </x:patternFill>
      </x:fill>
    </x:dxf>
    <x:dxf>
      <x:font>
        <x:b/>
        <x:color rgb="FF685313"/>
      </x:font>
      <x:fill>
        <x:patternFill>
          <x:bgColor rgb="FFFFF3C8"/>
        </x:patternFill>
      </x:fill>
    </x:dxf>
    <x:dxf>
      <x:font>
        <x:b/>
        <x:color rgb="FF255848"/>
      </x:font>
      <x:fill>
        <x:patternFill>
          <x:bgColor rgb="FFDCEEE7"/>
        </x:patternFill>
      </x:fill>
    </x:dxf>
    <x:dxf>
      <x:font>
        <x:b/>
        <x:color rgb="FF8B1724"/>
      </x:font>
      <x:fill>
        <x:patternFill>
          <x:bgColor rgb="FFFADBDD"/>
        </x:patternFill>
      </x:fill>
    </x:dxf>
    <x:dxf>
      <x:font>
        <x:b/>
        <x:color rgb="FF864200"/>
      </x:font>
      <x:fill>
        <x:patternFill>
          <x:bgColor rgb="FFFCE3BC"/>
        </x:patternFill>
      </x:fill>
    </x:dxf>
    <x:dxf>
      <x:font>
        <x:b/>
        <x:color rgb="FF685313"/>
      </x:font>
      <x:fill>
        <x:patternFill>
          <x:bgColor rgb="FFFFF3C8"/>
        </x:patternFill>
      </x:fill>
    </x:dxf>
    <x:dxf>
      <x:font>
        <x:b/>
        <x:color rgb="FF255848"/>
      </x:font>
      <x:fill>
        <x:patternFill>
          <x:bgColor rgb="FFDCEEE7"/>
        </x:patternFill>
      </x:fill>
    </x:dxf>
    <x:dxf>
      <x:font>
        <x:b/>
        <x:color rgb="FF8B1724"/>
      </x:font>
      <x:fill>
        <x:patternFill>
          <x:bgColor rgb="FFFADBDD"/>
        </x:patternFill>
      </x:fill>
    </x:dxf>
    <x:dxf>
      <x:font>
        <x:b/>
        <x:color rgb="FF864200"/>
      </x:font>
      <x:fill>
        <x:patternFill>
          <x:bgColor rgb="FFFCE3BC"/>
        </x:patternFill>
      </x:fill>
    </x:dxf>
    <x:dxf>
      <x:font>
        <x:b/>
        <x:color rgb="FF685313"/>
      </x:font>
      <x:fill>
        <x:patternFill>
          <x:bgColor rgb="FFFFF3C8"/>
        </x:patternFill>
      </x:fill>
    </x:dxf>
    <x:dxf>
      <x:font>
        <x:b/>
        <x:color rgb="FF255848"/>
      </x:font>
      <x:fill>
        <x:patternFill>
          <x:bgColor rgb="FFDCEEE7"/>
        </x:patternFill>
      </x:fill>
    </x:dxf>
    <x:dxf>
      <x:font>
        <x:b/>
        <x:color rgb="FF8B1724"/>
      </x:font>
      <x:fill>
        <x:patternFill>
          <x:bgColor rgb="FFFADBDD"/>
        </x:patternFill>
      </x:fill>
    </x:dxf>
    <x:dxf>
      <x:font>
        <x:b/>
        <x:color rgb="FF864200"/>
      </x:font>
      <x:fill>
        <x:patternFill>
          <x:bgColor rgb="FFFCE3BC"/>
        </x:patternFill>
      </x:fill>
    </x:dxf>
    <x:dxf>
      <x:font>
        <x:b/>
        <x:color rgb="FF685313"/>
      </x:font>
      <x:fill>
        <x:patternFill>
          <x:bgColor rgb="FFFFF3C8"/>
        </x:patternFill>
      </x:fill>
    </x:dxf>
    <x:dxf>
      <x:font>
        <x:b/>
        <x:color rgb="FF255848"/>
      </x:font>
      <x:fill>
        <x:patternFill>
          <x:bgColor rgb="FFDCEEE7"/>
        </x:patternFill>
      </x:fill>
    </x:dxf>
    <x:dxf>
      <x:font>
        <x:b/>
        <x:color rgb="FF8B1724"/>
      </x:font>
      <x:fill>
        <x:patternFill>
          <x:bgColor rgb="FFFADBDD"/>
        </x:patternFill>
      </x:fill>
    </x:dxf>
    <x:dxf>
      <x:font>
        <x:b/>
        <x:color rgb="FF864200"/>
      </x:font>
      <x:fill>
        <x:patternFill>
          <x:bgColor rgb="FFFCE3BC"/>
        </x:patternFill>
      </x:fill>
    </x:dxf>
    <x:dxf>
      <x:font>
        <x:b/>
        <x:color rgb="FF685313"/>
      </x:font>
      <x:fill>
        <x:patternFill>
          <x:bgColor rgb="FFFFF3C8"/>
        </x:patternFill>
      </x:fill>
    </x:dxf>
    <x:dxf>
      <x:font>
        <x:b/>
        <x:color rgb="FF255848"/>
      </x:font>
      <x:fill>
        <x:patternFill>
          <x:bgColor rgb="FFDCEEE7"/>
        </x:patternFill>
      </x:fill>
    </x:dxf>
    <x:dxf>
      <x:font>
        <x:b/>
        <x:color rgb="FF8B1724"/>
      </x:font>
      <x:fill>
        <x:patternFill>
          <x:bgColor rgb="FFFADBDD"/>
        </x:patternFill>
      </x:fill>
    </x:dxf>
    <x:dxf>
      <x:font>
        <x:b/>
        <x:color rgb="FF864200"/>
      </x:font>
      <x:fill>
        <x:patternFill>
          <x:bgColor rgb="FFFCE3BC"/>
        </x:patternFill>
      </x:fill>
    </x:dxf>
    <x:dxf>
      <x:font>
        <x:b/>
        <x:color rgb="FF685313"/>
      </x:font>
      <x:fill>
        <x:patternFill>
          <x:bgColor rgb="FFFFF3C8"/>
        </x:patternFill>
      </x:fill>
    </x:dxf>
    <x:dxf>
      <x:font>
        <x:b/>
        <x:color rgb="FF255848"/>
      </x:font>
      <x:fill>
        <x:patternFill>
          <x:bgColor rgb="FFDCEEE7"/>
        </x:patternFill>
      </x:fill>
    </x:dxf>
    <x:dxf>
      <x:font>
        <x:b/>
        <x:color rgb="FF8B1724"/>
      </x:font>
      <x:fill>
        <x:patternFill>
          <x:bgColor rgb="FFFADBDD"/>
        </x:patternFill>
      </x:fill>
    </x:dxf>
    <x:dxf>
      <x:font>
        <x:b/>
        <x:color rgb="FF864200"/>
      </x:font>
      <x:fill>
        <x:patternFill>
          <x:bgColor rgb="FFFCE3BC"/>
        </x:patternFill>
      </x:fill>
    </x:dxf>
    <x:dxf>
      <x:font>
        <x:b/>
        <x:color rgb="FF685313"/>
      </x:font>
      <x:fill>
        <x:patternFill>
          <x:bgColor rgb="FFFFF3C8"/>
        </x:patternFill>
      </x:fill>
    </x:dxf>
    <x:dxf>
      <x:font>
        <x:b/>
        <x:color rgb="FF255848"/>
      </x:font>
      <x:fill>
        <x:patternFill>
          <x:bgColor rgb="FFDCEEE7"/>
        </x:patternFill>
      </x:fill>
    </x:dxf>
    <x:dxf>
      <x:font>
        <x:b/>
        <x:color rgb="FF8B1724"/>
      </x:font>
      <x:fill>
        <x:patternFill>
          <x:bgColor rgb="FFFADBDD"/>
        </x:patternFill>
      </x:fill>
    </x:dxf>
    <x:dxf>
      <x:font>
        <x:b/>
        <x:color rgb="FF864200"/>
      </x:font>
      <x:fill>
        <x:patternFill>
          <x:bgColor rgb="FFFCE3BC"/>
        </x:patternFill>
      </x:fill>
    </x:dxf>
    <x:dxf>
      <x:font>
        <x:b/>
        <x:color rgb="FF685313"/>
      </x:font>
      <x:fill>
        <x:patternFill>
          <x:bgColor rgb="FFFFF3C8"/>
        </x:patternFill>
      </x:fill>
    </x:dxf>
    <x:dxf>
      <x:font>
        <x:b/>
        <x:color rgb="FF255848"/>
      </x:font>
      <x:fill>
        <x:patternFill>
          <x:bgColor rgb="FFDCEEE7"/>
        </x:patternFill>
      </x:fill>
    </x:dxf>
    <x:dxf>
      <x:font>
        <x:b/>
        <x:color rgb="FF8B1724"/>
      </x:font>
      <x:fill>
        <x:patternFill>
          <x:bgColor rgb="FFFADBDD"/>
        </x:patternFill>
      </x:fill>
    </x:dxf>
    <x:dxf>
      <x:font>
        <x:b/>
        <x:color rgb="FF864200"/>
      </x:font>
      <x:fill>
        <x:patternFill>
          <x:bgColor rgb="FFFCE3BC"/>
        </x:patternFill>
      </x:fill>
    </x:dxf>
    <x:dxf>
      <x:font>
        <x:b/>
        <x:color rgb="FF685313"/>
      </x:font>
      <x:fill>
        <x:patternFill>
          <x:bgColor rgb="FFFFF3C8"/>
        </x:patternFill>
      </x:fill>
    </x:dxf>
    <x:dxf>
      <x:font>
        <x:b/>
        <x:color rgb="FF255848"/>
      </x:font>
      <x:fill>
        <x:patternFill>
          <x:bgColor rgb="FFDCEEE7"/>
        </x:patternFill>
      </x:fill>
    </x:dxf>
    <x:dxf>
      <x:font>
        <x:b/>
        <x:color rgb="FF8B1724"/>
      </x:font>
      <x:fill>
        <x:patternFill>
          <x:bgColor rgb="FFFADBDD"/>
        </x:patternFill>
      </x:fill>
    </x:dxf>
    <x:dxf>
      <x:font>
        <x:b/>
        <x:color rgb="FF864200"/>
      </x:font>
      <x:fill>
        <x:patternFill>
          <x:bgColor rgb="FFFCE3BC"/>
        </x:patternFill>
      </x:fill>
    </x:dxf>
    <x:dxf>
      <x:font>
        <x:b/>
        <x:color rgb="FF685313"/>
      </x:font>
      <x:fill>
        <x:patternFill>
          <x:bgColor rgb="FFFFF3C8"/>
        </x:patternFill>
      </x:fill>
    </x:dxf>
    <x:dxf>
      <x:font>
        <x:b/>
        <x:color rgb="FF255848"/>
      </x:font>
      <x:fill>
        <x:patternFill>
          <x:bgColor rgb="FFDCEEE7"/>
        </x:patternFill>
      </x:fill>
    </x:dxf>
    <x:dxf>
      <x:font>
        <x:b/>
        <x:color rgb="FF8B1724"/>
      </x:font>
      <x:fill>
        <x:patternFill>
          <x:bgColor rgb="FFFADBDD"/>
        </x:patternFill>
      </x:fill>
    </x:dxf>
    <x:dxf>
      <x:font>
        <x:b/>
        <x:color rgb="FF864200"/>
      </x:font>
      <x:fill>
        <x:patternFill>
          <x:bgColor rgb="FFFCE3BC"/>
        </x:patternFill>
      </x:fill>
    </x:dxf>
    <x:dxf>
      <x:font>
        <x:b/>
        <x:color rgb="FF685313"/>
      </x:font>
      <x:fill>
        <x:patternFill>
          <x:bgColor rgb="FFFFF3C8"/>
        </x:patternFill>
      </x:fill>
    </x:dxf>
    <x:dxf>
      <x:font>
        <x:b/>
        <x:color rgb="FF255848"/>
      </x:font>
      <x:fill>
        <x:patternFill>
          <x:bgColor rgb="FFDCEEE7"/>
        </x:patternFill>
      </x:fill>
    </x:dxf>
    <x:dxf>
      <x:font>
        <x:b/>
        <x:color rgb="FF8B1724"/>
      </x:font>
      <x:fill>
        <x:patternFill>
          <x:bgColor rgb="FFFADBDD"/>
        </x:patternFill>
      </x:fill>
    </x:dxf>
    <x:dxf>
      <x:font>
        <x:b/>
        <x:color rgb="FF864200"/>
      </x:font>
      <x:fill>
        <x:patternFill>
          <x:bgColor rgb="FFFCE3BC"/>
        </x:patternFill>
      </x:fill>
    </x:dxf>
    <x:dxf>
      <x:font>
        <x:b/>
        <x:color rgb="FF685313"/>
      </x:font>
      <x:fill>
        <x:patternFill>
          <x:bgColor rgb="FFFFF3C8"/>
        </x:patternFill>
      </x:fill>
    </x:dxf>
    <x:dxf>
      <x:font>
        <x:b/>
        <x:color rgb="FF255848"/>
      </x:font>
      <x:fill>
        <x:patternFill>
          <x:bgColor rgb="FFDCEEE7"/>
        </x:patternFill>
      </x:fill>
    </x:dxf>
    <x:dxf>
      <x:font>
        <x:b/>
        <x:color rgb="FF8B1724"/>
      </x:font>
      <x:fill>
        <x:patternFill>
          <x:bgColor rgb="FFFADBDD"/>
        </x:patternFill>
      </x:fill>
    </x:dxf>
    <x:dxf>
      <x:font>
        <x:b/>
        <x:color rgb="FF864200"/>
      </x:font>
      <x:fill>
        <x:patternFill>
          <x:bgColor rgb="FFFCE3BC"/>
        </x:patternFill>
      </x:fill>
    </x:dxf>
    <x:dxf>
      <x:font>
        <x:b/>
        <x:color rgb="FF685313"/>
      </x:font>
      <x:fill>
        <x:patternFill>
          <x:bgColor rgb="FFFFF3C8"/>
        </x:patternFill>
      </x:fill>
    </x:dxf>
    <x:dxf>
      <x:font>
        <x:b/>
        <x:color rgb="FF255848"/>
      </x:font>
      <x:fill>
        <x:patternFill>
          <x:bgColor rgb="FFDCEEE7"/>
        </x:patternFill>
      </x:fill>
    </x:dxf>
    <x:dxf>
      <x:font>
        <x:b/>
        <x:color rgb="FF8B1724"/>
      </x:font>
      <x:fill>
        <x:patternFill>
          <x:bgColor rgb="FFFADBDD"/>
        </x:patternFill>
      </x:fill>
    </x:dxf>
    <x:dxf>
      <x:font>
        <x:b/>
        <x:color rgb="FF864200"/>
      </x:font>
      <x:fill>
        <x:patternFill>
          <x:bgColor rgb="FFFCE3BC"/>
        </x:patternFill>
      </x:fill>
    </x:dxf>
    <x:dxf>
      <x:font>
        <x:b/>
        <x:color rgb="FF685313"/>
      </x:font>
      <x:fill>
        <x:patternFill>
          <x:bgColor rgb="FFFFF3C8"/>
        </x:patternFill>
      </x:fill>
    </x:dxf>
    <x:dxf>
      <x:font>
        <x:b/>
        <x:color rgb="FF255848"/>
      </x:font>
      <x:fill>
        <x:patternFill>
          <x:bgColor rgb="FFDCEEE7"/>
        </x:patternFill>
      </x:fill>
    </x:dxf>
    <x:dxf>
      <x:font>
        <x:b/>
        <x:color rgb="FF8B1724"/>
      </x:font>
      <x:fill>
        <x:patternFill>
          <x:bgColor rgb="FFFADBDD"/>
        </x:patternFill>
      </x:fill>
    </x:dxf>
    <x:dxf>
      <x:font>
        <x:b/>
        <x:color rgb="FF864200"/>
      </x:font>
      <x:fill>
        <x:patternFill>
          <x:bgColor rgb="FFFCE3BC"/>
        </x:patternFill>
      </x:fill>
    </x:dxf>
    <x:dxf>
      <x:font>
        <x:b/>
        <x:color rgb="FF685313"/>
      </x:font>
      <x:fill>
        <x:patternFill>
          <x:bgColor rgb="FFFFF3C8"/>
        </x:patternFill>
      </x:fill>
    </x:dxf>
    <x:dxf>
      <x:font>
        <x:b/>
        <x:color rgb="FF255848"/>
      </x:font>
      <x:fill>
        <x:patternFill>
          <x:bgColor rgb="FFDCEEE7"/>
        </x:patternFill>
      </x:fill>
    </x:dxf>
    <x:dxf>
      <x:font>
        <x:b/>
        <x:color rgb="FF8B1724"/>
      </x:font>
      <x:fill>
        <x:patternFill>
          <x:bgColor rgb="FFFADBDD"/>
        </x:patternFill>
      </x:fill>
    </x:dxf>
    <x:dxf>
      <x:font>
        <x:b/>
        <x:color rgb="FF864200"/>
      </x:font>
      <x:fill>
        <x:patternFill>
          <x:bgColor rgb="FFFCE3BC"/>
        </x:patternFill>
      </x:fill>
    </x:dxf>
    <x:dxf>
      <x:font>
        <x:b/>
        <x:color rgb="FF685313"/>
      </x:font>
      <x:fill>
        <x:patternFill>
          <x:bgColor rgb="FFFFF3C8"/>
        </x:patternFill>
      </x:fill>
    </x:dxf>
    <x:dxf>
      <x:font>
        <x:b/>
        <x:color rgb="FF255848"/>
      </x:font>
      <x:fill>
        <x:patternFill>
          <x:bgColor rgb="FFDCEEE7"/>
        </x:patternFill>
      </x:fill>
    </x:dxf>
    <x:dxf>
      <x:font>
        <x:b/>
        <x:color rgb="FF8B1724"/>
      </x:font>
      <x:fill>
        <x:patternFill>
          <x:bgColor rgb="FFFADBDD"/>
        </x:patternFill>
      </x:fill>
    </x:dxf>
    <x:dxf>
      <x:font>
        <x:b/>
        <x:color rgb="FF864200"/>
      </x:font>
      <x:fill>
        <x:patternFill>
          <x:bgColor rgb="FFFCE3BC"/>
        </x:patternFill>
      </x:fill>
    </x:dxf>
    <x:dxf>
      <x:font>
        <x:b/>
        <x:color rgb="FF685313"/>
      </x:font>
      <x:fill>
        <x:patternFill>
          <x:bgColor rgb="FFFFF3C8"/>
        </x:patternFill>
      </x:fill>
    </x:dxf>
    <x:dxf>
      <x:font>
        <x:b/>
        <x:color rgb="FF255848"/>
      </x:font>
      <x:fill>
        <x:patternFill>
          <x:bgColor rgb="FFDCEEE7"/>
        </x:patternFill>
      </x:fill>
    </x:dxf>
    <x:dxf>
      <x:font>
        <x:b/>
        <x:color rgb="FF8B1724"/>
      </x:font>
      <x:fill>
        <x:patternFill>
          <x:bgColor rgb="FFFADBDD"/>
        </x:patternFill>
      </x:fill>
    </x:dxf>
    <x:dxf>
      <x:font>
        <x:b/>
        <x:color rgb="FF864200"/>
      </x:font>
      <x:fill>
        <x:patternFill>
          <x:bgColor rgb="FFFCE3BC"/>
        </x:patternFill>
      </x:fill>
    </x:dxf>
    <x:dxf>
      <x:font>
        <x:b/>
        <x:color rgb="FF685313"/>
      </x:font>
      <x:fill>
        <x:patternFill>
          <x:bgColor rgb="FFFFF3C8"/>
        </x:patternFill>
      </x:fill>
    </x:dxf>
    <x:dxf>
      <x:font>
        <x:b/>
        <x:color rgb="FF255848"/>
      </x:font>
      <x:fill>
        <x:patternFill>
          <x:bgColor rgb="FFDCEEE7"/>
        </x:patternFill>
      </x:fill>
    </x:dxf>
    <x:dxf>
      <x:font>
        <x:b/>
        <x:color rgb="FF8B1724"/>
      </x:font>
      <x:fill>
        <x:patternFill>
          <x:bgColor rgb="FFFADBDD"/>
        </x:patternFill>
      </x:fill>
    </x:dxf>
    <x:dxf>
      <x:font>
        <x:b/>
        <x:color rgb="FF864200"/>
      </x:font>
      <x:fill>
        <x:patternFill>
          <x:bgColor rgb="FFFCE3BC"/>
        </x:patternFill>
      </x:fill>
    </x:dxf>
    <x:dxf>
      <x:font>
        <x:b/>
        <x:color rgb="FF685313"/>
      </x:font>
      <x:fill>
        <x:patternFill>
          <x:bgColor rgb="FFFFF3C8"/>
        </x:patternFill>
      </x:fill>
    </x:dxf>
    <x:dxf>
      <x:font>
        <x:b/>
        <x:color rgb="FF255848"/>
      </x:font>
      <x:fill>
        <x:patternFill>
          <x:bgColor rgb="FFDCEEE7"/>
        </x:patternFill>
      </x:fill>
    </x:dxf>
    <x:dxf>
      <x:font>
        <x:b/>
        <x:color rgb="FF8B1724"/>
      </x:font>
      <x:fill>
        <x:patternFill>
          <x:bgColor rgb="FFFADBDD"/>
        </x:patternFill>
      </x:fill>
    </x:dxf>
    <x:dxf>
      <x:font>
        <x:b/>
        <x:color rgb="FF864200"/>
      </x:font>
      <x:fill>
        <x:patternFill>
          <x:bgColor rgb="FFFCE3BC"/>
        </x:patternFill>
      </x:fill>
    </x:dxf>
    <x:dxf>
      <x:font>
        <x:b/>
        <x:color rgb="FF685313"/>
      </x:font>
      <x:fill>
        <x:patternFill>
          <x:bgColor rgb="FFFFF3C8"/>
        </x:patternFill>
      </x:fill>
    </x:dxf>
    <x:dxf>
      <x:font>
        <x:b/>
        <x:color rgb="FF255848"/>
      </x:font>
      <x:fill>
        <x:patternFill>
          <x:bgColor rgb="FFDCEEE7"/>
        </x:patternFill>
      </x:fill>
    </x:dxf>
    <x:dxf>
      <x:font>
        <x:b/>
        <x:color rgb="FF8B1724"/>
      </x:font>
      <x:fill>
        <x:patternFill>
          <x:bgColor rgb="FFFADBDD"/>
        </x:patternFill>
      </x:fill>
    </x:dxf>
    <x:dxf>
      <x:font>
        <x:b/>
        <x:color rgb="FF864200"/>
      </x:font>
      <x:fill>
        <x:patternFill>
          <x:bgColor rgb="FFFCE3BC"/>
        </x:patternFill>
      </x:fill>
    </x:dxf>
    <x:dxf>
      <x:font>
        <x:b/>
        <x:color rgb="FF685313"/>
      </x:font>
      <x:fill>
        <x:patternFill>
          <x:bgColor rgb="FFFFF3C8"/>
        </x:patternFill>
      </x:fill>
    </x:dxf>
    <x:dxf>
      <x:font>
        <x:b/>
        <x:color rgb="FF255848"/>
      </x:font>
      <x:fill>
        <x:patternFill>
          <x:bgColor rgb="FFDCEEE7"/>
        </x:patternFill>
      </x:fill>
    </x:dxf>
    <x:dxf>
      <x:font>
        <x:b/>
        <x:color rgb="FF8B1724"/>
      </x:font>
      <x:fill>
        <x:patternFill>
          <x:bgColor rgb="FFFADBDD"/>
        </x:patternFill>
      </x:fill>
    </x:dxf>
    <x:dxf>
      <x:font>
        <x:b/>
        <x:color rgb="FF864200"/>
      </x:font>
      <x:fill>
        <x:patternFill>
          <x:bgColor rgb="FFFCE3BC"/>
        </x:patternFill>
      </x:fill>
    </x:dxf>
    <x:dxf>
      <x:font>
        <x:b/>
        <x:color rgb="FF685313"/>
      </x:font>
      <x:fill>
        <x:patternFill>
          <x:bgColor rgb="FFFFF3C8"/>
        </x:patternFill>
      </x:fill>
    </x:dxf>
    <x:dxf>
      <x:font>
        <x:b/>
        <x:color rgb="FF255848"/>
      </x:font>
      <x:fill>
        <x:patternFill>
          <x:bgColor rgb="FFDCEEE7"/>
        </x:patternFill>
      </x:fill>
    </x:dxf>
    <x:dxf>
      <x:font>
        <x:b/>
        <x:color rgb="FF8B1724"/>
      </x:font>
      <x:fill>
        <x:patternFill>
          <x:bgColor rgb="FFFADBDD"/>
        </x:patternFill>
      </x:fill>
    </x:dxf>
    <x:dxf>
      <x:font>
        <x:b/>
        <x:color rgb="FF864200"/>
      </x:font>
      <x:fill>
        <x:patternFill>
          <x:bgColor rgb="FFFCE3BC"/>
        </x:patternFill>
      </x:fill>
    </x:dxf>
    <x:dxf>
      <x:font>
        <x:b/>
        <x:color rgb="FF685313"/>
      </x:font>
      <x:fill>
        <x:patternFill>
          <x:bgColor rgb="FFFFF3C8"/>
        </x:patternFill>
      </x:fill>
    </x:dxf>
    <x:dxf>
      <x:font>
        <x:b/>
        <x:color rgb="FF255848"/>
      </x:font>
      <x:fill>
        <x:patternFill>
          <x:bgColor rgb="FFDCEEE7"/>
        </x:patternFill>
      </x:fill>
    </x:dxf>
    <x:dxf>
      <x:font>
        <x:b/>
        <x:color rgb="FF8B1724"/>
      </x:font>
      <x:fill>
        <x:patternFill>
          <x:bgColor rgb="FFFADBDD"/>
        </x:patternFill>
      </x:fill>
    </x:dxf>
    <x:dxf>
      <x:font>
        <x:b/>
        <x:color rgb="FF864200"/>
      </x:font>
      <x:fill>
        <x:patternFill>
          <x:bgColor rgb="FFFCE3BC"/>
        </x:patternFill>
      </x:fill>
    </x:dxf>
    <x:dxf>
      <x:font>
        <x:b/>
        <x:color rgb="FF685313"/>
      </x:font>
      <x:fill>
        <x:patternFill>
          <x:bgColor rgb="FFFFF3C8"/>
        </x:patternFill>
      </x:fill>
    </x:dxf>
    <x:dxf>
      <x:font>
        <x:b/>
        <x:color rgb="FF255848"/>
      </x:font>
      <x:fill>
        <x:patternFill>
          <x:bgColor rgb="FFDCEEE7"/>
        </x:patternFill>
      </x:fill>
    </x:dxf>
    <x:dxf>
      <x:font>
        <x:b/>
        <x:color rgb="FF8B1724"/>
      </x:font>
      <x:fill>
        <x:patternFill>
          <x:bgColor rgb="FFFADBDD"/>
        </x:patternFill>
      </x:fill>
    </x:dxf>
    <x:dxf>
      <x:font>
        <x:b/>
        <x:color rgb="FF864200"/>
      </x:font>
      <x:fill>
        <x:patternFill>
          <x:bgColor rgb="FFFCE3BC"/>
        </x:patternFill>
      </x:fill>
    </x:dxf>
    <x:dxf>
      <x:font>
        <x:b/>
        <x:color rgb="FF685313"/>
      </x:font>
      <x:fill>
        <x:patternFill>
          <x:bgColor rgb="FFFFF3C8"/>
        </x:patternFill>
      </x:fill>
    </x:dxf>
    <x:dxf>
      <x:font>
        <x:b/>
        <x:color rgb="FF255848"/>
      </x:font>
      <x:fill>
        <x:patternFill>
          <x:bgColor rgb="FFDCEEE7"/>
        </x:patternFill>
      </x:fill>
    </x:dxf>
    <x:dxf>
      <x:font>
        <x:b/>
        <x:color rgb="FF8B1724"/>
      </x:font>
      <x:fill>
        <x:patternFill>
          <x:bgColor rgb="FFFADBDD"/>
        </x:patternFill>
      </x:fill>
    </x:dxf>
    <x:dxf>
      <x:font>
        <x:b/>
        <x:color rgb="FF864200"/>
      </x:font>
      <x:fill>
        <x:patternFill>
          <x:bgColor rgb="FFFCE3BC"/>
        </x:patternFill>
      </x:fill>
    </x:dxf>
    <x:dxf>
      <x:font>
        <x:b/>
        <x:color rgb="FF685313"/>
      </x:font>
      <x:fill>
        <x:patternFill>
          <x:bgColor rgb="FFFFF3C8"/>
        </x:patternFill>
      </x:fill>
    </x:dxf>
    <x:dxf>
      <x:font>
        <x:b/>
        <x:color rgb="FF255848"/>
      </x:font>
      <x:fill>
        <x:patternFill>
          <x:bgColor rgb="FFDCEEE7"/>
        </x:patternFill>
      </x:fill>
    </x:dxf>
    <x:dxf>
      <x:font>
        <x:b/>
        <x:color rgb="FF8B1724"/>
      </x:font>
      <x:fill>
        <x:patternFill>
          <x:bgColor rgb="FFFADBDD"/>
        </x:patternFill>
      </x:fill>
    </x:dxf>
    <x:dxf>
      <x:font>
        <x:b/>
        <x:color rgb="FF864200"/>
      </x:font>
      <x:fill>
        <x:patternFill>
          <x:bgColor rgb="FFFCE3BC"/>
        </x:patternFill>
      </x:fill>
    </x:dxf>
    <x:dxf>
      <x:font>
        <x:b/>
        <x:color rgb="FF685313"/>
      </x:font>
      <x:fill>
        <x:patternFill>
          <x:bgColor rgb="FFFFF3C8"/>
        </x:patternFill>
      </x:fill>
    </x:dxf>
    <x:dxf>
      <x:font>
        <x:b/>
        <x:color rgb="FF255848"/>
      </x:font>
      <x:fill>
        <x:patternFill>
          <x:bgColor rgb="FFDCEEE7"/>
        </x:patternFill>
      </x:fill>
    </x:dxf>
    <x:dxf>
      <x:font>
        <x:b/>
        <x:color rgb="FF8B1724"/>
      </x:font>
      <x:fill>
        <x:patternFill>
          <x:bgColor rgb="FFFADBDD"/>
        </x:patternFill>
      </x:fill>
    </x:dxf>
    <x:dxf>
      <x:font>
        <x:b/>
        <x:color rgb="FF864200"/>
      </x:font>
      <x:fill>
        <x:patternFill>
          <x:bgColor rgb="FFFCE3BC"/>
        </x:patternFill>
      </x:fill>
    </x:dxf>
    <x:dxf>
      <x:font>
        <x:b/>
        <x:color rgb="FF685313"/>
      </x:font>
      <x:fill>
        <x:patternFill>
          <x:bgColor rgb="FFFFF3C8"/>
        </x:patternFill>
      </x:fill>
    </x:dxf>
    <x:dxf>
      <x:font>
        <x:b/>
        <x:color rgb="FF255848"/>
      </x:font>
      <x:fill>
        <x:patternFill>
          <x:bgColor rgb="FFDCEEE7"/>
        </x:patternFill>
      </x:fill>
    </x:dxf>
    <x:dxf>
      <x:font>
        <x:b/>
        <x:color rgb="FF8B1724"/>
      </x:font>
      <x:fill>
        <x:patternFill>
          <x:bgColor rgb="FFFADBDD"/>
        </x:patternFill>
      </x:fill>
    </x:dxf>
    <x:dxf>
      <x:font>
        <x:b/>
        <x:color rgb="FF864200"/>
      </x:font>
      <x:fill>
        <x:patternFill>
          <x:bgColor rgb="FFFCE3BC"/>
        </x:patternFill>
      </x:fill>
    </x:dxf>
    <x:dxf>
      <x:font>
        <x:b/>
        <x:color rgb="FF685313"/>
      </x:font>
      <x:fill>
        <x:patternFill>
          <x:bgColor rgb="FFFFF3C8"/>
        </x:patternFill>
      </x:fill>
    </x:dxf>
    <x:dxf>
      <x:font>
        <x:b/>
        <x:color rgb="FF255848"/>
      </x:font>
      <x:fill>
        <x:patternFill>
          <x:bgColor rgb="FFDCEEE7"/>
        </x:patternFill>
      </x:fill>
    </x:dxf>
    <x:dxf>
      <x:font>
        <x:b/>
        <x:color rgb="FF8B1724"/>
      </x:font>
      <x:fill>
        <x:patternFill>
          <x:bgColor rgb="FFFADBDD"/>
        </x:patternFill>
      </x:fill>
    </x:dxf>
    <x:dxf>
      <x:font>
        <x:b/>
        <x:color rgb="FF864200"/>
      </x:font>
      <x:fill>
        <x:patternFill>
          <x:bgColor rgb="FFFCE3BC"/>
        </x:patternFill>
      </x:fill>
    </x:dxf>
    <x:dxf>
      <x:font>
        <x:b/>
        <x:color rgb="FF685313"/>
      </x:font>
      <x:fill>
        <x:patternFill>
          <x:bgColor rgb="FFFFF3C8"/>
        </x:patternFill>
      </x:fill>
    </x:dxf>
    <x:dxf>
      <x:font>
        <x:b/>
        <x:color rgb="FF255848"/>
      </x:font>
      <x:fill>
        <x:patternFill>
          <x:bgColor rgb="FFDCEEE7"/>
        </x:patternFill>
      </x:fill>
    </x:dxf>
    <x:dxf>
      <x:font>
        <x:b/>
        <x:color rgb="FF8B1724"/>
      </x:font>
      <x:fill>
        <x:patternFill>
          <x:bgColor rgb="FFFADBDD"/>
        </x:patternFill>
      </x:fill>
    </x:dxf>
    <x:dxf>
      <x:font>
        <x:b/>
        <x:color rgb="FF864200"/>
      </x:font>
      <x:fill>
        <x:patternFill>
          <x:bgColor rgb="FFFCE3BC"/>
        </x:patternFill>
      </x:fill>
    </x:dxf>
    <x:dxf>
      <x:font>
        <x:b/>
        <x:color rgb="FF685313"/>
      </x:font>
      <x:fill>
        <x:patternFill>
          <x:bgColor rgb="FFFFF3C8"/>
        </x:patternFill>
      </x:fill>
    </x:dxf>
    <x:dxf>
      <x:font>
        <x:b/>
        <x:color rgb="FF255848"/>
      </x:font>
      <x:fill>
        <x:patternFill>
          <x:bgColor rgb="FFDCEEE7"/>
        </x:patternFill>
      </x:fill>
    </x:dxf>
    <x:dxf>
      <x:font>
        <x:b/>
        <x:color rgb="FF8B1724"/>
      </x:font>
      <x:fill>
        <x:patternFill>
          <x:bgColor rgb="FFFADBDD"/>
        </x:patternFill>
      </x:fill>
    </x:dxf>
    <x:dxf>
      <x:font>
        <x:b/>
        <x:color rgb="FF864200"/>
      </x:font>
      <x:fill>
        <x:patternFill>
          <x:bgColor rgb="FFFCE3BC"/>
        </x:patternFill>
      </x:fill>
    </x:dxf>
    <x:dxf>
      <x:font>
        <x:b/>
        <x:color rgb="FF685313"/>
      </x:font>
      <x:fill>
        <x:patternFill>
          <x:bgColor rgb="FFFFF3C8"/>
        </x:patternFill>
      </x:fill>
    </x:dxf>
    <x:dxf>
      <x:font>
        <x:b/>
        <x:color rgb="FF255848"/>
      </x:font>
      <x:fill>
        <x:patternFill>
          <x:bgColor rgb="FFDCEEE7"/>
        </x:patternFill>
      </x:fill>
    </x:dxf>
    <x:dxf>
      <x:font>
        <x:b/>
        <x:color rgb="FF8B1724"/>
      </x:font>
      <x:fill>
        <x:patternFill>
          <x:bgColor rgb="FFFADBDD"/>
        </x:patternFill>
      </x:fill>
    </x:dxf>
    <x:dxf>
      <x:font>
        <x:b/>
        <x:color rgb="FF864200"/>
      </x:font>
      <x:fill>
        <x:patternFill>
          <x:bgColor rgb="FFFCE3BC"/>
        </x:patternFill>
      </x:fill>
    </x:dxf>
    <x:dxf>
      <x:font>
        <x:b/>
        <x:color rgb="FF685313"/>
      </x:font>
      <x:fill>
        <x:patternFill>
          <x:bgColor rgb="FFFFF3C8"/>
        </x:patternFill>
      </x:fill>
    </x:dxf>
    <x:dxf>
      <x:font>
        <x:b/>
        <x:color rgb="FF255848"/>
      </x:font>
      <x:fill>
        <x:patternFill>
          <x:bgColor rgb="FFDCEEE7"/>
        </x:patternFill>
      </x:fill>
    </x:dxf>
    <x:dxf>
      <x:font>
        <x:b/>
        <x:color rgb="FF8B1724"/>
      </x:font>
      <x:fill>
        <x:patternFill>
          <x:bgColor rgb="FFFADBDD"/>
        </x:patternFill>
      </x:fill>
    </x:dxf>
    <x:dxf>
      <x:font>
        <x:b/>
        <x:color rgb="FF864200"/>
      </x:font>
      <x:fill>
        <x:patternFill>
          <x:bgColor rgb="FFFCE3BC"/>
        </x:patternFill>
      </x:fill>
    </x:dxf>
    <x:dxf>
      <x:font>
        <x:b/>
        <x:color rgb="FF685313"/>
      </x:font>
      <x:fill>
        <x:patternFill>
          <x:bgColor rgb="FFFFF3C8"/>
        </x:patternFill>
      </x:fill>
    </x:dxf>
    <x:dxf>
      <x:font>
        <x:b/>
        <x:color rgb="FF255848"/>
      </x:font>
      <x:fill>
        <x:patternFill>
          <x:bgColor rgb="FFDCEEE7"/>
        </x:patternFill>
      </x:fill>
    </x:dxf>
    <x:dxf>
      <x:font>
        <x:b/>
        <x:color rgb="FF8B1724"/>
      </x:font>
      <x:fill>
        <x:patternFill>
          <x:bgColor rgb="FFFADBDD"/>
        </x:patternFill>
      </x:fill>
    </x:dxf>
    <x:dxf>
      <x:font>
        <x:b/>
        <x:color rgb="FF864200"/>
      </x:font>
      <x:fill>
        <x:patternFill>
          <x:bgColor rgb="FFFCE3BC"/>
        </x:patternFill>
      </x:fill>
    </x:dxf>
    <x:dxf>
      <x:font>
        <x:b/>
        <x:color rgb="FF685313"/>
      </x:font>
      <x:fill>
        <x:patternFill>
          <x:bgColor rgb="FFFFF3C8"/>
        </x:patternFill>
      </x:fill>
    </x:dxf>
    <x:dxf>
      <x:font>
        <x:b/>
        <x:color rgb="FF255848"/>
      </x:font>
      <x:fill>
        <x:patternFill>
          <x:bgColor rgb="FFDCEE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ca96aec6ab40e2" /><Relationship Type="http://schemas.openxmlformats.org/officeDocument/2006/relationships/theme" Target="/xl/theme/theme1.xml" Id="R747e26f214c5470b" /><Relationship Type="http://schemas.openxmlformats.org/officeDocument/2006/relationships/sharedStrings" Target="/xl/sharedStrings.xml" Id="R1a911d8ab5e94a1c" /><Relationship Type="http://schemas.openxmlformats.org/officeDocument/2006/relationships/worksheet" Target="/xl/worksheets/sheet1.xml" Id="R56c220bba1404b48" /></Relationships>
</file>

<file path=xl/tables/table1.xml><?xml version="1.0" encoding="utf-8"?>
<x:table xmlns:x="http://schemas.openxmlformats.org/spreadsheetml/2006/main" id="1" name="Registro_Riesgos" displayName="Registro_Riesgos" ref="A37:G82" headerRowCount="1" totalsRowCount="0" totalsRowShown="0">
  <x:autoFilter ref="A37:G82"/>
  <x:tableColumns count="7">
    <x:tableColumn id="1" name="ID"/>
    <x:tableColumn id="2" name="RBS"/>
    <x:tableColumn id="3" name="Enunciado causa – riesgo – efecto"/>
    <x:tableColumn id="4" name="Dueño"/>
    <x:tableColumn id="5" name="Probabilidad"/>
    <x:tableColumn id="6" name="Impacto"/>
    <x:tableColumn id="7" name="Zona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Respuestas_Prioritarias" displayName="Respuestas_Prioritarias" ref="A306:G314" headerRowCount="1" totalsRowCount="0" totalsRowShown="0">
  <x:autoFilter ref="A306:G314"/>
  <x:tableColumns count="7">
    <x:tableColumn id="1" name="ID"/>
    <x:tableColumn id="2" name="Estrategia"/>
    <x:tableColumn id="3" name="Acción concreta"/>
    <x:tableColumn id="4" name="Dueño"/>
    <x:tableColumn id="5" name="Costo $"/>
    <x:tableColumn id="6" name="Disparador"/>
    <x:tableColumn id="7" name="Etapa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bfb78c95be4a4382" /><Relationship Type="http://schemas.openxmlformats.org/officeDocument/2006/relationships/vmlDrawing" Target="/xl/drawings/vmldrawing.vml" Id="R965a69c9d8e44e8b" /><Relationship Type="http://schemas.openxmlformats.org/officeDocument/2006/relationships/table" Target="/xl/tables/table1.xml" Id="Re013613012a74b1f" /><Relationship Type="http://schemas.openxmlformats.org/officeDocument/2006/relationships/table" Target="/xl/tables/table2.xml" Id="Re67ef0d9cabe4b1d" /></Relationships>
</file>

<file path=xl/worksheets/sheet1.xml><?xml version="1.0" encoding="utf-8"?>
<x:worksheet xmlns:x="http://schemas.openxmlformats.org/spreadsheetml/2006/main">
  <x:sheetPr>
    <x:tabColor rgb="FF2E3440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4" hidden="0" customWidth="1"/>
    <x:col min="2" max="2" width="36" hidden="0" customWidth="1"/>
    <x:col min="3" max="3" width="80" hidden="0" customWidth="1"/>
    <x:col min="4" max="4" width="34" hidden="0" customWidth="1"/>
    <x:col min="5" max="5" width="24" hidden="0" customWidth="1"/>
    <x:col min="6" max="6" width="38" hidden="0" customWidth="1"/>
    <x:col min="7" max="7" width="26" hidden="0" customWidth="1"/>
  </x:cols>
  <x:sheetData>
    <x:row r="1" ht="32" customHeight="1">
      <x:c r="A1" s="4" t="str">
        <x:v>LafroX · Consolidado de riesgos para preparar el SD8</x:v>
      </x:c>
      <x:c r="B1" s="4"/>
      <x:c r="C1" s="4"/>
      <x:c r="D1" s="4"/>
      <x:c r="E1" s="4"/>
      <x:c r="F1" s="4"/>
      <x:c r="G1" s="4"/>
    </x:row>
    <x:row r="2" ht="26" customHeight="1">
      <x:c r="A2" s="5" t="str">
        <x:v>45 riesgos · Evaluación inicial y escenario residual condicionado · Cuantificación en HH; CLP pendiente.</x:v>
      </x:c>
      <x:c r="B2" s="5"/>
      <x:c r="C2" s="5"/>
      <x:c r="D2" s="5"/>
      <x:c r="E2" s="5"/>
      <x:c r="F2" s="5"/>
      <x:c r="G2" s="5"/>
    </x:row>
    <x:row r="3" ht="28" customHeight="1">
      <x:c r="A3" s="5" t="str">
        <x:v>Las medidas adicionales requieren ejecución, evidencia y revisión del dueño antes de confirmar la reducción.</x:v>
      </x:c>
      <x:c r="B3" s="5"/>
      <x:c r="C3" s="5"/>
      <x:c r="D3" s="5"/>
      <x:c r="E3" s="5"/>
      <x:c r="F3" s="5"/>
      <x:c r="G3" s="5"/>
    </x:row>
    <x:row r="4">
      <x:c r="A4" s="3"/>
      <x:c r="B4" s="3"/>
      <x:c r="C4" s="3"/>
      <x:c r="D4" s="3"/>
      <x:c r="E4" s="3"/>
      <x:c r="F4" s="3"/>
      <x:c r="G4" s="3"/>
    </x:row>
    <x:row r="5" ht="30" customHeight="1">
      <x:c r="A5" s="6" t="str">
        <x:v>1 · Las diez frases de las bases</x:v>
      </x:c>
      <x:c r="B5" s="6"/>
      <x:c r="C5" s="6"/>
      <x:c r="D5" s="6"/>
      <x:c r="E5" s="6"/>
      <x:c r="F5" s="6"/>
      <x:c r="G5" s="6"/>
    </x:row>
    <x:row r="6" ht="26" customHeight="1">
      <x:c r="A6" s="7" t="str">
        <x:v>Tabla 1 · Las diez frases de las bases</x:v>
      </x:c>
      <x:c r="B6" s="7"/>
      <x:c r="C6" s="7"/>
      <x:c r="D6" s="7"/>
      <x:c r="E6" s="7"/>
      <x:c r="F6" s="7"/>
      <x:c r="G6" s="7"/>
    </x:row>
    <x:row r="7" ht="38" customHeight="1">
      <x:c r="A7" s="12" t="str">
        <x:v>Cláusula</x:v>
      </x:c>
      <x:c r="B7" s="12"/>
      <x:c r="C7" s="12" t="str">
        <x:v>Qué no está dicho</x:v>
      </x:c>
      <x:c r="D7" s="12"/>
      <x:c r="E7" s="12" t="str">
        <x:v>Riesgo que produce</x:v>
      </x:c>
      <x:c r="F7" s="12"/>
      <x:c r="G7" s="12"/>
    </x:row>
    <x:row r="8" ht="36" customHeight="1">
      <x:c r="A8" s="14" t="str">
        <x:v>Caso 02 — Logística, cap. 5</x:v>
      </x:c>
      <x:c r="B8" s="14"/>
      <x:c r="C8" s="14" t="str">
        <x:v>Formato utilizable, permisos y documentación real del ERP.</x:v>
      </x:c>
      <x:c r="D8" s="14"/>
      <x:c r="E8" s="14" t="str">
        <x:v>R-001: interfaz insuficiente.</x:v>
      </x:c>
      <x:c r="F8" s="14"/>
      <x:c r="G8" s="14"/>
    </x:row>
    <x:row r="9" ht="36" customHeight="1">
      <x:c r="A9" s="16" t="str">
        <x:v>Caso 02 — Logística, cap. 5</x:v>
      </x:c>
      <x:c r="B9" s="16"/>
      <x:c r="C9" s="16" t="str">
        <x:v>Condiciones comerciales y cuotas para datos de telemetría.</x:v>
      </x:c>
      <x:c r="D9" s="16"/>
      <x:c r="E9" s="16" t="str">
        <x:v>R-002: acceso restringido.</x:v>
      </x:c>
      <x:c r="F9" s="16"/>
      <x:c r="G9" s="16"/>
    </x:row>
    <x:row r="10" ht="36" customHeight="1">
      <x:c r="A10" s="14" t="str">
        <x:v>Caso 02 — Logística, cap. 6 / Bases Administrativas 16.4</x:v>
      </x:c>
      <x:c r="B10" s="14"/>
      <x:c r="C10" s="14" t="str">
        <x:v>Diversidad física efectiva de todos los enlaces propuestos.</x:v>
      </x:c>
      <x:c r="D10" s="14"/>
      <x:c r="E10" s="14" t="str">
        <x:v>R-006 / R-007: conmutación ineficaz.</x:v>
      </x:c>
      <x:c r="F10" s="14"/>
      <x:c r="G10" s="14"/>
    </x:row>
    <x:row r="11" ht="36" customHeight="1">
      <x:c r="A11" s="16" t="str">
        <x:v>Caso 02 — Logística, cap. 8, Hugo / 16.1.16</x:v>
      </x:c>
      <x:c r="B11" s="16"/>
      <x:c r="C11" s="16" t="str">
        <x:v>Repositorio completo y suplente autónomo del planificador.</x:v>
      </x:c>
      <x:c r="D11" s="16"/>
      <x:c r="E11" s="16" t="str">
        <x:v>R-021 / R-045: reglas de ruteo no transferidas.</x:v>
      </x:c>
      <x:c r="F11" s="16"/>
      <x:c r="G11" s="16"/>
    </x:row>
    <x:row r="12" ht="36" customHeight="1">
      <x:c r="A12" s="14" t="str">
        <x:v>Caso 02 — Logística, cap. 10.10</x:v>
      </x:c>
      <x:c r="B12" s="14"/>
      <x:c r="C12" s="14" t="str">
        <x:v>Acuerdo sobre finalidades, acceso y retención de ubicación.</x:v>
      </x:c>
      <x:c r="D12" s="14"/>
      <x:c r="E12" s="14" t="str">
        <x:v>R-017: rechazo sindical.</x:v>
      </x:c>
      <x:c r="F12" s="14"/>
      <x:c r="G12" s="14"/>
    </x:row>
    <x:row r="13" ht="36" customHeight="1">
      <x:c r="A13" s="16" t="str">
        <x:v>Caso 02 — Logística, cap. 13.3.6</x:v>
      </x:c>
      <x:c r="B13" s="16"/>
      <x:c r="C13" s="16" t="str">
        <x:v>Responsables y tiempos de incorporación de conductores reemplazantes.</x:v>
      </x:c>
      <x:c r="D13" s="16"/>
      <x:c r="E13" s="16" t="str">
        <x:v>R-018: adopción incompleta.</x:v>
      </x:c>
      <x:c r="F13" s="16"/>
      <x:c r="G13" s="16"/>
    </x:row>
    <x:row r="14" ht="36" customHeight="1">
      <x:c r="A14" s="14" t="str">
        <x:v>Caso 02 — Logística, cap. 8, Ñanco</x:v>
      </x:c>
      <x:c r="B14" s="14"/>
      <x:c r="C14" s="14" t="str">
        <x:v>Rangos y duración aprobados por cada familia térmica.</x:v>
      </x:c>
      <x:c r="D14" s="14"/>
      <x:c r="E14" s="14" t="str">
        <x:v>R-011 / R-038: disposición incorrecta.</x:v>
      </x:c>
      <x:c r="F14" s="14"/>
      <x:c r="G14" s="14"/>
    </x:row>
    <x:row r="15" ht="36" customHeight="1">
      <x:c r="A15" s="16" t="str">
        <x:v>Caso 02 — Logística, cap. 13.2</x:v>
      </x:c>
      <x:c r="B15" s="16"/>
      <x:c r="C15" s="16" t="str">
        <x:v>Formato, sandbox y agenda de certificación de cada cadena.</x:v>
      </x:c>
      <x:c r="D15" s="16"/>
      <x:c r="E15" s="16" t="str">
        <x:v>R-030: EDI tardío.</x:v>
      </x:c>
      <x:c r="F15" s="16"/>
      <x:c r="G15" s="16"/>
    </x:row>
    <x:row r="16" ht="36" customHeight="1">
      <x:c r="A16" s="14" t="str">
        <x:v>Bases Administrativas art. 17.3 / 18</x:v>
      </x:c>
      <x:c r="B16" s="14"/>
      <x:c r="C16" s="14" t="str">
        <x:v>Agenda nominal de validación y evidencia completa para cada cierre.</x:v>
      </x:c>
      <x:c r="D16" s="14"/>
      <x:c r="E16" s="14" t="str">
        <x:v>R-022 / R-026: aceptación fuera de fecha.</x:v>
      </x:c>
      <x:c r="F16" s="14"/>
      <x:c r="G16" s="14"/>
    </x:row>
    <x:row r="17" ht="48" customHeight="1">
      <x:c r="A17" s="16" t="str">
        <x:v>Bases Técnicas Transversales RT-08.13 / RT-16.24 / Bases Administrativas 50.2</x:v>
      </x:c>
      <x:c r="B17" s="16"/>
      <x:c r="C17" s="16" t="str">
        <x:v>Tarifas, consumo, reposición y flujo de caja completos.</x:v>
      </x:c>
      <x:c r="D17" s="16"/>
      <x:c r="E17" s="16" t="str">
        <x:v>R-033 / R-035: costo no previsto.</x:v>
      </x:c>
      <x:c r="F17" s="16"/>
      <x:c r="G17" s="16"/>
    </x:row>
    <x:row r="18">
      <x:c r="A18" s="3"/>
      <x:c r="B18" s="3"/>
      <x:c r="C18" s="3"/>
      <x:c r="D18" s="3"/>
      <x:c r="E18" s="3"/>
      <x:c r="F18" s="3"/>
      <x:c r="G18" s="3"/>
    </x:row>
    <x:row r="19">
      <x:c r="A19" s="3"/>
      <x:c r="B19" s="3"/>
      <x:c r="C19" s="3"/>
      <x:c r="D19" s="3"/>
      <x:c r="E19" s="3"/>
      <x:c r="F19" s="3"/>
      <x:c r="G19" s="3"/>
    </x:row>
    <x:row r="20">
      <x:c r="A20" s="3"/>
      <x:c r="B20" s="3"/>
      <x:c r="C20" s="3"/>
      <x:c r="D20" s="3"/>
      <x:c r="E20" s="3"/>
      <x:c r="F20" s="3"/>
      <x:c r="G20" s="3"/>
    </x:row>
    <x:row r="21" ht="30" customHeight="1">
      <x:c r="A21" s="6" t="str">
        <x:v>2 · RBS de referencia</x:v>
      </x:c>
      <x:c r="B21" s="6"/>
      <x:c r="C21" s="6"/>
      <x:c r="D21" s="6"/>
      <x:c r="E21" s="6"/>
      <x:c r="F21" s="6"/>
      <x:c r="G21" s="6"/>
    </x:row>
    <x:row r="22" ht="26" customHeight="1">
      <x:c r="A22" s="7" t="str">
        <x:v>Tabla 2 · RBS de referencia</x:v>
      </x:c>
      <x:c r="B22" s="7"/>
      <x:c r="C22" s="7"/>
      <x:c r="D22" s="7"/>
      <x:c r="E22" s="7"/>
      <x:c r="F22" s="7"/>
      <x:c r="G22" s="7"/>
    </x:row>
    <x:row r="23" ht="38" customHeight="1">
      <x:c r="A23" s="12" t="str">
        <x:v>Rama</x:v>
      </x:c>
      <x:c r="B23" s="12"/>
      <x:c r="C23" s="12" t="str">
        <x:v>Categorías de nivel 2 para este caso</x:v>
      </x:c>
      <x:c r="D23" s="12"/>
      <x:c r="E23" s="12"/>
      <x:c r="F23" s="12" t="str">
        <x:v>Riesgos que caen aquí</x:v>
      </x:c>
      <x:c r="G23" s="12"/>
    </x:row>
    <x:row r="24" ht="84" customHeight="1">
      <x:c r="A24" s="14" t="str">
        <x:v>1 · Solución y tecnología</x:v>
      </x:c>
      <x:c r="B24" s="14"/>
      <x:c r="C24" s="14" t="str">
        <x:v>1.6: Calidad insuficiente de maestros e historia; 1.2: Conflictos y duplicados tras reconexión; 1.3: Turno móvil sin señal o batería suficiente; 1.4: Relevo y autorización local durante corte; 1.5: Terminales y periféricos a −22 °C; 1.7: Regla o sensor térmico incorrecto; 1.8: Retiro sanitario sin trazabilidad completa; 1.9: Despacho crítico o peak sin capacidad; 1.10: Recuperación y retorno exceden RTO/RPO; 1.11: Ataque o uso indebido de privilegios; 1.12: Bloqueo por servicios de nube o terceros; 1.13: Fin de soporte antes del mes 56; 1.14: INN-02 no reproduce los incidentes reales; 1.15: INN-03 estima vida útil sin validación suficiente</x:v>
      </x:c>
      <x:c r="D24" s="14"/>
      <x:c r="E24" s="14"/>
      <x:c r="F24" s="14" t="str">
        <x:v>R-004, R-005, R-008, R-009, R-010, R-011, R-012, R-013, R-015, R-016, R-032, R-033, R-037, R-038</x:v>
      </x:c>
      <x:c r="G24" s="14"/>
    </x:row>
    <x:row r="25" ht="48" customHeight="1">
      <x:c r="A25" s="16" t="str">
        <x:v>2 · Integración y legado</x:v>
      </x:c>
      <x:c r="B25" s="16"/>
      <x:c r="C25" s="16" t="str">
        <x:v>2.1: Interfaces del ERP no utilizables; 2.2: Acceso a telemetría del tercero; 2.3: Reemplazo y convivencia del WMS; 2.4: Certificación EDI depende de las cadenas; 2.5: Avisos no llegan o se confunden con lectura; 2.6: Pago incierto causa doble cargo; 2.7: Mapa o datos de ruteo no representan restricciones reales</x:v>
      </x:c>
      <x:c r="D25" s="16"/>
      <x:c r="E25" s="16"/>
      <x:c r="F25" s="16" t="str">
        <x:v>R-001, R-002, R-003, R-030, R-031, R-043, R-045</x:v>
      </x:c>
      <x:c r="G25" s="16"/>
    </x:row>
    <x:row r="26" ht="60" customHeight="1">
      <x:c r="A26" s="14" t="str">
        <x:v>3 · Operación del cliente</x:v>
      </x:c>
      <x:c r="B26" s="14"/>
      <x:c r="C26" s="14" t="str">
        <x:v>3.1: Caída simultánea de enlaces de Concepción; 3.2: Cross-docking incomunicado en madrugada; 3.3: Sala, energía y climatización no conformes; 3.4: Contrapartes no validan a tiempo; 3.5: Intervención coincide con congelamientos; 3.6: Compra de terreno o instalación llega tarde; 3.7: Rendición y control del efectivo insuficientes; 3.8: Devoluciones y envases alteran saldo o custodia</x:v>
      </x:c>
      <x:c r="D26" s="14"/>
      <x:c r="E26" s="14"/>
      <x:c r="F26" s="14" t="str">
        <x:v>R-006, R-007, R-014, R-022, R-023, R-024, R-028, R-044</x:v>
      </x:c>
      <x:c r="G26" s="14"/>
    </x:row>
    <x:row r="27" ht="60" customHeight="1">
      <x:c r="A27" s="16" t="str">
        <x:v>4 · Personas y adopción</x:v>
      </x:c>
      <x:c r="B27" s="16"/>
      <x:c r="C27" s="16" t="str">
        <x:v>4.1: Objeción sindical y privacidad de geolocalización; 4.2: Transportistas no incorporan a conductores rotativos; 4.3: Rotación y aprendizaje en bodega nocturna; 4.4: Capacitación interrumpe venta o reparto; 4.5: Pérdida del conocimiento de rutas; 4.6: INN-01 no obtiene confirmación del stock posentrega; 4.7: INN-05 hoja del almacenero incomprensible o identificable</x:v>
      </x:c>
      <x:c r="D27" s="16"/>
      <x:c r="E27" s="16"/>
      <x:c r="F27" s="16" t="str">
        <x:v>R-017, R-018, R-019, R-020, R-021, R-036, R-040</x:v>
      </x:c>
      <x:c r="G27" s="16"/>
    </x:row>
    <x:row r="28" ht="48" customHeight="1">
      <x:c r="A28" s="14" t="str">
        <x:v>5 · Contrato y licitación</x:v>
      </x:c>
      <x:c r="B28" s="14"/>
      <x:c r="C28" s="14" t="str">
        <x:v>5.1: Observaciones o marcha blanca impiden aceptación; 5.2: Cambio de alcance sin aprobación; 5.3: INN-04 incentivo distorsiona costo de servir; 5.4: Transferencia y salida incompletas</x:v>
      </x:c>
      <x:c r="D28" s="14"/>
      <x:c r="E28" s="14"/>
      <x:c r="F28" s="14" t="str">
        <x:v>R-026, R-027, R-039, R-041</x:v>
      </x:c>
      <x:c r="G28" s="14"/>
    </x:row>
    <x:row r="29" ht="36" customHeight="1">
      <x:c r="A29" s="16" t="str">
        <x:v>6 · Regulatorio y externo</x:v>
      </x:c>
      <x:c r="B29" s="16"/>
      <x:c r="C29" s="16" t="str">
        <x:v>6.1: POD y guía sin evidencia verificable; 6.2: Retención o normativa aplicable cambia</x:v>
      </x:c>
      <x:c r="D29" s="16"/>
      <x:c r="E29" s="16"/>
      <x:c r="F29" s="16" t="str">
        <x:v>R-029, R-042</x:v>
      </x:c>
      <x:c r="G29" s="16"/>
    </x:row>
    <x:row r="30" ht="36" customHeight="1">
      <x:c r="A30" s="14" t="str">
        <x:v>7 · Empresa proveedora</x:v>
      </x:c>
      <x:c r="B30" s="14"/>
      <x:c r="C30" s="14" t="str">
        <x:v>7.1: Dotación compartida entre etapas insuficiente; 7.2: Mesa, NOC o soporte de sitio insuficientes; 7.3: Costos variables o caja del proveedor subestimados</x:v>
      </x:c>
      <x:c r="D30" s="14"/>
      <x:c r="E30" s="14"/>
      <x:c r="F30" s="14" t="str">
        <x:v>R-025, R-034, R-035</x:v>
      </x:c>
      <x:c r="G30" s="14"/>
    </x:row>
    <x:row r="31">
      <x:c r="A31" s="3"/>
      <x:c r="B31" s="3"/>
      <x:c r="C31" s="3"/>
      <x:c r="D31" s="3"/>
      <x:c r="E31" s="3"/>
      <x:c r="F31" s="3"/>
      <x:c r="G31" s="3"/>
    </x:row>
    <x:row r="32">
      <x:c r="A32" s="3"/>
      <x:c r="B32" s="3"/>
      <x:c r="C32" s="3"/>
      <x:c r="D32" s="3"/>
      <x:c r="E32" s="3"/>
      <x:c r="F32" s="3"/>
      <x:c r="G32" s="3"/>
    </x:row>
    <x:row r="33">
      <x:c r="A33" s="3"/>
      <x:c r="B33" s="3"/>
      <x:c r="C33" s="3"/>
      <x:c r="D33" s="3"/>
      <x:c r="E33" s="3"/>
      <x:c r="F33" s="3"/>
      <x:c r="G33" s="3"/>
    </x:row>
    <x:row r="34" ht="30" customHeight="1">
      <x:c r="A34" s="6" t="str">
        <x:v>3 · Registro de riesgos de referencia</x:v>
      </x:c>
      <x:c r="B34" s="6"/>
      <x:c r="C34" s="6"/>
      <x:c r="D34" s="6"/>
      <x:c r="E34" s="6"/>
      <x:c r="F34" s="6"/>
      <x:c r="G34" s="6"/>
    </x:row>
    <x:row r="35" ht="30" customHeight="1">
      <x:c r="A35" s="5" t="str">
        <x:v>Causa → evento incierto → efecto. Probabilidad e impacto son ponderaciones cualitativas; la zona usa su producto.</x:v>
      </x:c>
      <x:c r="B35" s="5"/>
      <x:c r="C35" s="5"/>
      <x:c r="D35" s="5"/>
      <x:c r="E35" s="5"/>
      <x:c r="F35" s="5"/>
      <x:c r="G35" s="5"/>
    </x:row>
    <x:row r="36" ht="26" customHeight="1">
      <x:c r="A36" s="7" t="str">
        <x:v>Tabla 3 · Registro de riesgos de referencia</x:v>
      </x:c>
      <x:c r="B36" s="7"/>
      <x:c r="C36" s="7"/>
      <x:c r="D36" s="7"/>
      <x:c r="E36" s="7"/>
      <x:c r="F36" s="7"/>
      <x:c r="G36" s="7"/>
    </x:row>
    <x:row r="37" ht="38" customHeight="1">
      <x:c r="A37" s="12" t="str">
        <x:v>ID</x:v>
      </x:c>
      <x:c r="B37" s="12" t="str">
        <x:v>RBS</x:v>
      </x:c>
      <x:c r="C37" s="12" t="str">
        <x:v>Enunciado causa – riesgo – efecto</x:v>
      </x:c>
      <x:c r="D37" s="12" t="str">
        <x:v>Dueño</x:v>
      </x:c>
      <x:c r="E37" s="12" t="str">
        <x:v>Probabilidad</x:v>
      </x:c>
      <x:c r="F37" s="12" t="str">
        <x:v>Impacto</x:v>
      </x:c>
      <x:c r="G37" s="12" t="str">
        <x:v>Zona</x:v>
      </x:c>
    </x:row>
    <x:row r="38" ht="48" customHeight="1">
      <x:c r="A38" s="14" t="str">
        <x:v>R-001</x:v>
      </x:c>
      <x:c r="B38" s="14" t="str">
        <x:v>2.1</x:v>
      </x:c>
      <x:c r="C38" s="14" t="str">
        <x:v>ERP sin documentación de interfaces y sin permiso para modificarlo → la interfaz disponible puede no soportar los contratos necesarios → retrabajo de la ACL y atraso de integración</x:v>
      </x:c>
      <x:c r="D38" s="14" t="str">
        <x:v>Bastián Trejo</x:v>
      </x:c>
      <x:c r="E38" s="18" t="n">
        <x:f>IF(INDEX($B$192:$B$236,MATCH(A38,$A$192:$A$236,0))&lt;=0.1,0.1,IF(INDEX($B$192:$B$236,MATCH(A38,$A$192:$A$236,0))&lt;=0.3,0.3,IF(INDEX($B$192:$B$236,MATCH(A38,$A$192:$A$236,0))&lt;=0.5,0.5,IF(INDEX($B$192:$B$236,MATCH(A38,$A$192:$A$236,0))&lt;=0.7,0.7,0.9))))</x:f>
        <x:v>0.5</x:v>
      </x:c>
      <x:c r="F38" s="19" t="n">
        <x:v>0.4</x:v>
      </x:c>
      <x:c r="G38" s="14" t="str">
        <x:f>IF(E38*F38&gt;=0.4,"Crítica",IF(E38*F38&gt;=0.2,"Alta",IF(E38*F38&gt;=0.08,"Media","Baja")))</x:f>
        <x:v>Alta</x:v>
      </x:c>
    </x:row>
    <x:row r="39" ht="48" customHeight="1">
      <x:c r="A39" s="16" t="str">
        <x:v>R-002</x:v>
      </x:c>
      <x:c r="B39" s="16" t="str">
        <x:v>2.2</x:v>
      </x:c>
      <x:c r="C39" s="16" t="str">
        <x:v>El cliente desconoce condiciones contractuales de acceso a los datos → el tercero puede limitar API, cuotas o historia → ingesta incompleta de la flota propia</x:v>
      </x:c>
      <x:c r="D39" s="16" t="str">
        <x:v>Bastián Trejo</x:v>
      </x:c>
      <x:c r="E39" s="21" t="n">
        <x:f>IF(INDEX($B$192:$B$236,MATCH(A39,$A$192:$A$236,0))&lt;=0.1,0.1,IF(INDEX($B$192:$B$236,MATCH(A39,$A$192:$A$236,0))&lt;=0.3,0.3,IF(INDEX($B$192:$B$236,MATCH(A39,$A$192:$A$236,0))&lt;=0.5,0.5,IF(INDEX($B$192:$B$236,MATCH(A39,$A$192:$A$236,0))&lt;=0.7,0.7,0.9))))</x:f>
        <x:v>0.5</x:v>
      </x:c>
      <x:c r="F39" s="22" t="n">
        <x:v>0.2</x:v>
      </x:c>
      <x:c r="G39" s="16" t="str">
        <x:f>IF(E39*F39&gt;=0.4,"Crítica",IF(E39*F39&gt;=0.2,"Alta",IF(E39*F39&gt;=0.08,"Media","Baja")))</x:f>
        <x:v>Media</x:v>
      </x:c>
    </x:row>
    <x:row r="40" ht="48" customHeight="1">
      <x:c r="A40" s="14" t="str">
        <x:v>R-003</x:v>
      </x:c>
      <x:c r="B40" s="14" t="str">
        <x:v>2.3</x:v>
      </x:c>
      <x:c r="C40" s="14" t="str">
        <x:v>WMS de 2013 y registros físicos conviven durante la transición → el corte puede dejar saldos divergentes o tareas sin dueño → reversión y extensión de la convivencia</x:v>
      </x:c>
      <x:c r="D40" s="14" t="str">
        <x:v>Leandro Chamorro</x:v>
      </x:c>
      <x:c r="E40" s="18" t="n">
        <x:f>IF(INDEX($B$192:$B$236,MATCH(A40,$A$192:$A$236,0))&lt;=0.1,0.1,IF(INDEX($B$192:$B$236,MATCH(A40,$A$192:$A$236,0))&lt;=0.3,0.3,IF(INDEX($B$192:$B$236,MATCH(A40,$A$192:$A$236,0))&lt;=0.5,0.5,IF(INDEX($B$192:$B$236,MATCH(A40,$A$192:$A$236,0))&lt;=0.7,0.7,0.9))))</x:f>
        <x:v>0.5</x:v>
      </x:c>
      <x:c r="F40" s="19" t="n">
        <x:v>0.4</x:v>
      </x:c>
      <x:c r="G40" s="14" t="str">
        <x:f>IF(E40*F40&gt;=0.4,"Crítica",IF(E40*F40&gt;=0.2,"Alta",IF(E40*F40&gt;=0.08,"Media","Baja")))</x:f>
        <x:v>Alta</x:v>
      </x:c>
    </x:row>
    <x:row r="41" ht="48" customHeight="1">
      <x:c r="A41" s="16" t="str">
        <x:v>R-004</x:v>
      </x:c>
      <x:c r="B41" s="16" t="str">
        <x:v>1.6</x:v>
      </x:c>
      <x:c r="C41" s="16" t="str">
        <x:v>Lotes en texto libre y registros históricos incompletos → el saneamiento puede exceder lo previsto o cargar datos inconsistentes → rechazo de migración y pérdida de trazabilidad</x:v>
      </x:c>
      <x:c r="D41" s="16" t="str">
        <x:v>Leandro Chamorro</x:v>
      </x:c>
      <x:c r="E41" s="21" t="n">
        <x:f>IF(INDEX($B$192:$B$236,MATCH(A41,$A$192:$A$236,0))&lt;=0.1,0.1,IF(INDEX($B$192:$B$236,MATCH(A41,$A$192:$A$236,0))&lt;=0.3,0.3,IF(INDEX($B$192:$B$236,MATCH(A41,$A$192:$A$236,0))&lt;=0.5,0.5,IF(INDEX($B$192:$B$236,MATCH(A41,$A$192:$A$236,0))&lt;=0.7,0.7,0.9))))</x:f>
        <x:v>0.5</x:v>
      </x:c>
      <x:c r="F41" s="22" t="n">
        <x:v>0.4</x:v>
      </x:c>
      <x:c r="G41" s="16" t="str">
        <x:f>IF(E41*F41&gt;=0.4,"Crítica",IF(E41*F41&gt;=0.2,"Alta",IF(E41*F41&gt;=0.08,"Media","Baja")))</x:f>
        <x:v>Alta</x:v>
      </x:c>
    </x:row>
    <x:row r="42" ht="48" customHeight="1">
      <x:c r="A42" s="14" t="str">
        <x:v>R-005</x:v>
      </x:c>
      <x:c r="B42" s="14" t="str">
        <x:v>1.2</x:v>
      </x:c>
      <x:c r="C42" s="14" t="str">
        <x:v>Los sitios y móviles acumulan operaciones desconectadas → reintentos y orden parcial pueden duplicar cobros o reservar stock ya retenido → inconsistencia entre sitio, nube y ERP</x:v>
      </x:c>
      <x:c r="D42" s="14" t="str">
        <x:v>Tomás Pérez</x:v>
      </x:c>
      <x:c r="E42" s="18" t="n">
        <x:f>IF(INDEX($B$192:$B$236,MATCH(A42,$A$192:$A$236,0))&lt;=0.1,0.1,IF(INDEX($B$192:$B$236,MATCH(A42,$A$192:$A$236,0))&lt;=0.3,0.3,IF(INDEX($B$192:$B$236,MATCH(A42,$A$192:$A$236,0))&lt;=0.5,0.5,IF(INDEX($B$192:$B$236,MATCH(A42,$A$192:$A$236,0))&lt;=0.7,0.7,0.9))))</x:f>
        <x:v>0.3</x:v>
      </x:c>
      <x:c r="F42" s="19" t="n">
        <x:v>0.8</x:v>
      </x:c>
      <x:c r="G42" s="14" t="str">
        <x:f>IF(E42*F42&gt;=0.4,"Crítica",IF(E42*F42&gt;=0.2,"Alta",IF(E42*F42&gt;=0.08,"Media","Baja")))</x:f>
        <x:v>Alta</x:v>
      </x:c>
    </x:row>
    <x:row r="43" ht="48" customHeight="1">
      <x:c r="A43" s="16" t="str">
        <x:v>R-006</x:v>
      </x:c>
      <x:c r="B43" s="16" t="str">
        <x:v>3.1</x:v>
      </x:c>
      <x:c r="C43" s="16" t="str">
        <x:v>Concepción tiene un solo enlace en la situación actual → la redundancia propuesta puede no conmutar o compartir una falla física → aislamiento del CD y acumulación de operaciones</x:v>
      </x:c>
      <x:c r="D43" s="16" t="str">
        <x:v>Guillermo Castillo</x:v>
      </x:c>
      <x:c r="E43" s="21" t="n">
        <x:f>IF(INDEX($B$192:$B$236,MATCH(A43,$A$192:$A$236,0))&lt;=0.1,0.1,IF(INDEX($B$192:$B$236,MATCH(A43,$A$192:$A$236,0))&lt;=0.3,0.3,IF(INDEX($B$192:$B$236,MATCH(A43,$A$192:$A$236,0))&lt;=0.5,0.5,IF(INDEX($B$192:$B$236,MATCH(A43,$A$192:$A$236,0))&lt;=0.7,0.7,0.9))))</x:f>
        <x:v>0.3</x:v>
      </x:c>
      <x:c r="F43" s="22" t="n">
        <x:v>0.8</x:v>
      </x:c>
      <x:c r="G43" s="16" t="str">
        <x:f>IF(E43*F43&gt;=0.4,"Crítica",IF(E43*F43&gt;=0.2,"Alta",IF(E43*F43&gt;=0.08,"Media","Baja")))</x:f>
        <x:v>Alta</x:v>
      </x:c>
    </x:row>
    <x:row r="44" ht="60" customHeight="1">
      <x:c r="A44" s="14" t="str">
        <x:v>R-007</x:v>
      </x:c>
      <x:c r="B44" s="14" t="str">
        <x:v>3.2</x:v>
      </x:c>
      <x:c r="C44" s="14" t="str">
        <x:v>Los Ángeles presenta señal móvil intermitente en su ventana operacional → el borde o su cola puede no sostener la carga de una madrugada sin WAN → transferencias demoradas y stock desactualizado</x:v>
      </x:c>
      <x:c r="D44" s="14" t="str">
        <x:v>Guillermo Castillo</x:v>
      </x:c>
      <x:c r="E44" s="18" t="n">
        <x:f>IF(INDEX($B$192:$B$236,MATCH(A44,$A$192:$A$236,0))&lt;=0.1,0.1,IF(INDEX($B$192:$B$236,MATCH(A44,$A$192:$A$236,0))&lt;=0.3,0.3,IF(INDEX($B$192:$B$236,MATCH(A44,$A$192:$A$236,0))&lt;=0.5,0.5,IF(INDEX($B$192:$B$236,MATCH(A44,$A$192:$A$236,0))&lt;=0.7,0.7,0.9))))</x:f>
        <x:v>0.5</x:v>
      </x:c>
      <x:c r="F44" s="19" t="n">
        <x:v>0.4</x:v>
      </x:c>
      <x:c r="G44" s="14" t="str">
        <x:f>IF(E44*F44&gt;=0.4,"Crítica",IF(E44*F44&gt;=0.2,"Alta",IF(E44*F44&gt;=0.08,"Media","Baja")))</x:f>
        <x:v>Alta</x:v>
      </x:c>
    </x:row>
    <x:row r="45" ht="60" customHeight="1">
      <x:c r="A45" s="16" t="str">
        <x:v>R-008</x:v>
      </x:c>
      <x:c r="B45" s="16" t="str">
        <x:v>1.3</x:v>
      </x:c>
      <x:c r="C45" s="16" t="str">
        <x:v>Existen rutas sin cobertura hasta el regreso y trabajo bajo lluvia y calor → la aplicación o batería puede no conservar una jornada completa → pedido, entrega o cobro perdido y repetición de visitas</x:v>
      </x:c>
      <x:c r="D45" s="16" t="str">
        <x:v>Tomás Pérez</x:v>
      </x:c>
      <x:c r="E45" s="21" t="n">
        <x:f>IF(INDEX($B$192:$B$236,MATCH(A45,$A$192:$A$236,0))&lt;=0.1,0.1,IF(INDEX($B$192:$B$236,MATCH(A45,$A$192:$A$236,0))&lt;=0.3,0.3,IF(INDEX($B$192:$B$236,MATCH(A45,$A$192:$A$236,0))&lt;=0.5,0.5,IF(INDEX($B$192:$B$236,MATCH(A45,$A$192:$A$236,0))&lt;=0.7,0.7,0.9))))</x:f>
        <x:v>0.3</x:v>
      </x:c>
      <x:c r="F45" s="22" t="n">
        <x:v>0.4</x:v>
      </x:c>
      <x:c r="G45" s="16" t="str">
        <x:f>IF(E45*F45&gt;=0.4,"Crítica",IF(E45*F45&gt;=0.2,"Alta",IF(E45*F45&gt;=0.08,"Media","Baja")))</x:f>
        <x:v>Media</x:v>
      </x:c>
    </x:row>
    <x:row r="46" ht="60" customHeight="1">
      <x:c r="A46" s="14" t="str">
        <x:v>R-009</x:v>
      </x:c>
      <x:c r="B46" s="14" t="str">
        <x:v>1.4</x:v>
      </x:c>
      <x:c r="C46" s="14" t="str">
        <x:v>La operación nocturna requiere relevos mientras la identidad central está inaccesible → el manifiesto puede vencer o admitir permisos revocados → bloqueo de una función válida o acceso indebido</x:v>
      </x:c>
      <x:c r="D46" s="14" t="str">
        <x:v>Álvaro Catalán</x:v>
      </x:c>
      <x:c r="E46" s="18" t="n">
        <x:f>IF(INDEX($B$192:$B$236,MATCH(A46,$A$192:$A$236,0))&lt;=0.1,0.1,IF(INDEX($B$192:$B$236,MATCH(A46,$A$192:$A$236,0))&lt;=0.3,0.3,IF(INDEX($B$192:$B$236,MATCH(A46,$A$192:$A$236,0))&lt;=0.5,0.5,IF(INDEX($B$192:$B$236,MATCH(A46,$A$192:$A$236,0))&lt;=0.7,0.7,0.9))))</x:f>
        <x:v>0.3</x:v>
      </x:c>
      <x:c r="F46" s="19" t="n">
        <x:v>0.4</x:v>
      </x:c>
      <x:c r="G46" s="14" t="str">
        <x:f>IF(E46*F46&gt;=0.4,"Crítica",IF(E46*F46&gt;=0.2,"Alta",IF(E46*F46&gt;=0.08,"Media","Baja")))</x:f>
        <x:v>Media</x:v>
      </x:c>
    </x:row>
    <x:row r="47" ht="48" customHeight="1">
      <x:c r="A47" s="16" t="str">
        <x:v>R-010</x:v>
      </x:c>
      <x:c r="B47" s="16" t="str">
        <x:v>1.5</x:v>
      </x:c>
      <x:c r="C47" s="16" t="str">
        <x:v>La cámara de congelado está a −22 °C y sin señal → la batería, pantalla, lector o impresora puede fallar en uso real → picking lento o registros incompletos</x:v>
      </x:c>
      <x:c r="D47" s="16" t="str">
        <x:v>Bastián Trejo</x:v>
      </x:c>
      <x:c r="E47" s="21" t="n">
        <x:f>IF(INDEX($B$192:$B$236,MATCH(A47,$A$192:$A$236,0))&lt;=0.1,0.1,IF(INDEX($B$192:$B$236,MATCH(A47,$A$192:$A$236,0))&lt;=0.3,0.3,IF(INDEX($B$192:$B$236,MATCH(A47,$A$192:$A$236,0))&lt;=0.5,0.5,IF(INDEX($B$192:$B$236,MATCH(A47,$A$192:$A$236,0))&lt;=0.7,0.7,0.9))))</x:f>
        <x:v>0.3</x:v>
      </x:c>
      <x:c r="F47" s="22" t="n">
        <x:v>0.4</x:v>
      </x:c>
      <x:c r="G47" s="16" t="str">
        <x:f>IF(E47*F47&gt;=0.4,"Crítica",IF(E47*F47&gt;=0.2,"Alta",IF(E47*F47&gt;=0.08,"Media","Baja")))</x:f>
        <x:v>Media</x:v>
      </x:c>
    </x:row>
    <x:row r="48" ht="60" customHeight="1">
      <x:c r="A48" s="14" t="str">
        <x:v>R-011</x:v>
      </x:c>
      <x:c r="B48" s="14" t="str">
        <x:v>1.7</x:v>
      </x:c>
      <x:c r="C48" s="14" t="str">
        <x:v>La regla de excursión no estaba formalizada por producto en el levantamiento → calibración o parametrización puede liberar un lote no conforme o retener uno válido → bloqueo operacional o disposición sanitaria errónea</x:v>
      </x:c>
      <x:c r="D48" s="14" t="str">
        <x:v>Maximiliano Miño</x:v>
      </x:c>
      <x:c r="E48" s="18" t="n">
        <x:f>IF(INDEX($B$192:$B$236,MATCH(A48,$A$192:$A$236,0))&lt;=0.1,0.1,IF(INDEX($B$192:$B$236,MATCH(A48,$A$192:$A$236,0))&lt;=0.3,0.3,IF(INDEX($B$192:$B$236,MATCH(A48,$A$192:$A$236,0))&lt;=0.5,0.5,IF(INDEX($B$192:$B$236,MATCH(A48,$A$192:$A$236,0))&lt;=0.7,0.7,0.9))))</x:f>
        <x:v>0.3</x:v>
      </x:c>
      <x:c r="F48" s="19" t="n">
        <x:v>0.8</x:v>
      </x:c>
      <x:c r="G48" s="14" t="str">
        <x:f>IF(E48*F48&gt;=0.4,"Crítica",IF(E48*F48&gt;=0.2,"Alta",IF(E48*F48&gt;=0.08,"Media","Baja")))</x:f>
        <x:v>Alta</x:v>
      </x:c>
    </x:row>
    <x:row r="49" ht="60" customHeight="1">
      <x:c r="A49" s="16" t="str">
        <x:v>R-012</x:v>
      </x:c>
      <x:c r="B49" s="16" t="str">
        <x:v>1.8</x:v>
      </x:c>
      <x:c r="C49" s="16" t="str">
        <x:v>El caso reporta recepciones sin lote y retiro de nueve días → la cadena de custodia nueva puede quedar incompleta en algún sitio o retorno → identificación tardía de clientes y lote afectado</x:v>
      </x:c>
      <x:c r="D49" s="16" t="str">
        <x:v>Maximiliano Miño</x:v>
      </x:c>
      <x:c r="E49" s="21" t="n">
        <x:f>IF(INDEX($B$192:$B$236,MATCH(A49,$A$192:$A$236,0))&lt;=0.1,0.1,IF(INDEX($B$192:$B$236,MATCH(A49,$A$192:$A$236,0))&lt;=0.3,0.3,IF(INDEX($B$192:$B$236,MATCH(A49,$A$192:$A$236,0))&lt;=0.5,0.5,IF(INDEX($B$192:$B$236,MATCH(A49,$A$192:$A$236,0))&lt;=0.7,0.7,0.9))))</x:f>
        <x:v>0.5</x:v>
      </x:c>
      <x:c r="F49" s="22" t="n">
        <x:v>0.8</x:v>
      </x:c>
      <x:c r="G49" s="16" t="str">
        <x:f>IF(E49*F49&gt;=0.4,"Crítica",IF(E49*F49&gt;=0.2,"Alta",IF(E49*F49&gt;=0.08,"Media","Baja")))</x:f>
        <x:v>Crítica</x:v>
      </x:c>
    </x:row>
    <x:row r="50" ht="48" customHeight="1">
      <x:c r="A50" s="14" t="str">
        <x:v>R-013</x:v>
      </x:c>
      <x:c r="B50" s="14" t="str">
        <x:v>1.9</x:v>
      </x:c>
      <x:c r="C50" s="14" t="str">
        <x:v>Salen 96 camiones de 05:30 a 07:00 y septiembre casi duplica el volumen → la carga o un componente común puede degradar el despacho → día de operación afectado y SLA incumplido</x:v>
      </x:c>
      <x:c r="D50" s="14" t="str">
        <x:v>Guillermo Castillo</x:v>
      </x:c>
      <x:c r="E50" s="18" t="n">
        <x:f>IF(INDEX($B$192:$B$236,MATCH(A50,$A$192:$A$236,0))&lt;=0.1,0.1,IF(INDEX($B$192:$B$236,MATCH(A50,$A$192:$A$236,0))&lt;=0.3,0.3,IF(INDEX($B$192:$B$236,MATCH(A50,$A$192:$A$236,0))&lt;=0.5,0.5,IF(INDEX($B$192:$B$236,MATCH(A50,$A$192:$A$236,0))&lt;=0.7,0.7,0.9))))</x:f>
        <x:v>0.3</x:v>
      </x:c>
      <x:c r="F50" s="19" t="n">
        <x:v>0.8</x:v>
      </x:c>
      <x:c r="G50" s="14" t="str">
        <x:f>IF(E50*F50&gt;=0.4,"Crítica",IF(E50*F50&gt;=0.2,"Alta",IF(E50*F50&gt;=0.08,"Media","Baja")))</x:f>
        <x:v>Alta</x:v>
      </x:c>
    </x:row>
    <x:row r="51" ht="48" customHeight="1">
      <x:c r="A51" s="16" t="str">
        <x:v>R-014</x:v>
      </x:c>
      <x:c r="B51" s="16" t="str">
        <x:v>3.3</x:v>
      </x:c>
      <x:c r="C51" s="16" t="str">
        <x:v>La sala actual tiene split, UPS de diez minutos y acceso por llave → la habilitación o redundancia eléctrica puede fallar ante un corte prolongado → caída de los nodos locales críticos</x:v>
      </x:c>
      <x:c r="D51" s="16" t="str">
        <x:v>Guillermo Castillo</x:v>
      </x:c>
      <x:c r="E51" s="21" t="n">
        <x:f>IF(INDEX($B$192:$B$236,MATCH(A51,$A$192:$A$236,0))&lt;=0.1,0.1,IF(INDEX($B$192:$B$236,MATCH(A51,$A$192:$A$236,0))&lt;=0.3,0.3,IF(INDEX($B$192:$B$236,MATCH(A51,$A$192:$A$236,0))&lt;=0.5,0.5,IF(INDEX($B$192:$B$236,MATCH(A51,$A$192:$A$236,0))&lt;=0.7,0.7,0.9))))</x:f>
        <x:v>0.3</x:v>
      </x:c>
      <x:c r="F51" s="22" t="n">
        <x:v>0.8</x:v>
      </x:c>
      <x:c r="G51" s="16" t="str">
        <x:f>IF(E51*F51&gt;=0.4,"Crítica",IF(E51*F51&gt;=0.2,"Alta",IF(E51*F51&gt;=0.08,"Media","Baja")))</x:f>
        <x:v>Alta</x:v>
      </x:c>
    </x:row>
    <x:row r="52" ht="60" customHeight="1">
      <x:c r="A52" s="14" t="str">
        <x:v>R-015</x:v>
      </x:c>
      <x:c r="B52" s="14" t="str">
        <x:v>1.10</x:v>
      </x:c>
      <x:c r="C52" s="14" t="str">
        <x:v>La operación híbrida produce datos en varios sitios y medios → la restauración o promoción puede perder datos o superar los límites → interrupción prolongada y conciliación extraordinaria</x:v>
      </x:c>
      <x:c r="D52" s="14" t="str">
        <x:v>Guillermo Castillo</x:v>
      </x:c>
      <x:c r="E52" s="18" t="n">
        <x:f>IF(INDEX($B$192:$B$236,MATCH(A52,$A$192:$A$236,0))&lt;=0.1,0.1,IF(INDEX($B$192:$B$236,MATCH(A52,$A$192:$A$236,0))&lt;=0.3,0.3,IF(INDEX($B$192:$B$236,MATCH(A52,$A$192:$A$236,0))&lt;=0.5,0.5,IF(INDEX($B$192:$B$236,MATCH(A52,$A$192:$A$236,0))&lt;=0.7,0.7,0.9))))</x:f>
        <x:v>0.5</x:v>
      </x:c>
      <x:c r="F52" s="19" t="n">
        <x:v>0.8</x:v>
      </x:c>
      <x:c r="G52" s="14" t="str">
        <x:f>IF(E52*F52&gt;=0.4,"Crítica",IF(E52*F52&gt;=0.2,"Alta",IF(E52*F52&gt;=0.08,"Media","Baja")))</x:f>
        <x:v>Crítica</x:v>
      </x:c>
    </x:row>
    <x:row r="53" ht="60" customHeight="1">
      <x:c r="A53" s="16" t="str">
        <x:v>R-016</x:v>
      </x:c>
      <x:c r="B53" s="16" t="str">
        <x:v>1.11</x:v>
      </x:c>
      <x:c r="C53" s="16" t="str">
        <x:v>Hay portales externos, flota móvil y datos comerciales sensibles → una vulnerabilidad o cuenta privilegiada puede comprometer servicio o evidencia → indisponibilidad, fuga y recuperación forense</x:v>
      </x:c>
      <x:c r="D53" s="16" t="str">
        <x:v>Álvaro Catalán</x:v>
      </x:c>
      <x:c r="E53" s="21" t="n">
        <x:f>IF(INDEX($B$192:$B$236,MATCH(A53,$A$192:$A$236,0))&lt;=0.1,0.1,IF(INDEX($B$192:$B$236,MATCH(A53,$A$192:$A$236,0))&lt;=0.3,0.3,IF(INDEX($B$192:$B$236,MATCH(A53,$A$192:$A$236,0))&lt;=0.5,0.5,IF(INDEX($B$192:$B$236,MATCH(A53,$A$192:$A$236,0))&lt;=0.7,0.7,0.9))))</x:f>
        <x:v>0.3</x:v>
      </x:c>
      <x:c r="F53" s="22" t="n">
        <x:v>0.8</x:v>
      </x:c>
      <x:c r="G53" s="16" t="str">
        <x:f>IF(E53*F53&gt;=0.4,"Crítica",IF(E53*F53&gt;=0.2,"Alta",IF(E53*F53&gt;=0.08,"Media","Baja")))</x:f>
        <x:v>Alta</x:v>
      </x:c>
    </x:row>
    <x:row r="54" ht="60" customHeight="1">
      <x:c r="A54" s="14" t="str">
        <x:v>R-017</x:v>
      </x:c>
      <x:c r="B54" s="14" t="str">
        <x:v>4.1</x:v>
      </x:c>
      <x:c r="C54" s="14" t="str">
        <x:v>El sindicato objetó cámaras en cabina y control de jornada por GPS → el uso de ubicación puede ser rechazado aunque no se instalen cámaras → adopción suspendida y rediseño de finalidades</x:v>
      </x:c>
      <x:c r="D54" s="14" t="str">
        <x:v>Patricio Henríquez</x:v>
      </x:c>
      <x:c r="E54" s="18" t="n">
        <x:f>IF(INDEX($B$192:$B$236,MATCH(A54,$A$192:$A$236,0))&lt;=0.1,0.1,IF(INDEX($B$192:$B$236,MATCH(A54,$A$192:$A$236,0))&lt;=0.3,0.3,IF(INDEX($B$192:$B$236,MATCH(A54,$A$192:$A$236,0))&lt;=0.5,0.5,IF(INDEX($B$192:$B$236,MATCH(A54,$A$192:$A$236,0))&lt;=0.7,0.7,0.9))))</x:f>
        <x:v>0.5</x:v>
      </x:c>
      <x:c r="F54" s="19" t="n">
        <x:v>0.4</x:v>
      </x:c>
      <x:c r="G54" s="14" t="str">
        <x:f>IF(E54*F54&gt;=0.4,"Crítica",IF(E54*F54&gt;=0.2,"Alta",IF(E54*F54&gt;=0.08,"Media","Baja")))</x:f>
        <x:v>Alta</x:v>
      </x:c>
    </x:row>
    <x:row r="55" ht="48" customHeight="1">
      <x:c r="A55" s="16" t="str">
        <x:v>R-018</x:v>
      </x:c>
      <x:c r="B55" s="16" t="str">
        <x:v>4.2</x:v>
      </x:c>
      <x:c r="C55" s="16" t="str">
        <x:v>54 camiones pertenecen a diez empresas y sus conductores cambian sin aviso → el acuerdo o enrolamiento puede no cubrir reemplazos → entregas sin evidencia y trabajo paralelo en papel</x:v>
      </x:c>
      <x:c r="D55" s="16" t="str">
        <x:v>Patricio Henríquez</x:v>
      </x:c>
      <x:c r="E55" s="21" t="n">
        <x:f>IF(INDEX($B$192:$B$236,MATCH(A55,$A$192:$A$236,0))&lt;=0.1,0.1,IF(INDEX($B$192:$B$236,MATCH(A55,$A$192:$A$236,0))&lt;=0.3,0.3,IF(INDEX($B$192:$B$236,MATCH(A55,$A$192:$A$236,0))&lt;=0.5,0.5,IF(INDEX($B$192:$B$236,MATCH(A55,$A$192:$A$236,0))&lt;=0.7,0.7,0.9))))</x:f>
        <x:v>0.5</x:v>
      </x:c>
      <x:c r="F55" s="22" t="n">
        <x:v>0.4</x:v>
      </x:c>
      <x:c r="G55" s="16" t="str">
        <x:f>IF(E55*F55&gt;=0.4,"Crítica",IF(E55*F55&gt;=0.2,"Alta",IF(E55*F55&gt;=0.08,"Media","Baja")))</x:f>
        <x:v>Alta</x:v>
      </x:c>
    </x:row>
    <x:row r="56" ht="48" customHeight="1">
      <x:c r="A56" s="14" t="str">
        <x:v>R-019</x:v>
      </x:c>
      <x:c r="B56" s="14" t="str">
        <x:v>4.3</x:v>
      </x:c>
      <x:c r="C56" s="14" t="str">
        <x:v>Rotación anual del 38 % y turno nocturno crítico → el personal nuevo puede no alcanzar autonomía de preparación → baja productividad y errores de picking</x:v>
      </x:c>
      <x:c r="D56" s="14" t="str">
        <x:v>Patricio Henríquez</x:v>
      </x:c>
      <x:c r="E56" s="18" t="n">
        <x:f>IF(INDEX($B$192:$B$236,MATCH(A56,$A$192:$A$236,0))&lt;=0.1,0.1,IF(INDEX($B$192:$B$236,MATCH(A56,$A$192:$A$236,0))&lt;=0.3,0.3,IF(INDEX($B$192:$B$236,MATCH(A56,$A$192:$A$236,0))&lt;=0.5,0.5,IF(INDEX($B$192:$B$236,MATCH(A56,$A$192:$A$236,0))&lt;=0.7,0.7,0.9))))</x:f>
        <x:v>0.5</x:v>
      </x:c>
      <x:c r="F56" s="19" t="n">
        <x:v>0.2</x:v>
      </x:c>
      <x:c r="G56" s="14" t="str">
        <x:f>IF(E56*F56&gt;=0.4,"Crítica",IF(E56*F56&gt;=0.2,"Alta",IF(E56*F56&gt;=0.08,"Media","Baja")))</x:f>
        <x:v>Media</x:v>
      </x:c>
    </x:row>
    <x:row r="57" ht="48" customHeight="1">
      <x:c r="A57" s="16" t="str">
        <x:v>R-020</x:v>
      </x:c>
      <x:c r="B57" s="16" t="str">
        <x:v>4.4</x:v>
      </x:c>
      <x:c r="C57" s="16" t="str">
        <x:v>Preventistas y conductores están en ruta de lunes a sábado → la convocatoria puede no liberar tiempo sin afectar operación → usuarios no certificados al paso a producción</x:v>
      </x:c>
      <x:c r="D57" s="16" t="str">
        <x:v>Patricio Henríquez</x:v>
      </x:c>
      <x:c r="E57" s="21" t="n">
        <x:f>IF(INDEX($B$192:$B$236,MATCH(A57,$A$192:$A$236,0))&lt;=0.1,0.1,IF(INDEX($B$192:$B$236,MATCH(A57,$A$192:$A$236,0))&lt;=0.3,0.3,IF(INDEX($B$192:$B$236,MATCH(A57,$A$192:$A$236,0))&lt;=0.5,0.5,IF(INDEX($B$192:$B$236,MATCH(A57,$A$192:$A$236,0))&lt;=0.7,0.7,0.9))))</x:f>
        <x:v>0.5</x:v>
      </x:c>
      <x:c r="F57" s="22" t="n">
        <x:v>0.2</x:v>
      </x:c>
      <x:c r="G57" s="16" t="str">
        <x:f>IF(E57*F57&gt;=0.4,"Crítica",IF(E57*F57&gt;=0.2,"Alta",IF(E57*F57&gt;=0.08,"Media","Baja")))</x:f>
        <x:v>Media</x:v>
      </x:c>
    </x:row>
    <x:row r="58" ht="48" customHeight="1">
      <x:c r="A58" s="14" t="str">
        <x:v>R-021</x:v>
      </x:c>
      <x:c r="B58" s="14" t="str">
        <x:v>4.5</x:v>
      </x:c>
      <x:c r="C58" s="14" t="str">
        <x:v>Las reglas residen en Hugo Maldonado, que se jubila en dos años → puede retirarse antes de transferir y validar todas las excepciones → rutas inseguras o promesas incumplidas</x:v>
      </x:c>
      <x:c r="D58" s="14" t="str">
        <x:v>Patricio Henríquez</x:v>
      </x:c>
      <x:c r="E58" s="18" t="n">
        <x:f>IF(INDEX($B$192:$B$236,MATCH(A58,$A$192:$A$236,0))&lt;=0.1,0.1,IF(INDEX($B$192:$B$236,MATCH(A58,$A$192:$A$236,0))&lt;=0.3,0.3,IF(INDEX($B$192:$B$236,MATCH(A58,$A$192:$A$236,0))&lt;=0.5,0.5,IF(INDEX($B$192:$B$236,MATCH(A58,$A$192:$A$236,0))&lt;=0.7,0.7,0.9))))</x:f>
        <x:v>0.5</x:v>
      </x:c>
      <x:c r="F58" s="19" t="n">
        <x:v>0.4</x:v>
      </x:c>
      <x:c r="G58" s="14" t="str">
        <x:f>IF(E58*F58&gt;=0.4,"Crítica",IF(E58*F58&gt;=0.2,"Alta",IF(E58*F58&gt;=0.08,"Media","Baja")))</x:f>
        <x:v>Alta</x:v>
      </x:c>
    </x:row>
    <x:row r="59" ht="48" customHeight="1">
      <x:c r="A59" s="16" t="str">
        <x:v>R-022</x:v>
      </x:c>
      <x:c r="B59" s="16" t="str">
        <x:v>3.4</x:v>
      </x:c>
      <x:c r="C59" s="16" t="str">
        <x:v>TI del cliente tiene cuatro personas y la operación no puede detenerse → las validaciones o decisiones pueden no llegar a la fecha requerida → cadenas de aprobación retrasadas</x:v>
      </x:c>
      <x:c r="D59" s="16" t="str">
        <x:v>Alex Aravena</x:v>
      </x:c>
      <x:c r="E59" s="21" t="n">
        <x:f>IF(INDEX($B$192:$B$236,MATCH(A59,$A$192:$A$236,0))&lt;=0.1,0.1,IF(INDEX($B$192:$B$236,MATCH(A59,$A$192:$A$236,0))&lt;=0.3,0.3,IF(INDEX($B$192:$B$236,MATCH(A59,$A$192:$A$236,0))&lt;=0.5,0.5,IF(INDEX($B$192:$B$236,MATCH(A59,$A$192:$A$236,0))&lt;=0.7,0.7,0.9))))</x:f>
        <x:v>0.5</x:v>
      </x:c>
      <x:c r="F59" s="22" t="n">
        <x:v>0.4</x:v>
      </x:c>
      <x:c r="G59" s="16" t="str">
        <x:f>IF(E59*F59&gt;=0.4,"Crítica",IF(E59*F59&gt;=0.2,"Alta",IF(E59*F59&gt;=0.08,"Media","Baja")))</x:f>
        <x:v>Alta</x:v>
      </x:c>
    </x:row>
    <x:row r="60" ht="48" customHeight="1">
      <x:c r="A60" s="14" t="str">
        <x:v>R-023</x:v>
      </x:c>
      <x:c r="B60" s="14" t="str">
        <x:v>3.5</x:v>
      </x:c>
      <x:c r="C60" s="14" t="str">
        <x:v>Septiembre, diciembre y cierres mensuales restringen cambios → una demora puede desplazar un corte o parche a una ventana prohibida → reprogramación y multa por atraso</x:v>
      </x:c>
      <x:c r="D60" s="14" t="str">
        <x:v>Alex Aravena</x:v>
      </x:c>
      <x:c r="E60" s="18" t="n">
        <x:f>IF(INDEX($B$192:$B$236,MATCH(A60,$A$192:$A$236,0))&lt;=0.1,0.1,IF(INDEX($B$192:$B$236,MATCH(A60,$A$192:$A$236,0))&lt;=0.3,0.3,IF(INDEX($B$192:$B$236,MATCH(A60,$A$192:$A$236,0))&lt;=0.5,0.5,IF(INDEX($B$192:$B$236,MATCH(A60,$A$192:$A$236,0))&lt;=0.7,0.7,0.9))))</x:f>
        <x:v>0.3</x:v>
      </x:c>
      <x:c r="F60" s="19" t="n">
        <x:v>0.4</x:v>
      </x:c>
      <x:c r="G60" s="14" t="str">
        <x:f>IF(E60*F60&gt;=0.4,"Crítica",IF(E60*F60&gt;=0.2,"Alta",IF(E60*F60&gt;=0.08,"Media","Baja")))</x:f>
        <x:v>Media</x:v>
      </x:c>
    </x:row>
    <x:row r="61" ht="60" customHeight="1">
      <x:c r="A61" s="16" t="str">
        <x:v>R-024</x:v>
      </x:c>
      <x:c r="B61" s="16" t="str">
        <x:v>3.6</x:v>
      </x:c>
      <x:c r="C61" s="16" t="str">
        <x:v>El cliente compra dispositivos de terreno y LafroX habilita la infraestructura → una compra, entrega o recepción puede exceder la ventana de la ola → piloto sin equipos completos o marcha blanca insuficiente</x:v>
      </x:c>
      <x:c r="D61" s="16" t="str">
        <x:v>Bastián Trejo</x:v>
      </x:c>
      <x:c r="E61" s="21" t="n">
        <x:f>IF(INDEX($B$192:$B$236,MATCH(A61,$A$192:$A$236,0))&lt;=0.1,0.1,IF(INDEX($B$192:$B$236,MATCH(A61,$A$192:$A$236,0))&lt;=0.3,0.3,IF(INDEX($B$192:$B$236,MATCH(A61,$A$192:$A$236,0))&lt;=0.5,0.5,IF(INDEX($B$192:$B$236,MATCH(A61,$A$192:$A$236,0))&lt;=0.7,0.7,0.9))))</x:f>
        <x:v>0.5</x:v>
      </x:c>
      <x:c r="F61" s="22" t="n">
        <x:v>0.4</x:v>
      </x:c>
      <x:c r="G61" s="16" t="str">
        <x:f>IF(E61*F61&gt;=0.4,"Crítica",IF(E61*F61&gt;=0.2,"Alta",IF(E61*F61&gt;=0.08,"Media","Baja")))</x:f>
        <x:v>Alta</x:v>
      </x:c>
    </x:row>
    <x:row r="62" ht="48" customHeight="1">
      <x:c r="A62" s="14" t="str">
        <x:v>R-025</x:v>
      </x:c>
      <x:c r="B62" s="14" t="str">
        <x:v>7.1</x:v>
      </x:c>
      <x:c r="C62" s="14" t="str">
        <x:v>Construcción E2 coincide con marcha blanca E1 y hay líderes con varios roles → la dotación real puede no sostener los frentes simultáneos → atraso de E2 o deterioro de E1</x:v>
      </x:c>
      <x:c r="D62" s="14" t="str">
        <x:v>Alex Aravena</x:v>
      </x:c>
      <x:c r="E62" s="18" t="n">
        <x:f>IF(INDEX($B$192:$B$236,MATCH(A62,$A$192:$A$236,0))&lt;=0.1,0.1,IF(INDEX($B$192:$B$236,MATCH(A62,$A$192:$A$236,0))&lt;=0.3,0.3,IF(INDEX($B$192:$B$236,MATCH(A62,$A$192:$A$236,0))&lt;=0.5,0.5,IF(INDEX($B$192:$B$236,MATCH(A62,$A$192:$A$236,0))&lt;=0.7,0.7,0.9))))</x:f>
        <x:v>0.5</x:v>
      </x:c>
      <x:c r="F62" s="19" t="n">
        <x:v>0.4</x:v>
      </x:c>
      <x:c r="G62" s="14" t="str">
        <x:f>IF(E62*F62&gt;=0.4,"Crítica",IF(E62*F62&gt;=0.2,"Alta",IF(E62*F62&gt;=0.08,"Media","Baja")))</x:f>
        <x:v>Alta</x:v>
      </x:c>
    </x:row>
    <x:row r="63" ht="60" customHeight="1">
      <x:c r="A63" s="16" t="str">
        <x:v>R-026</x:v>
      </x:c>
      <x:c r="B63" s="16" t="str">
        <x:v>5.1</x:v>
      </x:c>
      <x:c r="C63" s="16" t="str">
        <x:v>Hay seis condiciones copulativas de cierre y revisión contractual → observaciones, capacitación o indicadores pueden seguir abiertos al cierre → extensión a cargo de LafroX sin mover fases</x:v>
      </x:c>
      <x:c r="D63" s="16" t="str">
        <x:v>Maximiliano Miño</x:v>
      </x:c>
      <x:c r="E63" s="21" t="n">
        <x:f>IF(INDEX($B$192:$B$236,MATCH(A63,$A$192:$A$236,0))&lt;=0.1,0.1,IF(INDEX($B$192:$B$236,MATCH(A63,$A$192:$A$236,0))&lt;=0.3,0.3,IF(INDEX($B$192:$B$236,MATCH(A63,$A$192:$A$236,0))&lt;=0.5,0.5,IF(INDEX($B$192:$B$236,MATCH(A63,$A$192:$A$236,0))&lt;=0.7,0.7,0.9))))</x:f>
        <x:v>0.5</x:v>
      </x:c>
      <x:c r="F63" s="22" t="n">
        <x:v>0.4</x:v>
      </x:c>
      <x:c r="G63" s="16" t="str">
        <x:f>IF(E63*F63&gt;=0.4,"Crítica",IF(E63*F63&gt;=0.2,"Alta",IF(E63*F63&gt;=0.08,"Media","Baja")))</x:f>
        <x:v>Alta</x:v>
      </x:c>
    </x:row>
    <x:row r="64" ht="48" customHeight="1">
      <x:c r="A64" s="14" t="str">
        <x:v>R-027</x:v>
      </x:c>
      <x:c r="B64" s="14" t="str">
        <x:v>5.2</x:v>
      </x:c>
      <x:c r="C64" s="14" t="str">
        <x:v>El caso contiene decisiones de diseño y sistemas excluidos con dependencias → una solicitud puede introducir trabajo no previsto o duplicar sistemas de registro → sobrecosto y retraso</x:v>
      </x:c>
      <x:c r="D64" s="14" t="str">
        <x:v>Alex Aravena</x:v>
      </x:c>
      <x:c r="E64" s="18" t="n">
        <x:f>IF(INDEX($B$192:$B$236,MATCH(A64,$A$192:$A$236,0))&lt;=0.1,0.1,IF(INDEX($B$192:$B$236,MATCH(A64,$A$192:$A$236,0))&lt;=0.3,0.3,IF(INDEX($B$192:$B$236,MATCH(A64,$A$192:$A$236,0))&lt;=0.5,0.5,IF(INDEX($B$192:$B$236,MATCH(A64,$A$192:$A$236,0))&lt;=0.7,0.7,0.9))))</x:f>
        <x:v>0.5</x:v>
      </x:c>
      <x:c r="F64" s="19" t="n">
        <x:v>0.2</x:v>
      </x:c>
      <x:c r="G64" s="14" t="str">
        <x:f>IF(E64*F64&gt;=0.4,"Crítica",IF(E64*F64&gt;=0.2,"Alta",IF(E64*F64&gt;=0.08,"Media","Baja")))</x:f>
        <x:v>Media</x:v>
      </x:c>
    </x:row>
    <x:row r="65" ht="60" customHeight="1">
      <x:c r="A65" s="16" t="str">
        <x:v>R-028</x:v>
      </x:c>
      <x:c r="B65" s="16" t="str">
        <x:v>3.7</x:v>
      </x:c>
      <x:c r="C65" s="16" t="str">
        <x:v>38 % del canal tradicional paga en efectivo y hay diferencias mensuales → el circuito de custodia puede no explicar toda diferencia al retorno → reproceso financiero y exposición del conductor</x:v>
      </x:c>
      <x:c r="D65" s="16" t="str">
        <x:v>Leandro Chamorro</x:v>
      </x:c>
      <x:c r="E65" s="21" t="n">
        <x:f>IF(INDEX($B$192:$B$236,MATCH(A65,$A$192:$A$236,0))&lt;=0.1,0.1,IF(INDEX($B$192:$B$236,MATCH(A65,$A$192:$A$236,0))&lt;=0.3,0.3,IF(INDEX($B$192:$B$236,MATCH(A65,$A$192:$A$236,0))&lt;=0.5,0.5,IF(INDEX($B$192:$B$236,MATCH(A65,$A$192:$A$236,0))&lt;=0.7,0.7,0.9))))</x:f>
        <x:v>0.3</x:v>
      </x:c>
      <x:c r="F65" s="22" t="n">
        <x:v>0.4</x:v>
      </x:c>
      <x:c r="G65" s="16" t="str">
        <x:f>IF(E65*F65&gt;=0.4,"Crítica",IF(E65*F65&gt;=0.2,"Alta",IF(E65*F65&gt;=0.08,"Media","Baja")))</x:f>
        <x:v>Media</x:v>
      </x:c>
    </x:row>
    <x:row r="66" ht="60" customHeight="1">
      <x:c r="A66" s="14" t="str">
        <x:v>R-029</x:v>
      </x:c>
      <x:c r="B66" s="14" t="str">
        <x:v>6.1</x:v>
      </x:c>
      <x:c r="C66" s="14" t="str">
        <x:v>El ERP es único emisor y el receptor suele carecer de firma avanzada → la prueba de entrega puede no vincularse o verificarse conforme al acto → rechazo de evidencia y disputa de entrega</x:v>
      </x:c>
      <x:c r="D66" s="14" t="str">
        <x:v>Bastián Trejo</x:v>
      </x:c>
      <x:c r="E66" s="18" t="n">
        <x:f>IF(INDEX($B$192:$B$236,MATCH(A66,$A$192:$A$236,0))&lt;=0.1,0.1,IF(INDEX($B$192:$B$236,MATCH(A66,$A$192:$A$236,0))&lt;=0.3,0.3,IF(INDEX($B$192:$B$236,MATCH(A66,$A$192:$A$236,0))&lt;=0.5,0.5,IF(INDEX($B$192:$B$236,MATCH(A66,$A$192:$A$236,0))&lt;=0.7,0.7,0.9))))</x:f>
        <x:v>0.5</x:v>
      </x:c>
      <x:c r="F66" s="19" t="n">
        <x:v>0.4</x:v>
      </x:c>
      <x:c r="G66" s="14" t="str">
        <x:f>IF(E66*F66&gt;=0.4,"Crítica",IF(E66*F66&gt;=0.2,"Alta",IF(E66*F66&gt;=0.08,"Media","Baja")))</x:f>
        <x:v>Alta</x:v>
      </x:c>
    </x:row>
    <x:row r="67" ht="60" customHeight="1">
      <x:c r="A67" s="16" t="str">
        <x:v>R-030</x:v>
      </x:c>
      <x:c r="B67" s="16" t="str">
        <x:v>2.4</x:v>
      </x:c>
      <x:c r="C67" s="16" t="str">
        <x:v>La cadena exige pedido electrónico, ASN, ventana y POD antes de enero de 2029 → su formato, ambiente o certificación puede no estar disponible a tiempo → integración no habilitada y pérdida de capacidad comercial</x:v>
      </x:c>
      <x:c r="D67" s="16" t="str">
        <x:v>Bastián Trejo</x:v>
      </x:c>
      <x:c r="E67" s="21" t="n">
        <x:f>IF(INDEX($B$192:$B$236,MATCH(A67,$A$192:$A$236,0))&lt;=0.1,0.1,IF(INDEX($B$192:$B$236,MATCH(A67,$A$192:$A$236,0))&lt;=0.3,0.3,IF(INDEX($B$192:$B$236,MATCH(A67,$A$192:$A$236,0))&lt;=0.5,0.5,IF(INDEX($B$192:$B$236,MATCH(A67,$A$192:$A$236,0))&lt;=0.7,0.7,0.9))))</x:f>
        <x:v>0.5</x:v>
      </x:c>
      <x:c r="F67" s="22" t="n">
        <x:v>0.4</x:v>
      </x:c>
      <x:c r="G67" s="16" t="str">
        <x:f>IF(E67*F67&gt;=0.4,"Crítica",IF(E67*F67&gt;=0.2,"Alta",IF(E67*F67&gt;=0.08,"Media","Baja")))</x:f>
        <x:v>Alta</x:v>
      </x:c>
    </x:row>
    <x:row r="68" ht="48" customHeight="1">
      <x:c r="A68" s="14" t="str">
        <x:v>R-031</x:v>
      </x:c>
      <x:c r="B68" s="14" t="str">
        <x:v>2.5</x:v>
      </x:c>
      <x:c r="C68" s="14" t="str">
        <x:v>El canal tradicional no usa siempre correo y proveedores no acreditan toda apertura → el aviso de llegada puede no recibirse antes de la salida → cliente ausente y entrega fallida</x:v>
      </x:c>
      <x:c r="D68" s="14" t="str">
        <x:v>Tomás Pérez</x:v>
      </x:c>
      <x:c r="E68" s="18" t="n">
        <x:f>IF(INDEX($B$192:$B$236,MATCH(A68,$A$192:$A$236,0))&lt;=0.1,0.1,IF(INDEX($B$192:$B$236,MATCH(A68,$A$192:$A$236,0))&lt;=0.3,0.3,IF(INDEX($B$192:$B$236,MATCH(A68,$A$192:$A$236,0))&lt;=0.5,0.5,IF(INDEX($B$192:$B$236,MATCH(A68,$A$192:$A$236,0))&lt;=0.7,0.7,0.9))))</x:f>
        <x:v>0.5</x:v>
      </x:c>
      <x:c r="F68" s="19" t="n">
        <x:v>0.2</x:v>
      </x:c>
      <x:c r="G68" s="14" t="str">
        <x:f>IF(E68*F68&gt;=0.4,"Crítica",IF(E68*F68&gt;=0.2,"Alta",IF(E68*F68&gt;=0.08,"Media","Baja")))</x:f>
        <x:v>Media</x:v>
      </x:c>
    </x:row>
    <x:row r="69" ht="60" customHeight="1">
      <x:c r="A69" s="16" t="str">
        <x:v>R-032</x:v>
      </x:c>
      <x:c r="B69" s="16" t="str">
        <x:v>1.12</x:v>
      </x:c>
      <x:c r="C69" s="16" t="str">
        <x:v>La solución usa servicios administrados y APIs con contratos propios → la reversibilidad puede no preservar funcionalidad y evidencia en una salida → migración costosa y dependencia prolongada</x:v>
      </x:c>
      <x:c r="D69" s="16" t="str">
        <x:v>Bastián Trejo</x:v>
      </x:c>
      <x:c r="E69" s="21" t="n">
        <x:f>IF(INDEX($B$192:$B$236,MATCH(A69,$A$192:$A$236,0))&lt;=0.1,0.1,IF(INDEX($B$192:$B$236,MATCH(A69,$A$192:$A$236,0))&lt;=0.3,0.3,IF(INDEX($B$192:$B$236,MATCH(A69,$A$192:$A$236,0))&lt;=0.5,0.5,IF(INDEX($B$192:$B$236,MATCH(A69,$A$192:$A$236,0))&lt;=0.7,0.7,0.9))))</x:f>
        <x:v>0.3</x:v>
      </x:c>
      <x:c r="F69" s="22" t="n">
        <x:v>0.4</x:v>
      </x:c>
      <x:c r="G69" s="16" t="str">
        <x:f>IF(E69*F69&gt;=0.4,"Crítica",IF(E69*F69&gt;=0.2,"Alta",IF(E69*F69&gt;=0.08,"Media","Baja")))</x:f>
        <x:v>Media</x:v>
      </x:c>
    </x:row>
    <x:row r="70" ht="60" customHeight="1">
      <x:c r="A70" s="14" t="str">
        <x:v>R-033</x:v>
      </x:c>
      <x:c r="B70" s="14" t="str">
        <x:v>1.13</x:v>
      </x:c>
      <x:c r="C70" s="14" t="str">
        <x:v>El contrato dura 56 meses y versiones/equipos tienen ciclos de soporte → un componente puede quedar sin parche o repuesto antes del cierre → actualización no prevista o vulnerabilidad persistente</x:v>
      </x:c>
      <x:c r="D70" s="14" t="str">
        <x:v>Bastián Trejo</x:v>
      </x:c>
      <x:c r="E70" s="18" t="n">
        <x:f>IF(INDEX($B$192:$B$236,MATCH(A70,$A$192:$A$236,0))&lt;=0.1,0.1,IF(INDEX($B$192:$B$236,MATCH(A70,$A$192:$A$236,0))&lt;=0.3,0.3,IF(INDEX($B$192:$B$236,MATCH(A70,$A$192:$A$236,0))&lt;=0.5,0.5,IF(INDEX($B$192:$B$236,MATCH(A70,$A$192:$A$236,0))&lt;=0.7,0.7,0.9))))</x:f>
        <x:v>0.5</x:v>
      </x:c>
      <x:c r="F70" s="19" t="n">
        <x:v>0.2</x:v>
      </x:c>
      <x:c r="G70" s="14" t="str">
        <x:f>IF(E70*F70&gt;=0.4,"Crítica",IF(E70*F70&gt;=0.2,"Alta",IF(E70*F70&gt;=0.08,"Media","Baja")))</x:f>
        <x:v>Media</x:v>
      </x:c>
    </x:row>
    <x:row r="71" ht="48" customHeight="1">
      <x:c r="A71" s="16" t="str">
        <x:v>R-034</x:v>
      </x:c>
      <x:c r="B71" s="16" t="str">
        <x:v>7.2</x:v>
      </x:c>
      <x:c r="C71" s="16" t="str">
        <x:v>Se requieren madrugada, peaks, seis sitios y traslados de hasta 340 km → ausencia, demanda o traslado puede impedir atención dentro del SLA → interrupción más larga y abandono</x:v>
      </x:c>
      <x:c r="D71" s="16" t="str">
        <x:v>Guillermo Castillo</x:v>
      </x:c>
      <x:c r="E71" s="21" t="n">
        <x:f>IF(INDEX($B$192:$B$236,MATCH(A71,$A$192:$A$236,0))&lt;=0.1,0.1,IF(INDEX($B$192:$B$236,MATCH(A71,$A$192:$A$236,0))&lt;=0.3,0.3,IF(INDEX($B$192:$B$236,MATCH(A71,$A$192:$A$236,0))&lt;=0.5,0.5,IF(INDEX($B$192:$B$236,MATCH(A71,$A$192:$A$236,0))&lt;=0.7,0.7,0.9))))</x:f>
        <x:v>0.3</x:v>
      </x:c>
      <x:c r="F71" s="22" t="n">
        <x:v>0.4</x:v>
      </x:c>
      <x:c r="G71" s="16" t="str">
        <x:f>IF(E71*F71&gt;=0.4,"Crítica",IF(E71*F71&gt;=0.2,"Alta",IF(E71*F71&gt;=0.08,"Media","Baja")))</x:f>
        <x:v>Media</x:v>
      </x:c>
    </x:row>
    <x:row r="72" ht="60" customHeight="1">
      <x:c r="A72" s="14" t="str">
        <x:v>R-035</x:v>
      </x:c>
      <x:c r="B72" s="14" t="str">
        <x:v>7.3</x:v>
      </x:c>
      <x:c r="C72" s="14" t="str">
        <x:v>Nube, mensajes, licencias y reposiciones tienen consumo y pago durante 56 meses → el consumo o los pagos pueden superar la previsión financiera → recorte de servicio o necesidad de financiamiento</x:v>
      </x:c>
      <x:c r="D72" s="14" t="str">
        <x:v>Alex Aravena</x:v>
      </x:c>
      <x:c r="E72" s="18" t="n">
        <x:f>IF(INDEX($B$192:$B$236,MATCH(A72,$A$192:$A$236,0))&lt;=0.1,0.1,IF(INDEX($B$192:$B$236,MATCH(A72,$A$192:$A$236,0))&lt;=0.3,0.3,IF(INDEX($B$192:$B$236,MATCH(A72,$A$192:$A$236,0))&lt;=0.5,0.5,IF(INDEX($B$192:$B$236,MATCH(A72,$A$192:$A$236,0))&lt;=0.7,0.7,0.9))))</x:f>
        <x:v>0.5</x:v>
      </x:c>
      <x:c r="F72" s="19" t="n">
        <x:v>0.4</x:v>
      </x:c>
      <x:c r="G72" s="14" t="str">
        <x:f>IF(E72*F72&gt;=0.4,"Crítica",IF(E72*F72&gt;=0.2,"Alta",IF(E72*F72&gt;=0.08,"Media","Baja")))</x:f>
        <x:v>Alta</x:v>
      </x:c>
    </x:row>
    <x:row r="73" ht="60" customHeight="1">
      <x:c r="A73" s="16" t="str">
        <x:v>R-036</x:v>
      </x:c>
      <x:c r="B73" s="16" t="str">
        <x:v>4.6</x:v>
      </x:c>
      <x:c r="C73" s="16" t="str">
        <x:v>El inventario de góndola no pertenece al sistema de registro de Puelche → datos inferidos pueden generar avisos de vencimiento sin confirmación → visitas improductivas y beneficio no demostrable</x:v>
      </x:c>
      <x:c r="D73" s="16" t="str">
        <x:v>Patricio Henríquez</x:v>
      </x:c>
      <x:c r="E73" s="21" t="n">
        <x:f>IF(INDEX($B$192:$B$236,MATCH(A73,$A$192:$A$236,0))&lt;=0.1,0.1,IF(INDEX($B$192:$B$236,MATCH(A73,$A$192:$A$236,0))&lt;=0.3,0.3,IF(INDEX($B$192:$B$236,MATCH(A73,$A$192:$A$236,0))&lt;=0.5,0.5,IF(INDEX($B$192:$B$236,MATCH(A73,$A$192:$A$236,0))&lt;=0.7,0.7,0.9))))</x:f>
        <x:v>0.5</x:v>
      </x:c>
      <x:c r="F73" s="22" t="n">
        <x:v>0.2</x:v>
      </x:c>
      <x:c r="G73" s="16" t="str">
        <x:f>IF(E73*F73&gt;=0.4,"Crítica",IF(E73*F73&gt;=0.2,"Alta",IF(E73*F73&gt;=0.08,"Media","Baja")))</x:f>
        <x:v>Media</x:v>
      </x:c>
    </x:row>
    <x:row r="74" ht="60" customHeight="1">
      <x:c r="A74" s="14" t="str">
        <x:v>R-037</x:v>
      </x:c>
      <x:c r="B74" s="14" t="str">
        <x:v>1.14</x:v>
      </x:c>
      <x:c r="C74" s="14" t="str">
        <x:v>Los fallos aparecen en condiciones de terreno difíciles de replicar → captura y reproducción pueden no conservar el orden causal del incidente → corrección ineficaz y reapertura de tickets</x:v>
      </x:c>
      <x:c r="D74" s="14" t="str">
        <x:v>Tomás Pérez</x:v>
      </x:c>
      <x:c r="E74" s="18" t="n">
        <x:f>IF(INDEX($B$192:$B$236,MATCH(A74,$A$192:$A$236,0))&lt;=0.1,0.1,IF(INDEX($B$192:$B$236,MATCH(A74,$A$192:$A$236,0))&lt;=0.3,0.3,IF(INDEX($B$192:$B$236,MATCH(A74,$A$192:$A$236,0))&lt;=0.5,0.5,IF(INDEX($B$192:$B$236,MATCH(A74,$A$192:$A$236,0))&lt;=0.7,0.7,0.9))))</x:f>
        <x:v>0.5</x:v>
      </x:c>
      <x:c r="F74" s="19" t="n">
        <x:v>0.2</x:v>
      </x:c>
      <x:c r="G74" s="14" t="str">
        <x:f>IF(E74*F74&gt;=0.4,"Crítica",IF(E74*F74&gt;=0.2,"Alta",IF(E74*F74&gt;=0.08,"Media","Baja")))</x:f>
        <x:v>Media</x:v>
      </x:c>
    </x:row>
    <x:row r="75" ht="48" customHeight="1">
      <x:c r="A75" s="16" t="str">
        <x:v>R-038</x:v>
      </x:c>
      <x:c r="B75" s="16" t="str">
        <x:v>1.15</x:v>
      </x:c>
      <x:c r="C75" s="16" t="str">
        <x:v>El modelo cinético depende de familia de producto e historia térmica completa → la estimación puede ser inválida o exceder el uso permitido → decisión de disposición errónea</x:v>
      </x:c>
      <x:c r="D75" s="16" t="str">
        <x:v>Maximiliano Miño</x:v>
      </x:c>
      <x:c r="E75" s="21" t="n">
        <x:f>IF(INDEX($B$192:$B$236,MATCH(A75,$A$192:$A$236,0))&lt;=0.1,0.1,IF(INDEX($B$192:$B$236,MATCH(A75,$A$192:$A$236,0))&lt;=0.3,0.3,IF(INDEX($B$192:$B$236,MATCH(A75,$A$192:$A$236,0))&lt;=0.5,0.5,IF(INDEX($B$192:$B$236,MATCH(A75,$A$192:$A$236,0))&lt;=0.7,0.7,0.9))))</x:f>
        <x:v>0.5</x:v>
      </x:c>
      <x:c r="F75" s="22" t="n">
        <x:v>0.4</x:v>
      </x:c>
      <x:c r="G75" s="16" t="str">
        <x:f>IF(E75*F75&gt;=0.4,"Crítica",IF(E75*F75&gt;=0.2,"Alta",IF(E75*F75&gt;=0.08,"Media","Baja")))</x:f>
        <x:v>Alta</x:v>
      </x:c>
    </x:row>
    <x:row r="76" ht="60" customHeight="1">
      <x:c r="A76" s="14" t="str">
        <x:v>R-039</x:v>
      </x:c>
      <x:c r="B76" s="14" t="str">
        <x:v>5.3</x:v>
      </x:c>
      <x:c r="C76" s="14" t="str">
        <x:v>La mejora puede deberse a combustible, malla o mezcla de clientes y no al servicio → la línea base o canasta puede atribuir un ahorro espurio → disputa del tramo variable o sacrificio del OTIF</x:v>
      </x:c>
      <x:c r="D76" s="14" t="str">
        <x:v>Alex Aravena</x:v>
      </x:c>
      <x:c r="E76" s="18" t="n">
        <x:f>IF(INDEX($B$192:$B$236,MATCH(A76,$A$192:$A$236,0))&lt;=0.1,0.1,IF(INDEX($B$192:$B$236,MATCH(A76,$A$192:$A$236,0))&lt;=0.3,0.3,IF(INDEX($B$192:$B$236,MATCH(A76,$A$192:$A$236,0))&lt;=0.5,0.5,IF(INDEX($B$192:$B$236,MATCH(A76,$A$192:$A$236,0))&lt;=0.7,0.7,0.9))))</x:f>
        <x:v>0.5</x:v>
      </x:c>
      <x:c r="F76" s="19" t="n">
        <x:v>0.2</x:v>
      </x:c>
      <x:c r="G76" s="14" t="str">
        <x:f>IF(E76*F76&gt;=0.4,"Crítica",IF(E76*F76&gt;=0.2,"Alta",IF(E76*F76&gt;=0.08,"Media","Baja")))</x:f>
        <x:v>Media</x:v>
      </x:c>
    </x:row>
    <x:row r="77" ht="48" customHeight="1">
      <x:c r="A77" s="16" t="str">
        <x:v>R-040</x:v>
      </x:c>
      <x:c r="B77" s="16" t="str">
        <x:v>4.7</x:v>
      </x:c>
      <x:c r="C77" s="16" t="str">
        <x:v>Hay baja alfabetización y agregados de negocios comparables → la hoja puede no entenderse o permitir identificar otro local → rechazo del servicio y divulgación comercial</x:v>
      </x:c>
      <x:c r="D77" s="16" t="str">
        <x:v>Patricio Henríquez</x:v>
      </x:c>
      <x:c r="E77" s="21" t="n">
        <x:f>IF(INDEX($B$192:$B$236,MATCH(A77,$A$192:$A$236,0))&lt;=0.1,0.1,IF(INDEX($B$192:$B$236,MATCH(A77,$A$192:$A$236,0))&lt;=0.3,0.3,IF(INDEX($B$192:$B$236,MATCH(A77,$A$192:$A$236,0))&lt;=0.5,0.5,IF(INDEX($B$192:$B$236,MATCH(A77,$A$192:$A$236,0))&lt;=0.7,0.7,0.9))))</x:f>
        <x:v>0.5</x:v>
      </x:c>
      <x:c r="F77" s="22" t="n">
        <x:v>0.2</x:v>
      </x:c>
      <x:c r="G77" s="16" t="str">
        <x:f>IF(E77*F77&gt;=0.4,"Crítica",IF(E77*F77&gt;=0.2,"Alta",IF(E77*F77&gt;=0.08,"Media","Baja")))</x:f>
        <x:v>Media</x:v>
      </x:c>
    </x:row>
    <x:row r="78" ht="60" customHeight="1">
      <x:c r="A78" s="14" t="str">
        <x:v>R-041</x:v>
      </x:c>
      <x:c r="B78" s="14" t="str">
        <x:v>5.4</x:v>
      </x:c>
      <x:c r="C78" s="14" t="str">
        <x:v>El cliente tiene cuatro personas de TI y debe sostener o transferir el servicio → documentación, cuentas o exportación pueden no permitir una entrega efectiva → dependencia al cierre y operación no sostenible</x:v>
      </x:c>
      <x:c r="D78" s="14" t="str">
        <x:v>Guillermo Castillo</x:v>
      </x:c>
      <x:c r="E78" s="18" t="n">
        <x:f>IF(INDEX($B$192:$B$236,MATCH(A78,$A$192:$A$236,0))&lt;=0.1,0.1,IF(INDEX($B$192:$B$236,MATCH(A78,$A$192:$A$236,0))&lt;=0.3,0.3,IF(INDEX($B$192:$B$236,MATCH(A78,$A$192:$A$236,0))&lt;=0.5,0.5,IF(INDEX($B$192:$B$236,MATCH(A78,$A$192:$A$236,0))&lt;=0.7,0.7,0.9))))</x:f>
        <x:v>0.3</x:v>
      </x:c>
      <x:c r="F78" s="19" t="n">
        <x:v>0.4</x:v>
      </x:c>
      <x:c r="G78" s="14" t="str">
        <x:f>IF(E78*F78&gt;=0.4,"Crítica",IF(E78*F78&gt;=0.2,"Alta",IF(E78*F78&gt;=0.08,"Media","Baja")))</x:f>
        <x:v>Media</x:v>
      </x:c>
    </x:row>
    <x:row r="79" ht="60" customHeight="1">
      <x:c r="A79" s="16" t="str">
        <x:v>R-042</x:v>
      </x:c>
      <x:c r="B79" s="16" t="str">
        <x:v>6.2</x:v>
      </x:c>
      <x:c r="C79" s="16" t="str">
        <x:v>El contrato conserva documentos, ubicación y evidencia durante varios años → un cambio o interpretación puede exigir adaptar controles y purga → retrabajo, conservación indebida o incumplimiento</x:v>
      </x:c>
      <x:c r="D79" s="16" t="str">
        <x:v>Álvaro Catalán</x:v>
      </x:c>
      <x:c r="E79" s="21" t="n">
        <x:f>IF(INDEX($B$192:$B$236,MATCH(A79,$A$192:$A$236,0))&lt;=0.1,0.1,IF(INDEX($B$192:$B$236,MATCH(A79,$A$192:$A$236,0))&lt;=0.3,0.3,IF(INDEX($B$192:$B$236,MATCH(A79,$A$192:$A$236,0))&lt;=0.5,0.5,IF(INDEX($B$192:$B$236,MATCH(A79,$A$192:$A$236,0))&lt;=0.7,0.7,0.9))))</x:f>
        <x:v>0.5</x:v>
      </x:c>
      <x:c r="F79" s="22" t="n">
        <x:v>0.4</x:v>
      </x:c>
      <x:c r="G79" s="16" t="str">
        <x:f>IF(E79*F79&gt;=0.4,"Crítica",IF(E79*F79&gt;=0.2,"Alta",IF(E79*F79&gt;=0.08,"Media","Baja")))</x:f>
        <x:v>Alta</x:v>
      </x:c>
    </x:row>
    <x:row r="80" ht="48" customHeight="1">
      <x:c r="A80" s="14" t="str">
        <x:v>R-043</x:v>
      </x:c>
      <x:c r="B80" s="14" t="str">
        <x:v>2.6</x:v>
      </x:c>
      <x:c r="C80" s="14" t="str">
        <x:v>El POS depende de un tercero y el timeout no equivale a rechazo → el reintento o pago alternativo puede duplicar la obligación → conciliación, devolución y reclamo del cliente</x:v>
      </x:c>
      <x:c r="D80" s="14" t="str">
        <x:v>Leandro Chamorro</x:v>
      </x:c>
      <x:c r="E80" s="18" t="n">
        <x:f>IF(INDEX($B$192:$B$236,MATCH(A80,$A$192:$A$236,0))&lt;=0.1,0.1,IF(INDEX($B$192:$B$236,MATCH(A80,$A$192:$A$236,0))&lt;=0.3,0.3,IF(INDEX($B$192:$B$236,MATCH(A80,$A$192:$A$236,0))&lt;=0.5,0.5,IF(INDEX($B$192:$B$236,MATCH(A80,$A$192:$A$236,0))&lt;=0.7,0.7,0.9))))</x:f>
        <x:v>0.3</x:v>
      </x:c>
      <x:c r="F80" s="19" t="n">
        <x:v>0.4</x:v>
      </x:c>
      <x:c r="G80" s="14" t="str">
        <x:f>IF(E80*F80&gt;=0.4,"Crítica",IF(E80*F80&gt;=0.2,"Alta",IF(E80*F80&gt;=0.08,"Media","Baja")))</x:f>
        <x:v>Media</x:v>
      </x:c>
    </x:row>
    <x:row r="81" ht="60" customHeight="1">
      <x:c r="A81" s="16" t="str">
        <x:v>R-044</x:v>
      </x:c>
      <x:c r="B81" s="16" t="str">
        <x:v>3.8</x:v>
      </x:c>
      <x:c r="C81" s="16" t="str">
        <x:v>Retornos en terreno y recepción local atraviesan varios registros → una devolución puede contabilizarse dos veces o quedar sin vínculo al lote → saldo, cuenta de envases y trazabilidad incorrectos</x:v>
      </x:c>
      <x:c r="D81" s="16" t="str">
        <x:v>Leandro Chamorro</x:v>
      </x:c>
      <x:c r="E81" s="21" t="n">
        <x:f>IF(INDEX($B$192:$B$236,MATCH(A81,$A$192:$A$236,0))&lt;=0.1,0.1,IF(INDEX($B$192:$B$236,MATCH(A81,$A$192:$A$236,0))&lt;=0.3,0.3,IF(INDEX($B$192:$B$236,MATCH(A81,$A$192:$A$236,0))&lt;=0.5,0.5,IF(INDEX($B$192:$B$236,MATCH(A81,$A$192:$A$236,0))&lt;=0.7,0.7,0.9))))</x:f>
        <x:v>0.3</x:v>
      </x:c>
      <x:c r="F81" s="22" t="n">
        <x:v>0.2</x:v>
      </x:c>
      <x:c r="G81" s="16" t="str">
        <x:f>IF(E81*F81&gt;=0.4,"Crítica",IF(E81*F81&gt;=0.2,"Alta",IF(E81*F81&gt;=0.08,"Media","Baja")))</x:f>
        <x:v>Baja</x:v>
      </x:c>
    </x:row>
    <x:row r="82" ht="48" customHeight="1">
      <x:c r="A82" s="14" t="str">
        <x:v>R-045</x:v>
      </x:c>
      <x:c r="B82" s="14" t="str">
        <x:v>2.7</x:v>
      </x:c>
      <x:c r="C82" s="14" t="str">
        <x:v>Direcciones, pesos y puentes no están plenamente formalizados → geocodificación o propuesta puede asignar camión/ruta incompatible → entrega fallida y reproceso de planificación</x:v>
      </x:c>
      <x:c r="D82" s="14" t="str">
        <x:v>Bastián Trejo</x:v>
      </x:c>
      <x:c r="E82" s="18" t="n">
        <x:f>IF(INDEX($B$192:$B$236,MATCH(A82,$A$192:$A$236,0))&lt;=0.1,0.1,IF(INDEX($B$192:$B$236,MATCH(A82,$A$192:$A$236,0))&lt;=0.3,0.3,IF(INDEX($B$192:$B$236,MATCH(A82,$A$192:$A$236,0))&lt;=0.5,0.5,IF(INDEX($B$192:$B$236,MATCH(A82,$A$192:$A$236,0))&lt;=0.7,0.7,0.9))))</x:f>
        <x:v>0.5</x:v>
      </x:c>
      <x:c r="F82" s="19" t="n">
        <x:v>0.4</x:v>
      </x:c>
      <x:c r="G82" s="14" t="str">
        <x:f>IF(E82*F82&gt;=0.4,"Crítica",IF(E82*F82&gt;=0.2,"Alta",IF(E82*F82&gt;=0.08,"Media","Baja")))</x:f>
        <x:v>Alta</x:v>
      </x:c>
    </x:row>
    <x:row r="83">
      <x:c r="A83" s="3"/>
      <x:c r="B83" s="3"/>
      <x:c r="C83" s="3"/>
      <x:c r="D83" s="3"/>
      <x:c r="E83" s="3"/>
      <x:c r="F83" s="3"/>
      <x:c r="G83" s="3"/>
    </x:row>
    <x:row r="84">
      <x:c r="A84" s="3"/>
      <x:c r="B84" s="3"/>
      <x:c r="C84" s="3"/>
      <x:c r="D84" s="3"/>
      <x:c r="E84" s="3"/>
      <x:c r="F84" s="3"/>
      <x:c r="G84" s="3"/>
    </x:row>
    <x:row r="85">
      <x:c r="A85" s="3"/>
      <x:c r="B85" s="3"/>
      <x:c r="C85" s="3"/>
      <x:c r="D85" s="3"/>
      <x:c r="E85" s="3"/>
      <x:c r="F85" s="3"/>
      <x:c r="G85" s="3"/>
    </x:row>
    <x:row r="86" ht="30" customHeight="1">
      <x:c r="A86" s="6" t="str">
        <x:v>4 · De dónde sale cada cifra</x:v>
      </x:c>
      <x:c r="B86" s="6"/>
      <x:c r="C86" s="6"/>
      <x:c r="D86" s="6"/>
      <x:c r="E86" s="6"/>
      <x:c r="F86" s="6"/>
      <x:c r="G86" s="6"/>
    </x:row>
    <x:row r="87" ht="26" customHeight="1">
      <x:c r="A87" s="23" t="str">
        <x:v>4.1 · La probabilidad, riesgo por riesgo</x:v>
      </x:c>
      <x:c r="B87" s="23"/>
      <x:c r="C87" s="23"/>
      <x:c r="D87" s="23"/>
      <x:c r="E87" s="23"/>
      <x:c r="F87" s="23"/>
      <x:c r="G87" s="23"/>
    </x:row>
    <x:row r="88" ht="26" customHeight="1">
      <x:c r="A88" s="7" t="str">
        <x:v>Tabla 4 · La probabilidad, riesgo por riesgo</x:v>
      </x:c>
      <x:c r="B88" s="7"/>
      <x:c r="C88" s="7"/>
      <x:c r="D88" s="7"/>
      <x:c r="E88" s="7"/>
      <x:c r="F88" s="7"/>
      <x:c r="G88" s="7"/>
    </x:row>
    <x:row r="89" ht="38" customHeight="1">
      <x:c r="A89" s="12" t="str">
        <x:v>ID</x:v>
      </x:c>
      <x:c r="B89" s="12" t="str">
        <x:v>Nivel</x:v>
      </x:c>
      <x:c r="C89" s="12" t="str">
        <x:v>En qué se apoya</x:v>
      </x:c>
      <x:c r="D89" s="12"/>
      <x:c r="E89" s="12"/>
      <x:c r="F89" s="12"/>
      <x:c r="G89" s="12"/>
    </x:row>
    <x:row r="90" ht="48" customHeight="1">
      <x:c r="A90" s="14" t="str">
        <x:v>R-001</x:v>
      </x:c>
      <x:c r="B90" s="14" t="n">
        <x:f>IF(INDEX($B$192:$B$236,MATCH(A90,$A$192:$A$236,0))&lt;=0.1,1,IF(INDEX($B$192:$B$236,MATCH(A90,$A$192:$A$236,0))&lt;=0.3,2,IF(INDEX($B$192:$B$236,MATCH(A90,$A$192:$A$236,0))&lt;=0.5,3,IF(INDEX($B$192:$B$236,MATCH(A90,$A$192:$A$236,0))&lt;=0.7,4,5))))</x:f>
        <x:v>3</x:v>
      </x:c>
      <x:c r="C90" s="14" t="str">
        <x:v>Juicio de planificación: ERP sin documentación de interfaces y sin permiso para modificarlo. Subdocumento 4 4.1.3.5: ACL única, contratos e idempotencia. Probabilidad inicial 45 %; residual objetivo 20 %, condicionado a Contrato firmado, extracción real, rechazo y reintento probados; no basta OpenAPI interno. No hay frecuencia histórica demostrada tras estos controles; validar con Bastián Trejo.</x:v>
      </x:c>
      <x:c r="D90" s="14"/>
      <x:c r="E90" s="14"/>
      <x:c r="F90" s="14"/>
      <x:c r="G90" s="14"/>
    </x:row>
    <x:row r="91" ht="48" customHeight="1">
      <x:c r="A91" s="16" t="str">
        <x:v>R-002</x:v>
      </x:c>
      <x:c r="B91" s="16" t="n">
        <x:f>IF(INDEX($B$192:$B$236,MATCH(A91,$A$192:$A$236,0))&lt;=0.1,1,IF(INDEX($B$192:$B$236,MATCH(A91,$A$192:$A$236,0))&lt;=0.3,2,IF(INDEX($B$192:$B$236,MATCH(A91,$A$192:$A$236,0))&lt;=0.5,3,IF(INDEX($B$192:$B$236,MATCH(A91,$A$192:$A$236,0))&lt;=0.7,4,5))))</x:f>
        <x:v>3</x:v>
      </x:c>
      <x:c r="C91" s="16" t="str">
        <x:v>Juicio de planificación: El cliente desconoce condiciones contractuales de acceso a los datos. Subdocumento 4 4.1.6: INT-15; termógrafos conservan registro térmico independiente. Probabilidad inicial 40 %; residual objetivo 20 %, condicionado a Autorización escrita y prueba de posición/historia con límites contratados. No hay frecuencia histórica demostrada tras estos controles; validar con Bastián Trejo.</x:v>
      </x:c>
      <x:c r="D91" s="16"/>
      <x:c r="E91" s="16"/>
      <x:c r="F91" s="16"/>
      <x:c r="G91" s="16"/>
    </x:row>
    <x:row r="92" ht="48" customHeight="1">
      <x:c r="A92" s="14" t="str">
        <x:v>R-003</x:v>
      </x:c>
      <x:c r="B92" s="14" t="n">
        <x:f>IF(INDEX($B$192:$B$236,MATCH(A92,$A$192:$A$236,0))&lt;=0.1,1,IF(INDEX($B$192:$B$236,MATCH(A92,$A$192:$A$236,0))&lt;=0.3,2,IF(INDEX($B$192:$B$236,MATCH(A92,$A$192:$A$236,0))&lt;=0.5,3,IF(INDEX($B$192:$B$236,MATCH(A92,$A$192:$A$236,0))&lt;=0.7,4,5))))</x:f>
        <x:v>3</x:v>
      </x:c>
      <x:c r="C92" s="14" t="str">
        <x:v>Juicio de planificación: WMS de 2013 y registros físicos conviven durante la transición. Subdocumento 5 5.3: dos ensayos independientes, conciliación y rollback. Probabilidad inicial 40 %; residual objetivo 20 %, condicionado a Conciliación aprobada por bodega y Finanzas; rollback restaura estado sin doble operación. No hay frecuencia histórica demostrada tras estos controles; validar con Leandro Chamorro.</x:v>
      </x:c>
      <x:c r="D92" s="14"/>
      <x:c r="E92" s="14"/>
      <x:c r="F92" s="14"/>
      <x:c r="G92" s="14"/>
    </x:row>
    <x:row r="93" ht="48" customHeight="1">
      <x:c r="A93" s="16" t="str">
        <x:v>R-004</x:v>
      </x:c>
      <x:c r="B93" s="16" t="n">
        <x:f>IF(INDEX($B$192:$B$236,MATCH(A93,$A$192:$A$236,0))&lt;=0.1,1,IF(INDEX($B$192:$B$236,MATCH(A93,$A$192:$A$236,0))&lt;=0.3,2,IF(INDEX($B$192:$B$236,MATCH(A93,$A$192:$A$236,0))&lt;=0.5,3,IF(INDEX($B$192:$B$236,MATCH(A93,$A$192:$A$236,0))&lt;=0.7,4,5))))</x:f>
        <x:v>3</x:v>
      </x:c>
      <x:c r="C93" s="16" t="str">
        <x:v>Juicio de planificación: Lotes en texto libre y registros históricos incompletos. Subdocumento 5 5.3 y 5-L: perfilado, procedencia, rechazo y conciliación. Probabilidad inicial 45 %; residual objetivo 25 %, condicionado a Perfilado reproducible; rechazos aislados; no fabricar lotes faltantes; conciliación por conjunto. No hay frecuencia histórica demostrada tras estos controles; validar con Leandro Chamorro.</x:v>
      </x:c>
      <x:c r="D93" s="16"/>
      <x:c r="E93" s="16"/>
      <x:c r="F93" s="16"/>
      <x:c r="G93" s="16"/>
    </x:row>
    <x:row r="94" ht="48" customHeight="1">
      <x:c r="A94" s="14" t="str">
        <x:v>R-005</x:v>
      </x:c>
      <x:c r="B94" s="14" t="n">
        <x:f>IF(INDEX($B$192:$B$236,MATCH(A94,$A$192:$A$236,0))&lt;=0.1,1,IF(INDEX($B$192:$B$236,MATCH(A94,$A$192:$A$236,0))&lt;=0.3,2,IF(INDEX($B$192:$B$236,MATCH(A94,$A$192:$A$236,0))&lt;=0.5,3,IF(INDEX($B$192:$B$236,MATCH(A94,$A$192:$A$236,0))&lt;=0.7,4,5))))</x:f>
        <x:v>2</x:v>
      </x:c>
      <x:c r="C94" s="14" t="str">
        <x:v>Juicio de planificación: Los sitios y móviles acumulan operaciones desconectadas. Subdocumento 4 4.1.3.5 y 4.1.4.3: outbox, UUID y acuse durable de retención. Probabilidad inicial 30 %; residual objetivo 10 %, condicionado a Prueba con UUID repetido, orden invertido y corte de 24 h; invariantes conciliados. No hay frecuencia histórica demostrada tras estos controles; validar con Tomás Pérez.</x:v>
      </x:c>
      <x:c r="D94" s="14"/>
      <x:c r="E94" s="14"/>
      <x:c r="F94" s="14"/>
      <x:c r="G94" s="14"/>
    </x:row>
    <x:row r="95" ht="48" customHeight="1">
      <x:c r="A95" s="16" t="str">
        <x:v>R-006</x:v>
      </x:c>
      <x:c r="B95" s="16" t="n">
        <x:f>IF(INDEX($B$192:$B$236,MATCH(A95,$A$192:$A$236,0))&lt;=0.1,1,IF(INDEX($B$192:$B$236,MATCH(A95,$A$192:$A$236,0))&lt;=0.3,2,IF(INDEX($B$192:$B$236,MATCH(A95,$A$192:$A$236,0))&lt;=0.5,3,IF(INDEX($B$192:$B$236,MATCH(A95,$A$192:$A$236,0))&lt;=0.7,4,5))))</x:f>
        <x:v>2</x:v>
      </x:c>
      <x:c r="C95" s="16" t="str">
        <x:v>Juicio de planificación: Concepción tiene un solo enlace en la situación actual. Subdocumento 4 4.1.3.2 y 4.2: fibra, LTE, satélite y WMS local redundante. Probabilidad inicial 25 %; residual objetivo 10 %, condicionado a Acta de diversidad y prueba de 24 h con recepción, preparación y despacho reales. No hay frecuencia histórica demostrada tras estos controles; validar con Guillermo Castillo.</x:v>
      </x:c>
      <x:c r="D95" s="16"/>
      <x:c r="E95" s="16"/>
      <x:c r="F95" s="16"/>
      <x:c r="G95" s="16"/>
    </x:row>
    <x:row r="96" ht="48" customHeight="1">
      <x:c r="A96" s="14" t="str">
        <x:v>R-007</x:v>
      </x:c>
      <x:c r="B96" s="14" t="n">
        <x:f>IF(INDEX($B$192:$B$236,MATCH(A96,$A$192:$A$236,0))&lt;=0.1,1,IF(INDEX($B$192:$B$236,MATCH(A96,$A$192:$A$236,0))&lt;=0.3,2,IF(INDEX($B$192:$B$236,MATCH(A96,$A$192:$A$236,0))&lt;=0.5,3,IF(INDEX($B$192:$B$236,MATCH(A96,$A$192:$A$236,0))&lt;=0.7,4,5))))</x:f>
        <x:v>3</x:v>
      </x:c>
      <x:c r="C96" s="14" t="str">
        <x:v>Juicio de planificación: Los Ángeles presenta señal móvil intermitente en su ventana operacional. Subdocumento 4 4.2: gabinetes redundantes, conectividad de respaldo y ejecución local. Probabilidad inicial 40 %; residual objetivo 20 %, condicionado a Acta nocturna por plataforma, cola durable y conciliación dentro de 2 h. No hay frecuencia histórica demostrada tras estos controles; validar con Guillermo Castillo.</x:v>
      </x:c>
      <x:c r="D96" s="14"/>
      <x:c r="E96" s="14"/>
      <x:c r="F96" s="14"/>
      <x:c r="G96" s="14"/>
    </x:row>
    <x:row r="97" ht="48" customHeight="1">
      <x:c r="A97" s="16" t="str">
        <x:v>R-008</x:v>
      </x:c>
      <x:c r="B97" s="16" t="n">
        <x:f>IF(INDEX($B$192:$B$236,MATCH(A97,$A$192:$A$236,0))&lt;=0.1,1,IF(INDEX($B$192:$B$236,MATCH(A97,$A$192:$A$236,0))&lt;=0.3,2,IF(INDEX($B$192:$B$236,MATCH(A97,$A$192:$A$236,0))&lt;=0.5,3,IF(INDEX($B$192:$B$236,MATCH(A97,$A$192:$A$236,0))&lt;=0.7,4,5))))</x:f>
        <x:v>2</x:v>
      </x:c>
      <x:c r="C97" s="16" t="str">
        <x:v>Juicio de planificación: Existen rutas sin cobertura hasta el regreso y trabajo bajo lluvia y calor. Subdocumento 4 4.1.3.1 y 4.2.6.7: datos locales y autonomía de 14 h. Probabilidad inicial 30 %; residual objetivo 10 %, condicionado a Jornada íntegra reproducible y sin duplicados, bajo condiciones de terreno. No hay frecuencia histórica demostrada tras estos controles; validar con Tomás Pérez.</x:v>
      </x:c>
      <x:c r="D97" s="16"/>
      <x:c r="E97" s="16"/>
      <x:c r="F97" s="16"/>
      <x:c r="G97" s="16"/>
    </x:row>
    <x:row r="98" ht="48" customHeight="1">
      <x:c r="A98" s="14" t="str">
        <x:v>R-009</x:v>
      </x:c>
      <x:c r="B98" s="14" t="n">
        <x:f>IF(INDEX($B$192:$B$236,MATCH(A98,$A$192:$A$236,0))&lt;=0.1,1,IF(INDEX($B$192:$B$236,MATCH(A98,$A$192:$A$236,0))&lt;=0.3,2,IF(INDEX($B$192:$B$236,MATCH(A98,$A$192:$A$236,0))&lt;=0.5,3,IF(INDEX($B$192:$B$236,MATCH(A98,$A$192:$A$236,0))&lt;=0.7,4,5))))</x:f>
        <x:v>2</x:v>
      </x:c>
      <x:c r="C98" s="14" t="str">
        <x:v>Juicio de planificación: La operación nocturna requiere relevos mientras la identidad central está inaccesible. Subdocumento 4 4.1.3.3 y 4.1.3.7: manifiesto firmado, PIN y permisos limitados. Probabilidad inicial 25 %; residual objetivo 10 %, condicionado a Acta de corte con cambios de turno, denegación y bitácora posterior. No hay frecuencia histórica demostrada tras estos controles; validar con Álvaro Catalán.</x:v>
      </x:c>
      <x:c r="D98" s="14"/>
      <x:c r="E98" s="14"/>
      <x:c r="F98" s="14"/>
      <x:c r="G98" s="14"/>
    </x:row>
    <x:row r="99" ht="48" customHeight="1">
      <x:c r="A99" s="16" t="str">
        <x:v>R-010</x:v>
      </x:c>
      <x:c r="B99" s="16" t="n">
        <x:f>IF(INDEX($B$192:$B$236,MATCH(A99,$A$192:$A$236,0))&lt;=0.1,1,IF(INDEX($B$192:$B$236,MATCH(A99,$A$192:$A$236,0))&lt;=0.3,2,IF(INDEX($B$192:$B$236,MATCH(A99,$A$192:$A$236,0))&lt;=0.5,3,IF(INDEX($B$192:$B$236,MATCH(A99,$A$192:$A$236,0))&lt;=0.7,4,5))))</x:f>
        <x:v>2</x:v>
      </x:c>
      <x:c r="C99" s="16" t="str">
        <x:v>Juicio de planificación: La cámara de congelado está a −22 °C y sin señal. Subdocumento 4 4.2 y T-11: equipos y accesorios por condición de uso. Probabilidad inicial 25 %; residual objetivo 10 %, condicionado a Ficha exacta y prueba funcional completa antes de compra masiva. No hay frecuencia histórica demostrada tras estos controles; validar con Bastián Trejo.</x:v>
      </x:c>
      <x:c r="D99" s="16"/>
      <x:c r="E99" s="16"/>
      <x:c r="F99" s="16"/>
      <x:c r="G99" s="16"/>
    </x:row>
    <x:row r="100" ht="48" customHeight="1">
      <x:c r="A100" s="14" t="str">
        <x:v>R-011</x:v>
      </x:c>
      <x:c r="B100" s="14" t="n">
        <x:f>IF(INDEX($B$192:$B$236,MATCH(A100,$A$192:$A$236,0))&lt;=0.1,1,IF(INDEX($B$192:$B$236,MATCH(A100,$A$192:$A$236,0))&lt;=0.3,2,IF(INDEX($B$192:$B$236,MATCH(A100,$A$192:$A$236,0))&lt;=0.5,3,IF(INDEX($B$192:$B$236,MATCH(A100,$A$192:$A$236,0))&lt;=0.7,4,5))))</x:f>
        <x:v>2</x:v>
      </x:c>
      <x:c r="C100" s="14" t="str">
        <x:v>Juicio de planificación: La regla de excursión no estaba formalizada por producto en el levantamiento. Subdocumento 5 5.1: PREVENTIVA_FICHA, regla versionada y aprobación; Subdocumento 4 bloqueo local. Probabilidad inicial 30 %; residual objetivo 10 %, condicionado a Calidad aprueba reglas; sensor patrón y ensayo de bloqueo; ninguna liberación automática. No hay frecuencia histórica demostrada tras estos controles; validar con Maximiliano Miño.</x:v>
      </x:c>
      <x:c r="D100" s="14"/>
      <x:c r="E100" s="14"/>
      <x:c r="F100" s="14"/>
      <x:c r="G100" s="14"/>
    </x:row>
    <x:row r="101" ht="48" customHeight="1">
      <x:c r="A101" s="16" t="str">
        <x:v>R-012</x:v>
      </x:c>
      <x:c r="B101" s="16" t="n">
        <x:f>IF(INDEX($B$192:$B$236,MATCH(A101,$A$192:$A$236,0))&lt;=0.1,1,IF(INDEX($B$192:$B$236,MATCH(A101,$A$192:$A$236,0))&lt;=0.3,2,IF(INDEX($B$192:$B$236,MATCH(A101,$A$192:$A$236,0))&lt;=0.5,3,IF(INDEX($B$192:$B$236,MATCH(A101,$A$192:$A$236,0))&lt;=0.7,4,5))))</x:f>
        <x:v>3</x:v>
      </x:c>
      <x:c r="C101" s="16" t="str">
        <x:v>Juicio de planificación: El caso reporta recepciones sin lote y retiro de nueve días. Subdocumento 4 M9 y Subdocumento 5: lote, eventos y custodia; Subdocumento 9 pruebas de retiro. Probabilidad inicial 35 %; residual objetivo 10 %, condicionado a Listado reconciliado contra entregas y devoluciones en menos de 2 h; historia incompleta declarada. No hay frecuencia histórica demostrada tras estos controles; validar con Maximiliano Miño.</x:v>
      </x:c>
      <x:c r="D101" s="16"/>
      <x:c r="E101" s="16"/>
      <x:c r="F101" s="16"/>
      <x:c r="G101" s="16"/>
    </x:row>
    <x:row r="102" ht="48" customHeight="1">
      <x:c r="A102" s="14" t="str">
        <x:v>R-013</x:v>
      </x:c>
      <x:c r="B102" s="14" t="n">
        <x:f>IF(INDEX($B$192:$B$236,MATCH(A102,$A$192:$A$236,0))&lt;=0.1,1,IF(INDEX($B$192:$B$236,MATCH(A102,$A$192:$A$236,0))&lt;=0.3,2,IF(INDEX($B$192:$B$236,MATCH(A102,$A$192:$A$236,0))&lt;=0.5,3,IF(INDEX($B$192:$B$236,MATCH(A102,$A$192:$A$236,0))&lt;=0.7,4,5))))</x:f>
        <x:v>2</x:v>
      </x:c>
      <x:c r="C102" s="14" t="str">
        <x:v>Juicio de planificación: Salen 96 camiones de 05:30 a 07:00 y septiembre casi duplica el volumen. Subdocumento 4 4.1.3, 4.2.6: perfiles separados, WMS local y colas; Subdocumento 9 carga. Probabilidad inicial 30 %; residual objetivo 10 %, condicionado a Prueba a peak de caso y margen declarado; 96 despachos completos con falla inyectada. No hay frecuencia histórica demostrada tras estos controles; validar con Guillermo Castillo.</x:v>
      </x:c>
      <x:c r="D102" s="14"/>
      <x:c r="E102" s="14"/>
      <x:c r="F102" s="14"/>
      <x:c r="G102" s="14"/>
    </x:row>
    <x:row r="103" ht="48" customHeight="1">
      <x:c r="A103" s="16" t="str">
        <x:v>R-014</x:v>
      </x:c>
      <x:c r="B103" s="16" t="n">
        <x:f>IF(INDEX($B$192:$B$236,MATCH(A103,$A$192:$A$236,0))&lt;=0.1,1,IF(INDEX($B$192:$B$236,MATCH(A103,$A$192:$A$236,0))&lt;=0.3,2,IF(INDEX($B$192:$B$236,MATCH(A103,$A$192:$A$236,0))&lt;=0.5,3,IF(INDEX($B$192:$B$236,MATCH(A103,$A$192:$A$236,0))&lt;=0.7,4,5))))</x:f>
        <x:v>2</x:v>
      </x:c>
      <x:c r="C103" s="16" t="str">
        <x:v>Juicio de planificación: La sala actual tiene split, UPS de diez minutos y acceso por llave. Subdocumento 4 4.3 y T-11: sala acondicionada, circuitos y redundancia. Probabilidad inicial 20 %; residual objetivo 10 %, condicionado a Ensayo de energía y carga térmica, PDU/circuitos comprobados y acta de recepción. No hay frecuencia histórica demostrada tras estos controles; validar con Guillermo Castillo.</x:v>
      </x:c>
      <x:c r="D103" s="16"/>
      <x:c r="E103" s="16"/>
      <x:c r="F103" s="16"/>
      <x:c r="G103" s="16"/>
    </x:row>
    <x:row r="104" ht="48" customHeight="1">
      <x:c r="A104" s="14" t="str">
        <x:v>R-015</x:v>
      </x:c>
      <x:c r="B104" s="14" t="n">
        <x:f>IF(INDEX($B$192:$B$236,MATCH(A104,$A$192:$A$236,0))&lt;=0.1,1,IF(INDEX($B$192:$B$236,MATCH(A104,$A$192:$A$236,0))&lt;=0.3,2,IF(INDEX($B$192:$B$236,MATCH(A104,$A$192:$A$236,0))&lt;=0.5,3,IF(INDEX($B$192:$B$236,MATCH(A104,$A$192:$A$236,0))&lt;=0.7,4,5))))</x:f>
        <x:v>3</x:v>
      </x:c>
      <x:c r="C104" s="14" t="str">
        <x:v>Juicio de planificación: La operación híbrida produce datos en varios sitios y medios. Subdocumento 4 4.3.2 y 4-M: réplica, protección externa y AL-DR-01. Probabilidad inicial 35 %; residual objetivo 10 %, condicionado a Informe medido de conmutación y retorno; incluir pérdida simultánea de WAN y nodo. No hay frecuencia histórica demostrada tras estos controles; validar con Guillermo Castillo.</x:v>
      </x:c>
      <x:c r="D104" s="14"/>
      <x:c r="E104" s="14"/>
      <x:c r="F104" s="14"/>
      <x:c r="G104" s="14"/>
    </x:row>
    <x:row r="105" ht="48" customHeight="1">
      <x:c r="A105" s="16" t="str">
        <x:v>R-016</x:v>
      </x:c>
      <x:c r="B105" s="16" t="n">
        <x:f>IF(INDEX($B$192:$B$236,MATCH(A105,$A$192:$A$236,0))&lt;=0.1,1,IF(INDEX($B$192:$B$236,MATCH(A105,$A$192:$A$236,0))&lt;=0.3,2,IF(INDEX($B$192:$B$236,MATCH(A105,$A$192:$A$236,0))&lt;=0.5,3,IF(INDEX($B$192:$B$236,MATCH(A105,$A$192:$A$236,0))&lt;=0.7,4,5))))</x:f>
        <x:v>2</x:v>
      </x:c>
      <x:c r="C105" s="16" t="str">
        <x:v>Juicio de planificación: Hay portales externos, flota móvil y datos comerciales sensibles. Subdocumento 4 4.1.3.7: MFA, cifrado, segregación, SOC y auditoría inmutable. Probabilidad inicial 30 %; residual objetivo 10 %, condicionado a Pentest sin hallazgos bloqueantes y ejercicio de contención/recuperación. No hay frecuencia histórica demostrada tras estos controles; validar con Álvaro Catalán.</x:v>
      </x:c>
      <x:c r="D105" s="16"/>
      <x:c r="E105" s="16"/>
      <x:c r="F105" s="16"/>
      <x:c r="G105" s="16"/>
    </x:row>
    <x:row r="106" ht="48" customHeight="1">
      <x:c r="A106" s="14" t="str">
        <x:v>R-017</x:v>
      </x:c>
      <x:c r="B106" s="14" t="n">
        <x:f>IF(INDEX($B$192:$B$236,MATCH(A106,$A$192:$A$236,0))&lt;=0.1,1,IF(INDEX($B$192:$B$236,MATCH(A106,$A$192:$A$236,0))&lt;=0.3,2,IF(INDEX($B$192:$B$236,MATCH(A106,$A$192:$A$236,0))&lt;=0.5,3,IF(INDEX($B$192:$B$236,MATCH(A106,$A$192:$A$236,0))&lt;=0.7,4,5))))</x:f>
        <x:v>3</x:v>
      </x:c>
      <x:c r="C106" s="14" t="str">
        <x:v>Juicio de planificación: El sindicato objetó cámaras en cabina y control de jornada por GPS. Subdocumento 3 alcance y Subdocumento 4 seguridad: uso operacional y acceso limitado; no cámaras en cabina. Probabilidad inicial 40 %; residual objetivo 20 %, condicionado a Acta de participación, revisión de privacidad y prueba de permisos/retención. No hay frecuencia histórica demostrada tras estos controles; validar con Patricio Henríquez.</x:v>
      </x:c>
      <x:c r="D106" s="14"/>
      <x:c r="E106" s="14"/>
      <x:c r="F106" s="14"/>
      <x:c r="G106" s="14"/>
    </x:row>
    <x:row r="107" ht="48" customHeight="1">
      <x:c r="A107" s="16" t="str">
        <x:v>R-018</x:v>
      </x:c>
      <x:c r="B107" s="16" t="n">
        <x:f>IF(INDEX($B$192:$B$236,MATCH(A107,$A$192:$A$236,0))&lt;=0.1,1,IF(INDEX($B$192:$B$236,MATCH(A107,$A$192:$A$236,0))&lt;=0.3,2,IF(INDEX($B$192:$B$236,MATCH(A107,$A$192:$A$236,0))&lt;=0.5,3,IF(INDEX($B$192:$B$236,MATCH(A107,$A$192:$A$236,0))&lt;=0.7,4,5))))</x:f>
        <x:v>3</x:v>
      </x:c>
      <x:c r="C107" s="16" t="str">
        <x:v>Juicio de planificación: 54 camiones pertenecen a diez empresas y sus conductores cambian sin aviso. Subdocumento 4 perfiles externos y T-18: incorporación por transportista. Probabilidad inicial 45 %; residual objetivo 25 %, condicionado a Diez acuerdos y prueba de enrolamiento/soporte que no detenga reparto. No hay frecuencia histórica demostrada tras estos controles; validar con Patricio Henríquez.</x:v>
      </x:c>
      <x:c r="D107" s="16"/>
      <x:c r="E107" s="16"/>
      <x:c r="F107" s="16"/>
      <x:c r="G107" s="16"/>
    </x:row>
    <x:row r="108" ht="48" customHeight="1">
      <x:c r="A108" s="14" t="str">
        <x:v>R-019</x:v>
      </x:c>
      <x:c r="B108" s="14" t="n">
        <x:f>IF(INDEX($B$192:$B$236,MATCH(A108,$A$192:$A$236,0))&lt;=0.1,1,IF(INDEX($B$192:$B$236,MATCH(A108,$A$192:$A$236,0))&lt;=0.3,2,IF(INDEX($B$192:$B$236,MATCH(A108,$A$192:$A$236,0))&lt;=0.5,3,IF(INDEX($B$192:$B$236,MATCH(A108,$A$192:$A$236,0))&lt;=0.7,4,5))))</x:f>
        <x:v>3</x:v>
      </x:c>
      <x:c r="C108" s="14" t="str">
        <x:v>Juicio de planificación: Rotación anual del 38 % y turno nocturno crítico. Subdocumento 3 3.A.4a y Subdocumento 9: usabilidad por perfil; T-18 entrenamiento por turno. Probabilidad inicial 45 %; residual objetivo 25 %, condicionado a Medir tiempo, pasos y errores según 3.A.4a con novatos en turno nocturno. No hay frecuencia histórica demostrada tras estos controles; validar con Patricio Henríquez.</x:v>
      </x:c>
      <x:c r="D108" s="14"/>
      <x:c r="E108" s="14"/>
      <x:c r="F108" s="14"/>
      <x:c r="G108" s="14"/>
    </x:row>
    <x:row r="109" ht="48" customHeight="1">
      <x:c r="A109" s="16" t="str">
        <x:v>R-020</x:v>
      </x:c>
      <x:c r="B109" s="16" t="n">
        <x:f>IF(INDEX($B$192:$B$236,MATCH(A109,$A$192:$A$236,0))&lt;=0.1,1,IF(INDEX($B$192:$B$236,MATCH(A109,$A$192:$A$236,0))&lt;=0.3,2,IF(INDEX($B$192:$B$236,MATCH(A109,$A$192:$A$236,0))&lt;=0.5,3,IF(INDEX($B$192:$B$236,MATCH(A109,$A$192:$A$236,0))&lt;=0.7,4,5))))</x:f>
        <x:v>3</x:v>
      </x:c>
      <x:c r="C109" s="16" t="str">
        <x:v>Juicio de planificación: Preventistas y conductores están en ruta de lunes a sábado. T-18: olas, acompañamiento en ruta y estabilización. Probabilidad inicial 35 %; residual objetivo 20 %, condicionado a Agenda aprobada, asistencia y prueba práctica individual por perfil. No hay frecuencia histórica demostrada tras estos controles; validar con Patricio Henríquez.</x:v>
      </x:c>
      <x:c r="D109" s="16"/>
      <x:c r="E109" s="16"/>
      <x:c r="F109" s="16"/>
      <x:c r="G109" s="16"/>
    </x:row>
    <x:row r="110" ht="48" customHeight="1">
      <x:c r="A110" s="14" t="str">
        <x:v>R-021</x:v>
      </x:c>
      <x:c r="B110" s="14" t="n">
        <x:f>IF(INDEX($B$192:$B$236,MATCH(A110,$A$192:$A$236,0))&lt;=0.1,1,IF(INDEX($B$192:$B$236,MATCH(A110,$A$192:$A$236,0))&lt;=0.3,2,IF(INDEX($B$192:$B$236,MATCH(A110,$A$192:$A$236,0))&lt;=0.5,3,IF(INDEX($B$192:$B$236,MATCH(A110,$A$192:$A$236,0))&lt;=0.7,4,5))))</x:f>
        <x:v>3</x:v>
      </x:c>
      <x:c r="C110" s="14" t="str">
        <x:v>Juicio de planificación: Las reglas residen en Hugo Maldonado, que se jubila en dos años. Subdocumento 4 M4 permite corrección; T-15 prevé captura de reglas. Probabilidad inicial 45 %; residual objetivo 20 %, condicionado a Repositorio aprobado y suplente planifica rutas sin ayuda, sin violar peso/puentes/ventanas. No hay frecuencia histórica demostrada tras estos controles; validar con Patricio Henríquez.</x:v>
      </x:c>
      <x:c r="D110" s="14"/>
      <x:c r="E110" s="14"/>
      <x:c r="F110" s="14"/>
      <x:c r="G110" s="14"/>
    </x:row>
    <x:row r="111" ht="48" customHeight="1">
      <x:c r="A111" s="16" t="str">
        <x:v>R-022</x:v>
      </x:c>
      <x:c r="B111" s="16" t="n">
        <x:f>IF(INDEX($B$192:$B$236,MATCH(A111,$A$192:$A$236,0))&lt;=0.1,1,IF(INDEX($B$192:$B$236,MATCH(A111,$A$192:$A$236,0))&lt;=0.3,2,IF(INDEX($B$192:$B$236,MATCH(A111,$A$192:$A$236,0))&lt;=0.5,3,IF(INDEX($B$192:$B$236,MATCH(A111,$A$192:$A$236,0))&lt;=0.7,4,5))))</x:f>
        <x:v>3</x:v>
      </x:c>
      <x:c r="C111" s="16" t="str">
        <x:v>Juicio de planificación: TI del cliente tiene cuatro personas y la operación no puede detenerse. Subdocumento 6 6.1: comités, escalamiento y registro de decisiones. Probabilidad inicial 50 %; residual objetivo 25 %, condicionado a Agenda y acuerdos escritos; ninguna aprobación tácita de aceptación contractual. No hay frecuencia histórica demostrada tras estos controles; validar con Alex Aravena.</x:v>
      </x:c>
      <x:c r="D111" s="16"/>
      <x:c r="E111" s="16"/>
      <x:c r="F111" s="16"/>
      <x:c r="G111" s="16"/>
    </x:row>
    <x:row r="112" ht="48" customHeight="1">
      <x:c r="A112" s="14" t="str">
        <x:v>R-023</x:v>
      </x:c>
      <x:c r="B112" s="14" t="n">
        <x:f>IF(INDEX($B$192:$B$236,MATCH(A112,$A$192:$A$236,0))&lt;=0.1,1,IF(INDEX($B$192:$B$236,MATCH(A112,$A$192:$A$236,0))&lt;=0.3,2,IF(INDEX($B$192:$B$236,MATCH(A112,$A$192:$A$236,0))&lt;=0.5,3,IF(INDEX($B$192:$B$236,MATCH(A112,$A$192:$A$236,0))&lt;=0.7,4,5))))</x:f>
        <x:v>2</x:v>
      </x:c>
      <x:c r="C112" s="14" t="str">
        <x:v>Juicio de planificación: Septiembre, diciembre y cierres mensuales restringen cambios. T-15 4–5 y T-18: calendario permitido y reversión. Probabilidad inicial 30 %; residual objetivo 10 %, condicionado a Calendario validado por contraparte y plan alternativo; emergencia requiere definición contractual. No hay frecuencia histórica demostrada tras estos controles; validar con Alex Aravena.</x:v>
      </x:c>
      <x:c r="D112" s="14"/>
      <x:c r="E112" s="14"/>
      <x:c r="F112" s="14"/>
      <x:c r="G112" s="14"/>
    </x:row>
    <x:row r="113" ht="48" customHeight="1">
      <x:c r="A113" s="16" t="str">
        <x:v>R-024</x:v>
      </x:c>
      <x:c r="B113" s="16" t="n">
        <x:f>IF(INDEX($B$192:$B$236,MATCH(A113,$A$192:$A$236,0))&lt;=0.1,1,IF(INDEX($B$192:$B$236,MATCH(A113,$A$192:$A$236,0))&lt;=0.3,2,IF(INDEX($B$192:$B$236,MATCH(A113,$A$192:$A$236,0))&lt;=0.5,3,IF(INDEX($B$192:$B$236,MATCH(A113,$A$192:$A$236,0))&lt;=0.7,4,5))))</x:f>
        <x:v>3</x:v>
      </x:c>
      <x:c r="C113" s="16" t="str">
        <x:v>Juicio de planificación: El cliente compra dispositivos de terreno y LafroX habilita la infraestructura. T-15 4.2/5: responsabilidades separadas y recepción 5.1.3. Probabilidad inicial 40 %; residual objetivo 20 %, condicionado a Orden y acta de muestra; préstamo o alternativa homologada no reduce población de prueba. No hay frecuencia histórica demostrada tras estos controles; validar con Bastián Trejo.</x:v>
      </x:c>
      <x:c r="D113" s="16"/>
      <x:c r="E113" s="16"/>
      <x:c r="F113" s="16"/>
      <x:c r="G113" s="16"/>
    </x:row>
    <x:row r="114" ht="48" customHeight="1">
      <x:c r="A114" s="14" t="str">
        <x:v>R-025</x:v>
      </x:c>
      <x:c r="B114" s="14" t="n">
        <x:f>IF(INDEX($B$192:$B$236,MATCH(A114,$A$192:$A$236,0))&lt;=0.1,1,IF(INDEX($B$192:$B$236,MATCH(A114,$A$192:$A$236,0))&lt;=0.3,2,IF(INDEX($B$192:$B$236,MATCH(A114,$A$192:$A$236,0))&lt;=0.5,3,IF(INDEX($B$192:$B$236,MATCH(A114,$A$192:$A$236,0))&lt;=0.7,4,5))))</x:f>
        <x:v>3</x:v>
      </x:c>
      <x:c r="C114" s="14" t="str">
        <x:v>Juicio de planificación: Construcción E2 coincide con marcha blanca E1 y hay líderes con varios roles. Subdocumento 1 1.5 y T-15 4.3: equipos y nivelación por rol. Probabilidad inicial 35 %; residual objetivo 20 %, condicionado a Cartas y calendario nominal; no sumar las HH de mitigación a capacidad inexistente. No hay frecuencia histórica demostrada tras estos controles; validar con Alex Aravena.</x:v>
      </x:c>
      <x:c r="D114" s="14"/>
      <x:c r="E114" s="14"/>
      <x:c r="F114" s="14"/>
      <x:c r="G114" s="14"/>
    </x:row>
    <x:row r="115" ht="48" customHeight="1">
      <x:c r="A115" s="16" t="str">
        <x:v>R-026</x:v>
      </x:c>
      <x:c r="B115" s="16" t="n">
        <x:f>IF(INDEX($B$192:$B$236,MATCH(A115,$A$192:$A$236,0))&lt;=0.1,1,IF(INDEX($B$192:$B$236,MATCH(A115,$A$192:$A$236,0))&lt;=0.3,2,IF(INDEX($B$192:$B$236,MATCH(A115,$A$192:$A$236,0))&lt;=0.5,3,IF(INDEX($B$192:$B$236,MATCH(A115,$A$192:$A$236,0))&lt;=0.7,4,5))))</x:f>
        <x:v>3</x:v>
      </x:c>
      <x:c r="C115" s="16" t="str">
        <x:v>Juicio de planificación: Hay seis condiciones copulativas de cierre y revisión contractual. Subdocumento 9 9.2 y T-17/T-18: puertas, criterios y evidencias. Probabilidad inicial 40 %; residual objetivo 25 %, condicionado a Checklist de seis condiciones con evidencia; ninguna firma ni prueba se presume. No hay frecuencia histórica demostrada tras estos controles; validar con Maximiliano Miño.</x:v>
      </x:c>
      <x:c r="D115" s="16"/>
      <x:c r="E115" s="16"/>
      <x:c r="F115" s="16"/>
      <x:c r="G115" s="16"/>
    </x:row>
    <x:row r="116" ht="48" customHeight="1">
      <x:c r="A116" s="14" t="str">
        <x:v>R-027</x:v>
      </x:c>
      <x:c r="B116" s="14" t="n">
        <x:f>IF(INDEX($B$192:$B$236,MATCH(A116,$A$192:$A$236,0))&lt;=0.1,1,IF(INDEX($B$192:$B$236,MATCH(A116,$A$192:$A$236,0))&lt;=0.3,2,IF(INDEX($B$192:$B$236,MATCH(A116,$A$192:$A$236,0))&lt;=0.5,3,IF(INDEX($B$192:$B$236,MATCH(A116,$A$192:$A$236,0))&lt;=0.7,4,5))))</x:f>
        <x:v>3</x:v>
      </x:c>
      <x:c r="C116" s="14" t="str">
        <x:v>Juicio de planificación: El caso contiene decisiones de diseño y sistemas excluidos con dependencias. Subdocumento 3 decisiones y exclusiones; Subdocumento 6 6.1.5 control de cambios. Probabilidad inicial 35 %; residual objetivo 20 %, condicionado a Registro de cambios, estimación y aprobación; exclusiones no eliminan integración obligatoria. No hay frecuencia histórica demostrada tras estos controles; validar con Alex Aravena.</x:v>
      </x:c>
      <x:c r="D116" s="14"/>
      <x:c r="E116" s="14"/>
      <x:c r="F116" s="14"/>
      <x:c r="G116" s="14"/>
    </x:row>
    <x:row r="117" ht="48" customHeight="1">
      <x:c r="A117" s="16" t="str">
        <x:v>R-028</x:v>
      </x:c>
      <x:c r="B117" s="16" t="n">
        <x:f>IF(INDEX($B$192:$B$236,MATCH(A117,$A$192:$A$236,0))&lt;=0.1,1,IF(INDEX($B$192:$B$236,MATCH(A117,$A$192:$A$236,0))&lt;=0.3,2,IF(INDEX($B$192:$B$236,MATCH(A117,$A$192:$A$236,0))&lt;=0.5,3,IF(INDEX($B$192:$B$236,MATCH(A117,$A$192:$A$236,0))&lt;=0.7,4,5))))</x:f>
        <x:v>2</x:v>
      </x:c>
      <x:c r="C117" s="16" t="str">
        <x:v>Juicio de planificación: 38 % del canal tradicional paga en efectivo y hay diferencias mensuales. Subdocumento 4 M7 y Subdocumento 5 5.1.8: rendición, segregación y conciliación. Probabilidad inicial 30 %; residual objetivo 15 %, condicionado a Cuadre por camión y turno el mismo día; importe externo no se incorpora como costo del proyecto. No hay frecuencia histórica demostrada tras estos controles; validar con Leandro Chamorro.</x:v>
      </x:c>
      <x:c r="D117" s="16"/>
      <x:c r="E117" s="16"/>
      <x:c r="F117" s="16"/>
      <x:c r="G117" s="16"/>
    </x:row>
    <x:row r="118" ht="48" customHeight="1">
      <x:c r="A118" s="14" t="str">
        <x:v>R-029</x:v>
      </x:c>
      <x:c r="B118" s="14" t="n">
        <x:f>IF(INDEX($B$192:$B$236,MATCH(A118,$A$192:$A$236,0))&lt;=0.1,1,IF(INDEX($B$192:$B$236,MATCH(A118,$A$192:$A$236,0))&lt;=0.3,2,IF(INDEX($B$192:$B$236,MATCH(A118,$A$192:$A$236,0))&lt;=0.5,3,IF(INDEX($B$192:$B$236,MATCH(A118,$A$192:$A$236,0))&lt;=0.7,4,5))))</x:f>
        <x:v>3</x:v>
      </x:c>
      <x:c r="C118" s="14" t="str">
        <x:v>Juicio de planificación: El ERP es único emisor y el receptor suele carecer de firma avanzada. Subdocumento 4 4.1.17 y Subdocumento 5: vínculo ERP, hash, certificado y firma por acto. Probabilidad inicial 35 %; residual objetivo 20 %, condicionado a Dictamen sobre el flujo y AL-DTE-01 aprobado; no equiparar firma simple y avanzada. No hay frecuencia histórica demostrada tras estos controles; validar con Bastián Trejo.</x:v>
      </x:c>
      <x:c r="D118" s="14"/>
      <x:c r="E118" s="14"/>
      <x:c r="F118" s="14"/>
      <x:c r="G118" s="14"/>
    </x:row>
    <x:row r="119" ht="48" customHeight="1">
      <x:c r="A119" s="16" t="str">
        <x:v>R-030</x:v>
      </x:c>
      <x:c r="B119" s="16" t="n">
        <x:f>IF(INDEX($B$192:$B$236,MATCH(A119,$A$192:$A$236,0))&lt;=0.1,1,IF(INDEX($B$192:$B$236,MATCH(A119,$A$192:$A$236,0))&lt;=0.3,2,IF(INDEX($B$192:$B$236,MATCH(A119,$A$192:$A$236,0))&lt;=0.5,3,IF(INDEX($B$192:$B$236,MATCH(A119,$A$192:$A$236,0))&lt;=0.7,4,5))))</x:f>
        <x:v>3</x:v>
      </x:c>
      <x:c r="C119" s="16" t="str">
        <x:v>Juicio de planificación: La cadena exige pedido electrónico, ASN, ventana y POD antes de enero de 2029. Subdocumento 4 M11/INT-08 y T-14 3.6.5–6: contratos y pruebas por cadena. Probabilidad inicial 50 %; residual objetivo 35 %, condicionado a Confirmación escrita de cadena y certificación completa antes del H12; dependencia externa mantiene zona alta. No hay frecuencia histórica demostrada tras estos controles; validar con Bastián Trejo.</x:v>
      </x:c>
      <x:c r="D119" s="16"/>
      <x:c r="E119" s="16"/>
      <x:c r="F119" s="16"/>
      <x:c r="G119" s="16"/>
    </x:row>
    <x:row r="120" ht="48" customHeight="1">
      <x:c r="A120" s="14" t="str">
        <x:v>R-031</x:v>
      </x:c>
      <x:c r="B120" s="14" t="n">
        <x:f>IF(INDEX($B$192:$B$236,MATCH(A120,$A$192:$A$236,0))&lt;=0.1,1,IF(INDEX($B$192:$B$236,MATCH(A120,$A$192:$A$236,0))&lt;=0.3,2,IF(INDEX($B$192:$B$236,MATCH(A120,$A$192:$A$236,0))&lt;=0.5,3,IF(INDEX($B$192:$B$236,MATCH(A120,$A$192:$A$236,0))&lt;=0.7,4,5))))</x:f>
        <x:v>3</x:v>
      </x:c>
      <x:c r="C120" s="14" t="str">
        <x:v>Juicio de planificación: El canal tradicional no usa siempre correo y proveedores no acreditan toda apertura. Subdocumento 4 INT-11 y Subdocumento 5 5.1.9: entrega/apertura diferenciadas y NO_SOPORTADA. Probabilidad inicial 35 %; residual objetivo 20 %, condicionado a Prueba de recepción antes de salida; SMS sin lectura informable no cuenta como abierto. No hay frecuencia histórica demostrada tras estos controles; validar con Tomás Pérez.</x:v>
      </x:c>
      <x:c r="D120" s="14"/>
      <x:c r="E120" s="14"/>
      <x:c r="F120" s="14"/>
      <x:c r="G120" s="14"/>
    </x:row>
    <x:row r="121" ht="48" customHeight="1">
      <x:c r="A121" s="16" t="str">
        <x:v>R-032</x:v>
      </x:c>
      <x:c r="B121" s="16" t="n">
        <x:f>IF(INDEX($B$192:$B$236,MATCH(A121,$A$192:$A$236,0))&lt;=0.1,1,IF(INDEX($B$192:$B$236,MATCH(A121,$A$192:$A$236,0))&lt;=0.3,2,IF(INDEX($B$192:$B$236,MATCH(A121,$A$192:$A$236,0))&lt;=0.5,3,IF(INDEX($B$192:$B$236,MATCH(A121,$A$192:$A$236,0))&lt;=0.7,4,5))))</x:f>
        <x:v>2</x:v>
      </x:c>
      <x:c r="C121" s="16" t="str">
        <x:v>Juicio de planificación: La solución usa servicios administrados y APIs con contratos propios. Subdocumento 4 anexos 4-O/4-P y plan de reversibilidad: componentes y alternativas. Probabilidad inicial 30 %; residual objetivo 15 %, condicionado a Ensayo reproducible, licencias y formatos declarados; costo de salida separado de EOL. No hay frecuencia histórica demostrada tras estos controles; validar con Bastián Trejo.</x:v>
      </x:c>
      <x:c r="D121" s="16"/>
      <x:c r="E121" s="16"/>
      <x:c r="F121" s="16"/>
      <x:c r="G121" s="16"/>
    </x:row>
    <x:row r="122" ht="48" customHeight="1">
      <x:c r="A122" s="14" t="str">
        <x:v>R-033</x:v>
      </x:c>
      <x:c r="B122" s="14" t="n">
        <x:f>IF(INDEX($B$192:$B$236,MATCH(A122,$A$192:$A$236,0))&lt;=0.1,1,IF(INDEX($B$192:$B$236,MATCH(A122,$A$192:$A$236,0))&lt;=0.3,2,IF(INDEX($B$192:$B$236,MATCH(A122,$A$192:$A$236,0))&lt;=0.5,3,IF(INDEX($B$192:$B$236,MATCH(A122,$A$192:$A$236,0))&lt;=0.7,4,5))))</x:f>
        <x:v>3</x:v>
      </x:c>
      <x:c r="C122" s="14" t="str">
        <x:v>Juicio de planificación: El contrato dura 56 meses y versiones/equipos tienen ciclos de soporte. Subdocumento 4 4-P y T-11: ciclo de vida y soporte de componentes. Probabilidad inicial 40 %; residual objetivo 20 %, condicionado a Ficha/versiones y calendario anual; presupuesto de reposición pendiente de tarifas. No hay frecuencia histórica demostrada tras estos controles; validar con Bastián Trejo.</x:v>
      </x:c>
      <x:c r="D122" s="14"/>
      <x:c r="E122" s="14"/>
      <x:c r="F122" s="14"/>
      <x:c r="G122" s="14"/>
    </x:row>
    <x:row r="123" ht="48" customHeight="1">
      <x:c r="A123" s="16" t="str">
        <x:v>R-034</x:v>
      </x:c>
      <x:c r="B123" s="16" t="n">
        <x:f>IF(INDEX($B$192:$B$236,MATCH(A123,$A$192:$A$236,0))&lt;=0.1,1,IF(INDEX($B$192:$B$236,MATCH(A123,$A$192:$A$236,0))&lt;=0.3,2,IF(INDEX($B$192:$B$236,MATCH(A123,$A$192:$A$236,0))&lt;=0.5,3,IF(INDEX($B$192:$B$236,MATCH(A123,$A$192:$A$236,0))&lt;=0.7,4,5))))</x:f>
        <x:v>2</x:v>
      </x:c>
      <x:c r="C123" s="16" t="str">
        <x:v>Juicio de planificación: Se requieren madrugada, peaks, seis sitios y traslados de hasta 340 km. Subdocumento 4 4-W y T-15: turnos, capacidad de mesa y tercer agente desde mes 25. Probabilidad inicial 30 %; residual objetivo 15 %, condicionado a Prueba de cola con 80 % antes de 20 s, abandono ≤5 % y guardia acreditada. No hay frecuencia histórica demostrada tras estos controles; validar con Guillermo Castillo.</x:v>
      </x:c>
      <x:c r="D123" s="16"/>
      <x:c r="E123" s="16"/>
      <x:c r="F123" s="16"/>
      <x:c r="G123" s="16"/>
    </x:row>
    <x:row r="124" ht="48" customHeight="1">
      <x:c r="A124" s="14" t="str">
        <x:v>R-035</x:v>
      </x:c>
      <x:c r="B124" s="14" t="n">
        <x:f>IF(INDEX($B$192:$B$236,MATCH(A124,$A$192:$A$236,0))&lt;=0.1,1,IF(INDEX($B$192:$B$236,MATCH(A124,$A$192:$A$236,0))&lt;=0.3,2,IF(INDEX($B$192:$B$236,MATCH(A124,$A$192:$A$236,0))&lt;=0.5,3,IF(INDEX($B$192:$B$236,MATCH(A124,$A$192:$A$236,0))&lt;=0.7,4,5))))</x:f>
        <x:v>3</x:v>
      </x:c>
      <x:c r="C124" s="14" t="str">
        <x:v>Juicio de planificación: Nube, mensajes, licencias y reposiciones tienen consumo y pago durante 56 meses. Subdocumento 4 FinOps y Subdocumento 6 adquisiciones: presupuesto y consumo etiquetado. Probabilidad inicial 40 %; residual objetivo 25 %, condicionado a Oferta económica y flujo de caja revisados; sin tarifas, severidad monetaria sigue pendiente. No hay frecuencia histórica demostrada tras estos controles; validar con Alex Aravena.</x:v>
      </x:c>
      <x:c r="D124" s="14"/>
      <x:c r="E124" s="14"/>
      <x:c r="F124" s="14"/>
      <x:c r="G124" s="14"/>
    </x:row>
    <x:row r="125" ht="48" customHeight="1">
      <x:c r="A125" s="16" t="str">
        <x:v>R-036</x:v>
      </x:c>
      <x:c r="B125" s="16" t="n">
        <x:f>IF(INDEX($B$192:$B$236,MATCH(A125,$A$192:$A$236,0))&lt;=0.1,1,IF(INDEX($B$192:$B$236,MATCH(A125,$A$192:$A$236,0))&lt;=0.3,2,IF(INDEX($B$192:$B$236,MATCH(A125,$A$192:$A$236,0))&lt;=0.5,3,IF(INDEX($B$192:$B$236,MATCH(A125,$A$192:$A$236,0))&lt;=0.7,4,5))))</x:f>
        <x:v>3</x:v>
      </x:c>
      <x:c r="C125" s="16" t="str">
        <x:v>Juicio de planificación: El inventario de góndola no pertenece al sistema de registro de Puelche. Subdocumento 13 13.1: visita del preventista y acciones autorizadas. Probabilidad inicial 40 %; residual objetivo 20 %, condicionado a Muestra de avisos confirmados, intervención autorizada e indicador INN-01 medido. No hay frecuencia histórica demostrada tras estos controles; validar con Patricio Henríquez.</x:v>
      </x:c>
      <x:c r="D125" s="16"/>
      <x:c r="E125" s="16"/>
      <x:c r="F125" s="16"/>
      <x:c r="G125" s="16"/>
    </x:row>
    <x:row r="126" ht="48" customHeight="1">
      <x:c r="A126" s="14" t="str">
        <x:v>R-037</x:v>
      </x:c>
      <x:c r="B126" s="14" t="n">
        <x:f>IF(INDEX($B$192:$B$236,MATCH(A126,$A$192:$A$236,0))&lt;=0.1,1,IF(INDEX($B$192:$B$236,MATCH(A126,$A$192:$A$236,0))&lt;=0.3,2,IF(INDEX($B$192:$B$236,MATCH(A126,$A$192:$A$236,0))&lt;=0.5,3,IF(INDEX($B$192:$B$236,MATCH(A126,$A$192:$A$236,0))&lt;=0.7,4,5))))</x:f>
        <x:v>3</x:v>
      </x:c>
      <x:c r="C126" s="14" t="str">
        <x:v>Juicio de planificación: Los fallos aparecen en condiciones de terreno difíciles de replicar. Subdocumento 13 13.2: escenario reproducible y validación antes de cierre. Probabilidad inicial 35 %; residual objetivo 20 %, condicionado a Escenario reproduce fallo, corrección lo elimina y datos sensibles están protegidos. No hay frecuencia histórica demostrada tras estos controles; validar con Tomás Pérez.</x:v>
      </x:c>
      <x:c r="D126" s="14"/>
      <x:c r="E126" s="14"/>
      <x:c r="F126" s="14"/>
      <x:c r="G126" s="14"/>
    </x:row>
    <x:row r="127" ht="48" customHeight="1">
      <x:c r="A127" s="16" t="str">
        <x:v>R-038</x:v>
      </x:c>
      <x:c r="B127" s="16" t="n">
        <x:f>IF(INDEX($B$192:$B$236,MATCH(A127,$A$192:$A$236,0))&lt;=0.1,1,IF(INDEX($B$192:$B$236,MATCH(A127,$A$192:$A$236,0))&lt;=0.3,2,IF(INDEX($B$192:$B$236,MATCH(A127,$A$192:$A$236,0))&lt;=0.5,3,IF(INDEX($B$192:$B$236,MATCH(A127,$A$192:$A$236,0))&lt;=0.7,4,5))))</x:f>
        <x:v>3</x:v>
      </x:c>
      <x:c r="C127" s="16" t="str">
        <x:v>Juicio de planificación: El modelo cinético depende de familia de producto e historia térmica completa. Subdocumento 13 13.3: modelo por familia y aprobación de Calidad; bloqueo base independiente. Probabilidad inicial 45 %; residual objetivo 20 %, condicionado a Validación de Calidad/proveedor; innovación nunca libera ni amplía vencimiento automáticamente. No hay frecuencia histórica demostrada tras estos controles; validar con Maximiliano Miño.</x:v>
      </x:c>
      <x:c r="D127" s="16"/>
      <x:c r="E127" s="16"/>
      <x:c r="F127" s="16"/>
      <x:c r="G127" s="16"/>
    </x:row>
    <x:row r="128" ht="48" customHeight="1">
      <x:c r="A128" s="14" t="str">
        <x:v>R-039</x:v>
      </x:c>
      <x:c r="B128" s="14" t="n">
        <x:f>IF(INDEX($B$192:$B$236,MATCH(A128,$A$192:$A$236,0))&lt;=0.1,1,IF(INDEX($B$192:$B$236,MATCH(A128,$A$192:$A$236,0))&lt;=0.3,2,IF(INDEX($B$192:$B$236,MATCH(A128,$A$192:$A$236,0))&lt;=0.5,3,IF(INDEX($B$192:$B$236,MATCH(A128,$A$192:$A$236,0))&lt;=0.7,4,5))))</x:f>
        <x:v>3</x:v>
      </x:c>
      <x:c r="C128" s="14" t="str">
        <x:v>Juicio de planificación: La mejora puede deberse a combustible, malla o mezcla de clientes y no al servicio. Subdocumento 13 13.4: canasta, techo y piso OTIF; tarifa mayormente fija. Probabilidad inicial 35 %; residual objetivo 20 %, condicionado a Contrato y cálculo auditables por Finanzas; tarifas y techo monetario pendientes. No hay frecuencia histórica demostrada tras estos controles; validar con Alex Aravena.</x:v>
      </x:c>
      <x:c r="D128" s="14"/>
      <x:c r="E128" s="14"/>
      <x:c r="F128" s="14"/>
      <x:c r="G128" s="14"/>
    </x:row>
    <x:row r="129" ht="48" customHeight="1">
      <x:c r="A129" s="16" t="str">
        <x:v>R-040</x:v>
      </x:c>
      <x:c r="B129" s="16" t="n">
        <x:f>IF(INDEX($B$192:$B$236,MATCH(A129,$A$192:$A$236,0))&lt;=0.1,1,IF(INDEX($B$192:$B$236,MATCH(A129,$A$192:$A$236,0))&lt;=0.3,2,IF(INDEX($B$192:$B$236,MATCH(A129,$A$192:$A$236,0))&lt;=0.5,3,IF(INDEX($B$192:$B$236,MATCH(A129,$A$192:$A$236,0))&lt;=0.7,4,5))))</x:f>
        <x:v>3</x:v>
      </x:c>
      <x:c r="C129" s="16" t="str">
        <x:v>Juicio de planificación: Hay baja alfabetización y agregados de negocios comparables. Subdocumento 13 13.5: visita, impresión opcional y supresión de celdas. Probabilidad inicial 40 %; residual objetivo 20 %, condicionado a Prueba de comprensión; revisión de privacidad y separación de copias pedidas/entregadas. No hay frecuencia histórica demostrada tras estos controles; validar con Patricio Henríquez.</x:v>
      </x:c>
      <x:c r="D129" s="16"/>
      <x:c r="E129" s="16"/>
      <x:c r="F129" s="16"/>
      <x:c r="G129" s="16"/>
    </x:row>
    <x:row r="130" ht="48" customHeight="1">
      <x:c r="A130" s="14" t="str">
        <x:v>R-041</x:v>
      </x:c>
      <x:c r="B130" s="14" t="n">
        <x:f>IF(INDEX($B$192:$B$236,MATCH(A130,$A$192:$A$236,0))&lt;=0.1,1,IF(INDEX($B$192:$B$236,MATCH(A130,$A$192:$A$236,0))&lt;=0.3,2,IF(INDEX($B$192:$B$236,MATCH(A130,$A$192:$A$236,0))&lt;=0.5,3,IF(INDEX($B$192:$B$236,MATCH(A130,$A$192:$A$236,0))&lt;=0.7,4,5))))</x:f>
        <x:v>2</x:v>
      </x:c>
      <x:c r="C130" s="14" t="str">
        <x:v>Juicio de planificación: El cliente tiene cuatro personas de TI y debe sostener o transferir el servicio. T-14 9.2 y Subdocumento 4 reversibilidad: acompañamiento de salida meses 54–56. Probabilidad inicial 30 %; residual objetivo 15 %, condicionado a Operador receptor ejecuta procedimiento con cuentas propias y exportación reconciliada. No hay frecuencia histórica demostrada tras estos controles; validar con Guillermo Castillo.</x:v>
      </x:c>
      <x:c r="D130" s="14"/>
      <x:c r="E130" s="14"/>
      <x:c r="F130" s="14"/>
      <x:c r="G130" s="14"/>
    </x:row>
    <x:row r="131" ht="48" customHeight="1">
      <x:c r="A131" s="16" t="str">
        <x:v>R-042</x:v>
      </x:c>
      <x:c r="B131" s="16" t="n">
        <x:f>IF(INDEX($B$192:$B$236,MATCH(A131,$A$192:$A$236,0))&lt;=0.1,1,IF(INDEX($B$192:$B$236,MATCH(A131,$A$192:$A$236,0))&lt;=0.3,2,IF(INDEX($B$192:$B$236,MATCH(A131,$A$192:$A$236,0))&lt;=0.5,3,IF(INDEX($B$192:$B$236,MATCH(A131,$A$192:$A$236,0))&lt;=0.7,4,5))))</x:f>
        <x:v>3</x:v>
      </x:c>
      <x:c r="C131" s="16" t="str">
        <x:v>Juicio de planificación: El contrato conserva documentos, ubicación y evidencia durante varios años. Subdocumento 5 5.2: retención por dominio, bloqueo legal y purga verificable. Probabilidad inicial 35 %; residual objetivo 20 %, condicionado a Matriz legal actualizada y ensayo de supresión sin reconstrucción; no se certifica legalidad con esta planilla. No hay frecuencia histórica demostrada tras estos controles; validar con Álvaro Catalán.</x:v>
      </x:c>
      <x:c r="D131" s="16"/>
      <x:c r="E131" s="16"/>
      <x:c r="F131" s="16"/>
      <x:c r="G131" s="16"/>
    </x:row>
    <x:row r="132" ht="48" customHeight="1">
      <x:c r="A132" s="14" t="str">
        <x:v>R-043</x:v>
      </x:c>
      <x:c r="B132" s="14" t="n">
        <x:f>IF(INDEX($B$192:$B$236,MATCH(A132,$A$192:$A$236,0))&lt;=0.1,1,IF(INDEX($B$192:$B$236,MATCH(A132,$A$192:$A$236,0))&lt;=0.3,2,IF(INDEX($B$192:$B$236,MATCH(A132,$A$192:$A$236,0))&lt;=0.5,3,IF(INDEX($B$192:$B$236,MATCH(A132,$A$192:$A$236,0))&lt;=0.7,4,5))))</x:f>
        <x:v>2</x:v>
      </x:c>
      <x:c r="C132" s="14" t="str">
        <x:v>Juicio de planificación: El POS depende de un tercero y el timeout no equivale a rechazo. Subdocumento 5 5.1.8: pago incierto, consulta externa y autorización segregada. Probabilidad inicial 30 %; residual objetivo 10 %, condicionado a Contrato POS y prueba de un solo cargo económico con correlación y devolución. No hay frecuencia histórica demostrada tras estos controles; validar con Leandro Chamorro.</x:v>
      </x:c>
      <x:c r="D132" s="14"/>
      <x:c r="E132" s="14"/>
      <x:c r="F132" s="14"/>
      <x:c r="G132" s="14"/>
    </x:row>
    <x:row r="133" ht="48" customHeight="1">
      <x:c r="A133" s="16" t="str">
        <x:v>R-044</x:v>
      </x:c>
      <x:c r="B133" s="16" t="n">
        <x:f>IF(INDEX($B$192:$B$236,MATCH(A133,$A$192:$A$236,0))&lt;=0.1,1,IF(INDEX($B$192:$B$236,MATCH(A133,$A$192:$A$236,0))&lt;=0.3,2,IF(INDEX($B$192:$B$236,MATCH(A133,$A$192:$A$236,0))&lt;=0.5,3,IF(INDEX($B$192:$B$236,MATCH(A133,$A$192:$A$236,0))&lt;=0.7,4,5))))</x:f>
        <x:v>2</x:v>
      </x:c>
      <x:c r="C133" s="16" t="str">
        <x:v>Juicio de planificación: Retornos en terreno y recepción local atraviesan varios registros. Subdocumento 4 M8 y Subdocumento 5 5.1: retornos, mermas y segregación de movimientos. Probabilidad inicial 30 %; residual objetivo 10 %, condicionado a Conciliación por cliente/tipo y lote; MERMA/DESTRUCCION no duplica costo. No hay frecuencia histórica demostrada tras estos controles; validar con Leandro Chamorro.</x:v>
      </x:c>
      <x:c r="D133" s="16"/>
      <x:c r="E133" s="16"/>
      <x:c r="F133" s="16"/>
      <x:c r="G133" s="16"/>
    </x:row>
    <x:row r="134" ht="48" customHeight="1">
      <x:c r="A134" s="14" t="str">
        <x:v>R-045</x:v>
      </x:c>
      <x:c r="B134" s="14" t="n">
        <x:f>IF(INDEX($B$192:$B$236,MATCH(A134,$A$192:$A$236,0))&lt;=0.1,1,IF(INDEX($B$192:$B$236,MATCH(A134,$A$192:$A$236,0))&lt;=0.3,2,IF(INDEX($B$192:$B$236,MATCH(A134,$A$192:$A$236,0))&lt;=0.5,3,IF(INDEX($B$192:$B$236,MATCH(A134,$A$192:$A$236,0))&lt;=0.7,4,5))))</x:f>
        <x:v>3</x:v>
      </x:c>
      <x:c r="C134" s="14" t="str">
        <x:v>Juicio de planificación: Direcciones, pesos y puentes no están plenamente formalizados. Subdocumento 4 M4/INT-10: mapas, caché y corrección del planificador. Probabilidad inicial 35 %; residual objetivo 15 %, condicionado a Catálogo de restricciones aprobado y planificación con corrección auditada, incluso sin señal. No hay frecuencia histórica demostrada tras estos controles; validar con Bastián Trejo.</x:v>
      </x:c>
      <x:c r="D134" s="14"/>
      <x:c r="E134" s="14"/>
      <x:c r="F134" s="14"/>
      <x:c r="G134" s="14"/>
    </x:row>
    <x:row r="135">
      <x:c r="A135" s="3"/>
      <x:c r="B135" s="3"/>
      <x:c r="C135" s="3"/>
      <x:c r="D135" s="3"/>
      <x:c r="E135" s="3"/>
      <x:c r="F135" s="3"/>
      <x:c r="G135" s="3"/>
    </x:row>
    <x:row r="136">
      <x:c r="A136" s="3"/>
      <x:c r="B136" s="3"/>
      <x:c r="C136" s="3"/>
      <x:c r="D136" s="3"/>
      <x:c r="E136" s="3"/>
      <x:c r="F136" s="3"/>
      <x:c r="G136" s="3"/>
    </x:row>
    <x:row r="137" ht="26" customHeight="1">
      <x:c r="A137" s="23" t="str">
        <x:v>4.2 · El impacto, riesgo por riesgo</x:v>
      </x:c>
      <x:c r="B137" s="23"/>
      <x:c r="C137" s="23"/>
      <x:c r="D137" s="23"/>
      <x:c r="E137" s="23"/>
      <x:c r="F137" s="23"/>
      <x:c r="G137" s="23"/>
    </x:row>
    <x:row r="138" ht="30" customHeight="1">
      <x:c r="A138" s="5" t="str">
        <x:v>Tres componentes en HH: retrabajo/recuperación, continuidad/soporte extraordinario y consecuencias externas administrativas.</x:v>
      </x:c>
      <x:c r="B138" s="5"/>
      <x:c r="C138" s="5"/>
      <x:c r="D138" s="5"/>
      <x:c r="E138" s="5"/>
      <x:c r="F138" s="5"/>
      <x:c r="G138" s="5"/>
    </x:row>
    <x:row r="139" ht="30" customHeight="1">
      <x:c r="A139" s="5" t="str">
        <x:v>La valorización en CLP está pendiente. Las pérdidas comerciales, sanciones y desembolsos externos no se suponen nulos.</x:v>
      </x:c>
      <x:c r="B139" s="5"/>
      <x:c r="C139" s="5"/>
      <x:c r="D139" s="5"/>
      <x:c r="E139" s="5"/>
      <x:c r="F139" s="5"/>
      <x:c r="G139" s="5"/>
    </x:row>
    <x:row r="140" ht="26" customHeight="1">
      <x:c r="A140" s="7" t="str">
        <x:v>Tabla 5 · Composición del impacto</x:v>
      </x:c>
      <x:c r="B140" s="7"/>
      <x:c r="C140" s="7"/>
      <x:c r="D140" s="7"/>
      <x:c r="E140" s="7"/>
      <x:c r="F140" s="7"/>
      <x:c r="G140" s="7"/>
    </x:row>
    <x:row r="141" ht="38" customHeight="1">
      <x:c r="A141" s="12" t="str">
        <x:v>ID</x:v>
      </x:c>
      <x:c r="B141" s="12" t="str">
        <x:v>Cómo se compone el impacto</x:v>
      </x:c>
      <x:c r="C141" s="12"/>
      <x:c r="D141" s="12"/>
      <x:c r="E141" s="12"/>
      <x:c r="F141" s="12" t="str">
        <x:v>Total</x:v>
      </x:c>
      <x:c r="G141" s="12"/>
    </x:row>
    <x:row r="142" ht="48" customHeight="1">
      <x:c r="A142" s="14" t="str">
        <x:v>R-001</x:v>
      </x:c>
      <x:c r="B142" s="14" t="str">
        <x:v>Recuperación: 2 personas × 10 días × HH_Dia. Soporte específico: 1 personas × 3 turnos × HH_Turno. Consecuencias externas: 0 HH administrativas adicionales identificadas; monto CLP pendiente. Tareas distintas, sin sumar soporte común ya presupuestado.</x:v>
      </x:c>
      <x:c r="C142" s="14"/>
      <x:c r="D142" s="14"/>
      <x:c r="E142" s="14"/>
      <x:c r="F142" s="25" t="n">
        <x:f>2*10*HH_Dia+1*3*HH_Turno</x:f>
        <x:v>152</x:v>
      </x:c>
      <x:c r="G142" s="14"/>
    </x:row>
    <x:row r="143" ht="48" customHeight="1">
      <x:c r="A143" s="16" t="str">
        <x:v>R-002</x:v>
      </x:c>
      <x:c r="B143" s="16" t="str">
        <x:v>Recuperación: 1 personas × 8 días × HH_Dia. Soporte específico: 1 personas × 2 turnos × HH_Turno. Consecuencias externas: 0 HH administrativas adicionales identificadas; monto CLP pendiente. Tareas distintas, sin sumar soporte común ya presupuestado.</x:v>
      </x:c>
      <x:c r="C143" s="16"/>
      <x:c r="D143" s="16"/>
      <x:c r="E143" s="16"/>
      <x:c r="F143" s="27" t="n">
        <x:f>1*8*HH_Dia+1*2*HH_Turno</x:f>
        <x:v>67.2</x:v>
      </x:c>
      <x:c r="G143" s="16"/>
    </x:row>
    <x:row r="144" ht="48" customHeight="1">
      <x:c r="A144" s="14" t="str">
        <x:v>R-003</x:v>
      </x:c>
      <x:c r="B144" s="14" t="str">
        <x:v>Recuperación: 3 personas × 8 días × HH_Dia. Soporte específico: 2 personas × 3 turnos × HH_Turno. Consecuencias externas: 0 HH administrativas adicionales identificadas; monto CLP pendiente. Tareas distintas, sin sumar soporte común ya presupuestado.</x:v>
      </x:c>
      <x:c r="C144" s="14"/>
      <x:c r="D144" s="14"/>
      <x:c r="E144" s="14"/>
      <x:c r="F144" s="25" t="n">
        <x:f>3*8*HH_Dia+2*3*HH_Turno</x:f>
        <x:v>201.60000000000002</x:v>
      </x:c>
      <x:c r="G144" s="14"/>
    </x:row>
    <x:row r="145" ht="48" customHeight="1">
      <x:c r="A145" s="16" t="str">
        <x:v>R-004</x:v>
      </x:c>
      <x:c r="B145" s="16" t="str">
        <x:v>Recuperación: 3 personas × 10 días × HH_Dia. Soporte específico: 1 personas × 4 turnos × HH_Turno. Consecuencias externas: 0 HH administrativas adicionales identificadas; monto CLP pendiente. Tareas distintas, sin sumar soporte común ya presupuestado.</x:v>
      </x:c>
      <x:c r="C145" s="16"/>
      <x:c r="D145" s="16"/>
      <x:c r="E145" s="16"/>
      <x:c r="F145" s="27" t="n">
        <x:f>3*10*HH_Dia+1*4*HH_Turno</x:f>
        <x:v>224</x:v>
      </x:c>
      <x:c r="G145" s="16"/>
    </x:row>
    <x:row r="146" ht="48" customHeight="1">
      <x:c r="A146" s="14" t="str">
        <x:v>R-005</x:v>
      </x:c>
      <x:c r="B146" s="14" t="str">
        <x:v>Recuperación: 3 personas × 5 días × HH_Dia. Soporte específico: 2 personas × 2 turnos × HH_Turno. Consecuencias externas: 0 HH administrativas adicionales identificadas; monto CLP pendiente. Tareas distintas, sin sumar soporte común ya presupuestado.</x:v>
      </x:c>
      <x:c r="C146" s="14"/>
      <x:c r="D146" s="14"/>
      <x:c r="E146" s="14"/>
      <x:c r="F146" s="25" t="n">
        <x:f>3*5*HH_Dia+2*2*HH_Turno</x:f>
        <x:v>128</x:v>
      </x:c>
      <x:c r="G146" s="14"/>
    </x:row>
    <x:row r="147" ht="48" customHeight="1">
      <x:c r="A147" s="16" t="str">
        <x:v>R-006</x:v>
      </x:c>
      <x:c r="B147" s="16" t="str">
        <x:v>Recuperación: 2 personas × 3 días × HH_Dia. Soporte específico: 2 personas × 2 turnos × HH_Turno. Consecuencias externas: 0 HH administrativas adicionales identificadas; monto CLP pendiente. Tareas distintas, sin sumar soporte común ya presupuestado.</x:v>
      </x:c>
      <x:c r="C147" s="16"/>
      <x:c r="D147" s="16"/>
      <x:c r="E147" s="16"/>
      <x:c r="F147" s="27" t="n">
        <x:f>2*3*HH_Dia+2*2*HH_Turno</x:f>
        <x:v>70.4</x:v>
      </x:c>
      <x:c r="G147" s="16"/>
    </x:row>
    <x:row r="148" ht="48" customHeight="1">
      <x:c r="A148" s="14" t="str">
        <x:v>R-007</x:v>
      </x:c>
      <x:c r="B148" s="14" t="str">
        <x:v>Recuperación: 2 personas × 5 días × HH_Dia. Soporte específico: 1 personas × 2 turnos × HH_Turno. Consecuencias externas: 0 HH administrativas adicionales identificadas; monto CLP pendiente. Tareas distintas, sin sumar soporte común ya presupuestado.</x:v>
      </x:c>
      <x:c r="C148" s="14"/>
      <x:c r="D148" s="14"/>
      <x:c r="E148" s="14"/>
      <x:c r="F148" s="25" t="n">
        <x:f>2*5*HH_Dia+1*2*HH_Turno</x:f>
        <x:v>80</x:v>
      </x:c>
      <x:c r="G148" s="14"/>
    </x:row>
    <x:row r="149" ht="48" customHeight="1">
      <x:c r="A149" s="16" t="str">
        <x:v>R-008</x:v>
      </x:c>
      <x:c r="B149" s="16" t="str">
        <x:v>Recuperación: 2 personas × 5 días × HH_Dia. Soporte específico: 1 personas × 2 turnos × HH_Turno. Consecuencias externas: 0 HH administrativas adicionales identificadas; monto CLP pendiente. Tareas distintas, sin sumar soporte común ya presupuestado.</x:v>
      </x:c>
      <x:c r="C149" s="16"/>
      <x:c r="D149" s="16"/>
      <x:c r="E149" s="16"/>
      <x:c r="F149" s="27" t="n">
        <x:f>2*5*HH_Dia+1*2*HH_Turno</x:f>
        <x:v>80</x:v>
      </x:c>
      <x:c r="G149" s="16"/>
    </x:row>
    <x:row r="150" ht="48" customHeight="1">
      <x:c r="A150" s="14" t="str">
        <x:v>R-009</x:v>
      </x:c>
      <x:c r="B150" s="14" t="str">
        <x:v>Recuperación: 2 personas × 4 días × HH_Dia. Soporte específico: 1 personas × 2 turnos × HH_Turno. Consecuencias externas: 0 HH administrativas adicionales identificadas; monto CLP pendiente. Tareas distintas, sin sumar soporte común ya presupuestado.</x:v>
      </x:c>
      <x:c r="C150" s="14"/>
      <x:c r="D150" s="14"/>
      <x:c r="E150" s="14"/>
      <x:c r="F150" s="25" t="n">
        <x:f>2*4*HH_Dia+1*2*HH_Turno</x:f>
        <x:v>67.2</x:v>
      </x:c>
      <x:c r="G150" s="14"/>
    </x:row>
    <x:row r="151" ht="48" customHeight="1">
      <x:c r="A151" s="16" t="str">
        <x:v>R-010</x:v>
      </x:c>
      <x:c r="B151" s="16" t="str">
        <x:v>Recuperación: 2 personas × 5 días × HH_Dia. Soporte específico: 1 personas × 3 turnos × HH_Turno. Consecuencias externas: 0 HH administrativas adicionales identificadas; monto CLP pendiente. Tareas distintas, sin sumar soporte común ya presupuestado.</x:v>
      </x:c>
      <x:c r="C151" s="16"/>
      <x:c r="D151" s="16"/>
      <x:c r="E151" s="16"/>
      <x:c r="F151" s="27" t="n">
        <x:f>2*5*HH_Dia+1*3*HH_Turno</x:f>
        <x:v>88</x:v>
      </x:c>
      <x:c r="G151" s="16"/>
    </x:row>
    <x:row r="152" ht="48" customHeight="1">
      <x:c r="A152" s="14" t="str">
        <x:v>R-011</x:v>
      </x:c>
      <x:c r="B152" s="14" t="str">
        <x:v>Recuperación: 2 personas × 5 días × HH_Dia. Soporte específico: 2 personas × 2 turnos × HH_Turno. Consecuencias externas: 0 HH administrativas adicionales identificadas; monto CLP pendiente. Tareas distintas, sin sumar soporte común ya presupuestado.</x:v>
      </x:c>
      <x:c r="C152" s="14"/>
      <x:c r="D152" s="14"/>
      <x:c r="E152" s="14"/>
      <x:c r="F152" s="25" t="n">
        <x:f>2*5*HH_Dia+2*2*HH_Turno</x:f>
        <x:v>96</x:v>
      </x:c>
      <x:c r="G152" s="14"/>
    </x:row>
    <x:row r="153" ht="48" customHeight="1">
      <x:c r="A153" s="16" t="str">
        <x:v>R-012</x:v>
      </x:c>
      <x:c r="B153" s="16" t="str">
        <x:v>Recuperación: 3 personas × 8 días × HH_Dia. Soporte específico: 2 personas × 3 turnos × HH_Turno. Consecuencias externas: 0 HH administrativas adicionales identificadas; monto CLP pendiente. Tareas distintas, sin sumar soporte común ya presupuestado.</x:v>
      </x:c>
      <x:c r="C153" s="16"/>
      <x:c r="D153" s="16"/>
      <x:c r="E153" s="16"/>
      <x:c r="F153" s="27" t="n">
        <x:f>3*8*HH_Dia+2*3*HH_Turno</x:f>
        <x:v>201.60000000000002</x:v>
      </x:c>
      <x:c r="G153" s="16"/>
    </x:row>
    <x:row r="154" ht="48" customHeight="1">
      <x:c r="A154" s="14" t="str">
        <x:v>R-013</x:v>
      </x:c>
      <x:c r="B154" s="14" t="str">
        <x:v>Recuperación: 3 personas × 3 días × HH_Dia. Soporte específico: 3 personas × 2 turnos × HH_Turno. Consecuencias externas: 0 HH administrativas adicionales identificadas; monto CLP pendiente. Tareas distintas, sin sumar soporte común ya presupuestado.</x:v>
      </x:c>
      <x:c r="C154" s="14"/>
      <x:c r="D154" s="14"/>
      <x:c r="E154" s="14"/>
      <x:c r="F154" s="25" t="n">
        <x:f>3*3*HH_Dia+3*2*HH_Turno</x:f>
        <x:v>105.6</x:v>
      </x:c>
      <x:c r="G154" s="14"/>
    </x:row>
    <x:row r="155" ht="48" customHeight="1">
      <x:c r="A155" s="16" t="str">
        <x:v>R-014</x:v>
      </x:c>
      <x:c r="B155" s="16" t="str">
        <x:v>Recuperación: 2 personas × 5 días × HH_Dia. Soporte específico: 2 personas × 2 turnos × HH_Turno. Consecuencias externas: 0 HH administrativas adicionales identificadas; monto CLP pendiente. Tareas distintas, sin sumar soporte común ya presupuestado.</x:v>
      </x:c>
      <x:c r="C155" s="16"/>
      <x:c r="D155" s="16"/>
      <x:c r="E155" s="16"/>
      <x:c r="F155" s="27" t="n">
        <x:f>2*5*HH_Dia+2*2*HH_Turno</x:f>
        <x:v>96</x:v>
      </x:c>
      <x:c r="G155" s="16"/>
    </x:row>
    <x:row r="156" ht="48" customHeight="1">
      <x:c r="A156" s="14" t="str">
        <x:v>R-015</x:v>
      </x:c>
      <x:c r="B156" s="14" t="str">
        <x:v>Recuperación: 3 personas × 8 días × HH_Dia. Soporte específico: 2 personas × 3 turnos × HH_Turno. Consecuencias externas: 0 HH administrativas adicionales identificadas; monto CLP pendiente. Tareas distintas, sin sumar soporte común ya presupuestado.</x:v>
      </x:c>
      <x:c r="C156" s="14"/>
      <x:c r="D156" s="14"/>
      <x:c r="E156" s="14"/>
      <x:c r="F156" s="25" t="n">
        <x:f>3*8*HH_Dia+2*3*HH_Turno</x:f>
        <x:v>201.60000000000002</x:v>
      </x:c>
      <x:c r="G156" s="14"/>
    </x:row>
    <x:row r="157" ht="48" customHeight="1">
      <x:c r="A157" s="16" t="str">
        <x:v>R-016</x:v>
      </x:c>
      <x:c r="B157" s="16" t="str">
        <x:v>Recuperación: 3 personas × 5 días × HH_Dia. Soporte específico: 2 personas × 3 turnos × HH_Turno. Consecuencias externas: 0 HH administrativas adicionales identificadas; monto CLP pendiente. Tareas distintas, sin sumar soporte común ya presupuestado.</x:v>
      </x:c>
      <x:c r="C157" s="16"/>
      <x:c r="D157" s="16"/>
      <x:c r="E157" s="16"/>
      <x:c r="F157" s="27" t="n">
        <x:f>3*5*HH_Dia+2*3*HH_Turno</x:f>
        <x:v>144</x:v>
      </x:c>
      <x:c r="G157" s="16"/>
    </x:row>
    <x:row r="158" ht="48" customHeight="1">
      <x:c r="A158" s="14" t="str">
        <x:v>R-017</x:v>
      </x:c>
      <x:c r="B158" s="14" t="str">
        <x:v>Recuperación: 2 personas × 8 días × HH_Dia. Soporte específico: 1 personas × 3 turnos × HH_Turno. Consecuencias externas: 0 HH administrativas adicionales identificadas; monto CLP pendiente. Tareas distintas, sin sumar soporte común ya presupuestado.</x:v>
      </x:c>
      <x:c r="C158" s="14"/>
      <x:c r="D158" s="14"/>
      <x:c r="E158" s="14"/>
      <x:c r="F158" s="25" t="n">
        <x:f>2*8*HH_Dia+1*3*HH_Turno</x:f>
        <x:v>126.4</x:v>
      </x:c>
      <x:c r="G158" s="14"/>
    </x:row>
    <x:row r="159" ht="48" customHeight="1">
      <x:c r="A159" s="16" t="str">
        <x:v>R-018</x:v>
      </x:c>
      <x:c r="B159" s="16" t="str">
        <x:v>Recuperación: 2 personas × 8 días × HH_Dia. Soporte específico: 2 personas × 3 turnos × HH_Turno. Consecuencias externas: 0 HH administrativas adicionales identificadas; monto CLP pendiente. Tareas distintas, sin sumar soporte común ya presupuestado.</x:v>
      </x:c>
      <x:c r="C159" s="16"/>
      <x:c r="D159" s="16"/>
      <x:c r="E159" s="16"/>
      <x:c r="F159" s="27" t="n">
        <x:f>2*8*HH_Dia+2*3*HH_Turno</x:f>
        <x:v>150.4</x:v>
      </x:c>
      <x:c r="G159" s="16"/>
    </x:row>
    <x:row r="160" ht="48" customHeight="1">
      <x:c r="A160" s="14" t="str">
        <x:v>R-019</x:v>
      </x:c>
      <x:c r="B160" s="14" t="str">
        <x:v>Recuperación: 2 personas × 6 días × HH_Dia. Soporte específico: 3 personas × 3 turnos × HH_Turno. Consecuencias externas: 0 HH administrativas adicionales identificadas; monto CLP pendiente. Tareas distintas, sin sumar soporte común ya presupuestado.</x:v>
      </x:c>
      <x:c r="C160" s="14"/>
      <x:c r="D160" s="14"/>
      <x:c r="E160" s="14"/>
      <x:c r="F160" s="25" t="n">
        <x:f>2*6*HH_Dia+3*3*HH_Turno</x:f>
        <x:v>148.8</x:v>
      </x:c>
      <x:c r="G160" s="14"/>
    </x:row>
    <x:row r="161" ht="48" customHeight="1">
      <x:c r="A161" s="16" t="str">
        <x:v>R-020</x:v>
      </x:c>
      <x:c r="B161" s="16" t="str">
        <x:v>Recuperación: 2 personas × 5 días × HH_Dia. Soporte específico: 2 personas × 3 turnos × HH_Turno. Consecuencias externas: 0 HH administrativas adicionales identificadas; monto CLP pendiente. Tareas distintas, sin sumar soporte común ya presupuestado.</x:v>
      </x:c>
      <x:c r="C161" s="16"/>
      <x:c r="D161" s="16"/>
      <x:c r="E161" s="16"/>
      <x:c r="F161" s="27" t="n">
        <x:f>2*5*HH_Dia+2*3*HH_Turno</x:f>
        <x:v>112</x:v>
      </x:c>
      <x:c r="G161" s="16"/>
    </x:row>
    <x:row r="162" ht="48" customHeight="1">
      <x:c r="A162" s="14" t="str">
        <x:v>R-021</x:v>
      </x:c>
      <x:c r="B162" s="14" t="str">
        <x:v>Recuperación: 2 personas × 10 días × HH_Dia. Soporte específico: 1 personas × 3 turnos × HH_Turno. Consecuencias externas: 0 HH administrativas adicionales identificadas; monto CLP pendiente. Tareas distintas, sin sumar soporte común ya presupuestado.</x:v>
      </x:c>
      <x:c r="C162" s="14"/>
      <x:c r="D162" s="14"/>
      <x:c r="E162" s="14"/>
      <x:c r="F162" s="25" t="n">
        <x:f>2*10*HH_Dia+1*3*HH_Turno</x:f>
        <x:v>152</x:v>
      </x:c>
      <x:c r="G162" s="14"/>
    </x:row>
    <x:row r="163" ht="48" customHeight="1">
      <x:c r="A163" s="16" t="str">
        <x:v>R-022</x:v>
      </x:c>
      <x:c r="B163" s="16" t="str">
        <x:v>Recuperación: 2 personas × 8 días × HH_Dia. Soporte específico: 1 personas × 2 turnos × HH_Turno. Consecuencias externas: 0 HH administrativas adicionales identificadas; monto CLP pendiente. Tareas distintas, sin sumar soporte común ya presupuestado.</x:v>
      </x:c>
      <x:c r="C163" s="16"/>
      <x:c r="D163" s="16"/>
      <x:c r="E163" s="16"/>
      <x:c r="F163" s="27" t="n">
        <x:f>2*8*HH_Dia+1*2*HH_Turno</x:f>
        <x:v>118.4</x:v>
      </x:c>
      <x:c r="G163" s="16"/>
    </x:row>
    <x:row r="164" ht="48" customHeight="1">
      <x:c r="A164" s="14" t="str">
        <x:v>R-023</x:v>
      </x:c>
      <x:c r="B164" s="14" t="str">
        <x:v>Recuperación: 2 personas × 5 días × HH_Dia. Soporte específico: 1 personas × 3 turnos × HH_Turno. Consecuencias externas: 0 HH administrativas adicionales identificadas; monto CLP pendiente. Tareas distintas, sin sumar soporte común ya presupuestado.</x:v>
      </x:c>
      <x:c r="C164" s="14"/>
      <x:c r="D164" s="14"/>
      <x:c r="E164" s="14"/>
      <x:c r="F164" s="25" t="n">
        <x:f>2*5*HH_Dia+1*3*HH_Turno</x:f>
        <x:v>88</x:v>
      </x:c>
      <x:c r="G164" s="14"/>
    </x:row>
    <x:row r="165" ht="48" customHeight="1">
      <x:c r="A165" s="16" t="str">
        <x:v>R-024</x:v>
      </x:c>
      <x:c r="B165" s="16" t="str">
        <x:v>Recuperación: 2 personas × 8 días × HH_Dia. Soporte específico: 1 personas × 3 turnos × HH_Turno. Consecuencias externas: 0 HH administrativas adicionales identificadas; monto CLP pendiente. Tareas distintas, sin sumar soporte común ya presupuestado.</x:v>
      </x:c>
      <x:c r="C165" s="16"/>
      <x:c r="D165" s="16"/>
      <x:c r="E165" s="16"/>
      <x:c r="F165" s="27" t="n">
        <x:f>2*8*HH_Dia+1*3*HH_Turno</x:f>
        <x:v>126.4</x:v>
      </x:c>
      <x:c r="G165" s="16"/>
    </x:row>
    <x:row r="166" ht="48" customHeight="1">
      <x:c r="A166" s="14" t="str">
        <x:v>R-025</x:v>
      </x:c>
      <x:c r="B166" s="14" t="str">
        <x:v>Recuperación: 3 personas × 8 días × HH_Dia. Soporte específico: 1 personas × 3 turnos × HH_Turno. Consecuencias externas: 0 HH administrativas adicionales identificadas; monto CLP pendiente. Tareas distintas, sin sumar soporte común ya presupuestado.</x:v>
      </x:c>
      <x:c r="C166" s="14"/>
      <x:c r="D166" s="14"/>
      <x:c r="E166" s="14"/>
      <x:c r="F166" s="25" t="n">
        <x:f>3*8*HH_Dia+1*3*HH_Turno</x:f>
        <x:v>177.60000000000002</x:v>
      </x:c>
      <x:c r="G166" s="14"/>
    </x:row>
    <x:row r="167" ht="48" customHeight="1">
      <x:c r="A167" s="16" t="str">
        <x:v>R-026</x:v>
      </x:c>
      <x:c r="B167" s="16" t="str">
        <x:v>Recuperación: 3 personas × 8 días × HH_Dia. Soporte específico: 2 personas × 3 turnos × HH_Turno. Consecuencias externas: 0 HH administrativas adicionales identificadas; monto CLP pendiente. Tareas distintas, sin sumar soporte común ya presupuestado.</x:v>
      </x:c>
      <x:c r="C167" s="16"/>
      <x:c r="D167" s="16"/>
      <x:c r="E167" s="16"/>
      <x:c r="F167" s="27" t="n">
        <x:f>3*8*HH_Dia+2*3*HH_Turno</x:f>
        <x:v>201.60000000000002</x:v>
      </x:c>
      <x:c r="G167" s="16"/>
    </x:row>
    <x:row r="168" ht="48" customHeight="1">
      <x:c r="A168" s="14" t="str">
        <x:v>R-027</x:v>
      </x:c>
      <x:c r="B168" s="14" t="str">
        <x:v>Recuperación: 2 personas × 5 días × HH_Dia. Soporte específico: 1 personas × 2 turnos × HH_Turno. Consecuencias externas: 0 HH administrativas adicionales identificadas; monto CLP pendiente. Tareas distintas, sin sumar soporte común ya presupuestado.</x:v>
      </x:c>
      <x:c r="C168" s="14"/>
      <x:c r="D168" s="14"/>
      <x:c r="E168" s="14"/>
      <x:c r="F168" s="25" t="n">
        <x:f>2*5*HH_Dia+1*2*HH_Turno</x:f>
        <x:v>80</x:v>
      </x:c>
      <x:c r="G168" s="14"/>
    </x:row>
    <x:row r="169" ht="48" customHeight="1">
      <x:c r="A169" s="16" t="str">
        <x:v>R-028</x:v>
      </x:c>
      <x:c r="B169" s="16" t="str">
        <x:v>Recuperación: 2 personas × 6 días × HH_Dia. Soporte específico: 2 personas × 2 turnos × HH_Turno. Consecuencias externas: 0 HH administrativas adicionales identificadas; monto CLP pendiente. Tareas distintas, sin sumar soporte común ya presupuestado.</x:v>
      </x:c>
      <x:c r="C169" s="16"/>
      <x:c r="D169" s="16"/>
      <x:c r="E169" s="16"/>
      <x:c r="F169" s="27" t="n">
        <x:f>2*6*HH_Dia+2*2*HH_Turno</x:f>
        <x:v>108.80000000000001</x:v>
      </x:c>
      <x:c r="G169" s="16"/>
    </x:row>
    <x:row r="170" ht="48" customHeight="1">
      <x:c r="A170" s="14" t="str">
        <x:v>R-029</x:v>
      </x:c>
      <x:c r="B170" s="14" t="str">
        <x:v>Recuperación: 2 personas × 8 días × HH_Dia. Soporte específico: 1 personas × 3 turnos × HH_Turno. Consecuencias externas: 0 HH administrativas adicionales identificadas; monto CLP pendiente. Tareas distintas, sin sumar soporte común ya presupuestado.</x:v>
      </x:c>
      <x:c r="C170" s="14"/>
      <x:c r="D170" s="14"/>
      <x:c r="E170" s="14"/>
      <x:c r="F170" s="25" t="n">
        <x:f>2*8*HH_Dia+1*3*HH_Turno</x:f>
        <x:v>126.4</x:v>
      </x:c>
      <x:c r="G170" s="14"/>
    </x:row>
    <x:row r="171" ht="48" customHeight="1">
      <x:c r="A171" s="16" t="str">
        <x:v>R-030</x:v>
      </x:c>
      <x:c r="B171" s="16" t="str">
        <x:v>Recuperación: 3 personas × 10 días × HH_Dia. Soporte específico: 1 personas × 5 turnos × HH_Turno. Consecuencias externas: 0 HH administrativas adicionales identificadas; monto CLP pendiente. Tareas distintas, sin sumar soporte común ya presupuestado.</x:v>
      </x:c>
      <x:c r="C171" s="16"/>
      <x:c r="D171" s="16"/>
      <x:c r="E171" s="16"/>
      <x:c r="F171" s="27" t="n">
        <x:f>3*10*HH_Dia+1*5*HH_Turno</x:f>
        <x:v>232</x:v>
      </x:c>
      <x:c r="G171" s="16"/>
    </x:row>
    <x:row r="172" ht="48" customHeight="1">
      <x:c r="A172" s="14" t="str">
        <x:v>R-031</x:v>
      </x:c>
      <x:c r="B172" s="14" t="str">
        <x:v>Recuperación: 2 personas × 5 días × HH_Dia. Soporte específico: 1 personas × 2 turnos × HH_Turno. Consecuencias externas: 0 HH administrativas adicionales identificadas; monto CLP pendiente. Tareas distintas, sin sumar soporte común ya presupuestado.</x:v>
      </x:c>
      <x:c r="C172" s="14"/>
      <x:c r="D172" s="14"/>
      <x:c r="E172" s="14"/>
      <x:c r="F172" s="25" t="n">
        <x:f>2*5*HH_Dia+1*2*HH_Turno</x:f>
        <x:v>80</x:v>
      </x:c>
      <x:c r="G172" s="14"/>
    </x:row>
    <x:row r="173" ht="48" customHeight="1">
      <x:c r="A173" s="16" t="str">
        <x:v>R-032</x:v>
      </x:c>
      <x:c r="B173" s="16" t="str">
        <x:v>Recuperación: 2 personas × 10 días × HH_Dia. Soporte específico: 1 personas × 3 turnos × HH_Turno. Consecuencias externas: 0 HH administrativas adicionales identificadas; monto CLP pendiente. Tareas distintas, sin sumar soporte común ya presupuestado.</x:v>
      </x:c>
      <x:c r="C173" s="16"/>
      <x:c r="D173" s="16"/>
      <x:c r="E173" s="16"/>
      <x:c r="F173" s="27" t="n">
        <x:f>2*10*HH_Dia+1*3*HH_Turno</x:f>
        <x:v>152</x:v>
      </x:c>
      <x:c r="G173" s="16"/>
    </x:row>
    <x:row r="174" ht="48" customHeight="1">
      <x:c r="A174" s="14" t="str">
        <x:v>R-033</x:v>
      </x:c>
      <x:c r="B174" s="14" t="str">
        <x:v>Recuperación: 2 personas × 8 días × HH_Dia. Soporte específico: 1 personas × 3 turnos × HH_Turno. Consecuencias externas: 0 HH administrativas adicionales identificadas; monto CLP pendiente. Tareas distintas, sin sumar soporte común ya presupuestado.</x:v>
      </x:c>
      <x:c r="C174" s="14"/>
      <x:c r="D174" s="14"/>
      <x:c r="E174" s="14"/>
      <x:c r="F174" s="25" t="n">
        <x:f>2*8*HH_Dia+1*3*HH_Turno</x:f>
        <x:v>126.4</x:v>
      </x:c>
      <x:c r="G174" s="14"/>
    </x:row>
    <x:row r="175" ht="48" customHeight="1">
      <x:c r="A175" s="16" t="str">
        <x:v>R-034</x:v>
      </x:c>
      <x:c r="B175" s="16" t="str">
        <x:v>Recuperación: 2 personas × 5 días × HH_Dia. Soporte específico: 3 personas × 3 turnos × HH_Turno. Consecuencias externas: 0 HH administrativas adicionales identificadas; monto CLP pendiente. Tareas distintas, sin sumar soporte común ya presupuestado.</x:v>
      </x:c>
      <x:c r="C175" s="16"/>
      <x:c r="D175" s="16"/>
      <x:c r="E175" s="16"/>
      <x:c r="F175" s="27" t="n">
        <x:f>2*5*HH_Dia+3*3*HH_Turno</x:f>
        <x:v>136</x:v>
      </x:c>
      <x:c r="G175" s="16"/>
    </x:row>
    <x:row r="176" ht="48" customHeight="1">
      <x:c r="A176" s="14" t="str">
        <x:v>R-035</x:v>
      </x:c>
      <x:c r="B176" s="14" t="str">
        <x:v>Recuperación: 1 personas × 10 días × HH_Dia. Soporte específico: 1 personas × 3 turnos × HH_Turno. Consecuencias externas: 0 HH administrativas adicionales identificadas; monto CLP pendiente. Tareas distintas, sin sumar soporte común ya presupuestado.</x:v>
      </x:c>
      <x:c r="C176" s="14"/>
      <x:c r="D176" s="14"/>
      <x:c r="E176" s="14"/>
      <x:c r="F176" s="25" t="n">
        <x:f>1*10*HH_Dia+1*3*HH_Turno</x:f>
        <x:v>88</x:v>
      </x:c>
      <x:c r="G176" s="14"/>
    </x:row>
    <x:row r="177" ht="48" customHeight="1">
      <x:c r="A177" s="16" t="str">
        <x:v>R-036</x:v>
      </x:c>
      <x:c r="B177" s="16" t="str">
        <x:v>Recuperación: 2 personas × 5 días × HH_Dia. Soporte específico: 1 personas × 2 turnos × HH_Turno. Consecuencias externas: 0 HH administrativas adicionales identificadas; monto CLP pendiente. Tareas distintas, sin sumar soporte común ya presupuestado.</x:v>
      </x:c>
      <x:c r="C177" s="16"/>
      <x:c r="D177" s="16"/>
      <x:c r="E177" s="16"/>
      <x:c r="F177" s="27" t="n">
        <x:f>2*5*HH_Dia+1*2*HH_Turno</x:f>
        <x:v>80</x:v>
      </x:c>
      <x:c r="G177" s="16"/>
    </x:row>
    <x:row r="178" ht="48" customHeight="1">
      <x:c r="A178" s="14" t="str">
        <x:v>R-037</x:v>
      </x:c>
      <x:c r="B178" s="14" t="str">
        <x:v>Recuperación: 2 personas × 5 días × HH_Dia. Soporte específico: 1 personas × 2 turnos × HH_Turno. Consecuencias externas: 0 HH administrativas adicionales identificadas; monto CLP pendiente. Tareas distintas, sin sumar soporte común ya presupuestado.</x:v>
      </x:c>
      <x:c r="C178" s="14"/>
      <x:c r="D178" s="14"/>
      <x:c r="E178" s="14"/>
      <x:c r="F178" s="25" t="n">
        <x:f>2*5*HH_Dia+1*2*HH_Turno</x:f>
        <x:v>80</x:v>
      </x:c>
      <x:c r="G178" s="14"/>
    </x:row>
    <x:row r="179" ht="48" customHeight="1">
      <x:c r="A179" s="16" t="str">
        <x:v>R-038</x:v>
      </x:c>
      <x:c r="B179" s="16" t="str">
        <x:v>Recuperación: 2 personas × 10 días × HH_Dia. Soporte específico: 1 personas × 3 turnos × HH_Turno. Consecuencias externas: 0 HH administrativas adicionales identificadas; monto CLP pendiente. Tareas distintas, sin sumar soporte común ya presupuestado.</x:v>
      </x:c>
      <x:c r="C179" s="16"/>
      <x:c r="D179" s="16"/>
      <x:c r="E179" s="16"/>
      <x:c r="F179" s="27" t="n">
        <x:f>2*10*HH_Dia+1*3*HH_Turno</x:f>
        <x:v>152</x:v>
      </x:c>
      <x:c r="G179" s="16"/>
    </x:row>
    <x:row r="180" ht="48" customHeight="1">
      <x:c r="A180" s="14" t="str">
        <x:v>R-039</x:v>
      </x:c>
      <x:c r="B180" s="14" t="str">
        <x:v>Recuperación: 1 personas × 8 días × HH_Dia. Soporte específico: 1 personas × 2 turnos × HH_Turno. Consecuencias externas: 0 HH administrativas adicionales identificadas; monto CLP pendiente. Tareas distintas, sin sumar soporte común ya presupuestado.</x:v>
      </x:c>
      <x:c r="C180" s="14"/>
      <x:c r="D180" s="14"/>
      <x:c r="E180" s="14"/>
      <x:c r="F180" s="25" t="n">
        <x:f>1*8*HH_Dia+1*2*HH_Turno</x:f>
        <x:v>67.2</x:v>
      </x:c>
      <x:c r="G180" s="14"/>
    </x:row>
    <x:row r="181" ht="48" customHeight="1">
      <x:c r="A181" s="16" t="str">
        <x:v>R-040</x:v>
      </x:c>
      <x:c r="B181" s="16" t="str">
        <x:v>Recuperación: 2 personas × 6 días × HH_Dia. Soporte específico: 1 personas × 2 turnos × HH_Turno. Consecuencias externas: 0 HH administrativas adicionales identificadas; monto CLP pendiente. Tareas distintas, sin sumar soporte común ya presupuestado.</x:v>
      </x:c>
      <x:c r="C181" s="16"/>
      <x:c r="D181" s="16"/>
      <x:c r="E181" s="16"/>
      <x:c r="F181" s="27" t="n">
        <x:f>2*6*HH_Dia+1*2*HH_Turno</x:f>
        <x:v>92.80000000000001</x:v>
      </x:c>
      <x:c r="G181" s="16"/>
    </x:row>
    <x:row r="182" ht="48" customHeight="1">
      <x:c r="A182" s="14" t="str">
        <x:v>R-041</x:v>
      </x:c>
      <x:c r="B182" s="14" t="str">
        <x:v>Recuperación: 2 personas × 10 días × HH_Dia. Soporte específico: 2 personas × 3 turnos × HH_Turno. Consecuencias externas: 0 HH administrativas adicionales identificadas; monto CLP pendiente. Tareas distintas, sin sumar soporte común ya presupuestado.</x:v>
      </x:c>
      <x:c r="C182" s="14"/>
      <x:c r="D182" s="14"/>
      <x:c r="E182" s="14"/>
      <x:c r="F182" s="25" t="n">
        <x:f>2*10*HH_Dia+2*3*HH_Turno</x:f>
        <x:v>176</x:v>
      </x:c>
      <x:c r="G182" s="14"/>
    </x:row>
    <x:row r="183" ht="48" customHeight="1">
      <x:c r="A183" s="16" t="str">
        <x:v>R-042</x:v>
      </x:c>
      <x:c r="B183" s="16" t="str">
        <x:v>Recuperación: 2 personas × 8 días × HH_Dia. Soporte específico: 1 personas × 3 turnos × HH_Turno. Consecuencias externas: 0 HH administrativas adicionales identificadas; monto CLP pendiente. Tareas distintas, sin sumar soporte común ya presupuestado.</x:v>
      </x:c>
      <x:c r="C183" s="16"/>
      <x:c r="D183" s="16"/>
      <x:c r="E183" s="16"/>
      <x:c r="F183" s="27" t="n">
        <x:f>2*8*HH_Dia+1*3*HH_Turno</x:f>
        <x:v>126.4</x:v>
      </x:c>
      <x:c r="G183" s="16"/>
    </x:row>
    <x:row r="184" ht="48" customHeight="1">
      <x:c r="A184" s="14" t="str">
        <x:v>R-043</x:v>
      </x:c>
      <x:c r="B184" s="14" t="str">
        <x:v>Recuperación: 2 personas × 5 días × HH_Dia. Soporte específico: 1 personas × 3 turnos × HH_Turno. Consecuencias externas: 0 HH administrativas adicionales identificadas; monto CLP pendiente. Tareas distintas, sin sumar soporte común ya presupuestado.</x:v>
      </x:c>
      <x:c r="C184" s="14"/>
      <x:c r="D184" s="14"/>
      <x:c r="E184" s="14"/>
      <x:c r="F184" s="25" t="n">
        <x:f>2*5*HH_Dia+1*3*HH_Turno</x:f>
        <x:v>88</x:v>
      </x:c>
      <x:c r="G184" s="14"/>
    </x:row>
    <x:row r="185" ht="48" customHeight="1">
      <x:c r="A185" s="16" t="str">
        <x:v>R-044</x:v>
      </x:c>
      <x:c r="B185" s="16" t="str">
        <x:v>Recuperación: 2 personas × 5 días × HH_Dia. Soporte específico: 1 personas × 3 turnos × HH_Turno. Consecuencias externas: 0 HH administrativas adicionales identificadas; monto CLP pendiente. Tareas distintas, sin sumar soporte común ya presupuestado.</x:v>
      </x:c>
      <x:c r="C185" s="16"/>
      <x:c r="D185" s="16"/>
      <x:c r="E185" s="16"/>
      <x:c r="F185" s="27" t="n">
        <x:f>2*5*HH_Dia+1*3*HH_Turno</x:f>
        <x:v>88</x:v>
      </x:c>
      <x:c r="G185" s="16"/>
    </x:row>
    <x:row r="186" ht="48" customHeight="1">
      <x:c r="A186" s="14" t="str">
        <x:v>R-045</x:v>
      </x:c>
      <x:c r="B186" s="14" t="str">
        <x:v>Recuperación: 2 personas × 6 días × HH_Dia. Soporte específico: 1 personas × 3 turnos × HH_Turno. Consecuencias externas: 0 HH administrativas adicionales identificadas; monto CLP pendiente. Tareas distintas, sin sumar soporte común ya presupuestado.</x:v>
      </x:c>
      <x:c r="C186" s="14"/>
      <x:c r="D186" s="14"/>
      <x:c r="E186" s="14"/>
      <x:c r="F186" s="25" t="n">
        <x:f>2*6*HH_Dia+1*3*HH_Turno</x:f>
        <x:v>100.80000000000001</x:v>
      </x:c>
      <x:c r="G186" s="14"/>
    </x:row>
    <x:row r="187">
      <x:c r="A187" s="3"/>
      <x:c r="B187" s="3"/>
      <x:c r="C187" s="3"/>
      <x:c r="D187" s="3"/>
      <x:c r="E187" s="3"/>
      <x:c r="F187" s="3"/>
      <x:c r="G187" s="3"/>
    </x:row>
    <x:row r="188">
      <x:c r="A188" s="3"/>
      <x:c r="B188" s="3"/>
      <x:c r="C188" s="3"/>
      <x:c r="D188" s="3"/>
      <x:c r="E188" s="3"/>
      <x:c r="F188" s="3"/>
      <x:c r="G188" s="3"/>
    </x:row>
    <x:row r="189" ht="26" customHeight="1">
      <x:c r="A189" s="23" t="str">
        <x:v>4.3 · El registro cuantificado</x:v>
      </x:c>
      <x:c r="B189" s="23"/>
      <x:c r="C189" s="23"/>
      <x:c r="D189" s="23"/>
      <x:c r="E189" s="23"/>
      <x:c r="F189" s="23"/>
      <x:c r="G189" s="23"/>
    </x:row>
    <x:row r="190" ht="26" customHeight="1">
      <x:c r="A190" s="7" t="str">
        <x:v>Tabla 6 · Registro cuantificado</x:v>
      </x:c>
      <x:c r="B190" s="7"/>
      <x:c r="C190" s="7"/>
      <x:c r="D190" s="7"/>
      <x:c r="E190" s="7"/>
      <x:c r="F190" s="7"/>
      <x:c r="G190" s="7"/>
    </x:row>
    <x:row r="191" ht="38" customHeight="1">
      <x:c r="A191" s="12" t="str">
        <x:v>ID</x:v>
      </x:c>
      <x:c r="B191" s="12" t="str">
        <x:v>Probabilidad</x:v>
      </x:c>
      <x:c r="C191" s="12" t="str">
        <x:v>Impacto si ocurre</x:v>
      </x:c>
      <x:c r="D191" s="12"/>
      <x:c r="E191" s="12" t="str">
        <x:v>Valor esperado</x:v>
      </x:c>
      <x:c r="F191" s="12"/>
      <x:c r="G191" s="12" t="str">
        <x:v>Zona</x:v>
      </x:c>
    </x:row>
    <x:row r="192" ht="36" customHeight="1">
      <x:c r="A192" s="14" t="str">
        <x:v>R-001</x:v>
      </x:c>
      <x:c r="B192" s="29" t="n">
        <x:v>0.45</x:v>
      </x:c>
      <x:c r="C192" s="24" t="n">
        <x:f>INDEX($F$142:$F$186,MATCH(A192,$A$142:$A$186,0))</x:f>
        <x:v>152</x:v>
      </x:c>
      <x:c r="D192" s="14"/>
      <x:c r="E192" s="30" t="n">
        <x:f>B192*C192</x:f>
        <x:v>68.4</x:v>
      </x:c>
      <x:c r="F192" s="14"/>
      <x:c r="G192" s="14" t="str">
        <x:f>INDEX($G$38:$G$82,MATCH(A192,$A$38:$A$82,0))</x:f>
        <x:v>Alta</x:v>
      </x:c>
    </x:row>
    <x:row r="193" ht="36" customHeight="1">
      <x:c r="A193" s="16" t="str">
        <x:v>R-002</x:v>
      </x:c>
      <x:c r="B193" s="32" t="n">
        <x:v>0.4</x:v>
      </x:c>
      <x:c r="C193" s="26" t="n">
        <x:f>INDEX($F$142:$F$186,MATCH(A193,$A$142:$A$186,0))</x:f>
        <x:v>67.2</x:v>
      </x:c>
      <x:c r="D193" s="16"/>
      <x:c r="E193" s="33" t="n">
        <x:f>B193*C193</x:f>
        <x:v>26.880000000000003</x:v>
      </x:c>
      <x:c r="F193" s="16"/>
      <x:c r="G193" s="16" t="str">
        <x:f>INDEX($G$38:$G$82,MATCH(A193,$A$38:$A$82,0))</x:f>
        <x:v>Media</x:v>
      </x:c>
    </x:row>
    <x:row r="194" ht="36" customHeight="1">
      <x:c r="A194" s="14" t="str">
        <x:v>R-003</x:v>
      </x:c>
      <x:c r="B194" s="29" t="n">
        <x:v>0.4</x:v>
      </x:c>
      <x:c r="C194" s="24" t="n">
        <x:f>INDEX($F$142:$F$186,MATCH(A194,$A$142:$A$186,0))</x:f>
        <x:v>201.60000000000002</x:v>
      </x:c>
      <x:c r="D194" s="14"/>
      <x:c r="E194" s="30" t="n">
        <x:f>B194*C194</x:f>
        <x:v>80.64000000000001</x:v>
      </x:c>
      <x:c r="F194" s="14"/>
      <x:c r="G194" s="14" t="str">
        <x:f>INDEX($G$38:$G$82,MATCH(A194,$A$38:$A$82,0))</x:f>
        <x:v>Alta</x:v>
      </x:c>
    </x:row>
    <x:row r="195" ht="36" customHeight="1">
      <x:c r="A195" s="16" t="str">
        <x:v>R-004</x:v>
      </x:c>
      <x:c r="B195" s="32" t="n">
        <x:v>0.45</x:v>
      </x:c>
      <x:c r="C195" s="26" t="n">
        <x:f>INDEX($F$142:$F$186,MATCH(A195,$A$142:$A$186,0))</x:f>
        <x:v>224</x:v>
      </x:c>
      <x:c r="D195" s="16"/>
      <x:c r="E195" s="33" t="n">
        <x:f>B195*C195</x:f>
        <x:v>100.8</x:v>
      </x:c>
      <x:c r="F195" s="16"/>
      <x:c r="G195" s="16" t="str">
        <x:f>INDEX($G$38:$G$82,MATCH(A195,$A$38:$A$82,0))</x:f>
        <x:v>Alta</x:v>
      </x:c>
    </x:row>
    <x:row r="196" ht="36" customHeight="1">
      <x:c r="A196" s="14" t="str">
        <x:v>R-005</x:v>
      </x:c>
      <x:c r="B196" s="29" t="n">
        <x:v>0.3</x:v>
      </x:c>
      <x:c r="C196" s="24" t="n">
        <x:f>INDEX($F$142:$F$186,MATCH(A196,$A$142:$A$186,0))</x:f>
        <x:v>128</x:v>
      </x:c>
      <x:c r="D196" s="14"/>
      <x:c r="E196" s="30" t="n">
        <x:f>B196*C196</x:f>
        <x:v>38.4</x:v>
      </x:c>
      <x:c r="F196" s="14"/>
      <x:c r="G196" s="14" t="str">
        <x:f>INDEX($G$38:$G$82,MATCH(A196,$A$38:$A$82,0))</x:f>
        <x:v>Alta</x:v>
      </x:c>
    </x:row>
    <x:row r="197" ht="36" customHeight="1">
      <x:c r="A197" s="16" t="str">
        <x:v>R-006</x:v>
      </x:c>
      <x:c r="B197" s="32" t="n">
        <x:v>0.25</x:v>
      </x:c>
      <x:c r="C197" s="26" t="n">
        <x:f>INDEX($F$142:$F$186,MATCH(A197,$A$142:$A$186,0))</x:f>
        <x:v>70.4</x:v>
      </x:c>
      <x:c r="D197" s="16"/>
      <x:c r="E197" s="33" t="n">
        <x:f>B197*C197</x:f>
        <x:v>17.6</x:v>
      </x:c>
      <x:c r="F197" s="16"/>
      <x:c r="G197" s="16" t="str">
        <x:f>INDEX($G$38:$G$82,MATCH(A197,$A$38:$A$82,0))</x:f>
        <x:v>Alta</x:v>
      </x:c>
    </x:row>
    <x:row r="198" ht="36" customHeight="1">
      <x:c r="A198" s="14" t="str">
        <x:v>R-007</x:v>
      </x:c>
      <x:c r="B198" s="29" t="n">
        <x:v>0.4</x:v>
      </x:c>
      <x:c r="C198" s="24" t="n">
        <x:f>INDEX($F$142:$F$186,MATCH(A198,$A$142:$A$186,0))</x:f>
        <x:v>80</x:v>
      </x:c>
      <x:c r="D198" s="14"/>
      <x:c r="E198" s="30" t="n">
        <x:f>B198*C198</x:f>
        <x:v>32</x:v>
      </x:c>
      <x:c r="F198" s="14"/>
      <x:c r="G198" s="14" t="str">
        <x:f>INDEX($G$38:$G$82,MATCH(A198,$A$38:$A$82,0))</x:f>
        <x:v>Alta</x:v>
      </x:c>
    </x:row>
    <x:row r="199" ht="36" customHeight="1">
      <x:c r="A199" s="16" t="str">
        <x:v>R-008</x:v>
      </x:c>
      <x:c r="B199" s="32" t="n">
        <x:v>0.3</x:v>
      </x:c>
      <x:c r="C199" s="26" t="n">
        <x:f>INDEX($F$142:$F$186,MATCH(A199,$A$142:$A$186,0))</x:f>
        <x:v>80</x:v>
      </x:c>
      <x:c r="D199" s="16"/>
      <x:c r="E199" s="33" t="n">
        <x:f>B199*C199</x:f>
        <x:v>24</x:v>
      </x:c>
      <x:c r="F199" s="16"/>
      <x:c r="G199" s="16" t="str">
        <x:f>INDEX($G$38:$G$82,MATCH(A199,$A$38:$A$82,0))</x:f>
        <x:v>Media</x:v>
      </x:c>
    </x:row>
    <x:row r="200" ht="36" customHeight="1">
      <x:c r="A200" s="14" t="str">
        <x:v>R-009</x:v>
      </x:c>
      <x:c r="B200" s="29" t="n">
        <x:v>0.25</x:v>
      </x:c>
      <x:c r="C200" s="24" t="n">
        <x:f>INDEX($F$142:$F$186,MATCH(A200,$A$142:$A$186,0))</x:f>
        <x:v>67.2</x:v>
      </x:c>
      <x:c r="D200" s="14"/>
      <x:c r="E200" s="30" t="n">
        <x:f>B200*C200</x:f>
        <x:v>16.8</x:v>
      </x:c>
      <x:c r="F200" s="14"/>
      <x:c r="G200" s="14" t="str">
        <x:f>INDEX($G$38:$G$82,MATCH(A200,$A$38:$A$82,0))</x:f>
        <x:v>Media</x:v>
      </x:c>
    </x:row>
    <x:row r="201" ht="36" customHeight="1">
      <x:c r="A201" s="16" t="str">
        <x:v>R-010</x:v>
      </x:c>
      <x:c r="B201" s="32" t="n">
        <x:v>0.25</x:v>
      </x:c>
      <x:c r="C201" s="26" t="n">
        <x:f>INDEX($F$142:$F$186,MATCH(A201,$A$142:$A$186,0))</x:f>
        <x:v>88</x:v>
      </x:c>
      <x:c r="D201" s="16"/>
      <x:c r="E201" s="33" t="n">
        <x:f>B201*C201</x:f>
        <x:v>22</x:v>
      </x:c>
      <x:c r="F201" s="16"/>
      <x:c r="G201" s="16" t="str">
        <x:f>INDEX($G$38:$G$82,MATCH(A201,$A$38:$A$82,0))</x:f>
        <x:v>Media</x:v>
      </x:c>
    </x:row>
    <x:row r="202" ht="36" customHeight="1">
      <x:c r="A202" s="14" t="str">
        <x:v>R-011</x:v>
      </x:c>
      <x:c r="B202" s="29" t="n">
        <x:v>0.3</x:v>
      </x:c>
      <x:c r="C202" s="24" t="n">
        <x:f>INDEX($F$142:$F$186,MATCH(A202,$A$142:$A$186,0))</x:f>
        <x:v>96</x:v>
      </x:c>
      <x:c r="D202" s="14"/>
      <x:c r="E202" s="30" t="n">
        <x:f>B202*C202</x:f>
        <x:v>28.799999999999997</x:v>
      </x:c>
      <x:c r="F202" s="14"/>
      <x:c r="G202" s="14" t="str">
        <x:f>INDEX($G$38:$G$82,MATCH(A202,$A$38:$A$82,0))</x:f>
        <x:v>Alta</x:v>
      </x:c>
    </x:row>
    <x:row r="203" ht="36" customHeight="1">
      <x:c r="A203" s="16" t="str">
        <x:v>R-012</x:v>
      </x:c>
      <x:c r="B203" s="32" t="n">
        <x:v>0.35</x:v>
      </x:c>
      <x:c r="C203" s="26" t="n">
        <x:f>INDEX($F$142:$F$186,MATCH(A203,$A$142:$A$186,0))</x:f>
        <x:v>201.60000000000002</x:v>
      </x:c>
      <x:c r="D203" s="16"/>
      <x:c r="E203" s="33" t="n">
        <x:f>B203*C203</x:f>
        <x:v>70.56</x:v>
      </x:c>
      <x:c r="F203" s="16"/>
      <x:c r="G203" s="16" t="str">
        <x:f>INDEX($G$38:$G$82,MATCH(A203,$A$38:$A$82,0))</x:f>
        <x:v>Crítica</x:v>
      </x:c>
    </x:row>
    <x:row r="204" ht="36" customHeight="1">
      <x:c r="A204" s="14" t="str">
        <x:v>R-013</x:v>
      </x:c>
      <x:c r="B204" s="29" t="n">
        <x:v>0.3</x:v>
      </x:c>
      <x:c r="C204" s="24" t="n">
        <x:f>INDEX($F$142:$F$186,MATCH(A204,$A$142:$A$186,0))</x:f>
        <x:v>105.6</x:v>
      </x:c>
      <x:c r="D204" s="14"/>
      <x:c r="E204" s="30" t="n">
        <x:f>B204*C204</x:f>
        <x:v>31.679999999999996</x:v>
      </x:c>
      <x:c r="F204" s="14"/>
      <x:c r="G204" s="14" t="str">
        <x:f>INDEX($G$38:$G$82,MATCH(A204,$A$38:$A$82,0))</x:f>
        <x:v>Alta</x:v>
      </x:c>
    </x:row>
    <x:row r="205" ht="36" customHeight="1">
      <x:c r="A205" s="16" t="str">
        <x:v>R-014</x:v>
      </x:c>
      <x:c r="B205" s="32" t="n">
        <x:v>0.2</x:v>
      </x:c>
      <x:c r="C205" s="26" t="n">
        <x:f>INDEX($F$142:$F$186,MATCH(A205,$A$142:$A$186,0))</x:f>
        <x:v>96</x:v>
      </x:c>
      <x:c r="D205" s="16"/>
      <x:c r="E205" s="33" t="n">
        <x:f>B205*C205</x:f>
        <x:v>19.200000000000003</x:v>
      </x:c>
      <x:c r="F205" s="16"/>
      <x:c r="G205" s="16" t="str">
        <x:f>INDEX($G$38:$G$82,MATCH(A205,$A$38:$A$82,0))</x:f>
        <x:v>Alta</x:v>
      </x:c>
    </x:row>
    <x:row r="206" ht="36" customHeight="1">
      <x:c r="A206" s="14" t="str">
        <x:v>R-015</x:v>
      </x:c>
      <x:c r="B206" s="29" t="n">
        <x:v>0.35</x:v>
      </x:c>
      <x:c r="C206" s="24" t="n">
        <x:f>INDEX($F$142:$F$186,MATCH(A206,$A$142:$A$186,0))</x:f>
        <x:v>201.60000000000002</x:v>
      </x:c>
      <x:c r="D206" s="14"/>
      <x:c r="E206" s="30" t="n">
        <x:f>B206*C206</x:f>
        <x:v>70.56</x:v>
      </x:c>
      <x:c r="F206" s="14"/>
      <x:c r="G206" s="14" t="str">
        <x:f>INDEX($G$38:$G$82,MATCH(A206,$A$38:$A$82,0))</x:f>
        <x:v>Crítica</x:v>
      </x:c>
    </x:row>
    <x:row r="207" ht="36" customHeight="1">
      <x:c r="A207" s="16" t="str">
        <x:v>R-016</x:v>
      </x:c>
      <x:c r="B207" s="32" t="n">
        <x:v>0.3</x:v>
      </x:c>
      <x:c r="C207" s="26" t="n">
        <x:f>INDEX($F$142:$F$186,MATCH(A207,$A$142:$A$186,0))</x:f>
        <x:v>144</x:v>
      </x:c>
      <x:c r="D207" s="16"/>
      <x:c r="E207" s="33" t="n">
        <x:f>B207*C207</x:f>
        <x:v>43.199999999999996</x:v>
      </x:c>
      <x:c r="F207" s="16"/>
      <x:c r="G207" s="16" t="str">
        <x:f>INDEX($G$38:$G$82,MATCH(A207,$A$38:$A$82,0))</x:f>
        <x:v>Alta</x:v>
      </x:c>
    </x:row>
    <x:row r="208" ht="36" customHeight="1">
      <x:c r="A208" s="14" t="str">
        <x:v>R-017</x:v>
      </x:c>
      <x:c r="B208" s="29" t="n">
        <x:v>0.4</x:v>
      </x:c>
      <x:c r="C208" s="24" t="n">
        <x:f>INDEX($F$142:$F$186,MATCH(A208,$A$142:$A$186,0))</x:f>
        <x:v>126.4</x:v>
      </x:c>
      <x:c r="D208" s="14"/>
      <x:c r="E208" s="30" t="n">
        <x:f>B208*C208</x:f>
        <x:v>50.56</x:v>
      </x:c>
      <x:c r="F208" s="14"/>
      <x:c r="G208" s="14" t="str">
        <x:f>INDEX($G$38:$G$82,MATCH(A208,$A$38:$A$82,0))</x:f>
        <x:v>Alta</x:v>
      </x:c>
    </x:row>
    <x:row r="209" ht="36" customHeight="1">
      <x:c r="A209" s="16" t="str">
        <x:v>R-018</x:v>
      </x:c>
      <x:c r="B209" s="32" t="n">
        <x:v>0.45</x:v>
      </x:c>
      <x:c r="C209" s="26" t="n">
        <x:f>INDEX($F$142:$F$186,MATCH(A209,$A$142:$A$186,0))</x:f>
        <x:v>150.4</x:v>
      </x:c>
      <x:c r="D209" s="16"/>
      <x:c r="E209" s="33" t="n">
        <x:f>B209*C209</x:f>
        <x:v>67.68</x:v>
      </x:c>
      <x:c r="F209" s="16"/>
      <x:c r="G209" s="16" t="str">
        <x:f>INDEX($G$38:$G$82,MATCH(A209,$A$38:$A$82,0))</x:f>
        <x:v>Alta</x:v>
      </x:c>
    </x:row>
    <x:row r="210" ht="36" customHeight="1">
      <x:c r="A210" s="14" t="str">
        <x:v>R-019</x:v>
      </x:c>
      <x:c r="B210" s="29" t="n">
        <x:v>0.45</x:v>
      </x:c>
      <x:c r="C210" s="24" t="n">
        <x:f>INDEX($F$142:$F$186,MATCH(A210,$A$142:$A$186,0))</x:f>
        <x:v>148.8</x:v>
      </x:c>
      <x:c r="D210" s="14"/>
      <x:c r="E210" s="30" t="n">
        <x:f>B210*C210</x:f>
        <x:v>66.96000000000001</x:v>
      </x:c>
      <x:c r="F210" s="14"/>
      <x:c r="G210" s="14" t="str">
        <x:f>INDEX($G$38:$G$82,MATCH(A210,$A$38:$A$82,0))</x:f>
        <x:v>Media</x:v>
      </x:c>
    </x:row>
    <x:row r="211" ht="36" customHeight="1">
      <x:c r="A211" s="16" t="str">
        <x:v>R-020</x:v>
      </x:c>
      <x:c r="B211" s="32" t="n">
        <x:v>0.35</x:v>
      </x:c>
      <x:c r="C211" s="26" t="n">
        <x:f>INDEX($F$142:$F$186,MATCH(A211,$A$142:$A$186,0))</x:f>
        <x:v>112</x:v>
      </x:c>
      <x:c r="D211" s="16"/>
      <x:c r="E211" s="33" t="n">
        <x:f>B211*C211</x:f>
        <x:v>39.199999999999996</x:v>
      </x:c>
      <x:c r="F211" s="16"/>
      <x:c r="G211" s="16" t="str">
        <x:f>INDEX($G$38:$G$82,MATCH(A211,$A$38:$A$82,0))</x:f>
        <x:v>Media</x:v>
      </x:c>
    </x:row>
    <x:row r="212" ht="36" customHeight="1">
      <x:c r="A212" s="14" t="str">
        <x:v>R-021</x:v>
      </x:c>
      <x:c r="B212" s="29" t="n">
        <x:v>0.45</x:v>
      </x:c>
      <x:c r="C212" s="24" t="n">
        <x:f>INDEX($F$142:$F$186,MATCH(A212,$A$142:$A$186,0))</x:f>
        <x:v>152</x:v>
      </x:c>
      <x:c r="D212" s="14"/>
      <x:c r="E212" s="30" t="n">
        <x:f>B212*C212</x:f>
        <x:v>68.4</x:v>
      </x:c>
      <x:c r="F212" s="14"/>
      <x:c r="G212" s="14" t="str">
        <x:f>INDEX($G$38:$G$82,MATCH(A212,$A$38:$A$82,0))</x:f>
        <x:v>Alta</x:v>
      </x:c>
    </x:row>
    <x:row r="213" ht="36" customHeight="1">
      <x:c r="A213" s="16" t="str">
        <x:v>R-022</x:v>
      </x:c>
      <x:c r="B213" s="32" t="n">
        <x:v>0.5</x:v>
      </x:c>
      <x:c r="C213" s="26" t="n">
        <x:f>INDEX($F$142:$F$186,MATCH(A213,$A$142:$A$186,0))</x:f>
        <x:v>118.4</x:v>
      </x:c>
      <x:c r="D213" s="16"/>
      <x:c r="E213" s="33" t="n">
        <x:f>B213*C213</x:f>
        <x:v>59.2</x:v>
      </x:c>
      <x:c r="F213" s="16"/>
      <x:c r="G213" s="16" t="str">
        <x:f>INDEX($G$38:$G$82,MATCH(A213,$A$38:$A$82,0))</x:f>
        <x:v>Alta</x:v>
      </x:c>
    </x:row>
    <x:row r="214" ht="36" customHeight="1">
      <x:c r="A214" s="14" t="str">
        <x:v>R-023</x:v>
      </x:c>
      <x:c r="B214" s="29" t="n">
        <x:v>0.3</x:v>
      </x:c>
      <x:c r="C214" s="24" t="n">
        <x:f>INDEX($F$142:$F$186,MATCH(A214,$A$142:$A$186,0))</x:f>
        <x:v>88</x:v>
      </x:c>
      <x:c r="D214" s="14"/>
      <x:c r="E214" s="30" t="n">
        <x:f>B214*C214</x:f>
        <x:v>26.4</x:v>
      </x:c>
      <x:c r="F214" s="14"/>
      <x:c r="G214" s="14" t="str">
        <x:f>INDEX($G$38:$G$82,MATCH(A214,$A$38:$A$82,0))</x:f>
        <x:v>Media</x:v>
      </x:c>
    </x:row>
    <x:row r="215" ht="36" customHeight="1">
      <x:c r="A215" s="16" t="str">
        <x:v>R-024</x:v>
      </x:c>
      <x:c r="B215" s="32" t="n">
        <x:v>0.4</x:v>
      </x:c>
      <x:c r="C215" s="26" t="n">
        <x:f>INDEX($F$142:$F$186,MATCH(A215,$A$142:$A$186,0))</x:f>
        <x:v>126.4</x:v>
      </x:c>
      <x:c r="D215" s="16"/>
      <x:c r="E215" s="33" t="n">
        <x:f>B215*C215</x:f>
        <x:v>50.56</x:v>
      </x:c>
      <x:c r="F215" s="16"/>
      <x:c r="G215" s="16" t="str">
        <x:f>INDEX($G$38:$G$82,MATCH(A215,$A$38:$A$82,0))</x:f>
        <x:v>Alta</x:v>
      </x:c>
    </x:row>
    <x:row r="216" ht="36" customHeight="1">
      <x:c r="A216" s="14" t="str">
        <x:v>R-025</x:v>
      </x:c>
      <x:c r="B216" s="29" t="n">
        <x:v>0.35</x:v>
      </x:c>
      <x:c r="C216" s="24" t="n">
        <x:f>INDEX($F$142:$F$186,MATCH(A216,$A$142:$A$186,0))</x:f>
        <x:v>177.60000000000002</x:v>
      </x:c>
      <x:c r="D216" s="14"/>
      <x:c r="E216" s="30" t="n">
        <x:f>B216*C216</x:f>
        <x:v>62.160000000000004</x:v>
      </x:c>
      <x:c r="F216" s="14"/>
      <x:c r="G216" s="14" t="str">
        <x:f>INDEX($G$38:$G$82,MATCH(A216,$A$38:$A$82,0))</x:f>
        <x:v>Alta</x:v>
      </x:c>
    </x:row>
    <x:row r="217" ht="36" customHeight="1">
      <x:c r="A217" s="16" t="str">
        <x:v>R-026</x:v>
      </x:c>
      <x:c r="B217" s="32" t="n">
        <x:v>0.4</x:v>
      </x:c>
      <x:c r="C217" s="26" t="n">
        <x:f>INDEX($F$142:$F$186,MATCH(A217,$A$142:$A$186,0))</x:f>
        <x:v>201.60000000000002</x:v>
      </x:c>
      <x:c r="D217" s="16"/>
      <x:c r="E217" s="33" t="n">
        <x:f>B217*C217</x:f>
        <x:v>80.64000000000001</x:v>
      </x:c>
      <x:c r="F217" s="16"/>
      <x:c r="G217" s="16" t="str">
        <x:f>INDEX($G$38:$G$82,MATCH(A217,$A$38:$A$82,0))</x:f>
        <x:v>Alta</x:v>
      </x:c>
    </x:row>
    <x:row r="218" ht="36" customHeight="1">
      <x:c r="A218" s="14" t="str">
        <x:v>R-027</x:v>
      </x:c>
      <x:c r="B218" s="29" t="n">
        <x:v>0.35</x:v>
      </x:c>
      <x:c r="C218" s="24" t="n">
        <x:f>INDEX($F$142:$F$186,MATCH(A218,$A$142:$A$186,0))</x:f>
        <x:v>80</x:v>
      </x:c>
      <x:c r="D218" s="14"/>
      <x:c r="E218" s="30" t="n">
        <x:f>B218*C218</x:f>
        <x:v>28</x:v>
      </x:c>
      <x:c r="F218" s="14"/>
      <x:c r="G218" s="14" t="str">
        <x:f>INDEX($G$38:$G$82,MATCH(A218,$A$38:$A$82,0))</x:f>
        <x:v>Media</x:v>
      </x:c>
    </x:row>
    <x:row r="219" ht="36" customHeight="1">
      <x:c r="A219" s="16" t="str">
        <x:v>R-028</x:v>
      </x:c>
      <x:c r="B219" s="32" t="n">
        <x:v>0.3</x:v>
      </x:c>
      <x:c r="C219" s="26" t="n">
        <x:f>INDEX($F$142:$F$186,MATCH(A219,$A$142:$A$186,0))</x:f>
        <x:v>108.80000000000001</x:v>
      </x:c>
      <x:c r="D219" s="16"/>
      <x:c r="E219" s="33" t="n">
        <x:f>B219*C219</x:f>
        <x:v>32.64</x:v>
      </x:c>
      <x:c r="F219" s="16"/>
      <x:c r="G219" s="16" t="str">
        <x:f>INDEX($G$38:$G$82,MATCH(A219,$A$38:$A$82,0))</x:f>
        <x:v>Media</x:v>
      </x:c>
    </x:row>
    <x:row r="220" ht="36" customHeight="1">
      <x:c r="A220" s="14" t="str">
        <x:v>R-029</x:v>
      </x:c>
      <x:c r="B220" s="29" t="n">
        <x:v>0.35</x:v>
      </x:c>
      <x:c r="C220" s="24" t="n">
        <x:f>INDEX($F$142:$F$186,MATCH(A220,$A$142:$A$186,0))</x:f>
        <x:v>126.4</x:v>
      </x:c>
      <x:c r="D220" s="14"/>
      <x:c r="E220" s="30" t="n">
        <x:f>B220*C220</x:f>
        <x:v>44.24</x:v>
      </x:c>
      <x:c r="F220" s="14"/>
      <x:c r="G220" s="14" t="str">
        <x:f>INDEX($G$38:$G$82,MATCH(A220,$A$38:$A$82,0))</x:f>
        <x:v>Alta</x:v>
      </x:c>
    </x:row>
    <x:row r="221" ht="36" customHeight="1">
      <x:c r="A221" s="16" t="str">
        <x:v>R-030</x:v>
      </x:c>
      <x:c r="B221" s="32" t="n">
        <x:v>0.5</x:v>
      </x:c>
      <x:c r="C221" s="26" t="n">
        <x:f>INDEX($F$142:$F$186,MATCH(A221,$A$142:$A$186,0))</x:f>
        <x:v>232</x:v>
      </x:c>
      <x:c r="D221" s="16"/>
      <x:c r="E221" s="33" t="n">
        <x:f>B221*C221</x:f>
        <x:v>116</x:v>
      </x:c>
      <x:c r="F221" s="16"/>
      <x:c r="G221" s="16" t="str">
        <x:f>INDEX($G$38:$G$82,MATCH(A221,$A$38:$A$82,0))</x:f>
        <x:v>Alta</x:v>
      </x:c>
    </x:row>
    <x:row r="222" ht="36" customHeight="1">
      <x:c r="A222" s="14" t="str">
        <x:v>R-031</x:v>
      </x:c>
      <x:c r="B222" s="29" t="n">
        <x:v>0.35</x:v>
      </x:c>
      <x:c r="C222" s="24" t="n">
        <x:f>INDEX($F$142:$F$186,MATCH(A222,$A$142:$A$186,0))</x:f>
        <x:v>80</x:v>
      </x:c>
      <x:c r="D222" s="14"/>
      <x:c r="E222" s="30" t="n">
        <x:f>B222*C222</x:f>
        <x:v>28</x:v>
      </x:c>
      <x:c r="F222" s="14"/>
      <x:c r="G222" s="14" t="str">
        <x:f>INDEX($G$38:$G$82,MATCH(A222,$A$38:$A$82,0))</x:f>
        <x:v>Media</x:v>
      </x:c>
    </x:row>
    <x:row r="223" ht="36" customHeight="1">
      <x:c r="A223" s="16" t="str">
        <x:v>R-032</x:v>
      </x:c>
      <x:c r="B223" s="32" t="n">
        <x:v>0.3</x:v>
      </x:c>
      <x:c r="C223" s="26" t="n">
        <x:f>INDEX($F$142:$F$186,MATCH(A223,$A$142:$A$186,0))</x:f>
        <x:v>152</x:v>
      </x:c>
      <x:c r="D223" s="16"/>
      <x:c r="E223" s="33" t="n">
        <x:f>B223*C223</x:f>
        <x:v>45.6</x:v>
      </x:c>
      <x:c r="F223" s="16"/>
      <x:c r="G223" s="16" t="str">
        <x:f>INDEX($G$38:$G$82,MATCH(A223,$A$38:$A$82,0))</x:f>
        <x:v>Media</x:v>
      </x:c>
    </x:row>
    <x:row r="224" ht="36" customHeight="1">
      <x:c r="A224" s="14" t="str">
        <x:v>R-033</x:v>
      </x:c>
      <x:c r="B224" s="29" t="n">
        <x:v>0.4</x:v>
      </x:c>
      <x:c r="C224" s="24" t="n">
        <x:f>INDEX($F$142:$F$186,MATCH(A224,$A$142:$A$186,0))</x:f>
        <x:v>126.4</x:v>
      </x:c>
      <x:c r="D224" s="14"/>
      <x:c r="E224" s="30" t="n">
        <x:f>B224*C224</x:f>
        <x:v>50.56</x:v>
      </x:c>
      <x:c r="F224" s="14"/>
      <x:c r="G224" s="14" t="str">
        <x:f>INDEX($G$38:$G$82,MATCH(A224,$A$38:$A$82,0))</x:f>
        <x:v>Media</x:v>
      </x:c>
    </x:row>
    <x:row r="225" ht="36" customHeight="1">
      <x:c r="A225" s="16" t="str">
        <x:v>R-034</x:v>
      </x:c>
      <x:c r="B225" s="32" t="n">
        <x:v>0.3</x:v>
      </x:c>
      <x:c r="C225" s="26" t="n">
        <x:f>INDEX($F$142:$F$186,MATCH(A225,$A$142:$A$186,0))</x:f>
        <x:v>136</x:v>
      </x:c>
      <x:c r="D225" s="16"/>
      <x:c r="E225" s="33" t="n">
        <x:f>B225*C225</x:f>
        <x:v>40.8</x:v>
      </x:c>
      <x:c r="F225" s="16"/>
      <x:c r="G225" s="16" t="str">
        <x:f>INDEX($G$38:$G$82,MATCH(A225,$A$38:$A$82,0))</x:f>
        <x:v>Media</x:v>
      </x:c>
    </x:row>
    <x:row r="226" ht="36" customHeight="1">
      <x:c r="A226" s="14" t="str">
        <x:v>R-035</x:v>
      </x:c>
      <x:c r="B226" s="29" t="n">
        <x:v>0.4</x:v>
      </x:c>
      <x:c r="C226" s="24" t="n">
        <x:f>INDEX($F$142:$F$186,MATCH(A226,$A$142:$A$186,0))</x:f>
        <x:v>88</x:v>
      </x:c>
      <x:c r="D226" s="14"/>
      <x:c r="E226" s="30" t="n">
        <x:f>B226*C226</x:f>
        <x:v>35.2</x:v>
      </x:c>
      <x:c r="F226" s="14"/>
      <x:c r="G226" s="14" t="str">
        <x:f>INDEX($G$38:$G$82,MATCH(A226,$A$38:$A$82,0))</x:f>
        <x:v>Alta</x:v>
      </x:c>
    </x:row>
    <x:row r="227" ht="36" customHeight="1">
      <x:c r="A227" s="16" t="str">
        <x:v>R-036</x:v>
      </x:c>
      <x:c r="B227" s="32" t="n">
        <x:v>0.4</x:v>
      </x:c>
      <x:c r="C227" s="26" t="n">
        <x:f>INDEX($F$142:$F$186,MATCH(A227,$A$142:$A$186,0))</x:f>
        <x:v>80</x:v>
      </x:c>
      <x:c r="D227" s="16"/>
      <x:c r="E227" s="33" t="n">
        <x:f>B227*C227</x:f>
        <x:v>32</x:v>
      </x:c>
      <x:c r="F227" s="16"/>
      <x:c r="G227" s="16" t="str">
        <x:f>INDEX($G$38:$G$82,MATCH(A227,$A$38:$A$82,0))</x:f>
        <x:v>Media</x:v>
      </x:c>
    </x:row>
    <x:row r="228" ht="36" customHeight="1">
      <x:c r="A228" s="14" t="str">
        <x:v>R-037</x:v>
      </x:c>
      <x:c r="B228" s="29" t="n">
        <x:v>0.35</x:v>
      </x:c>
      <x:c r="C228" s="24" t="n">
        <x:f>INDEX($F$142:$F$186,MATCH(A228,$A$142:$A$186,0))</x:f>
        <x:v>80</x:v>
      </x:c>
      <x:c r="D228" s="14"/>
      <x:c r="E228" s="30" t="n">
        <x:f>B228*C228</x:f>
        <x:v>28</x:v>
      </x:c>
      <x:c r="F228" s="14"/>
      <x:c r="G228" s="14" t="str">
        <x:f>INDEX($G$38:$G$82,MATCH(A228,$A$38:$A$82,0))</x:f>
        <x:v>Media</x:v>
      </x:c>
    </x:row>
    <x:row r="229" ht="36" customHeight="1">
      <x:c r="A229" s="16" t="str">
        <x:v>R-038</x:v>
      </x:c>
      <x:c r="B229" s="32" t="n">
        <x:v>0.45</x:v>
      </x:c>
      <x:c r="C229" s="26" t="n">
        <x:f>INDEX($F$142:$F$186,MATCH(A229,$A$142:$A$186,0))</x:f>
        <x:v>152</x:v>
      </x:c>
      <x:c r="D229" s="16"/>
      <x:c r="E229" s="33" t="n">
        <x:f>B229*C229</x:f>
        <x:v>68.4</x:v>
      </x:c>
      <x:c r="F229" s="16"/>
      <x:c r="G229" s="16" t="str">
        <x:f>INDEX($G$38:$G$82,MATCH(A229,$A$38:$A$82,0))</x:f>
        <x:v>Alta</x:v>
      </x:c>
    </x:row>
    <x:row r="230" ht="36" customHeight="1">
      <x:c r="A230" s="14" t="str">
        <x:v>R-039</x:v>
      </x:c>
      <x:c r="B230" s="29" t="n">
        <x:v>0.35</x:v>
      </x:c>
      <x:c r="C230" s="24" t="n">
        <x:f>INDEX($F$142:$F$186,MATCH(A230,$A$142:$A$186,0))</x:f>
        <x:v>67.2</x:v>
      </x:c>
      <x:c r="D230" s="14"/>
      <x:c r="E230" s="30" t="n">
        <x:f>B230*C230</x:f>
        <x:v>23.52</x:v>
      </x:c>
      <x:c r="F230" s="14"/>
      <x:c r="G230" s="14" t="str">
        <x:f>INDEX($G$38:$G$82,MATCH(A230,$A$38:$A$82,0))</x:f>
        <x:v>Media</x:v>
      </x:c>
    </x:row>
    <x:row r="231" ht="36" customHeight="1">
      <x:c r="A231" s="16" t="str">
        <x:v>R-040</x:v>
      </x:c>
      <x:c r="B231" s="32" t="n">
        <x:v>0.4</x:v>
      </x:c>
      <x:c r="C231" s="26" t="n">
        <x:f>INDEX($F$142:$F$186,MATCH(A231,$A$142:$A$186,0))</x:f>
        <x:v>92.80000000000001</x:v>
      </x:c>
      <x:c r="D231" s="16"/>
      <x:c r="E231" s="33" t="n">
        <x:f>B231*C231</x:f>
        <x:v>37.120000000000005</x:v>
      </x:c>
      <x:c r="F231" s="16"/>
      <x:c r="G231" s="16" t="str">
        <x:f>INDEX($G$38:$G$82,MATCH(A231,$A$38:$A$82,0))</x:f>
        <x:v>Media</x:v>
      </x:c>
    </x:row>
    <x:row r="232" ht="36" customHeight="1">
      <x:c r="A232" s="14" t="str">
        <x:v>R-041</x:v>
      </x:c>
      <x:c r="B232" s="29" t="n">
        <x:v>0.3</x:v>
      </x:c>
      <x:c r="C232" s="24" t="n">
        <x:f>INDEX($F$142:$F$186,MATCH(A232,$A$142:$A$186,0))</x:f>
        <x:v>176</x:v>
      </x:c>
      <x:c r="D232" s="14"/>
      <x:c r="E232" s="30" t="n">
        <x:f>B232*C232</x:f>
        <x:v>52.8</x:v>
      </x:c>
      <x:c r="F232" s="14"/>
      <x:c r="G232" s="14" t="str">
        <x:f>INDEX($G$38:$G$82,MATCH(A232,$A$38:$A$82,0))</x:f>
        <x:v>Media</x:v>
      </x:c>
    </x:row>
    <x:row r="233" ht="36" customHeight="1">
      <x:c r="A233" s="16" t="str">
        <x:v>R-042</x:v>
      </x:c>
      <x:c r="B233" s="32" t="n">
        <x:v>0.35</x:v>
      </x:c>
      <x:c r="C233" s="26" t="n">
        <x:f>INDEX($F$142:$F$186,MATCH(A233,$A$142:$A$186,0))</x:f>
        <x:v>126.4</x:v>
      </x:c>
      <x:c r="D233" s="16"/>
      <x:c r="E233" s="33" t="n">
        <x:f>B233*C233</x:f>
        <x:v>44.24</x:v>
      </x:c>
      <x:c r="F233" s="16"/>
      <x:c r="G233" s="16" t="str">
        <x:f>INDEX($G$38:$G$82,MATCH(A233,$A$38:$A$82,0))</x:f>
        <x:v>Alta</x:v>
      </x:c>
    </x:row>
    <x:row r="234" ht="36" customHeight="1">
      <x:c r="A234" s="14" t="str">
        <x:v>R-043</x:v>
      </x:c>
      <x:c r="B234" s="29" t="n">
        <x:v>0.3</x:v>
      </x:c>
      <x:c r="C234" s="24" t="n">
        <x:f>INDEX($F$142:$F$186,MATCH(A234,$A$142:$A$186,0))</x:f>
        <x:v>88</x:v>
      </x:c>
      <x:c r="D234" s="14"/>
      <x:c r="E234" s="30" t="n">
        <x:f>B234*C234</x:f>
        <x:v>26.4</x:v>
      </x:c>
      <x:c r="F234" s="14"/>
      <x:c r="G234" s="14" t="str">
        <x:f>INDEX($G$38:$G$82,MATCH(A234,$A$38:$A$82,0))</x:f>
        <x:v>Media</x:v>
      </x:c>
    </x:row>
    <x:row r="235" ht="36" customHeight="1">
      <x:c r="A235" s="16" t="str">
        <x:v>R-044</x:v>
      </x:c>
      <x:c r="B235" s="32" t="n">
        <x:v>0.3</x:v>
      </x:c>
      <x:c r="C235" s="26" t="n">
        <x:f>INDEX($F$142:$F$186,MATCH(A235,$A$142:$A$186,0))</x:f>
        <x:v>88</x:v>
      </x:c>
      <x:c r="D235" s="16"/>
      <x:c r="E235" s="33" t="n">
        <x:f>B235*C235</x:f>
        <x:v>26.4</x:v>
      </x:c>
      <x:c r="F235" s="16"/>
      <x:c r="G235" s="16" t="str">
        <x:f>INDEX($G$38:$G$82,MATCH(A235,$A$38:$A$82,0))</x:f>
        <x:v>Baja</x:v>
      </x:c>
    </x:row>
    <x:row r="236" ht="36" customHeight="1">
      <x:c r="A236" s="14" t="str">
        <x:v>R-045</x:v>
      </x:c>
      <x:c r="B236" s="29" t="n">
        <x:v>0.35</x:v>
      </x:c>
      <x:c r="C236" s="24" t="n">
        <x:f>INDEX($F$142:$F$186,MATCH(A236,$A$142:$A$186,0))</x:f>
        <x:v>100.80000000000001</x:v>
      </x:c>
      <x:c r="D236" s="14"/>
      <x:c r="E236" s="30" t="n">
        <x:f>B236*C236</x:f>
        <x:v>35.28</x:v>
      </x:c>
      <x:c r="F236" s="14"/>
      <x:c r="G236" s="14" t="str">
        <x:f>INDEX($G$38:$G$82,MATCH(A236,$A$38:$A$82,0))</x:f>
        <x:v>Alta</x:v>
      </x:c>
    </x:row>
    <x:row r="237" ht="28" customHeight="1">
      <x:c r="A237" s="42" t="str">
        <x:v>Total</x:v>
      </x:c>
      <x:c r="B237" s="42"/>
      <x:c r="C237" s="43" t="n">
        <x:f>SUM($C$192:$C$236)</x:f>
        <x:v>5585.599999999999</x:v>
      </x:c>
      <x:c r="D237" s="42"/>
      <x:c r="E237" s="44" t="n">
        <x:f>SUM($E$192:$E$236)</x:f>
        <x:v>2058.480000000001</x:v>
      </x:c>
      <x:c r="F237" s="42"/>
      <x:c r="G237" s="42"/>
    </x:row>
    <x:row r="238">
      <x:c r="A238" s="3"/>
      <x:c r="B238" s="3"/>
      <x:c r="C238" s="3"/>
      <x:c r="D238" s="3"/>
      <x:c r="E238" s="3"/>
      <x:c r="F238" s="3"/>
      <x:c r="G238" s="3"/>
    </x:row>
    <x:row r="239" ht="26" customHeight="1">
      <x:c r="A239" s="23" t="str">
        <x:v>4.4 · La cifra que hay que defender</x:v>
      </x:c>
      <x:c r="B239" s="23"/>
      <x:c r="C239" s="23"/>
      <x:c r="D239" s="23"/>
      <x:c r="E239" s="23"/>
      <x:c r="F239" s="23"/>
      <x:c r="G239" s="23"/>
    </x:row>
    <x:row r="240" ht="26" customHeight="1">
      <x:c r="A240" s="7" t="str">
        <x:v>Tabla 7 · Exposición y reserva</x:v>
      </x:c>
      <x:c r="B240" s="7"/>
      <x:c r="C240" s="7"/>
      <x:c r="D240" s="7"/>
      <x:c r="E240" s="7"/>
      <x:c r="F240" s="7"/>
      <x:c r="G240" s="7"/>
    </x:row>
    <x:row r="241" ht="38" customHeight="1">
      <x:c r="A241" s="12" t="str">
        <x:v>Concepto</x:v>
      </x:c>
      <x:c r="B241" s="12"/>
      <x:c r="C241" s="12"/>
      <x:c r="D241" s="12"/>
      <x:c r="E241" s="12"/>
      <x:c r="F241" s="12" t="str">
        <x:v>Valor</x:v>
      </x:c>
      <x:c r="G241" s="12"/>
    </x:row>
    <x:row r="242" ht="36" customHeight="1">
      <x:c r="A242" s="14" t="str">
        <x:v>Exposición bruta: suma de los impactos si todo ocurriera</x:v>
      </x:c>
      <x:c r="B242" s="14"/>
      <x:c r="C242" s="14"/>
      <x:c r="D242" s="14"/>
      <x:c r="E242" s="14"/>
      <x:c r="F242" s="30" t="n">
        <x:f>C237</x:f>
        <x:v>5585.599999999999</x:v>
      </x:c>
      <x:c r="G242" s="14"/>
    </x:row>
    <x:row r="243" ht="36" customHeight="1">
      <x:c r="A243" s="16" t="str">
        <x:v>Reserva de contingencia: suma de los valores esperados</x:v>
      </x:c>
      <x:c r="B243" s="16"/>
      <x:c r="C243" s="16"/>
      <x:c r="D243" s="16"/>
      <x:c r="E243" s="16"/>
      <x:c r="F243" s="33" t="n">
        <x:f>E237</x:f>
        <x:v>2058.480000000001</x:v>
      </x:c>
      <x:c r="G243" s="16"/>
    </x:row>
    <x:row r="244" ht="36" customHeight="1">
      <x:c r="A244" s="14" t="str">
        <x:v>Reserva como porcentaje de los costos directos de LafroX</x:v>
      </x:c>
      <x:c r="B244" s="14"/>
      <x:c r="C244" s="14"/>
      <x:c r="D244" s="14"/>
      <x:c r="E244" s="14"/>
      <x:c r="F244" s="45" t="str">
        <x:f>IF(AND(ISNUMBER(Costos_Directos_Base_CLP),Costos_Directos_Base_CLP&gt;0,ISNUMBER(VE_Monetario_Inicial)),(VE_Monetario_Inicial)/Costos_Directos_Base_CLP,"Pendiente")</x:f>
        <x:v>Pendiente</x:v>
      </x:c>
      <x:c r="G244" s="14"/>
    </x:row>
    <x:row r="245" ht="36" customHeight="1">
      <x:c r="A245" s="16" t="str">
        <x:v>Reserva según la regla interna del gerente de operaciones, pendiente de fundamento</x:v>
      </x:c>
      <x:c r="B245" s="16"/>
      <x:c r="C245" s="16"/>
      <x:c r="D245" s="16"/>
      <x:c r="E245" s="16"/>
      <x:c r="F245" s="46" t="str">
        <x:f>IF(AND(ISNUMBER(Costos_Directos_Base_CLP),ISNUMBER(Regla_Interna_Tasa)),Costos_Directos_Base_CLP*Regla_Interna_Tasa,"Pendiente")</x:f>
        <x:v>Pendiente</x:v>
      </x:c>
      <x:c r="G245" s="16"/>
    </x:row>
    <x:row r="246" ht="36" customHeight="1">
      <x:c r="A246" s="14" t="str">
        <x:v>Brecha entre la costumbre y el cálculo</x:v>
      </x:c>
      <x:c r="B246" s="14"/>
      <x:c r="C246" s="14"/>
      <x:c r="D246" s="14"/>
      <x:c r="E246" s="14"/>
      <x:c r="F246" s="46" t="str">
        <x:f>IF(AND(ISNUMBER(F245),ISNUMBER(VE_Monetario_Inicial)),(VE_Monetario_Inicial)-F245,"Pendiente")</x:f>
        <x:v>Pendiente</x:v>
      </x:c>
      <x:c r="G246" s="14"/>
    </x:row>
    <x:row r="247">
      <x:c r="A247" s="3"/>
      <x:c r="B247" s="3"/>
      <x:c r="C247" s="3"/>
      <x:c r="D247" s="3"/>
      <x:c r="E247" s="3"/>
      <x:c r="F247" s="3"/>
      <x:c r="G247" s="3"/>
    </x:row>
    <x:row r="248">
      <x:c r="A248" s="3"/>
      <x:c r="B248" s="3"/>
      <x:c r="C248" s="3"/>
      <x:c r="D248" s="3"/>
      <x:c r="E248" s="3"/>
      <x:c r="F248" s="3"/>
      <x:c r="G248" s="3"/>
    </x:row>
    <x:row r="249">
      <x:c r="A249" s="3"/>
      <x:c r="B249" s="3"/>
      <x:c r="C249" s="3"/>
      <x:c r="D249" s="3"/>
      <x:c r="E249" s="3"/>
      <x:c r="F249" s="3"/>
      <x:c r="G249" s="3"/>
    </x:row>
    <x:row r="250" ht="30" customHeight="1">
      <x:c r="A250" s="6" t="str">
        <x:v>5 · El orden y los ocho de mayor exposición</x:v>
      </x:c>
      <x:c r="B250" s="6"/>
      <x:c r="C250" s="6"/>
      <x:c r="D250" s="6"/>
      <x:c r="E250" s="6"/>
      <x:c r="F250" s="6"/>
      <x:c r="G250" s="6"/>
    </x:row>
    <x:row r="251" ht="30" customHeight="1">
      <x:c r="A251" s="5" t="str">
        <x:v>Orden: exposición descendente; desempate por proximidad del evento, impacto y finalmente ID. El plazo se declara por riesgo.</x:v>
      </x:c>
      <x:c r="B251" s="5"/>
      <x:c r="C251" s="5"/>
      <x:c r="D251" s="5"/>
      <x:c r="E251" s="5"/>
      <x:c r="F251" s="5"/>
      <x:c r="G251" s="5"/>
    </x:row>
    <x:row r="252" ht="26" customHeight="1">
      <x:c r="A252" s="7" t="str">
        <x:v>Tabla 8 · Orden de prioridad</x:v>
      </x:c>
      <x:c r="B252" s="7"/>
      <x:c r="C252" s="7"/>
      <x:c r="D252" s="7"/>
      <x:c r="E252" s="7"/>
      <x:c r="F252" s="7"/>
      <x:c r="G252" s="7"/>
    </x:row>
    <x:row r="253" ht="38" customHeight="1">
      <x:c r="A253" s="12" t="str">
        <x:v>Lugar</x:v>
      </x:c>
      <x:c r="B253" s="12" t="str">
        <x:v>ID</x:v>
      </x:c>
      <x:c r="C253" s="12" t="str">
        <x:v>Exposición</x:v>
      </x:c>
      <x:c r="D253" s="12" t="str">
        <x:v>Valor esperado</x:v>
      </x:c>
      <x:c r="E253" s="12" t="str">
        <x:v>Zona</x:v>
      </x:c>
      <x:c r="F253" s="12" t="str">
        <x:v>Observación</x:v>
      </x:c>
      <x:c r="G253" s="12"/>
    </x:row>
    <x:row r="254" ht="48" customHeight="1">
      <x:c r="A254" s="14" t="n">
        <x:v>1</x:v>
      </x:c>
      <x:c r="B254" s="14" t="str">
        <x:f>IF(Lugar_R001=A254,"R-001",IF(Lugar_R002=A254,"R-002",IF(Lugar_R003=A254,"R-003",IF(Lugar_R004=A254,"R-004",IF(Lugar_R005=A254,"R-005",IF(Lugar_R006=A254,"R-006",IF(Lugar_R007=A254,"R-007",IF(Lugar_R008=A254,"R-008",IF(Lugar_R009=A254,"R-009",IF(Lugar_R010=A254,"R-010",IF(Lugar_R011=A254,"R-011",IF(Lugar_R012=A254,"R-012",IF(Lugar_R013=A254,"R-013",IF(Lugar_R014=A254,"R-014",IF(Lugar_R015=A254,"R-015",IF(Lugar_R016=A254,"R-016",IF(Lugar_R017=A254,"R-017",IF(Lugar_R018=A254,"R-018",IF(Lugar_R019=A254,"R-019",IF(Lugar_R020=A254,"R-020",IF(Lugar_R021=A254,"R-021",IF(Lugar_R022=A254,"R-022",IF(Lugar_R023=A254,"R-023",IF(Lugar_R024=A254,"R-024",IF(Lugar_R025=A254,"R-025",IF(Lugar_R026=A254,"R-026",IF(Lugar_R027=A254,"R-027",IF(Lugar_R028=A254,"R-028",IF(Lugar_R029=A254,"R-029",IF(Lugar_R030=A254,"R-030",IF(Lugar_R031=A254,"R-031",IF(Lugar_R032=A254,"R-032",IF(Lugar_R033=A254,"R-033",IF(Lugar_R034=A254,"R-034",IF(Lugar_R035=A254,"R-035",IF(Lugar_R036=A254,"R-036",IF(Lugar_R037=A254,"R-037",IF(Lugar_R038=A254,"R-038",IF(Lugar_R039=A254,"R-039",IF(Lugar_R040=A254,"R-040",IF(Lugar_R041=A254,"R-041",IF(Lugar_R042=A254,"R-042",IF(Lugar_R043=A254,"R-043",IF(Lugar_R044=A254,"R-044",IF(Lugar_R045=A254,"R-045","Sin prioridad")))))))))))))))))))))))))))))))))))))))))))))</x:f>
        <x:v>R-015</x:v>
      </x:c>
      <x:c r="C254" s="47" t="n">
        <x:f>INDEX($E$38:$E$82,MATCH(B254,$A$38:$A$82,0))*INDEX($F$38:$F$82,MATCH(B254,$A$38:$A$82,0))</x:f>
        <x:v>0.4</x:v>
      </x:c>
      <x:c r="D254" s="30" t="n">
        <x:f>INDEX($E$192:$E$236,MATCH(B254,$A$192:$A$236,0))</x:f>
        <x:v>70.56</x:v>
      </x:c>
      <x:c r="E254" s="14" t="str">
        <x:f>INDEX($G$38:$G$82,MATCH(B254,$A$38:$A$82,0))</x:f>
        <x:v>Crítica</x:v>
      </x:c>
      <x:c r="F254" s="14" t="str">
        <x:f>"Mes "&amp;CHOOSE(MATCH(B254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Mes_R001,Mes_R002,Mes_R003,Mes_R004,Mes_R005,Mes_R006,Mes_R007,Mes_R008,Mes_R009,Mes_R010,Mes_R011,Mes_R012,Mes_R013,Mes_R014,Mes_R015,Mes_R016,Mes_R017,Mes_R018,Mes_R019,Mes_R020,Mes_R021,Mes_R022,Mes_R023,Mes_R024,Mes_R025,Mes_R026,Mes_R027,Mes_R028,Mes_R029,Mes_R030,Mes_R031,Mes_R032,Mes_R033,Mes_R034,Mes_R035,Mes_R036,Mes_R037,Mes_R038,Mes_R039,Mes_R040,Mes_R041,Mes_R042,Mes_R043,Mes_R044,Mes_R045)&amp;"; residual objetivo: "&amp;CHOOSE(MATCH(B254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RZ_R001,RZ_R002,RZ_R003,RZ_R004,RZ_R005,RZ_R006,RZ_R007,RZ_R008,RZ_R009,RZ_R010,RZ_R011,RZ_R012,RZ_R013,RZ_R014,RZ_R015,RZ_R016,RZ_R017,RZ_R018,RZ_R019,RZ_R020,RZ_R021,RZ_R022,RZ_R023,RZ_R024,RZ_R025,RZ_R026,RZ_R027,RZ_R028,RZ_R029,RZ_R030,RZ_R031,RZ_R032,RZ_R033,RZ_R034,RZ_R035,RZ_R036,RZ_R037,RZ_R038,RZ_R039,RZ_R040,RZ_R041,RZ_R042,RZ_R043,RZ_R044,RZ_R045)&amp;"; eficacia pendiente de validación."</x:f>
        <x:v>Mes 11; residual objetivo: Media; eficacia pendiente de validación.</x:v>
      </x:c>
      <x:c r="G254" s="14"/>
    </x:row>
    <x:row r="255" ht="48" customHeight="1">
      <x:c r="A255" s="16" t="n">
        <x:v>2</x:v>
      </x:c>
      <x:c r="B255" s="16" t="str">
        <x:f>IF(Lugar_R001=A255,"R-001",IF(Lugar_R002=A255,"R-002",IF(Lugar_R003=A255,"R-003",IF(Lugar_R004=A255,"R-004",IF(Lugar_R005=A255,"R-005",IF(Lugar_R006=A255,"R-006",IF(Lugar_R007=A255,"R-007",IF(Lugar_R008=A255,"R-008",IF(Lugar_R009=A255,"R-009",IF(Lugar_R010=A255,"R-010",IF(Lugar_R011=A255,"R-011",IF(Lugar_R012=A255,"R-012",IF(Lugar_R013=A255,"R-013",IF(Lugar_R014=A255,"R-014",IF(Lugar_R015=A255,"R-015",IF(Lugar_R016=A255,"R-016",IF(Lugar_R017=A255,"R-017",IF(Lugar_R018=A255,"R-018",IF(Lugar_R019=A255,"R-019",IF(Lugar_R020=A255,"R-020",IF(Lugar_R021=A255,"R-021",IF(Lugar_R022=A255,"R-022",IF(Lugar_R023=A255,"R-023",IF(Lugar_R024=A255,"R-024",IF(Lugar_R025=A255,"R-025",IF(Lugar_R026=A255,"R-026",IF(Lugar_R027=A255,"R-027",IF(Lugar_R028=A255,"R-028",IF(Lugar_R029=A255,"R-029",IF(Lugar_R030=A255,"R-030",IF(Lugar_R031=A255,"R-031",IF(Lugar_R032=A255,"R-032",IF(Lugar_R033=A255,"R-033",IF(Lugar_R034=A255,"R-034",IF(Lugar_R035=A255,"R-035",IF(Lugar_R036=A255,"R-036",IF(Lugar_R037=A255,"R-037",IF(Lugar_R038=A255,"R-038",IF(Lugar_R039=A255,"R-039",IF(Lugar_R040=A255,"R-040",IF(Lugar_R041=A255,"R-041",IF(Lugar_R042=A255,"R-042",IF(Lugar_R043=A255,"R-043",IF(Lugar_R044=A255,"R-044",IF(Lugar_R045=A255,"R-045","Sin prioridad")))))))))))))))))))))))))))))))))))))))))))))</x:f>
        <x:v>R-012</x:v>
      </x:c>
      <x:c r="C255" s="48" t="n">
        <x:f>INDEX($E$38:$E$82,MATCH(B255,$A$38:$A$82,0))*INDEX($F$38:$F$82,MATCH(B255,$A$38:$A$82,0))</x:f>
        <x:v>0.4</x:v>
      </x:c>
      <x:c r="D255" s="33" t="n">
        <x:f>INDEX($E$192:$E$236,MATCH(B255,$A$192:$A$236,0))</x:f>
        <x:v>70.56</x:v>
      </x:c>
      <x:c r="E255" s="16" t="str">
        <x:f>INDEX($G$38:$G$82,MATCH(B255,$A$38:$A$82,0))</x:f>
        <x:v>Crítica</x:v>
      </x:c>
      <x:c r="F255" s="16" t="str">
        <x:f>"Mes "&amp;CHOOSE(MATCH(B255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Mes_R001,Mes_R002,Mes_R003,Mes_R004,Mes_R005,Mes_R006,Mes_R007,Mes_R008,Mes_R009,Mes_R010,Mes_R011,Mes_R012,Mes_R013,Mes_R014,Mes_R015,Mes_R016,Mes_R017,Mes_R018,Mes_R019,Mes_R020,Mes_R021,Mes_R022,Mes_R023,Mes_R024,Mes_R025,Mes_R026,Mes_R027,Mes_R028,Mes_R029,Mes_R030,Mes_R031,Mes_R032,Mes_R033,Mes_R034,Mes_R035,Mes_R036,Mes_R037,Mes_R038,Mes_R039,Mes_R040,Mes_R041,Mes_R042,Mes_R043,Mes_R044,Mes_R045)&amp;"; residual objetivo: "&amp;CHOOSE(MATCH(B255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RZ_R001,RZ_R002,RZ_R003,RZ_R004,RZ_R005,RZ_R006,RZ_R007,RZ_R008,RZ_R009,RZ_R010,RZ_R011,RZ_R012,RZ_R013,RZ_R014,RZ_R015,RZ_R016,RZ_R017,RZ_R018,RZ_R019,RZ_R020,RZ_R021,RZ_R022,RZ_R023,RZ_R024,RZ_R025,RZ_R026,RZ_R027,RZ_R028,RZ_R029,RZ_R030,RZ_R031,RZ_R032,RZ_R033,RZ_R034,RZ_R035,RZ_R036,RZ_R037,RZ_R038,RZ_R039,RZ_R040,RZ_R041,RZ_R042,RZ_R043,RZ_R044,RZ_R045)&amp;"; eficacia pendiente de validación."</x:f>
        <x:v>Mes 12; residual objetivo: Baja; eficacia pendiente de validación.</x:v>
      </x:c>
      <x:c r="G255" s="16"/>
    </x:row>
    <x:row r="256" ht="48" customHeight="1">
      <x:c r="A256" s="14" t="n">
        <x:v>3</x:v>
      </x:c>
      <x:c r="B256" s="14" t="str">
        <x:f>IF(Lugar_R001=A256,"R-001",IF(Lugar_R002=A256,"R-002",IF(Lugar_R003=A256,"R-003",IF(Lugar_R004=A256,"R-004",IF(Lugar_R005=A256,"R-005",IF(Lugar_R006=A256,"R-006",IF(Lugar_R007=A256,"R-007",IF(Lugar_R008=A256,"R-008",IF(Lugar_R009=A256,"R-009",IF(Lugar_R010=A256,"R-010",IF(Lugar_R011=A256,"R-011",IF(Lugar_R012=A256,"R-012",IF(Lugar_R013=A256,"R-013",IF(Lugar_R014=A256,"R-014",IF(Lugar_R015=A256,"R-015",IF(Lugar_R016=A256,"R-016",IF(Lugar_R017=A256,"R-017",IF(Lugar_R018=A256,"R-018",IF(Lugar_R019=A256,"R-019",IF(Lugar_R020=A256,"R-020",IF(Lugar_R021=A256,"R-021",IF(Lugar_R022=A256,"R-022",IF(Lugar_R023=A256,"R-023",IF(Lugar_R024=A256,"R-024",IF(Lugar_R025=A256,"R-025",IF(Lugar_R026=A256,"R-026",IF(Lugar_R027=A256,"R-027",IF(Lugar_R028=A256,"R-028",IF(Lugar_R029=A256,"R-029",IF(Lugar_R030=A256,"R-030",IF(Lugar_R031=A256,"R-031",IF(Lugar_R032=A256,"R-032",IF(Lugar_R033=A256,"R-033",IF(Lugar_R034=A256,"R-034",IF(Lugar_R035=A256,"R-035",IF(Lugar_R036=A256,"R-036",IF(Lugar_R037=A256,"R-037",IF(Lugar_R038=A256,"R-038",IF(Lugar_R039=A256,"R-039",IF(Lugar_R040=A256,"R-040",IF(Lugar_R041=A256,"R-041",IF(Lugar_R042=A256,"R-042",IF(Lugar_R043=A256,"R-043",IF(Lugar_R044=A256,"R-044",IF(Lugar_R045=A256,"R-045","Sin prioridad")))))))))))))))))))))))))))))))))))))))))))))</x:f>
        <x:v>R-014</x:v>
      </x:c>
      <x:c r="C256" s="47" t="n">
        <x:f>INDEX($E$38:$E$82,MATCH(B256,$A$38:$A$82,0))*INDEX($F$38:$F$82,MATCH(B256,$A$38:$A$82,0))</x:f>
        <x:v>0.24</x:v>
      </x:c>
      <x:c r="D256" s="30" t="n">
        <x:f>INDEX($E$192:$E$236,MATCH(B256,$A$192:$A$236,0))</x:f>
        <x:v>19.200000000000003</x:v>
      </x:c>
      <x:c r="E256" s="14" t="str">
        <x:f>INDEX($G$38:$G$82,MATCH(B256,$A$38:$A$82,0))</x:f>
        <x:v>Alta</x:v>
      </x:c>
      <x:c r="F256" s="14" t="str">
        <x:f>"Mes "&amp;CHOOSE(MATCH(B256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Mes_R001,Mes_R002,Mes_R003,Mes_R004,Mes_R005,Mes_R006,Mes_R007,Mes_R008,Mes_R009,Mes_R010,Mes_R011,Mes_R012,Mes_R013,Mes_R014,Mes_R015,Mes_R016,Mes_R017,Mes_R018,Mes_R019,Mes_R020,Mes_R021,Mes_R022,Mes_R023,Mes_R024,Mes_R025,Mes_R026,Mes_R027,Mes_R028,Mes_R029,Mes_R030,Mes_R031,Mes_R032,Mes_R033,Mes_R034,Mes_R035,Mes_R036,Mes_R037,Mes_R038,Mes_R039,Mes_R040,Mes_R041,Mes_R042,Mes_R043,Mes_R044,Mes_R045)&amp;"; residual objetivo: "&amp;CHOOSE(MATCH(B256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RZ_R001,RZ_R002,RZ_R003,RZ_R004,RZ_R005,RZ_R006,RZ_R007,RZ_R008,RZ_R009,RZ_R010,RZ_R011,RZ_R012,RZ_R013,RZ_R014,RZ_R015,RZ_R016,RZ_R017,RZ_R018,RZ_R019,RZ_R020,RZ_R021,RZ_R022,RZ_R023,RZ_R024,RZ_R025,RZ_R026,RZ_R027,RZ_R028,RZ_R029,RZ_R030,RZ_R031,RZ_R032,RZ_R033,RZ_R034,RZ_R035,RZ_R036,RZ_R037,RZ_R038,RZ_R039,RZ_R040,RZ_R041,RZ_R042,RZ_R043,RZ_R044,RZ_R045)&amp;"; eficacia pendiente de validación."</x:f>
        <x:v>Mes 4; residual objetivo: Media; eficacia pendiente de validación.</x:v>
      </x:c>
      <x:c r="G256" s="14"/>
    </x:row>
    <x:row r="257" ht="48" customHeight="1">
      <x:c r="A257" s="16" t="n">
        <x:v>4</x:v>
      </x:c>
      <x:c r="B257" s="16" t="str">
        <x:f>IF(Lugar_R001=A257,"R-001",IF(Lugar_R002=A257,"R-002",IF(Lugar_R003=A257,"R-003",IF(Lugar_R004=A257,"R-004",IF(Lugar_R005=A257,"R-005",IF(Lugar_R006=A257,"R-006",IF(Lugar_R007=A257,"R-007",IF(Lugar_R008=A257,"R-008",IF(Lugar_R009=A257,"R-009",IF(Lugar_R010=A257,"R-010",IF(Lugar_R011=A257,"R-011",IF(Lugar_R012=A257,"R-012",IF(Lugar_R013=A257,"R-013",IF(Lugar_R014=A257,"R-014",IF(Lugar_R015=A257,"R-015",IF(Lugar_R016=A257,"R-016",IF(Lugar_R017=A257,"R-017",IF(Lugar_R018=A257,"R-018",IF(Lugar_R019=A257,"R-019",IF(Lugar_R020=A257,"R-020",IF(Lugar_R021=A257,"R-021",IF(Lugar_R022=A257,"R-022",IF(Lugar_R023=A257,"R-023",IF(Lugar_R024=A257,"R-024",IF(Lugar_R025=A257,"R-025",IF(Lugar_R026=A257,"R-026",IF(Lugar_R027=A257,"R-027",IF(Lugar_R028=A257,"R-028",IF(Lugar_R029=A257,"R-029",IF(Lugar_R030=A257,"R-030",IF(Lugar_R031=A257,"R-031",IF(Lugar_R032=A257,"R-032",IF(Lugar_R033=A257,"R-033",IF(Lugar_R034=A257,"R-034",IF(Lugar_R035=A257,"R-035",IF(Lugar_R036=A257,"R-036",IF(Lugar_R037=A257,"R-037",IF(Lugar_R038=A257,"R-038",IF(Lugar_R039=A257,"R-039",IF(Lugar_R040=A257,"R-040",IF(Lugar_R041=A257,"R-041",IF(Lugar_R042=A257,"R-042",IF(Lugar_R043=A257,"R-043",IF(Lugar_R044=A257,"R-044",IF(Lugar_R045=A257,"R-045","Sin prioridad")))))))))))))))))))))))))))))))))))))))))))))</x:f>
        <x:v>R-006</x:v>
      </x:c>
      <x:c r="C257" s="48" t="n">
        <x:f>INDEX($E$38:$E$82,MATCH(B257,$A$38:$A$82,0))*INDEX($F$38:$F$82,MATCH(B257,$A$38:$A$82,0))</x:f>
        <x:v>0.24</x:v>
      </x:c>
      <x:c r="D257" s="33" t="n">
        <x:f>INDEX($E$192:$E$236,MATCH(B257,$A$192:$A$236,0))</x:f>
        <x:v>17.6</x:v>
      </x:c>
      <x:c r="E257" s="16" t="str">
        <x:f>INDEX($G$38:$G$82,MATCH(B257,$A$38:$A$82,0))</x:f>
        <x:v>Alta</x:v>
      </x:c>
      <x:c r="F257" s="16" t="str">
        <x:f>"Mes "&amp;CHOOSE(MATCH(B257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Mes_R001,Mes_R002,Mes_R003,Mes_R004,Mes_R005,Mes_R006,Mes_R007,Mes_R008,Mes_R009,Mes_R010,Mes_R011,Mes_R012,Mes_R013,Mes_R014,Mes_R015,Mes_R016,Mes_R017,Mes_R018,Mes_R019,Mes_R020,Mes_R021,Mes_R022,Mes_R023,Mes_R024,Mes_R025,Mes_R026,Mes_R027,Mes_R028,Mes_R029,Mes_R030,Mes_R031,Mes_R032,Mes_R033,Mes_R034,Mes_R035,Mes_R036,Mes_R037,Mes_R038,Mes_R039,Mes_R040,Mes_R041,Mes_R042,Mes_R043,Mes_R044,Mes_R045)&amp;"; residual objetivo: "&amp;CHOOSE(MATCH(B257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RZ_R001,RZ_R002,RZ_R003,RZ_R004,RZ_R005,RZ_R006,RZ_R007,RZ_R008,RZ_R009,RZ_R010,RZ_R011,RZ_R012,RZ_R013,RZ_R014,RZ_R015,RZ_R016,RZ_R017,RZ_R018,RZ_R019,RZ_R020,RZ_R021,RZ_R022,RZ_R023,RZ_R024,RZ_R025,RZ_R026,RZ_R027,RZ_R028,RZ_R029,RZ_R030,RZ_R031,RZ_R032,RZ_R033,RZ_R034,RZ_R035,RZ_R036,RZ_R037,RZ_R038,RZ_R039,RZ_R040,RZ_R041,RZ_R042,RZ_R043,RZ_R044,RZ_R045)&amp;"; eficacia pendiente de validación."</x:f>
        <x:v>Mes 6; residual objetivo: Media; eficacia pendiente de validación.</x:v>
      </x:c>
      <x:c r="G257" s="16"/>
    </x:row>
    <x:row r="258" ht="48" customHeight="1">
      <x:c r="A258" s="14" t="n">
        <x:v>5</x:v>
      </x:c>
      <x:c r="B258" s="14" t="str">
        <x:f>IF(Lugar_R001=A258,"R-001",IF(Lugar_R002=A258,"R-002",IF(Lugar_R003=A258,"R-003",IF(Lugar_R004=A258,"R-004",IF(Lugar_R005=A258,"R-005",IF(Lugar_R006=A258,"R-006",IF(Lugar_R007=A258,"R-007",IF(Lugar_R008=A258,"R-008",IF(Lugar_R009=A258,"R-009",IF(Lugar_R010=A258,"R-010",IF(Lugar_R011=A258,"R-011",IF(Lugar_R012=A258,"R-012",IF(Lugar_R013=A258,"R-013",IF(Lugar_R014=A258,"R-014",IF(Lugar_R015=A258,"R-015",IF(Lugar_R016=A258,"R-016",IF(Lugar_R017=A258,"R-017",IF(Lugar_R018=A258,"R-018",IF(Lugar_R019=A258,"R-019",IF(Lugar_R020=A258,"R-020",IF(Lugar_R021=A258,"R-021",IF(Lugar_R022=A258,"R-022",IF(Lugar_R023=A258,"R-023",IF(Lugar_R024=A258,"R-024",IF(Lugar_R025=A258,"R-025",IF(Lugar_R026=A258,"R-026",IF(Lugar_R027=A258,"R-027",IF(Lugar_R028=A258,"R-028",IF(Lugar_R029=A258,"R-029",IF(Lugar_R030=A258,"R-030",IF(Lugar_R031=A258,"R-031",IF(Lugar_R032=A258,"R-032",IF(Lugar_R033=A258,"R-033",IF(Lugar_R034=A258,"R-034",IF(Lugar_R035=A258,"R-035",IF(Lugar_R036=A258,"R-036",IF(Lugar_R037=A258,"R-037",IF(Lugar_R038=A258,"R-038",IF(Lugar_R039=A258,"R-039",IF(Lugar_R040=A258,"R-040",IF(Lugar_R041=A258,"R-041",IF(Lugar_R042=A258,"R-042",IF(Lugar_R043=A258,"R-043",IF(Lugar_R044=A258,"R-044",IF(Lugar_R045=A258,"R-045","Sin prioridad")))))))))))))))))))))))))))))))))))))))))))))</x:f>
        <x:v>R-005</x:v>
      </x:c>
      <x:c r="C258" s="47" t="n">
        <x:f>INDEX($E$38:$E$82,MATCH(B258,$A$38:$A$82,0))*INDEX($F$38:$F$82,MATCH(B258,$A$38:$A$82,0))</x:f>
        <x:v>0.24</x:v>
      </x:c>
      <x:c r="D258" s="30" t="n">
        <x:f>INDEX($E$192:$E$236,MATCH(B258,$A$192:$A$236,0))</x:f>
        <x:v>38.4</x:v>
      </x:c>
      <x:c r="E258" s="14" t="str">
        <x:f>INDEX($G$38:$G$82,MATCH(B258,$A$38:$A$82,0))</x:f>
        <x:v>Alta</x:v>
      </x:c>
      <x:c r="F258" s="14" t="str">
        <x:f>"Mes "&amp;CHOOSE(MATCH(B258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Mes_R001,Mes_R002,Mes_R003,Mes_R004,Mes_R005,Mes_R006,Mes_R007,Mes_R008,Mes_R009,Mes_R010,Mes_R011,Mes_R012,Mes_R013,Mes_R014,Mes_R015,Mes_R016,Mes_R017,Mes_R018,Mes_R019,Mes_R020,Mes_R021,Mes_R022,Mes_R023,Mes_R024,Mes_R025,Mes_R026,Mes_R027,Mes_R028,Mes_R029,Mes_R030,Mes_R031,Mes_R032,Mes_R033,Mes_R034,Mes_R035,Mes_R036,Mes_R037,Mes_R038,Mes_R039,Mes_R040,Mes_R041,Mes_R042,Mes_R043,Mes_R044,Mes_R045)&amp;"; residual objetivo: "&amp;CHOOSE(MATCH(B258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RZ_R001,RZ_R002,RZ_R003,RZ_R004,RZ_R005,RZ_R006,RZ_R007,RZ_R008,RZ_R009,RZ_R010,RZ_R011,RZ_R012,RZ_R013,RZ_R014,RZ_R015,RZ_R016,RZ_R017,RZ_R018,RZ_R019,RZ_R020,RZ_R021,RZ_R022,RZ_R023,RZ_R024,RZ_R025,RZ_R026,RZ_R027,RZ_R028,RZ_R029,RZ_R030,RZ_R031,RZ_R032,RZ_R033,RZ_R034,RZ_R035,RZ_R036,RZ_R037,RZ_R038,RZ_R039,RZ_R040,RZ_R041,RZ_R042,RZ_R043,RZ_R044,RZ_R045)&amp;"; eficacia pendiente de validación."</x:f>
        <x:v>Mes 8; residual objetivo: Media; eficacia pendiente de validación.</x:v>
      </x:c>
      <x:c r="G258" s="14"/>
    </x:row>
    <x:row r="259" ht="48" customHeight="1">
      <x:c r="A259" s="16" t="n">
        <x:v>6</x:v>
      </x:c>
      <x:c r="B259" s="16" t="str">
        <x:f>IF(Lugar_R001=A259,"R-001",IF(Lugar_R002=A259,"R-002",IF(Lugar_R003=A259,"R-003",IF(Lugar_R004=A259,"R-004",IF(Lugar_R005=A259,"R-005",IF(Lugar_R006=A259,"R-006",IF(Lugar_R007=A259,"R-007",IF(Lugar_R008=A259,"R-008",IF(Lugar_R009=A259,"R-009",IF(Lugar_R010=A259,"R-010",IF(Lugar_R011=A259,"R-011",IF(Lugar_R012=A259,"R-012",IF(Lugar_R013=A259,"R-013",IF(Lugar_R014=A259,"R-014",IF(Lugar_R015=A259,"R-015",IF(Lugar_R016=A259,"R-016",IF(Lugar_R017=A259,"R-017",IF(Lugar_R018=A259,"R-018",IF(Lugar_R019=A259,"R-019",IF(Lugar_R020=A259,"R-020",IF(Lugar_R021=A259,"R-021",IF(Lugar_R022=A259,"R-022",IF(Lugar_R023=A259,"R-023",IF(Lugar_R024=A259,"R-024",IF(Lugar_R025=A259,"R-025",IF(Lugar_R026=A259,"R-026",IF(Lugar_R027=A259,"R-027",IF(Lugar_R028=A259,"R-028",IF(Lugar_R029=A259,"R-029",IF(Lugar_R030=A259,"R-030",IF(Lugar_R031=A259,"R-031",IF(Lugar_R032=A259,"R-032",IF(Lugar_R033=A259,"R-033",IF(Lugar_R034=A259,"R-034",IF(Lugar_R035=A259,"R-035",IF(Lugar_R036=A259,"R-036",IF(Lugar_R037=A259,"R-037",IF(Lugar_R038=A259,"R-038",IF(Lugar_R039=A259,"R-039",IF(Lugar_R040=A259,"R-040",IF(Lugar_R041=A259,"R-041",IF(Lugar_R042=A259,"R-042",IF(Lugar_R043=A259,"R-043",IF(Lugar_R044=A259,"R-044",IF(Lugar_R045=A259,"R-045","Sin prioridad")))))))))))))))))))))))))))))))))))))))))))))</x:f>
        <x:v>R-011</x:v>
      </x:c>
      <x:c r="C259" s="48" t="n">
        <x:f>INDEX($E$38:$E$82,MATCH(B259,$A$38:$A$82,0))*INDEX($F$38:$F$82,MATCH(B259,$A$38:$A$82,0))</x:f>
        <x:v>0.24</x:v>
      </x:c>
      <x:c r="D259" s="33" t="n">
        <x:f>INDEX($E$192:$E$236,MATCH(B259,$A$192:$A$236,0))</x:f>
        <x:v>28.799999999999997</x:v>
      </x:c>
      <x:c r="E259" s="16" t="str">
        <x:f>INDEX($G$38:$G$82,MATCH(B259,$A$38:$A$82,0))</x:f>
        <x:v>Alta</x:v>
      </x:c>
      <x:c r="F259" s="16" t="str">
        <x:f>"Mes "&amp;CHOOSE(MATCH(B259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Mes_R001,Mes_R002,Mes_R003,Mes_R004,Mes_R005,Mes_R006,Mes_R007,Mes_R008,Mes_R009,Mes_R010,Mes_R011,Mes_R012,Mes_R013,Mes_R014,Mes_R015,Mes_R016,Mes_R017,Mes_R018,Mes_R019,Mes_R020,Mes_R021,Mes_R022,Mes_R023,Mes_R024,Mes_R025,Mes_R026,Mes_R027,Mes_R028,Mes_R029,Mes_R030,Mes_R031,Mes_R032,Mes_R033,Mes_R034,Mes_R035,Mes_R036,Mes_R037,Mes_R038,Mes_R039,Mes_R040,Mes_R041,Mes_R042,Mes_R043,Mes_R044,Mes_R045)&amp;"; residual objetivo: "&amp;CHOOSE(MATCH(B259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RZ_R001,RZ_R002,RZ_R003,RZ_R004,RZ_R005,RZ_R006,RZ_R007,RZ_R008,RZ_R009,RZ_R010,RZ_R011,RZ_R012,RZ_R013,RZ_R014,RZ_R015,RZ_R016,RZ_R017,RZ_R018,RZ_R019,RZ_R020,RZ_R021,RZ_R022,RZ_R023,RZ_R024,RZ_R025,RZ_R026,RZ_R027,RZ_R028,RZ_R029,RZ_R030,RZ_R031,RZ_R032,RZ_R033,RZ_R034,RZ_R035,RZ_R036,RZ_R037,RZ_R038,RZ_R039,RZ_R040,RZ_R041,RZ_R042,RZ_R043,RZ_R044,RZ_R045)&amp;"; eficacia pendiente de validación."</x:f>
        <x:v>Mes 8; residual objetivo: Baja; eficacia pendiente de validación.</x:v>
      </x:c>
      <x:c r="G259" s="16"/>
    </x:row>
    <x:row r="260" ht="48" customHeight="1">
      <x:c r="A260" s="14" t="n">
        <x:v>7</x:v>
      </x:c>
      <x:c r="B260" s="14" t="str">
        <x:f>IF(Lugar_R001=A260,"R-001",IF(Lugar_R002=A260,"R-002",IF(Lugar_R003=A260,"R-003",IF(Lugar_R004=A260,"R-004",IF(Lugar_R005=A260,"R-005",IF(Lugar_R006=A260,"R-006",IF(Lugar_R007=A260,"R-007",IF(Lugar_R008=A260,"R-008",IF(Lugar_R009=A260,"R-009",IF(Lugar_R010=A260,"R-010",IF(Lugar_R011=A260,"R-011",IF(Lugar_R012=A260,"R-012",IF(Lugar_R013=A260,"R-013",IF(Lugar_R014=A260,"R-014",IF(Lugar_R015=A260,"R-015",IF(Lugar_R016=A260,"R-016",IF(Lugar_R017=A260,"R-017",IF(Lugar_R018=A260,"R-018",IF(Lugar_R019=A260,"R-019",IF(Lugar_R020=A260,"R-020",IF(Lugar_R021=A260,"R-021",IF(Lugar_R022=A260,"R-022",IF(Lugar_R023=A260,"R-023",IF(Lugar_R024=A260,"R-024",IF(Lugar_R025=A260,"R-025",IF(Lugar_R026=A260,"R-026",IF(Lugar_R027=A260,"R-027",IF(Lugar_R028=A260,"R-028",IF(Lugar_R029=A260,"R-029",IF(Lugar_R030=A260,"R-030",IF(Lugar_R031=A260,"R-031",IF(Lugar_R032=A260,"R-032",IF(Lugar_R033=A260,"R-033",IF(Lugar_R034=A260,"R-034",IF(Lugar_R035=A260,"R-035",IF(Lugar_R036=A260,"R-036",IF(Lugar_R037=A260,"R-037",IF(Lugar_R038=A260,"R-038",IF(Lugar_R039=A260,"R-039",IF(Lugar_R040=A260,"R-040",IF(Lugar_R041=A260,"R-041",IF(Lugar_R042=A260,"R-042",IF(Lugar_R043=A260,"R-043",IF(Lugar_R044=A260,"R-044",IF(Lugar_R045=A260,"R-045","Sin prioridad")))))))))))))))))))))))))))))))))))))))))))))</x:f>
        <x:v>R-013</x:v>
      </x:c>
      <x:c r="C260" s="47" t="n">
        <x:f>INDEX($E$38:$E$82,MATCH(B260,$A$38:$A$82,0))*INDEX($F$38:$F$82,MATCH(B260,$A$38:$A$82,0))</x:f>
        <x:v>0.24</x:v>
      </x:c>
      <x:c r="D260" s="30" t="n">
        <x:f>INDEX($E$192:$E$236,MATCH(B260,$A$192:$A$236,0))</x:f>
        <x:v>31.679999999999996</x:v>
      </x:c>
      <x:c r="E260" s="14" t="str">
        <x:f>INDEX($G$38:$G$82,MATCH(B260,$A$38:$A$82,0))</x:f>
        <x:v>Alta</x:v>
      </x:c>
      <x:c r="F260" s="14" t="str">
        <x:f>"Mes "&amp;CHOOSE(MATCH(B260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Mes_R001,Mes_R002,Mes_R003,Mes_R004,Mes_R005,Mes_R006,Mes_R007,Mes_R008,Mes_R009,Mes_R010,Mes_R011,Mes_R012,Mes_R013,Mes_R014,Mes_R015,Mes_R016,Mes_R017,Mes_R018,Mes_R019,Mes_R020,Mes_R021,Mes_R022,Mes_R023,Mes_R024,Mes_R025,Mes_R026,Mes_R027,Mes_R028,Mes_R029,Mes_R030,Mes_R031,Mes_R032,Mes_R033,Mes_R034,Mes_R035,Mes_R036,Mes_R037,Mes_R038,Mes_R039,Mes_R040,Mes_R041,Mes_R042,Mes_R043,Mes_R044,Mes_R045)&amp;"; residual objetivo: "&amp;CHOOSE(MATCH(B260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RZ_R001,RZ_R002,RZ_R003,RZ_R004,RZ_R005,RZ_R006,RZ_R007,RZ_R008,RZ_R009,RZ_R010,RZ_R011,RZ_R012,RZ_R013,RZ_R014,RZ_R015,RZ_R016,RZ_R017,RZ_R018,RZ_R019,RZ_R020,RZ_R021,RZ_R022,RZ_R023,RZ_R024,RZ_R025,RZ_R026,RZ_R027,RZ_R028,RZ_R029,RZ_R030,RZ_R031,RZ_R032,RZ_R033,RZ_R034,RZ_R035,RZ_R036,RZ_R037,RZ_R038,RZ_R039,RZ_R040,RZ_R041,RZ_R042,RZ_R043,RZ_R044,RZ_R045)&amp;"; eficacia pendiente de validación."</x:f>
        <x:v>Mes 11; residual objetivo: Media; eficacia pendiente de validación.</x:v>
      </x:c>
      <x:c r="G260" s="14"/>
    </x:row>
    <x:row r="261" ht="48" customHeight="1">
      <x:c r="A261" s="16" t="n">
        <x:v>8</x:v>
      </x:c>
      <x:c r="B261" s="16" t="str">
        <x:f>IF(Lugar_R001=A261,"R-001",IF(Lugar_R002=A261,"R-002",IF(Lugar_R003=A261,"R-003",IF(Lugar_R004=A261,"R-004",IF(Lugar_R005=A261,"R-005",IF(Lugar_R006=A261,"R-006",IF(Lugar_R007=A261,"R-007",IF(Lugar_R008=A261,"R-008",IF(Lugar_R009=A261,"R-009",IF(Lugar_R010=A261,"R-010",IF(Lugar_R011=A261,"R-011",IF(Lugar_R012=A261,"R-012",IF(Lugar_R013=A261,"R-013",IF(Lugar_R014=A261,"R-014",IF(Lugar_R015=A261,"R-015",IF(Lugar_R016=A261,"R-016",IF(Lugar_R017=A261,"R-017",IF(Lugar_R018=A261,"R-018",IF(Lugar_R019=A261,"R-019",IF(Lugar_R020=A261,"R-020",IF(Lugar_R021=A261,"R-021",IF(Lugar_R022=A261,"R-022",IF(Lugar_R023=A261,"R-023",IF(Lugar_R024=A261,"R-024",IF(Lugar_R025=A261,"R-025",IF(Lugar_R026=A261,"R-026",IF(Lugar_R027=A261,"R-027",IF(Lugar_R028=A261,"R-028",IF(Lugar_R029=A261,"R-029",IF(Lugar_R030=A261,"R-030",IF(Lugar_R031=A261,"R-031",IF(Lugar_R032=A261,"R-032",IF(Lugar_R033=A261,"R-033",IF(Lugar_R034=A261,"R-034",IF(Lugar_R035=A261,"R-035",IF(Lugar_R036=A261,"R-036",IF(Lugar_R037=A261,"R-037",IF(Lugar_R038=A261,"R-038",IF(Lugar_R039=A261,"R-039",IF(Lugar_R040=A261,"R-040",IF(Lugar_R041=A261,"R-041",IF(Lugar_R042=A261,"R-042",IF(Lugar_R043=A261,"R-043",IF(Lugar_R044=A261,"R-044",IF(Lugar_R045=A261,"R-045","Sin prioridad")))))))))))))))))))))))))))))))))))))))))))))</x:f>
        <x:v>R-016</x:v>
      </x:c>
      <x:c r="C261" s="48" t="n">
        <x:f>INDEX($E$38:$E$82,MATCH(B261,$A$38:$A$82,0))*INDEX($F$38:$F$82,MATCH(B261,$A$38:$A$82,0))</x:f>
        <x:v>0.24</x:v>
      </x:c>
      <x:c r="D261" s="33" t="n">
        <x:f>INDEX($E$192:$E$236,MATCH(B261,$A$192:$A$236,0))</x:f>
        <x:v>43.199999999999996</x:v>
      </x:c>
      <x:c r="E261" s="16" t="str">
        <x:f>INDEX($G$38:$G$82,MATCH(B261,$A$38:$A$82,0))</x:f>
        <x:v>Alta</x:v>
      </x:c>
      <x:c r="F261" s="16" t="str">
        <x:f>"Mes "&amp;CHOOSE(MATCH(B261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Mes_R001,Mes_R002,Mes_R003,Mes_R004,Mes_R005,Mes_R006,Mes_R007,Mes_R008,Mes_R009,Mes_R010,Mes_R011,Mes_R012,Mes_R013,Mes_R014,Mes_R015,Mes_R016,Mes_R017,Mes_R018,Mes_R019,Mes_R020,Mes_R021,Mes_R022,Mes_R023,Mes_R024,Mes_R025,Mes_R026,Mes_R027,Mes_R028,Mes_R029,Mes_R030,Mes_R031,Mes_R032,Mes_R033,Mes_R034,Mes_R035,Mes_R036,Mes_R037,Mes_R038,Mes_R039,Mes_R040,Mes_R041,Mes_R042,Mes_R043,Mes_R044,Mes_R045)&amp;"; residual objetivo: "&amp;CHOOSE(MATCH(B261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RZ_R001,RZ_R002,RZ_R003,RZ_R004,RZ_R005,RZ_R006,RZ_R007,RZ_R008,RZ_R009,RZ_R010,RZ_R011,RZ_R012,RZ_R013,RZ_R014,RZ_R015,RZ_R016,RZ_R017,RZ_R018,RZ_R019,RZ_R020,RZ_R021,RZ_R022,RZ_R023,RZ_R024,RZ_R025,RZ_R026,RZ_R027,RZ_R028,RZ_R029,RZ_R030,RZ_R031,RZ_R032,RZ_R033,RZ_R034,RZ_R035,RZ_R036,RZ_R037,RZ_R038,RZ_R039,RZ_R040,RZ_R041,RZ_R042,RZ_R043,RZ_R044,RZ_R045)&amp;"; eficacia pendiente de validación."</x:f>
        <x:v>Mes 11; residual objetivo: Media; eficacia pendiente de validación.</x:v>
      </x:c>
      <x:c r="G261" s="16"/>
    </x:row>
    <x:row r="262" ht="48" customHeight="1">
      <x:c r="A262" s="14" t="n">
        <x:v>9</x:v>
      </x:c>
      <x:c r="B262" s="14" t="str">
        <x:f>IF(Lugar_R001=A262,"R-001",IF(Lugar_R002=A262,"R-002",IF(Lugar_R003=A262,"R-003",IF(Lugar_R004=A262,"R-004",IF(Lugar_R005=A262,"R-005",IF(Lugar_R006=A262,"R-006",IF(Lugar_R007=A262,"R-007",IF(Lugar_R008=A262,"R-008",IF(Lugar_R009=A262,"R-009",IF(Lugar_R010=A262,"R-010",IF(Lugar_R011=A262,"R-011",IF(Lugar_R012=A262,"R-012",IF(Lugar_R013=A262,"R-013",IF(Lugar_R014=A262,"R-014",IF(Lugar_R015=A262,"R-015",IF(Lugar_R016=A262,"R-016",IF(Lugar_R017=A262,"R-017",IF(Lugar_R018=A262,"R-018",IF(Lugar_R019=A262,"R-019",IF(Lugar_R020=A262,"R-020",IF(Lugar_R021=A262,"R-021",IF(Lugar_R022=A262,"R-022",IF(Lugar_R023=A262,"R-023",IF(Lugar_R024=A262,"R-024",IF(Lugar_R025=A262,"R-025",IF(Lugar_R026=A262,"R-026",IF(Lugar_R027=A262,"R-027",IF(Lugar_R028=A262,"R-028",IF(Lugar_R029=A262,"R-029",IF(Lugar_R030=A262,"R-030",IF(Lugar_R031=A262,"R-031",IF(Lugar_R032=A262,"R-032",IF(Lugar_R033=A262,"R-033",IF(Lugar_R034=A262,"R-034",IF(Lugar_R035=A262,"R-035",IF(Lugar_R036=A262,"R-036",IF(Lugar_R037=A262,"R-037",IF(Lugar_R038=A262,"R-038",IF(Lugar_R039=A262,"R-039",IF(Lugar_R040=A262,"R-040",IF(Lugar_R041=A262,"R-041",IF(Lugar_R042=A262,"R-042",IF(Lugar_R043=A262,"R-043",IF(Lugar_R044=A262,"R-044",IF(Lugar_R045=A262,"R-045","Sin prioridad")))))))))))))))))))))))))))))))))))))))))))))</x:f>
        <x:v>R-022</x:v>
      </x:c>
      <x:c r="C262" s="47" t="n">
        <x:f>INDEX($E$38:$E$82,MATCH(B262,$A$38:$A$82,0))*INDEX($F$38:$F$82,MATCH(B262,$A$38:$A$82,0))</x:f>
        <x:v>0.2</x:v>
      </x:c>
      <x:c r="D262" s="30" t="n">
        <x:f>INDEX($E$192:$E$236,MATCH(B262,$A$192:$A$236,0))</x:f>
        <x:v>59.2</x:v>
      </x:c>
      <x:c r="E262" s="14" t="str">
        <x:f>INDEX($G$38:$G$82,MATCH(B262,$A$38:$A$82,0))</x:f>
        <x:v>Alta</x:v>
      </x:c>
      <x:c r="F262" s="14" t="str">
        <x:f>"Mes "&amp;CHOOSE(MATCH(B262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Mes_R001,Mes_R002,Mes_R003,Mes_R004,Mes_R005,Mes_R006,Mes_R007,Mes_R008,Mes_R009,Mes_R010,Mes_R011,Mes_R012,Mes_R013,Mes_R014,Mes_R015,Mes_R016,Mes_R017,Mes_R018,Mes_R019,Mes_R020,Mes_R021,Mes_R022,Mes_R023,Mes_R024,Mes_R025,Mes_R026,Mes_R027,Mes_R028,Mes_R029,Mes_R030,Mes_R031,Mes_R032,Mes_R033,Mes_R034,Mes_R035,Mes_R036,Mes_R037,Mes_R038,Mes_R039,Mes_R040,Mes_R041,Mes_R042,Mes_R043,Mes_R044,Mes_R045)&amp;"; residual objetivo: "&amp;CHOOSE(MATCH(B262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RZ_R001,RZ_R002,RZ_R003,RZ_R004,RZ_R005,RZ_R006,RZ_R007,RZ_R008,RZ_R009,RZ_R010,RZ_R011,RZ_R012,RZ_R013,RZ_R014,RZ_R015,RZ_R016,RZ_R017,RZ_R018,RZ_R019,RZ_R020,RZ_R021,RZ_R022,RZ_R023,RZ_R024,RZ_R025,RZ_R026,RZ_R027,RZ_R028,RZ_R029,RZ_R030,RZ_R031,RZ_R032,RZ_R033,RZ_R034,RZ_R035,RZ_R036,RZ_R037,RZ_R038,RZ_R039,RZ_R040,RZ_R041,RZ_R042,RZ_R043,RZ_R044,RZ_R045)&amp;"; eficacia pendiente de validación."</x:f>
        <x:v>Mes 1; residual objetivo: Baja; eficacia pendiente de validación.</x:v>
      </x:c>
      <x:c r="G262" s="14"/>
    </x:row>
    <x:row r="263" ht="48" customHeight="1">
      <x:c r="A263" s="16" t="n">
        <x:v>10</x:v>
      </x:c>
      <x:c r="B263" s="16" t="str">
        <x:f>IF(Lugar_R001=A263,"R-001",IF(Lugar_R002=A263,"R-002",IF(Lugar_R003=A263,"R-003",IF(Lugar_R004=A263,"R-004",IF(Lugar_R005=A263,"R-005",IF(Lugar_R006=A263,"R-006",IF(Lugar_R007=A263,"R-007",IF(Lugar_R008=A263,"R-008",IF(Lugar_R009=A263,"R-009",IF(Lugar_R010=A263,"R-010",IF(Lugar_R011=A263,"R-011",IF(Lugar_R012=A263,"R-012",IF(Lugar_R013=A263,"R-013",IF(Lugar_R014=A263,"R-014",IF(Lugar_R015=A263,"R-015",IF(Lugar_R016=A263,"R-016",IF(Lugar_R017=A263,"R-017",IF(Lugar_R018=A263,"R-018",IF(Lugar_R019=A263,"R-019",IF(Lugar_R020=A263,"R-020",IF(Lugar_R021=A263,"R-021",IF(Lugar_R022=A263,"R-022",IF(Lugar_R023=A263,"R-023",IF(Lugar_R024=A263,"R-024",IF(Lugar_R025=A263,"R-025",IF(Lugar_R026=A263,"R-026",IF(Lugar_R027=A263,"R-027",IF(Lugar_R028=A263,"R-028",IF(Lugar_R029=A263,"R-029",IF(Lugar_R030=A263,"R-030",IF(Lugar_R031=A263,"R-031",IF(Lugar_R032=A263,"R-032",IF(Lugar_R033=A263,"R-033",IF(Lugar_R034=A263,"R-034",IF(Lugar_R035=A263,"R-035",IF(Lugar_R036=A263,"R-036",IF(Lugar_R037=A263,"R-037",IF(Lugar_R038=A263,"R-038",IF(Lugar_R039=A263,"R-039",IF(Lugar_R040=A263,"R-040",IF(Lugar_R041=A263,"R-041",IF(Lugar_R042=A263,"R-042",IF(Lugar_R043=A263,"R-043",IF(Lugar_R044=A263,"R-044",IF(Lugar_R045=A263,"R-045","Sin prioridad")))))))))))))))))))))))))))))))))))))))))))))</x:f>
        <x:v>R-035</x:v>
      </x:c>
      <x:c r="C263" s="48" t="n">
        <x:f>INDEX($E$38:$E$82,MATCH(B263,$A$38:$A$82,0))*INDEX($F$38:$F$82,MATCH(B263,$A$38:$A$82,0))</x:f>
        <x:v>0.2</x:v>
      </x:c>
      <x:c r="D263" s="33" t="n">
        <x:f>INDEX($E$192:$E$236,MATCH(B263,$A$192:$A$236,0))</x:f>
        <x:v>35.2</x:v>
      </x:c>
      <x:c r="E263" s="16" t="str">
        <x:f>INDEX($G$38:$G$82,MATCH(B263,$A$38:$A$82,0))</x:f>
        <x:v>Alta</x:v>
      </x:c>
      <x:c r="F263" s="16" t="str">
        <x:f>"Mes "&amp;CHOOSE(MATCH(B263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Mes_R001,Mes_R002,Mes_R003,Mes_R004,Mes_R005,Mes_R006,Mes_R007,Mes_R008,Mes_R009,Mes_R010,Mes_R011,Mes_R012,Mes_R013,Mes_R014,Mes_R015,Mes_R016,Mes_R017,Mes_R018,Mes_R019,Mes_R020,Mes_R021,Mes_R022,Mes_R023,Mes_R024,Mes_R025,Mes_R026,Mes_R027,Mes_R028,Mes_R029,Mes_R030,Mes_R031,Mes_R032,Mes_R033,Mes_R034,Mes_R035,Mes_R036,Mes_R037,Mes_R038,Mes_R039,Mes_R040,Mes_R041,Mes_R042,Mes_R043,Mes_R044,Mes_R045)&amp;"; residual objetivo: "&amp;CHOOSE(MATCH(B263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RZ_R001,RZ_R002,RZ_R003,RZ_R004,RZ_R005,RZ_R006,RZ_R007,RZ_R008,RZ_R009,RZ_R010,RZ_R011,RZ_R012,RZ_R013,RZ_R014,RZ_R015,RZ_R016,RZ_R017,RZ_R018,RZ_R019,RZ_R020,RZ_R021,RZ_R022,RZ_R023,RZ_R024,RZ_R025,RZ_R026,RZ_R027,RZ_R028,RZ_R029,RZ_R030,RZ_R031,RZ_R032,RZ_R033,RZ_R034,RZ_R035,RZ_R036,RZ_R037,RZ_R038,RZ_R039,RZ_R040,RZ_R041,RZ_R042,RZ_R043,RZ_R044,RZ_R045)&amp;"; eficacia pendiente de validación."</x:f>
        <x:v>Mes 1; residual objetivo: Media; eficacia pendiente de validación.</x:v>
      </x:c>
      <x:c r="G263" s="16"/>
    </x:row>
    <x:row r="264" ht="48" customHeight="1">
      <x:c r="A264" s="14" t="n">
        <x:v>11</x:v>
      </x:c>
      <x:c r="B264" s="14" t="str">
        <x:f>IF(Lugar_R001=A264,"R-001",IF(Lugar_R002=A264,"R-002",IF(Lugar_R003=A264,"R-003",IF(Lugar_R004=A264,"R-004",IF(Lugar_R005=A264,"R-005",IF(Lugar_R006=A264,"R-006",IF(Lugar_R007=A264,"R-007",IF(Lugar_R008=A264,"R-008",IF(Lugar_R009=A264,"R-009",IF(Lugar_R010=A264,"R-010",IF(Lugar_R011=A264,"R-011",IF(Lugar_R012=A264,"R-012",IF(Lugar_R013=A264,"R-013",IF(Lugar_R014=A264,"R-014",IF(Lugar_R015=A264,"R-015",IF(Lugar_R016=A264,"R-016",IF(Lugar_R017=A264,"R-017",IF(Lugar_R018=A264,"R-018",IF(Lugar_R019=A264,"R-019",IF(Lugar_R020=A264,"R-020",IF(Lugar_R021=A264,"R-021",IF(Lugar_R022=A264,"R-022",IF(Lugar_R023=A264,"R-023",IF(Lugar_R024=A264,"R-024",IF(Lugar_R025=A264,"R-025",IF(Lugar_R026=A264,"R-026",IF(Lugar_R027=A264,"R-027",IF(Lugar_R028=A264,"R-028",IF(Lugar_R029=A264,"R-029",IF(Lugar_R030=A264,"R-030",IF(Lugar_R031=A264,"R-031",IF(Lugar_R032=A264,"R-032",IF(Lugar_R033=A264,"R-033",IF(Lugar_R034=A264,"R-034",IF(Lugar_R035=A264,"R-035",IF(Lugar_R036=A264,"R-036",IF(Lugar_R037=A264,"R-037",IF(Lugar_R038=A264,"R-038",IF(Lugar_R039=A264,"R-039",IF(Lugar_R040=A264,"R-040",IF(Lugar_R041=A264,"R-041",IF(Lugar_R042=A264,"R-042",IF(Lugar_R043=A264,"R-043",IF(Lugar_R044=A264,"R-044",IF(Lugar_R045=A264,"R-045","Sin prioridad")))))))))))))))))))))))))))))))))))))))))))))</x:f>
        <x:v>R-001</x:v>
      </x:c>
      <x:c r="C264" s="47" t="n">
        <x:f>INDEX($E$38:$E$82,MATCH(B264,$A$38:$A$82,0))*INDEX($F$38:$F$82,MATCH(B264,$A$38:$A$82,0))</x:f>
        <x:v>0.2</x:v>
      </x:c>
      <x:c r="D264" s="30" t="n">
        <x:f>INDEX($E$192:$E$236,MATCH(B264,$A$192:$A$236,0))</x:f>
        <x:v>68.4</x:v>
      </x:c>
      <x:c r="E264" s="14" t="str">
        <x:f>INDEX($G$38:$G$82,MATCH(B264,$A$38:$A$82,0))</x:f>
        <x:v>Alta</x:v>
      </x:c>
      <x:c r="F264" s="14" t="str">
        <x:f>"Mes "&amp;CHOOSE(MATCH(B264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Mes_R001,Mes_R002,Mes_R003,Mes_R004,Mes_R005,Mes_R006,Mes_R007,Mes_R008,Mes_R009,Mes_R010,Mes_R011,Mes_R012,Mes_R013,Mes_R014,Mes_R015,Mes_R016,Mes_R017,Mes_R018,Mes_R019,Mes_R020,Mes_R021,Mes_R022,Mes_R023,Mes_R024,Mes_R025,Mes_R026,Mes_R027,Mes_R028,Mes_R029,Mes_R030,Mes_R031,Mes_R032,Mes_R033,Mes_R034,Mes_R035,Mes_R036,Mes_R037,Mes_R038,Mes_R039,Mes_R040,Mes_R041,Mes_R042,Mes_R043,Mes_R044,Mes_R045)&amp;"; residual objetivo: "&amp;CHOOSE(MATCH(B264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RZ_R001,RZ_R002,RZ_R003,RZ_R004,RZ_R005,RZ_R006,RZ_R007,RZ_R008,RZ_R009,RZ_R010,RZ_R011,RZ_R012,RZ_R013,RZ_R014,RZ_R015,RZ_R016,RZ_R017,RZ_R018,RZ_R019,RZ_R020,RZ_R021,RZ_R022,RZ_R023,RZ_R024,RZ_R025,RZ_R026,RZ_R027,RZ_R028,RZ_R029,RZ_R030,RZ_R031,RZ_R032,RZ_R033,RZ_R034,RZ_R035,RZ_R036,RZ_R037,RZ_R038,RZ_R039,RZ_R040,RZ_R041,RZ_R042,RZ_R043,RZ_R044,RZ_R045)&amp;"; eficacia pendiente de validación."</x:f>
        <x:v>Mes 2; residual objetivo: Media; eficacia pendiente de validación.</x:v>
      </x:c>
      <x:c r="G264" s="14"/>
    </x:row>
    <x:row r="265" ht="48" customHeight="1">
      <x:c r="A265" s="16" t="n">
        <x:v>12</x:v>
      </x:c>
      <x:c r="B265" s="16" t="str">
        <x:f>IF(Lugar_R001=A265,"R-001",IF(Lugar_R002=A265,"R-002",IF(Lugar_R003=A265,"R-003",IF(Lugar_R004=A265,"R-004",IF(Lugar_R005=A265,"R-005",IF(Lugar_R006=A265,"R-006",IF(Lugar_R007=A265,"R-007",IF(Lugar_R008=A265,"R-008",IF(Lugar_R009=A265,"R-009",IF(Lugar_R010=A265,"R-010",IF(Lugar_R011=A265,"R-011",IF(Lugar_R012=A265,"R-012",IF(Lugar_R013=A265,"R-013",IF(Lugar_R014=A265,"R-014",IF(Lugar_R015=A265,"R-015",IF(Lugar_R016=A265,"R-016",IF(Lugar_R017=A265,"R-017",IF(Lugar_R018=A265,"R-018",IF(Lugar_R019=A265,"R-019",IF(Lugar_R020=A265,"R-020",IF(Lugar_R021=A265,"R-021",IF(Lugar_R022=A265,"R-022",IF(Lugar_R023=A265,"R-023",IF(Lugar_R024=A265,"R-024",IF(Lugar_R025=A265,"R-025",IF(Lugar_R026=A265,"R-026",IF(Lugar_R027=A265,"R-027",IF(Lugar_R028=A265,"R-028",IF(Lugar_R029=A265,"R-029",IF(Lugar_R030=A265,"R-030",IF(Lugar_R031=A265,"R-031",IF(Lugar_R032=A265,"R-032",IF(Lugar_R033=A265,"R-033",IF(Lugar_R034=A265,"R-034",IF(Lugar_R035=A265,"R-035",IF(Lugar_R036=A265,"R-036",IF(Lugar_R037=A265,"R-037",IF(Lugar_R038=A265,"R-038",IF(Lugar_R039=A265,"R-039",IF(Lugar_R040=A265,"R-040",IF(Lugar_R041=A265,"R-041",IF(Lugar_R042=A265,"R-042",IF(Lugar_R043=A265,"R-043",IF(Lugar_R044=A265,"R-044",IF(Lugar_R045=A265,"R-045","Sin prioridad")))))))))))))))))))))))))))))))))))))))))))))</x:f>
        <x:v>R-004</x:v>
      </x:c>
      <x:c r="C265" s="48" t="n">
        <x:f>INDEX($E$38:$E$82,MATCH(B265,$A$38:$A$82,0))*INDEX($F$38:$F$82,MATCH(B265,$A$38:$A$82,0))</x:f>
        <x:v>0.2</x:v>
      </x:c>
      <x:c r="D265" s="33" t="n">
        <x:f>INDEX($E$192:$E$236,MATCH(B265,$A$192:$A$236,0))</x:f>
        <x:v>100.8</x:v>
      </x:c>
      <x:c r="E265" s="16" t="str">
        <x:f>INDEX($G$38:$G$82,MATCH(B265,$A$38:$A$82,0))</x:f>
        <x:v>Alta</x:v>
      </x:c>
      <x:c r="F265" s="16" t="str">
        <x:f>"Mes "&amp;CHOOSE(MATCH(B265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Mes_R001,Mes_R002,Mes_R003,Mes_R004,Mes_R005,Mes_R006,Mes_R007,Mes_R008,Mes_R009,Mes_R010,Mes_R011,Mes_R012,Mes_R013,Mes_R014,Mes_R015,Mes_R016,Mes_R017,Mes_R018,Mes_R019,Mes_R020,Mes_R021,Mes_R022,Mes_R023,Mes_R024,Mes_R025,Mes_R026,Mes_R027,Mes_R028,Mes_R029,Mes_R030,Mes_R031,Mes_R032,Mes_R033,Mes_R034,Mes_R035,Mes_R036,Mes_R037,Mes_R038,Mes_R039,Mes_R040,Mes_R041,Mes_R042,Mes_R043,Mes_R044,Mes_R045)&amp;"; residual objetivo: "&amp;CHOOSE(MATCH(B265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RZ_R001,RZ_R002,RZ_R003,RZ_R004,RZ_R005,RZ_R006,RZ_R007,RZ_R008,RZ_R009,RZ_R010,RZ_R011,RZ_R012,RZ_R013,RZ_R014,RZ_R015,RZ_R016,RZ_R017,RZ_R018,RZ_R019,RZ_R020,RZ_R021,RZ_R022,RZ_R023,RZ_R024,RZ_R025,RZ_R026,RZ_R027,RZ_R028,RZ_R029,RZ_R030,RZ_R031,RZ_R032,RZ_R033,RZ_R034,RZ_R035,RZ_R036,RZ_R037,RZ_R038,RZ_R039,RZ_R040,RZ_R041,RZ_R042,RZ_R043,RZ_R044,RZ_R045)&amp;"; eficacia pendiente de validación."</x:f>
        <x:v>Mes 3; residual objetivo: Baja; eficacia pendiente de validación.</x:v>
      </x:c>
      <x:c r="G265" s="16"/>
    </x:row>
    <x:row r="266" ht="48" customHeight="1">
      <x:c r="A266" s="14" t="n">
        <x:v>13</x:v>
      </x:c>
      <x:c r="B266" s="14" t="str">
        <x:f>IF(Lugar_R001=A266,"R-001",IF(Lugar_R002=A266,"R-002",IF(Lugar_R003=A266,"R-003",IF(Lugar_R004=A266,"R-004",IF(Lugar_R005=A266,"R-005",IF(Lugar_R006=A266,"R-006",IF(Lugar_R007=A266,"R-007",IF(Lugar_R008=A266,"R-008",IF(Lugar_R009=A266,"R-009",IF(Lugar_R010=A266,"R-010",IF(Lugar_R011=A266,"R-011",IF(Lugar_R012=A266,"R-012",IF(Lugar_R013=A266,"R-013",IF(Lugar_R014=A266,"R-014",IF(Lugar_R015=A266,"R-015",IF(Lugar_R016=A266,"R-016",IF(Lugar_R017=A266,"R-017",IF(Lugar_R018=A266,"R-018",IF(Lugar_R019=A266,"R-019",IF(Lugar_R020=A266,"R-020",IF(Lugar_R021=A266,"R-021",IF(Lugar_R022=A266,"R-022",IF(Lugar_R023=A266,"R-023",IF(Lugar_R024=A266,"R-024",IF(Lugar_R025=A266,"R-025",IF(Lugar_R026=A266,"R-026",IF(Lugar_R027=A266,"R-027",IF(Lugar_R028=A266,"R-028",IF(Lugar_R029=A266,"R-029",IF(Lugar_R030=A266,"R-030",IF(Lugar_R031=A266,"R-031",IF(Lugar_R032=A266,"R-032",IF(Lugar_R033=A266,"R-033",IF(Lugar_R034=A266,"R-034",IF(Lugar_R035=A266,"R-035",IF(Lugar_R036=A266,"R-036",IF(Lugar_R037=A266,"R-037",IF(Lugar_R038=A266,"R-038",IF(Lugar_R039=A266,"R-039",IF(Lugar_R040=A266,"R-040",IF(Lugar_R041=A266,"R-041",IF(Lugar_R042=A266,"R-042",IF(Lugar_R043=A266,"R-043",IF(Lugar_R044=A266,"R-044",IF(Lugar_R045=A266,"R-045","Sin prioridad")))))))))))))))))))))))))))))))))))))))))))))</x:f>
        <x:v>R-017</x:v>
      </x:c>
      <x:c r="C266" s="47" t="n">
        <x:f>INDEX($E$38:$E$82,MATCH(B266,$A$38:$A$82,0))*INDEX($F$38:$F$82,MATCH(B266,$A$38:$A$82,0))</x:f>
        <x:v>0.2</x:v>
      </x:c>
      <x:c r="D266" s="30" t="n">
        <x:f>INDEX($E$192:$E$236,MATCH(B266,$A$192:$A$236,0))</x:f>
        <x:v>50.56</x:v>
      </x:c>
      <x:c r="E266" s="14" t="str">
        <x:f>INDEX($G$38:$G$82,MATCH(B266,$A$38:$A$82,0))</x:f>
        <x:v>Alta</x:v>
      </x:c>
      <x:c r="F266" s="14" t="str">
        <x:f>"Mes "&amp;CHOOSE(MATCH(B266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Mes_R001,Mes_R002,Mes_R003,Mes_R004,Mes_R005,Mes_R006,Mes_R007,Mes_R008,Mes_R009,Mes_R010,Mes_R011,Mes_R012,Mes_R013,Mes_R014,Mes_R015,Mes_R016,Mes_R017,Mes_R018,Mes_R019,Mes_R020,Mes_R021,Mes_R022,Mes_R023,Mes_R024,Mes_R025,Mes_R026,Mes_R027,Mes_R028,Mes_R029,Mes_R030,Mes_R031,Mes_R032,Mes_R033,Mes_R034,Mes_R035,Mes_R036,Mes_R037,Mes_R038,Mes_R039,Mes_R040,Mes_R041,Mes_R042,Mes_R043,Mes_R044,Mes_R045)&amp;"; residual objetivo: "&amp;CHOOSE(MATCH(B266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RZ_R001,RZ_R002,RZ_R003,RZ_R004,RZ_R005,RZ_R006,RZ_R007,RZ_R008,RZ_R009,RZ_R010,RZ_R011,RZ_R012,RZ_R013,RZ_R014,RZ_R015,RZ_R016,RZ_R017,RZ_R018,RZ_R019,RZ_R020,RZ_R021,RZ_R022,RZ_R023,RZ_R024,RZ_R025,RZ_R026,RZ_R027,RZ_R028,RZ_R029,RZ_R030,RZ_R031,RZ_R032,RZ_R033,RZ_R034,RZ_R035,RZ_R036,RZ_R037,RZ_R038,RZ_R039,RZ_R040,RZ_R041,RZ_R042,RZ_R043,RZ_R044,RZ_R045)&amp;"; eficacia pendiente de validación."</x:f>
        <x:v>Mes 3; residual objetivo: Baja; eficacia pendiente de validación.</x:v>
      </x:c>
      <x:c r="G266" s="14"/>
    </x:row>
    <x:row r="267" ht="48" customHeight="1">
      <x:c r="A267" s="16" t="n">
        <x:v>14</x:v>
      </x:c>
      <x:c r="B267" s="16" t="str">
        <x:f>IF(Lugar_R001=A267,"R-001",IF(Lugar_R002=A267,"R-002",IF(Lugar_R003=A267,"R-003",IF(Lugar_R004=A267,"R-004",IF(Lugar_R005=A267,"R-005",IF(Lugar_R006=A267,"R-006",IF(Lugar_R007=A267,"R-007",IF(Lugar_R008=A267,"R-008",IF(Lugar_R009=A267,"R-009",IF(Lugar_R010=A267,"R-010",IF(Lugar_R011=A267,"R-011",IF(Lugar_R012=A267,"R-012",IF(Lugar_R013=A267,"R-013",IF(Lugar_R014=A267,"R-014",IF(Lugar_R015=A267,"R-015",IF(Lugar_R016=A267,"R-016",IF(Lugar_R017=A267,"R-017",IF(Lugar_R018=A267,"R-018",IF(Lugar_R019=A267,"R-019",IF(Lugar_R020=A267,"R-020",IF(Lugar_R021=A267,"R-021",IF(Lugar_R022=A267,"R-022",IF(Lugar_R023=A267,"R-023",IF(Lugar_R024=A267,"R-024",IF(Lugar_R025=A267,"R-025",IF(Lugar_R026=A267,"R-026",IF(Lugar_R027=A267,"R-027",IF(Lugar_R028=A267,"R-028",IF(Lugar_R029=A267,"R-029",IF(Lugar_R030=A267,"R-030",IF(Lugar_R031=A267,"R-031",IF(Lugar_R032=A267,"R-032",IF(Lugar_R033=A267,"R-033",IF(Lugar_R034=A267,"R-034",IF(Lugar_R035=A267,"R-035",IF(Lugar_R036=A267,"R-036",IF(Lugar_R037=A267,"R-037",IF(Lugar_R038=A267,"R-038",IF(Lugar_R039=A267,"R-039",IF(Lugar_R040=A267,"R-040",IF(Lugar_R041=A267,"R-041",IF(Lugar_R042=A267,"R-042",IF(Lugar_R043=A267,"R-043",IF(Lugar_R044=A267,"R-044",IF(Lugar_R045=A267,"R-045","Sin prioridad")))))))))))))))))))))))))))))))))))))))))))))</x:f>
        <x:v>R-021</x:v>
      </x:c>
      <x:c r="C267" s="48" t="n">
        <x:f>INDEX($E$38:$E$82,MATCH(B267,$A$38:$A$82,0))*INDEX($F$38:$F$82,MATCH(B267,$A$38:$A$82,0))</x:f>
        <x:v>0.2</x:v>
      </x:c>
      <x:c r="D267" s="33" t="n">
        <x:f>INDEX($E$192:$E$236,MATCH(B267,$A$192:$A$236,0))</x:f>
        <x:v>68.4</x:v>
      </x:c>
      <x:c r="E267" s="16" t="str">
        <x:f>INDEX($G$38:$G$82,MATCH(B267,$A$38:$A$82,0))</x:f>
        <x:v>Alta</x:v>
      </x:c>
      <x:c r="F267" s="16" t="str">
        <x:f>"Mes "&amp;CHOOSE(MATCH(B267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Mes_R001,Mes_R002,Mes_R003,Mes_R004,Mes_R005,Mes_R006,Mes_R007,Mes_R008,Mes_R009,Mes_R010,Mes_R011,Mes_R012,Mes_R013,Mes_R014,Mes_R015,Mes_R016,Mes_R017,Mes_R018,Mes_R019,Mes_R020,Mes_R021,Mes_R022,Mes_R023,Mes_R024,Mes_R025,Mes_R026,Mes_R027,Mes_R028,Mes_R029,Mes_R030,Mes_R031,Mes_R032,Mes_R033,Mes_R034,Mes_R035,Mes_R036,Mes_R037,Mes_R038,Mes_R039,Mes_R040,Mes_R041,Mes_R042,Mes_R043,Mes_R044,Mes_R045)&amp;"; residual objetivo: "&amp;CHOOSE(MATCH(B267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RZ_R001,RZ_R002,RZ_R003,RZ_R004,RZ_R005,RZ_R006,RZ_R007,RZ_R008,RZ_R009,RZ_R010,RZ_R011,RZ_R012,RZ_R013,RZ_R014,RZ_R015,RZ_R016,RZ_R017,RZ_R018,RZ_R019,RZ_R020,RZ_R021,RZ_R022,RZ_R023,RZ_R024,RZ_R025,RZ_R026,RZ_R027,RZ_R028,RZ_R029,RZ_R030,RZ_R031,RZ_R032,RZ_R033,RZ_R034,RZ_R035,RZ_R036,RZ_R037,RZ_R038,RZ_R039,RZ_R040,RZ_R041,RZ_R042,RZ_R043,RZ_R044,RZ_R045)&amp;"; eficacia pendiente de validación."</x:f>
        <x:v>Mes 3; residual objetivo: Baja; eficacia pendiente de validación.</x:v>
      </x:c>
      <x:c r="G267" s="16"/>
    </x:row>
    <x:row r="268" ht="48" customHeight="1">
      <x:c r="A268" s="14" t="n">
        <x:v>15</x:v>
      </x:c>
      <x:c r="B268" s="14" t="str">
        <x:f>IF(Lugar_R001=A268,"R-001",IF(Lugar_R002=A268,"R-002",IF(Lugar_R003=A268,"R-003",IF(Lugar_R004=A268,"R-004",IF(Lugar_R005=A268,"R-005",IF(Lugar_R006=A268,"R-006",IF(Lugar_R007=A268,"R-007",IF(Lugar_R008=A268,"R-008",IF(Lugar_R009=A268,"R-009",IF(Lugar_R010=A268,"R-010",IF(Lugar_R011=A268,"R-011",IF(Lugar_R012=A268,"R-012",IF(Lugar_R013=A268,"R-013",IF(Lugar_R014=A268,"R-014",IF(Lugar_R015=A268,"R-015",IF(Lugar_R016=A268,"R-016",IF(Lugar_R017=A268,"R-017",IF(Lugar_R018=A268,"R-018",IF(Lugar_R019=A268,"R-019",IF(Lugar_R020=A268,"R-020",IF(Lugar_R021=A268,"R-021",IF(Lugar_R022=A268,"R-022",IF(Lugar_R023=A268,"R-023",IF(Lugar_R024=A268,"R-024",IF(Lugar_R025=A268,"R-025",IF(Lugar_R026=A268,"R-026",IF(Lugar_R027=A268,"R-027",IF(Lugar_R028=A268,"R-028",IF(Lugar_R029=A268,"R-029",IF(Lugar_R030=A268,"R-030",IF(Lugar_R031=A268,"R-031",IF(Lugar_R032=A268,"R-032",IF(Lugar_R033=A268,"R-033",IF(Lugar_R034=A268,"R-034",IF(Lugar_R035=A268,"R-035",IF(Lugar_R036=A268,"R-036",IF(Lugar_R037=A268,"R-037",IF(Lugar_R038=A268,"R-038",IF(Lugar_R039=A268,"R-039",IF(Lugar_R040=A268,"R-040",IF(Lugar_R041=A268,"R-041",IF(Lugar_R042=A268,"R-042",IF(Lugar_R043=A268,"R-043",IF(Lugar_R044=A268,"R-044",IF(Lugar_R045=A268,"R-045","Sin prioridad")))))))))))))))))))))))))))))))))))))))))))))</x:f>
        <x:v>R-024</x:v>
      </x:c>
      <x:c r="C268" s="47" t="n">
        <x:f>INDEX($E$38:$E$82,MATCH(B268,$A$38:$A$82,0))*INDEX($F$38:$F$82,MATCH(B268,$A$38:$A$82,0))</x:f>
        <x:v>0.2</x:v>
      </x:c>
      <x:c r="D268" s="30" t="n">
        <x:f>INDEX($E$192:$E$236,MATCH(B268,$A$192:$A$236,0))</x:f>
        <x:v>50.56</x:v>
      </x:c>
      <x:c r="E268" s="14" t="str">
        <x:f>INDEX($G$38:$G$82,MATCH(B268,$A$38:$A$82,0))</x:f>
        <x:v>Alta</x:v>
      </x:c>
      <x:c r="F268" s="14" t="str">
        <x:f>"Mes "&amp;CHOOSE(MATCH(B268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Mes_R001,Mes_R002,Mes_R003,Mes_R004,Mes_R005,Mes_R006,Mes_R007,Mes_R008,Mes_R009,Mes_R010,Mes_R011,Mes_R012,Mes_R013,Mes_R014,Mes_R015,Mes_R016,Mes_R017,Mes_R018,Mes_R019,Mes_R020,Mes_R021,Mes_R022,Mes_R023,Mes_R024,Mes_R025,Mes_R026,Mes_R027,Mes_R028,Mes_R029,Mes_R030,Mes_R031,Mes_R032,Mes_R033,Mes_R034,Mes_R035,Mes_R036,Mes_R037,Mes_R038,Mes_R039,Mes_R040,Mes_R041,Mes_R042,Mes_R043,Mes_R044,Mes_R045)&amp;"; residual objetivo: "&amp;CHOOSE(MATCH(B268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RZ_R001,RZ_R002,RZ_R003,RZ_R004,RZ_R005,RZ_R006,RZ_R007,RZ_R008,RZ_R009,RZ_R010,RZ_R011,RZ_R012,RZ_R013,RZ_R014,RZ_R015,RZ_R016,RZ_R017,RZ_R018,RZ_R019,RZ_R020,RZ_R021,RZ_R022,RZ_R023,RZ_R024,RZ_R025,RZ_R026,RZ_R027,RZ_R028,RZ_R029,RZ_R030,RZ_R031,RZ_R032,RZ_R033,RZ_R034,RZ_R035,RZ_R036,RZ_R037,RZ_R038,RZ_R039,RZ_R040,RZ_R041,RZ_R042,RZ_R043,RZ_R044,RZ_R045)&amp;"; eficacia pendiente de validación."</x:f>
        <x:v>Mes 3; residual objetivo: Baja; eficacia pendiente de validación.</x:v>
      </x:c>
      <x:c r="G268" s="14"/>
    </x:row>
    <x:row r="269" ht="48" customHeight="1">
      <x:c r="A269" s="16" t="n">
        <x:v>16</x:v>
      </x:c>
      <x:c r="B269" s="16" t="str">
        <x:f>IF(Lugar_R001=A269,"R-001",IF(Lugar_R002=A269,"R-002",IF(Lugar_R003=A269,"R-003",IF(Lugar_R004=A269,"R-004",IF(Lugar_R005=A269,"R-005",IF(Lugar_R006=A269,"R-006",IF(Lugar_R007=A269,"R-007",IF(Lugar_R008=A269,"R-008",IF(Lugar_R009=A269,"R-009",IF(Lugar_R010=A269,"R-010",IF(Lugar_R011=A269,"R-011",IF(Lugar_R012=A269,"R-012",IF(Lugar_R013=A269,"R-013",IF(Lugar_R014=A269,"R-014",IF(Lugar_R015=A269,"R-015",IF(Lugar_R016=A269,"R-016",IF(Lugar_R017=A269,"R-017",IF(Lugar_R018=A269,"R-018",IF(Lugar_R019=A269,"R-019",IF(Lugar_R020=A269,"R-020",IF(Lugar_R021=A269,"R-021",IF(Lugar_R022=A269,"R-022",IF(Lugar_R023=A269,"R-023",IF(Lugar_R024=A269,"R-024",IF(Lugar_R025=A269,"R-025",IF(Lugar_R026=A269,"R-026",IF(Lugar_R027=A269,"R-027",IF(Lugar_R028=A269,"R-028",IF(Lugar_R029=A269,"R-029",IF(Lugar_R030=A269,"R-030",IF(Lugar_R031=A269,"R-031",IF(Lugar_R032=A269,"R-032",IF(Lugar_R033=A269,"R-033",IF(Lugar_R034=A269,"R-034",IF(Lugar_R035=A269,"R-035",IF(Lugar_R036=A269,"R-036",IF(Lugar_R037=A269,"R-037",IF(Lugar_R038=A269,"R-038",IF(Lugar_R039=A269,"R-039",IF(Lugar_R040=A269,"R-040",IF(Lugar_R041=A269,"R-041",IF(Lugar_R042=A269,"R-042",IF(Lugar_R043=A269,"R-043",IF(Lugar_R044=A269,"R-044",IF(Lugar_R045=A269,"R-045","Sin prioridad")))))))))))))))))))))))))))))))))))))))))))))</x:f>
        <x:v>R-025</x:v>
      </x:c>
      <x:c r="C269" s="48" t="n">
        <x:f>INDEX($E$38:$E$82,MATCH(B269,$A$38:$A$82,0))*INDEX($F$38:$F$82,MATCH(B269,$A$38:$A$82,0))</x:f>
        <x:v>0.2</x:v>
      </x:c>
      <x:c r="D269" s="33" t="n">
        <x:f>INDEX($E$192:$E$236,MATCH(B269,$A$192:$A$236,0))</x:f>
        <x:v>62.160000000000004</x:v>
      </x:c>
      <x:c r="E269" s="16" t="str">
        <x:f>INDEX($G$38:$G$82,MATCH(B269,$A$38:$A$82,0))</x:f>
        <x:v>Alta</x:v>
      </x:c>
      <x:c r="F269" s="16" t="str">
        <x:f>"Mes "&amp;CHOOSE(MATCH(B269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Mes_R001,Mes_R002,Mes_R003,Mes_R004,Mes_R005,Mes_R006,Mes_R007,Mes_R008,Mes_R009,Mes_R010,Mes_R011,Mes_R012,Mes_R013,Mes_R014,Mes_R015,Mes_R016,Mes_R017,Mes_R018,Mes_R019,Mes_R020,Mes_R021,Mes_R022,Mes_R023,Mes_R024,Mes_R025,Mes_R026,Mes_R027,Mes_R028,Mes_R029,Mes_R030,Mes_R031,Mes_R032,Mes_R033,Mes_R034,Mes_R035,Mes_R036,Mes_R037,Mes_R038,Mes_R039,Mes_R040,Mes_R041,Mes_R042,Mes_R043,Mes_R044,Mes_R045)&amp;"; residual objetivo: "&amp;CHOOSE(MATCH(B269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RZ_R001,RZ_R002,RZ_R003,RZ_R004,RZ_R005,RZ_R006,RZ_R007,RZ_R008,RZ_R009,RZ_R010,RZ_R011,RZ_R012,RZ_R013,RZ_R014,RZ_R015,RZ_R016,RZ_R017,RZ_R018,RZ_R019,RZ_R020,RZ_R021,RZ_R022,RZ_R023,RZ_R024,RZ_R025,RZ_R026,RZ_R027,RZ_R028,RZ_R029,RZ_R030,RZ_R031,RZ_R032,RZ_R033,RZ_R034,RZ_R035,RZ_R036,RZ_R037,RZ_R038,RZ_R039,RZ_R040,RZ_R041,RZ_R042,RZ_R043,RZ_R044,RZ_R045)&amp;"; eficacia pendiente de validación."</x:f>
        <x:v>Mes 4; residual objetivo: Baja; eficacia pendiente de validación.</x:v>
      </x:c>
      <x:c r="G269" s="16"/>
    </x:row>
    <x:row r="270" ht="48" customHeight="1">
      <x:c r="A270" s="14" t="n">
        <x:v>17</x:v>
      </x:c>
      <x:c r="B270" s="14" t="str">
        <x:f>IF(Lugar_R001=A270,"R-001",IF(Lugar_R002=A270,"R-002",IF(Lugar_R003=A270,"R-003",IF(Lugar_R004=A270,"R-004",IF(Lugar_R005=A270,"R-005",IF(Lugar_R006=A270,"R-006",IF(Lugar_R007=A270,"R-007",IF(Lugar_R008=A270,"R-008",IF(Lugar_R009=A270,"R-009",IF(Lugar_R010=A270,"R-010",IF(Lugar_R011=A270,"R-011",IF(Lugar_R012=A270,"R-012",IF(Lugar_R013=A270,"R-013",IF(Lugar_R014=A270,"R-014",IF(Lugar_R015=A270,"R-015",IF(Lugar_R016=A270,"R-016",IF(Lugar_R017=A270,"R-017",IF(Lugar_R018=A270,"R-018",IF(Lugar_R019=A270,"R-019",IF(Lugar_R020=A270,"R-020",IF(Lugar_R021=A270,"R-021",IF(Lugar_R022=A270,"R-022",IF(Lugar_R023=A270,"R-023",IF(Lugar_R024=A270,"R-024",IF(Lugar_R025=A270,"R-025",IF(Lugar_R026=A270,"R-026",IF(Lugar_R027=A270,"R-027",IF(Lugar_R028=A270,"R-028",IF(Lugar_R029=A270,"R-029",IF(Lugar_R030=A270,"R-030",IF(Lugar_R031=A270,"R-031",IF(Lugar_R032=A270,"R-032",IF(Lugar_R033=A270,"R-033",IF(Lugar_R034=A270,"R-034",IF(Lugar_R035=A270,"R-035",IF(Lugar_R036=A270,"R-036",IF(Lugar_R037=A270,"R-037",IF(Lugar_R038=A270,"R-038",IF(Lugar_R039=A270,"R-039",IF(Lugar_R040=A270,"R-040",IF(Lugar_R041=A270,"R-041",IF(Lugar_R042=A270,"R-042",IF(Lugar_R043=A270,"R-043",IF(Lugar_R044=A270,"R-044",IF(Lugar_R045=A270,"R-045","Sin prioridad")))))))))))))))))))))))))))))))))))))))))))))</x:f>
        <x:v>R-030</x:v>
      </x:c>
      <x:c r="C270" s="47" t="n">
        <x:f>INDEX($E$38:$E$82,MATCH(B270,$A$38:$A$82,0))*INDEX($F$38:$F$82,MATCH(B270,$A$38:$A$82,0))</x:f>
        <x:v>0.2</x:v>
      </x:c>
      <x:c r="D270" s="30" t="n">
        <x:f>INDEX($E$192:$E$236,MATCH(B270,$A$192:$A$236,0))</x:f>
        <x:v>116</x:v>
      </x:c>
      <x:c r="E270" s="14" t="str">
        <x:f>INDEX($G$38:$G$82,MATCH(B270,$A$38:$A$82,0))</x:f>
        <x:v>Alta</x:v>
      </x:c>
      <x:c r="F270" s="14" t="str">
        <x:f>"Mes "&amp;CHOOSE(MATCH(B270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Mes_R001,Mes_R002,Mes_R003,Mes_R004,Mes_R005,Mes_R006,Mes_R007,Mes_R008,Mes_R009,Mes_R010,Mes_R011,Mes_R012,Mes_R013,Mes_R014,Mes_R015,Mes_R016,Mes_R017,Mes_R018,Mes_R019,Mes_R020,Mes_R021,Mes_R022,Mes_R023,Mes_R024,Mes_R025,Mes_R026,Mes_R027,Mes_R028,Mes_R029,Mes_R030,Mes_R031,Mes_R032,Mes_R033,Mes_R034,Mes_R035,Mes_R036,Mes_R037,Mes_R038,Mes_R039,Mes_R040,Mes_R041,Mes_R042,Mes_R043,Mes_R044,Mes_R045)&amp;"; residual objetivo: "&amp;CHOOSE(MATCH(B270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RZ_R001,RZ_R002,RZ_R003,RZ_R004,RZ_R005,RZ_R006,RZ_R007,RZ_R008,RZ_R009,RZ_R010,RZ_R011,RZ_R012,RZ_R013,RZ_R014,RZ_R015,RZ_R016,RZ_R017,RZ_R018,RZ_R019,RZ_R020,RZ_R021,RZ_R022,RZ_R023,RZ_R024,RZ_R025,RZ_R026,RZ_R027,RZ_R028,RZ_R029,RZ_R030,RZ_R031,RZ_R032,RZ_R033,RZ_R034,RZ_R035,RZ_R036,RZ_R037,RZ_R038,RZ_R039,RZ_R040,RZ_R041,RZ_R042,RZ_R043,RZ_R044,RZ_R045)&amp;"; eficacia pendiente de validación."</x:f>
        <x:v>Mes 4; residual objetivo: Alta; eficacia pendiente de validación.</x:v>
      </x:c>
      <x:c r="G270" s="14"/>
    </x:row>
    <x:row r="271" ht="48" customHeight="1">
      <x:c r="A271" s="16" t="n">
        <x:v>18</x:v>
      </x:c>
      <x:c r="B271" s="16" t="str">
        <x:f>IF(Lugar_R001=A271,"R-001",IF(Lugar_R002=A271,"R-002",IF(Lugar_R003=A271,"R-003",IF(Lugar_R004=A271,"R-004",IF(Lugar_R005=A271,"R-005",IF(Lugar_R006=A271,"R-006",IF(Lugar_R007=A271,"R-007",IF(Lugar_R008=A271,"R-008",IF(Lugar_R009=A271,"R-009",IF(Lugar_R010=A271,"R-010",IF(Lugar_R011=A271,"R-011",IF(Lugar_R012=A271,"R-012",IF(Lugar_R013=A271,"R-013",IF(Lugar_R014=A271,"R-014",IF(Lugar_R015=A271,"R-015",IF(Lugar_R016=A271,"R-016",IF(Lugar_R017=A271,"R-017",IF(Lugar_R018=A271,"R-018",IF(Lugar_R019=A271,"R-019",IF(Lugar_R020=A271,"R-020",IF(Lugar_R021=A271,"R-021",IF(Lugar_R022=A271,"R-022",IF(Lugar_R023=A271,"R-023",IF(Lugar_R024=A271,"R-024",IF(Lugar_R025=A271,"R-025",IF(Lugar_R026=A271,"R-026",IF(Lugar_R027=A271,"R-027",IF(Lugar_R028=A271,"R-028",IF(Lugar_R029=A271,"R-029",IF(Lugar_R030=A271,"R-030",IF(Lugar_R031=A271,"R-031",IF(Lugar_R032=A271,"R-032",IF(Lugar_R033=A271,"R-033",IF(Lugar_R034=A271,"R-034",IF(Lugar_R035=A271,"R-035",IF(Lugar_R036=A271,"R-036",IF(Lugar_R037=A271,"R-037",IF(Lugar_R038=A271,"R-038",IF(Lugar_R039=A271,"R-039",IF(Lugar_R040=A271,"R-040",IF(Lugar_R041=A271,"R-041",IF(Lugar_R042=A271,"R-042",IF(Lugar_R043=A271,"R-043",IF(Lugar_R044=A271,"R-044",IF(Lugar_R045=A271,"R-045","Sin prioridad")))))))))))))))))))))))))))))))))))))))))))))</x:f>
        <x:v>R-029</x:v>
      </x:c>
      <x:c r="C271" s="48" t="n">
        <x:f>INDEX($E$38:$E$82,MATCH(B271,$A$38:$A$82,0))*INDEX($F$38:$F$82,MATCH(B271,$A$38:$A$82,0))</x:f>
        <x:v>0.2</x:v>
      </x:c>
      <x:c r="D271" s="33" t="n">
        <x:f>INDEX($E$192:$E$236,MATCH(B271,$A$192:$A$236,0))</x:f>
        <x:v>44.24</x:v>
      </x:c>
      <x:c r="E271" s="16" t="str">
        <x:f>INDEX($G$38:$G$82,MATCH(B271,$A$38:$A$82,0))</x:f>
        <x:v>Alta</x:v>
      </x:c>
      <x:c r="F271" s="16" t="str">
        <x:f>"Mes "&amp;CHOOSE(MATCH(B271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Mes_R001,Mes_R002,Mes_R003,Mes_R004,Mes_R005,Mes_R006,Mes_R007,Mes_R008,Mes_R009,Mes_R010,Mes_R011,Mes_R012,Mes_R013,Mes_R014,Mes_R015,Mes_R016,Mes_R017,Mes_R018,Mes_R019,Mes_R020,Mes_R021,Mes_R022,Mes_R023,Mes_R024,Mes_R025,Mes_R026,Mes_R027,Mes_R028,Mes_R029,Mes_R030,Mes_R031,Mes_R032,Mes_R033,Mes_R034,Mes_R035,Mes_R036,Mes_R037,Mes_R038,Mes_R039,Mes_R040,Mes_R041,Mes_R042,Mes_R043,Mes_R044,Mes_R045)&amp;"; residual objetivo: "&amp;CHOOSE(MATCH(B271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RZ_R001,RZ_R002,RZ_R003,RZ_R004,RZ_R005,RZ_R006,RZ_R007,RZ_R008,RZ_R009,RZ_R010,RZ_R011,RZ_R012,RZ_R013,RZ_R014,RZ_R015,RZ_R016,RZ_R017,RZ_R018,RZ_R019,RZ_R020,RZ_R021,RZ_R022,RZ_R023,RZ_R024,RZ_R025,RZ_R026,RZ_R027,RZ_R028,RZ_R029,RZ_R030,RZ_R031,RZ_R032,RZ_R033,RZ_R034,RZ_R035,RZ_R036,RZ_R037,RZ_R038,RZ_R039,RZ_R040,RZ_R041,RZ_R042,RZ_R043,RZ_R044,RZ_R045)&amp;"; eficacia pendiente de validación."</x:f>
        <x:v>Mes 8; residual objetivo: Media; eficacia pendiente de validación.</x:v>
      </x:c>
      <x:c r="G271" s="16"/>
    </x:row>
    <x:row r="272" ht="48" customHeight="1">
      <x:c r="A272" s="14" t="n">
        <x:v>19</x:v>
      </x:c>
      <x:c r="B272" s="14" t="str">
        <x:f>IF(Lugar_R001=A272,"R-001",IF(Lugar_R002=A272,"R-002",IF(Lugar_R003=A272,"R-003",IF(Lugar_R004=A272,"R-004",IF(Lugar_R005=A272,"R-005",IF(Lugar_R006=A272,"R-006",IF(Lugar_R007=A272,"R-007",IF(Lugar_R008=A272,"R-008",IF(Lugar_R009=A272,"R-009",IF(Lugar_R010=A272,"R-010",IF(Lugar_R011=A272,"R-011",IF(Lugar_R012=A272,"R-012",IF(Lugar_R013=A272,"R-013",IF(Lugar_R014=A272,"R-014",IF(Lugar_R015=A272,"R-015",IF(Lugar_R016=A272,"R-016",IF(Lugar_R017=A272,"R-017",IF(Lugar_R018=A272,"R-018",IF(Lugar_R019=A272,"R-019",IF(Lugar_R020=A272,"R-020",IF(Lugar_R021=A272,"R-021",IF(Lugar_R022=A272,"R-022",IF(Lugar_R023=A272,"R-023",IF(Lugar_R024=A272,"R-024",IF(Lugar_R025=A272,"R-025",IF(Lugar_R026=A272,"R-026",IF(Lugar_R027=A272,"R-027",IF(Lugar_R028=A272,"R-028",IF(Lugar_R029=A272,"R-029",IF(Lugar_R030=A272,"R-030",IF(Lugar_R031=A272,"R-031",IF(Lugar_R032=A272,"R-032",IF(Lugar_R033=A272,"R-033",IF(Lugar_R034=A272,"R-034",IF(Lugar_R035=A272,"R-035",IF(Lugar_R036=A272,"R-036",IF(Lugar_R037=A272,"R-037",IF(Lugar_R038=A272,"R-038",IF(Lugar_R039=A272,"R-039",IF(Lugar_R040=A272,"R-040",IF(Lugar_R041=A272,"R-041",IF(Lugar_R042=A272,"R-042",IF(Lugar_R043=A272,"R-043",IF(Lugar_R044=A272,"R-044",IF(Lugar_R045=A272,"R-045","Sin prioridad")))))))))))))))))))))))))))))))))))))))))))))</x:f>
        <x:v>R-045</x:v>
      </x:c>
      <x:c r="C272" s="47" t="n">
        <x:f>INDEX($E$38:$E$82,MATCH(B272,$A$38:$A$82,0))*INDEX($F$38:$F$82,MATCH(B272,$A$38:$A$82,0))</x:f>
        <x:v>0.2</x:v>
      </x:c>
      <x:c r="D272" s="30" t="n">
        <x:f>INDEX($E$192:$E$236,MATCH(B272,$A$192:$A$236,0))</x:f>
        <x:v>35.28</x:v>
      </x:c>
      <x:c r="E272" s="14" t="str">
        <x:f>INDEX($G$38:$G$82,MATCH(B272,$A$38:$A$82,0))</x:f>
        <x:v>Alta</x:v>
      </x:c>
      <x:c r="F272" s="14" t="str">
        <x:f>"Mes "&amp;CHOOSE(MATCH(B272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Mes_R001,Mes_R002,Mes_R003,Mes_R004,Mes_R005,Mes_R006,Mes_R007,Mes_R008,Mes_R009,Mes_R010,Mes_R011,Mes_R012,Mes_R013,Mes_R014,Mes_R015,Mes_R016,Mes_R017,Mes_R018,Mes_R019,Mes_R020,Mes_R021,Mes_R022,Mes_R023,Mes_R024,Mes_R025,Mes_R026,Mes_R027,Mes_R028,Mes_R029,Mes_R030,Mes_R031,Mes_R032,Mes_R033,Mes_R034,Mes_R035,Mes_R036,Mes_R037,Mes_R038,Mes_R039,Mes_R040,Mes_R041,Mes_R042,Mes_R043,Mes_R044,Mes_R045)&amp;"; residual objetivo: "&amp;CHOOSE(MATCH(B272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RZ_R001,RZ_R002,RZ_R003,RZ_R004,RZ_R005,RZ_R006,RZ_R007,RZ_R008,RZ_R009,RZ_R010,RZ_R011,RZ_R012,RZ_R013,RZ_R014,RZ_R015,RZ_R016,RZ_R017,RZ_R018,RZ_R019,RZ_R020,RZ_R021,RZ_R022,RZ_R023,RZ_R024,RZ_R025,RZ_R026,RZ_R027,RZ_R028,RZ_R029,RZ_R030,RZ_R031,RZ_R032,RZ_R033,RZ_R034,RZ_R035,RZ_R036,RZ_R037,RZ_R038,RZ_R039,RZ_R040,RZ_R041,RZ_R042,RZ_R043,RZ_R044,RZ_R045)&amp;"; eficacia pendiente de validación."</x:f>
        <x:v>Mes 8; residual objetivo: Baja; eficacia pendiente de validación.</x:v>
      </x:c>
      <x:c r="G272" s="14"/>
    </x:row>
    <x:row r="273" ht="48" customHeight="1">
      <x:c r="A273" s="16" t="n">
        <x:v>20</x:v>
      </x:c>
      <x:c r="B273" s="16" t="str">
        <x:f>IF(Lugar_R001=A273,"R-001",IF(Lugar_R002=A273,"R-002",IF(Lugar_R003=A273,"R-003",IF(Lugar_R004=A273,"R-004",IF(Lugar_R005=A273,"R-005",IF(Lugar_R006=A273,"R-006",IF(Lugar_R007=A273,"R-007",IF(Lugar_R008=A273,"R-008",IF(Lugar_R009=A273,"R-009",IF(Lugar_R010=A273,"R-010",IF(Lugar_R011=A273,"R-011",IF(Lugar_R012=A273,"R-012",IF(Lugar_R013=A273,"R-013",IF(Lugar_R014=A273,"R-014",IF(Lugar_R015=A273,"R-015",IF(Lugar_R016=A273,"R-016",IF(Lugar_R017=A273,"R-017",IF(Lugar_R018=A273,"R-018",IF(Lugar_R019=A273,"R-019",IF(Lugar_R020=A273,"R-020",IF(Lugar_R021=A273,"R-021",IF(Lugar_R022=A273,"R-022",IF(Lugar_R023=A273,"R-023",IF(Lugar_R024=A273,"R-024",IF(Lugar_R025=A273,"R-025",IF(Lugar_R026=A273,"R-026",IF(Lugar_R027=A273,"R-027",IF(Lugar_R028=A273,"R-028",IF(Lugar_R029=A273,"R-029",IF(Lugar_R030=A273,"R-030",IF(Lugar_R031=A273,"R-031",IF(Lugar_R032=A273,"R-032",IF(Lugar_R033=A273,"R-033",IF(Lugar_R034=A273,"R-034",IF(Lugar_R035=A273,"R-035",IF(Lugar_R036=A273,"R-036",IF(Lugar_R037=A273,"R-037",IF(Lugar_R038=A273,"R-038",IF(Lugar_R039=A273,"R-039",IF(Lugar_R040=A273,"R-040",IF(Lugar_R041=A273,"R-041",IF(Lugar_R042=A273,"R-042",IF(Lugar_R043=A273,"R-043",IF(Lugar_R044=A273,"R-044",IF(Lugar_R045=A273,"R-045","Sin prioridad")))))))))))))))))))))))))))))))))))))))))))))</x:f>
        <x:v>R-007</x:v>
      </x:c>
      <x:c r="C273" s="48" t="n">
        <x:f>INDEX($E$38:$E$82,MATCH(B273,$A$38:$A$82,0))*INDEX($F$38:$F$82,MATCH(B273,$A$38:$A$82,0))</x:f>
        <x:v>0.2</x:v>
      </x:c>
      <x:c r="D273" s="33" t="n">
        <x:f>INDEX($E$192:$E$236,MATCH(B273,$A$192:$A$236,0))</x:f>
        <x:v>32</x:v>
      </x:c>
      <x:c r="E273" s="16" t="str">
        <x:f>INDEX($G$38:$G$82,MATCH(B273,$A$38:$A$82,0))</x:f>
        <x:v>Alta</x:v>
      </x:c>
      <x:c r="F273" s="16" t="str">
        <x:f>"Mes "&amp;CHOOSE(MATCH(B273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Mes_R001,Mes_R002,Mes_R003,Mes_R004,Mes_R005,Mes_R006,Mes_R007,Mes_R008,Mes_R009,Mes_R010,Mes_R011,Mes_R012,Mes_R013,Mes_R014,Mes_R015,Mes_R016,Mes_R017,Mes_R018,Mes_R019,Mes_R020,Mes_R021,Mes_R022,Mes_R023,Mes_R024,Mes_R025,Mes_R026,Mes_R027,Mes_R028,Mes_R029,Mes_R030,Mes_R031,Mes_R032,Mes_R033,Mes_R034,Mes_R035,Mes_R036,Mes_R037,Mes_R038,Mes_R039,Mes_R040,Mes_R041,Mes_R042,Mes_R043,Mes_R044,Mes_R045)&amp;"; residual objetivo: "&amp;CHOOSE(MATCH(B273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RZ_R001,RZ_R002,RZ_R003,RZ_R004,RZ_R005,RZ_R006,RZ_R007,RZ_R008,RZ_R009,RZ_R010,RZ_R011,RZ_R012,RZ_R013,RZ_R014,RZ_R015,RZ_R016,RZ_R017,RZ_R018,RZ_R019,RZ_R020,RZ_R021,RZ_R022,RZ_R023,RZ_R024,RZ_R025,RZ_R026,RZ_R027,RZ_R028,RZ_R029,RZ_R030,RZ_R031,RZ_R032,RZ_R033,RZ_R034,RZ_R035,RZ_R036,RZ_R037,RZ_R038,RZ_R039,RZ_R040,RZ_R041,RZ_R042,RZ_R043,RZ_R044,RZ_R045)&amp;"; eficacia pendiente de validación."</x:f>
        <x:v>Mes 9; residual objetivo: Baja; eficacia pendiente de validación.</x:v>
      </x:c>
      <x:c r="G273" s="16"/>
    </x:row>
    <x:row r="274" ht="48" customHeight="1">
      <x:c r="A274" s="14" t="n">
        <x:v>21</x:v>
      </x:c>
      <x:c r="B274" s="14" t="str">
        <x:f>IF(Lugar_R001=A274,"R-001",IF(Lugar_R002=A274,"R-002",IF(Lugar_R003=A274,"R-003",IF(Lugar_R004=A274,"R-004",IF(Lugar_R005=A274,"R-005",IF(Lugar_R006=A274,"R-006",IF(Lugar_R007=A274,"R-007",IF(Lugar_R008=A274,"R-008",IF(Lugar_R009=A274,"R-009",IF(Lugar_R010=A274,"R-010",IF(Lugar_R011=A274,"R-011",IF(Lugar_R012=A274,"R-012",IF(Lugar_R013=A274,"R-013",IF(Lugar_R014=A274,"R-014",IF(Lugar_R015=A274,"R-015",IF(Lugar_R016=A274,"R-016",IF(Lugar_R017=A274,"R-017",IF(Lugar_R018=A274,"R-018",IF(Lugar_R019=A274,"R-019",IF(Lugar_R020=A274,"R-020",IF(Lugar_R021=A274,"R-021",IF(Lugar_R022=A274,"R-022",IF(Lugar_R023=A274,"R-023",IF(Lugar_R024=A274,"R-024",IF(Lugar_R025=A274,"R-025",IF(Lugar_R026=A274,"R-026",IF(Lugar_R027=A274,"R-027",IF(Lugar_R028=A274,"R-028",IF(Lugar_R029=A274,"R-029",IF(Lugar_R030=A274,"R-030",IF(Lugar_R031=A274,"R-031",IF(Lugar_R032=A274,"R-032",IF(Lugar_R033=A274,"R-033",IF(Lugar_R034=A274,"R-034",IF(Lugar_R035=A274,"R-035",IF(Lugar_R036=A274,"R-036",IF(Lugar_R037=A274,"R-037",IF(Lugar_R038=A274,"R-038",IF(Lugar_R039=A274,"R-039",IF(Lugar_R040=A274,"R-040",IF(Lugar_R041=A274,"R-041",IF(Lugar_R042=A274,"R-042",IF(Lugar_R043=A274,"R-043",IF(Lugar_R044=A274,"R-044",IF(Lugar_R045=A274,"R-045","Sin prioridad")))))))))))))))))))))))))))))))))))))))))))))</x:f>
        <x:v>R-003</x:v>
      </x:c>
      <x:c r="C274" s="47" t="n">
        <x:f>INDEX($E$38:$E$82,MATCH(B274,$A$38:$A$82,0))*INDEX($F$38:$F$82,MATCH(B274,$A$38:$A$82,0))</x:f>
        <x:v>0.2</x:v>
      </x:c>
      <x:c r="D274" s="30" t="n">
        <x:f>INDEX($E$192:$E$236,MATCH(B274,$A$192:$A$236,0))</x:f>
        <x:v>80.64000000000001</x:v>
      </x:c>
      <x:c r="E274" s="14" t="str">
        <x:f>INDEX($G$38:$G$82,MATCH(B274,$A$38:$A$82,0))</x:f>
        <x:v>Alta</x:v>
      </x:c>
      <x:c r="F274" s="14" t="str">
        <x:f>"Mes "&amp;CHOOSE(MATCH(B274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Mes_R001,Mes_R002,Mes_R003,Mes_R004,Mes_R005,Mes_R006,Mes_R007,Mes_R008,Mes_R009,Mes_R010,Mes_R011,Mes_R012,Mes_R013,Mes_R014,Mes_R015,Mes_R016,Mes_R017,Mes_R018,Mes_R019,Mes_R020,Mes_R021,Mes_R022,Mes_R023,Mes_R024,Mes_R025,Mes_R026,Mes_R027,Mes_R028,Mes_R029,Mes_R030,Mes_R031,Mes_R032,Mes_R033,Mes_R034,Mes_R035,Mes_R036,Mes_R037,Mes_R038,Mes_R039,Mes_R040,Mes_R041,Mes_R042,Mes_R043,Mes_R044,Mes_R045)&amp;"; residual objetivo: "&amp;CHOOSE(MATCH(B274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RZ_R001,RZ_R002,RZ_R003,RZ_R004,RZ_R005,RZ_R006,RZ_R007,RZ_R008,RZ_R009,RZ_R010,RZ_R011,RZ_R012,RZ_R013,RZ_R014,RZ_R015,RZ_R016,RZ_R017,RZ_R018,RZ_R019,RZ_R020,RZ_R021,RZ_R022,RZ_R023,RZ_R024,RZ_R025,RZ_R026,RZ_R027,RZ_R028,RZ_R029,RZ_R030,RZ_R031,RZ_R032,RZ_R033,RZ_R034,RZ_R035,RZ_R036,RZ_R037,RZ_R038,RZ_R039,RZ_R040,RZ_R041,RZ_R042,RZ_R043,RZ_R044,RZ_R045)&amp;"; eficacia pendiente de validación."</x:f>
        <x:v>Mes 11; residual objetivo: Baja; eficacia pendiente de validación.</x:v>
      </x:c>
      <x:c r="G274" s="14"/>
    </x:row>
    <x:row r="275" ht="48" customHeight="1">
      <x:c r="A275" s="16" t="n">
        <x:v>22</x:v>
      </x:c>
      <x:c r="B275" s="16" t="str">
        <x:f>IF(Lugar_R001=A275,"R-001",IF(Lugar_R002=A275,"R-002",IF(Lugar_R003=A275,"R-003",IF(Lugar_R004=A275,"R-004",IF(Lugar_R005=A275,"R-005",IF(Lugar_R006=A275,"R-006",IF(Lugar_R007=A275,"R-007",IF(Lugar_R008=A275,"R-008",IF(Lugar_R009=A275,"R-009",IF(Lugar_R010=A275,"R-010",IF(Lugar_R011=A275,"R-011",IF(Lugar_R012=A275,"R-012",IF(Lugar_R013=A275,"R-013",IF(Lugar_R014=A275,"R-014",IF(Lugar_R015=A275,"R-015",IF(Lugar_R016=A275,"R-016",IF(Lugar_R017=A275,"R-017",IF(Lugar_R018=A275,"R-018",IF(Lugar_R019=A275,"R-019",IF(Lugar_R020=A275,"R-020",IF(Lugar_R021=A275,"R-021",IF(Lugar_R022=A275,"R-022",IF(Lugar_R023=A275,"R-023",IF(Lugar_R024=A275,"R-024",IF(Lugar_R025=A275,"R-025",IF(Lugar_R026=A275,"R-026",IF(Lugar_R027=A275,"R-027",IF(Lugar_R028=A275,"R-028",IF(Lugar_R029=A275,"R-029",IF(Lugar_R030=A275,"R-030",IF(Lugar_R031=A275,"R-031",IF(Lugar_R032=A275,"R-032",IF(Lugar_R033=A275,"R-033",IF(Lugar_R034=A275,"R-034",IF(Lugar_R035=A275,"R-035",IF(Lugar_R036=A275,"R-036",IF(Lugar_R037=A275,"R-037",IF(Lugar_R038=A275,"R-038",IF(Lugar_R039=A275,"R-039",IF(Lugar_R040=A275,"R-040",IF(Lugar_R041=A275,"R-041",IF(Lugar_R042=A275,"R-042",IF(Lugar_R043=A275,"R-043",IF(Lugar_R044=A275,"R-044",IF(Lugar_R045=A275,"R-045","Sin prioridad")))))))))))))))))))))))))))))))))))))))))))))</x:f>
        <x:v>R-018</x:v>
      </x:c>
      <x:c r="C275" s="48" t="n">
        <x:f>INDEX($E$38:$E$82,MATCH(B275,$A$38:$A$82,0))*INDEX($F$38:$F$82,MATCH(B275,$A$38:$A$82,0))</x:f>
        <x:v>0.2</x:v>
      </x:c>
      <x:c r="D275" s="33" t="n">
        <x:f>INDEX($E$192:$E$236,MATCH(B275,$A$192:$A$236,0))</x:f>
        <x:v>67.68</x:v>
      </x:c>
      <x:c r="E275" s="16" t="str">
        <x:f>INDEX($G$38:$G$82,MATCH(B275,$A$38:$A$82,0))</x:f>
        <x:v>Alta</x:v>
      </x:c>
      <x:c r="F275" s="16" t="str">
        <x:f>"Mes "&amp;CHOOSE(MATCH(B275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Mes_R001,Mes_R002,Mes_R003,Mes_R004,Mes_R005,Mes_R006,Mes_R007,Mes_R008,Mes_R009,Mes_R010,Mes_R011,Mes_R012,Mes_R013,Mes_R014,Mes_R015,Mes_R016,Mes_R017,Mes_R018,Mes_R019,Mes_R020,Mes_R021,Mes_R022,Mes_R023,Mes_R024,Mes_R025,Mes_R026,Mes_R027,Mes_R028,Mes_R029,Mes_R030,Mes_R031,Mes_R032,Mes_R033,Mes_R034,Mes_R035,Mes_R036,Mes_R037,Mes_R038,Mes_R039,Mes_R040,Mes_R041,Mes_R042,Mes_R043,Mes_R044,Mes_R045)&amp;"; residual objetivo: "&amp;CHOOSE(MATCH(B275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RZ_R001,RZ_R002,RZ_R003,RZ_R004,RZ_R005,RZ_R006,RZ_R007,RZ_R008,RZ_R009,RZ_R010,RZ_R011,RZ_R012,RZ_R013,RZ_R014,RZ_R015,RZ_R016,RZ_R017,RZ_R018,RZ_R019,RZ_R020,RZ_R021,RZ_R022,RZ_R023,RZ_R024,RZ_R025,RZ_R026,RZ_R027,RZ_R028,RZ_R029,RZ_R030,RZ_R031,RZ_R032,RZ_R033,RZ_R034,RZ_R035,RZ_R036,RZ_R037,RZ_R038,RZ_R039,RZ_R040,RZ_R041,RZ_R042,RZ_R043,RZ_R044,RZ_R045)&amp;"; eficacia pendiente de validación."</x:f>
        <x:v>Mes 11; residual objetivo: Baja; eficacia pendiente de validación.</x:v>
      </x:c>
      <x:c r="G275" s="16"/>
    </x:row>
    <x:row r="276" ht="48" customHeight="1">
      <x:c r="A276" s="14" t="n">
        <x:v>23</x:v>
      </x:c>
      <x:c r="B276" s="14" t="str">
        <x:f>IF(Lugar_R001=A276,"R-001",IF(Lugar_R002=A276,"R-002",IF(Lugar_R003=A276,"R-003",IF(Lugar_R004=A276,"R-004",IF(Lugar_R005=A276,"R-005",IF(Lugar_R006=A276,"R-006",IF(Lugar_R007=A276,"R-007",IF(Lugar_R008=A276,"R-008",IF(Lugar_R009=A276,"R-009",IF(Lugar_R010=A276,"R-010",IF(Lugar_R011=A276,"R-011",IF(Lugar_R012=A276,"R-012",IF(Lugar_R013=A276,"R-013",IF(Lugar_R014=A276,"R-014",IF(Lugar_R015=A276,"R-015",IF(Lugar_R016=A276,"R-016",IF(Lugar_R017=A276,"R-017",IF(Lugar_R018=A276,"R-018",IF(Lugar_R019=A276,"R-019",IF(Lugar_R020=A276,"R-020",IF(Lugar_R021=A276,"R-021",IF(Lugar_R022=A276,"R-022",IF(Lugar_R023=A276,"R-023",IF(Lugar_R024=A276,"R-024",IF(Lugar_R025=A276,"R-025",IF(Lugar_R026=A276,"R-026",IF(Lugar_R027=A276,"R-027",IF(Lugar_R028=A276,"R-028",IF(Lugar_R029=A276,"R-029",IF(Lugar_R030=A276,"R-030",IF(Lugar_R031=A276,"R-031",IF(Lugar_R032=A276,"R-032",IF(Lugar_R033=A276,"R-033",IF(Lugar_R034=A276,"R-034",IF(Lugar_R035=A276,"R-035",IF(Lugar_R036=A276,"R-036",IF(Lugar_R037=A276,"R-037",IF(Lugar_R038=A276,"R-038",IF(Lugar_R039=A276,"R-039",IF(Lugar_R040=A276,"R-040",IF(Lugar_R041=A276,"R-041",IF(Lugar_R042=A276,"R-042",IF(Lugar_R043=A276,"R-043",IF(Lugar_R044=A276,"R-044",IF(Lugar_R045=A276,"R-045","Sin prioridad")))))))))))))))))))))))))))))))))))))))))))))</x:f>
        <x:v>R-026</x:v>
      </x:c>
      <x:c r="C276" s="47" t="n">
        <x:f>INDEX($E$38:$E$82,MATCH(B276,$A$38:$A$82,0))*INDEX($F$38:$F$82,MATCH(B276,$A$38:$A$82,0))</x:f>
        <x:v>0.2</x:v>
      </x:c>
      <x:c r="D276" s="30" t="n">
        <x:f>INDEX($E$192:$E$236,MATCH(B276,$A$192:$A$236,0))</x:f>
        <x:v>80.64000000000001</x:v>
      </x:c>
      <x:c r="E276" s="14" t="str">
        <x:f>INDEX($G$38:$G$82,MATCH(B276,$A$38:$A$82,0))</x:f>
        <x:v>Alta</x:v>
      </x:c>
      <x:c r="F276" s="14" t="str">
        <x:f>"Mes "&amp;CHOOSE(MATCH(B276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Mes_R001,Mes_R002,Mes_R003,Mes_R004,Mes_R005,Mes_R006,Mes_R007,Mes_R008,Mes_R009,Mes_R010,Mes_R011,Mes_R012,Mes_R013,Mes_R014,Mes_R015,Mes_R016,Mes_R017,Mes_R018,Mes_R019,Mes_R020,Mes_R021,Mes_R022,Mes_R023,Mes_R024,Mes_R025,Mes_R026,Mes_R027,Mes_R028,Mes_R029,Mes_R030,Mes_R031,Mes_R032,Mes_R033,Mes_R034,Mes_R035,Mes_R036,Mes_R037,Mes_R038,Mes_R039,Mes_R040,Mes_R041,Mes_R042,Mes_R043,Mes_R044,Mes_R045)&amp;"; residual objetivo: "&amp;CHOOSE(MATCH(B276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RZ_R001,RZ_R002,RZ_R003,RZ_R004,RZ_R005,RZ_R006,RZ_R007,RZ_R008,RZ_R009,RZ_R010,RZ_R011,RZ_R012,RZ_R013,RZ_R014,RZ_R015,RZ_R016,RZ_R017,RZ_R018,RZ_R019,RZ_R020,RZ_R021,RZ_R022,RZ_R023,RZ_R024,RZ_R025,RZ_R026,RZ_R027,RZ_R028,RZ_R029,RZ_R030,RZ_R031,RZ_R032,RZ_R033,RZ_R034,RZ_R035,RZ_R036,RZ_R037,RZ_R038,RZ_R039,RZ_R040,RZ_R041,RZ_R042,RZ_R043,RZ_R044,RZ_R045)&amp;"; eficacia pendiente de validación."</x:f>
        <x:v>Mes 11; residual objetivo: Baja; eficacia pendiente de validación.</x:v>
      </x:c>
      <x:c r="G276" s="14"/>
    </x:row>
    <x:row r="277" ht="48" customHeight="1">
      <x:c r="A277" s="16" t="n">
        <x:v>24</x:v>
      </x:c>
      <x:c r="B277" s="16" t="str">
        <x:f>IF(Lugar_R001=A277,"R-001",IF(Lugar_R002=A277,"R-002",IF(Lugar_R003=A277,"R-003",IF(Lugar_R004=A277,"R-004",IF(Lugar_R005=A277,"R-005",IF(Lugar_R006=A277,"R-006",IF(Lugar_R007=A277,"R-007",IF(Lugar_R008=A277,"R-008",IF(Lugar_R009=A277,"R-009",IF(Lugar_R010=A277,"R-010",IF(Lugar_R011=A277,"R-011",IF(Lugar_R012=A277,"R-012",IF(Lugar_R013=A277,"R-013",IF(Lugar_R014=A277,"R-014",IF(Lugar_R015=A277,"R-015",IF(Lugar_R016=A277,"R-016",IF(Lugar_R017=A277,"R-017",IF(Lugar_R018=A277,"R-018",IF(Lugar_R019=A277,"R-019",IF(Lugar_R020=A277,"R-020",IF(Lugar_R021=A277,"R-021",IF(Lugar_R022=A277,"R-022",IF(Lugar_R023=A277,"R-023",IF(Lugar_R024=A277,"R-024",IF(Lugar_R025=A277,"R-025",IF(Lugar_R026=A277,"R-026",IF(Lugar_R027=A277,"R-027",IF(Lugar_R028=A277,"R-028",IF(Lugar_R029=A277,"R-029",IF(Lugar_R030=A277,"R-030",IF(Lugar_R031=A277,"R-031",IF(Lugar_R032=A277,"R-032",IF(Lugar_R033=A277,"R-033",IF(Lugar_R034=A277,"R-034",IF(Lugar_R035=A277,"R-035",IF(Lugar_R036=A277,"R-036",IF(Lugar_R037=A277,"R-037",IF(Lugar_R038=A277,"R-038",IF(Lugar_R039=A277,"R-039",IF(Lugar_R040=A277,"R-040",IF(Lugar_R041=A277,"R-041",IF(Lugar_R042=A277,"R-042",IF(Lugar_R043=A277,"R-043",IF(Lugar_R044=A277,"R-044",IF(Lugar_R045=A277,"R-045","Sin prioridad")))))))))))))))))))))))))))))))))))))))))))))</x:f>
        <x:v>R-038</x:v>
      </x:c>
      <x:c r="C277" s="48" t="n">
        <x:f>INDEX($E$38:$E$82,MATCH(B277,$A$38:$A$82,0))*INDEX($F$38:$F$82,MATCH(B277,$A$38:$A$82,0))</x:f>
        <x:v>0.2</x:v>
      </x:c>
      <x:c r="D277" s="33" t="n">
        <x:f>INDEX($E$192:$E$236,MATCH(B277,$A$192:$A$236,0))</x:f>
        <x:v>68.4</x:v>
      </x:c>
      <x:c r="E277" s="16" t="str">
        <x:f>INDEX($G$38:$G$82,MATCH(B277,$A$38:$A$82,0))</x:f>
        <x:v>Alta</x:v>
      </x:c>
      <x:c r="F277" s="16" t="str">
        <x:f>"Mes "&amp;CHOOSE(MATCH(B277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Mes_R001,Mes_R002,Mes_R003,Mes_R004,Mes_R005,Mes_R006,Mes_R007,Mes_R008,Mes_R009,Mes_R010,Mes_R011,Mes_R012,Mes_R013,Mes_R014,Mes_R015,Mes_R016,Mes_R017,Mes_R018,Mes_R019,Mes_R020,Mes_R021,Mes_R022,Mes_R023,Mes_R024,Mes_R025,Mes_R026,Mes_R027,Mes_R028,Mes_R029,Mes_R030,Mes_R031,Mes_R032,Mes_R033,Mes_R034,Mes_R035,Mes_R036,Mes_R037,Mes_R038,Mes_R039,Mes_R040,Mes_R041,Mes_R042,Mes_R043,Mes_R044,Mes_R045)&amp;"; residual objetivo: "&amp;CHOOSE(MATCH(B277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RZ_R001,RZ_R002,RZ_R003,RZ_R004,RZ_R005,RZ_R006,RZ_R007,RZ_R008,RZ_R009,RZ_R010,RZ_R011,RZ_R012,RZ_R013,RZ_R014,RZ_R015,RZ_R016,RZ_R017,RZ_R018,RZ_R019,RZ_R020,RZ_R021,RZ_R022,RZ_R023,RZ_R024,RZ_R025,RZ_R026,RZ_R027,RZ_R028,RZ_R029,RZ_R030,RZ_R031,RZ_R032,RZ_R033,RZ_R034,RZ_R035,RZ_R036,RZ_R037,RZ_R038,RZ_R039,RZ_R040,RZ_R041,RZ_R042,RZ_R043,RZ_R044,RZ_R045)&amp;"; eficacia pendiente de validación."</x:f>
        <x:v>Mes 12; residual objetivo: Baja; eficacia pendiente de validación.</x:v>
      </x:c>
      <x:c r="G277" s="16"/>
    </x:row>
    <x:row r="278" ht="48" customHeight="1">
      <x:c r="A278" s="14" t="n">
        <x:v>25</x:v>
      </x:c>
      <x:c r="B278" s="14" t="str">
        <x:f>IF(Lugar_R001=A278,"R-001",IF(Lugar_R002=A278,"R-002",IF(Lugar_R003=A278,"R-003",IF(Lugar_R004=A278,"R-004",IF(Lugar_R005=A278,"R-005",IF(Lugar_R006=A278,"R-006",IF(Lugar_R007=A278,"R-007",IF(Lugar_R008=A278,"R-008",IF(Lugar_R009=A278,"R-009",IF(Lugar_R010=A278,"R-010",IF(Lugar_R011=A278,"R-011",IF(Lugar_R012=A278,"R-012",IF(Lugar_R013=A278,"R-013",IF(Lugar_R014=A278,"R-014",IF(Lugar_R015=A278,"R-015",IF(Lugar_R016=A278,"R-016",IF(Lugar_R017=A278,"R-017",IF(Lugar_R018=A278,"R-018",IF(Lugar_R019=A278,"R-019",IF(Lugar_R020=A278,"R-020",IF(Lugar_R021=A278,"R-021",IF(Lugar_R022=A278,"R-022",IF(Lugar_R023=A278,"R-023",IF(Lugar_R024=A278,"R-024",IF(Lugar_R025=A278,"R-025",IF(Lugar_R026=A278,"R-026",IF(Lugar_R027=A278,"R-027",IF(Lugar_R028=A278,"R-028",IF(Lugar_R029=A278,"R-029",IF(Lugar_R030=A278,"R-030",IF(Lugar_R031=A278,"R-031",IF(Lugar_R032=A278,"R-032",IF(Lugar_R033=A278,"R-033",IF(Lugar_R034=A278,"R-034",IF(Lugar_R035=A278,"R-035",IF(Lugar_R036=A278,"R-036",IF(Lugar_R037=A278,"R-037",IF(Lugar_R038=A278,"R-038",IF(Lugar_R039=A278,"R-039",IF(Lugar_R040=A278,"R-040",IF(Lugar_R041=A278,"R-041",IF(Lugar_R042=A278,"R-042",IF(Lugar_R043=A278,"R-043",IF(Lugar_R044=A278,"R-044",IF(Lugar_R045=A278,"R-045","Sin prioridad")))))))))))))))))))))))))))))))))))))))))))))</x:f>
        <x:v>R-042</x:v>
      </x:c>
      <x:c r="C278" s="47" t="n">
        <x:f>INDEX($E$38:$E$82,MATCH(B278,$A$38:$A$82,0))*INDEX($F$38:$F$82,MATCH(B278,$A$38:$A$82,0))</x:f>
        <x:v>0.2</x:v>
      </x:c>
      <x:c r="D278" s="30" t="n">
        <x:f>INDEX($E$192:$E$236,MATCH(B278,$A$192:$A$236,0))</x:f>
        <x:v>44.24</x:v>
      </x:c>
      <x:c r="E278" s="14" t="str">
        <x:f>INDEX($G$38:$G$82,MATCH(B278,$A$38:$A$82,0))</x:f>
        <x:v>Alta</x:v>
      </x:c>
      <x:c r="F278" s="14" t="str">
        <x:f>"Mes "&amp;CHOOSE(MATCH(B278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Mes_R001,Mes_R002,Mes_R003,Mes_R004,Mes_R005,Mes_R006,Mes_R007,Mes_R008,Mes_R009,Mes_R010,Mes_R011,Mes_R012,Mes_R013,Mes_R014,Mes_R015,Mes_R016,Mes_R017,Mes_R018,Mes_R019,Mes_R020,Mes_R021,Mes_R022,Mes_R023,Mes_R024,Mes_R025,Mes_R026,Mes_R027,Mes_R028,Mes_R029,Mes_R030,Mes_R031,Mes_R032,Mes_R033,Mes_R034,Mes_R035,Mes_R036,Mes_R037,Mes_R038,Mes_R039,Mes_R040,Mes_R041,Mes_R042,Mes_R043,Mes_R044,Mes_R045)&amp;"; residual objetivo: "&amp;CHOOSE(MATCH(B278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RZ_R001,RZ_R002,RZ_R003,RZ_R004,RZ_R005,RZ_R006,RZ_R007,RZ_R008,RZ_R009,RZ_R010,RZ_R011,RZ_R012,RZ_R013,RZ_R014,RZ_R015,RZ_R016,RZ_R017,RZ_R018,RZ_R019,RZ_R020,RZ_R021,RZ_R022,RZ_R023,RZ_R024,RZ_R025,RZ_R026,RZ_R027,RZ_R028,RZ_R029,RZ_R030,RZ_R031,RZ_R032,RZ_R033,RZ_R034,RZ_R035,RZ_R036,RZ_R037,RZ_R038,RZ_R039,RZ_R040,RZ_R041,RZ_R042,RZ_R043,RZ_R044,RZ_R045)&amp;"; eficacia pendiente de validación."</x:f>
        <x:v>Mes 21; residual objetivo: Baja; eficacia pendiente de validación.</x:v>
      </x:c>
      <x:c r="G278" s="14"/>
    </x:row>
    <x:row r="279" ht="48" customHeight="1">
      <x:c r="A279" s="16" t="n">
        <x:v>26</x:v>
      </x:c>
      <x:c r="B279" s="16" t="str">
        <x:f>IF(Lugar_R001=A279,"R-001",IF(Lugar_R002=A279,"R-002",IF(Lugar_R003=A279,"R-003",IF(Lugar_R004=A279,"R-004",IF(Lugar_R005=A279,"R-005",IF(Lugar_R006=A279,"R-006",IF(Lugar_R007=A279,"R-007",IF(Lugar_R008=A279,"R-008",IF(Lugar_R009=A279,"R-009",IF(Lugar_R010=A279,"R-010",IF(Lugar_R011=A279,"R-011",IF(Lugar_R012=A279,"R-012",IF(Lugar_R013=A279,"R-013",IF(Lugar_R014=A279,"R-014",IF(Lugar_R015=A279,"R-015",IF(Lugar_R016=A279,"R-016",IF(Lugar_R017=A279,"R-017",IF(Lugar_R018=A279,"R-018",IF(Lugar_R019=A279,"R-019",IF(Lugar_R020=A279,"R-020",IF(Lugar_R021=A279,"R-021",IF(Lugar_R022=A279,"R-022",IF(Lugar_R023=A279,"R-023",IF(Lugar_R024=A279,"R-024",IF(Lugar_R025=A279,"R-025",IF(Lugar_R026=A279,"R-026",IF(Lugar_R027=A279,"R-027",IF(Lugar_R028=A279,"R-028",IF(Lugar_R029=A279,"R-029",IF(Lugar_R030=A279,"R-030",IF(Lugar_R031=A279,"R-031",IF(Lugar_R032=A279,"R-032",IF(Lugar_R033=A279,"R-033",IF(Lugar_R034=A279,"R-034",IF(Lugar_R035=A279,"R-035",IF(Lugar_R036=A279,"R-036",IF(Lugar_R037=A279,"R-037",IF(Lugar_R038=A279,"R-038",IF(Lugar_R039=A279,"R-039",IF(Lugar_R040=A279,"R-040",IF(Lugar_R041=A279,"R-041",IF(Lugar_R042=A279,"R-042",IF(Lugar_R043=A279,"R-043",IF(Lugar_R044=A279,"R-044",IF(Lugar_R045=A279,"R-045","Sin prioridad")))))))))))))))))))))))))))))))))))))))))))))</x:f>
        <x:v>R-010</x:v>
      </x:c>
      <x:c r="C279" s="48" t="n">
        <x:f>INDEX($E$38:$E$82,MATCH(B279,$A$38:$A$82,0))*INDEX($F$38:$F$82,MATCH(B279,$A$38:$A$82,0))</x:f>
        <x:v>0.12</x:v>
      </x:c>
      <x:c r="D279" s="33" t="n">
        <x:f>INDEX($E$192:$E$236,MATCH(B279,$A$192:$A$236,0))</x:f>
        <x:v>22</x:v>
      </x:c>
      <x:c r="E279" s="16" t="str">
        <x:f>INDEX($G$38:$G$82,MATCH(B279,$A$38:$A$82,0))</x:f>
        <x:v>Media</x:v>
      </x:c>
      <x:c r="F279" s="16" t="str">
        <x:f>"Mes "&amp;CHOOSE(MATCH(B279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Mes_R001,Mes_R002,Mes_R003,Mes_R004,Mes_R005,Mes_R006,Mes_R007,Mes_R008,Mes_R009,Mes_R010,Mes_R011,Mes_R012,Mes_R013,Mes_R014,Mes_R015,Mes_R016,Mes_R017,Mes_R018,Mes_R019,Mes_R020,Mes_R021,Mes_R022,Mes_R023,Mes_R024,Mes_R025,Mes_R026,Mes_R027,Mes_R028,Mes_R029,Mes_R030,Mes_R031,Mes_R032,Mes_R033,Mes_R034,Mes_R035,Mes_R036,Mes_R037,Mes_R038,Mes_R039,Mes_R040,Mes_R041,Mes_R042,Mes_R043,Mes_R044,Mes_R045)&amp;"; residual objetivo: "&amp;CHOOSE(MATCH(B279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RZ_R001,RZ_R002,RZ_R003,RZ_R004,RZ_R005,RZ_R006,RZ_R007,RZ_R008,RZ_R009,RZ_R010,RZ_R011,RZ_R012,RZ_R013,RZ_R014,RZ_R015,RZ_R016,RZ_R017,RZ_R018,RZ_R019,RZ_R020,RZ_R021,RZ_R022,RZ_R023,RZ_R024,RZ_R025,RZ_R026,RZ_R027,RZ_R028,RZ_R029,RZ_R030,RZ_R031,RZ_R032,RZ_R033,RZ_R034,RZ_R035,RZ_R036,RZ_R037,RZ_R038,RZ_R039,RZ_R040,RZ_R041,RZ_R042,RZ_R043,RZ_R044,RZ_R045)&amp;"; eficacia pendiente de validación."</x:f>
        <x:v>Mes 3; residual objetivo: Baja; eficacia pendiente de validación.</x:v>
      </x:c>
      <x:c r="G279" s="16"/>
    </x:row>
    <x:row r="280" ht="48" customHeight="1">
      <x:c r="A280" s="14" t="n">
        <x:v>27</x:v>
      </x:c>
      <x:c r="B280" s="14" t="str">
        <x:f>IF(Lugar_R001=A280,"R-001",IF(Lugar_R002=A280,"R-002",IF(Lugar_R003=A280,"R-003",IF(Lugar_R004=A280,"R-004",IF(Lugar_R005=A280,"R-005",IF(Lugar_R006=A280,"R-006",IF(Lugar_R007=A280,"R-007",IF(Lugar_R008=A280,"R-008",IF(Lugar_R009=A280,"R-009",IF(Lugar_R010=A280,"R-010",IF(Lugar_R011=A280,"R-011",IF(Lugar_R012=A280,"R-012",IF(Lugar_R013=A280,"R-013",IF(Lugar_R014=A280,"R-014",IF(Lugar_R015=A280,"R-015",IF(Lugar_R016=A280,"R-016",IF(Lugar_R017=A280,"R-017",IF(Lugar_R018=A280,"R-018",IF(Lugar_R019=A280,"R-019",IF(Lugar_R020=A280,"R-020",IF(Lugar_R021=A280,"R-021",IF(Lugar_R022=A280,"R-022",IF(Lugar_R023=A280,"R-023",IF(Lugar_R024=A280,"R-024",IF(Lugar_R025=A280,"R-025",IF(Lugar_R026=A280,"R-026",IF(Lugar_R027=A280,"R-027",IF(Lugar_R028=A280,"R-028",IF(Lugar_R029=A280,"R-029",IF(Lugar_R030=A280,"R-030",IF(Lugar_R031=A280,"R-031",IF(Lugar_R032=A280,"R-032",IF(Lugar_R033=A280,"R-033",IF(Lugar_R034=A280,"R-034",IF(Lugar_R035=A280,"R-035",IF(Lugar_R036=A280,"R-036",IF(Lugar_R037=A280,"R-037",IF(Lugar_R038=A280,"R-038",IF(Lugar_R039=A280,"R-039",IF(Lugar_R040=A280,"R-040",IF(Lugar_R041=A280,"R-041",IF(Lugar_R042=A280,"R-042",IF(Lugar_R043=A280,"R-043",IF(Lugar_R044=A280,"R-044",IF(Lugar_R045=A280,"R-045","Sin prioridad")))))))))))))))))))))))))))))))))))))))))))))</x:f>
        <x:v>R-032</x:v>
      </x:c>
      <x:c r="C280" s="47" t="n">
        <x:f>INDEX($E$38:$E$82,MATCH(B280,$A$38:$A$82,0))*INDEX($F$38:$F$82,MATCH(B280,$A$38:$A$82,0))</x:f>
        <x:v>0.12</x:v>
      </x:c>
      <x:c r="D280" s="30" t="n">
        <x:f>INDEX($E$192:$E$236,MATCH(B280,$A$192:$A$236,0))</x:f>
        <x:v>45.6</x:v>
      </x:c>
      <x:c r="E280" s="14" t="str">
        <x:f>INDEX($G$38:$G$82,MATCH(B280,$A$38:$A$82,0))</x:f>
        <x:v>Media</x:v>
      </x:c>
      <x:c r="F280" s="14" t="str">
        <x:f>"Mes "&amp;CHOOSE(MATCH(B280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Mes_R001,Mes_R002,Mes_R003,Mes_R004,Mes_R005,Mes_R006,Mes_R007,Mes_R008,Mes_R009,Mes_R010,Mes_R011,Mes_R012,Mes_R013,Mes_R014,Mes_R015,Mes_R016,Mes_R017,Mes_R018,Mes_R019,Mes_R020,Mes_R021,Mes_R022,Mes_R023,Mes_R024,Mes_R025,Mes_R026,Mes_R027,Mes_R028,Mes_R029,Mes_R030,Mes_R031,Mes_R032,Mes_R033,Mes_R034,Mes_R035,Mes_R036,Mes_R037,Mes_R038,Mes_R039,Mes_R040,Mes_R041,Mes_R042,Mes_R043,Mes_R044,Mes_R045)&amp;"; residual objetivo: "&amp;CHOOSE(MATCH(B280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RZ_R001,RZ_R002,RZ_R003,RZ_R004,RZ_R005,RZ_R006,RZ_R007,RZ_R008,RZ_R009,RZ_R010,RZ_R011,RZ_R012,RZ_R013,RZ_R014,RZ_R015,RZ_R016,RZ_R017,RZ_R018,RZ_R019,RZ_R020,RZ_R021,RZ_R022,RZ_R023,RZ_R024,RZ_R025,RZ_R026,RZ_R027,RZ_R028,RZ_R029,RZ_R030,RZ_R031,RZ_R032,RZ_R033,RZ_R034,RZ_R035,RZ_R036,RZ_R037,RZ_R038,RZ_R039,RZ_R040,RZ_R041,RZ_R042,RZ_R043,RZ_R044,RZ_R045)&amp;"; eficacia pendiente de validación."</x:f>
        <x:v>Mes 3; residual objetivo: Baja; eficacia pendiente de validación.</x:v>
      </x:c>
      <x:c r="G280" s="14"/>
    </x:row>
    <x:row r="281" ht="48" customHeight="1">
      <x:c r="A281" s="16" t="n">
        <x:v>28</x:v>
      </x:c>
      <x:c r="B281" s="16" t="str">
        <x:f>IF(Lugar_R001=A281,"R-001",IF(Lugar_R002=A281,"R-002",IF(Lugar_R003=A281,"R-003",IF(Lugar_R004=A281,"R-004",IF(Lugar_R005=A281,"R-005",IF(Lugar_R006=A281,"R-006",IF(Lugar_R007=A281,"R-007",IF(Lugar_R008=A281,"R-008",IF(Lugar_R009=A281,"R-009",IF(Lugar_R010=A281,"R-010",IF(Lugar_R011=A281,"R-011",IF(Lugar_R012=A281,"R-012",IF(Lugar_R013=A281,"R-013",IF(Lugar_R014=A281,"R-014",IF(Lugar_R015=A281,"R-015",IF(Lugar_R016=A281,"R-016",IF(Lugar_R017=A281,"R-017",IF(Lugar_R018=A281,"R-018",IF(Lugar_R019=A281,"R-019",IF(Lugar_R020=A281,"R-020",IF(Lugar_R021=A281,"R-021",IF(Lugar_R022=A281,"R-022",IF(Lugar_R023=A281,"R-023",IF(Lugar_R024=A281,"R-024",IF(Lugar_R025=A281,"R-025",IF(Lugar_R026=A281,"R-026",IF(Lugar_R027=A281,"R-027",IF(Lugar_R028=A281,"R-028",IF(Lugar_R029=A281,"R-029",IF(Lugar_R030=A281,"R-030",IF(Lugar_R031=A281,"R-031",IF(Lugar_R032=A281,"R-032",IF(Lugar_R033=A281,"R-033",IF(Lugar_R034=A281,"R-034",IF(Lugar_R035=A281,"R-035",IF(Lugar_R036=A281,"R-036",IF(Lugar_R037=A281,"R-037",IF(Lugar_R038=A281,"R-038",IF(Lugar_R039=A281,"R-039",IF(Lugar_R040=A281,"R-040",IF(Lugar_R041=A281,"R-041",IF(Lugar_R042=A281,"R-042",IF(Lugar_R043=A281,"R-043",IF(Lugar_R044=A281,"R-044",IF(Lugar_R045=A281,"R-045","Sin prioridad")))))))))))))))))))))))))))))))))))))))))))))</x:f>
        <x:v>R-023</x:v>
      </x:c>
      <x:c r="C281" s="48" t="n">
        <x:f>INDEX($E$38:$E$82,MATCH(B281,$A$38:$A$82,0))*INDEX($F$38:$F$82,MATCH(B281,$A$38:$A$82,0))</x:f>
        <x:v>0.12</x:v>
      </x:c>
      <x:c r="D281" s="33" t="n">
        <x:f>INDEX($E$192:$E$236,MATCH(B281,$A$192:$A$236,0))</x:f>
        <x:v>26.4</x:v>
      </x:c>
      <x:c r="E281" s="16" t="str">
        <x:f>INDEX($G$38:$G$82,MATCH(B281,$A$38:$A$82,0))</x:f>
        <x:v>Media</x:v>
      </x:c>
      <x:c r="F281" s="16" t="str">
        <x:f>"Mes "&amp;CHOOSE(MATCH(B281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Mes_R001,Mes_R002,Mes_R003,Mes_R004,Mes_R005,Mes_R006,Mes_R007,Mes_R008,Mes_R009,Mes_R010,Mes_R011,Mes_R012,Mes_R013,Mes_R014,Mes_R015,Mes_R016,Mes_R017,Mes_R018,Mes_R019,Mes_R020,Mes_R021,Mes_R022,Mes_R023,Mes_R024,Mes_R025,Mes_R026,Mes_R027,Mes_R028,Mes_R029,Mes_R030,Mes_R031,Mes_R032,Mes_R033,Mes_R034,Mes_R035,Mes_R036,Mes_R037,Mes_R038,Mes_R039,Mes_R040,Mes_R041,Mes_R042,Mes_R043,Mes_R044,Mes_R045)&amp;"; residual objetivo: "&amp;CHOOSE(MATCH(B281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RZ_R001,RZ_R002,RZ_R003,RZ_R004,RZ_R005,RZ_R006,RZ_R007,RZ_R008,RZ_R009,RZ_R010,RZ_R011,RZ_R012,RZ_R013,RZ_R014,RZ_R015,RZ_R016,RZ_R017,RZ_R018,RZ_R019,RZ_R020,RZ_R021,RZ_R022,RZ_R023,RZ_R024,RZ_R025,RZ_R026,RZ_R027,RZ_R028,RZ_R029,RZ_R030,RZ_R031,RZ_R032,RZ_R033,RZ_R034,RZ_R035,RZ_R036,RZ_R037,RZ_R038,RZ_R039,RZ_R040,RZ_R041,RZ_R042,RZ_R043,RZ_R044,RZ_R045)&amp;"; eficacia pendiente de validación."</x:f>
        <x:v>Mes 4; residual objetivo: Baja; eficacia pendiente de validación.</x:v>
      </x:c>
      <x:c r="G281" s="16"/>
    </x:row>
    <x:row r="282" ht="48" customHeight="1">
      <x:c r="A282" s="14" t="n">
        <x:v>29</x:v>
      </x:c>
      <x:c r="B282" s="14" t="str">
        <x:f>IF(Lugar_R001=A282,"R-001",IF(Lugar_R002=A282,"R-002",IF(Lugar_R003=A282,"R-003",IF(Lugar_R004=A282,"R-004",IF(Lugar_R005=A282,"R-005",IF(Lugar_R006=A282,"R-006",IF(Lugar_R007=A282,"R-007",IF(Lugar_R008=A282,"R-008",IF(Lugar_R009=A282,"R-009",IF(Lugar_R010=A282,"R-010",IF(Lugar_R011=A282,"R-011",IF(Lugar_R012=A282,"R-012",IF(Lugar_R013=A282,"R-013",IF(Lugar_R014=A282,"R-014",IF(Lugar_R015=A282,"R-015",IF(Lugar_R016=A282,"R-016",IF(Lugar_R017=A282,"R-017",IF(Lugar_R018=A282,"R-018",IF(Lugar_R019=A282,"R-019",IF(Lugar_R020=A282,"R-020",IF(Lugar_R021=A282,"R-021",IF(Lugar_R022=A282,"R-022",IF(Lugar_R023=A282,"R-023",IF(Lugar_R024=A282,"R-024",IF(Lugar_R025=A282,"R-025",IF(Lugar_R026=A282,"R-026",IF(Lugar_R027=A282,"R-027",IF(Lugar_R028=A282,"R-028",IF(Lugar_R029=A282,"R-029",IF(Lugar_R030=A282,"R-030",IF(Lugar_R031=A282,"R-031",IF(Lugar_R032=A282,"R-032",IF(Lugar_R033=A282,"R-033",IF(Lugar_R034=A282,"R-034",IF(Lugar_R035=A282,"R-035",IF(Lugar_R036=A282,"R-036",IF(Lugar_R037=A282,"R-037",IF(Lugar_R038=A282,"R-038",IF(Lugar_R039=A282,"R-039",IF(Lugar_R040=A282,"R-040",IF(Lugar_R041=A282,"R-041",IF(Lugar_R042=A282,"R-042",IF(Lugar_R043=A282,"R-043",IF(Lugar_R044=A282,"R-044",IF(Lugar_R045=A282,"R-045","Sin prioridad")))))))))))))))))))))))))))))))))))))))))))))</x:f>
        <x:v>R-009</x:v>
      </x:c>
      <x:c r="C282" s="47" t="n">
        <x:f>INDEX($E$38:$E$82,MATCH(B282,$A$38:$A$82,0))*INDEX($F$38:$F$82,MATCH(B282,$A$38:$A$82,0))</x:f>
        <x:v>0.12</x:v>
      </x:c>
      <x:c r="D282" s="30" t="n">
        <x:f>INDEX($E$192:$E$236,MATCH(B282,$A$192:$A$236,0))</x:f>
        <x:v>16.8</x:v>
      </x:c>
      <x:c r="E282" s="14" t="str">
        <x:f>INDEX($G$38:$G$82,MATCH(B282,$A$38:$A$82,0))</x:f>
        <x:v>Media</x:v>
      </x:c>
      <x:c r="F282" s="14" t="str">
        <x:f>"Mes "&amp;CHOOSE(MATCH(B282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Mes_R001,Mes_R002,Mes_R003,Mes_R004,Mes_R005,Mes_R006,Mes_R007,Mes_R008,Mes_R009,Mes_R010,Mes_R011,Mes_R012,Mes_R013,Mes_R014,Mes_R015,Mes_R016,Mes_R017,Mes_R018,Mes_R019,Mes_R020,Mes_R021,Mes_R022,Mes_R023,Mes_R024,Mes_R025,Mes_R026,Mes_R027,Mes_R028,Mes_R029,Mes_R030,Mes_R031,Mes_R032,Mes_R033,Mes_R034,Mes_R035,Mes_R036,Mes_R037,Mes_R038,Mes_R039,Mes_R040,Mes_R041,Mes_R042,Mes_R043,Mes_R044,Mes_R045)&amp;"; residual objetivo: "&amp;CHOOSE(MATCH(B282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RZ_R001,RZ_R002,RZ_R003,RZ_R004,RZ_R005,RZ_R006,RZ_R007,RZ_R008,RZ_R009,RZ_R010,RZ_R011,RZ_R012,RZ_R013,RZ_R014,RZ_R015,RZ_R016,RZ_R017,RZ_R018,RZ_R019,RZ_R020,RZ_R021,RZ_R022,RZ_R023,RZ_R024,RZ_R025,RZ_R026,RZ_R027,RZ_R028,RZ_R029,RZ_R030,RZ_R031,RZ_R032,RZ_R033,RZ_R034,RZ_R035,RZ_R036,RZ_R037,RZ_R038,RZ_R039,RZ_R040,RZ_R041,RZ_R042,RZ_R043,RZ_R044,RZ_R045)&amp;"; eficacia pendiente de validación."</x:f>
        <x:v>Mes 8; residual objetivo: Baja; eficacia pendiente de validación.</x:v>
      </x:c>
      <x:c r="G282" s="14"/>
    </x:row>
    <x:row r="283" ht="48" customHeight="1">
      <x:c r="A283" s="16" t="n">
        <x:v>30</x:v>
      </x:c>
      <x:c r="B283" s="16" t="str">
        <x:f>IF(Lugar_R001=A283,"R-001",IF(Lugar_R002=A283,"R-002",IF(Lugar_R003=A283,"R-003",IF(Lugar_R004=A283,"R-004",IF(Lugar_R005=A283,"R-005",IF(Lugar_R006=A283,"R-006",IF(Lugar_R007=A283,"R-007",IF(Lugar_R008=A283,"R-008",IF(Lugar_R009=A283,"R-009",IF(Lugar_R010=A283,"R-010",IF(Lugar_R011=A283,"R-011",IF(Lugar_R012=A283,"R-012",IF(Lugar_R013=A283,"R-013",IF(Lugar_R014=A283,"R-014",IF(Lugar_R015=A283,"R-015",IF(Lugar_R016=A283,"R-016",IF(Lugar_R017=A283,"R-017",IF(Lugar_R018=A283,"R-018",IF(Lugar_R019=A283,"R-019",IF(Lugar_R020=A283,"R-020",IF(Lugar_R021=A283,"R-021",IF(Lugar_R022=A283,"R-022",IF(Lugar_R023=A283,"R-023",IF(Lugar_R024=A283,"R-024",IF(Lugar_R025=A283,"R-025",IF(Lugar_R026=A283,"R-026",IF(Lugar_R027=A283,"R-027",IF(Lugar_R028=A283,"R-028",IF(Lugar_R029=A283,"R-029",IF(Lugar_R030=A283,"R-030",IF(Lugar_R031=A283,"R-031",IF(Lugar_R032=A283,"R-032",IF(Lugar_R033=A283,"R-033",IF(Lugar_R034=A283,"R-034",IF(Lugar_R035=A283,"R-035",IF(Lugar_R036=A283,"R-036",IF(Lugar_R037=A283,"R-037",IF(Lugar_R038=A283,"R-038",IF(Lugar_R039=A283,"R-039",IF(Lugar_R040=A283,"R-040",IF(Lugar_R041=A283,"R-041",IF(Lugar_R042=A283,"R-042",IF(Lugar_R043=A283,"R-043",IF(Lugar_R044=A283,"R-044",IF(Lugar_R045=A283,"R-045","Sin prioridad")))))))))))))))))))))))))))))))))))))))))))))</x:f>
        <x:v>R-043</x:v>
      </x:c>
      <x:c r="C283" s="48" t="n">
        <x:f>INDEX($E$38:$E$82,MATCH(B283,$A$38:$A$82,0))*INDEX($F$38:$F$82,MATCH(B283,$A$38:$A$82,0))</x:f>
        <x:v>0.12</x:v>
      </x:c>
      <x:c r="D283" s="33" t="n">
        <x:f>INDEX($E$192:$E$236,MATCH(B283,$A$192:$A$236,0))</x:f>
        <x:v>26.4</x:v>
      </x:c>
      <x:c r="E283" s="16" t="str">
        <x:f>INDEX($G$38:$G$82,MATCH(B283,$A$38:$A$82,0))</x:f>
        <x:v>Media</x:v>
      </x:c>
      <x:c r="F283" s="16" t="str">
        <x:f>"Mes "&amp;CHOOSE(MATCH(B283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Mes_R001,Mes_R002,Mes_R003,Mes_R004,Mes_R005,Mes_R006,Mes_R007,Mes_R008,Mes_R009,Mes_R010,Mes_R011,Mes_R012,Mes_R013,Mes_R014,Mes_R015,Mes_R016,Mes_R017,Mes_R018,Mes_R019,Mes_R020,Mes_R021,Mes_R022,Mes_R023,Mes_R024,Mes_R025,Mes_R026,Mes_R027,Mes_R028,Mes_R029,Mes_R030,Mes_R031,Mes_R032,Mes_R033,Mes_R034,Mes_R035,Mes_R036,Mes_R037,Mes_R038,Mes_R039,Mes_R040,Mes_R041,Mes_R042,Mes_R043,Mes_R044,Mes_R045)&amp;"; residual objetivo: "&amp;CHOOSE(MATCH(B283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RZ_R001,RZ_R002,RZ_R003,RZ_R004,RZ_R005,RZ_R006,RZ_R007,RZ_R008,RZ_R009,RZ_R010,RZ_R011,RZ_R012,RZ_R013,RZ_R014,RZ_R015,RZ_R016,RZ_R017,RZ_R018,RZ_R019,RZ_R020,RZ_R021,RZ_R022,RZ_R023,RZ_R024,RZ_R025,RZ_R026,RZ_R027,RZ_R028,RZ_R029,RZ_R030,RZ_R031,RZ_R032,RZ_R033,RZ_R034,RZ_R035,RZ_R036,RZ_R037,RZ_R038,RZ_R039,RZ_R040,RZ_R041,RZ_R042,RZ_R043,RZ_R044,RZ_R045)&amp;"; eficacia pendiente de validación."</x:f>
        <x:v>Mes 8; residual objetivo: Baja; eficacia pendiente de validación.</x:v>
      </x:c>
      <x:c r="G283" s="16"/>
    </x:row>
    <x:row r="284" ht="48" customHeight="1">
      <x:c r="A284" s="14" t="n">
        <x:v>31</x:v>
      </x:c>
      <x:c r="B284" s="14" t="str">
        <x:f>IF(Lugar_R001=A284,"R-001",IF(Lugar_R002=A284,"R-002",IF(Lugar_R003=A284,"R-003",IF(Lugar_R004=A284,"R-004",IF(Lugar_R005=A284,"R-005",IF(Lugar_R006=A284,"R-006",IF(Lugar_R007=A284,"R-007",IF(Lugar_R008=A284,"R-008",IF(Lugar_R009=A284,"R-009",IF(Lugar_R010=A284,"R-010",IF(Lugar_R011=A284,"R-011",IF(Lugar_R012=A284,"R-012",IF(Lugar_R013=A284,"R-013",IF(Lugar_R014=A284,"R-014",IF(Lugar_R015=A284,"R-015",IF(Lugar_R016=A284,"R-016",IF(Lugar_R017=A284,"R-017",IF(Lugar_R018=A284,"R-018",IF(Lugar_R019=A284,"R-019",IF(Lugar_R020=A284,"R-020",IF(Lugar_R021=A284,"R-021",IF(Lugar_R022=A284,"R-022",IF(Lugar_R023=A284,"R-023",IF(Lugar_R024=A284,"R-024",IF(Lugar_R025=A284,"R-025",IF(Lugar_R026=A284,"R-026",IF(Lugar_R027=A284,"R-027",IF(Lugar_R028=A284,"R-028",IF(Lugar_R029=A284,"R-029",IF(Lugar_R030=A284,"R-030",IF(Lugar_R031=A284,"R-031",IF(Lugar_R032=A284,"R-032",IF(Lugar_R033=A284,"R-033",IF(Lugar_R034=A284,"R-034",IF(Lugar_R035=A284,"R-035",IF(Lugar_R036=A284,"R-036",IF(Lugar_R037=A284,"R-037",IF(Lugar_R038=A284,"R-038",IF(Lugar_R039=A284,"R-039",IF(Lugar_R040=A284,"R-040",IF(Lugar_R041=A284,"R-041",IF(Lugar_R042=A284,"R-042",IF(Lugar_R043=A284,"R-043",IF(Lugar_R044=A284,"R-044",IF(Lugar_R045=A284,"R-045","Sin prioridad")))))))))))))))))))))))))))))))))))))))))))))</x:f>
        <x:v>R-008</x:v>
      </x:c>
      <x:c r="C284" s="47" t="n">
        <x:f>INDEX($E$38:$E$82,MATCH(B284,$A$38:$A$82,0))*INDEX($F$38:$F$82,MATCH(B284,$A$38:$A$82,0))</x:f>
        <x:v>0.12</x:v>
      </x:c>
      <x:c r="D284" s="30" t="n">
        <x:f>INDEX($E$192:$E$236,MATCH(B284,$A$192:$A$236,0))</x:f>
        <x:v>24</x:v>
      </x:c>
      <x:c r="E284" s="14" t="str">
        <x:f>INDEX($G$38:$G$82,MATCH(B284,$A$38:$A$82,0))</x:f>
        <x:v>Media</x:v>
      </x:c>
      <x:c r="F284" s="14" t="str">
        <x:f>"Mes "&amp;CHOOSE(MATCH(B284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Mes_R001,Mes_R002,Mes_R003,Mes_R004,Mes_R005,Mes_R006,Mes_R007,Mes_R008,Mes_R009,Mes_R010,Mes_R011,Mes_R012,Mes_R013,Mes_R014,Mes_R015,Mes_R016,Mes_R017,Mes_R018,Mes_R019,Mes_R020,Mes_R021,Mes_R022,Mes_R023,Mes_R024,Mes_R025,Mes_R026,Mes_R027,Mes_R028,Mes_R029,Mes_R030,Mes_R031,Mes_R032,Mes_R033,Mes_R034,Mes_R035,Mes_R036,Mes_R037,Mes_R038,Mes_R039,Mes_R040,Mes_R041,Mes_R042,Mes_R043,Mes_R044,Mes_R045)&amp;"; residual objetivo: "&amp;CHOOSE(MATCH(B284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RZ_R001,RZ_R002,RZ_R003,RZ_R004,RZ_R005,RZ_R006,RZ_R007,RZ_R008,RZ_R009,RZ_R010,RZ_R011,RZ_R012,RZ_R013,RZ_R014,RZ_R015,RZ_R016,RZ_R017,RZ_R018,RZ_R019,RZ_R020,RZ_R021,RZ_R022,RZ_R023,RZ_R024,RZ_R025,RZ_R026,RZ_R027,RZ_R028,RZ_R029,RZ_R030,RZ_R031,RZ_R032,RZ_R033,RZ_R034,RZ_R035,RZ_R036,RZ_R037,RZ_R038,RZ_R039,RZ_R040,RZ_R041,RZ_R042,RZ_R043,RZ_R044,RZ_R045)&amp;"; eficacia pendiente de validación."</x:f>
        <x:v>Mes 10; residual objetivo: Baja; eficacia pendiente de validación.</x:v>
      </x:c>
      <x:c r="G284" s="14"/>
    </x:row>
    <x:row r="285" ht="48" customHeight="1">
      <x:c r="A285" s="16" t="n">
        <x:v>32</x:v>
      </x:c>
      <x:c r="B285" s="16" t="str">
        <x:f>IF(Lugar_R001=A285,"R-001",IF(Lugar_R002=A285,"R-002",IF(Lugar_R003=A285,"R-003",IF(Lugar_R004=A285,"R-004",IF(Lugar_R005=A285,"R-005",IF(Lugar_R006=A285,"R-006",IF(Lugar_R007=A285,"R-007",IF(Lugar_R008=A285,"R-008",IF(Lugar_R009=A285,"R-009",IF(Lugar_R010=A285,"R-010",IF(Lugar_R011=A285,"R-011",IF(Lugar_R012=A285,"R-012",IF(Lugar_R013=A285,"R-013",IF(Lugar_R014=A285,"R-014",IF(Lugar_R015=A285,"R-015",IF(Lugar_R016=A285,"R-016",IF(Lugar_R017=A285,"R-017",IF(Lugar_R018=A285,"R-018",IF(Lugar_R019=A285,"R-019",IF(Lugar_R020=A285,"R-020",IF(Lugar_R021=A285,"R-021",IF(Lugar_R022=A285,"R-022",IF(Lugar_R023=A285,"R-023",IF(Lugar_R024=A285,"R-024",IF(Lugar_R025=A285,"R-025",IF(Lugar_R026=A285,"R-026",IF(Lugar_R027=A285,"R-027",IF(Lugar_R028=A285,"R-028",IF(Lugar_R029=A285,"R-029",IF(Lugar_R030=A285,"R-030",IF(Lugar_R031=A285,"R-031",IF(Lugar_R032=A285,"R-032",IF(Lugar_R033=A285,"R-033",IF(Lugar_R034=A285,"R-034",IF(Lugar_R035=A285,"R-035",IF(Lugar_R036=A285,"R-036",IF(Lugar_R037=A285,"R-037",IF(Lugar_R038=A285,"R-038",IF(Lugar_R039=A285,"R-039",IF(Lugar_R040=A285,"R-040",IF(Lugar_R041=A285,"R-041",IF(Lugar_R042=A285,"R-042",IF(Lugar_R043=A285,"R-043",IF(Lugar_R044=A285,"R-044",IF(Lugar_R045=A285,"R-045","Sin prioridad")))))))))))))))))))))))))))))))))))))))))))))</x:f>
        <x:v>R-028</x:v>
      </x:c>
      <x:c r="C285" s="48" t="n">
        <x:f>INDEX($E$38:$E$82,MATCH(B285,$A$38:$A$82,0))*INDEX($F$38:$F$82,MATCH(B285,$A$38:$A$82,0))</x:f>
        <x:v>0.12</x:v>
      </x:c>
      <x:c r="D285" s="33" t="n">
        <x:f>INDEX($E$192:$E$236,MATCH(B285,$A$192:$A$236,0))</x:f>
        <x:v>32.64</x:v>
      </x:c>
      <x:c r="E285" s="16" t="str">
        <x:f>INDEX($G$38:$G$82,MATCH(B285,$A$38:$A$82,0))</x:f>
        <x:v>Media</x:v>
      </x:c>
      <x:c r="F285" s="16" t="str">
        <x:f>"Mes "&amp;CHOOSE(MATCH(B285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Mes_R001,Mes_R002,Mes_R003,Mes_R004,Mes_R005,Mes_R006,Mes_R007,Mes_R008,Mes_R009,Mes_R010,Mes_R011,Mes_R012,Mes_R013,Mes_R014,Mes_R015,Mes_R016,Mes_R017,Mes_R018,Mes_R019,Mes_R020,Mes_R021,Mes_R022,Mes_R023,Mes_R024,Mes_R025,Mes_R026,Mes_R027,Mes_R028,Mes_R029,Mes_R030,Mes_R031,Mes_R032,Mes_R033,Mes_R034,Mes_R035,Mes_R036,Mes_R037,Mes_R038,Mes_R039,Mes_R040,Mes_R041,Mes_R042,Mes_R043,Mes_R044,Mes_R045)&amp;"; residual objetivo: "&amp;CHOOSE(MATCH(B285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RZ_R001,RZ_R002,RZ_R003,RZ_R004,RZ_R005,RZ_R006,RZ_R007,RZ_R008,RZ_R009,RZ_R010,RZ_R011,RZ_R012,RZ_R013,RZ_R014,RZ_R015,RZ_R016,RZ_R017,RZ_R018,RZ_R019,RZ_R020,RZ_R021,RZ_R022,RZ_R023,RZ_R024,RZ_R025,RZ_R026,RZ_R027,RZ_R028,RZ_R029,RZ_R030,RZ_R031,RZ_R032,RZ_R033,RZ_R034,RZ_R035,RZ_R036,RZ_R037,RZ_R038,RZ_R039,RZ_R040,RZ_R041,RZ_R042,RZ_R043,RZ_R044,RZ_R045)&amp;"; eficacia pendiente de validación."</x:f>
        <x:v>Mes 12; residual objetivo: Baja; eficacia pendiente de validación.</x:v>
      </x:c>
      <x:c r="G285" s="16"/>
    </x:row>
    <x:row r="286" ht="48" customHeight="1">
      <x:c r="A286" s="14" t="n">
        <x:v>33</x:v>
      </x:c>
      <x:c r="B286" s="14" t="str">
        <x:f>IF(Lugar_R001=A286,"R-001",IF(Lugar_R002=A286,"R-002",IF(Lugar_R003=A286,"R-003",IF(Lugar_R004=A286,"R-004",IF(Lugar_R005=A286,"R-005",IF(Lugar_R006=A286,"R-006",IF(Lugar_R007=A286,"R-007",IF(Lugar_R008=A286,"R-008",IF(Lugar_R009=A286,"R-009",IF(Lugar_R010=A286,"R-010",IF(Lugar_R011=A286,"R-011",IF(Lugar_R012=A286,"R-012",IF(Lugar_R013=A286,"R-013",IF(Lugar_R014=A286,"R-014",IF(Lugar_R015=A286,"R-015",IF(Lugar_R016=A286,"R-016",IF(Lugar_R017=A286,"R-017",IF(Lugar_R018=A286,"R-018",IF(Lugar_R019=A286,"R-019",IF(Lugar_R020=A286,"R-020",IF(Lugar_R021=A286,"R-021",IF(Lugar_R022=A286,"R-022",IF(Lugar_R023=A286,"R-023",IF(Lugar_R024=A286,"R-024",IF(Lugar_R025=A286,"R-025",IF(Lugar_R026=A286,"R-026",IF(Lugar_R027=A286,"R-027",IF(Lugar_R028=A286,"R-028",IF(Lugar_R029=A286,"R-029",IF(Lugar_R030=A286,"R-030",IF(Lugar_R031=A286,"R-031",IF(Lugar_R032=A286,"R-032",IF(Lugar_R033=A286,"R-033",IF(Lugar_R034=A286,"R-034",IF(Lugar_R035=A286,"R-035",IF(Lugar_R036=A286,"R-036",IF(Lugar_R037=A286,"R-037",IF(Lugar_R038=A286,"R-038",IF(Lugar_R039=A286,"R-039",IF(Lugar_R040=A286,"R-040",IF(Lugar_R041=A286,"R-041",IF(Lugar_R042=A286,"R-042",IF(Lugar_R043=A286,"R-043",IF(Lugar_R044=A286,"R-044",IF(Lugar_R045=A286,"R-045","Sin prioridad")))))))))))))))))))))))))))))))))))))))))))))</x:f>
        <x:v>R-034</x:v>
      </x:c>
      <x:c r="C286" s="47" t="n">
        <x:f>INDEX($E$38:$E$82,MATCH(B286,$A$38:$A$82,0))*INDEX($F$38:$F$82,MATCH(B286,$A$38:$A$82,0))</x:f>
        <x:v>0.12</x:v>
      </x:c>
      <x:c r="D286" s="30" t="n">
        <x:f>INDEX($E$192:$E$236,MATCH(B286,$A$192:$A$236,0))</x:f>
        <x:v>40.8</x:v>
      </x:c>
      <x:c r="E286" s="14" t="str">
        <x:f>INDEX($G$38:$G$82,MATCH(B286,$A$38:$A$82,0))</x:f>
        <x:v>Media</x:v>
      </x:c>
      <x:c r="F286" s="14" t="str">
        <x:f>"Mes "&amp;CHOOSE(MATCH(B286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Mes_R001,Mes_R002,Mes_R003,Mes_R004,Mes_R005,Mes_R006,Mes_R007,Mes_R008,Mes_R009,Mes_R010,Mes_R011,Mes_R012,Mes_R013,Mes_R014,Mes_R015,Mes_R016,Mes_R017,Mes_R018,Mes_R019,Mes_R020,Mes_R021,Mes_R022,Mes_R023,Mes_R024,Mes_R025,Mes_R026,Mes_R027,Mes_R028,Mes_R029,Mes_R030,Mes_R031,Mes_R032,Mes_R033,Mes_R034,Mes_R035,Mes_R036,Mes_R037,Mes_R038,Mes_R039,Mes_R040,Mes_R041,Mes_R042,Mes_R043,Mes_R044,Mes_R045)&amp;"; residual objetivo: "&amp;CHOOSE(MATCH(B286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RZ_R001,RZ_R002,RZ_R003,RZ_R004,RZ_R005,RZ_R006,RZ_R007,RZ_R008,RZ_R009,RZ_R010,RZ_R011,RZ_R012,RZ_R013,RZ_R014,RZ_R015,RZ_R016,RZ_R017,RZ_R018,RZ_R019,RZ_R020,RZ_R021,RZ_R022,RZ_R023,RZ_R024,RZ_R025,RZ_R026,RZ_R027,RZ_R028,RZ_R029,RZ_R030,RZ_R031,RZ_R032,RZ_R033,RZ_R034,RZ_R035,RZ_R036,RZ_R037,RZ_R038,RZ_R039,RZ_R040,RZ_R041,RZ_R042,RZ_R043,RZ_R044,RZ_R045)&amp;"; eficacia pendiente de validación."</x:f>
        <x:v>Mes 21; residual objetivo: Baja; eficacia pendiente de validación.</x:v>
      </x:c>
      <x:c r="G286" s="14"/>
    </x:row>
    <x:row r="287" ht="48" customHeight="1">
      <x:c r="A287" s="16" t="n">
        <x:v>34</x:v>
      </x:c>
      <x:c r="B287" s="16" t="str">
        <x:f>IF(Lugar_R001=A287,"R-001",IF(Lugar_R002=A287,"R-002",IF(Lugar_R003=A287,"R-003",IF(Lugar_R004=A287,"R-004",IF(Lugar_R005=A287,"R-005",IF(Lugar_R006=A287,"R-006",IF(Lugar_R007=A287,"R-007",IF(Lugar_R008=A287,"R-008",IF(Lugar_R009=A287,"R-009",IF(Lugar_R010=A287,"R-010",IF(Lugar_R011=A287,"R-011",IF(Lugar_R012=A287,"R-012",IF(Lugar_R013=A287,"R-013",IF(Lugar_R014=A287,"R-014",IF(Lugar_R015=A287,"R-015",IF(Lugar_R016=A287,"R-016",IF(Lugar_R017=A287,"R-017",IF(Lugar_R018=A287,"R-018",IF(Lugar_R019=A287,"R-019",IF(Lugar_R020=A287,"R-020",IF(Lugar_R021=A287,"R-021",IF(Lugar_R022=A287,"R-022",IF(Lugar_R023=A287,"R-023",IF(Lugar_R024=A287,"R-024",IF(Lugar_R025=A287,"R-025",IF(Lugar_R026=A287,"R-026",IF(Lugar_R027=A287,"R-027",IF(Lugar_R028=A287,"R-028",IF(Lugar_R029=A287,"R-029",IF(Lugar_R030=A287,"R-030",IF(Lugar_R031=A287,"R-031",IF(Lugar_R032=A287,"R-032",IF(Lugar_R033=A287,"R-033",IF(Lugar_R034=A287,"R-034",IF(Lugar_R035=A287,"R-035",IF(Lugar_R036=A287,"R-036",IF(Lugar_R037=A287,"R-037",IF(Lugar_R038=A287,"R-038",IF(Lugar_R039=A287,"R-039",IF(Lugar_R040=A287,"R-040",IF(Lugar_R041=A287,"R-041",IF(Lugar_R042=A287,"R-042",IF(Lugar_R043=A287,"R-043",IF(Lugar_R044=A287,"R-044",IF(Lugar_R045=A287,"R-045","Sin prioridad")))))))))))))))))))))))))))))))))))))))))))))</x:f>
        <x:v>R-041</x:v>
      </x:c>
      <x:c r="C287" s="48" t="n">
        <x:f>INDEX($E$38:$E$82,MATCH(B287,$A$38:$A$82,0))*INDEX($F$38:$F$82,MATCH(B287,$A$38:$A$82,0))</x:f>
        <x:v>0.12</x:v>
      </x:c>
      <x:c r="D287" s="33" t="n">
        <x:f>INDEX($E$192:$E$236,MATCH(B287,$A$192:$A$236,0))</x:f>
        <x:v>52.8</x:v>
      </x:c>
      <x:c r="E287" s="16" t="str">
        <x:f>INDEX($G$38:$G$82,MATCH(B287,$A$38:$A$82,0))</x:f>
        <x:v>Media</x:v>
      </x:c>
      <x:c r="F287" s="16" t="str">
        <x:f>"Mes "&amp;CHOOSE(MATCH(B287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Mes_R001,Mes_R002,Mes_R003,Mes_R004,Mes_R005,Mes_R006,Mes_R007,Mes_R008,Mes_R009,Mes_R010,Mes_R011,Mes_R012,Mes_R013,Mes_R014,Mes_R015,Mes_R016,Mes_R017,Mes_R018,Mes_R019,Mes_R020,Mes_R021,Mes_R022,Mes_R023,Mes_R024,Mes_R025,Mes_R026,Mes_R027,Mes_R028,Mes_R029,Mes_R030,Mes_R031,Mes_R032,Mes_R033,Mes_R034,Mes_R035,Mes_R036,Mes_R037,Mes_R038,Mes_R039,Mes_R040,Mes_R041,Mes_R042,Mes_R043,Mes_R044,Mes_R045)&amp;"; residual objetivo: "&amp;CHOOSE(MATCH(B287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RZ_R001,RZ_R002,RZ_R003,RZ_R004,RZ_R005,RZ_R006,RZ_R007,RZ_R008,RZ_R009,RZ_R010,RZ_R011,RZ_R012,RZ_R013,RZ_R014,RZ_R015,RZ_R016,RZ_R017,RZ_R018,RZ_R019,RZ_R020,RZ_R021,RZ_R022,RZ_R023,RZ_R024,RZ_R025,RZ_R026,RZ_R027,RZ_R028,RZ_R029,RZ_R030,RZ_R031,RZ_R032,RZ_R033,RZ_R034,RZ_R035,RZ_R036,RZ_R037,RZ_R038,RZ_R039,RZ_R040,RZ_R041,RZ_R042,RZ_R043,RZ_R044,RZ_R045)&amp;"; eficacia pendiente de validación."</x:f>
        <x:v>Mes 53; residual objetivo: Baja; eficacia pendiente de validación.</x:v>
      </x:c>
      <x:c r="G287" s="16"/>
    </x:row>
    <x:row r="288" ht="48" customHeight="1">
      <x:c r="A288" s="14" t="n">
        <x:v>35</x:v>
      </x:c>
      <x:c r="B288" s="14" t="str">
        <x:f>IF(Lugar_R001=A288,"R-001",IF(Lugar_R002=A288,"R-002",IF(Lugar_R003=A288,"R-003",IF(Lugar_R004=A288,"R-004",IF(Lugar_R005=A288,"R-005",IF(Lugar_R006=A288,"R-006",IF(Lugar_R007=A288,"R-007",IF(Lugar_R008=A288,"R-008",IF(Lugar_R009=A288,"R-009",IF(Lugar_R010=A288,"R-010",IF(Lugar_R011=A288,"R-011",IF(Lugar_R012=A288,"R-012",IF(Lugar_R013=A288,"R-013",IF(Lugar_R014=A288,"R-014",IF(Lugar_R015=A288,"R-015",IF(Lugar_R016=A288,"R-016",IF(Lugar_R017=A288,"R-017",IF(Lugar_R018=A288,"R-018",IF(Lugar_R019=A288,"R-019",IF(Lugar_R020=A288,"R-020",IF(Lugar_R021=A288,"R-021",IF(Lugar_R022=A288,"R-022",IF(Lugar_R023=A288,"R-023",IF(Lugar_R024=A288,"R-024",IF(Lugar_R025=A288,"R-025",IF(Lugar_R026=A288,"R-026",IF(Lugar_R027=A288,"R-027",IF(Lugar_R028=A288,"R-028",IF(Lugar_R029=A288,"R-029",IF(Lugar_R030=A288,"R-030",IF(Lugar_R031=A288,"R-031",IF(Lugar_R032=A288,"R-032",IF(Lugar_R033=A288,"R-033",IF(Lugar_R034=A288,"R-034",IF(Lugar_R035=A288,"R-035",IF(Lugar_R036=A288,"R-036",IF(Lugar_R037=A288,"R-037",IF(Lugar_R038=A288,"R-038",IF(Lugar_R039=A288,"R-039",IF(Lugar_R040=A288,"R-040",IF(Lugar_R041=A288,"R-041",IF(Lugar_R042=A288,"R-042",IF(Lugar_R043=A288,"R-043",IF(Lugar_R044=A288,"R-044",IF(Lugar_R045=A288,"R-045","Sin prioridad")))))))))))))))))))))))))))))))))))))))))))))</x:f>
        <x:v>R-027</x:v>
      </x:c>
      <x:c r="C288" s="47" t="n">
        <x:f>INDEX($E$38:$E$82,MATCH(B288,$A$38:$A$82,0))*INDEX($F$38:$F$82,MATCH(B288,$A$38:$A$82,0))</x:f>
        <x:v>0.1</x:v>
      </x:c>
      <x:c r="D288" s="30" t="n">
        <x:f>INDEX($E$192:$E$236,MATCH(B288,$A$192:$A$236,0))</x:f>
        <x:v>28</x:v>
      </x:c>
      <x:c r="E288" s="14" t="str">
        <x:f>INDEX($G$38:$G$82,MATCH(B288,$A$38:$A$82,0))</x:f>
        <x:v>Media</x:v>
      </x:c>
      <x:c r="F288" s="14" t="str">
        <x:f>"Mes "&amp;CHOOSE(MATCH(B288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Mes_R001,Mes_R002,Mes_R003,Mes_R004,Mes_R005,Mes_R006,Mes_R007,Mes_R008,Mes_R009,Mes_R010,Mes_R011,Mes_R012,Mes_R013,Mes_R014,Mes_R015,Mes_R016,Mes_R017,Mes_R018,Mes_R019,Mes_R020,Mes_R021,Mes_R022,Mes_R023,Mes_R024,Mes_R025,Mes_R026,Mes_R027,Mes_R028,Mes_R029,Mes_R030,Mes_R031,Mes_R032,Mes_R033,Mes_R034,Mes_R035,Mes_R036,Mes_R037,Mes_R038,Mes_R039,Mes_R040,Mes_R041,Mes_R042,Mes_R043,Mes_R044,Mes_R045)&amp;"; residual objetivo: "&amp;CHOOSE(MATCH(B288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RZ_R001,RZ_R002,RZ_R003,RZ_R004,RZ_R005,RZ_R006,RZ_R007,RZ_R008,RZ_R009,RZ_R010,RZ_R011,RZ_R012,RZ_R013,RZ_R014,RZ_R015,RZ_R016,RZ_R017,RZ_R018,RZ_R019,RZ_R020,RZ_R021,RZ_R022,RZ_R023,RZ_R024,RZ_R025,RZ_R026,RZ_R027,RZ_R028,RZ_R029,RZ_R030,RZ_R031,RZ_R032,RZ_R033,RZ_R034,RZ_R035,RZ_R036,RZ_R037,RZ_R038,RZ_R039,RZ_R040,RZ_R041,RZ_R042,RZ_R043,RZ_R044,RZ_R045)&amp;"; eficacia pendiente de validación."</x:f>
        <x:v>Mes 1; residual objetivo: Baja; eficacia pendiente de validación.</x:v>
      </x:c>
      <x:c r="G288" s="14"/>
    </x:row>
    <x:row r="289" ht="48" customHeight="1">
      <x:c r="A289" s="16" t="n">
        <x:v>36</x:v>
      </x:c>
      <x:c r="B289" s="16" t="str">
        <x:f>IF(Lugar_R001=A289,"R-001",IF(Lugar_R002=A289,"R-002",IF(Lugar_R003=A289,"R-003",IF(Lugar_R004=A289,"R-004",IF(Lugar_R005=A289,"R-005",IF(Lugar_R006=A289,"R-006",IF(Lugar_R007=A289,"R-007",IF(Lugar_R008=A289,"R-008",IF(Lugar_R009=A289,"R-009",IF(Lugar_R010=A289,"R-010",IF(Lugar_R011=A289,"R-011",IF(Lugar_R012=A289,"R-012",IF(Lugar_R013=A289,"R-013",IF(Lugar_R014=A289,"R-014",IF(Lugar_R015=A289,"R-015",IF(Lugar_R016=A289,"R-016",IF(Lugar_R017=A289,"R-017",IF(Lugar_R018=A289,"R-018",IF(Lugar_R019=A289,"R-019",IF(Lugar_R020=A289,"R-020",IF(Lugar_R021=A289,"R-021",IF(Lugar_R022=A289,"R-022",IF(Lugar_R023=A289,"R-023",IF(Lugar_R024=A289,"R-024",IF(Lugar_R025=A289,"R-025",IF(Lugar_R026=A289,"R-026",IF(Lugar_R027=A289,"R-027",IF(Lugar_R028=A289,"R-028",IF(Lugar_R029=A289,"R-029",IF(Lugar_R030=A289,"R-030",IF(Lugar_R031=A289,"R-031",IF(Lugar_R032=A289,"R-032",IF(Lugar_R033=A289,"R-033",IF(Lugar_R034=A289,"R-034",IF(Lugar_R035=A289,"R-035",IF(Lugar_R036=A289,"R-036",IF(Lugar_R037=A289,"R-037",IF(Lugar_R038=A289,"R-038",IF(Lugar_R039=A289,"R-039",IF(Lugar_R040=A289,"R-040",IF(Lugar_R041=A289,"R-041",IF(Lugar_R042=A289,"R-042",IF(Lugar_R043=A289,"R-043",IF(Lugar_R044=A289,"R-044",IF(Lugar_R045=A289,"R-045","Sin prioridad")))))))))))))))))))))))))))))))))))))))))))))</x:f>
        <x:v>R-002</x:v>
      </x:c>
      <x:c r="C289" s="48" t="n">
        <x:f>INDEX($E$38:$E$82,MATCH(B289,$A$38:$A$82,0))*INDEX($F$38:$F$82,MATCH(B289,$A$38:$A$82,0))</x:f>
        <x:v>0.1</x:v>
      </x:c>
      <x:c r="D289" s="33" t="n">
        <x:f>INDEX($E$192:$E$236,MATCH(B289,$A$192:$A$236,0))</x:f>
        <x:v>26.880000000000003</x:v>
      </x:c>
      <x:c r="E289" s="16" t="str">
        <x:f>INDEX($G$38:$G$82,MATCH(B289,$A$38:$A$82,0))</x:f>
        <x:v>Media</x:v>
      </x:c>
      <x:c r="F289" s="16" t="str">
        <x:f>"Mes "&amp;CHOOSE(MATCH(B289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Mes_R001,Mes_R002,Mes_R003,Mes_R004,Mes_R005,Mes_R006,Mes_R007,Mes_R008,Mes_R009,Mes_R010,Mes_R011,Mes_R012,Mes_R013,Mes_R014,Mes_R015,Mes_R016,Mes_R017,Mes_R018,Mes_R019,Mes_R020,Mes_R021,Mes_R022,Mes_R023,Mes_R024,Mes_R025,Mes_R026,Mes_R027,Mes_R028,Mes_R029,Mes_R030,Mes_R031,Mes_R032,Mes_R033,Mes_R034,Mes_R035,Mes_R036,Mes_R037,Mes_R038,Mes_R039,Mes_R040,Mes_R041,Mes_R042,Mes_R043,Mes_R044,Mes_R045)&amp;"; residual objetivo: "&amp;CHOOSE(MATCH(B289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RZ_R001,RZ_R002,RZ_R003,RZ_R004,RZ_R005,RZ_R006,RZ_R007,RZ_R008,RZ_R009,RZ_R010,RZ_R011,RZ_R012,RZ_R013,RZ_R014,RZ_R015,RZ_R016,RZ_R017,RZ_R018,RZ_R019,RZ_R020,RZ_R021,RZ_R022,RZ_R023,RZ_R024,RZ_R025,RZ_R026,RZ_R027,RZ_R028,RZ_R029,RZ_R030,RZ_R031,RZ_R032,RZ_R033,RZ_R034,RZ_R035,RZ_R036,RZ_R037,RZ_R038,RZ_R039,RZ_R040,RZ_R041,RZ_R042,RZ_R043,RZ_R044,RZ_R045)&amp;"; eficacia pendiente de validación."</x:f>
        <x:v>Mes 2; residual objetivo: Baja; eficacia pendiente de validación.</x:v>
      </x:c>
      <x:c r="G289" s="16"/>
    </x:row>
    <x:row r="290" ht="48" customHeight="1">
      <x:c r="A290" s="14" t="n">
        <x:v>37</x:v>
      </x:c>
      <x:c r="B290" s="14" t="str">
        <x:f>IF(Lugar_R001=A290,"R-001",IF(Lugar_R002=A290,"R-002",IF(Lugar_R003=A290,"R-003",IF(Lugar_R004=A290,"R-004",IF(Lugar_R005=A290,"R-005",IF(Lugar_R006=A290,"R-006",IF(Lugar_R007=A290,"R-007",IF(Lugar_R008=A290,"R-008",IF(Lugar_R009=A290,"R-009",IF(Lugar_R010=A290,"R-010",IF(Lugar_R011=A290,"R-011",IF(Lugar_R012=A290,"R-012",IF(Lugar_R013=A290,"R-013",IF(Lugar_R014=A290,"R-014",IF(Lugar_R015=A290,"R-015",IF(Lugar_R016=A290,"R-016",IF(Lugar_R017=A290,"R-017",IF(Lugar_R018=A290,"R-018",IF(Lugar_R019=A290,"R-019",IF(Lugar_R020=A290,"R-020",IF(Lugar_R021=A290,"R-021",IF(Lugar_R022=A290,"R-022",IF(Lugar_R023=A290,"R-023",IF(Lugar_R024=A290,"R-024",IF(Lugar_R025=A290,"R-025",IF(Lugar_R026=A290,"R-026",IF(Lugar_R027=A290,"R-027",IF(Lugar_R028=A290,"R-028",IF(Lugar_R029=A290,"R-029",IF(Lugar_R030=A290,"R-030",IF(Lugar_R031=A290,"R-031",IF(Lugar_R032=A290,"R-032",IF(Lugar_R033=A290,"R-033",IF(Lugar_R034=A290,"R-034",IF(Lugar_R035=A290,"R-035",IF(Lugar_R036=A290,"R-036",IF(Lugar_R037=A290,"R-037",IF(Lugar_R038=A290,"R-038",IF(Lugar_R039=A290,"R-039",IF(Lugar_R040=A290,"R-040",IF(Lugar_R041=A290,"R-041",IF(Lugar_R042=A290,"R-042",IF(Lugar_R043=A290,"R-043",IF(Lugar_R044=A290,"R-044",IF(Lugar_R045=A290,"R-045","Sin prioridad")))))))))))))))))))))))))))))))))))))))))))))</x:f>
        <x:v>R-039</x:v>
      </x:c>
      <x:c r="C290" s="47" t="n">
        <x:f>INDEX($E$38:$E$82,MATCH(B290,$A$38:$A$82,0))*INDEX($F$38:$F$82,MATCH(B290,$A$38:$A$82,0))</x:f>
        <x:v>0.1</x:v>
      </x:c>
      <x:c r="D290" s="30" t="n">
        <x:f>INDEX($E$192:$E$236,MATCH(B290,$A$192:$A$236,0))</x:f>
        <x:v>23.52</x:v>
      </x:c>
      <x:c r="E290" s="14" t="str">
        <x:f>INDEX($G$38:$G$82,MATCH(B290,$A$38:$A$82,0))</x:f>
        <x:v>Media</x:v>
      </x:c>
      <x:c r="F290" s="14" t="str">
        <x:f>"Mes "&amp;CHOOSE(MATCH(B290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Mes_R001,Mes_R002,Mes_R003,Mes_R004,Mes_R005,Mes_R006,Mes_R007,Mes_R008,Mes_R009,Mes_R010,Mes_R011,Mes_R012,Mes_R013,Mes_R014,Mes_R015,Mes_R016,Mes_R017,Mes_R018,Mes_R019,Mes_R020,Mes_R021,Mes_R022,Mes_R023,Mes_R024,Mes_R025,Mes_R026,Mes_R027,Mes_R028,Mes_R029,Mes_R030,Mes_R031,Mes_R032,Mes_R033,Mes_R034,Mes_R035,Mes_R036,Mes_R037,Mes_R038,Mes_R039,Mes_R040,Mes_R041,Mes_R042,Mes_R043,Mes_R044,Mes_R045)&amp;"; residual objetivo: "&amp;CHOOSE(MATCH(B290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RZ_R001,RZ_R002,RZ_R003,RZ_R004,RZ_R005,RZ_R006,RZ_R007,RZ_R008,RZ_R009,RZ_R010,RZ_R011,RZ_R012,RZ_R013,RZ_R014,RZ_R015,RZ_R016,RZ_R017,RZ_R018,RZ_R019,RZ_R020,RZ_R021,RZ_R022,RZ_R023,RZ_R024,RZ_R025,RZ_R026,RZ_R027,RZ_R028,RZ_R029,RZ_R030,RZ_R031,RZ_R032,RZ_R033,RZ_R034,RZ_R035,RZ_R036,RZ_R037,RZ_R038,RZ_R039,RZ_R040,RZ_R041,RZ_R042,RZ_R043,RZ_R044,RZ_R045)&amp;"; eficacia pendiente de validación."</x:f>
        <x:v>Mes 4; residual objetivo: Baja; eficacia pendiente de validación.</x:v>
      </x:c>
      <x:c r="G290" s="14"/>
    </x:row>
    <x:row r="291" ht="48" customHeight="1">
      <x:c r="A291" s="16" t="n">
        <x:v>38</x:v>
      </x:c>
      <x:c r="B291" s="16" t="str">
        <x:f>IF(Lugar_R001=A291,"R-001",IF(Lugar_R002=A291,"R-002",IF(Lugar_R003=A291,"R-003",IF(Lugar_R004=A291,"R-004",IF(Lugar_R005=A291,"R-005",IF(Lugar_R006=A291,"R-006",IF(Lugar_R007=A291,"R-007",IF(Lugar_R008=A291,"R-008",IF(Lugar_R009=A291,"R-009",IF(Lugar_R010=A291,"R-010",IF(Lugar_R011=A291,"R-011",IF(Lugar_R012=A291,"R-012",IF(Lugar_R013=A291,"R-013",IF(Lugar_R014=A291,"R-014",IF(Lugar_R015=A291,"R-015",IF(Lugar_R016=A291,"R-016",IF(Lugar_R017=A291,"R-017",IF(Lugar_R018=A291,"R-018",IF(Lugar_R019=A291,"R-019",IF(Lugar_R020=A291,"R-020",IF(Lugar_R021=A291,"R-021",IF(Lugar_R022=A291,"R-022",IF(Lugar_R023=A291,"R-023",IF(Lugar_R024=A291,"R-024",IF(Lugar_R025=A291,"R-025",IF(Lugar_R026=A291,"R-026",IF(Lugar_R027=A291,"R-027",IF(Lugar_R028=A291,"R-028",IF(Lugar_R029=A291,"R-029",IF(Lugar_R030=A291,"R-030",IF(Lugar_R031=A291,"R-031",IF(Lugar_R032=A291,"R-032",IF(Lugar_R033=A291,"R-033",IF(Lugar_R034=A291,"R-034",IF(Lugar_R035=A291,"R-035",IF(Lugar_R036=A291,"R-036",IF(Lugar_R037=A291,"R-037",IF(Lugar_R038=A291,"R-038",IF(Lugar_R039=A291,"R-039",IF(Lugar_R040=A291,"R-040",IF(Lugar_R041=A291,"R-041",IF(Lugar_R042=A291,"R-042",IF(Lugar_R043=A291,"R-043",IF(Lugar_R044=A291,"R-044",IF(Lugar_R045=A291,"R-045","Sin prioridad")))))))))))))))))))))))))))))))))))))))))))))</x:f>
        <x:v>R-033</x:v>
      </x:c>
      <x:c r="C291" s="48" t="n">
        <x:f>INDEX($E$38:$E$82,MATCH(B291,$A$38:$A$82,0))*INDEX($F$38:$F$82,MATCH(B291,$A$38:$A$82,0))</x:f>
        <x:v>0.1</x:v>
      </x:c>
      <x:c r="D291" s="33" t="n">
        <x:f>INDEX($E$192:$E$236,MATCH(B291,$A$192:$A$236,0))</x:f>
        <x:v>50.56</x:v>
      </x:c>
      <x:c r="E291" s="16" t="str">
        <x:f>INDEX($G$38:$G$82,MATCH(B291,$A$38:$A$82,0))</x:f>
        <x:v>Media</x:v>
      </x:c>
      <x:c r="F291" s="16" t="str">
        <x:f>"Mes "&amp;CHOOSE(MATCH(B291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Mes_R001,Mes_R002,Mes_R003,Mes_R004,Mes_R005,Mes_R006,Mes_R007,Mes_R008,Mes_R009,Mes_R010,Mes_R011,Mes_R012,Mes_R013,Mes_R014,Mes_R015,Mes_R016,Mes_R017,Mes_R018,Mes_R019,Mes_R020,Mes_R021,Mes_R022,Mes_R023,Mes_R024,Mes_R025,Mes_R026,Mes_R027,Mes_R028,Mes_R029,Mes_R030,Mes_R031,Mes_R032,Mes_R033,Mes_R034,Mes_R035,Mes_R036,Mes_R037,Mes_R038,Mes_R039,Mes_R040,Mes_R041,Mes_R042,Mes_R043,Mes_R044,Mes_R045)&amp;"; residual objetivo: "&amp;CHOOSE(MATCH(B291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RZ_R001,RZ_R002,RZ_R003,RZ_R004,RZ_R005,RZ_R006,RZ_R007,RZ_R008,RZ_R009,RZ_R010,RZ_R011,RZ_R012,RZ_R013,RZ_R014,RZ_R015,RZ_R016,RZ_R017,RZ_R018,RZ_R019,RZ_R020,RZ_R021,RZ_R022,RZ_R023,RZ_R024,RZ_R025,RZ_R026,RZ_R027,RZ_R028,RZ_R029,RZ_R030,RZ_R031,RZ_R032,RZ_R033,RZ_R034,RZ_R035,RZ_R036,RZ_R037,RZ_R038,RZ_R039,RZ_R040,RZ_R041,RZ_R042,RZ_R043,RZ_R044,RZ_R045)&amp;"; eficacia pendiente de validación."</x:f>
        <x:v>Mes 6; residual objetivo: Baja; eficacia pendiente de validación.</x:v>
      </x:c>
      <x:c r="G291" s="16"/>
    </x:row>
    <x:row r="292" ht="48" customHeight="1">
      <x:c r="A292" s="14" t="n">
        <x:v>39</x:v>
      </x:c>
      <x:c r="B292" s="14" t="str">
        <x:f>IF(Lugar_R001=A292,"R-001",IF(Lugar_R002=A292,"R-002",IF(Lugar_R003=A292,"R-003",IF(Lugar_R004=A292,"R-004",IF(Lugar_R005=A292,"R-005",IF(Lugar_R006=A292,"R-006",IF(Lugar_R007=A292,"R-007",IF(Lugar_R008=A292,"R-008",IF(Lugar_R009=A292,"R-009",IF(Lugar_R010=A292,"R-010",IF(Lugar_R011=A292,"R-011",IF(Lugar_R012=A292,"R-012",IF(Lugar_R013=A292,"R-013",IF(Lugar_R014=A292,"R-014",IF(Lugar_R015=A292,"R-015",IF(Lugar_R016=A292,"R-016",IF(Lugar_R017=A292,"R-017",IF(Lugar_R018=A292,"R-018",IF(Lugar_R019=A292,"R-019",IF(Lugar_R020=A292,"R-020",IF(Lugar_R021=A292,"R-021",IF(Lugar_R022=A292,"R-022",IF(Lugar_R023=A292,"R-023",IF(Lugar_R024=A292,"R-024",IF(Lugar_R025=A292,"R-025",IF(Lugar_R026=A292,"R-026",IF(Lugar_R027=A292,"R-027",IF(Lugar_R028=A292,"R-028",IF(Lugar_R029=A292,"R-029",IF(Lugar_R030=A292,"R-030",IF(Lugar_R031=A292,"R-031",IF(Lugar_R032=A292,"R-032",IF(Lugar_R033=A292,"R-033",IF(Lugar_R034=A292,"R-034",IF(Lugar_R035=A292,"R-035",IF(Lugar_R036=A292,"R-036",IF(Lugar_R037=A292,"R-037",IF(Lugar_R038=A292,"R-038",IF(Lugar_R039=A292,"R-039",IF(Lugar_R040=A292,"R-040",IF(Lugar_R041=A292,"R-041",IF(Lugar_R042=A292,"R-042",IF(Lugar_R043=A292,"R-043",IF(Lugar_R044=A292,"R-044",IF(Lugar_R045=A292,"R-045","Sin prioridad")))))))))))))))))))))))))))))))))))))))))))))</x:f>
        <x:v>R-031</x:v>
      </x:c>
      <x:c r="C292" s="47" t="n">
        <x:f>INDEX($E$38:$E$82,MATCH(B292,$A$38:$A$82,0))*INDEX($F$38:$F$82,MATCH(B292,$A$38:$A$82,0))</x:f>
        <x:v>0.1</x:v>
      </x:c>
      <x:c r="D292" s="30" t="n">
        <x:f>INDEX($E$192:$E$236,MATCH(B292,$A$192:$A$236,0))</x:f>
        <x:v>28</x:v>
      </x:c>
      <x:c r="E292" s="14" t="str">
        <x:f>INDEX($G$38:$G$82,MATCH(B292,$A$38:$A$82,0))</x:f>
        <x:v>Media</x:v>
      </x:c>
      <x:c r="F292" s="14" t="str">
        <x:f>"Mes "&amp;CHOOSE(MATCH(B292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Mes_R001,Mes_R002,Mes_R003,Mes_R004,Mes_R005,Mes_R006,Mes_R007,Mes_R008,Mes_R009,Mes_R010,Mes_R011,Mes_R012,Mes_R013,Mes_R014,Mes_R015,Mes_R016,Mes_R017,Mes_R018,Mes_R019,Mes_R020,Mes_R021,Mes_R022,Mes_R023,Mes_R024,Mes_R025,Mes_R026,Mes_R027,Mes_R028,Mes_R029,Mes_R030,Mes_R031,Mes_R032,Mes_R033,Mes_R034,Mes_R035,Mes_R036,Mes_R037,Mes_R038,Mes_R039,Mes_R040,Mes_R041,Mes_R042,Mes_R043,Mes_R044,Mes_R045)&amp;"; residual objetivo: "&amp;CHOOSE(MATCH(B292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RZ_R001,RZ_R002,RZ_R003,RZ_R004,RZ_R005,RZ_R006,RZ_R007,RZ_R008,RZ_R009,RZ_R010,RZ_R011,RZ_R012,RZ_R013,RZ_R014,RZ_R015,RZ_R016,RZ_R017,RZ_R018,RZ_R019,RZ_R020,RZ_R021,RZ_R022,RZ_R023,RZ_R024,RZ_R025,RZ_R026,RZ_R027,RZ_R028,RZ_R029,RZ_R030,RZ_R031,RZ_R032,RZ_R033,RZ_R034,RZ_R035,RZ_R036,RZ_R037,RZ_R038,RZ_R039,RZ_R040,RZ_R041,RZ_R042,RZ_R043,RZ_R044,RZ_R045)&amp;"; eficacia pendiente de validación."</x:f>
        <x:v>Mes 8; residual objetivo: Baja; eficacia pendiente de validación.</x:v>
      </x:c>
      <x:c r="G292" s="14"/>
    </x:row>
    <x:row r="293" ht="48" customHeight="1">
      <x:c r="A293" s="16" t="n">
        <x:v>40</x:v>
      </x:c>
      <x:c r="B293" s="16" t="str">
        <x:f>IF(Lugar_R001=A293,"R-001",IF(Lugar_R002=A293,"R-002",IF(Lugar_R003=A293,"R-003",IF(Lugar_R004=A293,"R-004",IF(Lugar_R005=A293,"R-005",IF(Lugar_R006=A293,"R-006",IF(Lugar_R007=A293,"R-007",IF(Lugar_R008=A293,"R-008",IF(Lugar_R009=A293,"R-009",IF(Lugar_R010=A293,"R-010",IF(Lugar_R011=A293,"R-011",IF(Lugar_R012=A293,"R-012",IF(Lugar_R013=A293,"R-013",IF(Lugar_R014=A293,"R-014",IF(Lugar_R015=A293,"R-015",IF(Lugar_R016=A293,"R-016",IF(Lugar_R017=A293,"R-017",IF(Lugar_R018=A293,"R-018",IF(Lugar_R019=A293,"R-019",IF(Lugar_R020=A293,"R-020",IF(Lugar_R021=A293,"R-021",IF(Lugar_R022=A293,"R-022",IF(Lugar_R023=A293,"R-023",IF(Lugar_R024=A293,"R-024",IF(Lugar_R025=A293,"R-025",IF(Lugar_R026=A293,"R-026",IF(Lugar_R027=A293,"R-027",IF(Lugar_R028=A293,"R-028",IF(Lugar_R029=A293,"R-029",IF(Lugar_R030=A293,"R-030",IF(Lugar_R031=A293,"R-031",IF(Lugar_R032=A293,"R-032",IF(Lugar_R033=A293,"R-033",IF(Lugar_R034=A293,"R-034",IF(Lugar_R035=A293,"R-035",IF(Lugar_R036=A293,"R-036",IF(Lugar_R037=A293,"R-037",IF(Lugar_R038=A293,"R-038",IF(Lugar_R039=A293,"R-039",IF(Lugar_R040=A293,"R-040",IF(Lugar_R041=A293,"R-041",IF(Lugar_R042=A293,"R-042",IF(Lugar_R043=A293,"R-043",IF(Lugar_R044=A293,"R-044",IF(Lugar_R045=A293,"R-045","Sin prioridad")))))))))))))))))))))))))))))))))))))))))))))</x:f>
        <x:v>R-037</x:v>
      </x:c>
      <x:c r="C293" s="48" t="n">
        <x:f>INDEX($E$38:$E$82,MATCH(B293,$A$38:$A$82,0))*INDEX($F$38:$F$82,MATCH(B293,$A$38:$A$82,0))</x:f>
        <x:v>0.1</x:v>
      </x:c>
      <x:c r="D293" s="33" t="n">
        <x:f>INDEX($E$192:$E$236,MATCH(B293,$A$192:$A$236,0))</x:f>
        <x:v>28</x:v>
      </x:c>
      <x:c r="E293" s="16" t="str">
        <x:f>INDEX($G$38:$G$82,MATCH(B293,$A$38:$A$82,0))</x:f>
        <x:v>Media</x:v>
      </x:c>
      <x:c r="F293" s="16" t="str">
        <x:f>"Mes "&amp;CHOOSE(MATCH(B293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Mes_R001,Mes_R002,Mes_R003,Mes_R004,Mes_R005,Mes_R006,Mes_R007,Mes_R008,Mes_R009,Mes_R010,Mes_R011,Mes_R012,Mes_R013,Mes_R014,Mes_R015,Mes_R016,Mes_R017,Mes_R018,Mes_R019,Mes_R020,Mes_R021,Mes_R022,Mes_R023,Mes_R024,Mes_R025,Mes_R026,Mes_R027,Mes_R028,Mes_R029,Mes_R030,Mes_R031,Mes_R032,Mes_R033,Mes_R034,Mes_R035,Mes_R036,Mes_R037,Mes_R038,Mes_R039,Mes_R040,Mes_R041,Mes_R042,Mes_R043,Mes_R044,Mes_R045)&amp;"; residual objetivo: "&amp;CHOOSE(MATCH(B293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RZ_R001,RZ_R002,RZ_R003,RZ_R004,RZ_R005,RZ_R006,RZ_R007,RZ_R008,RZ_R009,RZ_R010,RZ_R011,RZ_R012,RZ_R013,RZ_R014,RZ_R015,RZ_R016,RZ_R017,RZ_R018,RZ_R019,RZ_R020,RZ_R021,RZ_R022,RZ_R023,RZ_R024,RZ_R025,RZ_R026,RZ_R027,RZ_R028,RZ_R029,RZ_R030,RZ_R031,RZ_R032,RZ_R033,RZ_R034,RZ_R035,RZ_R036,RZ_R037,RZ_R038,RZ_R039,RZ_R040,RZ_R041,RZ_R042,RZ_R043,RZ_R044,RZ_R045)&amp;"; eficacia pendiente de validación."</x:f>
        <x:v>Mes 10; residual objetivo: Baja; eficacia pendiente de validación.</x:v>
      </x:c>
      <x:c r="G293" s="16"/>
    </x:row>
    <x:row r="294" ht="48" customHeight="1">
      <x:c r="A294" s="14" t="n">
        <x:v>41</x:v>
      </x:c>
      <x:c r="B294" s="14" t="str">
        <x:f>IF(Lugar_R001=A294,"R-001",IF(Lugar_R002=A294,"R-002",IF(Lugar_R003=A294,"R-003",IF(Lugar_R004=A294,"R-004",IF(Lugar_R005=A294,"R-005",IF(Lugar_R006=A294,"R-006",IF(Lugar_R007=A294,"R-007",IF(Lugar_R008=A294,"R-008",IF(Lugar_R009=A294,"R-009",IF(Lugar_R010=A294,"R-010",IF(Lugar_R011=A294,"R-011",IF(Lugar_R012=A294,"R-012",IF(Lugar_R013=A294,"R-013",IF(Lugar_R014=A294,"R-014",IF(Lugar_R015=A294,"R-015",IF(Lugar_R016=A294,"R-016",IF(Lugar_R017=A294,"R-017",IF(Lugar_R018=A294,"R-018",IF(Lugar_R019=A294,"R-019",IF(Lugar_R020=A294,"R-020",IF(Lugar_R021=A294,"R-021",IF(Lugar_R022=A294,"R-022",IF(Lugar_R023=A294,"R-023",IF(Lugar_R024=A294,"R-024",IF(Lugar_R025=A294,"R-025",IF(Lugar_R026=A294,"R-026",IF(Lugar_R027=A294,"R-027",IF(Lugar_R028=A294,"R-028",IF(Lugar_R029=A294,"R-029",IF(Lugar_R030=A294,"R-030",IF(Lugar_R031=A294,"R-031",IF(Lugar_R032=A294,"R-032",IF(Lugar_R033=A294,"R-033",IF(Lugar_R034=A294,"R-034",IF(Lugar_R035=A294,"R-035",IF(Lugar_R036=A294,"R-036",IF(Lugar_R037=A294,"R-037",IF(Lugar_R038=A294,"R-038",IF(Lugar_R039=A294,"R-039",IF(Lugar_R040=A294,"R-040",IF(Lugar_R041=A294,"R-041",IF(Lugar_R042=A294,"R-042",IF(Lugar_R043=A294,"R-043",IF(Lugar_R044=A294,"R-044",IF(Lugar_R045=A294,"R-045","Sin prioridad")))))))))))))))))))))))))))))))))))))))))))))</x:f>
        <x:v>R-019</x:v>
      </x:c>
      <x:c r="C294" s="47" t="n">
        <x:f>INDEX($E$38:$E$82,MATCH(B294,$A$38:$A$82,0))*INDEX($F$38:$F$82,MATCH(B294,$A$38:$A$82,0))</x:f>
        <x:v>0.1</x:v>
      </x:c>
      <x:c r="D294" s="30" t="n">
        <x:f>INDEX($E$192:$E$236,MATCH(B294,$A$192:$A$236,0))</x:f>
        <x:v>66.96000000000001</x:v>
      </x:c>
      <x:c r="E294" s="14" t="str">
        <x:f>INDEX($G$38:$G$82,MATCH(B294,$A$38:$A$82,0))</x:f>
        <x:v>Media</x:v>
      </x:c>
      <x:c r="F294" s="14" t="str">
        <x:f>"Mes "&amp;CHOOSE(MATCH(B294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Mes_R001,Mes_R002,Mes_R003,Mes_R004,Mes_R005,Mes_R006,Mes_R007,Mes_R008,Mes_R009,Mes_R010,Mes_R011,Mes_R012,Mes_R013,Mes_R014,Mes_R015,Mes_R016,Mes_R017,Mes_R018,Mes_R019,Mes_R020,Mes_R021,Mes_R022,Mes_R023,Mes_R024,Mes_R025,Mes_R026,Mes_R027,Mes_R028,Mes_R029,Mes_R030,Mes_R031,Mes_R032,Mes_R033,Mes_R034,Mes_R035,Mes_R036,Mes_R037,Mes_R038,Mes_R039,Mes_R040,Mes_R041,Mes_R042,Mes_R043,Mes_R044,Mes_R045)&amp;"; residual objetivo: "&amp;CHOOSE(MATCH(B294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RZ_R001,RZ_R002,RZ_R003,RZ_R004,RZ_R005,RZ_R006,RZ_R007,RZ_R008,RZ_R009,RZ_R010,RZ_R011,RZ_R012,RZ_R013,RZ_R014,RZ_R015,RZ_R016,RZ_R017,RZ_R018,RZ_R019,RZ_R020,RZ_R021,RZ_R022,RZ_R023,RZ_R024,RZ_R025,RZ_R026,RZ_R027,RZ_R028,RZ_R029,RZ_R030,RZ_R031,RZ_R032,RZ_R033,RZ_R034,RZ_R035,RZ_R036,RZ_R037,RZ_R038,RZ_R039,RZ_R040,RZ_R041,RZ_R042,RZ_R043,RZ_R044,RZ_R045)&amp;"; eficacia pendiente de validación."</x:f>
        <x:v>Mes 12; residual objetivo: Baja; eficacia pendiente de validación.</x:v>
      </x:c>
      <x:c r="G294" s="14"/>
    </x:row>
    <x:row r="295" ht="48" customHeight="1">
      <x:c r="A295" s="16" t="n">
        <x:v>42</x:v>
      </x:c>
      <x:c r="B295" s="16" t="str">
        <x:f>IF(Lugar_R001=A295,"R-001",IF(Lugar_R002=A295,"R-002",IF(Lugar_R003=A295,"R-003",IF(Lugar_R004=A295,"R-004",IF(Lugar_R005=A295,"R-005",IF(Lugar_R006=A295,"R-006",IF(Lugar_R007=A295,"R-007",IF(Lugar_R008=A295,"R-008",IF(Lugar_R009=A295,"R-009",IF(Lugar_R010=A295,"R-010",IF(Lugar_R011=A295,"R-011",IF(Lugar_R012=A295,"R-012",IF(Lugar_R013=A295,"R-013",IF(Lugar_R014=A295,"R-014",IF(Lugar_R015=A295,"R-015",IF(Lugar_R016=A295,"R-016",IF(Lugar_R017=A295,"R-017",IF(Lugar_R018=A295,"R-018",IF(Lugar_R019=A295,"R-019",IF(Lugar_R020=A295,"R-020",IF(Lugar_R021=A295,"R-021",IF(Lugar_R022=A295,"R-022",IF(Lugar_R023=A295,"R-023",IF(Lugar_R024=A295,"R-024",IF(Lugar_R025=A295,"R-025",IF(Lugar_R026=A295,"R-026",IF(Lugar_R027=A295,"R-027",IF(Lugar_R028=A295,"R-028",IF(Lugar_R029=A295,"R-029",IF(Lugar_R030=A295,"R-030",IF(Lugar_R031=A295,"R-031",IF(Lugar_R032=A295,"R-032",IF(Lugar_R033=A295,"R-033",IF(Lugar_R034=A295,"R-034",IF(Lugar_R035=A295,"R-035",IF(Lugar_R036=A295,"R-036",IF(Lugar_R037=A295,"R-037",IF(Lugar_R038=A295,"R-038",IF(Lugar_R039=A295,"R-039",IF(Lugar_R040=A295,"R-040",IF(Lugar_R041=A295,"R-041",IF(Lugar_R042=A295,"R-042",IF(Lugar_R043=A295,"R-043",IF(Lugar_R044=A295,"R-044",IF(Lugar_R045=A295,"R-045","Sin prioridad")))))))))))))))))))))))))))))))))))))))))))))</x:f>
        <x:v>R-020</x:v>
      </x:c>
      <x:c r="C295" s="48" t="n">
        <x:f>INDEX($E$38:$E$82,MATCH(B295,$A$38:$A$82,0))*INDEX($F$38:$F$82,MATCH(B295,$A$38:$A$82,0))</x:f>
        <x:v>0.1</x:v>
      </x:c>
      <x:c r="D295" s="33" t="n">
        <x:f>INDEX($E$192:$E$236,MATCH(B295,$A$192:$A$236,0))</x:f>
        <x:v>39.199999999999996</x:v>
      </x:c>
      <x:c r="E295" s="16" t="str">
        <x:f>INDEX($G$38:$G$82,MATCH(B295,$A$38:$A$82,0))</x:f>
        <x:v>Media</x:v>
      </x:c>
      <x:c r="F295" s="16" t="str">
        <x:f>"Mes "&amp;CHOOSE(MATCH(B295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Mes_R001,Mes_R002,Mes_R003,Mes_R004,Mes_R005,Mes_R006,Mes_R007,Mes_R008,Mes_R009,Mes_R010,Mes_R011,Mes_R012,Mes_R013,Mes_R014,Mes_R015,Mes_R016,Mes_R017,Mes_R018,Mes_R019,Mes_R020,Mes_R021,Mes_R022,Mes_R023,Mes_R024,Mes_R025,Mes_R026,Mes_R027,Mes_R028,Mes_R029,Mes_R030,Mes_R031,Mes_R032,Mes_R033,Mes_R034,Mes_R035,Mes_R036,Mes_R037,Mes_R038,Mes_R039,Mes_R040,Mes_R041,Mes_R042,Mes_R043,Mes_R044,Mes_R045)&amp;"; residual objetivo: "&amp;CHOOSE(MATCH(B295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RZ_R001,RZ_R002,RZ_R003,RZ_R004,RZ_R005,RZ_R006,RZ_R007,RZ_R008,RZ_R009,RZ_R010,RZ_R011,RZ_R012,RZ_R013,RZ_R014,RZ_R015,RZ_R016,RZ_R017,RZ_R018,RZ_R019,RZ_R020,RZ_R021,RZ_R022,RZ_R023,RZ_R024,RZ_R025,RZ_R026,RZ_R027,RZ_R028,RZ_R029,RZ_R030,RZ_R031,RZ_R032,RZ_R033,RZ_R034,RZ_R035,RZ_R036,RZ_R037,RZ_R038,RZ_R039,RZ_R040,RZ_R041,RZ_R042,RZ_R043,RZ_R044,RZ_R045)&amp;"; eficacia pendiente de validación."</x:f>
        <x:v>Mes 12; residual objetivo: Baja; eficacia pendiente de validación.</x:v>
      </x:c>
      <x:c r="G295" s="16"/>
    </x:row>
    <x:row r="296" ht="48" customHeight="1">
      <x:c r="A296" s="14" t="n">
        <x:v>43</x:v>
      </x:c>
      <x:c r="B296" s="14" t="str">
        <x:f>IF(Lugar_R001=A296,"R-001",IF(Lugar_R002=A296,"R-002",IF(Lugar_R003=A296,"R-003",IF(Lugar_R004=A296,"R-004",IF(Lugar_R005=A296,"R-005",IF(Lugar_R006=A296,"R-006",IF(Lugar_R007=A296,"R-007",IF(Lugar_R008=A296,"R-008",IF(Lugar_R009=A296,"R-009",IF(Lugar_R010=A296,"R-010",IF(Lugar_R011=A296,"R-011",IF(Lugar_R012=A296,"R-012",IF(Lugar_R013=A296,"R-013",IF(Lugar_R014=A296,"R-014",IF(Lugar_R015=A296,"R-015",IF(Lugar_R016=A296,"R-016",IF(Lugar_R017=A296,"R-017",IF(Lugar_R018=A296,"R-018",IF(Lugar_R019=A296,"R-019",IF(Lugar_R020=A296,"R-020",IF(Lugar_R021=A296,"R-021",IF(Lugar_R022=A296,"R-022",IF(Lugar_R023=A296,"R-023",IF(Lugar_R024=A296,"R-024",IF(Lugar_R025=A296,"R-025",IF(Lugar_R026=A296,"R-026",IF(Lugar_R027=A296,"R-027",IF(Lugar_R028=A296,"R-028",IF(Lugar_R029=A296,"R-029",IF(Lugar_R030=A296,"R-030",IF(Lugar_R031=A296,"R-031",IF(Lugar_R032=A296,"R-032",IF(Lugar_R033=A296,"R-033",IF(Lugar_R034=A296,"R-034",IF(Lugar_R035=A296,"R-035",IF(Lugar_R036=A296,"R-036",IF(Lugar_R037=A296,"R-037",IF(Lugar_R038=A296,"R-038",IF(Lugar_R039=A296,"R-039",IF(Lugar_R040=A296,"R-040",IF(Lugar_R041=A296,"R-041",IF(Lugar_R042=A296,"R-042",IF(Lugar_R043=A296,"R-043",IF(Lugar_R044=A296,"R-044",IF(Lugar_R045=A296,"R-045","Sin prioridad")))))))))))))))))))))))))))))))))))))))))))))</x:f>
        <x:v>R-036</x:v>
      </x:c>
      <x:c r="C296" s="47" t="n">
        <x:f>INDEX($E$38:$E$82,MATCH(B296,$A$38:$A$82,0))*INDEX($F$38:$F$82,MATCH(B296,$A$38:$A$82,0))</x:f>
        <x:v>0.1</x:v>
      </x:c>
      <x:c r="D296" s="30" t="n">
        <x:f>INDEX($E$192:$E$236,MATCH(B296,$A$192:$A$236,0))</x:f>
        <x:v>32</x:v>
      </x:c>
      <x:c r="E296" s="14" t="str">
        <x:f>INDEX($G$38:$G$82,MATCH(B296,$A$38:$A$82,0))</x:f>
        <x:v>Media</x:v>
      </x:c>
      <x:c r="F296" s="14" t="str">
        <x:f>"Mes "&amp;CHOOSE(MATCH(B296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Mes_R001,Mes_R002,Mes_R003,Mes_R004,Mes_R005,Mes_R006,Mes_R007,Mes_R008,Mes_R009,Mes_R010,Mes_R011,Mes_R012,Mes_R013,Mes_R014,Mes_R015,Mes_R016,Mes_R017,Mes_R018,Mes_R019,Mes_R020,Mes_R021,Mes_R022,Mes_R023,Mes_R024,Mes_R025,Mes_R026,Mes_R027,Mes_R028,Mes_R029,Mes_R030,Mes_R031,Mes_R032,Mes_R033,Mes_R034,Mes_R035,Mes_R036,Mes_R037,Mes_R038,Mes_R039,Mes_R040,Mes_R041,Mes_R042,Mes_R043,Mes_R044,Mes_R045)&amp;"; residual objetivo: "&amp;CHOOSE(MATCH(B296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RZ_R001,RZ_R002,RZ_R003,RZ_R004,RZ_R005,RZ_R006,RZ_R007,RZ_R008,RZ_R009,RZ_R010,RZ_R011,RZ_R012,RZ_R013,RZ_R014,RZ_R015,RZ_R016,RZ_R017,RZ_R018,RZ_R019,RZ_R020,RZ_R021,RZ_R022,RZ_R023,RZ_R024,RZ_R025,RZ_R026,RZ_R027,RZ_R028,RZ_R029,RZ_R030,RZ_R031,RZ_R032,RZ_R033,RZ_R034,RZ_R035,RZ_R036,RZ_R037,RZ_R038,RZ_R039,RZ_R040,RZ_R041,RZ_R042,RZ_R043,RZ_R044,RZ_R045)&amp;"; eficacia pendiente de validación."</x:f>
        <x:v>Mes 14; residual objetivo: Baja; eficacia pendiente de validación.</x:v>
      </x:c>
      <x:c r="G296" s="14"/>
    </x:row>
    <x:row r="297" ht="48" customHeight="1">
      <x:c r="A297" s="16" t="n">
        <x:v>44</x:v>
      </x:c>
      <x:c r="B297" s="16" t="str">
        <x:f>IF(Lugar_R001=A297,"R-001",IF(Lugar_R002=A297,"R-002",IF(Lugar_R003=A297,"R-003",IF(Lugar_R004=A297,"R-004",IF(Lugar_R005=A297,"R-005",IF(Lugar_R006=A297,"R-006",IF(Lugar_R007=A297,"R-007",IF(Lugar_R008=A297,"R-008",IF(Lugar_R009=A297,"R-009",IF(Lugar_R010=A297,"R-010",IF(Lugar_R011=A297,"R-011",IF(Lugar_R012=A297,"R-012",IF(Lugar_R013=A297,"R-013",IF(Lugar_R014=A297,"R-014",IF(Lugar_R015=A297,"R-015",IF(Lugar_R016=A297,"R-016",IF(Lugar_R017=A297,"R-017",IF(Lugar_R018=A297,"R-018",IF(Lugar_R019=A297,"R-019",IF(Lugar_R020=A297,"R-020",IF(Lugar_R021=A297,"R-021",IF(Lugar_R022=A297,"R-022",IF(Lugar_R023=A297,"R-023",IF(Lugar_R024=A297,"R-024",IF(Lugar_R025=A297,"R-025",IF(Lugar_R026=A297,"R-026",IF(Lugar_R027=A297,"R-027",IF(Lugar_R028=A297,"R-028",IF(Lugar_R029=A297,"R-029",IF(Lugar_R030=A297,"R-030",IF(Lugar_R031=A297,"R-031",IF(Lugar_R032=A297,"R-032",IF(Lugar_R033=A297,"R-033",IF(Lugar_R034=A297,"R-034",IF(Lugar_R035=A297,"R-035",IF(Lugar_R036=A297,"R-036",IF(Lugar_R037=A297,"R-037",IF(Lugar_R038=A297,"R-038",IF(Lugar_R039=A297,"R-039",IF(Lugar_R040=A297,"R-040",IF(Lugar_R041=A297,"R-041",IF(Lugar_R042=A297,"R-042",IF(Lugar_R043=A297,"R-043",IF(Lugar_R044=A297,"R-044",IF(Lugar_R045=A297,"R-045","Sin prioridad")))))))))))))))))))))))))))))))))))))))))))))</x:f>
        <x:v>R-040</x:v>
      </x:c>
      <x:c r="C297" s="48" t="n">
        <x:f>INDEX($E$38:$E$82,MATCH(B297,$A$38:$A$82,0))*INDEX($F$38:$F$82,MATCH(B297,$A$38:$A$82,0))</x:f>
        <x:v>0.1</x:v>
      </x:c>
      <x:c r="D297" s="33" t="n">
        <x:f>INDEX($E$192:$E$236,MATCH(B297,$A$192:$A$236,0))</x:f>
        <x:v>37.120000000000005</x:v>
      </x:c>
      <x:c r="E297" s="16" t="str">
        <x:f>INDEX($G$38:$G$82,MATCH(B297,$A$38:$A$82,0))</x:f>
        <x:v>Media</x:v>
      </x:c>
      <x:c r="F297" s="16" t="str">
        <x:f>"Mes "&amp;CHOOSE(MATCH(B297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Mes_R001,Mes_R002,Mes_R003,Mes_R004,Mes_R005,Mes_R006,Mes_R007,Mes_R008,Mes_R009,Mes_R010,Mes_R011,Mes_R012,Mes_R013,Mes_R014,Mes_R015,Mes_R016,Mes_R017,Mes_R018,Mes_R019,Mes_R020,Mes_R021,Mes_R022,Mes_R023,Mes_R024,Mes_R025,Mes_R026,Mes_R027,Mes_R028,Mes_R029,Mes_R030,Mes_R031,Mes_R032,Mes_R033,Mes_R034,Mes_R035,Mes_R036,Mes_R037,Mes_R038,Mes_R039,Mes_R040,Mes_R041,Mes_R042,Mes_R043,Mes_R044,Mes_R045)&amp;"; residual objetivo: "&amp;CHOOSE(MATCH(B297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RZ_R001,RZ_R002,RZ_R003,RZ_R004,RZ_R005,RZ_R006,RZ_R007,RZ_R008,RZ_R009,RZ_R010,RZ_R011,RZ_R012,RZ_R013,RZ_R014,RZ_R015,RZ_R016,RZ_R017,RZ_R018,RZ_R019,RZ_R020,RZ_R021,RZ_R022,RZ_R023,RZ_R024,RZ_R025,RZ_R026,RZ_R027,RZ_R028,RZ_R029,RZ_R030,RZ_R031,RZ_R032,RZ_R033,RZ_R034,RZ_R035,RZ_R036,RZ_R037,RZ_R038,RZ_R039,RZ_R040,RZ_R041,RZ_R042,RZ_R043,RZ_R044,RZ_R045)&amp;"; eficacia pendiente de validación."</x:f>
        <x:v>Mes 18; residual objetivo: Baja; eficacia pendiente de validación.</x:v>
      </x:c>
      <x:c r="G297" s="16"/>
    </x:row>
    <x:row r="298" ht="48" customHeight="1">
      <x:c r="A298" s="14" t="n">
        <x:v>45</x:v>
      </x:c>
      <x:c r="B298" s="14" t="str">
        <x:f>IF(Lugar_R001=A298,"R-001",IF(Lugar_R002=A298,"R-002",IF(Lugar_R003=A298,"R-003",IF(Lugar_R004=A298,"R-004",IF(Lugar_R005=A298,"R-005",IF(Lugar_R006=A298,"R-006",IF(Lugar_R007=A298,"R-007",IF(Lugar_R008=A298,"R-008",IF(Lugar_R009=A298,"R-009",IF(Lugar_R010=A298,"R-010",IF(Lugar_R011=A298,"R-011",IF(Lugar_R012=A298,"R-012",IF(Lugar_R013=A298,"R-013",IF(Lugar_R014=A298,"R-014",IF(Lugar_R015=A298,"R-015",IF(Lugar_R016=A298,"R-016",IF(Lugar_R017=A298,"R-017",IF(Lugar_R018=A298,"R-018",IF(Lugar_R019=A298,"R-019",IF(Lugar_R020=A298,"R-020",IF(Lugar_R021=A298,"R-021",IF(Lugar_R022=A298,"R-022",IF(Lugar_R023=A298,"R-023",IF(Lugar_R024=A298,"R-024",IF(Lugar_R025=A298,"R-025",IF(Lugar_R026=A298,"R-026",IF(Lugar_R027=A298,"R-027",IF(Lugar_R028=A298,"R-028",IF(Lugar_R029=A298,"R-029",IF(Lugar_R030=A298,"R-030",IF(Lugar_R031=A298,"R-031",IF(Lugar_R032=A298,"R-032",IF(Lugar_R033=A298,"R-033",IF(Lugar_R034=A298,"R-034",IF(Lugar_R035=A298,"R-035",IF(Lugar_R036=A298,"R-036",IF(Lugar_R037=A298,"R-037",IF(Lugar_R038=A298,"R-038",IF(Lugar_R039=A298,"R-039",IF(Lugar_R040=A298,"R-040",IF(Lugar_R041=A298,"R-041",IF(Lugar_R042=A298,"R-042",IF(Lugar_R043=A298,"R-043",IF(Lugar_R044=A298,"R-044",IF(Lugar_R045=A298,"R-045","Sin prioridad")))))))))))))))))))))))))))))))))))))))))))))</x:f>
        <x:v>R-044</x:v>
      </x:c>
      <x:c r="C298" s="47" t="n">
        <x:f>INDEX($E$38:$E$82,MATCH(B298,$A$38:$A$82,0))*INDEX($F$38:$F$82,MATCH(B298,$A$38:$A$82,0))</x:f>
        <x:v>0.06</x:v>
      </x:c>
      <x:c r="D298" s="30" t="n">
        <x:f>INDEX($E$192:$E$236,MATCH(B298,$A$192:$A$236,0))</x:f>
        <x:v>26.4</x:v>
      </x:c>
      <x:c r="E298" s="14" t="str">
        <x:f>INDEX($G$38:$G$82,MATCH(B298,$A$38:$A$82,0))</x:f>
        <x:v>Baja</x:v>
      </x:c>
      <x:c r="F298" s="14" t="str">
        <x:f>"Mes "&amp;CHOOSE(MATCH(B298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Mes_R001,Mes_R002,Mes_R003,Mes_R004,Mes_R005,Mes_R006,Mes_R007,Mes_R008,Mes_R009,Mes_R010,Mes_R011,Mes_R012,Mes_R013,Mes_R014,Mes_R015,Mes_R016,Mes_R017,Mes_R018,Mes_R019,Mes_R020,Mes_R021,Mes_R022,Mes_R023,Mes_R024,Mes_R025,Mes_R026,Mes_R027,Mes_R028,Mes_R029,Mes_R030,Mes_R031,Mes_R032,Mes_R033,Mes_R034,Mes_R035,Mes_R036,Mes_R037,Mes_R038,Mes_R039,Mes_R040,Mes_R041,Mes_R042,Mes_R043,Mes_R044,Mes_R045)&amp;"; residual objetivo: "&amp;CHOOSE(MATCH(B298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RZ_R001,RZ_R002,RZ_R003,RZ_R004,RZ_R005,RZ_R006,RZ_R007,RZ_R008,RZ_R009,RZ_R010,RZ_R011,RZ_R012,RZ_R013,RZ_R014,RZ_R015,RZ_R016,RZ_R017,RZ_R018,RZ_R019,RZ_R020,RZ_R021,RZ_R022,RZ_R023,RZ_R024,RZ_R025,RZ_R026,RZ_R027,RZ_R028,RZ_R029,RZ_R030,RZ_R031,RZ_R032,RZ_R033,RZ_R034,RZ_R035,RZ_R036,RZ_R037,RZ_R038,RZ_R039,RZ_R040,RZ_R041,RZ_R042,RZ_R043,RZ_R044,RZ_R045)&amp;"; eficacia pendiente de validación."</x:f>
        <x:v>Mes 8; residual objetivo: Baja; eficacia pendiente de validación.</x:v>
      </x:c>
      <x:c r="G298" s="14"/>
    </x:row>
    <x:row r="299">
      <x:c r="A299" s="3"/>
      <x:c r="B299" s="3"/>
      <x:c r="C299" s="3"/>
      <x:c r="D299" s="3"/>
      <x:c r="E299" s="3"/>
      <x:c r="F299" s="3"/>
      <x:c r="G299" s="3"/>
    </x:row>
    <x:row r="300">
      <x:c r="A300" s="3"/>
      <x:c r="B300" s="3"/>
      <x:c r="C300" s="3"/>
      <x:c r="D300" s="3"/>
      <x:c r="E300" s="3"/>
      <x:c r="F300" s="3"/>
      <x:c r="G300" s="3"/>
    </x:row>
    <x:row r="301">
      <x:c r="A301" s="3"/>
      <x:c r="B301" s="3"/>
      <x:c r="C301" s="3"/>
      <x:c r="D301" s="3"/>
      <x:c r="E301" s="3"/>
      <x:c r="F301" s="3"/>
      <x:c r="G301" s="3"/>
    </x:row>
    <x:row r="302" ht="30" customHeight="1">
      <x:c r="A302" s="6" t="str">
        <x:v>6 · Respuestas con etapa declarada</x:v>
      </x:c>
      <x:c r="B302" s="6"/>
      <x:c r="C302" s="6"/>
      <x:c r="D302" s="6"/>
      <x:c r="E302" s="6"/>
      <x:c r="F302" s="6"/>
      <x:c r="G302" s="6"/>
    </x:row>
    <x:row r="303" ht="28" customHeight="1">
      <x:c r="A303" s="5" t="str">
        <x:v>Ocho respuestas prioritarias y las 37 restantes. Todas son propuestas; su eficacia está pendiente de verificar.</x:v>
      </x:c>
      <x:c r="B303" s="5"/>
      <x:c r="C303" s="5"/>
      <x:c r="D303" s="5"/>
      <x:c r="E303" s="5"/>
      <x:c r="F303" s="5"/>
      <x:c r="G303" s="5"/>
    </x:row>
    <x:row r="304" ht="26" customHeight="1">
      <x:c r="A304" s="23" t="str">
        <x:v>6.1 · Los ocho de mayor exposición</x:v>
      </x:c>
      <x:c r="B304" s="23"/>
      <x:c r="C304" s="23"/>
      <x:c r="D304" s="23"/>
      <x:c r="E304" s="23"/>
      <x:c r="F304" s="23"/>
      <x:c r="G304" s="23"/>
    </x:row>
    <x:row r="305" ht="26" customHeight="1">
      <x:c r="A305" s="7" t="str">
        <x:v>Tabla 9 · Los ocho de mayor exposición</x:v>
      </x:c>
      <x:c r="B305" s="7"/>
      <x:c r="C305" s="7"/>
      <x:c r="D305" s="7"/>
      <x:c r="E305" s="7"/>
      <x:c r="F305" s="7"/>
      <x:c r="G305" s="7"/>
    </x:row>
    <x:row r="306" ht="38" customHeight="1">
      <x:c r="A306" s="12" t="str">
        <x:v>ID</x:v>
      </x:c>
      <x:c r="B306" s="12" t="str">
        <x:v>Estrategia</x:v>
      </x:c>
      <x:c r="C306" s="12" t="str">
        <x:v>Acción concreta</x:v>
      </x:c>
      <x:c r="D306" s="12" t="str">
        <x:v>Dueño</x:v>
      </x:c>
      <x:c r="E306" s="12" t="str">
        <x:v>Costo $</x:v>
      </x:c>
      <x:c r="F306" s="12" t="str">
        <x:v>Disparador</x:v>
      </x:c>
      <x:c r="G306" s="12" t="str">
        <x:v>Etapa</x:v>
      </x:c>
    </x:row>
    <x:row r="307" ht="120" customHeight="1">
      <x:c r="A307" s="14" t="str">
        <x:f>B254</x:f>
        <x:v>R-015</x:v>
      </x:c>
      <x:c r="B307" s="14" t="str">
        <x:v>Mitigar</x:v>
      </x:c>
      <x:c r="C307" s="14" t="str">
        <x:f>CHOOSE(MATCH(A307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AC_R001,AC_R002,AC_R003,AC_R004,AC_R005,AC_R006,AC_R007,AC_R008,AC_R009,AC_R010,AC_R011,AC_R012,AC_R013,AC_R014,AC_R015,AC_R016,AC_R017,AC_R018,AC_R019,AC_R020,AC_R021,AC_R022,AC_R023,AC_R024,AC_R025,AC_R026,AC_R027,AC_R028,AC_R029,AC_R030,AC_R031,AC_R032,AC_R033,AC_R034,AC_R035,AC_R036,AC_R037,AC_R038,AC_R039,AC_R040,AC_R041,AC_R042,AC_R043,AC_R044,AC_R045)&amp;". Validar: "&amp;CHOOSE(MATCH(A307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VF_R001,VF_R002,VF_R003,VF_R004,VF_R005,VF_R006,VF_R007,VF_R008,VF_R009,VF_R010,VF_R011,VF_R012,VF_R013,VF_R014,VF_R015,VF_R016,VF_R017,VF_R018,VF_R019,VF_R020,VF_R021,VF_R022,VF_R023,VF_R024,VF_R025,VF_R026,VF_R027,VF_R028,VF_R029,VF_R030,VF_R031,VF_R032,VF_R033,VF_R034,VF_R035,VF_R036,VF_R037,VF_R038,VF_R039,VF_R040,VF_R041,VF_R042,VF_R043,VF_R044,VF_R045)</x:f>
        <x:v>Ensayar desastre total con escritura en curso, exclusión del escritor y retorno. Validar: Informe medido de conmutación y retorno; incluir pérdida simultánea de WAN y nodo</x:v>
      </x:c>
      <x:c r="D307" s="14" t="str">
        <x:f>CHOOSE(MATCH(A307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DU_R001,DU_R002,DU_R003,DU_R004,DU_R005,DU_R006,DU_R007,DU_R008,DU_R009,DU_R010,DU_R011,DU_R012,DU_R013,DU_R014,DU_R015,DU_R016,DU_R017,DU_R018,DU_R019,DU_R020,DU_R021,DU_R022,DU_R023,DU_R024,DU_R025,DU_R026,DU_R027,DU_R028,DU_R029,DU_R030,DU_R031,DU_R032,DU_R033,DU_R034,DU_R035,DU_R036,DU_R037,DU_R038,DU_R039,DU_R040,DU_R041,DU_R042,DU_R043,DU_R044,DU_R045)</x:f>
        <x:v>Guillermo Castillo</x:v>
      </x:c>
      <x:c r="E307" s="60" t="str">
        <x:f>CHOOSE(MATCH(A307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MA_R001,MA_R002,MA_R003,MA_R004,MA_R005,MA_R006,MA_R007,MA_R008,MA_R009,MA_R010,MA_R011,MA_R012,MA_R013,MA_R014,MA_R015,MA_R016,MA_R017,MA_R018,MA_R019,MA_R020,MA_R021,MA_R022,MA_R023,MA_R024,MA_R025,MA_R026,MA_R027,MA_R028,MA_R029,MA_R030,MA_R031,MA_R032,MA_R033,MA_R034,MA_R035,MA_R036,MA_R037,MA_R038,MA_R039,MA_R040,MA_R041,MA_R042,MA_R043,MA_R044,MA_R045)</x:f>
        <x:v>Pendiente</x:v>
      </x:c>
      <x:c r="F307" s="14" t="str">
        <x:f>CHOOSE(MATCH(A307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DP_R001,DP_R002,DP_R003,DP_R004,DP_R005,DP_R006,DP_R007,DP_R008,DP_R009,DP_R010,DP_R011,DP_R012,DP_R013,DP_R014,DP_R015,DP_R016,DP_R017,DP_R018,DP_R019,DP_R020,DP_R021,DP_R022,DP_R023,DP_R024,DP_R025,DP_R026,DP_R027,DP_R028,DP_R029,DP_R030,DP_R031,DP_R032,DP_R033,DP_R034,DP_R035,DP_R036,DP_R037,DP_R038,DP_R039,DP_R040,DP_R041,DP_R042,DP_R043,DP_R044,DP_R045)</x:f>
        <x:v>RPO supera 15 min, RTO supera 4 h o dos escritores aceptan operaciones</x:v>
      </x:c>
      <x:c r="G307" s="14" t="str">
        <x:f>CHOOSE(MATCH(A307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ET_R001,ET_R002,ET_R003,ET_R004,ET_R005,ET_R006,ET_R007,ET_R008,ET_R009,ET_R010,ET_R011,ET_R012,ET_R013,ET_R014,ET_R015,ET_R016,ET_R017,ET_R018,ET_R019,ET_R020,ET_R021,ET_R022,ET_R023,ET_R024,ET_R025,ET_R026,ET_R027,ET_R028,ET_R029,ET_R030,ET_R031,ET_R032,ET_R033,ET_R034,ET_R035,ET_R036,ET_R037,ET_R038,ET_R039,ET_R040,ET_R041,ET_R042,ET_R043,ET_R044,ET_R045)</x:f>
        <x:v>Implementación</x:v>
      </x:c>
    </x:row>
    <x:row r="308" ht="120" customHeight="1">
      <x:c r="A308" s="16" t="str">
        <x:f>B255</x:f>
        <x:v>R-012</x:v>
      </x:c>
      <x:c r="B308" s="16" t="str">
        <x:v>Mitigar</x:v>
      </x:c>
      <x:c r="C308" s="16" t="str">
        <x:f>CHOOSE(MATCH(A308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AC_R001,AC_R002,AC_R003,AC_R004,AC_R005,AC_R006,AC_R007,AC_R008,AC_R009,AC_R010,AC_R011,AC_R012,AC_R013,AC_R014,AC_R015,AC_R016,AC_R017,AC_R018,AC_R019,AC_R020,AC_R021,AC_R022,AC_R023,AC_R024,AC_R025,AC_R026,AC_R027,AC_R028,AC_R029,AC_R030,AC_R031,AC_R032,AC_R033,AC_R034,AC_R035,AC_R036,AC_R037,AC_R038,AC_R039,AC_R040,AC_R041,AC_R042,AC_R043,AC_R044,AC_R045)&amp;". Validar: "&amp;CHOOSE(MATCH(A308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VF_R001,VF_R002,VF_R003,VF_R004,VF_R005,VF_R006,VF_R007,VF_R008,VF_R009,VF_R010,VF_R011,VF_R012,VF_R013,VF_R014,VF_R015,VF_R016,VF_R017,VF_R018,VF_R019,VF_R020,VF_R021,VF_R022,VF_R023,VF_R024,VF_R025,VF_R026,VF_R027,VF_R028,VF_R029,VF_R030,VF_R031,VF_R032,VF_R033,VF_R034,VF_R035,VF_R036,VF_R037,VF_R038,VF_R039,VF_R040,VF_R041,VF_R042,VF_R043,VF_R044,VF_R045)</x:f>
        <x:v>Ejecutar retiro simulado extremo a extremo con lote repartido, devolución y sitio desconectado. Validar: Listado reconciliado contra entregas y devoluciones en menos de 2 h; historia incompleta declarada</x:v>
      </x:c>
      <x:c r="D308" s="16" t="str">
        <x:f>CHOOSE(MATCH(A308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DU_R001,DU_R002,DU_R003,DU_R004,DU_R005,DU_R006,DU_R007,DU_R008,DU_R009,DU_R010,DU_R011,DU_R012,DU_R013,DU_R014,DU_R015,DU_R016,DU_R017,DU_R018,DU_R019,DU_R020,DU_R021,DU_R022,DU_R023,DU_R024,DU_R025,DU_R026,DU_R027,DU_R028,DU_R029,DU_R030,DU_R031,DU_R032,DU_R033,DU_R034,DU_R035,DU_R036,DU_R037,DU_R038,DU_R039,DU_R040,DU_R041,DU_R042,DU_R043,DU_R044,DU_R045)</x:f>
        <x:v>Maximiliano Miño</x:v>
      </x:c>
      <x:c r="E308" s="60" t="str">
        <x:f>CHOOSE(MATCH(A308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MA_R001,MA_R002,MA_R003,MA_R004,MA_R005,MA_R006,MA_R007,MA_R008,MA_R009,MA_R010,MA_R011,MA_R012,MA_R013,MA_R014,MA_R015,MA_R016,MA_R017,MA_R018,MA_R019,MA_R020,MA_R021,MA_R022,MA_R023,MA_R024,MA_R025,MA_R026,MA_R027,MA_R028,MA_R029,MA_R030,MA_R031,MA_R032,MA_R033,MA_R034,MA_R035,MA_R036,MA_R037,MA_R038,MA_R039,MA_R040,MA_R041,MA_R042,MA_R043,MA_R044,MA_R045)</x:f>
        <x:v>Pendiente</x:v>
      </x:c>
      <x:c r="F308" s="16" t="str">
        <x:f>CHOOSE(MATCH(A308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DP_R001,DP_R002,DP_R003,DP_R004,DP_R005,DP_R006,DP_R007,DP_R008,DP_R009,DP_R010,DP_R011,DP_R012,DP_R013,DP_R014,DP_R015,DP_R016,DP_R017,DP_R018,DP_R019,DP_R020,DP_R021,DP_R022,DP_R023,DP_R024,DP_R025,DP_R026,DP_R027,DP_R028,DP_R029,DP_R030,DP_R031,DP_R032,DP_R033,DP_R034,DP_R035,DP_R036,DP_R037,DP_R038,DP_R039,DP_R040,DP_R041,DP_R042,DP_R043,DP_R044,DP_R045)</x:f>
        <x:v>Consulta no identifica todos los destinos o supera dos horas</x:v>
      </x:c>
      <x:c r="G308" s="16" t="str">
        <x:f>CHOOSE(MATCH(A308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ET_R001,ET_R002,ET_R003,ET_R004,ET_R005,ET_R006,ET_R007,ET_R008,ET_R009,ET_R010,ET_R011,ET_R012,ET_R013,ET_R014,ET_R015,ET_R016,ET_R017,ET_R018,ET_R019,ET_R020,ET_R021,ET_R022,ET_R023,ET_R024,ET_R025,ET_R026,ET_R027,ET_R028,ET_R029,ET_R030,ET_R031,ET_R032,ET_R033,ET_R034,ET_R035,ET_R036,ET_R037,ET_R038,ET_R039,ET_R040,ET_R041,ET_R042,ET_R043,ET_R044,ET_R045)</x:f>
        <x:v>Implantación</x:v>
      </x:c>
    </x:row>
    <x:row r="309" ht="120" customHeight="1">
      <x:c r="A309" s="14" t="str">
        <x:f>B256</x:f>
        <x:v>R-014</x:v>
      </x:c>
      <x:c r="B309" s="14" t="str">
        <x:v>Mitigar</x:v>
      </x:c>
      <x:c r="C309" s="14" t="str">
        <x:f>CHOOSE(MATCH(A309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AC_R001,AC_R002,AC_R003,AC_R004,AC_R005,AC_R006,AC_R007,AC_R008,AC_R009,AC_R010,AC_R011,AC_R012,AC_R013,AC_R014,AC_R015,AC_R016,AC_R017,AC_R018,AC_R019,AC_R020,AC_R021,AC_R022,AC_R023,AC_R024,AC_R025,AC_R026,AC_R027,AC_R028,AC_R029,AC_R030,AC_R031,AC_R032,AC_R033,AC_R034,AC_R035,AC_R036,AC_R037,AC_R038,AC_R039,AC_R040,AC_R041,AC_R042,AC_R043,AC_R044,AC_R045)&amp;". Validar: "&amp;CHOOSE(MATCH(A309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VF_R001,VF_R002,VF_R003,VF_R004,VF_R005,VF_R006,VF_R007,VF_R008,VF_R009,VF_R010,VF_R011,VF_R012,VF_R013,VF_R014,VF_R015,VF_R016,VF_R017,VF_R018,VF_R019,VF_R020,VF_R021,VF_R022,VF_R023,VF_R024,VF_R025,VF_R026,VF_R027,VF_R028,VF_R029,VF_R030,VF_R031,VF_R032,VF_R033,VF_R034,VF_R035,VF_R036,VF_R037,VF_R038,VF_R039,VF_R040,VF_R041,VF_R042,VF_R043,VF_R044,VF_R045)</x:f>
        <x:v>Recepcionar energía, autonomía y climatización con carga, corte y alarma. Validar: Ensayo de energía y carga térmica, PDU/circuitos comprobados y acta de recepción</x:v>
      </x:c>
      <x:c r="D309" s="14" t="str">
        <x:f>CHOOSE(MATCH(A309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DU_R001,DU_R002,DU_R003,DU_R004,DU_R005,DU_R006,DU_R007,DU_R008,DU_R009,DU_R010,DU_R011,DU_R012,DU_R013,DU_R014,DU_R015,DU_R016,DU_R017,DU_R018,DU_R019,DU_R020,DU_R021,DU_R022,DU_R023,DU_R024,DU_R025,DU_R026,DU_R027,DU_R028,DU_R029,DU_R030,DU_R031,DU_R032,DU_R033,DU_R034,DU_R035,DU_R036,DU_R037,DU_R038,DU_R039,DU_R040,DU_R041,DU_R042,DU_R043,DU_R044,DU_R045)</x:f>
        <x:v>Guillermo Castillo</x:v>
      </x:c>
      <x:c r="E309" s="60" t="str">
        <x:f>CHOOSE(MATCH(A309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MA_R001,MA_R002,MA_R003,MA_R004,MA_R005,MA_R006,MA_R007,MA_R008,MA_R009,MA_R010,MA_R011,MA_R012,MA_R013,MA_R014,MA_R015,MA_R016,MA_R017,MA_R018,MA_R019,MA_R020,MA_R021,MA_R022,MA_R023,MA_R024,MA_R025,MA_R026,MA_R027,MA_R028,MA_R029,MA_R030,MA_R031,MA_R032,MA_R033,MA_R034,MA_R035,MA_R036,MA_R037,MA_R038,MA_R039,MA_R040,MA_R041,MA_R042,MA_R043,MA_R044,MA_R045)</x:f>
        <x:v>Pendiente</x:v>
      </x:c>
      <x:c r="F309" s="14" t="str">
        <x:f>CHOOSE(MATCH(A309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DP_R001,DP_R002,DP_R003,DP_R004,DP_R005,DP_R006,DP_R007,DP_R008,DP_R009,DP_R010,DP_R011,DP_R012,DP_R013,DP_R014,DP_R015,DP_R016,DP_R017,DP_R018,DP_R019,DP_R020,DP_R021,DP_R022,DP_R023,DP_R024,DP_R025,DP_R026,DP_R027,DP_R028,DP_R029,DP_R030,DP_R031,DP_R032,DP_R033,DP_R034,DP_R035,DP_R036,DP_R037,DP_R038,DP_R039,DP_R040,DP_R041,DP_R042,DP_R043,DP_R044,DP_R045)</x:f>
        <x:v>Autonomía o temperatura fuera del diseño en aceptación</x:v>
      </x:c>
      <x:c r="G309" s="14" t="str">
        <x:f>CHOOSE(MATCH(A309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ET_R001,ET_R002,ET_R003,ET_R004,ET_R005,ET_R006,ET_R007,ET_R008,ET_R009,ET_R010,ET_R011,ET_R012,ET_R013,ET_R014,ET_R015,ET_R016,ET_R017,ET_R018,ET_R019,ET_R020,ET_R021,ET_R022,ET_R023,ET_R024,ET_R025,ET_R026,ET_R027,ET_R028,ET_R029,ET_R030,ET_R031,ET_R032,ET_R033,ET_R034,ET_R035,ET_R036,ET_R037,ET_R038,ET_R039,ET_R040,ET_R041,ET_R042,ET_R043,ET_R044,ET_R045)</x:f>
        <x:v>Implementación</x:v>
      </x:c>
    </x:row>
    <x:row r="310" ht="120" customHeight="1">
      <x:c r="A310" s="16" t="str">
        <x:f>B257</x:f>
        <x:v>R-006</x:v>
      </x:c>
      <x:c r="B310" s="16" t="str">
        <x:v>Mitigar</x:v>
      </x:c>
      <x:c r="C310" s="16" t="str">
        <x:f>CHOOSE(MATCH(A310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AC_R001,AC_R002,AC_R003,AC_R004,AC_R005,AC_R006,AC_R007,AC_R008,AC_R009,AC_R010,AC_R011,AC_R012,AC_R013,AC_R014,AC_R015,AC_R016,AC_R017,AC_R018,AC_R019,AC_R020,AC_R021,AC_R022,AC_R023,AC_R024,AC_R025,AC_R026,AC_R027,AC_R028,AC_R029,AC_R030,AC_R031,AC_R032,AC_R033,AC_R034,AC_R035,AC_R036,AC_R037,AC_R038,AC_R039,AC_R040,AC_R041,AC_R042,AC_R043,AC_R044,AC_R045)&amp;". Validar: "&amp;CHOOSE(MATCH(A310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VF_R001,VF_R002,VF_R003,VF_R004,VF_R005,VF_R006,VF_R007,VF_R008,VF_R009,VF_R010,VF_R011,VF_R012,VF_R013,VF_R014,VF_R015,VF_R016,VF_R017,VF_R018,VF_R019,VF_R020,VF_R021,VF_R022,VF_R023,VF_R024,VF_R025,VF_R026,VF_R027,VF_R028,VF_R029,VF_R030,VF_R031,VF_R032,VF_R033,VF_R034,VF_R035,VF_R036,VF_R037,VF_R038,VF_R039,VF_R040,VF_R041,VF_R042,VF_R043,VF_R044,VF_R045)</x:f>
        <x:v>Inspeccionar rutas físicas y simular caída de fibra y LTE con el satélite activo. Validar: Acta de diversidad y prueba de 24 h con recepción, preparación y despacho reales</x:v>
      </x:c>
      <x:c r="D310" s="16" t="str">
        <x:f>CHOOSE(MATCH(A310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DU_R001,DU_R002,DU_R003,DU_R004,DU_R005,DU_R006,DU_R007,DU_R008,DU_R009,DU_R010,DU_R011,DU_R012,DU_R013,DU_R014,DU_R015,DU_R016,DU_R017,DU_R018,DU_R019,DU_R020,DU_R021,DU_R022,DU_R023,DU_R024,DU_R025,DU_R026,DU_R027,DU_R028,DU_R029,DU_R030,DU_R031,DU_R032,DU_R033,DU_R034,DU_R035,DU_R036,DU_R037,DU_R038,DU_R039,DU_R040,DU_R041,DU_R042,DU_R043,DU_R044,DU_R045)</x:f>
        <x:v>Guillermo Castillo</x:v>
      </x:c>
      <x:c r="E310" s="60" t="str">
        <x:f>CHOOSE(MATCH(A310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MA_R001,MA_R002,MA_R003,MA_R004,MA_R005,MA_R006,MA_R007,MA_R008,MA_R009,MA_R010,MA_R011,MA_R012,MA_R013,MA_R014,MA_R015,MA_R016,MA_R017,MA_R018,MA_R019,MA_R020,MA_R021,MA_R022,MA_R023,MA_R024,MA_R025,MA_R026,MA_R027,MA_R028,MA_R029,MA_R030,MA_R031,MA_R032,MA_R033,MA_R034,MA_R035,MA_R036,MA_R037,MA_R038,MA_R039,MA_R040,MA_R041,MA_R042,MA_R043,MA_R044,MA_R045)</x:f>
        <x:v>Pendiente</x:v>
      </x:c>
      <x:c r="F310" s="16" t="str">
        <x:f>CHOOSE(MATCH(A310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DP_R001,DP_R002,DP_R003,DP_R004,DP_R005,DP_R006,DP_R007,DP_R008,DP_R009,DP_R010,DP_R011,DP_R012,DP_R013,DP_R014,DP_R015,DP_R016,DP_R017,DP_R018,DP_R019,DP_R020,DP_R021,DP_R022,DP_R023,DP_R024,DP_R025,DP_R026,DP_R027,DP_R028,DP_R029,DP_R030,DP_R031,DP_R032,DP_R033,DP_R034,DP_R035,DP_R036,DP_R037,DP_R038,DP_R039,DP_R040,DP_R041,DP_R042,DP_R043,DP_R044,DP_R045)</x:f>
        <x:v>Proveedor no demuestra diversidad o BGP no conmuta en prueba</x:v>
      </x:c>
      <x:c r="G310" s="16" t="str">
        <x:f>CHOOSE(MATCH(A310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ET_R001,ET_R002,ET_R003,ET_R004,ET_R005,ET_R006,ET_R007,ET_R008,ET_R009,ET_R010,ET_R011,ET_R012,ET_R013,ET_R014,ET_R015,ET_R016,ET_R017,ET_R018,ET_R019,ET_R020,ET_R021,ET_R022,ET_R023,ET_R024,ET_R025,ET_R026,ET_R027,ET_R028,ET_R029,ET_R030,ET_R031,ET_R032,ET_R033,ET_R034,ET_R035,ET_R036,ET_R037,ET_R038,ET_R039,ET_R040,ET_R041,ET_R042,ET_R043,ET_R044,ET_R045)</x:f>
        <x:v>Implementación</x:v>
      </x:c>
    </x:row>
    <x:row r="311" ht="120" customHeight="1">
      <x:c r="A311" s="14" t="str">
        <x:f>B258</x:f>
        <x:v>R-005</x:v>
      </x:c>
      <x:c r="B311" s="14" t="str">
        <x:v>Mitigar</x:v>
      </x:c>
      <x:c r="C311" s="14" t="str">
        <x:f>CHOOSE(MATCH(A311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AC_R001,AC_R002,AC_R003,AC_R004,AC_R005,AC_R006,AC_R007,AC_R008,AC_R009,AC_R010,AC_R011,AC_R012,AC_R013,AC_R014,AC_R015,AC_R016,AC_R017,AC_R018,AC_R019,AC_R020,AC_R021,AC_R022,AC_R023,AC_R024,AC_R025,AC_R026,AC_R027,AC_R028,AC_R029,AC_R030,AC_R031,AC_R032,AC_R033,AC_R034,AC_R035,AC_R036,AC_R037,AC_R038,AC_R039,AC_R040,AC_R041,AC_R042,AC_R043,AC_R044,AC_R045)&amp;". Validar: "&amp;CHOOSE(MATCH(A311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VF_R001,VF_R002,VF_R003,VF_R004,VF_R005,VF_R006,VF_R007,VF_R008,VF_R009,VF_R010,VF_R011,VF_R012,VF_R013,VF_R014,VF_R015,VF_R016,VF_R017,VF_R018,VF_R019,VF_R020,VF_R021,VF_R022,VF_R023,VF_R024,VF_R025,VF_R026,VF_R027,VF_R028,VF_R029,VF_R030,VF_R031,VF_R032,VF_R033,VF_R034,VF_R035,VF_R036,VF_R037,VF_R038,VF_R039,VF_R040,VF_R041,VF_R042,VF_R043,VF_R044,VF_R045)</x:f>
        <x:v>Inyectar fallas después de persistir y antes del acuse, con dos sitios y un móvil. Validar: Prueba con UUID repetido, orden invertido y corte de 24 h; invariantes conciliados</x:v>
      </x:c>
      <x:c r="D311" s="14" t="str">
        <x:f>CHOOSE(MATCH(A311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DU_R001,DU_R002,DU_R003,DU_R004,DU_R005,DU_R006,DU_R007,DU_R008,DU_R009,DU_R010,DU_R011,DU_R012,DU_R013,DU_R014,DU_R015,DU_R016,DU_R017,DU_R018,DU_R019,DU_R020,DU_R021,DU_R022,DU_R023,DU_R024,DU_R025,DU_R026,DU_R027,DU_R028,DU_R029,DU_R030,DU_R031,DU_R032,DU_R033,DU_R034,DU_R035,DU_R036,DU_R037,DU_R038,DU_R039,DU_R040,DU_R041,DU_R042,DU_R043,DU_R044,DU_R045)</x:f>
        <x:v>Tomás Pérez</x:v>
      </x:c>
      <x:c r="E311" s="60" t="str">
        <x:f>CHOOSE(MATCH(A311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MA_R001,MA_R002,MA_R003,MA_R004,MA_R005,MA_R006,MA_R007,MA_R008,MA_R009,MA_R010,MA_R011,MA_R012,MA_R013,MA_R014,MA_R015,MA_R016,MA_R017,MA_R018,MA_R019,MA_R020,MA_R021,MA_R022,MA_R023,MA_R024,MA_R025,MA_R026,MA_R027,MA_R028,MA_R029,MA_R030,MA_R031,MA_R032,MA_R033,MA_R034,MA_R035,MA_R036,MA_R037,MA_R038,MA_R039,MA_R040,MA_R041,MA_R042,MA_R043,MA_R044,MA_R045)</x:f>
        <x:v>Pendiente</x:v>
      </x:c>
      <x:c r="F311" s="14" t="str">
        <x:f>CHOOSE(MATCH(A311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DP_R001,DP_R002,DP_R003,DP_R004,DP_R005,DP_R006,DP_R007,DP_R008,DP_R009,DP_R010,DP_R011,DP_R012,DP_R013,DP_R014,DP_R015,DP_R016,DP_R017,DP_R018,DP_R019,DP_R020,DP_R021,DP_R022,DP_R023,DP_R024,DP_R025,DP_R026,DP_R027,DP_R028,DP_R029,DP_R030,DP_R031,DP_R032,DP_R033,DP_R034,DP_R035,DP_R036,DP_R037,DP_R038,DP_R039,DP_R040,DP_R041,DP_R042,DP_R043,DP_R044,DP_R045)</x:f>
        <x:v>Reintento genera más de un resultado económico o saldo negativo</x:v>
      </x:c>
      <x:c r="G311" s="14" t="str">
        <x:f>CHOOSE(MATCH(A311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ET_R001,ET_R002,ET_R003,ET_R004,ET_R005,ET_R006,ET_R007,ET_R008,ET_R009,ET_R010,ET_R011,ET_R012,ET_R013,ET_R014,ET_R015,ET_R016,ET_R017,ET_R018,ET_R019,ET_R020,ET_R021,ET_R022,ET_R023,ET_R024,ET_R025,ET_R026,ET_R027,ET_R028,ET_R029,ET_R030,ET_R031,ET_R032,ET_R033,ET_R034,ET_R035,ET_R036,ET_R037,ET_R038,ET_R039,ET_R040,ET_R041,ET_R042,ET_R043,ET_R044,ET_R045)</x:f>
        <x:v>Implementación</x:v>
      </x:c>
    </x:row>
    <x:row r="312" ht="120" customHeight="1">
      <x:c r="A312" s="16" t="str">
        <x:f>B259</x:f>
        <x:v>R-011</x:v>
      </x:c>
      <x:c r="B312" s="16" t="str">
        <x:v>Mitigar</x:v>
      </x:c>
      <x:c r="C312" s="16" t="str">
        <x:f>CHOOSE(MATCH(A312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AC_R001,AC_R002,AC_R003,AC_R004,AC_R005,AC_R006,AC_R007,AC_R008,AC_R009,AC_R010,AC_R011,AC_R012,AC_R013,AC_R014,AC_R015,AC_R016,AC_R017,AC_R018,AC_R019,AC_R020,AC_R021,AC_R022,AC_R023,AC_R024,AC_R025,AC_R026,AC_R027,AC_R028,AC_R029,AC_R030,AC_R031,AC_R032,AC_R033,AC_R034,AC_R035,AC_R036,AC_R037,AC_R038,AC_R039,AC_R040,AC_R041,AC_R042,AC_R043,AC_R044,AC_R045)&amp;". Validar: "&amp;CHOOSE(MATCH(A312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VF_R001,VF_R002,VF_R003,VF_R004,VF_R005,VF_R006,VF_R007,VF_R008,VF_R009,VF_R010,VF_R011,VF_R012,VF_R013,VF_R014,VF_R015,VF_R016,VF_R017,VF_R018,VF_R019,VF_R020,VF_R021,VF_R022,VF_R023,VF_R024,VF_R025,VF_R026,VF_R027,VF_R028,VF_R029,VF_R030,VF_R031,VF_R032,VF_R033,VF_R034,VF_R035,VF_R036,VF_R037,VF_R038,VF_R039,VF_R040,VF_R041,VF_R042,VF_R043,VF_R044,VF_R045)</x:f>
        <x:v>Validar rangos por familia y contrastar sensor patrón con alarma, desconexión y lectura tardía. Validar: Calidad aprueba reglas; sensor patrón y ensayo de bloqueo; ninguna liberación automática</x:v>
      </x:c>
      <x:c r="D312" s="16" t="str">
        <x:f>CHOOSE(MATCH(A312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DU_R001,DU_R002,DU_R003,DU_R004,DU_R005,DU_R006,DU_R007,DU_R008,DU_R009,DU_R010,DU_R011,DU_R012,DU_R013,DU_R014,DU_R015,DU_R016,DU_R017,DU_R018,DU_R019,DU_R020,DU_R021,DU_R022,DU_R023,DU_R024,DU_R025,DU_R026,DU_R027,DU_R028,DU_R029,DU_R030,DU_R031,DU_R032,DU_R033,DU_R034,DU_R035,DU_R036,DU_R037,DU_R038,DU_R039,DU_R040,DU_R041,DU_R042,DU_R043,DU_R044,DU_R045)</x:f>
        <x:v>Maximiliano Miño</x:v>
      </x:c>
      <x:c r="E312" s="60" t="str">
        <x:f>CHOOSE(MATCH(A312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MA_R001,MA_R002,MA_R003,MA_R004,MA_R005,MA_R006,MA_R007,MA_R008,MA_R009,MA_R010,MA_R011,MA_R012,MA_R013,MA_R014,MA_R015,MA_R016,MA_R017,MA_R018,MA_R019,MA_R020,MA_R021,MA_R022,MA_R023,MA_R024,MA_R025,MA_R026,MA_R027,MA_R028,MA_R029,MA_R030,MA_R031,MA_R032,MA_R033,MA_R034,MA_R035,MA_R036,MA_R037,MA_R038,MA_R039,MA_R040,MA_R041,MA_R042,MA_R043,MA_R044,MA_R045)</x:f>
        <x:v>Pendiente</x:v>
      </x:c>
      <x:c r="F312" s="16" t="str">
        <x:f>CHOOSE(MATCH(A312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DP_R001,DP_R002,DP_R003,DP_R004,DP_R005,DP_R006,DP_R007,DP_R008,DP_R009,DP_R010,DP_R011,DP_R012,DP_R013,DP_R014,DP_R015,DP_R016,DP_R017,DP_R018,DP_R019,DP_R020,DP_R021,DP_R022,DP_R023,DP_R024,DP_R025,DP_R026,DP_R027,DP_R028,DP_R029,DP_R030,DP_R031,DP_R032,DP_R033,DP_R034,DP_R035,DP_R036,DP_R037,DP_R038,DP_R039,DP_R040,DP_R041,DP_R042,DP_R043,DP_R044,DP_R045)</x:f>
        <x:v>Ficha sin aprobación, deriva de calibración o alarmas contradictorias</x:v>
      </x:c>
      <x:c r="G312" s="16" t="str">
        <x:f>CHOOSE(MATCH(A312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ET_R001,ET_R002,ET_R003,ET_R004,ET_R005,ET_R006,ET_R007,ET_R008,ET_R009,ET_R010,ET_R011,ET_R012,ET_R013,ET_R014,ET_R015,ET_R016,ET_R017,ET_R018,ET_R019,ET_R020,ET_R021,ET_R022,ET_R023,ET_R024,ET_R025,ET_R026,ET_R027,ET_R028,ET_R029,ET_R030,ET_R031,ET_R032,ET_R033,ET_R034,ET_R035,ET_R036,ET_R037,ET_R038,ET_R039,ET_R040,ET_R041,ET_R042,ET_R043,ET_R044,ET_R045)</x:f>
        <x:v>Implementación</x:v>
      </x:c>
    </x:row>
    <x:row r="313" ht="120" customHeight="1">
      <x:c r="A313" s="14" t="str">
        <x:f>B260</x:f>
        <x:v>R-013</x:v>
      </x:c>
      <x:c r="B313" s="14" t="str">
        <x:v>Mitigar</x:v>
      </x:c>
      <x:c r="C313" s="14" t="str">
        <x:f>CHOOSE(MATCH(A313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AC_R001,AC_R002,AC_R003,AC_R004,AC_R005,AC_R006,AC_R007,AC_R008,AC_R009,AC_R010,AC_R011,AC_R012,AC_R013,AC_R014,AC_R015,AC_R016,AC_R017,AC_R018,AC_R019,AC_R020,AC_R021,AC_R022,AC_R023,AC_R024,AC_R025,AC_R026,AC_R027,AC_R028,AC_R029,AC_R030,AC_R031,AC_R032,AC_R033,AC_R034,AC_R035,AC_R036,AC_R037,AC_R038,AC_R039,AC_R040,AC_R041,AC_R042,AC_R043,AC_R044,AC_R045)&amp;". Validar: "&amp;CHOOSE(MATCH(A313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VF_R001,VF_R002,VF_R003,VF_R004,VF_R005,VF_R006,VF_R007,VF_R008,VF_R009,VF_R010,VF_R011,VF_R012,VF_R013,VF_R014,VF_R015,VF_R016,VF_R017,VF_R018,VF_R019,VF_R020,VF_R021,VF_R022,VF_R023,VF_R024,VF_R025,VF_R026,VF_R027,VF_R028,VF_R029,VF_R030,VF_R031,VF_R032,VF_R033,VF_R034,VF_R035,VF_R036,VF_R037,VF_R038,VF_R039,VF_R040,VF_R041,VF_R042,VF_R043,VF_R044,VF_R045)</x:f>
        <x:v>Probar carga con un nodo fuera, backlog y periféricos reales en ventana de despacho. Validar: Prueba a peak de caso y margen declarado; 96 despachos completos con falla inyectada</x:v>
      </x:c>
      <x:c r="D313" s="14" t="str">
        <x:f>CHOOSE(MATCH(A313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DU_R001,DU_R002,DU_R003,DU_R004,DU_R005,DU_R006,DU_R007,DU_R008,DU_R009,DU_R010,DU_R011,DU_R012,DU_R013,DU_R014,DU_R015,DU_R016,DU_R017,DU_R018,DU_R019,DU_R020,DU_R021,DU_R022,DU_R023,DU_R024,DU_R025,DU_R026,DU_R027,DU_R028,DU_R029,DU_R030,DU_R031,DU_R032,DU_R033,DU_R034,DU_R035,DU_R036,DU_R037,DU_R038,DU_R039,DU_R040,DU_R041,DU_R042,DU_R043,DU_R044,DU_R045)</x:f>
        <x:v>Guillermo Castillo</x:v>
      </x:c>
      <x:c r="E313" s="60" t="str">
        <x:f>CHOOSE(MATCH(A313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MA_R001,MA_R002,MA_R003,MA_R004,MA_R005,MA_R006,MA_R007,MA_R008,MA_R009,MA_R010,MA_R011,MA_R012,MA_R013,MA_R014,MA_R015,MA_R016,MA_R017,MA_R018,MA_R019,MA_R020,MA_R021,MA_R022,MA_R023,MA_R024,MA_R025,MA_R026,MA_R027,MA_R028,MA_R029,MA_R030,MA_R031,MA_R032,MA_R033,MA_R034,MA_R035,MA_R036,MA_R037,MA_R038,MA_R039,MA_R040,MA_R041,MA_R042,MA_R043,MA_R044,MA_R045)</x:f>
        <x:v>Pendiente</x:v>
      </x:c>
      <x:c r="F313" s="14" t="str">
        <x:f>CHOOSE(MATCH(A313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DP_R001,DP_R002,DP_R003,DP_R004,DP_R005,DP_R006,DP_R007,DP_R008,DP_R009,DP_R010,DP_R011,DP_R012,DP_R013,DP_R014,DP_R015,DP_R016,DP_R017,DP_R018,DP_R019,DP_R020,DP_R021,DP_R022,DP_R023,DP_R024,DP_R025,DP_R026,DP_R027,DP_R028,DP_R029,DP_R030,DP_R031,DP_R032,DP_R033,DP_R034,DP_R035,DP_R036,DP_R037,DP_R038,DP_R039,DP_R040,DP_R041,DP_R042,DP_R043,DP_R044,DP_R045)</x:f>
        <x:v>Picking supera 1 s o la cola no drena antes del despacho</x:v>
      </x:c>
      <x:c r="G313" s="14" t="str">
        <x:f>CHOOSE(MATCH(A313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ET_R001,ET_R002,ET_R003,ET_R004,ET_R005,ET_R006,ET_R007,ET_R008,ET_R009,ET_R010,ET_R011,ET_R012,ET_R013,ET_R014,ET_R015,ET_R016,ET_R017,ET_R018,ET_R019,ET_R020,ET_R021,ET_R022,ET_R023,ET_R024,ET_R025,ET_R026,ET_R027,ET_R028,ET_R029,ET_R030,ET_R031,ET_R032,ET_R033,ET_R034,ET_R035,ET_R036,ET_R037,ET_R038,ET_R039,ET_R040,ET_R041,ET_R042,ET_R043,ET_R044,ET_R045)</x:f>
        <x:v>Implementación</x:v>
      </x:c>
    </x:row>
    <x:row r="314" ht="120" customHeight="1">
      <x:c r="A314" s="16" t="str">
        <x:f>B261</x:f>
        <x:v>R-016</x:v>
      </x:c>
      <x:c r="B314" s="16" t="str">
        <x:v>Mitigar</x:v>
      </x:c>
      <x:c r="C314" s="16" t="str">
        <x:f>CHOOSE(MATCH(A314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AC_R001,AC_R002,AC_R003,AC_R004,AC_R005,AC_R006,AC_R007,AC_R008,AC_R009,AC_R010,AC_R011,AC_R012,AC_R013,AC_R014,AC_R015,AC_R016,AC_R017,AC_R018,AC_R019,AC_R020,AC_R021,AC_R022,AC_R023,AC_R024,AC_R025,AC_R026,AC_R027,AC_R028,AC_R029,AC_R030,AC_R031,AC_R032,AC_R033,AC_R034,AC_R035,AC_R036,AC_R037,AC_R038,AC_R039,AC_R040,AC_R041,AC_R042,AC_R043,AC_R044,AC_R045)&amp;". Validar: "&amp;CHOOSE(MATCH(A314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VF_R001,VF_R002,VF_R003,VF_R004,VF_R005,VF_R006,VF_R007,VF_R008,VF_R009,VF_R010,VF_R011,VF_R012,VF_R013,VF_R014,VF_R015,VF_R016,VF_R017,VF_R018,VF_R019,VF_R020,VF_R021,VF_R022,VF_R023,VF_R024,VF_R025,VF_R026,VF_R027,VF_R028,VF_R029,VF_R030,VF_R031,VF_R032,VF_R033,VF_R034,VF_R035,VF_R036,VF_R037,VF_R038,VF_R039,VF_R040,VF_R041,VF_R042,VF_R043,VF_R044,VF_R045)</x:f>
        <x:v>Revisar superficie y privilegios; probar restauración aislada y respuesta a credencial comprometida. Validar: Pentest sin hallazgos bloqueantes y ejercicio de contención/recuperación</x:v>
      </x:c>
      <x:c r="D314" s="16" t="str">
        <x:f>CHOOSE(MATCH(A314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DU_R001,DU_R002,DU_R003,DU_R004,DU_R005,DU_R006,DU_R007,DU_R008,DU_R009,DU_R010,DU_R011,DU_R012,DU_R013,DU_R014,DU_R015,DU_R016,DU_R017,DU_R018,DU_R019,DU_R020,DU_R021,DU_R022,DU_R023,DU_R024,DU_R025,DU_R026,DU_R027,DU_R028,DU_R029,DU_R030,DU_R031,DU_R032,DU_R033,DU_R034,DU_R035,DU_R036,DU_R037,DU_R038,DU_R039,DU_R040,DU_R041,DU_R042,DU_R043,DU_R044,DU_R045)</x:f>
        <x:v>Álvaro Catalán</x:v>
      </x:c>
      <x:c r="E314" s="60" t="str">
        <x:f>CHOOSE(MATCH(A314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MA_R001,MA_R002,MA_R003,MA_R004,MA_R005,MA_R006,MA_R007,MA_R008,MA_R009,MA_R010,MA_R011,MA_R012,MA_R013,MA_R014,MA_R015,MA_R016,MA_R017,MA_R018,MA_R019,MA_R020,MA_R021,MA_R022,MA_R023,MA_R024,MA_R025,MA_R026,MA_R027,MA_R028,MA_R029,MA_R030,MA_R031,MA_R032,MA_R033,MA_R034,MA_R035,MA_R036,MA_R037,MA_R038,MA_R039,MA_R040,MA_R041,MA_R042,MA_R043,MA_R044,MA_R045)</x:f>
        <x:v>Pendiente</x:v>
      </x:c>
      <x:c r="F314" s="16" t="str">
        <x:f>CHOOSE(MATCH(A314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DP_R001,DP_R002,DP_R003,DP_R004,DP_R005,DP_R006,DP_R007,DP_R008,DP_R009,DP_R010,DP_R011,DP_R012,DP_R013,DP_R014,DP_R015,DP_R016,DP_R017,DP_R018,DP_R019,DP_R020,DP_R021,DP_R022,DP_R023,DP_R024,DP_R025,DP_R026,DP_R027,DP_R028,DP_R029,DP_R030,DP_R031,DP_R032,DP_R033,DP_R034,DP_R035,DP_R036,DP_R037,DP_R038,DP_R039,DP_R040,DP_R041,DP_R042,DP_R043,DP_R044,DP_R045)</x:f>
        <x:v>Hallazgo explotable, acceso anómalo o registro de auditoría alterado</x:v>
      </x:c>
      <x:c r="G314" s="16" t="str">
        <x:f>CHOOSE(MATCH(A314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ET_R001,ET_R002,ET_R003,ET_R004,ET_R005,ET_R006,ET_R007,ET_R008,ET_R009,ET_R010,ET_R011,ET_R012,ET_R013,ET_R014,ET_R015,ET_R016,ET_R017,ET_R018,ET_R019,ET_R020,ET_R021,ET_R022,ET_R023,ET_R024,ET_R025,ET_R026,ET_R027,ET_R028,ET_R029,ET_R030,ET_R031,ET_R032,ET_R033,ET_R034,ET_R035,ET_R036,ET_R037,ET_R038,ET_R039,ET_R040,ET_R041,ET_R042,ET_R043,ET_R044,ET_R045)</x:f>
        <x:v>Implementación</x:v>
      </x:c>
    </x:row>
    <x:row r="315">
      <x:c r="A315" s="3"/>
      <x:c r="B315" s="3"/>
      <x:c r="C315" s="3"/>
      <x:c r="D315" s="3"/>
      <x:c r="E315" s="3"/>
      <x:c r="F315" s="3"/>
      <x:c r="G315" s="3"/>
    </x:row>
    <x:row r="316">
      <x:c r="A316" s="3"/>
      <x:c r="B316" s="3"/>
      <x:c r="C316" s="3"/>
      <x:c r="D316" s="3"/>
      <x:c r="E316" s="3"/>
      <x:c r="F316" s="3"/>
      <x:c r="G316" s="3"/>
    </x:row>
    <x:row r="317" ht="26" customHeight="1">
      <x:c r="A317" s="23" t="str">
        <x:v>6.2 · Las restantes, en breve</x:v>
      </x:c>
      <x:c r="B317" s="23"/>
      <x:c r="C317" s="23"/>
      <x:c r="D317" s="23"/>
      <x:c r="E317" s="23"/>
      <x:c r="F317" s="23"/>
      <x:c r="G317" s="23"/>
    </x:row>
    <x:row r="318" ht="26" customHeight="1">
      <x:c r="A318" s="7" t="str">
        <x:v>Tabla 10 · Las restantes, en breve</x:v>
      </x:c>
      <x:c r="B318" s="7"/>
      <x:c r="C318" s="7"/>
      <x:c r="D318" s="7"/>
      <x:c r="E318" s="7"/>
      <x:c r="F318" s="7"/>
      <x:c r="G318" s="7"/>
    </x:row>
    <x:row r="319" ht="38" customHeight="1">
      <x:c r="A319" s="12" t="str">
        <x:v>ID</x:v>
      </x:c>
      <x:c r="B319" s="12" t="str">
        <x:v>Acción</x:v>
      </x:c>
      <x:c r="C319" s="12"/>
      <x:c r="D319" s="12"/>
      <x:c r="E319" s="12" t="str">
        <x:v>Costo</x:v>
      </x:c>
      <x:c r="F319" s="12" t="str">
        <x:v>Etapa</x:v>
      </x:c>
      <x:c r="G319" s="12"/>
    </x:row>
    <x:row r="320" ht="96" customHeight="1">
      <x:c r="A320" s="14" t="str">
        <x:f>B262</x:f>
        <x:v>R-022</x:v>
      </x:c>
      <x:c r="B320" s="14" t="str">
        <x:f>CHOOSE(MATCH(A320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AC_R001,AC_R002,AC_R003,AC_R004,AC_R005,AC_R006,AC_R007,AC_R008,AC_R009,AC_R010,AC_R011,AC_R012,AC_R013,AC_R014,AC_R015,AC_R016,AC_R017,AC_R018,AC_R019,AC_R020,AC_R021,AC_R022,AC_R023,AC_R024,AC_R025,AC_R026,AC_R027,AC_R028,AC_R029,AC_R030,AC_R031,AC_R032,AC_R033,AC_R034,AC_R035,AC_R036,AC_R037,AC_R038,AC_R039,AC_R040,AC_R041,AC_R042,AC_R043,AC_R044,AC_R045)&amp;". Dueño: "&amp;CHOOSE(MATCH(A320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DU_R001,DU_R002,DU_R003,DU_R004,DU_R005,DU_R006,DU_R007,DU_R008,DU_R009,DU_R010,DU_R011,DU_R012,DU_R013,DU_R014,DU_R015,DU_R016,DU_R017,DU_R018,DU_R019,DU_R020,DU_R021,DU_R022,DU_R023,DU_R024,DU_R025,DU_R026,DU_R027,DU_R028,DU_R029,DU_R030,DU_R031,DU_R032,DU_R033,DU_R034,DU_R035,DU_R036,DU_R037,DU_R038,DU_R039,DU_R040,DU_R041,DU_R042,DU_R043,DU_R044,DU_R045)&amp;". Disparador: "&amp;CHOOSE(MATCH(A320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DP_R001,DP_R002,DP_R003,DP_R004,DP_R005,DP_R006,DP_R007,DP_R008,DP_R009,DP_R010,DP_R011,DP_R012,DP_R013,DP_R014,DP_R015,DP_R016,DP_R017,DP_R018,DP_R019,DP_R020,DP_R021,DP_R022,DP_R023,DP_R024,DP_R025,DP_R026,DP_R027,DP_R028,DP_R029,DP_R030,DP_R031,DP_R032,DP_R033,DP_R034,DP_R035,DP_R036,DP_R037,DP_R038,DP_R039,DP_R040,DP_R041,DP_R042,DP_R043,DP_R044,DP_R045)&amp;". Validar: "&amp;CHOOSE(MATCH(A320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VF_R001,VF_R002,VF_R003,VF_R004,VF_R005,VF_R006,VF_R007,VF_R008,VF_R009,VF_R010,VF_R011,VF_R012,VF_R013,VF_R014,VF_R015,VF_R016,VF_R017,VF_R018,VF_R019,VF_R020,VF_R021,VF_R022,VF_R023,VF_R024,VF_R025,VF_R026,VF_R027,VF_R028,VF_R029,VF_R030,VF_R031,VF_R032,VF_R033,VF_R034,VF_R035,VF_R036,VF_R037,VF_R038,VF_R039,VF_R040,VF_R041,VF_R042,VF_R043,VF_R044,VF_R045)</x:f>
        <x:v>Pactar titulares y suplentes, agenda y SLA de decisiones por hito. Dueño: Alex Aravena. Disparador: Validación pendiente cinco días hábiles o sin suplente. Validar: Agenda y acuerdos escritos; ninguna aprobación tácita de aceptación contractual</x:v>
      </x:c>
      <x:c r="C320" s="14"/>
      <x:c r="D320" s="14"/>
      <x:c r="E320" s="60" t="str">
        <x:f>CHOOSE(MATCH(A320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MA_R001,MA_R002,MA_R003,MA_R004,MA_R005,MA_R006,MA_R007,MA_R008,MA_R009,MA_R010,MA_R011,MA_R012,MA_R013,MA_R014,MA_R015,MA_R016,MA_R017,MA_R018,MA_R019,MA_R020,MA_R021,MA_R022,MA_R023,MA_R024,MA_R025,MA_R026,MA_R027,MA_R028,MA_R029,MA_R030,MA_R031,MA_R032,MA_R033,MA_R034,MA_R035,MA_R036,MA_R037,MA_R038,MA_R039,MA_R040,MA_R041,MA_R042,MA_R043,MA_R044,MA_R045)</x:f>
        <x:v>Pendiente</x:v>
      </x:c>
      <x:c r="F320" s="14" t="str">
        <x:f>CHOOSE(MATCH(A320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ET_R001,ET_R002,ET_R003,ET_R004,ET_R005,ET_R006,ET_R007,ET_R008,ET_R009,ET_R010,ET_R011,ET_R012,ET_R013,ET_R014,ET_R015,ET_R016,ET_R017,ET_R018,ET_R019,ET_R020,ET_R021,ET_R022,ET_R023,ET_R024,ET_R025,ET_R026,ET_R027,ET_R028,ET_R029,ET_R030,ET_R031,ET_R032,ET_R033,ET_R034,ET_R035,ET_R036,ET_R037,ET_R038,ET_R039,ET_R040,ET_R041,ET_R042,ET_R043,ET_R044,ET_R045)</x:f>
        <x:v>Propuesta</x:v>
      </x:c>
      <x:c r="G320" s="14"/>
    </x:row>
    <x:row r="321" ht="96" customHeight="1">
      <x:c r="A321" s="16" t="str">
        <x:f>B263</x:f>
        <x:v>R-035</x:v>
      </x:c>
      <x:c r="B321" s="16" t="str">
        <x:f>CHOOSE(MATCH(A321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AC_R001,AC_R002,AC_R003,AC_R004,AC_R005,AC_R006,AC_R007,AC_R008,AC_R009,AC_R010,AC_R011,AC_R012,AC_R013,AC_R014,AC_R015,AC_R016,AC_R017,AC_R018,AC_R019,AC_R020,AC_R021,AC_R022,AC_R023,AC_R024,AC_R025,AC_R026,AC_R027,AC_R028,AC_R029,AC_R030,AC_R031,AC_R032,AC_R033,AC_R034,AC_R035,AC_R036,AC_R037,AC_R038,AC_R039,AC_R040,AC_R041,AC_R042,AC_R043,AC_R044,AC_R045)&amp;". Dueño: "&amp;CHOOSE(MATCH(A321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DU_R001,DU_R002,DU_R003,DU_R004,DU_R005,DU_R006,DU_R007,DU_R008,DU_R009,DU_R010,DU_R011,DU_R012,DU_R013,DU_R014,DU_R015,DU_R016,DU_R017,DU_R018,DU_R019,DU_R020,DU_R021,DU_R022,DU_R023,DU_R024,DU_R025,DU_R026,DU_R027,DU_R028,DU_R029,DU_R030,DU_R031,DU_R032,DU_R033,DU_R034,DU_R035,DU_R036,DU_R037,DU_R038,DU_R039,DU_R040,DU_R041,DU_R042,DU_R043,DU_R044,DU_R045)&amp;". Disparador: "&amp;CHOOSE(MATCH(A321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DP_R001,DP_R002,DP_R003,DP_R004,DP_R005,DP_R006,DP_R007,DP_R008,DP_R009,DP_R010,DP_R011,DP_R012,DP_R013,DP_R014,DP_R015,DP_R016,DP_R017,DP_R018,DP_R019,DP_R020,DP_R021,DP_R022,DP_R023,DP_R024,DP_R025,DP_R026,DP_R027,DP_R028,DP_R029,DP_R030,DP_R031,DP_R032,DP_R033,DP_R034,DP_R035,DP_R036,DP_R037,DP_R038,DP_R039,DP_R040,DP_R041,DP_R042,DP_R043,DP_R044,DP_R045)&amp;". Validar: "&amp;CHOOSE(MATCH(A321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VF_R001,VF_R002,VF_R003,VF_R004,VF_R005,VF_R006,VF_R007,VF_R008,VF_R009,VF_R010,VF_R011,VF_R012,VF_R013,VF_R014,VF_R015,VF_R016,VF_R017,VF_R018,VF_R019,VF_R020,VF_R021,VF_R022,VF_R023,VF_R024,VF_R025,VF_R026,VF_R027,VF_R028,VF_R029,VF_R030,VF_R031,VF_R032,VF_R033,VF_R034,VF_R035,VF_R036,VF_R037,VF_R038,VF_R039,VF_R040,VF_R041,VF_R042,VF_R043,VF_R044,VF_R045)</x:f>
        <x:v>Construir presupuesto por unidad, peak, divisa y calendario de cobro; probar alertas de consumo. Dueño: Alex Aravena. Disparador: No hay precio/volumen contractual o desvío sin cobertura de caja. Validar: Oferta económica y flujo de caja revisados; sin tarifas, severidad monetaria sigue pendiente</x:v>
      </x:c>
      <x:c r="C321" s="16"/>
      <x:c r="D321" s="16"/>
      <x:c r="E321" s="60" t="str">
        <x:f>CHOOSE(MATCH(A321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MA_R001,MA_R002,MA_R003,MA_R004,MA_R005,MA_R006,MA_R007,MA_R008,MA_R009,MA_R010,MA_R011,MA_R012,MA_R013,MA_R014,MA_R015,MA_R016,MA_R017,MA_R018,MA_R019,MA_R020,MA_R021,MA_R022,MA_R023,MA_R024,MA_R025,MA_R026,MA_R027,MA_R028,MA_R029,MA_R030,MA_R031,MA_R032,MA_R033,MA_R034,MA_R035,MA_R036,MA_R037,MA_R038,MA_R039,MA_R040,MA_R041,MA_R042,MA_R043,MA_R044,MA_R045)</x:f>
        <x:v>Pendiente</x:v>
      </x:c>
      <x:c r="F321" s="16" t="str">
        <x:f>CHOOSE(MATCH(A321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ET_R001,ET_R002,ET_R003,ET_R004,ET_R005,ET_R006,ET_R007,ET_R008,ET_R009,ET_R010,ET_R011,ET_R012,ET_R013,ET_R014,ET_R015,ET_R016,ET_R017,ET_R018,ET_R019,ET_R020,ET_R021,ET_R022,ET_R023,ET_R024,ET_R025,ET_R026,ET_R027,ET_R028,ET_R029,ET_R030,ET_R031,ET_R032,ET_R033,ET_R034,ET_R035,ET_R036,ET_R037,ET_R038,ET_R039,ET_R040,ET_R041,ET_R042,ET_R043,ET_R044,ET_R045)</x:f>
        <x:v>Propuesta</x:v>
      </x:c>
      <x:c r="G321" s="16"/>
    </x:row>
    <x:row r="322" ht="96" customHeight="1">
      <x:c r="A322" s="14" t="str">
        <x:f>B264</x:f>
        <x:v>R-001</x:v>
      </x:c>
      <x:c r="B322" s="14" t="str">
        <x:f>CHOOSE(MATCH(A322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AC_R001,AC_R002,AC_R003,AC_R004,AC_R005,AC_R006,AC_R007,AC_R008,AC_R009,AC_R010,AC_R011,AC_R012,AC_R013,AC_R014,AC_R015,AC_R016,AC_R017,AC_R018,AC_R019,AC_R020,AC_R021,AC_R022,AC_R023,AC_R024,AC_R025,AC_R026,AC_R027,AC_R028,AC_R029,AC_R030,AC_R031,AC_R032,AC_R033,AC_R034,AC_R035,AC_R036,AC_R037,AC_R038,AC_R039,AC_R040,AC_R041,AC_R042,AC_R043,AC_R044,AC_R045)&amp;". Dueño: "&amp;CHOOSE(MATCH(A322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DU_R001,DU_R002,DU_R003,DU_R004,DU_R005,DU_R006,DU_R007,DU_R008,DU_R009,DU_R010,DU_R011,DU_R012,DU_R013,DU_R014,DU_R015,DU_R016,DU_R017,DU_R018,DU_R019,DU_R020,DU_R021,DU_R022,DU_R023,DU_R024,DU_R025,DU_R026,DU_R027,DU_R028,DU_R029,DU_R030,DU_R031,DU_R032,DU_R033,DU_R034,DU_R035,DU_R036,DU_R037,DU_R038,DU_R039,DU_R040,DU_R041,DU_R042,DU_R043,DU_R044,DU_R045)&amp;". Disparador: "&amp;CHOOSE(MATCH(A322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DP_R001,DP_R002,DP_R003,DP_R004,DP_R005,DP_R006,DP_R007,DP_R008,DP_R009,DP_R010,DP_R011,DP_R012,DP_R013,DP_R014,DP_R015,DP_R016,DP_R017,DP_R018,DP_R019,DP_R020,DP_R021,DP_R022,DP_R023,DP_R024,DP_R025,DP_R026,DP_R027,DP_R028,DP_R029,DP_R030,DP_R031,DP_R032,DP_R033,DP_R034,DP_R035,DP_R036,DP_R037,DP_R038,DP_R039,DP_R040,DP_R041,DP_R042,DP_R043,DP_R044,DP_R045)&amp;". Validar: "&amp;CHOOSE(MATCH(A322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VF_R001,VF_R002,VF_R003,VF_R004,VF_R005,VF_R006,VF_R007,VF_R008,VF_R009,VF_R010,VF_R011,VF_R012,VF_R013,VF_R014,VF_R015,VF_R016,VF_R017,VF_R018,VF_R019,VF_R020,VF_R021,VF_R022,VF_R023,VF_R024,VF_R025,VF_R026,VF_R027,VF_R028,VF_R029,VF_R030,VF_R031,VF_R032,VF_R033,VF_R034,VF_R035,VF_R036,VF_R037,VF_R038,VF_R039,VF_R040,VF_R041,VF_R042,VF_R043,VF_R044,VF_R045)</x:f>
        <x:v>Probar lectura, escritura autorizada y emisión con el proveedor; cerrar contrato de interfaz. Dueño: Bastián Trejo. Disparador: Al cierre del mes 2 no existe intercambio completo en ambiente de prueba. Validar: Contrato firmado, extracción real, rechazo y reintento probados; no basta OpenAPI interno</x:v>
      </x:c>
      <x:c r="C322" s="14"/>
      <x:c r="D322" s="14"/>
      <x:c r="E322" s="60" t="str">
        <x:f>CHOOSE(MATCH(A322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MA_R001,MA_R002,MA_R003,MA_R004,MA_R005,MA_R006,MA_R007,MA_R008,MA_R009,MA_R010,MA_R011,MA_R012,MA_R013,MA_R014,MA_R015,MA_R016,MA_R017,MA_R018,MA_R019,MA_R020,MA_R021,MA_R022,MA_R023,MA_R024,MA_R025,MA_R026,MA_R027,MA_R028,MA_R029,MA_R030,MA_R031,MA_R032,MA_R033,MA_R034,MA_R035,MA_R036,MA_R037,MA_R038,MA_R039,MA_R040,MA_R041,MA_R042,MA_R043,MA_R044,MA_R045)</x:f>
        <x:v>Pendiente</x:v>
      </x:c>
      <x:c r="F322" s="14" t="str">
        <x:f>CHOOSE(MATCH(A322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ET_R001,ET_R002,ET_R003,ET_R004,ET_R005,ET_R006,ET_R007,ET_R008,ET_R009,ET_R010,ET_R011,ET_R012,ET_R013,ET_R014,ET_R015,ET_R016,ET_R017,ET_R018,ET_R019,ET_R020,ET_R021,ET_R022,ET_R023,ET_R024,ET_R025,ET_R026,ET_R027,ET_R028,ET_R029,ET_R030,ET_R031,ET_R032,ET_R033,ET_R034,ET_R035,ET_R036,ET_R037,ET_R038,ET_R039,ET_R040,ET_R041,ET_R042,ET_R043,ET_R044,ET_R045)</x:f>
        <x:v>Implementación</x:v>
      </x:c>
      <x:c r="G322" s="14"/>
    </x:row>
    <x:row r="323" ht="96" customHeight="1">
      <x:c r="A323" s="16" t="str">
        <x:f>B265</x:f>
        <x:v>R-004</x:v>
      </x:c>
      <x:c r="B323" s="16" t="str">
        <x:f>CHOOSE(MATCH(A323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AC_R001,AC_R002,AC_R003,AC_R004,AC_R005,AC_R006,AC_R007,AC_R008,AC_R009,AC_R010,AC_R011,AC_R012,AC_R013,AC_R014,AC_R015,AC_R016,AC_R017,AC_R018,AC_R019,AC_R020,AC_R021,AC_R022,AC_R023,AC_R024,AC_R025,AC_R026,AC_R027,AC_R028,AC_R029,AC_R030,AC_R031,AC_R032,AC_R033,AC_R034,AC_R035,AC_R036,AC_R037,AC_R038,AC_R039,AC_R040,AC_R041,AC_R042,AC_R043,AC_R044,AC_R045)&amp;". Dueño: "&amp;CHOOSE(MATCH(A323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DU_R001,DU_R002,DU_R003,DU_R004,DU_R005,DU_R006,DU_R007,DU_R008,DU_R009,DU_R010,DU_R011,DU_R012,DU_R013,DU_R014,DU_R015,DU_R016,DU_R017,DU_R018,DU_R019,DU_R020,DU_R021,DU_R022,DU_R023,DU_R024,DU_R025,DU_R026,DU_R027,DU_R028,DU_R029,DU_R030,DU_R031,DU_R032,DU_R033,DU_R034,DU_R035,DU_R036,DU_R037,DU_R038,DU_R039,DU_R040,DU_R041,DU_R042,DU_R043,DU_R044,DU_R045)&amp;". Disparador: "&amp;CHOOSE(MATCH(A323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DP_R001,DP_R002,DP_R003,DP_R004,DP_R005,DP_R006,DP_R007,DP_R008,DP_R009,DP_R010,DP_R011,DP_R012,DP_R013,DP_R014,DP_R015,DP_R016,DP_R017,DP_R018,DP_R019,DP_R020,DP_R021,DP_R022,DP_R023,DP_R024,DP_R025,DP_R026,DP_R027,DP_R028,DP_R029,DP_R030,DP_R031,DP_R032,DP_R033,DP_R034,DP_R035,DP_R036,DP_R037,DP_R038,DP_R039,DP_R040,DP_R041,DP_R042,DP_R043,DP_R044,DP_R045)&amp;". Validar: "&amp;CHOOSE(MATCH(A323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VF_R001,VF_R002,VF_R003,VF_R004,VF_R005,VF_R006,VF_R007,VF_R008,VF_R009,VF_R010,VF_R011,VF_R012,VF_R013,VF_R014,VF_R015,VF_R016,VF_R017,VF_R018,VF_R019,VF_R020,VF_R021,VF_R022,VF_R023,VF_R024,VF_R025,VF_R026,VF_R027,VF_R028,VF_R029,VF_R030,VF_R031,VF_R032,VF_R033,VF_R034,VF_R035,VF_R036,VF_R037,VF_R038,VF_R039,VF_R040,VF_R041,VF_R042,VF_R043,VF_R044,VF_R045)</x:f>
        <x:v>Muestrear datos completos por origen y antigüedad, medir defectos y obtener responsables de corrección. Dueño: Leandro Chamorro. Disparador: Campos críticos sin correspondencia o lote ausente en la muestra. Validar: Perfilado reproducible; rechazos aislados; no fabricar lotes faltantes; conciliación por conjunto</x:v>
      </x:c>
      <x:c r="C323" s="16"/>
      <x:c r="D323" s="16"/>
      <x:c r="E323" s="60" t="str">
        <x:f>CHOOSE(MATCH(A323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MA_R001,MA_R002,MA_R003,MA_R004,MA_R005,MA_R006,MA_R007,MA_R008,MA_R009,MA_R010,MA_R011,MA_R012,MA_R013,MA_R014,MA_R015,MA_R016,MA_R017,MA_R018,MA_R019,MA_R020,MA_R021,MA_R022,MA_R023,MA_R024,MA_R025,MA_R026,MA_R027,MA_R028,MA_R029,MA_R030,MA_R031,MA_R032,MA_R033,MA_R034,MA_R035,MA_R036,MA_R037,MA_R038,MA_R039,MA_R040,MA_R041,MA_R042,MA_R043,MA_R044,MA_R045)</x:f>
        <x:v>Pendiente</x:v>
      </x:c>
      <x:c r="F323" s="16" t="str">
        <x:f>CHOOSE(MATCH(A323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ET_R001,ET_R002,ET_R003,ET_R004,ET_R005,ET_R006,ET_R007,ET_R008,ET_R009,ET_R010,ET_R011,ET_R012,ET_R013,ET_R014,ET_R015,ET_R016,ET_R017,ET_R018,ET_R019,ET_R020,ET_R021,ET_R022,ET_R023,ET_R024,ET_R025,ET_R026,ET_R027,ET_R028,ET_R029,ET_R030,ET_R031,ET_R032,ET_R033,ET_R034,ET_R035,ET_R036,ET_R037,ET_R038,ET_R039,ET_R040,ET_R041,ET_R042,ET_R043,ET_R044,ET_R045)</x:f>
        <x:v>Implementación</x:v>
      </x:c>
      <x:c r="G323" s="16"/>
    </x:row>
    <x:row r="324" ht="96" customHeight="1">
      <x:c r="A324" s="14" t="str">
        <x:f>B266</x:f>
        <x:v>R-017</x:v>
      </x:c>
      <x:c r="B324" s="14" t="str">
        <x:f>CHOOSE(MATCH(A324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AC_R001,AC_R002,AC_R003,AC_R004,AC_R005,AC_R006,AC_R007,AC_R008,AC_R009,AC_R010,AC_R011,AC_R012,AC_R013,AC_R014,AC_R015,AC_R016,AC_R017,AC_R018,AC_R019,AC_R020,AC_R021,AC_R022,AC_R023,AC_R024,AC_R025,AC_R026,AC_R027,AC_R028,AC_R029,AC_R030,AC_R031,AC_R032,AC_R033,AC_R034,AC_R035,AC_R036,AC_R037,AC_R038,AC_R039,AC_R040,AC_R041,AC_R042,AC_R043,AC_R044,AC_R045)&amp;". Dueño: "&amp;CHOOSE(MATCH(A324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DU_R001,DU_R002,DU_R003,DU_R004,DU_R005,DU_R006,DU_R007,DU_R008,DU_R009,DU_R010,DU_R011,DU_R012,DU_R013,DU_R014,DU_R015,DU_R016,DU_R017,DU_R018,DU_R019,DU_R020,DU_R021,DU_R022,DU_R023,DU_R024,DU_R025,DU_R026,DU_R027,DU_R028,DU_R029,DU_R030,DU_R031,DU_R032,DU_R033,DU_R034,DU_R035,DU_R036,DU_R037,DU_R038,DU_R039,DU_R040,DU_R041,DU_R042,DU_R043,DU_R044,DU_R045)&amp;". Disparador: "&amp;CHOOSE(MATCH(A324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DP_R001,DP_R002,DP_R003,DP_R004,DP_R005,DP_R006,DP_R007,DP_R008,DP_R009,DP_R010,DP_R011,DP_R012,DP_R013,DP_R014,DP_R015,DP_R016,DP_R017,DP_R018,DP_R019,DP_R020,DP_R021,DP_R022,DP_R023,DP_R024,DP_R025,DP_R026,DP_R027,DP_R028,DP_R029,DP_R030,DP_R031,DP_R032,DP_R033,DP_R034,DP_R035,DP_R036,DP_R037,DP_R038,DP_R039,DP_R040,DP_R041,DP_R042,DP_R043,DP_R044,DP_R045)&amp;". Validar: "&amp;CHOOSE(MATCH(A324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VF_R001,VF_R002,VF_R003,VF_R004,VF_R005,VF_R006,VF_R007,VF_R008,VF_R009,VF_R010,VF_R011,VF_R012,VF_R013,VF_R014,VF_R015,VF_R016,VF_R017,VF_R018,VF_R019,VF_R020,VF_R021,VF_R022,VF_R023,VF_R024,VF_R025,VF_R026,VF_R027,VF_R028,VF_R029,VF_R030,VF_R031,VF_R032,VF_R033,VF_R034,VF_R035,VF_R036,VF_R037,VF_R038,VF_R039,VF_R040,VF_R041,VF_R042,VF_R043,VF_R044,VF_R045)</x:f>
        <x:v>Acordar finalidades, retención y acceso con sindicato y dirección; demostrar uso sin control de jornada. Dueño: Patricio Henríquez. Disparador: No existe acuerdo antes del piloto o se detecta finalidad distinta. Validar: Acta de participación, revisión de privacidad y prueba de permisos/retención</x:v>
      </x:c>
      <x:c r="C324" s="14"/>
      <x:c r="D324" s="14"/>
      <x:c r="E324" s="60" t="str">
        <x:f>CHOOSE(MATCH(A324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MA_R001,MA_R002,MA_R003,MA_R004,MA_R005,MA_R006,MA_R007,MA_R008,MA_R009,MA_R010,MA_R011,MA_R012,MA_R013,MA_R014,MA_R015,MA_R016,MA_R017,MA_R018,MA_R019,MA_R020,MA_R021,MA_R022,MA_R023,MA_R024,MA_R025,MA_R026,MA_R027,MA_R028,MA_R029,MA_R030,MA_R031,MA_R032,MA_R033,MA_R034,MA_R035,MA_R036,MA_R037,MA_R038,MA_R039,MA_R040,MA_R041,MA_R042,MA_R043,MA_R044,MA_R045)</x:f>
        <x:v>Pendiente</x:v>
      </x:c>
      <x:c r="F324" s="14" t="str">
        <x:f>CHOOSE(MATCH(A324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ET_R001,ET_R002,ET_R003,ET_R004,ET_R005,ET_R006,ET_R007,ET_R008,ET_R009,ET_R010,ET_R011,ET_R012,ET_R013,ET_R014,ET_R015,ET_R016,ET_R017,ET_R018,ET_R019,ET_R020,ET_R021,ET_R022,ET_R023,ET_R024,ET_R025,ET_R026,ET_R027,ET_R028,ET_R029,ET_R030,ET_R031,ET_R032,ET_R033,ET_R034,ET_R035,ET_R036,ET_R037,ET_R038,ET_R039,ET_R040,ET_R041,ET_R042,ET_R043,ET_R044,ET_R045)</x:f>
        <x:v>Propuesta</x:v>
      </x:c>
      <x:c r="G324" s="14"/>
    </x:row>
    <x:row r="325" ht="96" customHeight="1">
      <x:c r="A325" s="16" t="str">
        <x:f>B267</x:f>
        <x:v>R-021</x:v>
      </x:c>
      <x:c r="B325" s="16" t="str">
        <x:f>CHOOSE(MATCH(A325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AC_R001,AC_R002,AC_R003,AC_R004,AC_R005,AC_R006,AC_R007,AC_R008,AC_R009,AC_R010,AC_R011,AC_R012,AC_R013,AC_R014,AC_R015,AC_R016,AC_R017,AC_R018,AC_R019,AC_R020,AC_R021,AC_R022,AC_R023,AC_R024,AC_R025,AC_R026,AC_R027,AC_R028,AC_R029,AC_R030,AC_R031,AC_R032,AC_R033,AC_R034,AC_R035,AC_R036,AC_R037,AC_R038,AC_R039,AC_R040,AC_R041,AC_R042,AC_R043,AC_R044,AC_R045)&amp;". Dueño: "&amp;CHOOSE(MATCH(A325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DU_R001,DU_R002,DU_R003,DU_R004,DU_R005,DU_R006,DU_R007,DU_R008,DU_R009,DU_R010,DU_R011,DU_R012,DU_R013,DU_R014,DU_R015,DU_R016,DU_R017,DU_R018,DU_R019,DU_R020,DU_R021,DU_R022,DU_R023,DU_R024,DU_R025,DU_R026,DU_R027,DU_R028,DU_R029,DU_R030,DU_R031,DU_R032,DU_R033,DU_R034,DU_R035,DU_R036,DU_R037,DU_R038,DU_R039,DU_R040,DU_R041,DU_R042,DU_R043,DU_R044,DU_R045)&amp;". Disparador: "&amp;CHOOSE(MATCH(A325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DP_R001,DP_R002,DP_R003,DP_R004,DP_R005,DP_R006,DP_R007,DP_R008,DP_R009,DP_R010,DP_R011,DP_R012,DP_R013,DP_R014,DP_R015,DP_R016,DP_R017,DP_R018,DP_R019,DP_R020,DP_R021,DP_R022,DP_R023,DP_R024,DP_R025,DP_R026,DP_R027,DP_R028,DP_R029,DP_R030,DP_R031,DP_R032,DP_R033,DP_R034,DP_R035,DP_R036,DP_R037,DP_R038,DP_R039,DP_R040,DP_R041,DP_R042,DP_R043,DP_R044,DP_R045)&amp;". Validar: "&amp;CHOOSE(MATCH(A325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VF_R001,VF_R002,VF_R003,VF_R004,VF_R005,VF_R006,VF_R007,VF_R008,VF_R009,VF_R010,VF_R011,VF_R012,VF_R013,VF_R014,VF_R015,VF_R016,VF_R017,VF_R018,VF_R019,VF_R020,VF_R021,VF_R022,VF_R023,VF_R024,VF_R025,VF_R026,VF_R027,VF_R028,VF_R029,VF_R030,VF_R031,VF_R032,VF_R033,VF_R034,VF_R035,VF_R036,VF_R037,VF_R038,VF_R039,VF_R040,VF_R041,VF_R042,VF_R043,VF_R044,VF_R045)</x:f>
        <x:v>Capturar y validar reglas por zona con Hugo y un suplente, usando rutas y restricciones reales. Dueño: Patricio Henríquez. Disparador: Zona sin reglas y suplente sin ejecutar una planificación independiente. Validar: Repositorio aprobado y suplente planifica rutas sin ayuda, sin violar peso/puentes/ventanas</x:v>
      </x:c>
      <x:c r="C325" s="16"/>
      <x:c r="D325" s="16"/>
      <x:c r="E325" s="60" t="str">
        <x:f>CHOOSE(MATCH(A325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MA_R001,MA_R002,MA_R003,MA_R004,MA_R005,MA_R006,MA_R007,MA_R008,MA_R009,MA_R010,MA_R011,MA_R012,MA_R013,MA_R014,MA_R015,MA_R016,MA_R017,MA_R018,MA_R019,MA_R020,MA_R021,MA_R022,MA_R023,MA_R024,MA_R025,MA_R026,MA_R027,MA_R028,MA_R029,MA_R030,MA_R031,MA_R032,MA_R033,MA_R034,MA_R035,MA_R036,MA_R037,MA_R038,MA_R039,MA_R040,MA_R041,MA_R042,MA_R043,MA_R044,MA_R045)</x:f>
        <x:v>Pendiente</x:v>
      </x:c>
      <x:c r="F325" s="16" t="str">
        <x:f>CHOOSE(MATCH(A325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ET_R001,ET_R002,ET_R003,ET_R004,ET_R005,ET_R006,ET_R007,ET_R008,ET_R009,ET_R010,ET_R011,ET_R012,ET_R013,ET_R014,ET_R015,ET_R016,ET_R017,ET_R018,ET_R019,ET_R020,ET_R021,ET_R022,ET_R023,ET_R024,ET_R025,ET_R026,ET_R027,ET_R028,ET_R029,ET_R030,ET_R031,ET_R032,ET_R033,ET_R034,ET_R035,ET_R036,ET_R037,ET_R038,ET_R039,ET_R040,ET_R041,ET_R042,ET_R043,ET_R044,ET_R045)</x:f>
        <x:v>Implementación</x:v>
      </x:c>
      <x:c r="G325" s="16"/>
    </x:row>
    <x:row r="326" ht="96" customHeight="1">
      <x:c r="A326" s="14" t="str">
        <x:f>B268</x:f>
        <x:v>R-024</x:v>
      </x:c>
      <x:c r="B326" s="14" t="str">
        <x:f>CHOOSE(MATCH(A326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AC_R001,AC_R002,AC_R003,AC_R004,AC_R005,AC_R006,AC_R007,AC_R008,AC_R009,AC_R010,AC_R011,AC_R012,AC_R013,AC_R014,AC_R015,AC_R016,AC_R017,AC_R018,AC_R019,AC_R020,AC_R021,AC_R022,AC_R023,AC_R024,AC_R025,AC_R026,AC_R027,AC_R028,AC_R029,AC_R030,AC_R031,AC_R032,AC_R033,AC_R034,AC_R035,AC_R036,AC_R037,AC_R038,AC_R039,AC_R040,AC_R041,AC_R042,AC_R043,AC_R044,AC_R045)&amp;". Dueño: "&amp;CHOOSE(MATCH(A326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DU_R001,DU_R002,DU_R003,DU_R004,DU_R005,DU_R006,DU_R007,DU_R008,DU_R009,DU_R010,DU_R011,DU_R012,DU_R013,DU_R014,DU_R015,DU_R016,DU_R017,DU_R018,DU_R019,DU_R020,DU_R021,DU_R022,DU_R023,DU_R024,DU_R025,DU_R026,DU_R027,DU_R028,DU_R029,DU_R030,DU_R031,DU_R032,DU_R033,DU_R034,DU_R035,DU_R036,DU_R037,DU_R038,DU_R039,DU_R040,DU_R041,DU_R042,DU_R043,DU_R044,DU_R045)&amp;". Disparador: "&amp;CHOOSE(MATCH(A326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DP_R001,DP_R002,DP_R003,DP_R004,DP_R005,DP_R006,DP_R007,DP_R008,DP_R009,DP_R010,DP_R011,DP_R012,DP_R013,DP_R014,DP_R015,DP_R016,DP_R017,DP_R018,DP_R019,DP_R020,DP_R021,DP_R022,DP_R023,DP_R024,DP_R025,DP_R026,DP_R027,DP_R028,DP_R029,DP_R030,DP_R031,DP_R032,DP_R033,DP_R034,DP_R035,DP_R036,DP_R037,DP_R038,DP_R039,DP_R040,DP_R041,DP_R042,DP_R043,DP_R044,DP_R045)&amp;". Validar: "&amp;CHOOSE(MATCH(A326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VF_R001,VF_R002,VF_R003,VF_R004,VF_R005,VF_R006,VF_R007,VF_R008,VF_R009,VF_R010,VF_R011,VF_R012,VF_R013,VF_R014,VF_R015,VF_R016,VF_R017,VF_R018,VF_R019,VF_R020,VF_R021,VF_R022,VF_R023,VF_R024,VF_R025,VF_R026,VF_R027,VF_R028,VF_R029,VF_R030,VF_R031,VF_R032,VF_R033,VF_R034,VF_R035,VF_R036,VF_R037,VF_R038,VF_R039,VF_R040,VF_R041,VF_R042,VF_R043,VF_R044,VF_R045)</x:f>
        <x:v>Confirmar orden, stock y plazo por ola; homologar alternativa antes de la compra. Dueño: Bastián Trejo. Disparador: Orden sin fecha comprometida o muestra no aceptada un mes antes de ola. Validar: Orden y acta de muestra; préstamo o alternativa homologada no reduce población de prueba</x:v>
      </x:c>
      <x:c r="C326" s="14"/>
      <x:c r="D326" s="14"/>
      <x:c r="E326" s="60" t="str">
        <x:f>CHOOSE(MATCH(A326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MA_R001,MA_R002,MA_R003,MA_R004,MA_R005,MA_R006,MA_R007,MA_R008,MA_R009,MA_R010,MA_R011,MA_R012,MA_R013,MA_R014,MA_R015,MA_R016,MA_R017,MA_R018,MA_R019,MA_R020,MA_R021,MA_R022,MA_R023,MA_R024,MA_R025,MA_R026,MA_R027,MA_R028,MA_R029,MA_R030,MA_R031,MA_R032,MA_R033,MA_R034,MA_R035,MA_R036,MA_R037,MA_R038,MA_R039,MA_R040,MA_R041,MA_R042,MA_R043,MA_R044,MA_R045)</x:f>
        <x:v>Pendiente</x:v>
      </x:c>
      <x:c r="F326" s="14" t="str">
        <x:f>CHOOSE(MATCH(A326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ET_R001,ET_R002,ET_R003,ET_R004,ET_R005,ET_R006,ET_R007,ET_R008,ET_R009,ET_R010,ET_R011,ET_R012,ET_R013,ET_R014,ET_R015,ET_R016,ET_R017,ET_R018,ET_R019,ET_R020,ET_R021,ET_R022,ET_R023,ET_R024,ET_R025,ET_R026,ET_R027,ET_R028,ET_R029,ET_R030,ET_R031,ET_R032,ET_R033,ET_R034,ET_R035,ET_R036,ET_R037,ET_R038,ET_R039,ET_R040,ET_R041,ET_R042,ET_R043,ET_R044,ET_R045)</x:f>
        <x:v>Implementación</x:v>
      </x:c>
      <x:c r="G326" s="14"/>
    </x:row>
    <x:row r="327" ht="96" customHeight="1">
      <x:c r="A327" s="16" t="str">
        <x:f>B269</x:f>
        <x:v>R-025</x:v>
      </x:c>
      <x:c r="B327" s="16" t="str">
        <x:f>CHOOSE(MATCH(A327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AC_R001,AC_R002,AC_R003,AC_R004,AC_R005,AC_R006,AC_R007,AC_R008,AC_R009,AC_R010,AC_R011,AC_R012,AC_R013,AC_R014,AC_R015,AC_R016,AC_R017,AC_R018,AC_R019,AC_R020,AC_R021,AC_R022,AC_R023,AC_R024,AC_R025,AC_R026,AC_R027,AC_R028,AC_R029,AC_R030,AC_R031,AC_R032,AC_R033,AC_R034,AC_R035,AC_R036,AC_R037,AC_R038,AC_R039,AC_R040,AC_R041,AC_R042,AC_R043,AC_R044,AC_R045)&amp;". Dueño: "&amp;CHOOSE(MATCH(A327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DU_R001,DU_R002,DU_R003,DU_R004,DU_R005,DU_R006,DU_R007,DU_R008,DU_R009,DU_R010,DU_R011,DU_R012,DU_R013,DU_R014,DU_R015,DU_R016,DU_R017,DU_R018,DU_R019,DU_R020,DU_R021,DU_R022,DU_R023,DU_R024,DU_R025,DU_R026,DU_R027,DU_R028,DU_R029,DU_R030,DU_R031,DU_R032,DU_R033,DU_R034,DU_R035,DU_R036,DU_R037,DU_R038,DU_R039,DU_R040,DU_R041,DU_R042,DU_R043,DU_R044,DU_R045)&amp;". Disparador: "&amp;CHOOSE(MATCH(A327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DP_R001,DP_R002,DP_R003,DP_R004,DP_R005,DP_R006,DP_R007,DP_R008,DP_R009,DP_R010,DP_R011,DP_R012,DP_R013,DP_R014,DP_R015,DP_R016,DP_R017,DP_R018,DP_R019,DP_R020,DP_R021,DP_R022,DP_R023,DP_R024,DP_R025,DP_R026,DP_R027,DP_R028,DP_R029,DP_R030,DP_R031,DP_R032,DP_R033,DP_R034,DP_R035,DP_R036,DP_R037,DP_R038,DP_R039,DP_R040,DP_R041,DP_R042,DP_R043,DP_R044,DP_R045)&amp;". Validar: "&amp;CHOOSE(MATCH(A327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VF_R001,VF_R002,VF_R003,VF_R004,VF_R005,VF_R006,VF_R007,VF_R008,VF_R009,VF_R010,VF_R011,VF_R012,VF_R013,VF_R014,VF_R015,VF_R016,VF_R017,VF_R018,VF_R019,VF_R020,VF_R021,VF_R022,VF_R023,VF_R024,VF_R025,VF_R026,VF_R027,VF_R028,VF_R029,VF_R030,VF_R031,VF_R032,VF_R033,VF_R034,VF_R035,VF_R036,VF_R037,VF_R038,VF_R039,VF_R040,VF_R041,VF_R042,VF_R043,VF_R044,VF_R045)</x:f>
        <x:v>Nominar equipos separados y suplentes; verificar capacidad semanal y contrato de refuerzo. Dueño: Alex Aravena. Disparador: Capacidad disponible por rol menor que carga dos semanas seguidas. Validar: Cartas y calendario nominal; no sumar las HH de mitigación a capacidad inexistente</x:v>
      </x:c>
      <x:c r="C327" s="16"/>
      <x:c r="D327" s="16"/>
      <x:c r="E327" s="60" t="str">
        <x:f>CHOOSE(MATCH(A327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MA_R001,MA_R002,MA_R003,MA_R004,MA_R005,MA_R006,MA_R007,MA_R008,MA_R009,MA_R010,MA_R011,MA_R012,MA_R013,MA_R014,MA_R015,MA_R016,MA_R017,MA_R018,MA_R019,MA_R020,MA_R021,MA_R022,MA_R023,MA_R024,MA_R025,MA_R026,MA_R027,MA_R028,MA_R029,MA_R030,MA_R031,MA_R032,MA_R033,MA_R034,MA_R035,MA_R036,MA_R037,MA_R038,MA_R039,MA_R040,MA_R041,MA_R042,MA_R043,MA_R044,MA_R045)</x:f>
        <x:v>Pendiente</x:v>
      </x:c>
      <x:c r="F327" s="16" t="str">
        <x:f>CHOOSE(MATCH(A327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ET_R001,ET_R002,ET_R003,ET_R004,ET_R005,ET_R006,ET_R007,ET_R008,ET_R009,ET_R010,ET_R011,ET_R012,ET_R013,ET_R014,ET_R015,ET_R016,ET_R017,ET_R018,ET_R019,ET_R020,ET_R021,ET_R022,ET_R023,ET_R024,ET_R025,ET_R026,ET_R027,ET_R028,ET_R029,ET_R030,ET_R031,ET_R032,ET_R033,ET_R034,ET_R035,ET_R036,ET_R037,ET_R038,ET_R039,ET_R040,ET_R041,ET_R042,ET_R043,ET_R044,ET_R045)</x:f>
        <x:v>Implementación</x:v>
      </x:c>
      <x:c r="G327" s="16"/>
    </x:row>
    <x:row r="328" ht="96" customHeight="1">
      <x:c r="A328" s="14" t="str">
        <x:f>B270</x:f>
        <x:v>R-030</x:v>
      </x:c>
      <x:c r="B328" s="14" t="str">
        <x:f>CHOOSE(MATCH(A328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AC_R001,AC_R002,AC_R003,AC_R004,AC_R005,AC_R006,AC_R007,AC_R008,AC_R009,AC_R010,AC_R011,AC_R012,AC_R013,AC_R014,AC_R015,AC_R016,AC_R017,AC_R018,AC_R019,AC_R020,AC_R021,AC_R022,AC_R023,AC_R024,AC_R025,AC_R026,AC_R027,AC_R028,AC_R029,AC_R030,AC_R031,AC_R032,AC_R033,AC_R034,AC_R035,AC_R036,AC_R037,AC_R038,AC_R039,AC_R040,AC_R041,AC_R042,AC_R043,AC_R044,AC_R045)&amp;". Dueño: "&amp;CHOOSE(MATCH(A328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DU_R001,DU_R002,DU_R003,DU_R004,DU_R005,DU_R006,DU_R007,DU_R008,DU_R009,DU_R010,DU_R011,DU_R012,DU_R013,DU_R014,DU_R015,DU_R016,DU_R017,DU_R018,DU_R019,DU_R020,DU_R021,DU_R022,DU_R023,DU_R024,DU_R025,DU_R026,DU_R027,DU_R028,DU_R029,DU_R030,DU_R031,DU_R032,DU_R033,DU_R034,DU_R035,DU_R036,DU_R037,DU_R038,DU_R039,DU_R040,DU_R041,DU_R042,DU_R043,DU_R044,DU_R045)&amp;". Disparador: "&amp;CHOOSE(MATCH(A328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DP_R001,DP_R002,DP_R003,DP_R004,DP_R005,DP_R006,DP_R007,DP_R008,DP_R009,DP_R010,DP_R011,DP_R012,DP_R013,DP_R014,DP_R015,DP_R016,DP_R017,DP_R018,DP_R019,DP_R020,DP_R021,DP_R022,DP_R023,DP_R024,DP_R025,DP_R026,DP_R027,DP_R028,DP_R029,DP_R030,DP_R031,DP_R032,DP_R033,DP_R034,DP_R035,DP_R036,DP_R037,DP_R038,DP_R039,DP_R040,DP_R041,DP_R042,DP_R043,DP_R044,DP_R045)&amp;". Validar: "&amp;CHOOSE(MATCH(A328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VF_R001,VF_R002,VF_R003,VF_R004,VF_R005,VF_R006,VF_R007,VF_R008,VF_R009,VF_R010,VF_R011,VF_R012,VF_R013,VF_R014,VF_R015,VF_R016,VF_R017,VF_R018,VF_R019,VF_R020,VF_R021,VF_R022,VF_R023,VF_R024,VF_R025,VF_R026,VF_R027,VF_R028,VF_R029,VF_R030,VF_R031,VF_R032,VF_R033,VF_R034,VF_R035,VF_R036,VF_R037,VF_R038,VF_R039,VF_R040,VF_R041,VF_R042,VF_R043,VF_R044,VF_R045)</x:f>
        <x:v>Obtener especificación, sandbox, fechas y responsable de certificación; ensayar el flujo completo. Dueño: Bastián Trejo. Disparador: No hay ventana de certificación acordada al mes 4. Validar: Confirmación escrita de cadena y certificación completa antes del H12; dependencia externa mantiene zona alta</x:v>
      </x:c>
      <x:c r="C328" s="14"/>
      <x:c r="D328" s="14"/>
      <x:c r="E328" s="60" t="str">
        <x:f>CHOOSE(MATCH(A328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MA_R001,MA_R002,MA_R003,MA_R004,MA_R005,MA_R006,MA_R007,MA_R008,MA_R009,MA_R010,MA_R011,MA_R012,MA_R013,MA_R014,MA_R015,MA_R016,MA_R017,MA_R018,MA_R019,MA_R020,MA_R021,MA_R022,MA_R023,MA_R024,MA_R025,MA_R026,MA_R027,MA_R028,MA_R029,MA_R030,MA_R031,MA_R032,MA_R033,MA_R034,MA_R035,MA_R036,MA_R037,MA_R038,MA_R039,MA_R040,MA_R041,MA_R042,MA_R043,MA_R044,MA_R045)</x:f>
        <x:v>Pendiente</x:v>
      </x:c>
      <x:c r="F328" s="14" t="str">
        <x:f>CHOOSE(MATCH(A328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ET_R001,ET_R002,ET_R003,ET_R004,ET_R005,ET_R006,ET_R007,ET_R008,ET_R009,ET_R010,ET_R011,ET_R012,ET_R013,ET_R014,ET_R015,ET_R016,ET_R017,ET_R018,ET_R019,ET_R020,ET_R021,ET_R022,ET_R023,ET_R024,ET_R025,ET_R026,ET_R027,ET_R028,ET_R029,ET_R030,ET_R031,ET_R032,ET_R033,ET_R034,ET_R035,ET_R036,ET_R037,ET_R038,ET_R039,ET_R040,ET_R041,ET_R042,ET_R043,ET_R044,ET_R045)</x:f>
        <x:v>Implementación</x:v>
      </x:c>
      <x:c r="G328" s="14"/>
    </x:row>
    <x:row r="329" ht="96" customHeight="1">
      <x:c r="A329" s="16" t="str">
        <x:f>B271</x:f>
        <x:v>R-029</x:v>
      </x:c>
      <x:c r="B329" s="16" t="str">
        <x:f>CHOOSE(MATCH(A329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AC_R001,AC_R002,AC_R003,AC_R004,AC_R005,AC_R006,AC_R007,AC_R008,AC_R009,AC_R010,AC_R011,AC_R012,AC_R013,AC_R014,AC_R015,AC_R016,AC_R017,AC_R018,AC_R019,AC_R020,AC_R021,AC_R022,AC_R023,AC_R024,AC_R025,AC_R026,AC_R027,AC_R028,AC_R029,AC_R030,AC_R031,AC_R032,AC_R033,AC_R034,AC_R035,AC_R036,AC_R037,AC_R038,AC_R039,AC_R040,AC_R041,AC_R042,AC_R043,AC_R044,AC_R045)&amp;". Dueño: "&amp;CHOOSE(MATCH(A329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DU_R001,DU_R002,DU_R003,DU_R004,DU_R005,DU_R006,DU_R007,DU_R008,DU_R009,DU_R010,DU_R011,DU_R012,DU_R013,DU_R014,DU_R015,DU_R016,DU_R017,DU_R018,DU_R019,DU_R020,DU_R021,DU_R022,DU_R023,DU_R024,DU_R025,DU_R026,DU_R027,DU_R028,DU_R029,DU_R030,DU_R031,DU_R032,DU_R033,DU_R034,DU_R035,DU_R036,DU_R037,DU_R038,DU_R039,DU_R040,DU_R041,DU_R042,DU_R043,DU_R044,DU_R045)&amp;". Disparador: "&amp;CHOOSE(MATCH(A329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DP_R001,DP_R002,DP_R003,DP_R004,DP_R005,DP_R006,DP_R007,DP_R008,DP_R009,DP_R010,DP_R011,DP_R012,DP_R013,DP_R014,DP_R015,DP_R016,DP_R017,DP_R018,DP_R019,DP_R020,DP_R021,DP_R022,DP_R023,DP_R024,DP_R025,DP_R026,DP_R027,DP_R028,DP_R029,DP_R030,DP_R031,DP_R032,DP_R033,DP_R034,DP_R035,DP_R036,DP_R037,DP_R038,DP_R039,DP_R040,DP_R041,DP_R042,DP_R043,DP_R044,DP_R045)&amp;". Validar: "&amp;CHOOSE(MATCH(A329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VF_R001,VF_R002,VF_R003,VF_R004,VF_R005,VF_R006,VF_R007,VF_R008,VF_R009,VF_R010,VF_R011,VF_R012,VF_R013,VF_R014,VF_R015,VF_R016,VF_R017,VF_R018,VF_R019,VF_R020,VF_R021,VF_R022,VF_R023,VF_R024,VF_R025,VF_R026,VF_R027,VF_R028,VF_R029,VF_R030,VF_R031,VF_R032,VF_R033,VF_R034,VF_R035,VF_R036,VF_R037,VF_R038,VF_R039,VF_R040,VF_R041,VF_R042,VF_R043,VF_R044,VF_R045)</x:f>
        <x:v>Validar flujo por acto con experto tributario y probar certificado vencido, POD offline y acuse. Dueño: Bastián Trejo. Disparador: Guía, identidad o certificado no coincide con el expediente. Validar: Dictamen sobre el flujo y AL-DTE-01 aprobado; no equiparar firma simple y avanzada</x:v>
      </x:c>
      <x:c r="C329" s="16"/>
      <x:c r="D329" s="16"/>
      <x:c r="E329" s="60" t="str">
        <x:f>CHOOSE(MATCH(A329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MA_R001,MA_R002,MA_R003,MA_R004,MA_R005,MA_R006,MA_R007,MA_R008,MA_R009,MA_R010,MA_R011,MA_R012,MA_R013,MA_R014,MA_R015,MA_R016,MA_R017,MA_R018,MA_R019,MA_R020,MA_R021,MA_R022,MA_R023,MA_R024,MA_R025,MA_R026,MA_R027,MA_R028,MA_R029,MA_R030,MA_R031,MA_R032,MA_R033,MA_R034,MA_R035,MA_R036,MA_R037,MA_R038,MA_R039,MA_R040,MA_R041,MA_R042,MA_R043,MA_R044,MA_R045)</x:f>
        <x:v>Pendiente</x:v>
      </x:c>
      <x:c r="F329" s="16" t="str">
        <x:f>CHOOSE(MATCH(A329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ET_R001,ET_R002,ET_R003,ET_R004,ET_R005,ET_R006,ET_R007,ET_R008,ET_R009,ET_R010,ET_R011,ET_R012,ET_R013,ET_R014,ET_R015,ET_R016,ET_R017,ET_R018,ET_R019,ET_R020,ET_R021,ET_R022,ET_R023,ET_R024,ET_R025,ET_R026,ET_R027,ET_R028,ET_R029,ET_R030,ET_R031,ET_R032,ET_R033,ET_R034,ET_R035,ET_R036,ET_R037,ET_R038,ET_R039,ET_R040,ET_R041,ET_R042,ET_R043,ET_R044,ET_R045)</x:f>
        <x:v>Implementación</x:v>
      </x:c>
      <x:c r="G329" s="16"/>
    </x:row>
    <x:row r="330" ht="96" customHeight="1">
      <x:c r="A330" s="14" t="str">
        <x:f>B272</x:f>
        <x:v>R-045</x:v>
      </x:c>
      <x:c r="B330" s="14" t="str">
        <x:f>CHOOSE(MATCH(A330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AC_R001,AC_R002,AC_R003,AC_R004,AC_R005,AC_R006,AC_R007,AC_R008,AC_R009,AC_R010,AC_R011,AC_R012,AC_R013,AC_R014,AC_R015,AC_R016,AC_R017,AC_R018,AC_R019,AC_R020,AC_R021,AC_R022,AC_R023,AC_R024,AC_R025,AC_R026,AC_R027,AC_R028,AC_R029,AC_R030,AC_R031,AC_R032,AC_R033,AC_R034,AC_R035,AC_R036,AC_R037,AC_R038,AC_R039,AC_R040,AC_R041,AC_R042,AC_R043,AC_R044,AC_R045)&amp;". Dueño: "&amp;CHOOSE(MATCH(A330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DU_R001,DU_R002,DU_R003,DU_R004,DU_R005,DU_R006,DU_R007,DU_R008,DU_R009,DU_R010,DU_R011,DU_R012,DU_R013,DU_R014,DU_R015,DU_R016,DU_R017,DU_R018,DU_R019,DU_R020,DU_R021,DU_R022,DU_R023,DU_R024,DU_R025,DU_R026,DU_R027,DU_R028,DU_R029,DU_R030,DU_R031,DU_R032,DU_R033,DU_R034,DU_R035,DU_R036,DU_R037,DU_R038,DU_R039,DU_R040,DU_R041,DU_R042,DU_R043,DU_R044,DU_R045)&amp;". Disparador: "&amp;CHOOSE(MATCH(A330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DP_R001,DP_R002,DP_R003,DP_R004,DP_R005,DP_R006,DP_R007,DP_R008,DP_R009,DP_R010,DP_R011,DP_R012,DP_R013,DP_R014,DP_R015,DP_R016,DP_R017,DP_R018,DP_R019,DP_R020,DP_R021,DP_R022,DP_R023,DP_R024,DP_R025,DP_R026,DP_R027,DP_R028,DP_R029,DP_R030,DP_R031,DP_R032,DP_R033,DP_R034,DP_R035,DP_R036,DP_R037,DP_R038,DP_R039,DP_R040,DP_R041,DP_R042,DP_R043,DP_R044,DP_R045)&amp;". Validar: "&amp;CHOOSE(MATCH(A330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VF_R001,VF_R002,VF_R003,VF_R004,VF_R005,VF_R006,VF_R007,VF_R008,VF_R009,VF_R010,VF_R011,VF_R012,VF_R013,VF_R014,VF_R015,VF_R016,VF_R017,VF_R018,VF_R019,VF_R020,VF_R021,VF_R022,VF_R023,VF_R024,VF_R025,VF_R026,VF_R027,VF_R028,VF_R029,VF_R030,VF_R031,VF_R032,VF_R033,VF_R034,VF_R035,VF_R036,VF_R037,VF_R038,VF_R039,VF_R040,VF_R041,VF_R042,VF_R043,VF_R044,VF_R045)</x:f>
        <x:v>Validar rutas por zona y atributos físicos; comparar proveedor GIS y ruta conocida con conductor. Dueño: Bastián Trejo. Disparador: Dirección no ubicable o restricción de peso/volumen violada. Validar: Catálogo de restricciones aprobado y planificación con corrección auditada, incluso sin señal</x:v>
      </x:c>
      <x:c r="C330" s="14"/>
      <x:c r="D330" s="14"/>
      <x:c r="E330" s="60" t="str">
        <x:f>CHOOSE(MATCH(A330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MA_R001,MA_R002,MA_R003,MA_R004,MA_R005,MA_R006,MA_R007,MA_R008,MA_R009,MA_R010,MA_R011,MA_R012,MA_R013,MA_R014,MA_R015,MA_R016,MA_R017,MA_R018,MA_R019,MA_R020,MA_R021,MA_R022,MA_R023,MA_R024,MA_R025,MA_R026,MA_R027,MA_R028,MA_R029,MA_R030,MA_R031,MA_R032,MA_R033,MA_R034,MA_R035,MA_R036,MA_R037,MA_R038,MA_R039,MA_R040,MA_R041,MA_R042,MA_R043,MA_R044,MA_R045)</x:f>
        <x:v>Pendiente</x:v>
      </x:c>
      <x:c r="F330" s="14" t="str">
        <x:f>CHOOSE(MATCH(A330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ET_R001,ET_R002,ET_R003,ET_R004,ET_R005,ET_R006,ET_R007,ET_R008,ET_R009,ET_R010,ET_R011,ET_R012,ET_R013,ET_R014,ET_R015,ET_R016,ET_R017,ET_R018,ET_R019,ET_R020,ET_R021,ET_R022,ET_R023,ET_R024,ET_R025,ET_R026,ET_R027,ET_R028,ET_R029,ET_R030,ET_R031,ET_R032,ET_R033,ET_R034,ET_R035,ET_R036,ET_R037,ET_R038,ET_R039,ET_R040,ET_R041,ET_R042,ET_R043,ET_R044,ET_R045)</x:f>
        <x:v>Implementación</x:v>
      </x:c>
      <x:c r="G330" s="14"/>
    </x:row>
    <x:row r="331" ht="96" customHeight="1">
      <x:c r="A331" s="16" t="str">
        <x:f>B273</x:f>
        <x:v>R-007</x:v>
      </x:c>
      <x:c r="B331" s="16" t="str">
        <x:f>CHOOSE(MATCH(A331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AC_R001,AC_R002,AC_R003,AC_R004,AC_R005,AC_R006,AC_R007,AC_R008,AC_R009,AC_R010,AC_R011,AC_R012,AC_R013,AC_R014,AC_R015,AC_R016,AC_R017,AC_R018,AC_R019,AC_R020,AC_R021,AC_R022,AC_R023,AC_R024,AC_R025,AC_R026,AC_R027,AC_R028,AC_R029,AC_R030,AC_R031,AC_R032,AC_R033,AC_R034,AC_R035,AC_R036,AC_R037,AC_R038,AC_R039,AC_R040,AC_R041,AC_R042,AC_R043,AC_R044,AC_R045)&amp;". Dueño: "&amp;CHOOSE(MATCH(A331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DU_R001,DU_R002,DU_R003,DU_R004,DU_R005,DU_R006,DU_R007,DU_R008,DU_R009,DU_R010,DU_R011,DU_R012,DU_R013,DU_R014,DU_R015,DU_R016,DU_R017,DU_R018,DU_R019,DU_R020,DU_R021,DU_R022,DU_R023,DU_R024,DU_R025,DU_R026,DU_R027,DU_R028,DU_R029,DU_R030,DU_R031,DU_R032,DU_R033,DU_R034,DU_R035,DU_R036,DU_R037,DU_R038,DU_R039,DU_R040,DU_R041,DU_R042,DU_R043,DU_R044,DU_R045)&amp;". Disparador: "&amp;CHOOSE(MATCH(A331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DP_R001,DP_R002,DP_R003,DP_R004,DP_R005,DP_R006,DP_R007,DP_R008,DP_R009,DP_R010,DP_R011,DP_R012,DP_R013,DP_R014,DP_R015,DP_R016,DP_R017,DP_R018,DP_R019,DP_R020,DP_R021,DP_R022,DP_R023,DP_R024,DP_R025,DP_R026,DP_R027,DP_R028,DP_R029,DP_R030,DP_R031,DP_R032,DP_R033,DP_R034,DP_R035,DP_R036,DP_R037,DP_R038,DP_R039,DP_R040,DP_R041,DP_R042,DP_R043,DP_R044,DP_R045)&amp;". Validar: "&amp;CHOOSE(MATCH(A331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VF_R001,VF_R002,VF_R003,VF_R004,VF_R005,VF_R006,VF_R007,VF_R008,VF_R009,VF_R010,VF_R011,VF_R012,VF_R013,VF_R014,VF_R015,VF_R016,VF_R017,VF_R018,VF_R019,VF_R020,VF_R021,VF_R022,VF_R023,VF_R024,VF_R025,VF_R026,VF_R027,VF_R028,VF_R029,VF_R030,VF_R031,VF_R032,VF_R033,VF_R034,VF_R035,VF_R036,VF_R037,VF_R038,VF_R039,VF_R040,VF_R041,VF_R042,VF_R043,VF_R044,VF_R045)</x:f>
        <x:v>Medir cobertura nocturna y ensayar las transferencias con corte y reposición de enlace. Dueño: Guillermo Castillo. Disparador: Una transferencia depende de una llamada central durante el corte. Validar: Acta nocturna por plataforma, cola durable y conciliación dentro de 2 h</x:v>
      </x:c>
      <x:c r="C331" s="16"/>
      <x:c r="D331" s="16"/>
      <x:c r="E331" s="60" t="str">
        <x:f>CHOOSE(MATCH(A331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MA_R001,MA_R002,MA_R003,MA_R004,MA_R005,MA_R006,MA_R007,MA_R008,MA_R009,MA_R010,MA_R011,MA_R012,MA_R013,MA_R014,MA_R015,MA_R016,MA_R017,MA_R018,MA_R019,MA_R020,MA_R021,MA_R022,MA_R023,MA_R024,MA_R025,MA_R026,MA_R027,MA_R028,MA_R029,MA_R030,MA_R031,MA_R032,MA_R033,MA_R034,MA_R035,MA_R036,MA_R037,MA_R038,MA_R039,MA_R040,MA_R041,MA_R042,MA_R043,MA_R044,MA_R045)</x:f>
        <x:v>Pendiente</x:v>
      </x:c>
      <x:c r="F331" s="16" t="str">
        <x:f>CHOOSE(MATCH(A331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ET_R001,ET_R002,ET_R003,ET_R004,ET_R005,ET_R006,ET_R007,ET_R008,ET_R009,ET_R010,ET_R011,ET_R012,ET_R013,ET_R014,ET_R015,ET_R016,ET_R017,ET_R018,ET_R019,ET_R020,ET_R021,ET_R022,ET_R023,ET_R024,ET_R025,ET_R026,ET_R027,ET_R028,ET_R029,ET_R030,ET_R031,ET_R032,ET_R033,ET_R034,ET_R035,ET_R036,ET_R037,ET_R038,ET_R039,ET_R040,ET_R041,ET_R042,ET_R043,ET_R044,ET_R045)</x:f>
        <x:v>Implementación</x:v>
      </x:c>
      <x:c r="G331" s="16"/>
    </x:row>
    <x:row r="332" ht="96" customHeight="1">
      <x:c r="A332" s="14" t="str">
        <x:f>B274</x:f>
        <x:v>R-003</x:v>
      </x:c>
      <x:c r="B332" s="14" t="str">
        <x:f>CHOOSE(MATCH(A332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AC_R001,AC_R002,AC_R003,AC_R004,AC_R005,AC_R006,AC_R007,AC_R008,AC_R009,AC_R010,AC_R011,AC_R012,AC_R013,AC_R014,AC_R015,AC_R016,AC_R017,AC_R018,AC_R019,AC_R020,AC_R021,AC_R022,AC_R023,AC_R024,AC_R025,AC_R026,AC_R027,AC_R028,AC_R029,AC_R030,AC_R031,AC_R032,AC_R033,AC_R034,AC_R035,AC_R036,AC_R037,AC_R038,AC_R039,AC_R040,AC_R041,AC_R042,AC_R043,AC_R044,AC_R045)&amp;". Dueño: "&amp;CHOOSE(MATCH(A332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DU_R001,DU_R002,DU_R003,DU_R004,DU_R005,DU_R006,DU_R007,DU_R008,DU_R009,DU_R010,DU_R011,DU_R012,DU_R013,DU_R014,DU_R015,DU_R016,DU_R017,DU_R018,DU_R019,DU_R020,DU_R021,DU_R022,DU_R023,DU_R024,DU_R025,DU_R026,DU_R027,DU_R028,DU_R029,DU_R030,DU_R031,DU_R032,DU_R033,DU_R034,DU_R035,DU_R036,DU_R037,DU_R038,DU_R039,DU_R040,DU_R041,DU_R042,DU_R043,DU_R044,DU_R045)&amp;". Disparador: "&amp;CHOOSE(MATCH(A332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DP_R001,DP_R002,DP_R003,DP_R004,DP_R005,DP_R006,DP_R007,DP_R008,DP_R009,DP_R010,DP_R011,DP_R012,DP_R013,DP_R014,DP_R015,DP_R016,DP_R017,DP_R018,DP_R019,DP_R020,DP_R021,DP_R022,DP_R023,DP_R024,DP_R025,DP_R026,DP_R027,DP_R028,DP_R029,DP_R030,DP_R031,DP_R032,DP_R033,DP_R034,DP_R035,DP_R036,DP_R037,DP_R038,DP_R039,DP_R040,DP_R041,DP_R042,DP_R043,DP_R044,DP_R045)&amp;". Validar: "&amp;CHOOSE(MATCH(A332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VF_R001,VF_R002,VF_R003,VF_R004,VF_R005,VF_R006,VF_R007,VF_R008,VF_R009,VF_R010,VF_R011,VF_R012,VF_R013,VF_R014,VF_R015,VF_R016,VF_R017,VF_R018,VF_R019,VF_R020,VF_R021,VF_R022,VF_R023,VF_R024,VF_R025,VF_R026,VF_R027,VF_R028,VF_R029,VF_R030,VF_R031,VF_R032,VF_R033,VF_R034,VF_R035,VF_R036,VF_R037,VF_R038,VF_R039,VF_R040,VF_R041,VF_R042,VF_R043,VF_R044,VF_R045)</x:f>
        <x:v>Ejecutar un ensayo adicional de delta y reversión con pendientes de recepción, picking y retornos. Dueño: Leandro Chamorro. Disparador: Una diferencia de saldo o tarea queda sin explicación al ensayo. Validar: Conciliación aprobada por bodega y Finanzas; rollback restaura estado sin doble operación</x:v>
      </x:c>
      <x:c r="C332" s="14"/>
      <x:c r="D332" s="14"/>
      <x:c r="E332" s="60" t="str">
        <x:f>CHOOSE(MATCH(A332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MA_R001,MA_R002,MA_R003,MA_R004,MA_R005,MA_R006,MA_R007,MA_R008,MA_R009,MA_R010,MA_R011,MA_R012,MA_R013,MA_R014,MA_R015,MA_R016,MA_R017,MA_R018,MA_R019,MA_R020,MA_R021,MA_R022,MA_R023,MA_R024,MA_R025,MA_R026,MA_R027,MA_R028,MA_R029,MA_R030,MA_R031,MA_R032,MA_R033,MA_R034,MA_R035,MA_R036,MA_R037,MA_R038,MA_R039,MA_R040,MA_R041,MA_R042,MA_R043,MA_R044,MA_R045)</x:f>
        <x:v>Pendiente</x:v>
      </x:c>
      <x:c r="F332" s="14" t="str">
        <x:f>CHOOSE(MATCH(A332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ET_R001,ET_R002,ET_R003,ET_R004,ET_R005,ET_R006,ET_R007,ET_R008,ET_R009,ET_R010,ET_R011,ET_R012,ET_R013,ET_R014,ET_R015,ET_R016,ET_R017,ET_R018,ET_R019,ET_R020,ET_R021,ET_R022,ET_R023,ET_R024,ET_R025,ET_R026,ET_R027,ET_R028,ET_R029,ET_R030,ET_R031,ET_R032,ET_R033,ET_R034,ET_R035,ET_R036,ET_R037,ET_R038,ET_R039,ET_R040,ET_R041,ET_R042,ET_R043,ET_R044,ET_R045)</x:f>
        <x:v>Implantación</x:v>
      </x:c>
      <x:c r="G332" s="14"/>
    </x:row>
    <x:row r="333" ht="96" customHeight="1">
      <x:c r="A333" s="16" t="str">
        <x:f>B275</x:f>
        <x:v>R-018</x:v>
      </x:c>
      <x:c r="B333" s="16" t="str">
        <x:f>CHOOSE(MATCH(A333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AC_R001,AC_R002,AC_R003,AC_R004,AC_R005,AC_R006,AC_R007,AC_R008,AC_R009,AC_R010,AC_R011,AC_R012,AC_R013,AC_R014,AC_R015,AC_R016,AC_R017,AC_R018,AC_R019,AC_R020,AC_R021,AC_R022,AC_R023,AC_R024,AC_R025,AC_R026,AC_R027,AC_R028,AC_R029,AC_R030,AC_R031,AC_R032,AC_R033,AC_R034,AC_R035,AC_R036,AC_R037,AC_R038,AC_R039,AC_R040,AC_R041,AC_R042,AC_R043,AC_R044,AC_R045)&amp;". Dueño: "&amp;CHOOSE(MATCH(A333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DU_R001,DU_R002,DU_R003,DU_R004,DU_R005,DU_R006,DU_R007,DU_R008,DU_R009,DU_R010,DU_R011,DU_R012,DU_R013,DU_R014,DU_R015,DU_R016,DU_R017,DU_R018,DU_R019,DU_R020,DU_R021,DU_R022,DU_R023,DU_R024,DU_R025,DU_R026,DU_R027,DU_R028,DU_R029,DU_R030,DU_R031,DU_R032,DU_R033,DU_R034,DU_R035,DU_R036,DU_R037,DU_R038,DU_R039,DU_R040,DU_R041,DU_R042,DU_R043,DU_R044,DU_R045)&amp;". Disparador: "&amp;CHOOSE(MATCH(A333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DP_R001,DP_R002,DP_R003,DP_R004,DP_R005,DP_R006,DP_R007,DP_R008,DP_R009,DP_R010,DP_R011,DP_R012,DP_R013,DP_R014,DP_R015,DP_R016,DP_R017,DP_R018,DP_R019,DP_R020,DP_R021,DP_R022,DP_R023,DP_R024,DP_R025,DP_R026,DP_R027,DP_R028,DP_R029,DP_R030,DP_R031,DP_R032,DP_R033,DP_R034,DP_R035,DP_R036,DP_R037,DP_R038,DP_R039,DP_R040,DP_R041,DP_R042,DP_R043,DP_R044,DP_R045)&amp;". Validar: "&amp;CHOOSE(MATCH(A333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VF_R001,VF_R002,VF_R003,VF_R004,VF_R005,VF_R006,VF_R007,VF_R008,VF_R009,VF_R010,VF_R011,VF_R012,VF_R013,VF_R014,VF_R015,VF_R016,VF_R017,VF_R018,VF_R019,VF_R020,VF_R021,VF_R022,VF_R023,VF_R024,VF_R025,VF_R026,VF_R027,VF_R028,VF_R029,VF_R030,VF_R031,VF_R032,VF_R033,VF_R034,VF_R035,VF_R036,VF_R037,VF_R038,VF_R039,VF_R040,VF_R041,VF_R042,VF_R043,VF_R044,VF_R045)</x:f>
        <x:v>Probar alta, baja y conductor suplente por cada empresa; pactar obligación de informar reemplazos. Dueño: Patricio Henríquez. Disparador: Conductor de reemplazo llega sin autorización o capacitación. Validar: Diez acuerdos y prueba de enrolamiento/soporte que no detenga reparto</x:v>
      </x:c>
      <x:c r="C333" s="16"/>
      <x:c r="D333" s="16"/>
      <x:c r="E333" s="60" t="str">
        <x:f>CHOOSE(MATCH(A333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MA_R001,MA_R002,MA_R003,MA_R004,MA_R005,MA_R006,MA_R007,MA_R008,MA_R009,MA_R010,MA_R011,MA_R012,MA_R013,MA_R014,MA_R015,MA_R016,MA_R017,MA_R018,MA_R019,MA_R020,MA_R021,MA_R022,MA_R023,MA_R024,MA_R025,MA_R026,MA_R027,MA_R028,MA_R029,MA_R030,MA_R031,MA_R032,MA_R033,MA_R034,MA_R035,MA_R036,MA_R037,MA_R038,MA_R039,MA_R040,MA_R041,MA_R042,MA_R043,MA_R044,MA_R045)</x:f>
        <x:v>Pendiente</x:v>
      </x:c>
      <x:c r="F333" s="16" t="str">
        <x:f>CHOOSE(MATCH(A333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ET_R001,ET_R002,ET_R003,ET_R004,ET_R005,ET_R006,ET_R007,ET_R008,ET_R009,ET_R010,ET_R011,ET_R012,ET_R013,ET_R014,ET_R015,ET_R016,ET_R017,ET_R018,ET_R019,ET_R020,ET_R021,ET_R022,ET_R023,ET_R024,ET_R025,ET_R026,ET_R027,ET_R028,ET_R029,ET_R030,ET_R031,ET_R032,ET_R033,ET_R034,ET_R035,ET_R036,ET_R037,ET_R038,ET_R039,ET_R040,ET_R041,ET_R042,ET_R043,ET_R044,ET_R045)</x:f>
        <x:v>Implantación</x:v>
      </x:c>
      <x:c r="G333" s="16"/>
    </x:row>
    <x:row r="334" ht="96" customHeight="1">
      <x:c r="A334" s="14" t="str">
        <x:f>B276</x:f>
        <x:v>R-026</x:v>
      </x:c>
      <x:c r="B334" s="14" t="str">
        <x:f>CHOOSE(MATCH(A334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AC_R001,AC_R002,AC_R003,AC_R004,AC_R005,AC_R006,AC_R007,AC_R008,AC_R009,AC_R010,AC_R011,AC_R012,AC_R013,AC_R014,AC_R015,AC_R016,AC_R017,AC_R018,AC_R019,AC_R020,AC_R021,AC_R022,AC_R023,AC_R024,AC_R025,AC_R026,AC_R027,AC_R028,AC_R029,AC_R030,AC_R031,AC_R032,AC_R033,AC_R034,AC_R035,AC_R036,AC_R037,AC_R038,AC_R039,AC_R040,AC_R041,AC_R042,AC_R043,AC_R044,AC_R045)&amp;". Dueño: "&amp;CHOOSE(MATCH(A334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DU_R001,DU_R002,DU_R003,DU_R004,DU_R005,DU_R006,DU_R007,DU_R008,DU_R009,DU_R010,DU_R011,DU_R012,DU_R013,DU_R014,DU_R015,DU_R016,DU_R017,DU_R018,DU_R019,DU_R020,DU_R021,DU_R022,DU_R023,DU_R024,DU_R025,DU_R026,DU_R027,DU_R028,DU_R029,DU_R030,DU_R031,DU_R032,DU_R033,DU_R034,DU_R035,DU_R036,DU_R037,DU_R038,DU_R039,DU_R040,DU_R041,DU_R042,DU_R043,DU_R044,DU_R045)&amp;". Disparador: "&amp;CHOOSE(MATCH(A334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DP_R001,DP_R002,DP_R003,DP_R004,DP_R005,DP_R006,DP_R007,DP_R008,DP_R009,DP_R010,DP_R011,DP_R012,DP_R013,DP_R014,DP_R015,DP_R016,DP_R017,DP_R018,DP_R019,DP_R020,DP_R021,DP_R022,DP_R023,DP_R024,DP_R025,DP_R026,DP_R027,DP_R028,DP_R029,DP_R030,DP_R031,DP_R032,DP_R033,DP_R034,DP_R035,DP_R036,DP_R037,DP_R038,DP_R039,DP_R040,DP_R041,DP_R042,DP_R043,DP_R044,DP_R045)&amp;". Validar: "&amp;CHOOSE(MATCH(A334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VF_R001,VF_R002,VF_R003,VF_R004,VF_R005,VF_R006,VF_R007,VF_R008,VF_R009,VF_R010,VF_R011,VF_R012,VF_R013,VF_R014,VF_R015,VF_R016,VF_R017,VF_R018,VF_R019,VF_R020,VF_R021,VF_R022,VF_R023,VF_R024,VF_R025,VF_R026,VF_R027,VF_R028,VF_R029,VF_R030,VF_R031,VF_R032,VF_R033,VF_R034,VF_R035,VF_R036,VF_R037,VF_R038,VF_R039,VF_R040,VF_R041,VF_R042,VF_R043,VF_R044,VF_R045)</x:f>
        <x:v>Revisar evidencia con contraparte antes del hito y ejecutar ensayo de go/no-go. Dueño: Maximiliano Miño. Disparador: Incidente alto abierto, diferencia sin explicar o acta pendiente. Validar: Checklist de seis condiciones con evidencia; ninguna firma ni prueba se presume</x:v>
      </x:c>
      <x:c r="C334" s="14"/>
      <x:c r="D334" s="14"/>
      <x:c r="E334" s="60" t="str">
        <x:f>CHOOSE(MATCH(A334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MA_R001,MA_R002,MA_R003,MA_R004,MA_R005,MA_R006,MA_R007,MA_R008,MA_R009,MA_R010,MA_R011,MA_R012,MA_R013,MA_R014,MA_R015,MA_R016,MA_R017,MA_R018,MA_R019,MA_R020,MA_R021,MA_R022,MA_R023,MA_R024,MA_R025,MA_R026,MA_R027,MA_R028,MA_R029,MA_R030,MA_R031,MA_R032,MA_R033,MA_R034,MA_R035,MA_R036,MA_R037,MA_R038,MA_R039,MA_R040,MA_R041,MA_R042,MA_R043,MA_R044,MA_R045)</x:f>
        <x:v>Pendiente</x:v>
      </x:c>
      <x:c r="F334" s="14" t="str">
        <x:f>CHOOSE(MATCH(A334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ET_R001,ET_R002,ET_R003,ET_R004,ET_R005,ET_R006,ET_R007,ET_R008,ET_R009,ET_R010,ET_R011,ET_R012,ET_R013,ET_R014,ET_R015,ET_R016,ET_R017,ET_R018,ET_R019,ET_R020,ET_R021,ET_R022,ET_R023,ET_R024,ET_R025,ET_R026,ET_R027,ET_R028,ET_R029,ET_R030,ET_R031,ET_R032,ET_R033,ET_R034,ET_R035,ET_R036,ET_R037,ET_R038,ET_R039,ET_R040,ET_R041,ET_R042,ET_R043,ET_R044,ET_R045)</x:f>
        <x:v>Implantación</x:v>
      </x:c>
      <x:c r="G334" s="14"/>
    </x:row>
    <x:row r="335" ht="96" customHeight="1">
      <x:c r="A335" s="16" t="str">
        <x:f>B277</x:f>
        <x:v>R-038</x:v>
      </x:c>
      <x:c r="B335" s="16" t="str">
        <x:f>CHOOSE(MATCH(A335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AC_R001,AC_R002,AC_R003,AC_R004,AC_R005,AC_R006,AC_R007,AC_R008,AC_R009,AC_R010,AC_R011,AC_R012,AC_R013,AC_R014,AC_R015,AC_R016,AC_R017,AC_R018,AC_R019,AC_R020,AC_R021,AC_R022,AC_R023,AC_R024,AC_R025,AC_R026,AC_R027,AC_R028,AC_R029,AC_R030,AC_R031,AC_R032,AC_R033,AC_R034,AC_R035,AC_R036,AC_R037,AC_R038,AC_R039,AC_R040,AC_R041,AC_R042,AC_R043,AC_R044,AC_R045)&amp;". Dueño: "&amp;CHOOSE(MATCH(A335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DU_R001,DU_R002,DU_R003,DU_R004,DU_R005,DU_R006,DU_R007,DU_R008,DU_R009,DU_R010,DU_R011,DU_R012,DU_R013,DU_R014,DU_R015,DU_R016,DU_R017,DU_R018,DU_R019,DU_R020,DU_R021,DU_R022,DU_R023,DU_R024,DU_R025,DU_R026,DU_R027,DU_R028,DU_R029,DU_R030,DU_R031,DU_R032,DU_R033,DU_R034,DU_R035,DU_R036,DU_R037,DU_R038,DU_R039,DU_R040,DU_R041,DU_R042,DU_R043,DU_R044,DU_R045)&amp;". Disparador: "&amp;CHOOSE(MATCH(A335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DP_R001,DP_R002,DP_R003,DP_R004,DP_R005,DP_R006,DP_R007,DP_R008,DP_R009,DP_R010,DP_R011,DP_R012,DP_R013,DP_R014,DP_R015,DP_R016,DP_R017,DP_R018,DP_R019,DP_R020,DP_R021,DP_R022,DP_R023,DP_R024,DP_R025,DP_R026,DP_R027,DP_R028,DP_R029,DP_R030,DP_R031,DP_R032,DP_R033,DP_R034,DP_R035,DP_R036,DP_R037,DP_R038,DP_R039,DP_R040,DP_R041,DP_R042,DP_R043,DP_R044,DP_R045)&amp;". Validar: "&amp;CHOOSE(MATCH(A335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VF_R001,VF_R002,VF_R003,VF_R004,VF_R005,VF_R006,VF_R007,VF_R008,VF_R009,VF_R010,VF_R011,VF_R012,VF_R013,VF_R014,VF_R015,VF_R016,VF_R017,VF_R018,VF_R019,VF_R020,VF_R021,VF_R022,VF_R023,VF_R024,VF_R025,VF_R026,VF_R027,VF_R028,VF_R029,VF_R030,VF_R031,VF_R032,VF_R033,VF_R034,VF_R035,VF_R036,VF_R037,VF_R038,VF_R039,VF_R040,VF_R041,VF_R042,VF_R043,VF_R044,VF_R045)</x:f>
        <x:v>Validar por familia contra evidencia del proveedor; mantener modo informativo hasta aceptación. Dueño: Maximiliano Miño. Disparador: Modelo sin parámetros aprobados o serie térmica incompleta. Validar: Validación de Calidad/proveedor; innovación nunca libera ni amplía vencimiento automáticamente</x:v>
      </x:c>
      <x:c r="C335" s="16"/>
      <x:c r="D335" s="16"/>
      <x:c r="E335" s="60" t="str">
        <x:f>CHOOSE(MATCH(A335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MA_R001,MA_R002,MA_R003,MA_R004,MA_R005,MA_R006,MA_R007,MA_R008,MA_R009,MA_R010,MA_R011,MA_R012,MA_R013,MA_R014,MA_R015,MA_R016,MA_R017,MA_R018,MA_R019,MA_R020,MA_R021,MA_R022,MA_R023,MA_R024,MA_R025,MA_R026,MA_R027,MA_R028,MA_R029,MA_R030,MA_R031,MA_R032,MA_R033,MA_R034,MA_R035,MA_R036,MA_R037,MA_R038,MA_R039,MA_R040,MA_R041,MA_R042,MA_R043,MA_R044,MA_R045)</x:f>
        <x:v>Pendiente</x:v>
      </x:c>
      <x:c r="F335" s="16" t="str">
        <x:f>CHOOSE(MATCH(A335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ET_R001,ET_R002,ET_R003,ET_R004,ET_R005,ET_R006,ET_R007,ET_R008,ET_R009,ET_R010,ET_R011,ET_R012,ET_R013,ET_R014,ET_R015,ET_R016,ET_R017,ET_R018,ET_R019,ET_R020,ET_R021,ET_R022,ET_R023,ET_R024,ET_R025,ET_R026,ET_R027,ET_R028,ET_R029,ET_R030,ET_R031,ET_R032,ET_R033,ET_R034,ET_R035,ET_R036,ET_R037,ET_R038,ET_R039,ET_R040,ET_R041,ET_R042,ET_R043,ET_R044,ET_R045)</x:f>
        <x:v>Implementación</x:v>
      </x:c>
      <x:c r="G335" s="16"/>
    </x:row>
    <x:row r="336" ht="96" customHeight="1">
      <x:c r="A336" s="14" t="str">
        <x:f>B278</x:f>
        <x:v>R-042</x:v>
      </x:c>
      <x:c r="B336" s="14" t="str">
        <x:f>CHOOSE(MATCH(A336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AC_R001,AC_R002,AC_R003,AC_R004,AC_R005,AC_R006,AC_R007,AC_R008,AC_R009,AC_R010,AC_R011,AC_R012,AC_R013,AC_R014,AC_R015,AC_R016,AC_R017,AC_R018,AC_R019,AC_R020,AC_R021,AC_R022,AC_R023,AC_R024,AC_R025,AC_R026,AC_R027,AC_R028,AC_R029,AC_R030,AC_R031,AC_R032,AC_R033,AC_R034,AC_R035,AC_R036,AC_R037,AC_R038,AC_R039,AC_R040,AC_R041,AC_R042,AC_R043,AC_R044,AC_R045)&amp;". Dueño: "&amp;CHOOSE(MATCH(A336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DU_R001,DU_R002,DU_R003,DU_R004,DU_R005,DU_R006,DU_R007,DU_R008,DU_R009,DU_R010,DU_R011,DU_R012,DU_R013,DU_R014,DU_R015,DU_R016,DU_R017,DU_R018,DU_R019,DU_R020,DU_R021,DU_R022,DU_R023,DU_R024,DU_R025,DU_R026,DU_R027,DU_R028,DU_R029,DU_R030,DU_R031,DU_R032,DU_R033,DU_R034,DU_R035,DU_R036,DU_R037,DU_R038,DU_R039,DU_R040,DU_R041,DU_R042,DU_R043,DU_R044,DU_R045)&amp;". Disparador: "&amp;CHOOSE(MATCH(A336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DP_R001,DP_R002,DP_R003,DP_R004,DP_R005,DP_R006,DP_R007,DP_R008,DP_R009,DP_R010,DP_R011,DP_R012,DP_R013,DP_R014,DP_R015,DP_R016,DP_R017,DP_R018,DP_R019,DP_R020,DP_R021,DP_R022,DP_R023,DP_R024,DP_R025,DP_R026,DP_R027,DP_R028,DP_R029,DP_R030,DP_R031,DP_R032,DP_R033,DP_R034,DP_R035,DP_R036,DP_R037,DP_R038,DP_R039,DP_R040,DP_R041,DP_R042,DP_R043,DP_R044,DP_R045)&amp;". Validar: "&amp;CHOOSE(MATCH(A336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VF_R001,VF_R002,VF_R003,VF_R004,VF_R005,VF_R006,VF_R007,VF_R008,VF_R009,VF_R010,VF_R011,VF_R012,VF_R013,VF_R014,VF_R015,VF_R016,VF_R017,VF_R018,VF_R019,VF_R020,VF_R021,VF_R022,VF_R023,VF_R024,VF_R025,VF_R026,VF_R027,VF_R028,VF_R029,VF_R030,VF_R031,VF_R032,VF_R033,VF_R034,VF_R035,VF_R036,VF_R037,VF_R038,VF_R039,VF_R040,VF_R041,VF_R042,VF_R043,VF_R044,VF_R045)</x:f>
        <x:v>Revisar normativa aplicable con asesor competente y ensayar purga con expediente retenido. Dueño: Álvaro Catalán. Disparador: Nueva exigencia afecta dato tratado o purga elimina evidencia vigente. Validar: Matriz legal actualizada y ensayo de supresión sin reconstrucción; no se certifica legalidad con esta planilla</x:v>
      </x:c>
      <x:c r="C336" s="14"/>
      <x:c r="D336" s="14"/>
      <x:c r="E336" s="60" t="str">
        <x:f>CHOOSE(MATCH(A336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MA_R001,MA_R002,MA_R003,MA_R004,MA_R005,MA_R006,MA_R007,MA_R008,MA_R009,MA_R010,MA_R011,MA_R012,MA_R013,MA_R014,MA_R015,MA_R016,MA_R017,MA_R018,MA_R019,MA_R020,MA_R021,MA_R022,MA_R023,MA_R024,MA_R025,MA_R026,MA_R027,MA_R028,MA_R029,MA_R030,MA_R031,MA_R032,MA_R033,MA_R034,MA_R035,MA_R036,MA_R037,MA_R038,MA_R039,MA_R040,MA_R041,MA_R042,MA_R043,MA_R044,MA_R045)</x:f>
        <x:v>Pendiente</x:v>
      </x:c>
      <x:c r="F336" s="14" t="str">
        <x:f>CHOOSE(MATCH(A336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ET_R001,ET_R002,ET_R003,ET_R004,ET_R005,ET_R006,ET_R007,ET_R008,ET_R009,ET_R010,ET_R011,ET_R012,ET_R013,ET_R014,ET_R015,ET_R016,ET_R017,ET_R018,ET_R019,ET_R020,ET_R021,ET_R022,ET_R023,ET_R024,ET_R025,ET_R026,ET_R027,ET_R028,ET_R029,ET_R030,ET_R031,ET_R032,ET_R033,ET_R034,ET_R035,ET_R036,ET_R037,ET_R038,ET_R039,ET_R040,ET_R041,ET_R042,ET_R043,ET_R044,ET_R045)</x:f>
        <x:v>Operación</x:v>
      </x:c>
      <x:c r="G336" s="14"/>
    </x:row>
    <x:row r="337" ht="96" customHeight="1">
      <x:c r="A337" s="16" t="str">
        <x:f>B279</x:f>
        <x:v>R-010</x:v>
      </x:c>
      <x:c r="B337" s="16" t="str">
        <x:f>CHOOSE(MATCH(A337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AC_R001,AC_R002,AC_R003,AC_R004,AC_R005,AC_R006,AC_R007,AC_R008,AC_R009,AC_R010,AC_R011,AC_R012,AC_R013,AC_R014,AC_R015,AC_R016,AC_R017,AC_R018,AC_R019,AC_R020,AC_R021,AC_R022,AC_R023,AC_R024,AC_R025,AC_R026,AC_R027,AC_R028,AC_R029,AC_R030,AC_R031,AC_R032,AC_R033,AC_R034,AC_R035,AC_R036,AC_R037,AC_R038,AC_R039,AC_R040,AC_R041,AC_R042,AC_R043,AC_R044,AC_R045)&amp;". Dueño: "&amp;CHOOSE(MATCH(A337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DU_R001,DU_R002,DU_R003,DU_R004,DU_R005,DU_R006,DU_R007,DU_R008,DU_R009,DU_R010,DU_R011,DU_R012,DU_R013,DU_R014,DU_R015,DU_R016,DU_R017,DU_R018,DU_R019,DU_R020,DU_R021,DU_R022,DU_R023,DU_R024,DU_R025,DU_R026,DU_R027,DU_R028,DU_R029,DU_R030,DU_R031,DU_R032,DU_R033,DU_R034,DU_R035,DU_R036,DU_R037,DU_R038,DU_R039,DU_R040,DU_R041,DU_R042,DU_R043,DU_R044,DU_R045)&amp;". Disparador: "&amp;CHOOSE(MATCH(A337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DP_R001,DP_R002,DP_R003,DP_R004,DP_R005,DP_R006,DP_R007,DP_R008,DP_R009,DP_R010,DP_R011,DP_R012,DP_R013,DP_R014,DP_R015,DP_R016,DP_R017,DP_R018,DP_R019,DP_R020,DP_R021,DP_R022,DP_R023,DP_R024,DP_R025,DP_R026,DP_R027,DP_R028,DP_R029,DP_R030,DP_R031,DP_R032,DP_R033,DP_R034,DP_R035,DP_R036,DP_R037,DP_R038,DP_R039,DP_R040,DP_R041,DP_R042,DP_R043,DP_R044,DP_R045)&amp;". Validar: "&amp;CHOOSE(MATCH(A337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VF_R001,VF_R002,VF_R003,VF_R004,VF_R005,VF_R006,VF_R007,VF_R008,VF_R009,VF_R010,VF_R011,VF_R012,VF_R013,VF_R014,VF_R015,VF_R016,VF_R017,VF_R018,VF_R019,VF_R020,VF_R021,VF_R022,VF_R023,VF_R024,VF_R025,VF_R026,VF_R027,VF_R028,VF_R029,VF_R030,VF_R031,VF_R032,VF_R033,VF_R034,VF_R035,VF_R036,VF_R037,VF_R038,VF_R039,VF_R040,VF_R041,VF_R042,VF_R043,VF_R044,VF_R045)</x:f>
        <x:v>Validar una unidad por tipo en cámara, con guantes, condensación y ciclo entrada/salida. Dueño: Bastián Trejo. Disparador: Modelo o accesorio no tiene rango acreditado o falla en ensayo. Validar: Ficha exacta y prueba funcional completa antes de compra masiva</x:v>
      </x:c>
      <x:c r="C337" s="16"/>
      <x:c r="D337" s="16"/>
      <x:c r="E337" s="60" t="str">
        <x:f>CHOOSE(MATCH(A337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MA_R001,MA_R002,MA_R003,MA_R004,MA_R005,MA_R006,MA_R007,MA_R008,MA_R009,MA_R010,MA_R011,MA_R012,MA_R013,MA_R014,MA_R015,MA_R016,MA_R017,MA_R018,MA_R019,MA_R020,MA_R021,MA_R022,MA_R023,MA_R024,MA_R025,MA_R026,MA_R027,MA_R028,MA_R029,MA_R030,MA_R031,MA_R032,MA_R033,MA_R034,MA_R035,MA_R036,MA_R037,MA_R038,MA_R039,MA_R040,MA_R041,MA_R042,MA_R043,MA_R044,MA_R045)</x:f>
        <x:v>Pendiente</x:v>
      </x:c>
      <x:c r="F337" s="16" t="str">
        <x:f>CHOOSE(MATCH(A337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ET_R001,ET_R002,ET_R003,ET_R004,ET_R005,ET_R006,ET_R007,ET_R008,ET_R009,ET_R010,ET_R011,ET_R012,ET_R013,ET_R014,ET_R015,ET_R016,ET_R017,ET_R018,ET_R019,ET_R020,ET_R021,ET_R022,ET_R023,ET_R024,ET_R025,ET_R026,ET_R027,ET_R028,ET_R029,ET_R030,ET_R031,ET_R032,ET_R033,ET_R034,ET_R035,ET_R036,ET_R037,ET_R038,ET_R039,ET_R040,ET_R041,ET_R042,ET_R043,ET_R044,ET_R045)</x:f>
        <x:v>Implementación</x:v>
      </x:c>
      <x:c r="G337" s="16"/>
    </x:row>
    <x:row r="338" ht="96" customHeight="1">
      <x:c r="A338" s="14" t="str">
        <x:f>B280</x:f>
        <x:v>R-032</x:v>
      </x:c>
      <x:c r="B338" s="14" t="str">
        <x:f>CHOOSE(MATCH(A338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AC_R001,AC_R002,AC_R003,AC_R004,AC_R005,AC_R006,AC_R007,AC_R008,AC_R009,AC_R010,AC_R011,AC_R012,AC_R013,AC_R014,AC_R015,AC_R016,AC_R017,AC_R018,AC_R019,AC_R020,AC_R021,AC_R022,AC_R023,AC_R024,AC_R025,AC_R026,AC_R027,AC_R028,AC_R029,AC_R030,AC_R031,AC_R032,AC_R033,AC_R034,AC_R035,AC_R036,AC_R037,AC_R038,AC_R039,AC_R040,AC_R041,AC_R042,AC_R043,AC_R044,AC_R045)&amp;". Dueño: "&amp;CHOOSE(MATCH(A338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DU_R001,DU_R002,DU_R003,DU_R004,DU_R005,DU_R006,DU_R007,DU_R008,DU_R009,DU_R010,DU_R011,DU_R012,DU_R013,DU_R014,DU_R015,DU_R016,DU_R017,DU_R018,DU_R019,DU_R020,DU_R021,DU_R022,DU_R023,DU_R024,DU_R025,DU_R026,DU_R027,DU_R028,DU_R029,DU_R030,DU_R031,DU_R032,DU_R033,DU_R034,DU_R035,DU_R036,DU_R037,DU_R038,DU_R039,DU_R040,DU_R041,DU_R042,DU_R043,DU_R044,DU_R045)&amp;". Disparador: "&amp;CHOOSE(MATCH(A338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DP_R001,DP_R002,DP_R003,DP_R004,DP_R005,DP_R006,DP_R007,DP_R008,DP_R009,DP_R010,DP_R011,DP_R012,DP_R013,DP_R014,DP_R015,DP_R016,DP_R017,DP_R018,DP_R019,DP_R020,DP_R021,DP_R022,DP_R023,DP_R024,DP_R025,DP_R026,DP_R027,DP_R028,DP_R029,DP_R030,DP_R031,DP_R032,DP_R033,DP_R034,DP_R035,DP_R036,DP_R037,DP_R038,DP_R039,DP_R040,DP_R041,DP_R042,DP_R043,DP_R044,DP_R045)&amp;". Validar: "&amp;CHOOSE(MATCH(A338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VF_R001,VF_R002,VF_R003,VF_R004,VF_R005,VF_R006,VF_R007,VF_R008,VF_R009,VF_R010,VF_R011,VF_R012,VF_R013,VF_R014,VF_R015,VF_R016,VF_R017,VF_R018,VF_R019,VF_R020,VF_R021,VF_R022,VF_R023,VF_R024,VF_R025,VF_R026,VF_R027,VF_R028,VF_R029,VF_R030,VF_R031,VF_R032,VF_R033,VF_R034,VF_R035,VF_R036,VF_R037,VF_R038,VF_R039,VF_R040,VF_R041,VF_R042,VF_R043,VF_R044,VF_R045)</x:f>
        <x:v>Ensayar exportación e importación de un flujo representativo y medir sustitución del servicio no portable. Dueño: Bastián Trejo. Disparador: Componente sin alternativa o exportación sin semántica. Validar: Ensayo reproducible, licencias y formatos declarados; costo de salida separado de EOL</x:v>
      </x:c>
      <x:c r="C338" s="14"/>
      <x:c r="D338" s="14"/>
      <x:c r="E338" s="60" t="str">
        <x:f>CHOOSE(MATCH(A338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MA_R001,MA_R002,MA_R003,MA_R004,MA_R005,MA_R006,MA_R007,MA_R008,MA_R009,MA_R010,MA_R011,MA_R012,MA_R013,MA_R014,MA_R015,MA_R016,MA_R017,MA_R018,MA_R019,MA_R020,MA_R021,MA_R022,MA_R023,MA_R024,MA_R025,MA_R026,MA_R027,MA_R028,MA_R029,MA_R030,MA_R031,MA_R032,MA_R033,MA_R034,MA_R035,MA_R036,MA_R037,MA_R038,MA_R039,MA_R040,MA_R041,MA_R042,MA_R043,MA_R044,MA_R045)</x:f>
        <x:v>Pendiente</x:v>
      </x:c>
      <x:c r="F338" s="14" t="str">
        <x:f>CHOOSE(MATCH(A338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ET_R001,ET_R002,ET_R003,ET_R004,ET_R005,ET_R006,ET_R007,ET_R008,ET_R009,ET_R010,ET_R011,ET_R012,ET_R013,ET_R014,ET_R015,ET_R016,ET_R017,ET_R018,ET_R019,ET_R020,ET_R021,ET_R022,ET_R023,ET_R024,ET_R025,ET_R026,ET_R027,ET_R028,ET_R029,ET_R030,ET_R031,ET_R032,ET_R033,ET_R034,ET_R035,ET_R036,ET_R037,ET_R038,ET_R039,ET_R040,ET_R041,ET_R042,ET_R043,ET_R044,ET_R045)</x:f>
        <x:v>Implementación</x:v>
      </x:c>
      <x:c r="G338" s="14"/>
    </x:row>
    <x:row r="339" ht="96" customHeight="1">
      <x:c r="A339" s="16" t="str">
        <x:f>B281</x:f>
        <x:v>R-023</x:v>
      </x:c>
      <x:c r="B339" s="16" t="str">
        <x:f>CHOOSE(MATCH(A339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AC_R001,AC_R002,AC_R003,AC_R004,AC_R005,AC_R006,AC_R007,AC_R008,AC_R009,AC_R010,AC_R011,AC_R012,AC_R013,AC_R014,AC_R015,AC_R016,AC_R017,AC_R018,AC_R019,AC_R020,AC_R021,AC_R022,AC_R023,AC_R024,AC_R025,AC_R026,AC_R027,AC_R028,AC_R029,AC_R030,AC_R031,AC_R032,AC_R033,AC_R034,AC_R035,AC_R036,AC_R037,AC_R038,AC_R039,AC_R040,AC_R041,AC_R042,AC_R043,AC_R044,AC_R045)&amp;". Dueño: "&amp;CHOOSE(MATCH(A339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DU_R001,DU_R002,DU_R003,DU_R004,DU_R005,DU_R006,DU_R007,DU_R008,DU_R009,DU_R010,DU_R011,DU_R012,DU_R013,DU_R014,DU_R015,DU_R016,DU_R017,DU_R018,DU_R019,DU_R020,DU_R021,DU_R022,DU_R023,DU_R024,DU_R025,DU_R026,DU_R027,DU_R028,DU_R029,DU_R030,DU_R031,DU_R032,DU_R033,DU_R034,DU_R035,DU_R036,DU_R037,DU_R038,DU_R039,DU_R040,DU_R041,DU_R042,DU_R043,DU_R044,DU_R045)&amp;". Disparador: "&amp;CHOOSE(MATCH(A339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DP_R001,DP_R002,DP_R003,DP_R004,DP_R005,DP_R006,DP_R007,DP_R008,DP_R009,DP_R010,DP_R011,DP_R012,DP_R013,DP_R014,DP_R015,DP_R016,DP_R017,DP_R018,DP_R019,DP_R020,DP_R021,DP_R022,DP_R023,DP_R024,DP_R025,DP_R026,DP_R027,DP_R028,DP_R029,DP_R030,DP_R031,DP_R032,DP_R033,DP_R034,DP_R035,DP_R036,DP_R037,DP_R038,DP_R039,DP_R040,DP_R041,DP_R042,DP_R043,DP_R044,DP_R045)&amp;". Validar: "&amp;CHOOSE(MATCH(A339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VF_R001,VF_R002,VF_R003,VF_R004,VF_R005,VF_R006,VF_R007,VF_R008,VF_R009,VF_R010,VF_R011,VF_R012,VF_R013,VF_R014,VF_R015,VF_R016,VF_R017,VF_R018,VF_R019,VF_R020,VF_R021,VF_R022,VF_R023,VF_R024,VF_R025,VF_R026,VF_R027,VF_R028,VF_R029,VF_R030,VF_R031,VF_R032,VF_R033,VF_R034,VF_R035,VF_R036,VF_R037,VF_R038,VF_R039,VF_R040,VF_R041,VF_R042,VF_R043,VF_R044,VF_R045)</x:f>
        <x:v>Revalidar calendario por fecha efectiva y reservar alternativa permitida para cada corte. Dueño: Alex Aravena. Disparador: Fecha propuesta cae en congelamiento o cierre mensual. Validar: Calendario validado por contraparte y plan alternativo; emergencia requiere definición contractual</x:v>
      </x:c>
      <x:c r="C339" s="16"/>
      <x:c r="D339" s="16"/>
      <x:c r="E339" s="60" t="str">
        <x:f>CHOOSE(MATCH(A339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MA_R001,MA_R002,MA_R003,MA_R004,MA_R005,MA_R006,MA_R007,MA_R008,MA_R009,MA_R010,MA_R011,MA_R012,MA_R013,MA_R014,MA_R015,MA_R016,MA_R017,MA_R018,MA_R019,MA_R020,MA_R021,MA_R022,MA_R023,MA_R024,MA_R025,MA_R026,MA_R027,MA_R028,MA_R029,MA_R030,MA_R031,MA_R032,MA_R033,MA_R034,MA_R035,MA_R036,MA_R037,MA_R038,MA_R039,MA_R040,MA_R041,MA_R042,MA_R043,MA_R044,MA_R045)</x:f>
        <x:v>Pendiente</x:v>
      </x:c>
      <x:c r="F339" s="16" t="str">
        <x:f>CHOOSE(MATCH(A339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ET_R001,ET_R002,ET_R003,ET_R004,ET_R005,ET_R006,ET_R007,ET_R008,ET_R009,ET_R010,ET_R011,ET_R012,ET_R013,ET_R014,ET_R015,ET_R016,ET_R017,ET_R018,ET_R019,ET_R020,ET_R021,ET_R022,ET_R023,ET_R024,ET_R025,ET_R026,ET_R027,ET_R028,ET_R029,ET_R030,ET_R031,ET_R032,ET_R033,ET_R034,ET_R035,ET_R036,ET_R037,ET_R038,ET_R039,ET_R040,ET_R041,ET_R042,ET_R043,ET_R044,ET_R045)</x:f>
        <x:v>Implementación</x:v>
      </x:c>
      <x:c r="G339" s="16"/>
    </x:row>
    <x:row r="340" ht="96" customHeight="1">
      <x:c r="A340" s="14" t="str">
        <x:f>B282</x:f>
        <x:v>R-009</x:v>
      </x:c>
      <x:c r="B340" s="14" t="str">
        <x:f>CHOOSE(MATCH(A340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AC_R001,AC_R002,AC_R003,AC_R004,AC_R005,AC_R006,AC_R007,AC_R008,AC_R009,AC_R010,AC_R011,AC_R012,AC_R013,AC_R014,AC_R015,AC_R016,AC_R017,AC_R018,AC_R019,AC_R020,AC_R021,AC_R022,AC_R023,AC_R024,AC_R025,AC_R026,AC_R027,AC_R028,AC_R029,AC_R030,AC_R031,AC_R032,AC_R033,AC_R034,AC_R035,AC_R036,AC_R037,AC_R038,AC_R039,AC_R040,AC_R041,AC_R042,AC_R043,AC_R044,AC_R045)&amp;". Dueño: "&amp;CHOOSE(MATCH(A340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DU_R001,DU_R002,DU_R003,DU_R004,DU_R005,DU_R006,DU_R007,DU_R008,DU_R009,DU_R010,DU_R011,DU_R012,DU_R013,DU_R014,DU_R015,DU_R016,DU_R017,DU_R018,DU_R019,DU_R020,DU_R021,DU_R022,DU_R023,DU_R024,DU_R025,DU_R026,DU_R027,DU_R028,DU_R029,DU_R030,DU_R031,DU_R032,DU_R033,DU_R034,DU_R035,DU_R036,DU_R037,DU_R038,DU_R039,DU_R040,DU_R041,DU_R042,DU_R043,DU_R044,DU_R045)&amp;". Disparador: "&amp;CHOOSE(MATCH(A340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DP_R001,DP_R002,DP_R003,DP_R004,DP_R005,DP_R006,DP_R007,DP_R008,DP_R009,DP_R010,DP_R011,DP_R012,DP_R013,DP_R014,DP_R015,DP_R016,DP_R017,DP_R018,DP_R019,DP_R020,DP_R021,DP_R022,DP_R023,DP_R024,DP_R025,DP_R026,DP_R027,DP_R028,DP_R029,DP_R030,DP_R031,DP_R032,DP_R033,DP_R034,DP_R035,DP_R036,DP_R037,DP_R038,DP_R039,DP_R040,DP_R041,DP_R042,DP_R043,DP_R044,DP_R045)&amp;". Validar: "&amp;CHOOSE(MATCH(A340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VF_R001,VF_R002,VF_R003,VF_R004,VF_R005,VF_R006,VF_R007,VF_R008,VF_R009,VF_R010,VF_R011,VF_R012,VF_R013,VF_R014,VF_R015,VF_R016,VF_R017,VF_R018,VF_R019,VF_R020,VF_R021,VF_R022,VF_R023,VF_R024,VF_R025,VF_R026,VF_R027,VF_R028,VF_R029,VF_R030,VF_R031,VF_R032,VF_R033,VF_R034,VF_R035,VF_R036,VF_R037,VF_R038,VF_R039,VF_R040,VF_R041,VF_R042,VF_R043,VF_R044,VF_R045)</x:f>
        <x:v>Probar dos relevos durante un corte, vencimiento y revocación con el verificador local. Dueño: Álvaro Catalán. Disparador: Turno válido denegado o manifiesto vencido aceptado. Validar: Acta de corte con cambios de turno, denegación y bitácora posterior</x:v>
      </x:c>
      <x:c r="C340" s="14"/>
      <x:c r="D340" s="14"/>
      <x:c r="E340" s="60" t="str">
        <x:f>CHOOSE(MATCH(A340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MA_R001,MA_R002,MA_R003,MA_R004,MA_R005,MA_R006,MA_R007,MA_R008,MA_R009,MA_R010,MA_R011,MA_R012,MA_R013,MA_R014,MA_R015,MA_R016,MA_R017,MA_R018,MA_R019,MA_R020,MA_R021,MA_R022,MA_R023,MA_R024,MA_R025,MA_R026,MA_R027,MA_R028,MA_R029,MA_R030,MA_R031,MA_R032,MA_R033,MA_R034,MA_R035,MA_R036,MA_R037,MA_R038,MA_R039,MA_R040,MA_R041,MA_R042,MA_R043,MA_R044,MA_R045)</x:f>
        <x:v>Pendiente</x:v>
      </x:c>
      <x:c r="F340" s="14" t="str">
        <x:f>CHOOSE(MATCH(A340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ET_R001,ET_R002,ET_R003,ET_R004,ET_R005,ET_R006,ET_R007,ET_R008,ET_R009,ET_R010,ET_R011,ET_R012,ET_R013,ET_R014,ET_R015,ET_R016,ET_R017,ET_R018,ET_R019,ET_R020,ET_R021,ET_R022,ET_R023,ET_R024,ET_R025,ET_R026,ET_R027,ET_R028,ET_R029,ET_R030,ET_R031,ET_R032,ET_R033,ET_R034,ET_R035,ET_R036,ET_R037,ET_R038,ET_R039,ET_R040,ET_R041,ET_R042,ET_R043,ET_R044,ET_R045)</x:f>
        <x:v>Implementación</x:v>
      </x:c>
      <x:c r="G340" s="14"/>
    </x:row>
    <x:row r="341" ht="96" customHeight="1">
      <x:c r="A341" s="16" t="str">
        <x:f>B283</x:f>
        <x:v>R-043</x:v>
      </x:c>
      <x:c r="B341" s="16" t="str">
        <x:f>CHOOSE(MATCH(A341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AC_R001,AC_R002,AC_R003,AC_R004,AC_R005,AC_R006,AC_R007,AC_R008,AC_R009,AC_R010,AC_R011,AC_R012,AC_R013,AC_R014,AC_R015,AC_R016,AC_R017,AC_R018,AC_R019,AC_R020,AC_R021,AC_R022,AC_R023,AC_R024,AC_R025,AC_R026,AC_R027,AC_R028,AC_R029,AC_R030,AC_R031,AC_R032,AC_R033,AC_R034,AC_R035,AC_R036,AC_R037,AC_R038,AC_R039,AC_R040,AC_R041,AC_R042,AC_R043,AC_R044,AC_R045)&amp;". Dueño: "&amp;CHOOSE(MATCH(A341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DU_R001,DU_R002,DU_R003,DU_R004,DU_R005,DU_R006,DU_R007,DU_R008,DU_R009,DU_R010,DU_R011,DU_R012,DU_R013,DU_R014,DU_R015,DU_R016,DU_R017,DU_R018,DU_R019,DU_R020,DU_R021,DU_R022,DU_R023,DU_R024,DU_R025,DU_R026,DU_R027,DU_R028,DU_R029,DU_R030,DU_R031,DU_R032,DU_R033,DU_R034,DU_R035,DU_R036,DU_R037,DU_R038,DU_R039,DU_R040,DU_R041,DU_R042,DU_R043,DU_R044,DU_R045)&amp;". Disparador: "&amp;CHOOSE(MATCH(A341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DP_R001,DP_R002,DP_R003,DP_R004,DP_R005,DP_R006,DP_R007,DP_R008,DP_R009,DP_R010,DP_R011,DP_R012,DP_R013,DP_R014,DP_R015,DP_R016,DP_R017,DP_R018,DP_R019,DP_R020,DP_R021,DP_R022,DP_R023,DP_R024,DP_R025,DP_R026,DP_R027,DP_R028,DP_R029,DP_R030,DP_R031,DP_R032,DP_R033,DP_R034,DP_R035,DP_R036,DP_R037,DP_R038,DP_R039,DP_R040,DP_R041,DP_R042,DP_R043,DP_R044,DP_R045)&amp;". Validar: "&amp;CHOOSE(MATCH(A341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VF_R001,VF_R002,VF_R003,VF_R004,VF_R005,VF_R006,VF_R007,VF_R008,VF_R009,VF_R010,VF_R011,VF_R012,VF_R013,VF_R014,VF_R015,VF_R016,VF_R017,VF_R018,VF_R019,VF_R020,VF_R021,VF_R022,VF_R023,VF_R024,VF_R025,VF_R026,VF_R027,VF_R028,VF_R029,VF_R030,VF_R031,VF_R032,VF_R033,VF_R034,VF_R035,VF_R036,VF_R037,VF_R038,VF_R039,VF_R040,VF_R041,VF_R042,VF_R043,VF_R044,VF_R045)</x:f>
        <x:v>Inyectar timeout después del cargo y probar consulta, cancelación y autorización de alternativa. Dueño: Leandro Chamorro. Disparador: Existe pago incierto y se intenta cobrar otra vez sin consulta. Validar: Contrato POS y prueba de un solo cargo económico con correlación y devolución</x:v>
      </x:c>
      <x:c r="C341" s="16"/>
      <x:c r="D341" s="16"/>
      <x:c r="E341" s="60" t="str">
        <x:f>CHOOSE(MATCH(A341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MA_R001,MA_R002,MA_R003,MA_R004,MA_R005,MA_R006,MA_R007,MA_R008,MA_R009,MA_R010,MA_R011,MA_R012,MA_R013,MA_R014,MA_R015,MA_R016,MA_R017,MA_R018,MA_R019,MA_R020,MA_R021,MA_R022,MA_R023,MA_R024,MA_R025,MA_R026,MA_R027,MA_R028,MA_R029,MA_R030,MA_R031,MA_R032,MA_R033,MA_R034,MA_R035,MA_R036,MA_R037,MA_R038,MA_R039,MA_R040,MA_R041,MA_R042,MA_R043,MA_R044,MA_R045)</x:f>
        <x:v>Pendiente</x:v>
      </x:c>
      <x:c r="F341" s="16" t="str">
        <x:f>CHOOSE(MATCH(A341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ET_R001,ET_R002,ET_R003,ET_R004,ET_R005,ET_R006,ET_R007,ET_R008,ET_R009,ET_R010,ET_R011,ET_R012,ET_R013,ET_R014,ET_R015,ET_R016,ET_R017,ET_R018,ET_R019,ET_R020,ET_R021,ET_R022,ET_R023,ET_R024,ET_R025,ET_R026,ET_R027,ET_R028,ET_R029,ET_R030,ET_R031,ET_R032,ET_R033,ET_R034,ET_R035,ET_R036,ET_R037,ET_R038,ET_R039,ET_R040,ET_R041,ET_R042,ET_R043,ET_R044,ET_R045)</x:f>
        <x:v>Implementación</x:v>
      </x:c>
      <x:c r="G341" s="16"/>
    </x:row>
    <x:row r="342" ht="96" customHeight="1">
      <x:c r="A342" s="14" t="str">
        <x:f>B284</x:f>
        <x:v>R-008</x:v>
      </x:c>
      <x:c r="B342" s="14" t="str">
        <x:f>CHOOSE(MATCH(A342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AC_R001,AC_R002,AC_R003,AC_R004,AC_R005,AC_R006,AC_R007,AC_R008,AC_R009,AC_R010,AC_R011,AC_R012,AC_R013,AC_R014,AC_R015,AC_R016,AC_R017,AC_R018,AC_R019,AC_R020,AC_R021,AC_R022,AC_R023,AC_R024,AC_R025,AC_R026,AC_R027,AC_R028,AC_R029,AC_R030,AC_R031,AC_R032,AC_R033,AC_R034,AC_R035,AC_R036,AC_R037,AC_R038,AC_R039,AC_R040,AC_R041,AC_R042,AC_R043,AC_R044,AC_R045)&amp;". Dueño: "&amp;CHOOSE(MATCH(A342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DU_R001,DU_R002,DU_R003,DU_R004,DU_R005,DU_R006,DU_R007,DU_R008,DU_R009,DU_R010,DU_R011,DU_R012,DU_R013,DU_R014,DU_R015,DU_R016,DU_R017,DU_R018,DU_R019,DU_R020,DU_R021,DU_R022,DU_R023,DU_R024,DU_R025,DU_R026,DU_R027,DU_R028,DU_R029,DU_R030,DU_R031,DU_R032,DU_R033,DU_R034,DU_R035,DU_R036,DU_R037,DU_R038,DU_R039,DU_R040,DU_R041,DU_R042,DU_R043,DU_R044,DU_R045)&amp;". Disparador: "&amp;CHOOSE(MATCH(A342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DP_R001,DP_R002,DP_R003,DP_R004,DP_R005,DP_R006,DP_R007,DP_R008,DP_R009,DP_R010,DP_R011,DP_R012,DP_R013,DP_R014,DP_R015,DP_R016,DP_R017,DP_R018,DP_R019,DP_R020,DP_R021,DP_R022,DP_R023,DP_R024,DP_R025,DP_R026,DP_R027,DP_R028,DP_R029,DP_R030,DP_R031,DP_R032,DP_R033,DP_R034,DP_R035,DP_R036,DP_R037,DP_R038,DP_R039,DP_R040,DP_R041,DP_R042,DP_R043,DP_R044,DP_R045)&amp;". Validar: "&amp;CHOOSE(MATCH(A342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VF_R001,VF_R002,VF_R003,VF_R004,VF_R005,VF_R006,VF_R007,VF_R008,VF_R009,VF_R010,VF_R011,VF_R012,VF_R013,VF_R014,VF_R015,VF_R016,VF_R017,VF_R018,VF_R019,VF_R020,VF_R021,VF_R022,VF_R023,VF_R024,VF_R025,VF_R026,VF_R027,VF_R028,VF_R029,VF_R030,VF_R031,VF_R032,VF_R033,VF_R034,VF_R035,VF_R036,VF_R037,VF_R038,VF_R039,VF_R040,VF_R041,VF_R042,VF_R043,VF_R044,VF_R045)</x:f>
        <x:v>Ensayar 14 h en ruta con periféricos y batería envejecida, más reconexión en 10 min. Dueño: Tomás Pérez. Disparador: Cierre inesperado, dato perdido o batería agotada antes de terminar el turno. Validar: Jornada íntegra reproducible y sin duplicados, bajo condiciones de terreno</x:v>
      </x:c>
      <x:c r="C342" s="14"/>
      <x:c r="D342" s="14"/>
      <x:c r="E342" s="60" t="str">
        <x:f>CHOOSE(MATCH(A342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MA_R001,MA_R002,MA_R003,MA_R004,MA_R005,MA_R006,MA_R007,MA_R008,MA_R009,MA_R010,MA_R011,MA_R012,MA_R013,MA_R014,MA_R015,MA_R016,MA_R017,MA_R018,MA_R019,MA_R020,MA_R021,MA_R022,MA_R023,MA_R024,MA_R025,MA_R026,MA_R027,MA_R028,MA_R029,MA_R030,MA_R031,MA_R032,MA_R033,MA_R034,MA_R035,MA_R036,MA_R037,MA_R038,MA_R039,MA_R040,MA_R041,MA_R042,MA_R043,MA_R044,MA_R045)</x:f>
        <x:v>Pendiente</x:v>
      </x:c>
      <x:c r="F342" s="14" t="str">
        <x:f>CHOOSE(MATCH(A342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ET_R001,ET_R002,ET_R003,ET_R004,ET_R005,ET_R006,ET_R007,ET_R008,ET_R009,ET_R010,ET_R011,ET_R012,ET_R013,ET_R014,ET_R015,ET_R016,ET_R017,ET_R018,ET_R019,ET_R020,ET_R021,ET_R022,ET_R023,ET_R024,ET_R025,ET_R026,ET_R027,ET_R028,ET_R029,ET_R030,ET_R031,ET_R032,ET_R033,ET_R034,ET_R035,ET_R036,ET_R037,ET_R038,ET_R039,ET_R040,ET_R041,ET_R042,ET_R043,ET_R044,ET_R045)</x:f>
        <x:v>Implementación</x:v>
      </x:c>
      <x:c r="G342" s="14"/>
    </x:row>
    <x:row r="343" ht="96" customHeight="1">
      <x:c r="A343" s="16" t="str">
        <x:f>B285</x:f>
        <x:v>R-028</x:v>
      </x:c>
      <x:c r="B343" s="16" t="str">
        <x:f>CHOOSE(MATCH(A343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AC_R001,AC_R002,AC_R003,AC_R004,AC_R005,AC_R006,AC_R007,AC_R008,AC_R009,AC_R010,AC_R011,AC_R012,AC_R013,AC_R014,AC_R015,AC_R016,AC_R017,AC_R018,AC_R019,AC_R020,AC_R021,AC_R022,AC_R023,AC_R024,AC_R025,AC_R026,AC_R027,AC_R028,AC_R029,AC_R030,AC_R031,AC_R032,AC_R033,AC_R034,AC_R035,AC_R036,AC_R037,AC_R038,AC_R039,AC_R040,AC_R041,AC_R042,AC_R043,AC_R044,AC_R045)&amp;". Dueño: "&amp;CHOOSE(MATCH(A343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DU_R001,DU_R002,DU_R003,DU_R004,DU_R005,DU_R006,DU_R007,DU_R008,DU_R009,DU_R010,DU_R011,DU_R012,DU_R013,DU_R014,DU_R015,DU_R016,DU_R017,DU_R018,DU_R019,DU_R020,DU_R021,DU_R022,DU_R023,DU_R024,DU_R025,DU_R026,DU_R027,DU_R028,DU_R029,DU_R030,DU_R031,DU_R032,DU_R033,DU_R034,DU_R035,DU_R036,DU_R037,DU_R038,DU_R039,DU_R040,DU_R041,DU_R042,DU_R043,DU_R044,DU_R045)&amp;". Disparador: "&amp;CHOOSE(MATCH(A343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DP_R001,DP_R002,DP_R003,DP_R004,DP_R005,DP_R006,DP_R007,DP_R008,DP_R009,DP_R010,DP_R011,DP_R012,DP_R013,DP_R014,DP_R015,DP_R016,DP_R017,DP_R018,DP_R019,DP_R020,DP_R021,DP_R022,DP_R023,DP_R024,DP_R025,DP_R026,DP_R027,DP_R028,DP_R029,DP_R030,DP_R031,DP_R032,DP_R033,DP_R034,DP_R035,DP_R036,DP_R037,DP_R038,DP_R039,DP_R040,DP_R041,DP_R042,DP_R043,DP_R044,DP_R045)&amp;". Validar: "&amp;CHOOSE(MATCH(A343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VF_R001,VF_R002,VF_R003,VF_R004,VF_R005,VF_R006,VF_R007,VF_R008,VF_R009,VF_R010,VF_R011,VF_R012,VF_R013,VF_R014,VF_R015,VF_R016,VF_R017,VF_R018,VF_R019,VF_R020,VF_R021,VF_R022,VF_R023,VF_R024,VF_R025,VF_R026,VF_R027,VF_R028,VF_R029,VF_R030,VF_R031,VF_R032,VF_R033,VF_R034,VF_R035,VF_R036,VF_R037,VF_R038,VF_R039,VF_R040,VF_R041,VF_R042,VF_R043,VF_R044,VF_R045)</x:f>
        <x:v>Simular caja de turno, faltante, devolución y pago parcial; acordar custodia física con Finanzas. Dueño: Leandro Chamorro. Disparador: Diferencia al cierre sin evidencia ni responsable. Validar: Cuadre por camión y turno el mismo día; importe externo no se incorpora como costo del proyecto</x:v>
      </x:c>
      <x:c r="C343" s="16"/>
      <x:c r="D343" s="16"/>
      <x:c r="E343" s="60" t="str">
        <x:f>CHOOSE(MATCH(A343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MA_R001,MA_R002,MA_R003,MA_R004,MA_R005,MA_R006,MA_R007,MA_R008,MA_R009,MA_R010,MA_R011,MA_R012,MA_R013,MA_R014,MA_R015,MA_R016,MA_R017,MA_R018,MA_R019,MA_R020,MA_R021,MA_R022,MA_R023,MA_R024,MA_R025,MA_R026,MA_R027,MA_R028,MA_R029,MA_R030,MA_R031,MA_R032,MA_R033,MA_R034,MA_R035,MA_R036,MA_R037,MA_R038,MA_R039,MA_R040,MA_R041,MA_R042,MA_R043,MA_R044,MA_R045)</x:f>
        <x:v>Pendiente</x:v>
      </x:c>
      <x:c r="F343" s="16" t="str">
        <x:f>CHOOSE(MATCH(A343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ET_R001,ET_R002,ET_R003,ET_R004,ET_R005,ET_R006,ET_R007,ET_R008,ET_R009,ET_R010,ET_R011,ET_R012,ET_R013,ET_R014,ET_R015,ET_R016,ET_R017,ET_R018,ET_R019,ET_R020,ET_R021,ET_R022,ET_R023,ET_R024,ET_R025,ET_R026,ET_R027,ET_R028,ET_R029,ET_R030,ET_R031,ET_R032,ET_R033,ET_R034,ET_R035,ET_R036,ET_R037,ET_R038,ET_R039,ET_R040,ET_R041,ET_R042,ET_R043,ET_R044,ET_R045)</x:f>
        <x:v>Implantación</x:v>
      </x:c>
      <x:c r="G343" s="16"/>
    </x:row>
    <x:row r="344" ht="96" customHeight="1">
      <x:c r="A344" s="14" t="str">
        <x:f>B286</x:f>
        <x:v>R-034</x:v>
      </x:c>
      <x:c r="B344" s="14" t="str">
        <x:f>CHOOSE(MATCH(A344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AC_R001,AC_R002,AC_R003,AC_R004,AC_R005,AC_R006,AC_R007,AC_R008,AC_R009,AC_R010,AC_R011,AC_R012,AC_R013,AC_R014,AC_R015,AC_R016,AC_R017,AC_R018,AC_R019,AC_R020,AC_R021,AC_R022,AC_R023,AC_R024,AC_R025,AC_R026,AC_R027,AC_R028,AC_R029,AC_R030,AC_R031,AC_R032,AC_R033,AC_R034,AC_R035,AC_R036,AC_R037,AC_R038,AC_R039,AC_R040,AC_R041,AC_R042,AC_R043,AC_R044,AC_R045)&amp;". Dueño: "&amp;CHOOSE(MATCH(A344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DU_R001,DU_R002,DU_R003,DU_R004,DU_R005,DU_R006,DU_R007,DU_R008,DU_R009,DU_R010,DU_R011,DU_R012,DU_R013,DU_R014,DU_R015,DU_R016,DU_R017,DU_R018,DU_R019,DU_R020,DU_R021,DU_R022,DU_R023,DU_R024,DU_R025,DU_R026,DU_R027,DU_R028,DU_R029,DU_R030,DU_R031,DU_R032,DU_R033,DU_R034,DU_R035,DU_R036,DU_R037,DU_R038,DU_R039,DU_R040,DU_R041,DU_R042,DU_R043,DU_R044,DU_R045)&amp;". Disparador: "&amp;CHOOSE(MATCH(A344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DP_R001,DP_R002,DP_R003,DP_R004,DP_R005,DP_R006,DP_R007,DP_R008,DP_R009,DP_R010,DP_R011,DP_R012,DP_R013,DP_R014,DP_R015,DP_R016,DP_R017,DP_R018,DP_R019,DP_R020,DP_R021,DP_R022,DP_R023,DP_R024,DP_R025,DP_R026,DP_R027,DP_R028,DP_R029,DP_R030,DP_R031,DP_R032,DP_R033,DP_R034,DP_R035,DP_R036,DP_R037,DP_R038,DP_R039,DP_R040,DP_R041,DP_R042,DP_R043,DP_R044,DP_R045)&amp;". Validar: "&amp;CHOOSE(MATCH(A344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VF_R001,VF_R002,VF_R003,VF_R004,VF_R005,VF_R006,VF_R007,VF_R008,VF_R009,VF_R010,VF_R011,VF_R012,VF_R013,VF_R014,VF_R015,VF_R016,VF_R017,VF_R018,VF_R019,VF_R020,VF_R021,VF_R022,VF_R023,VF_R024,VF_R025,VF_R026,VF_R027,VF_R028,VF_R029,VF_R030,VF_R031,VF_R032,VF_R033,VF_R034,VF_R035,VF_R036,VF_R037,VF_R038,VF_R039,VF_R040,VF_R041,VF_R042,VF_R043,VF_R044,VF_R045)</x:f>
        <x:v>Simular ausencia y peak de llamadas con traslado; pactar cobertura de suplentes por tecnología. Dueño: Guillermo Castillo. Disparador: Demanda supera capacidad del turno o especialista no puede llegar. Validar: Prueba de cola con 80 % antes de 20 s, abandono ≤5 % y guardia acreditada</x:v>
      </x:c>
      <x:c r="C344" s="14"/>
      <x:c r="D344" s="14"/>
      <x:c r="E344" s="60" t="str">
        <x:f>CHOOSE(MATCH(A344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MA_R001,MA_R002,MA_R003,MA_R004,MA_R005,MA_R006,MA_R007,MA_R008,MA_R009,MA_R010,MA_R011,MA_R012,MA_R013,MA_R014,MA_R015,MA_R016,MA_R017,MA_R018,MA_R019,MA_R020,MA_R021,MA_R022,MA_R023,MA_R024,MA_R025,MA_R026,MA_R027,MA_R028,MA_R029,MA_R030,MA_R031,MA_R032,MA_R033,MA_R034,MA_R035,MA_R036,MA_R037,MA_R038,MA_R039,MA_R040,MA_R041,MA_R042,MA_R043,MA_R044,MA_R045)</x:f>
        <x:v>Pendiente</x:v>
      </x:c>
      <x:c r="F344" s="14" t="str">
        <x:f>CHOOSE(MATCH(A344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ET_R001,ET_R002,ET_R003,ET_R004,ET_R005,ET_R006,ET_R007,ET_R008,ET_R009,ET_R010,ET_R011,ET_R012,ET_R013,ET_R014,ET_R015,ET_R016,ET_R017,ET_R018,ET_R019,ET_R020,ET_R021,ET_R022,ET_R023,ET_R024,ET_R025,ET_R026,ET_R027,ET_R028,ET_R029,ET_R030,ET_R031,ET_R032,ET_R033,ET_R034,ET_R035,ET_R036,ET_R037,ET_R038,ET_R039,ET_R040,ET_R041,ET_R042,ET_R043,ET_R044,ET_R045)</x:f>
        <x:v>Operación</x:v>
      </x:c>
      <x:c r="G344" s="14"/>
    </x:row>
    <x:row r="345" ht="96" customHeight="1">
      <x:c r="A345" s="16" t="str">
        <x:f>B287</x:f>
        <x:v>R-041</x:v>
      </x:c>
      <x:c r="B345" s="16" t="str">
        <x:f>CHOOSE(MATCH(A345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AC_R001,AC_R002,AC_R003,AC_R004,AC_R005,AC_R006,AC_R007,AC_R008,AC_R009,AC_R010,AC_R011,AC_R012,AC_R013,AC_R014,AC_R015,AC_R016,AC_R017,AC_R018,AC_R019,AC_R020,AC_R021,AC_R022,AC_R023,AC_R024,AC_R025,AC_R026,AC_R027,AC_R028,AC_R029,AC_R030,AC_R031,AC_R032,AC_R033,AC_R034,AC_R035,AC_R036,AC_R037,AC_R038,AC_R039,AC_R040,AC_R041,AC_R042,AC_R043,AC_R044,AC_R045)&amp;". Dueño: "&amp;CHOOSE(MATCH(A345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DU_R001,DU_R002,DU_R003,DU_R004,DU_R005,DU_R006,DU_R007,DU_R008,DU_R009,DU_R010,DU_R011,DU_R012,DU_R013,DU_R014,DU_R015,DU_R016,DU_R017,DU_R018,DU_R019,DU_R020,DU_R021,DU_R022,DU_R023,DU_R024,DU_R025,DU_R026,DU_R027,DU_R028,DU_R029,DU_R030,DU_R031,DU_R032,DU_R033,DU_R034,DU_R035,DU_R036,DU_R037,DU_R038,DU_R039,DU_R040,DU_R041,DU_R042,DU_R043,DU_R044,DU_R045)&amp;". Disparador: "&amp;CHOOSE(MATCH(A345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DP_R001,DP_R002,DP_R003,DP_R004,DP_R005,DP_R006,DP_R007,DP_R008,DP_R009,DP_R010,DP_R011,DP_R012,DP_R013,DP_R014,DP_R015,DP_R016,DP_R017,DP_R018,DP_R019,DP_R020,DP_R021,DP_R022,DP_R023,DP_R024,DP_R025,DP_R026,DP_R027,DP_R028,DP_R029,DP_R030,DP_R031,DP_R032,DP_R033,DP_R034,DP_R035,DP_R036,DP_R037,DP_R038,DP_R039,DP_R040,DP_R041,DP_R042,DP_R043,DP_R044,DP_R045)&amp;". Validar: "&amp;CHOOSE(MATCH(A345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VF_R001,VF_R002,VF_R003,VF_R004,VF_R005,VF_R006,VF_R007,VF_R008,VF_R009,VF_R010,VF_R011,VF_R012,VF_R013,VF_R014,VF_R015,VF_R016,VF_R017,VF_R018,VF_R019,VF_R020,VF_R021,VF_R022,VF_R023,VF_R024,VF_R025,VF_R026,VF_R027,VF_R028,VF_R029,VF_R030,VF_R031,VF_R032,VF_R033,VF_R034,VF_R035,VF_R036,VF_R037,VF_R038,VF_R039,VF_R040,VF_R041,VF_R042,VF_R043,VF_R044,VF_R045)</x:f>
        <x:v>Ensayar una entrega parcial a operadores del cliente y corregir runbooks antes del cierre. Dueño: Guillermo Castillo. Disparador: Tarea esencial solo puede ejecutarla el equipo saliente. Validar: Operador receptor ejecuta procedimiento con cuentas propias y exportación reconciliada</x:v>
      </x:c>
      <x:c r="C345" s="16"/>
      <x:c r="D345" s="16"/>
      <x:c r="E345" s="60" t="str">
        <x:f>CHOOSE(MATCH(A345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MA_R001,MA_R002,MA_R003,MA_R004,MA_R005,MA_R006,MA_R007,MA_R008,MA_R009,MA_R010,MA_R011,MA_R012,MA_R013,MA_R014,MA_R015,MA_R016,MA_R017,MA_R018,MA_R019,MA_R020,MA_R021,MA_R022,MA_R023,MA_R024,MA_R025,MA_R026,MA_R027,MA_R028,MA_R029,MA_R030,MA_R031,MA_R032,MA_R033,MA_R034,MA_R035,MA_R036,MA_R037,MA_R038,MA_R039,MA_R040,MA_R041,MA_R042,MA_R043,MA_R044,MA_R045)</x:f>
        <x:v>Pendiente</x:v>
      </x:c>
      <x:c r="F345" s="16" t="str">
        <x:f>CHOOSE(MATCH(A345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ET_R001,ET_R002,ET_R003,ET_R004,ET_R005,ET_R006,ET_R007,ET_R008,ET_R009,ET_R010,ET_R011,ET_R012,ET_R013,ET_R014,ET_R015,ET_R016,ET_R017,ET_R018,ET_R019,ET_R020,ET_R021,ET_R022,ET_R023,ET_R024,ET_R025,ET_R026,ET_R027,ET_R028,ET_R029,ET_R030,ET_R031,ET_R032,ET_R033,ET_R034,ET_R035,ET_R036,ET_R037,ET_R038,ET_R039,ET_R040,ET_R041,ET_R042,ET_R043,ET_R044,ET_R045)</x:f>
        <x:v>Operación</x:v>
      </x:c>
      <x:c r="G345" s="16"/>
    </x:row>
    <x:row r="346" ht="96" customHeight="1">
      <x:c r="A346" s="14" t="str">
        <x:f>B288</x:f>
        <x:v>R-027</x:v>
      </x:c>
      <x:c r="B346" s="14" t="str">
        <x:f>CHOOSE(MATCH(A346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AC_R001,AC_R002,AC_R003,AC_R004,AC_R005,AC_R006,AC_R007,AC_R008,AC_R009,AC_R010,AC_R011,AC_R012,AC_R013,AC_R014,AC_R015,AC_R016,AC_R017,AC_R018,AC_R019,AC_R020,AC_R021,AC_R022,AC_R023,AC_R024,AC_R025,AC_R026,AC_R027,AC_R028,AC_R029,AC_R030,AC_R031,AC_R032,AC_R033,AC_R034,AC_R035,AC_R036,AC_R037,AC_R038,AC_R039,AC_R040,AC_R041,AC_R042,AC_R043,AC_R044,AC_R045)&amp;". Dueño: "&amp;CHOOSE(MATCH(A346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DU_R001,DU_R002,DU_R003,DU_R004,DU_R005,DU_R006,DU_R007,DU_R008,DU_R009,DU_R010,DU_R011,DU_R012,DU_R013,DU_R014,DU_R015,DU_R016,DU_R017,DU_R018,DU_R019,DU_R020,DU_R021,DU_R022,DU_R023,DU_R024,DU_R025,DU_R026,DU_R027,DU_R028,DU_R029,DU_R030,DU_R031,DU_R032,DU_R033,DU_R034,DU_R035,DU_R036,DU_R037,DU_R038,DU_R039,DU_R040,DU_R041,DU_R042,DU_R043,DU_R044,DU_R045)&amp;". Disparador: "&amp;CHOOSE(MATCH(A346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DP_R001,DP_R002,DP_R003,DP_R004,DP_R005,DP_R006,DP_R007,DP_R008,DP_R009,DP_R010,DP_R011,DP_R012,DP_R013,DP_R014,DP_R015,DP_R016,DP_R017,DP_R018,DP_R019,DP_R020,DP_R021,DP_R022,DP_R023,DP_R024,DP_R025,DP_R026,DP_R027,DP_R028,DP_R029,DP_R030,DP_R031,DP_R032,DP_R033,DP_R034,DP_R035,DP_R036,DP_R037,DP_R038,DP_R039,DP_R040,DP_R041,DP_R042,DP_R043,DP_R044,DP_R045)&amp;". Validar: "&amp;CHOOSE(MATCH(A346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VF_R001,VF_R002,VF_R003,VF_R004,VF_R005,VF_R006,VF_R007,VF_R008,VF_R009,VF_R010,VF_R011,VF_R012,VF_R013,VF_R014,VF_R015,VF_R016,VF_R017,VF_R018,VF_R019,VF_R020,VF_R021,VF_R022,VF_R023,VF_R024,VF_R025,VF_R026,VF_R027,VF_R028,VF_R029,VF_R030,VF_R031,VF_R032,VF_R033,VF_R034,VF_R035,VF_R036,VF_R037,VF_R038,VF_R039,VF_R040,VF_R041,VF_R042,VF_R043,VF_R044,VF_R045)</x:f>
        <x:v>Trazar solicitudes a requisitos, impacto y aprobación antes de construcción. Dueño: Alex Aravena. Disparador: Nueva función sin requisito o decisión aprobada. Validar: Registro de cambios, estimación y aprobación; exclusiones no eliminan integración obligatoria</x:v>
      </x:c>
      <x:c r="C346" s="14"/>
      <x:c r="D346" s="14"/>
      <x:c r="E346" s="60" t="str">
        <x:f>CHOOSE(MATCH(A346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MA_R001,MA_R002,MA_R003,MA_R004,MA_R005,MA_R006,MA_R007,MA_R008,MA_R009,MA_R010,MA_R011,MA_R012,MA_R013,MA_R014,MA_R015,MA_R016,MA_R017,MA_R018,MA_R019,MA_R020,MA_R021,MA_R022,MA_R023,MA_R024,MA_R025,MA_R026,MA_R027,MA_R028,MA_R029,MA_R030,MA_R031,MA_R032,MA_R033,MA_R034,MA_R035,MA_R036,MA_R037,MA_R038,MA_R039,MA_R040,MA_R041,MA_R042,MA_R043,MA_R044,MA_R045)</x:f>
        <x:v>Pendiente</x:v>
      </x:c>
      <x:c r="F346" s="14" t="str">
        <x:f>CHOOSE(MATCH(A346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ET_R001,ET_R002,ET_R003,ET_R004,ET_R005,ET_R006,ET_R007,ET_R008,ET_R009,ET_R010,ET_R011,ET_R012,ET_R013,ET_R014,ET_R015,ET_R016,ET_R017,ET_R018,ET_R019,ET_R020,ET_R021,ET_R022,ET_R023,ET_R024,ET_R025,ET_R026,ET_R027,ET_R028,ET_R029,ET_R030,ET_R031,ET_R032,ET_R033,ET_R034,ET_R035,ET_R036,ET_R037,ET_R038,ET_R039,ET_R040,ET_R041,ET_R042,ET_R043,ET_R044,ET_R045)</x:f>
        <x:v>Propuesta</x:v>
      </x:c>
      <x:c r="G346" s="14"/>
    </x:row>
    <x:row r="347" ht="96" customHeight="1">
      <x:c r="A347" s="16" t="str">
        <x:f>B289</x:f>
        <x:v>R-002</x:v>
      </x:c>
      <x:c r="B347" s="16" t="str">
        <x:f>CHOOSE(MATCH(A347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AC_R001,AC_R002,AC_R003,AC_R004,AC_R005,AC_R006,AC_R007,AC_R008,AC_R009,AC_R010,AC_R011,AC_R012,AC_R013,AC_R014,AC_R015,AC_R016,AC_R017,AC_R018,AC_R019,AC_R020,AC_R021,AC_R022,AC_R023,AC_R024,AC_R025,AC_R026,AC_R027,AC_R028,AC_R029,AC_R030,AC_R031,AC_R032,AC_R033,AC_R034,AC_R035,AC_R036,AC_R037,AC_R038,AC_R039,AC_R040,AC_R041,AC_R042,AC_R043,AC_R044,AC_R045)&amp;". Dueño: "&amp;CHOOSE(MATCH(A347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DU_R001,DU_R002,DU_R003,DU_R004,DU_R005,DU_R006,DU_R007,DU_R008,DU_R009,DU_R010,DU_R011,DU_R012,DU_R013,DU_R014,DU_R015,DU_R016,DU_R017,DU_R018,DU_R019,DU_R020,DU_R021,DU_R022,DU_R023,DU_R024,DU_R025,DU_R026,DU_R027,DU_R028,DU_R029,DU_R030,DU_R031,DU_R032,DU_R033,DU_R034,DU_R035,DU_R036,DU_R037,DU_R038,DU_R039,DU_R040,DU_R041,DU_R042,DU_R043,DU_R044,DU_R045)&amp;". Disparador: "&amp;CHOOSE(MATCH(A347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DP_R001,DP_R002,DP_R003,DP_R004,DP_R005,DP_R006,DP_R007,DP_R008,DP_R009,DP_R010,DP_R011,DP_R012,DP_R013,DP_R014,DP_R015,DP_R016,DP_R017,DP_R018,DP_R019,DP_R020,DP_R021,DP_R022,DP_R023,DP_R024,DP_R025,DP_R026,DP_R027,DP_R028,DP_R029,DP_R030,DP_R031,DP_R032,DP_R033,DP_R034,DP_R035,DP_R036,DP_R037,DP_R038,DP_R039,DP_R040,DP_R041,DP_R042,DP_R043,DP_R044,DP_R045)&amp;". Validar: "&amp;CHOOSE(MATCH(A347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VF_R001,VF_R002,VF_R003,VF_R004,VF_R005,VF_R006,VF_R007,VF_R008,VF_R009,VF_R010,VF_R011,VF_R012,VF_R013,VF_R014,VF_R015,VF_R016,VF_R017,VF_R018,VF_R019,VF_R020,VF_R021,VF_R022,VF_R023,VF_R024,VF_R025,VF_R026,VF_R027,VF_R028,VF_R029,VF_R030,VF_R031,VF_R032,VF_R033,VF_R034,VF_R035,VF_R036,VF_R037,VF_R038,VF_R039,VF_R040,VF_R041,VF_R042,VF_R043,VF_R044,VF_R045)</x:f>
        <x:v>Acordar licencia de datos, cuotas y prueba de extracción; exigir procedimiento de cambio. Dueño: Bastián Trejo. Disparador: No hay autorización y muestra válida al final del mes 2. Validar: Autorización escrita y prueba de posición/historia con límites contratados</x:v>
      </x:c>
      <x:c r="C347" s="16"/>
      <x:c r="D347" s="16"/>
      <x:c r="E347" s="60" t="str">
        <x:f>CHOOSE(MATCH(A347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MA_R001,MA_R002,MA_R003,MA_R004,MA_R005,MA_R006,MA_R007,MA_R008,MA_R009,MA_R010,MA_R011,MA_R012,MA_R013,MA_R014,MA_R015,MA_R016,MA_R017,MA_R018,MA_R019,MA_R020,MA_R021,MA_R022,MA_R023,MA_R024,MA_R025,MA_R026,MA_R027,MA_R028,MA_R029,MA_R030,MA_R031,MA_R032,MA_R033,MA_R034,MA_R035,MA_R036,MA_R037,MA_R038,MA_R039,MA_R040,MA_R041,MA_R042,MA_R043,MA_R044,MA_R045)</x:f>
        <x:v>Pendiente</x:v>
      </x:c>
      <x:c r="F347" s="16" t="str">
        <x:f>CHOOSE(MATCH(A347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ET_R001,ET_R002,ET_R003,ET_R004,ET_R005,ET_R006,ET_R007,ET_R008,ET_R009,ET_R010,ET_R011,ET_R012,ET_R013,ET_R014,ET_R015,ET_R016,ET_R017,ET_R018,ET_R019,ET_R020,ET_R021,ET_R022,ET_R023,ET_R024,ET_R025,ET_R026,ET_R027,ET_R028,ET_R029,ET_R030,ET_R031,ET_R032,ET_R033,ET_R034,ET_R035,ET_R036,ET_R037,ET_R038,ET_R039,ET_R040,ET_R041,ET_R042,ET_R043,ET_R044,ET_R045)</x:f>
        <x:v>Propuesta</x:v>
      </x:c>
      <x:c r="G347" s="16"/>
    </x:row>
    <x:row r="348" ht="96" customHeight="1">
      <x:c r="A348" s="14" t="str">
        <x:f>B290</x:f>
        <x:v>R-039</x:v>
      </x:c>
      <x:c r="B348" s="14" t="str">
        <x:f>CHOOSE(MATCH(A348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AC_R001,AC_R002,AC_R003,AC_R004,AC_R005,AC_R006,AC_R007,AC_R008,AC_R009,AC_R010,AC_R011,AC_R012,AC_R013,AC_R014,AC_R015,AC_R016,AC_R017,AC_R018,AC_R019,AC_R020,AC_R021,AC_R022,AC_R023,AC_R024,AC_R025,AC_R026,AC_R027,AC_R028,AC_R029,AC_R030,AC_R031,AC_R032,AC_R033,AC_R034,AC_R035,AC_R036,AC_R037,AC_R038,AC_R039,AC_R040,AC_R041,AC_R042,AC_R043,AC_R044,AC_R045)&amp;". Dueño: "&amp;CHOOSE(MATCH(A348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DU_R001,DU_R002,DU_R003,DU_R004,DU_R005,DU_R006,DU_R007,DU_R008,DU_R009,DU_R010,DU_R011,DU_R012,DU_R013,DU_R014,DU_R015,DU_R016,DU_R017,DU_R018,DU_R019,DU_R020,DU_R021,DU_R022,DU_R023,DU_R024,DU_R025,DU_R026,DU_R027,DU_R028,DU_R029,DU_R030,DU_R031,DU_R032,DU_R033,DU_R034,DU_R035,DU_R036,DU_R037,DU_R038,DU_R039,DU_R040,DU_R041,DU_R042,DU_R043,DU_R044,DU_R045)&amp;". Disparador: "&amp;CHOOSE(MATCH(A348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DP_R001,DP_R002,DP_R003,DP_R004,DP_R005,DP_R006,DP_R007,DP_R008,DP_R009,DP_R010,DP_R011,DP_R012,DP_R013,DP_R014,DP_R015,DP_R016,DP_R017,DP_R018,DP_R019,DP_R020,DP_R021,DP_R022,DP_R023,DP_R024,DP_R025,DP_R026,DP_R027,DP_R028,DP_R029,DP_R030,DP_R031,DP_R032,DP_R033,DP_R034,DP_R035,DP_R036,DP_R037,DP_R038,DP_R039,DP_R040,DP_R041,DP_R042,DP_R043,DP_R044,DP_R045)&amp;". Validar: "&amp;CHOOSE(MATCH(A348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VF_R001,VF_R002,VF_R003,VF_R004,VF_R005,VF_R006,VF_R007,VF_R008,VF_R009,VF_R010,VF_R011,VF_R012,VF_R013,VF_R014,VF_R015,VF_R016,VF_R017,VF_R018,VF_R019,VF_R020,VF_R021,VF_R022,VF_R023,VF_R024,VF_R025,VF_R026,VF_R027,VF_R028,VF_R029,VF_R030,VF_R031,VF_R032,VF_R033,VF_R034,VF_R035,VF_R036,VF_R037,VF_R038,VF_R039,VF_R040,VF_R041,VF_R042,VF_R043,VF_R044,VF_R045)</x:f>
        <x:v>Acordar canasta y fórmula; recalcular casos de estacionalidad y OTIF bajo sin pago variable. Dueño: Alex Aravena. Disparador: Una variación externa modifica el incentivo sin ajuste o OTIF bajo genera pago. Validar: Contrato y cálculo auditables por Finanzas; tarifas y techo monetario pendientes</x:v>
      </x:c>
      <x:c r="C348" s="14"/>
      <x:c r="D348" s="14"/>
      <x:c r="E348" s="60" t="str">
        <x:f>CHOOSE(MATCH(A348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MA_R001,MA_R002,MA_R003,MA_R004,MA_R005,MA_R006,MA_R007,MA_R008,MA_R009,MA_R010,MA_R011,MA_R012,MA_R013,MA_R014,MA_R015,MA_R016,MA_R017,MA_R018,MA_R019,MA_R020,MA_R021,MA_R022,MA_R023,MA_R024,MA_R025,MA_R026,MA_R027,MA_R028,MA_R029,MA_R030,MA_R031,MA_R032,MA_R033,MA_R034,MA_R035,MA_R036,MA_R037,MA_R038,MA_R039,MA_R040,MA_R041,MA_R042,MA_R043,MA_R044,MA_R045)</x:f>
        <x:v>Pendiente</x:v>
      </x:c>
      <x:c r="F348" s="14" t="str">
        <x:f>CHOOSE(MATCH(A348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ET_R001,ET_R002,ET_R003,ET_R004,ET_R005,ET_R006,ET_R007,ET_R008,ET_R009,ET_R010,ET_R011,ET_R012,ET_R013,ET_R014,ET_R015,ET_R016,ET_R017,ET_R018,ET_R019,ET_R020,ET_R021,ET_R022,ET_R023,ET_R024,ET_R025,ET_R026,ET_R027,ET_R028,ET_R029,ET_R030,ET_R031,ET_R032,ET_R033,ET_R034,ET_R035,ET_R036,ET_R037,ET_R038,ET_R039,ET_R040,ET_R041,ET_R042,ET_R043,ET_R044,ET_R045)</x:f>
        <x:v>Propuesta</x:v>
      </x:c>
      <x:c r="G348" s="14"/>
    </x:row>
    <x:row r="349" ht="96" customHeight="1">
      <x:c r="A349" s="16" t="str">
        <x:f>B291</x:f>
        <x:v>R-033</x:v>
      </x:c>
      <x:c r="B349" s="16" t="str">
        <x:f>CHOOSE(MATCH(A349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AC_R001,AC_R002,AC_R003,AC_R004,AC_R005,AC_R006,AC_R007,AC_R008,AC_R009,AC_R010,AC_R011,AC_R012,AC_R013,AC_R014,AC_R015,AC_R016,AC_R017,AC_R018,AC_R019,AC_R020,AC_R021,AC_R022,AC_R023,AC_R024,AC_R025,AC_R026,AC_R027,AC_R028,AC_R029,AC_R030,AC_R031,AC_R032,AC_R033,AC_R034,AC_R035,AC_R036,AC_R037,AC_R038,AC_R039,AC_R040,AC_R041,AC_R042,AC_R043,AC_R044,AC_R045)&amp;". Dueño: "&amp;CHOOSE(MATCH(A349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DU_R001,DU_R002,DU_R003,DU_R004,DU_R005,DU_R006,DU_R007,DU_R008,DU_R009,DU_R010,DU_R011,DU_R012,DU_R013,DU_R014,DU_R015,DU_R016,DU_R017,DU_R018,DU_R019,DU_R020,DU_R021,DU_R022,DU_R023,DU_R024,DU_R025,DU_R026,DU_R027,DU_R028,DU_R029,DU_R030,DU_R031,DU_R032,DU_R033,DU_R034,DU_R035,DU_R036,DU_R037,DU_R038,DU_R039,DU_R040,DU_R041,DU_R042,DU_R043,DU_R044,DU_R045)&amp;". Disparador: "&amp;CHOOSE(MATCH(A349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DP_R001,DP_R002,DP_R003,DP_R004,DP_R005,DP_R006,DP_R007,DP_R008,DP_R009,DP_R010,DP_R011,DP_R012,DP_R013,DP_R014,DP_R015,DP_R016,DP_R017,DP_R018,DP_R019,DP_R020,DP_R021,DP_R022,DP_R023,DP_R024,DP_R025,DP_R026,DP_R027,DP_R028,DP_R029,DP_R030,DP_R031,DP_R032,DP_R033,DP_R034,DP_R035,DP_R036,DP_R037,DP_R038,DP_R039,DP_R040,DP_R041,DP_R042,DP_R043,DP_R044,DP_R045)&amp;". Validar: "&amp;CHOOSE(MATCH(A349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VF_R001,VF_R002,VF_R003,VF_R004,VF_R005,VF_R006,VF_R007,VF_R008,VF_R009,VF_R010,VF_R011,VF_R012,VF_R013,VF_R014,VF_R015,VF_R016,VF_R017,VF_R018,VF_R019,VF_R020,VF_R021,VF_R022,VF_R023,VF_R024,VF_R025,VF_R026,VF_R027,VF_R028,VF_R029,VF_R030,VF_R031,VF_R032,VF_R033,VF_R034,VF_R035,VF_R036,VF_R037,VF_R038,VF_R039,VF_R040,VF_R041,VF_R042,VF_R043,VF_R044,VF_R045)</x:f>
        <x:v>Consolidar fechas EOL/EOS comprobadas y ensayar actualización o sustitución antes del fin de soporte. Dueño: Bastián Trejo. Disparador: Soporte restante menor a doce meses y sin reemplazo homologado. Validar: Ficha/versiones y calendario anual; presupuesto de reposición pendiente de tarifas</x:v>
      </x:c>
      <x:c r="C349" s="16"/>
      <x:c r="D349" s="16"/>
      <x:c r="E349" s="60" t="str">
        <x:f>CHOOSE(MATCH(A349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MA_R001,MA_R002,MA_R003,MA_R004,MA_R005,MA_R006,MA_R007,MA_R008,MA_R009,MA_R010,MA_R011,MA_R012,MA_R013,MA_R014,MA_R015,MA_R016,MA_R017,MA_R018,MA_R019,MA_R020,MA_R021,MA_R022,MA_R023,MA_R024,MA_R025,MA_R026,MA_R027,MA_R028,MA_R029,MA_R030,MA_R031,MA_R032,MA_R033,MA_R034,MA_R035,MA_R036,MA_R037,MA_R038,MA_R039,MA_R040,MA_R041,MA_R042,MA_R043,MA_R044,MA_R045)</x:f>
        <x:v>Pendiente</x:v>
      </x:c>
      <x:c r="F349" s="16" t="str">
        <x:f>CHOOSE(MATCH(A349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ET_R001,ET_R002,ET_R003,ET_R004,ET_R005,ET_R006,ET_R007,ET_R008,ET_R009,ET_R010,ET_R011,ET_R012,ET_R013,ET_R014,ET_R015,ET_R016,ET_R017,ET_R018,ET_R019,ET_R020,ET_R021,ET_R022,ET_R023,ET_R024,ET_R025,ET_R026,ET_R027,ET_R028,ET_R029,ET_R030,ET_R031,ET_R032,ET_R033,ET_R034,ET_R035,ET_R036,ET_R037,ET_R038,ET_R039,ET_R040,ET_R041,ET_R042,ET_R043,ET_R044,ET_R045)</x:f>
        <x:v>Operación</x:v>
      </x:c>
      <x:c r="G349" s="16"/>
    </x:row>
    <x:row r="350" ht="96" customHeight="1">
      <x:c r="A350" s="14" t="str">
        <x:f>B292</x:f>
        <x:v>R-031</x:v>
      </x:c>
      <x:c r="B350" s="14" t="str">
        <x:f>CHOOSE(MATCH(A350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AC_R001,AC_R002,AC_R003,AC_R004,AC_R005,AC_R006,AC_R007,AC_R008,AC_R009,AC_R010,AC_R011,AC_R012,AC_R013,AC_R014,AC_R015,AC_R016,AC_R017,AC_R018,AC_R019,AC_R020,AC_R021,AC_R022,AC_R023,AC_R024,AC_R025,AC_R026,AC_R027,AC_R028,AC_R029,AC_R030,AC_R031,AC_R032,AC_R033,AC_R034,AC_R035,AC_R036,AC_R037,AC_R038,AC_R039,AC_R040,AC_R041,AC_R042,AC_R043,AC_R044,AC_R045)&amp;". Dueño: "&amp;CHOOSE(MATCH(A350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DU_R001,DU_R002,DU_R003,DU_R004,DU_R005,DU_R006,DU_R007,DU_R008,DU_R009,DU_R010,DU_R011,DU_R012,DU_R013,DU_R014,DU_R015,DU_R016,DU_R017,DU_R018,DU_R019,DU_R020,DU_R021,DU_R022,DU_R023,DU_R024,DU_R025,DU_R026,DU_R027,DU_R028,DU_R029,DU_R030,DU_R031,DU_R032,DU_R033,DU_R034,DU_R035,DU_R036,DU_R037,DU_R038,DU_R039,DU_R040,DU_R041,DU_R042,DU_R043,DU_R044,DU_R045)&amp;". Disparador: "&amp;CHOOSE(MATCH(A350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DP_R001,DP_R002,DP_R003,DP_R004,DP_R005,DP_R006,DP_R007,DP_R008,DP_R009,DP_R010,DP_R011,DP_R012,DP_R013,DP_R014,DP_R015,DP_R016,DP_R017,DP_R018,DP_R019,DP_R020,DP_R021,DP_R022,DP_R023,DP_R024,DP_R025,DP_R026,DP_R027,DP_R028,DP_R029,DP_R030,DP_R031,DP_R032,DP_R033,DP_R034,DP_R035,DP_R036,DP_R037,DP_R038,DP_R039,DP_R040,DP_R041,DP_R042,DP_R043,DP_R044,DP_R045)&amp;". Validar: "&amp;CHOOSE(MATCH(A350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VF_R001,VF_R002,VF_R003,VF_R004,VF_R005,VF_R006,VF_R007,VF_R008,VF_R009,VF_R010,VF_R011,VF_R012,VF_R013,VF_R014,VF_R015,VF_R016,VF_R017,VF_R018,VF_R019,VF_R020,VF_R021,VF_R022,VF_R023,VF_R024,VF_R025,VF_R026,VF_R027,VF_R028,VF_R029,VF_R030,VF_R031,VF_R032,VF_R033,VF_R034,VF_R035,VF_R036,VF_R037,VF_R038,VF_R039,VF_R040,VF_R041,VF_R042,VF_R043,VF_R044,VF_R045)</x:f>
        <x:v>Validar contactos y probar fallback por canal con confirmación de entrega; medir apertura por separado. Dueño: Tomás Pérez. Disparador: Mensaje fallido o contacto inválido antes de partida. Validar: Prueba de recepción antes de salida; SMS sin lectura informable no cuenta como abierto</x:v>
      </x:c>
      <x:c r="C350" s="14"/>
      <x:c r="D350" s="14"/>
      <x:c r="E350" s="60" t="str">
        <x:f>CHOOSE(MATCH(A350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MA_R001,MA_R002,MA_R003,MA_R004,MA_R005,MA_R006,MA_R007,MA_R008,MA_R009,MA_R010,MA_R011,MA_R012,MA_R013,MA_R014,MA_R015,MA_R016,MA_R017,MA_R018,MA_R019,MA_R020,MA_R021,MA_R022,MA_R023,MA_R024,MA_R025,MA_R026,MA_R027,MA_R028,MA_R029,MA_R030,MA_R031,MA_R032,MA_R033,MA_R034,MA_R035,MA_R036,MA_R037,MA_R038,MA_R039,MA_R040,MA_R041,MA_R042,MA_R043,MA_R044,MA_R045)</x:f>
        <x:v>Pendiente</x:v>
      </x:c>
      <x:c r="F350" s="14" t="str">
        <x:f>CHOOSE(MATCH(A350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ET_R001,ET_R002,ET_R003,ET_R004,ET_R005,ET_R006,ET_R007,ET_R008,ET_R009,ET_R010,ET_R011,ET_R012,ET_R013,ET_R014,ET_R015,ET_R016,ET_R017,ET_R018,ET_R019,ET_R020,ET_R021,ET_R022,ET_R023,ET_R024,ET_R025,ET_R026,ET_R027,ET_R028,ET_R029,ET_R030,ET_R031,ET_R032,ET_R033,ET_R034,ET_R035,ET_R036,ET_R037,ET_R038,ET_R039,ET_R040,ET_R041,ET_R042,ET_R043,ET_R044,ET_R045)</x:f>
        <x:v>Implementación</x:v>
      </x:c>
      <x:c r="G350" s="14"/>
    </x:row>
    <x:row r="351" ht="96" customHeight="1">
      <x:c r="A351" s="16" t="str">
        <x:f>B293</x:f>
        <x:v>R-037</x:v>
      </x:c>
      <x:c r="B351" s="16" t="str">
        <x:f>CHOOSE(MATCH(A351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AC_R001,AC_R002,AC_R003,AC_R004,AC_R005,AC_R006,AC_R007,AC_R008,AC_R009,AC_R010,AC_R011,AC_R012,AC_R013,AC_R014,AC_R015,AC_R016,AC_R017,AC_R018,AC_R019,AC_R020,AC_R021,AC_R022,AC_R023,AC_R024,AC_R025,AC_R026,AC_R027,AC_R028,AC_R029,AC_R030,AC_R031,AC_R032,AC_R033,AC_R034,AC_R035,AC_R036,AC_R037,AC_R038,AC_R039,AC_R040,AC_R041,AC_R042,AC_R043,AC_R044,AC_R045)&amp;". Dueño: "&amp;CHOOSE(MATCH(A351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DU_R001,DU_R002,DU_R003,DU_R004,DU_R005,DU_R006,DU_R007,DU_R008,DU_R009,DU_R010,DU_R011,DU_R012,DU_R013,DU_R014,DU_R015,DU_R016,DU_R017,DU_R018,DU_R019,DU_R020,DU_R021,DU_R022,DU_R023,DU_R024,DU_R025,DU_R026,DU_R027,DU_R028,DU_R029,DU_R030,DU_R031,DU_R032,DU_R033,DU_R034,DU_R035,DU_R036,DU_R037,DU_R038,DU_R039,DU_R040,DU_R041,DU_R042,DU_R043,DU_R044,DU_R045)&amp;". Disparador: "&amp;CHOOSE(MATCH(A351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DP_R001,DP_R002,DP_R003,DP_R004,DP_R005,DP_R006,DP_R007,DP_R008,DP_R009,DP_R010,DP_R011,DP_R012,DP_R013,DP_R014,DP_R015,DP_R016,DP_R017,DP_R018,DP_R019,DP_R020,DP_R021,DP_R022,DP_R023,DP_R024,DP_R025,DP_R026,DP_R027,DP_R028,DP_R029,DP_R030,DP_R031,DP_R032,DP_R033,DP_R034,DP_R035,DP_R036,DP_R037,DP_R038,DP_R039,DP_R040,DP_R041,DP_R042,DP_R043,DP_R044,DP_R045)&amp;". Validar: "&amp;CHOOSE(MATCH(A351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VF_R001,VF_R002,VF_R003,VF_R004,VF_R005,VF_R006,VF_R007,VF_R008,VF_R009,VF_R010,VF_R011,VF_R012,VF_R013,VF_R014,VF_R015,VF_R016,VF_R017,VF_R018,VF_R019,VF_R020,VF_R021,VF_R022,VF_R023,VF_R024,VF_R025,VF_R026,VF_R027,VF_R028,VF_R029,VF_R030,VF_R031,VF_R032,VF_R033,VF_R034,VF_R035,VF_R036,VF_R037,VF_R038,VF_R039,VF_R040,VF_R041,VF_R042,VF_R043,VF_R044,VF_R045)</x:f>
        <x:v>Seleccionar incidentes de prueba y verificar reproducción con datos minimizados y versión exacta. Dueño: Tomás Pérez. Disparador: Ticket se cierra sin reproducción o reaparece por la misma causa. Validar: Escenario reproduce fallo, corrección lo elimina y datos sensibles están protegidos</x:v>
      </x:c>
      <x:c r="C351" s="16"/>
      <x:c r="D351" s="16"/>
      <x:c r="E351" s="60" t="str">
        <x:f>CHOOSE(MATCH(A351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MA_R001,MA_R002,MA_R003,MA_R004,MA_R005,MA_R006,MA_R007,MA_R008,MA_R009,MA_R010,MA_R011,MA_R012,MA_R013,MA_R014,MA_R015,MA_R016,MA_R017,MA_R018,MA_R019,MA_R020,MA_R021,MA_R022,MA_R023,MA_R024,MA_R025,MA_R026,MA_R027,MA_R028,MA_R029,MA_R030,MA_R031,MA_R032,MA_R033,MA_R034,MA_R035,MA_R036,MA_R037,MA_R038,MA_R039,MA_R040,MA_R041,MA_R042,MA_R043,MA_R044,MA_R045)</x:f>
        <x:v>Pendiente</x:v>
      </x:c>
      <x:c r="F351" s="16" t="str">
        <x:f>CHOOSE(MATCH(A351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ET_R001,ET_R002,ET_R003,ET_R004,ET_R005,ET_R006,ET_R007,ET_R008,ET_R009,ET_R010,ET_R011,ET_R012,ET_R013,ET_R014,ET_R015,ET_R016,ET_R017,ET_R018,ET_R019,ET_R020,ET_R021,ET_R022,ET_R023,ET_R024,ET_R025,ET_R026,ET_R027,ET_R028,ET_R029,ET_R030,ET_R031,ET_R032,ET_R033,ET_R034,ET_R035,ET_R036,ET_R037,ET_R038,ET_R039,ET_R040,ET_R041,ET_R042,ET_R043,ET_R044,ET_R045)</x:f>
        <x:v>Implementación</x:v>
      </x:c>
      <x:c r="G351" s="16"/>
    </x:row>
    <x:row r="352" ht="96" customHeight="1">
      <x:c r="A352" s="14" t="str">
        <x:f>B294</x:f>
        <x:v>R-019</x:v>
      </x:c>
      <x:c r="B352" s="14" t="str">
        <x:f>CHOOSE(MATCH(A352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AC_R001,AC_R002,AC_R003,AC_R004,AC_R005,AC_R006,AC_R007,AC_R008,AC_R009,AC_R010,AC_R011,AC_R012,AC_R013,AC_R014,AC_R015,AC_R016,AC_R017,AC_R018,AC_R019,AC_R020,AC_R021,AC_R022,AC_R023,AC_R024,AC_R025,AC_R026,AC_R027,AC_R028,AC_R029,AC_R030,AC_R031,AC_R032,AC_R033,AC_R034,AC_R035,AC_R036,AC_R037,AC_R038,AC_R039,AC_R040,AC_R041,AC_R042,AC_R043,AC_R044,AC_R045)&amp;". Dueño: "&amp;CHOOSE(MATCH(A352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DU_R001,DU_R002,DU_R003,DU_R004,DU_R005,DU_R006,DU_R007,DU_R008,DU_R009,DU_R010,DU_R011,DU_R012,DU_R013,DU_R014,DU_R015,DU_R016,DU_R017,DU_R018,DU_R019,DU_R020,DU_R021,DU_R022,DU_R023,DU_R024,DU_R025,DU_R026,DU_R027,DU_R028,DU_R029,DU_R030,DU_R031,DU_R032,DU_R033,DU_R034,DU_R035,DU_R036,DU_R037,DU_R038,DU_R039,DU_R040,DU_R041,DU_R042,DU_R043,DU_R044,DU_R045)&amp;". Disparador: "&amp;CHOOSE(MATCH(A352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DP_R001,DP_R002,DP_R003,DP_R004,DP_R005,DP_R006,DP_R007,DP_R008,DP_R009,DP_R010,DP_R011,DP_R012,DP_R013,DP_R014,DP_R015,DP_R016,DP_R017,DP_R018,DP_R019,DP_R020,DP_R021,DP_R022,DP_R023,DP_R024,DP_R025,DP_R026,DP_R027,DP_R028,DP_R029,DP_R030,DP_R031,DP_R032,DP_R033,DP_R034,DP_R035,DP_R036,DP_R037,DP_R038,DP_R039,DP_R040,DP_R041,DP_R042,DP_R043,DP_R044,DP_R045)&amp;". Validar: "&amp;CHOOSE(MATCH(A352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VF_R001,VF_R002,VF_R003,VF_R004,VF_R005,VF_R006,VF_R007,VF_R008,VF_R009,VF_R010,VF_R011,VF_R012,VF_R013,VF_R014,VF_R015,VF_R016,VF_R017,VF_R018,VF_R019,VF_R020,VF_R021,VF_R022,VF_R023,VF_R024,VF_R025,VF_R026,VF_R027,VF_R028,VF_R029,VF_R030,VF_R031,VF_R032,VF_R033,VF_R034,VF_R035,VF_R036,VF_R037,VF_R038,VF_R039,VF_R040,VF_R041,VF_R042,VF_R043,VF_R044,VF_R045)</x:f>
        <x:v>Validar incorporación de personal nuevo con tareas reales y guías breves de turno. Dueño: Patricio Henríquez. Disparador: Errores superan el criterio aprobado o novato requiere apoyo continuo. Validar: Medir tiempo, pasos y errores según 3.A.4a con novatos en turno nocturno</x:v>
      </x:c>
      <x:c r="C352" s="14"/>
      <x:c r="D352" s="14"/>
      <x:c r="E352" s="60" t="str">
        <x:f>CHOOSE(MATCH(A352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MA_R001,MA_R002,MA_R003,MA_R004,MA_R005,MA_R006,MA_R007,MA_R008,MA_R009,MA_R010,MA_R011,MA_R012,MA_R013,MA_R014,MA_R015,MA_R016,MA_R017,MA_R018,MA_R019,MA_R020,MA_R021,MA_R022,MA_R023,MA_R024,MA_R025,MA_R026,MA_R027,MA_R028,MA_R029,MA_R030,MA_R031,MA_R032,MA_R033,MA_R034,MA_R035,MA_R036,MA_R037,MA_R038,MA_R039,MA_R040,MA_R041,MA_R042,MA_R043,MA_R044,MA_R045)</x:f>
        <x:v>Pendiente</x:v>
      </x:c>
      <x:c r="F352" s="14" t="str">
        <x:f>CHOOSE(MATCH(A352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ET_R001,ET_R002,ET_R003,ET_R004,ET_R005,ET_R006,ET_R007,ET_R008,ET_R009,ET_R010,ET_R011,ET_R012,ET_R013,ET_R014,ET_R015,ET_R016,ET_R017,ET_R018,ET_R019,ET_R020,ET_R021,ET_R022,ET_R023,ET_R024,ET_R025,ET_R026,ET_R027,ET_R028,ET_R029,ET_R030,ET_R031,ET_R032,ET_R033,ET_R034,ET_R035,ET_R036,ET_R037,ET_R038,ET_R039,ET_R040,ET_R041,ET_R042,ET_R043,ET_R044,ET_R045)</x:f>
        <x:v>Implantación</x:v>
      </x:c>
      <x:c r="G352" s="14"/>
    </x:row>
    <x:row r="353" ht="96" customHeight="1">
      <x:c r="A353" s="16" t="str">
        <x:f>B295</x:f>
        <x:v>R-020</x:v>
      </x:c>
      <x:c r="B353" s="16" t="str">
        <x:f>CHOOSE(MATCH(A353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AC_R001,AC_R002,AC_R003,AC_R004,AC_R005,AC_R006,AC_R007,AC_R008,AC_R009,AC_R010,AC_R011,AC_R012,AC_R013,AC_R014,AC_R015,AC_R016,AC_R017,AC_R018,AC_R019,AC_R020,AC_R021,AC_R022,AC_R023,AC_R024,AC_R025,AC_R026,AC_R027,AC_R028,AC_R029,AC_R030,AC_R031,AC_R032,AC_R033,AC_R034,AC_R035,AC_R036,AC_R037,AC_R038,AC_R039,AC_R040,AC_R041,AC_R042,AC_R043,AC_R044,AC_R045)&amp;". Dueño: "&amp;CHOOSE(MATCH(A353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DU_R001,DU_R002,DU_R003,DU_R004,DU_R005,DU_R006,DU_R007,DU_R008,DU_R009,DU_R010,DU_R011,DU_R012,DU_R013,DU_R014,DU_R015,DU_R016,DU_R017,DU_R018,DU_R019,DU_R020,DU_R021,DU_R022,DU_R023,DU_R024,DU_R025,DU_R026,DU_R027,DU_R028,DU_R029,DU_R030,DU_R031,DU_R032,DU_R033,DU_R034,DU_R035,DU_R036,DU_R037,DU_R038,DU_R039,DU_R040,DU_R041,DU_R042,DU_R043,DU_R044,DU_R045)&amp;". Disparador: "&amp;CHOOSE(MATCH(A353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DP_R001,DP_R002,DP_R003,DP_R004,DP_R005,DP_R006,DP_R007,DP_R008,DP_R009,DP_R010,DP_R011,DP_R012,DP_R013,DP_R014,DP_R015,DP_R016,DP_R017,DP_R018,DP_R019,DP_R020,DP_R021,DP_R022,DP_R023,DP_R024,DP_R025,DP_R026,DP_R027,DP_R028,DP_R029,DP_R030,DP_R031,DP_R032,DP_R033,DP_R034,DP_R035,DP_R036,DP_R037,DP_R038,DP_R039,DP_R040,DP_R041,DP_R042,DP_R043,DP_R044,DP_R045)&amp;". Validar: "&amp;CHOOSE(MATCH(A353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VF_R001,VF_R002,VF_R003,VF_R004,VF_R005,VF_R006,VF_R007,VF_R008,VF_R009,VF_R010,VF_R011,VF_R012,VF_R013,VF_R014,VF_R015,VF_R016,VF_R017,VF_R018,VF_R019,VF_R020,VF_R021,VF_R022,VF_R023,VF_R024,VF_R025,VF_R026,VF_R027,VF_R028,VF_R029,VF_R030,VF_R031,VF_R032,VF_R033,VF_R034,VF_R035,VF_R036,VF_R037,VF_R038,VF_R039,VF_R040,VF_R041,VF_R042,VF_R043,VF_R044,VF_R045)</x:f>
        <x:v>Acordar microturnos de entrenamiento y recuperar ausencias por ruta y perfil. Dueño: Patricio Henríquez. Disparador: Cobertura de certificación incompleta dos semanas antes de cierre. Validar: Agenda aprobada, asistencia y prueba práctica individual por perfil</x:v>
      </x:c>
      <x:c r="C353" s="16"/>
      <x:c r="D353" s="16"/>
      <x:c r="E353" s="60" t="str">
        <x:f>CHOOSE(MATCH(A353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MA_R001,MA_R002,MA_R003,MA_R004,MA_R005,MA_R006,MA_R007,MA_R008,MA_R009,MA_R010,MA_R011,MA_R012,MA_R013,MA_R014,MA_R015,MA_R016,MA_R017,MA_R018,MA_R019,MA_R020,MA_R021,MA_R022,MA_R023,MA_R024,MA_R025,MA_R026,MA_R027,MA_R028,MA_R029,MA_R030,MA_R031,MA_R032,MA_R033,MA_R034,MA_R035,MA_R036,MA_R037,MA_R038,MA_R039,MA_R040,MA_R041,MA_R042,MA_R043,MA_R044,MA_R045)</x:f>
        <x:v>Pendiente</x:v>
      </x:c>
      <x:c r="F353" s="16" t="str">
        <x:f>CHOOSE(MATCH(A353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ET_R001,ET_R002,ET_R003,ET_R004,ET_R005,ET_R006,ET_R007,ET_R008,ET_R009,ET_R010,ET_R011,ET_R012,ET_R013,ET_R014,ET_R015,ET_R016,ET_R017,ET_R018,ET_R019,ET_R020,ET_R021,ET_R022,ET_R023,ET_R024,ET_R025,ET_R026,ET_R027,ET_R028,ET_R029,ET_R030,ET_R031,ET_R032,ET_R033,ET_R034,ET_R035,ET_R036,ET_R037,ET_R038,ET_R039,ET_R040,ET_R041,ET_R042,ET_R043,ET_R044,ET_R045)</x:f>
        <x:v>Implantación</x:v>
      </x:c>
      <x:c r="G353" s="16"/>
    </x:row>
    <x:row r="354" ht="96" customHeight="1">
      <x:c r="A354" s="14" t="str">
        <x:f>B296</x:f>
        <x:v>R-036</x:v>
      </x:c>
      <x:c r="B354" s="14" t="str">
        <x:f>CHOOSE(MATCH(A354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AC_R001,AC_R002,AC_R003,AC_R004,AC_R005,AC_R006,AC_R007,AC_R008,AC_R009,AC_R010,AC_R011,AC_R012,AC_R013,AC_R014,AC_R015,AC_R016,AC_R017,AC_R018,AC_R019,AC_R020,AC_R021,AC_R022,AC_R023,AC_R024,AC_R025,AC_R026,AC_R027,AC_R028,AC_R029,AC_R030,AC_R031,AC_R032,AC_R033,AC_R034,AC_R035,AC_R036,AC_R037,AC_R038,AC_R039,AC_R040,AC_R041,AC_R042,AC_R043,AC_R044,AC_R045)&amp;". Dueño: "&amp;CHOOSE(MATCH(A354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DU_R001,DU_R002,DU_R003,DU_R004,DU_R005,DU_R006,DU_R007,DU_R008,DU_R009,DU_R010,DU_R011,DU_R012,DU_R013,DU_R014,DU_R015,DU_R016,DU_R017,DU_R018,DU_R019,DU_R020,DU_R021,DU_R022,DU_R023,DU_R024,DU_R025,DU_R026,DU_R027,DU_R028,DU_R029,DU_R030,DU_R031,DU_R032,DU_R033,DU_R034,DU_R035,DU_R036,DU_R037,DU_R038,DU_R039,DU_R040,DU_R041,DU_R042,DU_R043,DU_R044,DU_R045)&amp;". Disparador: "&amp;CHOOSE(MATCH(A354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DP_R001,DP_R002,DP_R003,DP_R004,DP_R005,DP_R006,DP_R007,DP_R008,DP_R009,DP_R010,DP_R011,DP_R012,DP_R013,DP_R014,DP_R015,DP_R016,DP_R017,DP_R018,DP_R019,DP_R020,DP_R021,DP_R022,DP_R023,DP_R024,DP_R025,DP_R026,DP_R027,DP_R028,DP_R029,DP_R030,DP_R031,DP_R032,DP_R033,DP_R034,DP_R035,DP_R036,DP_R037,DP_R038,DP_R039,DP_R040,DP_R041,DP_R042,DP_R043,DP_R044,DP_R045)&amp;". Validar: "&amp;CHOOSE(MATCH(A354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VF_R001,VF_R002,VF_R003,VF_R004,VF_R005,VF_R006,VF_R007,VF_R008,VF_R009,VF_R010,VF_R011,VF_R012,VF_R013,VF_R014,VF_R015,VF_R016,VF_R017,VF_R018,VF_R019,VF_R020,VF_R021,VF_R022,VF_R023,VF_R024,VF_R025,VF_R026,VF_R027,VF_R028,VF_R029,VF_R030,VF_R031,VF_R032,VF_R033,VF_R034,VF_R035,VF_R036,VF_R037,VF_R038,VF_R039,VF_R040,VF_R041,VF_R042,VF_R043,VF_R044,VF_R045)</x:f>
        <x:v>Pilotear por locales voluntarios y separar saldo inferido de observado; validar avisos antes de acción. Dueño: Patricio Henríquez. Disparador: Avisos sin lote confirmado o rechazo reiterado del local. Validar: Muestra de avisos confirmados, intervención autorizada e indicador INN-01 medido</x:v>
      </x:c>
      <x:c r="C354" s="14"/>
      <x:c r="D354" s="14"/>
      <x:c r="E354" s="60" t="str">
        <x:f>CHOOSE(MATCH(A354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MA_R001,MA_R002,MA_R003,MA_R004,MA_R005,MA_R006,MA_R007,MA_R008,MA_R009,MA_R010,MA_R011,MA_R012,MA_R013,MA_R014,MA_R015,MA_R016,MA_R017,MA_R018,MA_R019,MA_R020,MA_R021,MA_R022,MA_R023,MA_R024,MA_R025,MA_R026,MA_R027,MA_R028,MA_R029,MA_R030,MA_R031,MA_R032,MA_R033,MA_R034,MA_R035,MA_R036,MA_R037,MA_R038,MA_R039,MA_R040,MA_R041,MA_R042,MA_R043,MA_R044,MA_R045)</x:f>
        <x:v>Pendiente</x:v>
      </x:c>
      <x:c r="F354" s="14" t="str">
        <x:f>CHOOSE(MATCH(A354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ET_R001,ET_R002,ET_R003,ET_R004,ET_R005,ET_R006,ET_R007,ET_R008,ET_R009,ET_R010,ET_R011,ET_R012,ET_R013,ET_R014,ET_R015,ET_R016,ET_R017,ET_R018,ET_R019,ET_R020,ET_R021,ET_R022,ET_R023,ET_R024,ET_R025,ET_R026,ET_R027,ET_R028,ET_R029,ET_R030,ET_R031,ET_R032,ET_R033,ET_R034,ET_R035,ET_R036,ET_R037,ET_R038,ET_R039,ET_R040,ET_R041,ET_R042,ET_R043,ET_R044,ET_R045)</x:f>
        <x:v>Implantación</x:v>
      </x:c>
      <x:c r="G354" s="14"/>
    </x:row>
    <x:row r="355" ht="96" customHeight="1">
      <x:c r="A355" s="16" t="str">
        <x:f>B297</x:f>
        <x:v>R-040</x:v>
      </x:c>
      <x:c r="B355" s="16" t="str">
        <x:f>CHOOSE(MATCH(A355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AC_R001,AC_R002,AC_R003,AC_R004,AC_R005,AC_R006,AC_R007,AC_R008,AC_R009,AC_R010,AC_R011,AC_R012,AC_R013,AC_R014,AC_R015,AC_R016,AC_R017,AC_R018,AC_R019,AC_R020,AC_R021,AC_R022,AC_R023,AC_R024,AC_R025,AC_R026,AC_R027,AC_R028,AC_R029,AC_R030,AC_R031,AC_R032,AC_R033,AC_R034,AC_R035,AC_R036,AC_R037,AC_R038,AC_R039,AC_R040,AC_R041,AC_R042,AC_R043,AC_R044,AC_R045)&amp;". Dueño: "&amp;CHOOSE(MATCH(A355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DU_R001,DU_R002,DU_R003,DU_R004,DU_R005,DU_R006,DU_R007,DU_R008,DU_R009,DU_R010,DU_R011,DU_R012,DU_R013,DU_R014,DU_R015,DU_R016,DU_R017,DU_R018,DU_R019,DU_R020,DU_R021,DU_R022,DU_R023,DU_R024,DU_R025,DU_R026,DU_R027,DU_R028,DU_R029,DU_R030,DU_R031,DU_R032,DU_R033,DU_R034,DU_R035,DU_R036,DU_R037,DU_R038,DU_R039,DU_R040,DU_R041,DU_R042,DU_R043,DU_R044,DU_R045)&amp;". Disparador: "&amp;CHOOSE(MATCH(A355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DP_R001,DP_R002,DP_R003,DP_R004,DP_R005,DP_R006,DP_R007,DP_R008,DP_R009,DP_R010,DP_R011,DP_R012,DP_R013,DP_R014,DP_R015,DP_R016,DP_R017,DP_R018,DP_R019,DP_R020,DP_R021,DP_R022,DP_R023,DP_R024,DP_R025,DP_R026,DP_R027,DP_R028,DP_R029,DP_R030,DP_R031,DP_R032,DP_R033,DP_R034,DP_R035,DP_R036,DP_R037,DP_R038,DP_R039,DP_R040,DP_R041,DP_R042,DP_R043,DP_R044,DP_R045)&amp;". Validar: "&amp;CHOOSE(MATCH(A355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VF_R001,VF_R002,VF_R003,VF_R004,VF_R005,VF_R006,VF_R007,VF_R008,VF_R009,VF_R010,VF_R011,VF_R012,VF_R013,VF_R014,VF_R015,VF_R016,VF_R017,VF_R018,VF_R019,VF_R020,VF_R021,VF_R022,VF_R023,VF_R024,VF_R025,VF_R026,VF_R027,VF_R028,VF_R029,VF_R030,VF_R031,VF_R032,VF_R033,VF_R034,VF_R035,VF_R036,VF_R037,VF_R038,VF_R039,VF_R040,VF_R041,VF_R042,VF_R043,VF_R044,VF_R045)</x:f>
        <x:v>Probar comprensión con locales y revisión de divulgación; desactivar comparativos hasta autorización. Dueño: Patricio Henríquez. Disparador: Local no puede explicar la hoja o agregado permite reidentificar. Validar: Prueba de comprensión; revisión de privacidad y separación de copias pedidas/entregadas</x:v>
      </x:c>
      <x:c r="C355" s="16"/>
      <x:c r="D355" s="16"/>
      <x:c r="E355" s="60" t="str">
        <x:f>CHOOSE(MATCH(A355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MA_R001,MA_R002,MA_R003,MA_R004,MA_R005,MA_R006,MA_R007,MA_R008,MA_R009,MA_R010,MA_R011,MA_R012,MA_R013,MA_R014,MA_R015,MA_R016,MA_R017,MA_R018,MA_R019,MA_R020,MA_R021,MA_R022,MA_R023,MA_R024,MA_R025,MA_R026,MA_R027,MA_R028,MA_R029,MA_R030,MA_R031,MA_R032,MA_R033,MA_R034,MA_R035,MA_R036,MA_R037,MA_R038,MA_R039,MA_R040,MA_R041,MA_R042,MA_R043,MA_R044,MA_R045)</x:f>
        <x:v>Pendiente</x:v>
      </x:c>
      <x:c r="F355" s="16" t="str">
        <x:f>CHOOSE(MATCH(A355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ET_R001,ET_R002,ET_R003,ET_R004,ET_R005,ET_R006,ET_R007,ET_R008,ET_R009,ET_R010,ET_R011,ET_R012,ET_R013,ET_R014,ET_R015,ET_R016,ET_R017,ET_R018,ET_R019,ET_R020,ET_R021,ET_R022,ET_R023,ET_R024,ET_R025,ET_R026,ET_R027,ET_R028,ET_R029,ET_R030,ET_R031,ET_R032,ET_R033,ET_R034,ET_R035,ET_R036,ET_R037,ET_R038,ET_R039,ET_R040,ET_R041,ET_R042,ET_R043,ET_R044,ET_R045)</x:f>
        <x:v>Implantación</x:v>
      </x:c>
      <x:c r="G355" s="16"/>
    </x:row>
    <x:row r="356" ht="96" customHeight="1">
      <x:c r="A356" s="14" t="str">
        <x:f>B298</x:f>
        <x:v>R-044</x:v>
      </x:c>
      <x:c r="B356" s="14" t="str">
        <x:f>CHOOSE(MATCH(A356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AC_R001,AC_R002,AC_R003,AC_R004,AC_R005,AC_R006,AC_R007,AC_R008,AC_R009,AC_R010,AC_R011,AC_R012,AC_R013,AC_R014,AC_R015,AC_R016,AC_R017,AC_R018,AC_R019,AC_R020,AC_R021,AC_R022,AC_R023,AC_R024,AC_R025,AC_R026,AC_R027,AC_R028,AC_R029,AC_R030,AC_R031,AC_R032,AC_R033,AC_R034,AC_R035,AC_R036,AC_R037,AC_R038,AC_R039,AC_R040,AC_R041,AC_R042,AC_R043,AC_R044,AC_R045)&amp;". Dueño: "&amp;CHOOSE(MATCH(A356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DU_R001,DU_R002,DU_R003,DU_R004,DU_R005,DU_R006,DU_R007,DU_R008,DU_R009,DU_R010,DU_R011,DU_R012,DU_R013,DU_R014,DU_R015,DU_R016,DU_R017,DU_R018,DU_R019,DU_R020,DU_R021,DU_R022,DU_R023,DU_R024,DU_R025,DU_R026,DU_R027,DU_R028,DU_R029,DU_R030,DU_R031,DU_R032,DU_R033,DU_R034,DU_R035,DU_R036,DU_R037,DU_R038,DU_R039,DU_R040,DU_R041,DU_R042,DU_R043,DU_R044,DU_R045)&amp;". Disparador: "&amp;CHOOSE(MATCH(A356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DP_R001,DP_R002,DP_R003,DP_R004,DP_R005,DP_R006,DP_R007,DP_R008,DP_R009,DP_R010,DP_R011,DP_R012,DP_R013,DP_R014,DP_R015,DP_R016,DP_R017,DP_R018,DP_R019,DP_R020,DP_R021,DP_R022,DP_R023,DP_R024,DP_R025,DP_R026,DP_R027,DP_R028,DP_R029,DP_R030,DP_R031,DP_R032,DP_R033,DP_R034,DP_R035,DP_R036,DP_R037,DP_R038,DP_R039,DP_R040,DP_R041,DP_R042,DP_R043,DP_R044,DP_R045)&amp;". Validar: "&amp;CHOOSE(MATCH(A356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VF_R001,VF_R002,VF_R003,VF_R004,VF_R005,VF_R006,VF_R007,VF_R008,VF_R009,VF_R010,VF_R011,VF_R012,VF_R013,VF_R014,VF_R015,VF_R016,VF_R017,VF_R018,VF_R019,VF_R020,VF_R021,VF_R022,VF_R023,VF_R024,VF_R025,VF_R026,VF_R027,VF_R028,VF_R029,VF_R030,VF_R031,VF_R032,VF_R033,VF_R034,VF_R035,VF_R036,VF_R037,VF_R038,VF_R039,VF_R040,VF_R041,VF_R042,VF_R043,VF_R044,VF_R045)</x:f>
        <x:v>Probar retorno parcial, sitio offline y reintento con lote retenido y envase recuperado. Dueño: Leandro Chamorro. Disparador: Dos movimientos para una recepción o saldo sin vínculo a entrega. Validar: Conciliación por cliente/tipo y lote; MERMA/DESTRUCCION no duplica costo</x:v>
      </x:c>
      <x:c r="C356" s="14"/>
      <x:c r="D356" s="14"/>
      <x:c r="E356" s="60" t="str">
        <x:f>CHOOSE(MATCH(A356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MA_R001,MA_R002,MA_R003,MA_R004,MA_R005,MA_R006,MA_R007,MA_R008,MA_R009,MA_R010,MA_R011,MA_R012,MA_R013,MA_R014,MA_R015,MA_R016,MA_R017,MA_R018,MA_R019,MA_R020,MA_R021,MA_R022,MA_R023,MA_R024,MA_R025,MA_R026,MA_R027,MA_R028,MA_R029,MA_R030,MA_R031,MA_R032,MA_R033,MA_R034,MA_R035,MA_R036,MA_R037,MA_R038,MA_R039,MA_R040,MA_R041,MA_R042,MA_R043,MA_R044,MA_R045)</x:f>
        <x:v>Pendiente</x:v>
      </x:c>
      <x:c r="F356" s="14" t="str">
        <x:f>CHOOSE(MATCH(A356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ET_R001,ET_R002,ET_R003,ET_R004,ET_R005,ET_R006,ET_R007,ET_R008,ET_R009,ET_R010,ET_R011,ET_R012,ET_R013,ET_R014,ET_R015,ET_R016,ET_R017,ET_R018,ET_R019,ET_R020,ET_R021,ET_R022,ET_R023,ET_R024,ET_R025,ET_R026,ET_R027,ET_R028,ET_R029,ET_R030,ET_R031,ET_R032,ET_R033,ET_R034,ET_R035,ET_R036,ET_R037,ET_R038,ET_R039,ET_R040,ET_R041,ET_R042,ET_R043,ET_R044,ET_R045)</x:f>
        <x:v>Implementación</x:v>
      </x:c>
      <x:c r="G356" s="14"/>
    </x:row>
    <x:row r="357">
      <x:c r="A357" s="3"/>
      <x:c r="B357" s="3"/>
      <x:c r="C357" s="3"/>
      <x:c r="D357" s="3"/>
      <x:c r="E357" s="3"/>
      <x:c r="F357" s="3"/>
      <x:c r="G357" s="3"/>
    </x:row>
    <x:row r="358">
      <x:c r="A358" s="3"/>
      <x:c r="B358" s="3"/>
      <x:c r="C358" s="3"/>
      <x:c r="D358" s="3"/>
      <x:c r="E358" s="3"/>
      <x:c r="F358" s="3"/>
      <x:c r="G358" s="3"/>
    </x:row>
    <x:row r="359" ht="26" customHeight="1">
      <x:c r="A359" s="23" t="str">
        <x:v>6.3 · Distribución por etapa</x:v>
      </x:c>
      <x:c r="B359" s="23"/>
      <x:c r="C359" s="23"/>
      <x:c r="D359" s="23"/>
      <x:c r="E359" s="23"/>
      <x:c r="F359" s="23"/>
      <x:c r="G359" s="23"/>
    </x:row>
    <x:row r="360" ht="26" customHeight="1">
      <x:c r="A360" s="7" t="str">
        <x:v>Tabla 11 · Distribución por etapa</x:v>
      </x:c>
      <x:c r="B360" s="7"/>
      <x:c r="C360" s="7"/>
      <x:c r="D360" s="7"/>
      <x:c r="E360" s="7"/>
      <x:c r="F360" s="7"/>
      <x:c r="G360" s="7"/>
    </x:row>
    <x:row r="361" ht="38" customHeight="1">
      <x:c r="A361" s="12" t="str">
        <x:v>Etapa</x:v>
      </x:c>
      <x:c r="B361" s="12"/>
      <x:c r="C361" s="12" t="str">
        <x:v>Acciones</x:v>
      </x:c>
      <x:c r="D361" s="12"/>
      <x:c r="E361" s="12"/>
      <x:c r="F361" s="12" t="str">
        <x:v>Lectura</x:v>
      </x:c>
      <x:c r="G361" s="12"/>
    </x:row>
    <x:row r="362" ht="48" customHeight="1">
      <x:c r="A362" s="14" t="str">
        <x:v>Propuesta</x:v>
      </x:c>
      <x:c r="B362" s="14"/>
      <x:c r="C362" s="14" t="str">
        <x:v>R-002, R-017, R-022, R-027, R-035, R-039. Acciones detalladas en tablas 9 y 10; esfuerzo en tabla 17.</x:v>
      </x:c>
      <x:c r="D362" s="14"/>
      <x:c r="E362" s="14"/>
      <x:c r="F362" s="14" t="str">
        <x:v>Cerrar consultas, acuerdos y presupuesto antes de presentar; los meses indican el hito de ejecución.</x:v>
      </x:c>
      <x:c r="G362" s="14"/>
    </x:row>
    <x:row r="363" ht="48" customHeight="1">
      <x:c r="A363" s="16" t="str">
        <x:v>Implementación</x:v>
      </x:c>
      <x:c r="B363" s="16"/>
      <x:c r="C363" s="16" t="str">
        <x:v>R-001, R-004, R-005, R-006, R-007, R-008, R-009, R-010, R-011, R-013, R-014, R-015, R-016, R-021, R-023, R-024, R-025, R-029, R-030, R-031, R-032, R-037, R-038, R-043, R-044, R-045. Acciones detalladas en tablas 9 y 10; esfuerzo en tabla 17.</x:v>
      </x:c>
      <x:c r="D363" s="16"/>
      <x:c r="E363" s="16"/>
      <x:c r="F363" s="16" t="str">
        <x:v>Probar antes de compra, integración o compuerta; conciliar actividades con la EDT.</x:v>
      </x:c>
      <x:c r="G363" s="16"/>
    </x:row>
    <x:row r="364" ht="36" customHeight="1">
      <x:c r="A364" s="14" t="str">
        <x:v>Implantación</x:v>
      </x:c>
      <x:c r="B364" s="14"/>
      <x:c r="C364" s="14" t="str">
        <x:v>R-003, R-012, R-018, R-019, R-020, R-026, R-028, R-036, R-040. Acciones detalladas en tablas 9 y 10; esfuerzo en tabla 17.</x:v>
      </x:c>
      <x:c r="D364" s="14"/>
      <x:c r="E364" s="14"/>
      <x:c r="F364" s="14" t="str">
        <x:v>Validar usuarios, datos, reversión y aceptación durante la marcha blanca.</x:v>
      </x:c>
      <x:c r="G364" s="14"/>
    </x:row>
    <x:row r="365" ht="36" customHeight="1">
      <x:c r="A365" s="16" t="str">
        <x:v>Operación</x:v>
      </x:c>
      <x:c r="B365" s="16"/>
      <x:c r="C365" s="16" t="str">
        <x:v>R-033, R-034, R-041, R-042. Acciones detalladas en tablas 9 y 10; esfuerzo en tabla 17.</x:v>
      </x:c>
      <x:c r="D365" s="16"/>
      <x:c r="E365" s="16"/>
      <x:c r="F365" s="16" t="str">
        <x:v>Revisar continuidad, capacidad, soporte y salida durante el contrato.</x:v>
      </x:c>
      <x:c r="G365" s="16"/>
    </x:row>
    <x:row r="366">
      <x:c r="A366" s="3"/>
      <x:c r="B366" s="3"/>
      <x:c r="C366" s="3"/>
      <x:c r="D366" s="3"/>
      <x:c r="E366" s="3"/>
      <x:c r="F366" s="3"/>
      <x:c r="G366" s="3"/>
    </x:row>
    <x:row r="367">
      <x:c r="A367" s="3"/>
      <x:c r="B367" s="3"/>
      <x:c r="C367" s="3"/>
      <x:c r="D367" s="3"/>
      <x:c r="E367" s="3"/>
      <x:c r="F367" s="3"/>
      <x:c r="G367" s="3"/>
    </x:row>
    <x:row r="368">
      <x:c r="A368" s="3"/>
      <x:c r="B368" s="3"/>
      <x:c r="C368" s="3"/>
      <x:c r="D368" s="3"/>
      <x:c r="E368" s="3"/>
      <x:c r="F368" s="3"/>
      <x:c r="G368" s="3"/>
    </x:row>
    <x:row r="369" ht="30" customHeight="1">
      <x:c r="A369" s="6" t="str">
        <x:v>7 · Consulta, supuesto y exclusión de referencia</x:v>
      </x:c>
      <x:c r="B369" s="6"/>
      <x:c r="C369" s="6"/>
      <x:c r="D369" s="6"/>
      <x:c r="E369" s="6"/>
      <x:c r="F369" s="6"/>
      <x:c r="G369" s="6"/>
    </x:row>
    <x:row r="370" ht="26" customHeight="1">
      <x:c r="A370" s="7" t="str">
        <x:v>Tabla 12 · Consulta · origen y cláusula</x:v>
      </x:c>
      <x:c r="B370" s="7"/>
      <x:c r="C370" s="7"/>
      <x:c r="D370" s="7"/>
      <x:c r="E370" s="7"/>
      <x:c r="F370" s="7"/>
      <x:c r="G370" s="7"/>
    </x:row>
    <x:row r="371" ht="22" customHeight="1">
      <x:c r="A371" s="49" t="str">
        <x:v>C-01 · Origen R-001 / R-002 · Caso 02 — Logística, cap. 5
¿Qué interfaces, permisos y condiciones de terceros se autorizan? Confirmar forma y costo antes de cerrar integración. Responsable: Bastián Trejo.
C-02 · Origen R-017 · Caso 10.10 / cap. 12
¿Qué finalidades y acceso a ubicación se acuerdan con sindicato y dirección? Responsable: Patricio Henríquez.
C-03 · Origen R-018 · Caso 13.3.6
¿Quién informa altas/bajas y libera conductores de reemplazo por cada empresa? Responsable: Patricio Henríquez.
C-04 · Origen R-011 / R-038 · Caso 02 — Logística, cap. 8, Ñanco
¿Qué parámetros, fichas y evidencia aprueba Calidad por familia de producto? Responsable: Maximiliano Miño.
C-05 · Origen R-030 · Caso 13.2
¿Cuál es la especificación y agenda de certificación por cadena antes del H12? Responsable: Bastián Trejo.
C-06 · Origen R-022 / R-026 · Bases Administrativas arts. 17–18
¿Qué titulares y suplentes validan cada evidencia y en qué calendario? Responsable: Alex Aravena.
C-07 · Origen R-023 · Caso 10.8 / Bases Administrativas art. 17
Confirmar fecha inicial y mecanismo formal para emergencias; la consulta no autoriza intervenir en congelamiento. Responsable: Alex Aravena.
C-08 · Origen R-024 / R-035 · Bases Técnicas Transversales RT-08.10 / RT-16.24
Confirmar compras del cliente, precios unitarios, consumo y calendario financiero. Responsable: Alex Aravena.</x:v>
      </x:c>
      <x:c r="B371" s="50"/>
      <x:c r="C371" s="50"/>
      <x:c r="D371" s="50"/>
      <x:c r="E371" s="50"/>
      <x:c r="F371" s="50"/>
      <x:c r="G371" s="51"/>
    </x:row>
    <x:row r="372" ht="22" customHeight="1">
      <x:c r="A372" s="52"/>
      <x:c r="B372" s="15"/>
      <x:c r="C372" s="15"/>
      <x:c r="D372" s="15"/>
      <x:c r="E372" s="15"/>
      <x:c r="F372" s="15"/>
      <x:c r="G372" s="53"/>
    </x:row>
    <x:row r="373" ht="22" customHeight="1">
      <x:c r="A373" s="52"/>
      <x:c r="B373" s="15"/>
      <x:c r="C373" s="15"/>
      <x:c r="D373" s="15"/>
      <x:c r="E373" s="15"/>
      <x:c r="F373" s="15"/>
      <x:c r="G373" s="53"/>
    </x:row>
    <x:row r="374" ht="22" customHeight="1">
      <x:c r="A374" s="52"/>
      <x:c r="B374" s="15"/>
      <x:c r="C374" s="15"/>
      <x:c r="D374" s="15"/>
      <x:c r="E374" s="15"/>
      <x:c r="F374" s="15"/>
      <x:c r="G374" s="53"/>
    </x:row>
    <x:row r="375" ht="22" customHeight="1">
      <x:c r="A375" s="52"/>
      <x:c r="B375" s="15"/>
      <x:c r="C375" s="15"/>
      <x:c r="D375" s="15"/>
      <x:c r="E375" s="15"/>
      <x:c r="F375" s="15"/>
      <x:c r="G375" s="53"/>
    </x:row>
    <x:row r="376" ht="22" customHeight="1">
      <x:c r="A376" s="52"/>
      <x:c r="B376" s="15"/>
      <x:c r="C376" s="15"/>
      <x:c r="D376" s="15"/>
      <x:c r="E376" s="15"/>
      <x:c r="F376" s="15"/>
      <x:c r="G376" s="53"/>
    </x:row>
    <x:row r="377" ht="22" customHeight="1">
      <x:c r="A377" s="52"/>
      <x:c r="B377" s="15"/>
      <x:c r="C377" s="15"/>
      <x:c r="D377" s="15"/>
      <x:c r="E377" s="15"/>
      <x:c r="F377" s="15"/>
      <x:c r="G377" s="53"/>
    </x:row>
    <x:row r="378" ht="22" customHeight="1">
      <x:c r="A378" s="52"/>
      <x:c r="B378" s="15"/>
      <x:c r="C378" s="15"/>
      <x:c r="D378" s="15"/>
      <x:c r="E378" s="15"/>
      <x:c r="F378" s="15"/>
      <x:c r="G378" s="53"/>
    </x:row>
    <x:row r="379" ht="22" customHeight="1">
      <x:c r="A379" s="52"/>
      <x:c r="B379" s="15"/>
      <x:c r="C379" s="15"/>
      <x:c r="D379" s="15"/>
      <x:c r="E379" s="15"/>
      <x:c r="F379" s="15"/>
      <x:c r="G379" s="53"/>
    </x:row>
    <x:row r="380" ht="22" customHeight="1">
      <x:c r="A380" s="52"/>
      <x:c r="B380" s="15"/>
      <x:c r="C380" s="15"/>
      <x:c r="D380" s="15"/>
      <x:c r="E380" s="15"/>
      <x:c r="F380" s="15"/>
      <x:c r="G380" s="53"/>
    </x:row>
    <x:row r="381" ht="22" customHeight="1">
      <x:c r="A381" s="52"/>
      <x:c r="B381" s="15"/>
      <x:c r="C381" s="15"/>
      <x:c r="D381" s="15"/>
      <x:c r="E381" s="15"/>
      <x:c r="F381" s="15"/>
      <x:c r="G381" s="53"/>
    </x:row>
    <x:row r="382" ht="22" customHeight="1">
      <x:c r="A382" s="52"/>
      <x:c r="B382" s="15"/>
      <x:c r="C382" s="15"/>
      <x:c r="D382" s="15"/>
      <x:c r="E382" s="15"/>
      <x:c r="F382" s="15"/>
      <x:c r="G382" s="53"/>
    </x:row>
    <x:row r="383" ht="22" customHeight="1">
      <x:c r="A383" s="52"/>
      <x:c r="B383" s="15"/>
      <x:c r="C383" s="15"/>
      <x:c r="D383" s="15"/>
      <x:c r="E383" s="15"/>
      <x:c r="F383" s="15"/>
      <x:c r="G383" s="53"/>
    </x:row>
    <x:row r="384" ht="22" customHeight="1">
      <x:c r="A384" s="52"/>
      <x:c r="B384" s="15"/>
      <x:c r="C384" s="15"/>
      <x:c r="D384" s="15"/>
      <x:c r="E384" s="15"/>
      <x:c r="F384" s="15"/>
      <x:c r="G384" s="53"/>
    </x:row>
    <x:row r="385" ht="22" customHeight="1">
      <x:c r="A385" s="52"/>
      <x:c r="B385" s="15"/>
      <x:c r="C385" s="15"/>
      <x:c r="D385" s="15"/>
      <x:c r="E385" s="15"/>
      <x:c r="F385" s="15"/>
      <x:c r="G385" s="53"/>
    </x:row>
    <x:row r="386" ht="22" customHeight="1">
      <x:c r="A386" s="52"/>
      <x:c r="B386" s="15"/>
      <x:c r="C386" s="15"/>
      <x:c r="D386" s="15"/>
      <x:c r="E386" s="15"/>
      <x:c r="F386" s="15"/>
      <x:c r="G386" s="53"/>
    </x:row>
    <x:row r="387" ht="22" customHeight="1">
      <x:c r="A387" s="54"/>
      <x:c r="B387" s="55"/>
      <x:c r="C387" s="55"/>
      <x:c r="D387" s="55"/>
      <x:c r="E387" s="55"/>
      <x:c r="F387" s="55"/>
      <x:c r="G387" s="56"/>
    </x:row>
    <x:row r="388">
      <x:c r="A388" s="3"/>
      <x:c r="B388" s="3"/>
      <x:c r="C388" s="3"/>
      <x:c r="D388" s="3"/>
      <x:c r="E388" s="3"/>
      <x:c r="F388" s="3"/>
      <x:c r="G388" s="3"/>
    </x:row>
    <x:row r="389">
      <x:c r="A389" s="3"/>
      <x:c r="B389" s="3"/>
      <x:c r="C389" s="3"/>
      <x:c r="D389" s="3"/>
      <x:c r="E389" s="3"/>
      <x:c r="F389" s="3"/>
      <x:c r="G389" s="3"/>
    </x:row>
    <x:row r="390" ht="26" customHeight="1">
      <x:c r="A390" s="7" t="str">
        <x:v>Tabla 13 · Supuesto · origen y cláusula</x:v>
      </x:c>
      <x:c r="B390" s="7"/>
      <x:c r="C390" s="7"/>
      <x:c r="D390" s="7"/>
      <x:c r="E390" s="7"/>
      <x:c r="F390" s="7"/>
      <x:c r="G390" s="7"/>
    </x:row>
    <x:row r="391" ht="22" customHeight="1">
      <x:c r="A391" s="49" t="str">
        <x:v>S-01 · Origen Todos · Probabilidades y esfuerzos son juicio nuevo, no datos estadísticos; horizonte hasta mes 56.
Validar por dueño y ajustar; no afirmar eficacia.
S-02 · Origen Todos · Tarifa y costo contractual todavía no disponibles.
CLP y dimensión de costo quedan pendientes; no convertir vacío en cero.
S-03 · Origen Todos · Acciones son incrementales sobre la propuesta, sujeto a conciliar con EDT.
Deducir trabajo ya presupuestado del costo de acción antes de aprobación.
S-04 · Origen R-030 · La cadena participa en certificación, sin compromiso escrito de fecha todavía.
Residual alta; escalar agenda y mantener reserva inicial aplicable.
S-05 · Origen R-011 / R-038 · Calidad aprueba parámetros antes de uso y la innovación no libera producto.
Mantener retención preventiva, no inventar rango aprobado.
S-06 · Origen R-023 · Mes 1 en febrero de 2027 según T-15; no es fecha contractual confirmada por esta planilla.
Recalcular ventanas ante fecha inicial efectiva.
S-07 · Origen Todos · Las 19 tablas se adaptan; no está disponible el enunciado citado por la plantilla.
Método y desempate declarados, sin atribuirlos al enunciado ausente. Se preservan exactamente las 19 estructuras de la plantilla; se amplían solo las filas.</x:v>
      </x:c>
      <x:c r="B391" s="50"/>
      <x:c r="C391" s="50"/>
      <x:c r="D391" s="50"/>
      <x:c r="E391" s="50"/>
      <x:c r="F391" s="50"/>
      <x:c r="G391" s="51"/>
    </x:row>
    <x:row r="392" ht="22" customHeight="1">
      <x:c r="A392" s="52"/>
      <x:c r="B392" s="15"/>
      <x:c r="C392" s="15"/>
      <x:c r="D392" s="15"/>
      <x:c r="E392" s="15"/>
      <x:c r="F392" s="15"/>
      <x:c r="G392" s="53"/>
    </x:row>
    <x:row r="393" ht="22" customHeight="1">
      <x:c r="A393" s="52"/>
      <x:c r="B393" s="15"/>
      <x:c r="C393" s="15"/>
      <x:c r="D393" s="15"/>
      <x:c r="E393" s="15"/>
      <x:c r="F393" s="15"/>
      <x:c r="G393" s="53"/>
    </x:row>
    <x:row r="394" ht="22" customHeight="1">
      <x:c r="A394" s="52"/>
      <x:c r="B394" s="15"/>
      <x:c r="C394" s="15"/>
      <x:c r="D394" s="15"/>
      <x:c r="E394" s="15"/>
      <x:c r="F394" s="15"/>
      <x:c r="G394" s="53"/>
    </x:row>
    <x:row r="395" ht="22" customHeight="1">
      <x:c r="A395" s="52"/>
      <x:c r="B395" s="15"/>
      <x:c r="C395" s="15"/>
      <x:c r="D395" s="15"/>
      <x:c r="E395" s="15"/>
      <x:c r="F395" s="15"/>
      <x:c r="G395" s="53"/>
    </x:row>
    <x:row r="396" ht="22" customHeight="1">
      <x:c r="A396" s="52"/>
      <x:c r="B396" s="15"/>
      <x:c r="C396" s="15"/>
      <x:c r="D396" s="15"/>
      <x:c r="E396" s="15"/>
      <x:c r="F396" s="15"/>
      <x:c r="G396" s="53"/>
    </x:row>
    <x:row r="397" ht="22" customHeight="1">
      <x:c r="A397" s="52"/>
      <x:c r="B397" s="15"/>
      <x:c r="C397" s="15"/>
      <x:c r="D397" s="15"/>
      <x:c r="E397" s="15"/>
      <x:c r="F397" s="15"/>
      <x:c r="G397" s="53"/>
    </x:row>
    <x:row r="398" ht="22" customHeight="1">
      <x:c r="A398" s="52"/>
      <x:c r="B398" s="15"/>
      <x:c r="C398" s="15"/>
      <x:c r="D398" s="15"/>
      <x:c r="E398" s="15"/>
      <x:c r="F398" s="15"/>
      <x:c r="G398" s="53"/>
    </x:row>
    <x:row r="399" ht="22" customHeight="1">
      <x:c r="A399" s="52"/>
      <x:c r="B399" s="15"/>
      <x:c r="C399" s="15"/>
      <x:c r="D399" s="15"/>
      <x:c r="E399" s="15"/>
      <x:c r="F399" s="15"/>
      <x:c r="G399" s="53"/>
    </x:row>
    <x:row r="400" ht="22" customHeight="1">
      <x:c r="A400" s="52"/>
      <x:c r="B400" s="15"/>
      <x:c r="C400" s="15"/>
      <x:c r="D400" s="15"/>
      <x:c r="E400" s="15"/>
      <x:c r="F400" s="15"/>
      <x:c r="G400" s="53"/>
    </x:row>
    <x:row r="401" ht="22" customHeight="1">
      <x:c r="A401" s="52"/>
      <x:c r="B401" s="15"/>
      <x:c r="C401" s="15"/>
      <x:c r="D401" s="15"/>
      <x:c r="E401" s="15"/>
      <x:c r="F401" s="15"/>
      <x:c r="G401" s="53"/>
    </x:row>
    <x:row r="402" ht="22" customHeight="1">
      <x:c r="A402" s="52"/>
      <x:c r="B402" s="15"/>
      <x:c r="C402" s="15"/>
      <x:c r="D402" s="15"/>
      <x:c r="E402" s="15"/>
      <x:c r="F402" s="15"/>
      <x:c r="G402" s="53"/>
    </x:row>
    <x:row r="403" ht="22" customHeight="1">
      <x:c r="A403" s="52"/>
      <x:c r="B403" s="15"/>
      <x:c r="C403" s="15"/>
      <x:c r="D403" s="15"/>
      <x:c r="E403" s="15"/>
      <x:c r="F403" s="15"/>
      <x:c r="G403" s="53"/>
    </x:row>
    <x:row r="404" ht="22" customHeight="1">
      <x:c r="A404" s="52"/>
      <x:c r="B404" s="15"/>
      <x:c r="C404" s="15"/>
      <x:c r="D404" s="15"/>
      <x:c r="E404" s="15"/>
      <x:c r="F404" s="15"/>
      <x:c r="G404" s="53"/>
    </x:row>
    <x:row r="405" ht="22" customHeight="1">
      <x:c r="A405" s="52"/>
      <x:c r="B405" s="15"/>
      <x:c r="C405" s="15"/>
      <x:c r="D405" s="15"/>
      <x:c r="E405" s="15"/>
      <x:c r="F405" s="15"/>
      <x:c r="G405" s="53"/>
    </x:row>
    <x:row r="406" ht="22" customHeight="1">
      <x:c r="A406" s="54"/>
      <x:c r="B406" s="55"/>
      <x:c r="C406" s="55"/>
      <x:c r="D406" s="55"/>
      <x:c r="E406" s="55"/>
      <x:c r="F406" s="55"/>
      <x:c r="G406" s="56"/>
    </x:row>
    <x:row r="407">
      <x:c r="A407" s="3"/>
      <x:c r="B407" s="3"/>
      <x:c r="C407" s="3"/>
      <x:c r="D407" s="3"/>
      <x:c r="E407" s="3"/>
      <x:c r="F407" s="3"/>
      <x:c r="G407" s="3"/>
    </x:row>
    <x:row r="408">
      <x:c r="A408" s="3"/>
      <x:c r="B408" s="3"/>
      <x:c r="C408" s="3"/>
      <x:c r="D408" s="3"/>
      <x:c r="E408" s="3"/>
      <x:c r="F408" s="3"/>
      <x:c r="G408" s="3"/>
    </x:row>
    <x:row r="409" ht="26" customHeight="1">
      <x:c r="A409" s="7" t="str">
        <x:v>Tabla 14 · Exclusión · origen y cláusula</x:v>
      </x:c>
      <x:c r="B409" s="7"/>
      <x:c r="C409" s="7"/>
      <x:c r="D409" s="7"/>
      <x:c r="E409" s="7"/>
      <x:c r="F409" s="7"/>
      <x:c r="G409" s="7"/>
    </x:row>
    <x:row r="410" ht="22" customHeight="1">
      <x:c r="A410" s="49" t="str">
        <x:v>E-01 · Origen R-001 / R-029 · Caso 02 — Logística, cap. 11 / restricción 10.4
No entra: Reemplazo o modificación del ERP; segundo emisor tributario. Debe resolverse: Integrar por interfaz autorizada, vincular documentos y evidencias.
E-02 · Origen R-018 · Caso 02 — Logística, cap. 11
No entra: Administración del contrato y pago de transportistas. Debe resolverse: Integración operacional, incorporación y capacitación de conductores.
E-03 · Origen R-028 / R-040 · Caso 02 — Logística, cap. 11 / 10.5
No entra: Punto de venta del almacenero o exigencia de internet/medio electrónico. Debe resolverse: Atención por preventista, reparto y hoja sin exigir dispositivo del cliente.
E-04 · Origen R-035 · Aclaraciones §11, 8.3 / Bases Administrativas 50.2
No entra: Montos de esta herramienta interna en el Subdocumento 8 técnico. Debe resolverse: HH, respuesta, reservas y cronograma; valorización en oferta económica.
Ninguna exclusión rebaja obligaciones de las Bases.</x:v>
      </x:c>
      <x:c r="B410" s="50"/>
      <x:c r="C410" s="50"/>
      <x:c r="D410" s="50"/>
      <x:c r="E410" s="50"/>
      <x:c r="F410" s="50"/>
      <x:c r="G410" s="51"/>
    </x:row>
    <x:row r="411" ht="22" customHeight="1">
      <x:c r="A411" s="52"/>
      <x:c r="B411" s="15"/>
      <x:c r="C411" s="15"/>
      <x:c r="D411" s="15"/>
      <x:c r="E411" s="15"/>
      <x:c r="F411" s="15"/>
      <x:c r="G411" s="53"/>
    </x:row>
    <x:row r="412" ht="22" customHeight="1">
      <x:c r="A412" s="52"/>
      <x:c r="B412" s="15"/>
      <x:c r="C412" s="15"/>
      <x:c r="D412" s="15"/>
      <x:c r="E412" s="15"/>
      <x:c r="F412" s="15"/>
      <x:c r="G412" s="53"/>
    </x:row>
    <x:row r="413" ht="22" customHeight="1">
      <x:c r="A413" s="52"/>
      <x:c r="B413" s="15"/>
      <x:c r="C413" s="15"/>
      <x:c r="D413" s="15"/>
      <x:c r="E413" s="15"/>
      <x:c r="F413" s="15"/>
      <x:c r="G413" s="53"/>
    </x:row>
    <x:row r="414" ht="22" customHeight="1">
      <x:c r="A414" s="52"/>
      <x:c r="B414" s="15"/>
      <x:c r="C414" s="15"/>
      <x:c r="D414" s="15"/>
      <x:c r="E414" s="15"/>
      <x:c r="F414" s="15"/>
      <x:c r="G414" s="53"/>
    </x:row>
    <x:row r="415" ht="22" customHeight="1">
      <x:c r="A415" s="52"/>
      <x:c r="B415" s="15"/>
      <x:c r="C415" s="15"/>
      <x:c r="D415" s="15"/>
      <x:c r="E415" s="15"/>
      <x:c r="F415" s="15"/>
      <x:c r="G415" s="53"/>
    </x:row>
    <x:row r="416" ht="22" customHeight="1">
      <x:c r="A416" s="52"/>
      <x:c r="B416" s="15"/>
      <x:c r="C416" s="15"/>
      <x:c r="D416" s="15"/>
      <x:c r="E416" s="15"/>
      <x:c r="F416" s="15"/>
      <x:c r="G416" s="53"/>
    </x:row>
    <x:row r="417" ht="22" customHeight="1">
      <x:c r="A417" s="52"/>
      <x:c r="B417" s="15"/>
      <x:c r="C417" s="15"/>
      <x:c r="D417" s="15"/>
      <x:c r="E417" s="15"/>
      <x:c r="F417" s="15"/>
      <x:c r="G417" s="53"/>
    </x:row>
    <x:row r="418" ht="22" customHeight="1">
      <x:c r="A418" s="52"/>
      <x:c r="B418" s="15"/>
      <x:c r="C418" s="15"/>
      <x:c r="D418" s="15"/>
      <x:c r="E418" s="15"/>
      <x:c r="F418" s="15"/>
      <x:c r="G418" s="53"/>
    </x:row>
    <x:row r="419" ht="22" customHeight="1">
      <x:c r="A419" s="52"/>
      <x:c r="B419" s="15"/>
      <x:c r="C419" s="15"/>
      <x:c r="D419" s="15"/>
      <x:c r="E419" s="15"/>
      <x:c r="F419" s="15"/>
      <x:c r="G419" s="53"/>
    </x:row>
    <x:row r="420" ht="22" customHeight="1">
      <x:c r="A420" s="54"/>
      <x:c r="B420" s="55"/>
      <x:c r="C420" s="55"/>
      <x:c r="D420" s="55"/>
      <x:c r="E420" s="55"/>
      <x:c r="F420" s="55"/>
      <x:c r="G420" s="56"/>
    </x:row>
    <x:row r="421">
      <x:c r="A421" s="3"/>
      <x:c r="B421" s="3"/>
      <x:c r="C421" s="3"/>
      <x:c r="D421" s="3"/>
      <x:c r="E421" s="3"/>
      <x:c r="F421" s="3"/>
      <x:c r="G421" s="3"/>
    </x:row>
    <x:row r="422">
      <x:c r="A422" s="3"/>
      <x:c r="B422" s="3"/>
      <x:c r="C422" s="3"/>
      <x:c r="D422" s="3"/>
      <x:c r="E422" s="3"/>
      <x:c r="F422" s="3"/>
      <x:c r="G422" s="3"/>
    </x:row>
    <x:row r="423">
      <x:c r="A423" s="3"/>
      <x:c r="B423" s="3"/>
      <x:c r="C423" s="3"/>
      <x:c r="D423" s="3"/>
      <x:c r="E423" s="3"/>
      <x:c r="F423" s="3"/>
      <x:c r="G423" s="3"/>
    </x:row>
    <x:row r="424" ht="30" customHeight="1">
      <x:c r="A424" s="6" t="str">
        <x:v>8 · Matriz de riesgo a solución</x:v>
      </x:c>
      <x:c r="B424" s="6"/>
      <x:c r="C424" s="6"/>
      <x:c r="D424" s="6"/>
      <x:c r="E424" s="6"/>
      <x:c r="F424" s="6"/>
      <x:c r="G424" s="6"/>
    </x:row>
    <x:row r="425" ht="28" customHeight="1">
      <x:c r="A425" s="5" t="str">
        <x:v>Los cinco de mayor exposición; el vínculo sigue el ID cuando cambia la prioridad.</x:v>
      </x:c>
      <x:c r="B425" s="5"/>
      <x:c r="C425" s="5"/>
      <x:c r="D425" s="5"/>
      <x:c r="E425" s="5"/>
      <x:c r="F425" s="5"/>
      <x:c r="G425" s="5"/>
    </x:row>
    <x:row r="426" ht="26" customHeight="1">
      <x:c r="A426" s="7" t="str">
        <x:v>Tabla 15 · Matriz de riesgo a solución</x:v>
      </x:c>
      <x:c r="B426" s="7"/>
      <x:c r="C426" s="7"/>
      <x:c r="D426" s="7"/>
      <x:c r="E426" s="7"/>
      <x:c r="F426" s="7"/>
      <x:c r="G426" s="7"/>
    </x:row>
    <x:row r="427" ht="38" customHeight="1">
      <x:c r="A427" s="12" t="str">
        <x:v>Riesgo</x:v>
      </x:c>
      <x:c r="B427" s="12" t="str">
        <x:v>Alcance</x:v>
      </x:c>
      <x:c r="C427" s="12" t="str">
        <x:v>Requisitos</x:v>
      </x:c>
      <x:c r="D427" s="12" t="str">
        <x:v>Arquitectura</x:v>
      </x:c>
      <x:c r="E427" s="12" t="str">
        <x:v>Plan y EDT</x:v>
      </x:c>
      <x:c r="F427" s="12" t="str">
        <x:v>Precio</x:v>
      </x:c>
      <x:c r="G427" s="12"/>
    </x:row>
    <x:row r="428" ht="110" customHeight="1">
      <x:c r="A428" s="14" t="str">
        <x:f>B254</x:f>
        <x:v>R-015</x:v>
      </x:c>
      <x:c r="B428" s="14" t="str">
        <x:f>CHOOSE(MATCH(A428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EF_R001,EF_R002,EF_R003,EF_R004,EF_R005,EF_R006,EF_R007,EF_R008,EF_R009,EF_R010,EF_R011,EF_R012,EF_R013,EF_R014,EF_R015,EF_R016,EF_R017,EF_R018,EF_R019,EF_R020,EF_R021,EF_R022,EF_R023,EF_R024,EF_R025,EF_R026,EF_R027,EF_R028,EF_R029,EF_R030,EF_R031,EF_R032,EF_R033,EF_R034,EF_R035,EF_R036,EF_R037,EF_R038,EF_R039,EF_R040,EF_R041,EF_R042,EF_R043,EF_R044,EF_R045)&amp;"; preservar obligación sin exclusión adicional."</x:f>
        <x:v>interrupción prolongada y conciliación extraordinaria; preservar obligación sin exclusión adicional.</x:v>
      </x:c>
      <x:c r="C428" s="14" t="str">
        <x:f>CHOOSE(MATCH(A428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FT_R001,FT_R002,FT_R003,FT_R004,FT_R005,FT_R006,FT_R007,FT_R008,FT_R009,FT_R010,FT_R011,FT_R012,FT_R013,FT_R014,FT_R015,FT_R016,FT_R017,FT_R018,FT_R019,FT_R020,FT_R021,FT_R022,FT_R023,FT_R024,FT_R025,FT_R026,FT_R027,FT_R028,FT_R029,FT_R030,FT_R031,FT_R032,FT_R033,FT_R034,FT_R035,FT_R036,FT_R037,FT_R038,FT_R039,FT_R040,FT_R041,FT_R042,FT_R043,FT_R044,FT_R045)</x:f>
        <x:v>Bases Técnicas Transversales RT-07.04–09; Caso 02 — Logística, cap. 10.1–2</x:v>
      </x:c>
      <x:c r="D428" s="14" t="str">
        <x:f>CHOOSE(MATCH(A428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CT_R001,CT_R002,CT_R003,CT_R004,CT_R005,CT_R006,CT_R007,CT_R008,CT_R009,CT_R010,CT_R011,CT_R012,CT_R013,CT_R014,CT_R015,CT_R016,CT_R017,CT_R018,CT_R019,CT_R020,CT_R021,CT_R022,CT_R023,CT_R024,CT_R025,CT_R026,CT_R027,CT_R028,CT_R029,CT_R030,CT_R031,CT_R032,CT_R033,CT_R034,CT_R035,CT_R036,CT_R037,CT_R038,CT_R039,CT_R040,CT_R041,CT_R042,CT_R043,CT_R044,CT_R045)</x:f>
        <x:v>Subdocumento 4 4.3.2 y 4-M: réplica, protección externa y AL-DR-01</x:v>
      </x:c>
      <x:c r="E428" s="14" t="str">
        <x:f>"T-14 "&amp;CHOOSE(MATCH(A428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ED_R001,ED_R002,ED_R003,ED_R004,ED_R005,ED_R006,ED_R007,ED_R008,ED_R009,ED_R010,ED_R011,ED_R012,ED_R013,ED_R014,ED_R015,ED_R016,ED_R017,ED_R018,ED_R019,ED_R020,ED_R021,ED_R022,ED_R023,ED_R024,ED_R025,ED_R026,ED_R027,ED_R028,ED_R029,ED_R030,ED_R031,ED_R032,ED_R033,ED_R034,ED_R035,ED_R036,ED_R037,ED_R038,ED_R039,ED_R040,ED_R041,ED_R042,ED_R043,ED_R044,ED_R045)&amp;"; "&amp;CHOOSE(MATCH(A428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ET_R001,ET_R002,ET_R003,ET_R004,ET_R005,ET_R006,ET_R007,ET_R008,ET_R009,ET_R010,ET_R011,ET_R012,ET_R013,ET_R014,ET_R015,ET_R016,ET_R017,ET_R018,ET_R019,ET_R020,ET_R021,ET_R022,ET_R023,ET_R024,ET_R025,ET_R026,ET_R027,ET_R028,ET_R029,ET_R030,ET_R031,ET_R032,ET_R033,ET_R034,ET_R035,ET_R036,ET_R037,ET_R038,ET_R039,ET_R040,ET_R041,ET_R042,ET_R043,ET_R044,ET_R045)&amp;"; responsable "&amp;CHOOSE(MATCH(A428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DU_R001,DU_R002,DU_R003,DU_R004,DU_R005,DU_R006,DU_R007,DU_R008,DU_R009,DU_R010,DU_R011,DU_R012,DU_R013,DU_R014,DU_R015,DU_R016,DU_R017,DU_R018,DU_R019,DU_R020,DU_R021,DU_R022,DU_R023,DU_R024,DU_R025,DU_R026,DU_R027,DU_R028,DU_R029,DU_R030,DU_R031,DU_R032,DU_R033,DU_R034,DU_R035,DU_R036,DU_R037,DU_R038,DU_R039,DU_R040,DU_R041,DU_R042,DU_R043,DU_R044,DU_R045)</x:f>
        <x:v>T-14 3.8.5 / 3.9.4; Implementación; responsable Guillermo Castillo</x:v>
      </x:c>
      <x:c r="F428" s="14" t="str">
        <x:v>HH adicionales en tabla 17; CLP pendiente de tarifa, costos externos y conciliación EDT. Oferta Económica.</x:v>
      </x:c>
      <x:c r="G428" s="14"/>
    </x:row>
    <x:row r="429" ht="110" customHeight="1">
      <x:c r="A429" s="16" t="str">
        <x:f>B255</x:f>
        <x:v>R-012</x:v>
      </x:c>
      <x:c r="B429" s="16" t="str">
        <x:f>CHOOSE(MATCH(A429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EF_R001,EF_R002,EF_R003,EF_R004,EF_R005,EF_R006,EF_R007,EF_R008,EF_R009,EF_R010,EF_R011,EF_R012,EF_R013,EF_R014,EF_R015,EF_R016,EF_R017,EF_R018,EF_R019,EF_R020,EF_R021,EF_R022,EF_R023,EF_R024,EF_R025,EF_R026,EF_R027,EF_R028,EF_R029,EF_R030,EF_R031,EF_R032,EF_R033,EF_R034,EF_R035,EF_R036,EF_R037,EF_R038,EF_R039,EF_R040,EF_R041,EF_R042,EF_R043,EF_R044,EF_R045)&amp;"; preservar obligación sin exclusión adicional."</x:f>
        <x:v>identificación tardía de clientes y lote afectado; preservar obligación sin exclusión adicional.</x:v>
      </x:c>
      <x:c r="C429" s="16" t="str">
        <x:f>CHOOSE(MATCH(A429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FT_R001,FT_R002,FT_R003,FT_R004,FT_R005,FT_R006,FT_R007,FT_R008,FT_R009,FT_R010,FT_R011,FT_R012,FT_R013,FT_R014,FT_R015,FT_R016,FT_R017,FT_R018,FT_R019,FT_R020,FT_R021,FT_R022,FT_R023,FT_R024,FT_R025,FT_R026,FT_R027,FT_R028,FT_R029,FT_R030,FT_R031,FT_R032,FT_R033,FT_R034,FT_R035,FT_R036,FT_R037,FT_R038,FT_R039,FT_R040,FT_R041,FT_R042,FT_R043,FT_R044,FT_R045)</x:f>
        <x:v>Caso 02 — Logística, cap. 8 entrevista Ñanco, 9.5 y 18 criterio 2</x:v>
      </x:c>
      <x:c r="D429" s="16" t="str">
        <x:f>CHOOSE(MATCH(A429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CT_R001,CT_R002,CT_R003,CT_R004,CT_R005,CT_R006,CT_R007,CT_R008,CT_R009,CT_R010,CT_R011,CT_R012,CT_R013,CT_R014,CT_R015,CT_R016,CT_R017,CT_R018,CT_R019,CT_R020,CT_R021,CT_R022,CT_R023,CT_R024,CT_R025,CT_R026,CT_R027,CT_R028,CT_R029,CT_R030,CT_R031,CT_R032,CT_R033,CT_R034,CT_R035,CT_R036,CT_R037,CT_R038,CT_R039,CT_R040,CT_R041,CT_R042,CT_R043,CT_R044,CT_R045)</x:f>
        <x:v>Subdocumento 4 M9 y Subdocumento 5: lote, eventos y custodia; Subdocumento 9 pruebas de retiro</x:v>
      </x:c>
      <x:c r="E429" s="16" t="str">
        <x:f>"T-14 "&amp;CHOOSE(MATCH(A429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ED_R001,ED_R002,ED_R003,ED_R004,ED_R005,ED_R006,ED_R007,ED_R008,ED_R009,ED_R010,ED_R011,ED_R012,ED_R013,ED_R014,ED_R015,ED_R016,ED_R017,ED_R018,ED_R019,ED_R020,ED_R021,ED_R022,ED_R023,ED_R024,ED_R025,ED_R026,ED_R027,ED_R028,ED_R029,ED_R030,ED_R031,ED_R032,ED_R033,ED_R034,ED_R035,ED_R036,ED_R037,ED_R038,ED_R039,ED_R040,ED_R041,ED_R042,ED_R043,ED_R044,ED_R045)&amp;"; "&amp;CHOOSE(MATCH(A429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ET_R001,ET_R002,ET_R003,ET_R004,ET_R005,ET_R006,ET_R007,ET_R008,ET_R009,ET_R010,ET_R011,ET_R012,ET_R013,ET_R014,ET_R015,ET_R016,ET_R017,ET_R018,ET_R019,ET_R020,ET_R021,ET_R022,ET_R023,ET_R024,ET_R025,ET_R026,ET_R027,ET_R028,ET_R029,ET_R030,ET_R031,ET_R032,ET_R033,ET_R034,ET_R035,ET_R036,ET_R037,ET_R038,ET_R039,ET_R040,ET_R041,ET_R042,ET_R043,ET_R044,ET_R045)&amp;"; responsable "&amp;CHOOSE(MATCH(A429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DU_R001,DU_R002,DU_R003,DU_R004,DU_R005,DU_R006,DU_R007,DU_R008,DU_R009,DU_R010,DU_R011,DU_R012,DU_R013,DU_R014,DU_R015,DU_R016,DU_R017,DU_R018,DU_R019,DU_R020,DU_R021,DU_R022,DU_R023,DU_R024,DU_R025,DU_R026,DU_R027,DU_R028,DU_R029,DU_R030,DU_R031,DU_R032,DU_R033,DU_R034,DU_R035,DU_R036,DU_R037,DU_R038,DU_R039,DU_R040,DU_R041,DU_R042,DU_R043,DU_R044,DU_R045)</x:f>
        <x:v>T-14 3.4.4 / 3.8.2; Implantación; responsable Maximiliano Miño</x:v>
      </x:c>
      <x:c r="F429" s="16" t="str">
        <x:v>HH adicionales en tabla 17; CLP pendiente de tarifa, costos externos y conciliación EDT. Oferta Económica.</x:v>
      </x:c>
      <x:c r="G429" s="16"/>
    </x:row>
    <x:row r="430" ht="110" customHeight="1">
      <x:c r="A430" s="14" t="str">
        <x:f>B256</x:f>
        <x:v>R-014</x:v>
      </x:c>
      <x:c r="B430" s="14" t="str">
        <x:f>CHOOSE(MATCH(A430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EF_R001,EF_R002,EF_R003,EF_R004,EF_R005,EF_R006,EF_R007,EF_R008,EF_R009,EF_R010,EF_R011,EF_R012,EF_R013,EF_R014,EF_R015,EF_R016,EF_R017,EF_R018,EF_R019,EF_R020,EF_R021,EF_R022,EF_R023,EF_R024,EF_R025,EF_R026,EF_R027,EF_R028,EF_R029,EF_R030,EF_R031,EF_R032,EF_R033,EF_R034,EF_R035,EF_R036,EF_R037,EF_R038,EF_R039,EF_R040,EF_R041,EF_R042,EF_R043,EF_R044,EF_R045)&amp;"; preservar obligación sin exclusión adicional."</x:f>
        <x:v>caída de los nodos locales críticos; preservar obligación sin exclusión adicional.</x:v>
      </x:c>
      <x:c r="C430" s="14" t="str">
        <x:f>CHOOSE(MATCH(A430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FT_R001,FT_R002,FT_R003,FT_R004,FT_R005,FT_R006,FT_R007,FT_R008,FT_R009,FT_R010,FT_R011,FT_R012,FT_R013,FT_R014,FT_R015,FT_R016,FT_R017,FT_R018,FT_R019,FT_R020,FT_R021,FT_R022,FT_R023,FT_R024,FT_R025,FT_R026,FT_R027,FT_R028,FT_R029,FT_R030,FT_R031,FT_R032,FT_R033,FT_R034,FT_R035,FT_R036,FT_R037,FT_R038,FT_R039,FT_R040,FT_R041,FT_R042,FT_R043,FT_R044,FT_R045)</x:f>
        <x:v>Caso 02 — Logística, cap. 6 y 15 RT-06.01; Bases Técnicas Transversales cap. 6 y RT-08.04</x:v>
      </x:c>
      <x:c r="D430" s="14" t="str">
        <x:f>CHOOSE(MATCH(A430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CT_R001,CT_R002,CT_R003,CT_R004,CT_R005,CT_R006,CT_R007,CT_R008,CT_R009,CT_R010,CT_R011,CT_R012,CT_R013,CT_R014,CT_R015,CT_R016,CT_R017,CT_R018,CT_R019,CT_R020,CT_R021,CT_R022,CT_R023,CT_R024,CT_R025,CT_R026,CT_R027,CT_R028,CT_R029,CT_R030,CT_R031,CT_R032,CT_R033,CT_R034,CT_R035,CT_R036,CT_R037,CT_R038,CT_R039,CT_R040,CT_R041,CT_R042,CT_R043,CT_R044,CT_R045)</x:f>
        <x:v>Subdocumento 4 4.3 y T-11: sala acondicionada, circuitos y redundancia</x:v>
      </x:c>
      <x:c r="E430" s="14" t="str">
        <x:f>"T-14 "&amp;CHOOSE(MATCH(A430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ED_R001,ED_R002,ED_R003,ED_R004,ED_R005,ED_R006,ED_R007,ED_R008,ED_R009,ED_R010,ED_R011,ED_R012,ED_R013,ED_R014,ED_R015,ED_R016,ED_R017,ED_R018,ED_R019,ED_R020,ED_R021,ED_R022,ED_R023,ED_R024,ED_R025,ED_R026,ED_R027,ED_R028,ED_R029,ED_R030,ED_R031,ED_R032,ED_R033,ED_R034,ED_R035,ED_R036,ED_R037,ED_R038,ED_R039,ED_R040,ED_R041,ED_R042,ED_R043,ED_R044,ED_R045)&amp;"; "&amp;CHOOSE(MATCH(A430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ET_R001,ET_R002,ET_R003,ET_R004,ET_R005,ET_R006,ET_R007,ET_R008,ET_R009,ET_R010,ET_R011,ET_R012,ET_R013,ET_R014,ET_R015,ET_R016,ET_R017,ET_R018,ET_R019,ET_R020,ET_R021,ET_R022,ET_R023,ET_R024,ET_R025,ET_R026,ET_R027,ET_R028,ET_R029,ET_R030,ET_R031,ET_R032,ET_R033,ET_R034,ET_R035,ET_R036,ET_R037,ET_R038,ET_R039,ET_R040,ET_R041,ET_R042,ET_R043,ET_R044,ET_R045)&amp;"; responsable "&amp;CHOOSE(MATCH(A430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DU_R001,DU_R002,DU_R003,DU_R004,DU_R005,DU_R006,DU_R007,DU_R008,DU_R009,DU_R010,DU_R011,DU_R012,DU_R013,DU_R014,DU_R015,DU_R016,DU_R017,DU_R018,DU_R019,DU_R020,DU_R021,DU_R022,DU_R023,DU_R024,DU_R025,DU_R026,DU_R027,DU_R028,DU_R029,DU_R030,DU_R031,DU_R032,DU_R033,DU_R034,DU_R035,DU_R036,DU_R037,DU_R038,DU_R039,DU_R040,DU_R041,DU_R042,DU_R043,DU_R044,DU_R045)</x:f>
        <x:v>T-14 6.1 / 6.3; Implementación; responsable Guillermo Castillo</x:v>
      </x:c>
      <x:c r="F430" s="14" t="str">
        <x:v>HH adicionales en tabla 17; CLP pendiente de tarifa, costos externos y conciliación EDT. Oferta Económica.</x:v>
      </x:c>
      <x:c r="G430" s="14"/>
    </x:row>
    <x:row r="431" ht="110" customHeight="1">
      <x:c r="A431" s="16" t="str">
        <x:f>B257</x:f>
        <x:v>R-006</x:v>
      </x:c>
      <x:c r="B431" s="16" t="str">
        <x:f>CHOOSE(MATCH(A431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EF_R001,EF_R002,EF_R003,EF_R004,EF_R005,EF_R006,EF_R007,EF_R008,EF_R009,EF_R010,EF_R011,EF_R012,EF_R013,EF_R014,EF_R015,EF_R016,EF_R017,EF_R018,EF_R019,EF_R020,EF_R021,EF_R022,EF_R023,EF_R024,EF_R025,EF_R026,EF_R027,EF_R028,EF_R029,EF_R030,EF_R031,EF_R032,EF_R033,EF_R034,EF_R035,EF_R036,EF_R037,EF_R038,EF_R039,EF_R040,EF_R041,EF_R042,EF_R043,EF_R044,EF_R045)&amp;"; preservar obligación sin exclusión adicional."</x:f>
        <x:v>aislamiento del CD y acumulación de operaciones; preservar obligación sin exclusión adicional.</x:v>
      </x:c>
      <x:c r="C431" s="16" t="str">
        <x:f>CHOOSE(MATCH(A431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FT_R001,FT_R002,FT_R003,FT_R004,FT_R005,FT_R006,FT_R007,FT_R008,FT_R009,FT_R010,FT_R011,FT_R012,FT_R013,FT_R014,FT_R015,FT_R016,FT_R017,FT_R018,FT_R019,FT_R020,FT_R021,FT_R022,FT_R023,FT_R024,FT_R025,FT_R026,FT_R027,FT_R028,FT_R029,FT_R030,FT_R031,FT_R032,FT_R033,FT_R034,FT_R035,FT_R036,FT_R037,FT_R038,FT_R039,FT_R040,FT_R041,FT_R042,FT_R043,FT_R044,FT_R045)</x:f>
        <x:v>Caso 02 — Logística, cap. 6 y 10.2; Bases Administrativas art. 16.4</x:v>
      </x:c>
      <x:c r="D431" s="16" t="str">
        <x:f>CHOOSE(MATCH(A431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CT_R001,CT_R002,CT_R003,CT_R004,CT_R005,CT_R006,CT_R007,CT_R008,CT_R009,CT_R010,CT_R011,CT_R012,CT_R013,CT_R014,CT_R015,CT_R016,CT_R017,CT_R018,CT_R019,CT_R020,CT_R021,CT_R022,CT_R023,CT_R024,CT_R025,CT_R026,CT_R027,CT_R028,CT_R029,CT_R030,CT_R031,CT_R032,CT_R033,CT_R034,CT_R035,CT_R036,CT_R037,CT_R038,CT_R039,CT_R040,CT_R041,CT_R042,CT_R043,CT_R044,CT_R045)</x:f>
        <x:v>Subdocumento 4 4.1.3.2 y 4.2: fibra, LTE, satélite y WMS local redundante</x:v>
      </x:c>
      <x:c r="E431" s="16" t="str">
        <x:f>"T-14 "&amp;CHOOSE(MATCH(A431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ED_R001,ED_R002,ED_R003,ED_R004,ED_R005,ED_R006,ED_R007,ED_R008,ED_R009,ED_R010,ED_R011,ED_R012,ED_R013,ED_R014,ED_R015,ED_R016,ED_R017,ED_R018,ED_R019,ED_R020,ED_R021,ED_R022,ED_R023,ED_R024,ED_R025,ED_R026,ED_R027,ED_R028,ED_R029,ED_R030,ED_R031,ED_R032,ED_R033,ED_R034,ED_R035,ED_R036,ED_R037,ED_R038,ED_R039,ED_R040,ED_R041,ED_R042,ED_R043,ED_R044,ED_R045)&amp;"; "&amp;CHOOSE(MATCH(A431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ET_R001,ET_R002,ET_R003,ET_R004,ET_R005,ET_R006,ET_R007,ET_R008,ET_R009,ET_R010,ET_R011,ET_R012,ET_R013,ET_R014,ET_R015,ET_R016,ET_R017,ET_R018,ET_R019,ET_R020,ET_R021,ET_R022,ET_R023,ET_R024,ET_R025,ET_R026,ET_R027,ET_R028,ET_R029,ET_R030,ET_R031,ET_R032,ET_R033,ET_R034,ET_R035,ET_R036,ET_R037,ET_R038,ET_R039,ET_R040,ET_R041,ET_R042,ET_R043,ET_R044,ET_R045)&amp;"; responsable "&amp;CHOOSE(MATCH(A431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DU_R001,DU_R002,DU_R003,DU_R004,DU_R005,DU_R006,DU_R007,DU_R008,DU_R009,DU_R010,DU_R011,DU_R012,DU_R013,DU_R014,DU_R015,DU_R016,DU_R017,DU_R018,DU_R019,DU_R020,DU_R021,DU_R022,DU_R023,DU_R024,DU_R025,DU_R026,DU_R027,DU_R028,DU_R029,DU_R030,DU_R031,DU_R032,DU_R033,DU_R034,DU_R035,DU_R036,DU_R037,DU_R038,DU_R039,DU_R040,DU_R041,DU_R042,DU_R043,DU_R044,DU_R045)</x:f>
        <x:v>T-14 6.6 / 3.8.3; Implementación; responsable Guillermo Castillo</x:v>
      </x:c>
      <x:c r="F431" s="16" t="str">
        <x:v>HH adicionales en tabla 17; CLP pendiente de tarifa, costos externos y conciliación EDT. Oferta Económica.</x:v>
      </x:c>
      <x:c r="G431" s="16"/>
    </x:row>
    <x:row r="432" ht="110" customHeight="1">
      <x:c r="A432" s="14" t="str">
        <x:f>B258</x:f>
        <x:v>R-005</x:v>
      </x:c>
      <x:c r="B432" s="14" t="str">
        <x:f>CHOOSE(MATCH(A432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EF_R001,EF_R002,EF_R003,EF_R004,EF_R005,EF_R006,EF_R007,EF_R008,EF_R009,EF_R010,EF_R011,EF_R012,EF_R013,EF_R014,EF_R015,EF_R016,EF_R017,EF_R018,EF_R019,EF_R020,EF_R021,EF_R022,EF_R023,EF_R024,EF_R025,EF_R026,EF_R027,EF_R028,EF_R029,EF_R030,EF_R031,EF_R032,EF_R033,EF_R034,EF_R035,EF_R036,EF_R037,EF_R038,EF_R039,EF_R040,EF_R041,EF_R042,EF_R043,EF_R044,EF_R045)&amp;"; preservar obligación sin exclusión adicional."</x:f>
        <x:v>inconsistencia entre sitio, nube y ERP; preservar obligación sin exclusión adicional.</x:v>
      </x:c>
      <x:c r="C432" s="14" t="str">
        <x:f>CHOOSE(MATCH(A432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FT_R001,FT_R002,FT_R003,FT_R004,FT_R005,FT_R006,FT_R007,FT_R008,FT_R009,FT_R010,FT_R011,FT_R012,FT_R013,FT_R014,FT_R015,FT_R016,FT_R017,FT_R018,FT_R019,FT_R020,FT_R021,FT_R022,FT_R023,FT_R024,FT_R025,FT_R026,FT_R027,FT_R028,FT_R029,FT_R030,FT_R031,FT_R032,FT_R033,FT_R034,FT_R035,FT_R036,FT_R037,FT_R038,FT_R039,FT_R040,FT_R041,FT_R042,FT_R043,FT_R044,FT_R045)</x:f>
        <x:v>Caso 02 — Logística, cap. 15 RT-03.13; Bases Técnicas Transversales RT-02.06 y RT-03.12</x:v>
      </x:c>
      <x:c r="D432" s="14" t="str">
        <x:f>CHOOSE(MATCH(A432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CT_R001,CT_R002,CT_R003,CT_R004,CT_R005,CT_R006,CT_R007,CT_R008,CT_R009,CT_R010,CT_R011,CT_R012,CT_R013,CT_R014,CT_R015,CT_R016,CT_R017,CT_R018,CT_R019,CT_R020,CT_R021,CT_R022,CT_R023,CT_R024,CT_R025,CT_R026,CT_R027,CT_R028,CT_R029,CT_R030,CT_R031,CT_R032,CT_R033,CT_R034,CT_R035,CT_R036,CT_R037,CT_R038,CT_R039,CT_R040,CT_R041,CT_R042,CT_R043,CT_R044,CT_R045)</x:f>
        <x:v>Subdocumento 4 4.1.3.5 y 4.1.4.3: outbox, UUID y acuse durable de retención</x:v>
      </x:c>
      <x:c r="E432" s="14" t="str">
        <x:f>"T-14 "&amp;CHOOSE(MATCH(A432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ED_R001,ED_R002,ED_R003,ED_R004,ED_R005,ED_R006,ED_R007,ED_R008,ED_R009,ED_R010,ED_R011,ED_R012,ED_R013,ED_R014,ED_R015,ED_R016,ED_R017,ED_R018,ED_R019,ED_R020,ED_R021,ED_R022,ED_R023,ED_R024,ED_R025,ED_R026,ED_R027,ED_R028,ED_R029,ED_R030,ED_R031,ED_R032,ED_R033,ED_R034,ED_R035,ED_R036,ED_R037,ED_R038,ED_R039,ED_R040,ED_R041,ED_R042,ED_R043,ED_R044,ED_R045)&amp;"; "&amp;CHOOSE(MATCH(A432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ET_R001,ET_R002,ET_R003,ET_R004,ET_R005,ET_R006,ET_R007,ET_R008,ET_R009,ET_R010,ET_R011,ET_R012,ET_R013,ET_R014,ET_R015,ET_R016,ET_R017,ET_R018,ET_R019,ET_R020,ET_R021,ET_R022,ET_R023,ET_R024,ET_R025,ET_R026,ET_R027,ET_R028,ET_R029,ET_R030,ET_R031,ET_R032,ET_R033,ET_R034,ET_R035,ET_R036,ET_R037,ET_R038,ET_R039,ET_R040,ET_R041,ET_R042,ET_R043,ET_R044,ET_R045)&amp;"; responsable "&amp;CHOOSE(MATCH(A432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DU_R001,DU_R002,DU_R003,DU_R004,DU_R005,DU_R006,DU_R007,DU_R008,DU_R009,DU_R010,DU_R011,DU_R012,DU_R013,DU_R014,DU_R015,DU_R016,DU_R017,DU_R018,DU_R019,DU_R020,DU_R021,DU_R022,DU_R023,DU_R024,DU_R025,DU_R026,DU_R027,DU_R028,DU_R029,DU_R030,DU_R031,DU_R032,DU_R033,DU_R034,DU_R035,DU_R036,DU_R037,DU_R038,DU_R039,DU_R040,DU_R041,DU_R042,DU_R043,DU_R044,DU_R045)</x:f>
        <x:v>T-14 3.3.6 / 3.8.1; Implementación; responsable Tomás Pérez</x:v>
      </x:c>
      <x:c r="F432" s="14" t="str">
        <x:v>HH adicionales en tabla 17; CLP pendiente de tarifa, costos externos y conciliación EDT. Oferta Económica.</x:v>
      </x:c>
      <x:c r="G432" s="14"/>
    </x:row>
    <x:row r="433">
      <x:c r="A433" s="3"/>
      <x:c r="B433" s="3"/>
      <x:c r="C433" s="3"/>
      <x:c r="D433" s="3"/>
      <x:c r="E433" s="3"/>
      <x:c r="F433" s="3"/>
      <x:c r="G433" s="3"/>
    </x:row>
    <x:row r="434">
      <x:c r="A434" s="3"/>
      <x:c r="B434" s="3"/>
      <x:c r="C434" s="3"/>
      <x:c r="D434" s="3"/>
      <x:c r="E434" s="3"/>
      <x:c r="F434" s="3"/>
      <x:c r="G434" s="3"/>
    </x:row>
    <x:row r="435">
      <x:c r="A435" s="3"/>
      <x:c r="B435" s="3"/>
      <x:c r="C435" s="3"/>
      <x:c r="D435" s="3"/>
      <x:c r="E435" s="3"/>
      <x:c r="F435" s="3"/>
      <x:c r="G435" s="3"/>
    </x:row>
    <x:row r="436" ht="30" customHeight="1">
      <x:c r="A436" s="6" t="str">
        <x:v>9 · Recálculo</x:v>
      </x:c>
      <x:c r="B436" s="6"/>
      <x:c r="C436" s="6"/>
      <x:c r="D436" s="6"/>
      <x:c r="E436" s="6"/>
      <x:c r="F436" s="6"/>
      <x:c r="G436" s="6"/>
    </x:row>
    <x:row r="437" ht="26" customHeight="1">
      <x:c r="A437" s="7" t="str">
        <x:v>Tabla 16 · Qué entra y qué no entra</x:v>
      </x:c>
      <x:c r="B437" s="7"/>
      <x:c r="C437" s="7"/>
      <x:c r="D437" s="7"/>
      <x:c r="E437" s="7"/>
      <x:c r="F437" s="7"/>
      <x:c r="G437" s="7"/>
    </x:row>
    <x:row r="438" ht="22" customHeight="1">
      <x:c r="A438" s="49" t="str">
        <x:v>Qué entra y qué no entra
Regla adaptada para LafroX: recalcular con todos los riesgos cuantificados; utilizar el residual cuando exista respuesta y conservar el inicial en los restantes. Mantener el escenario objetivo separado de la reserva aplicable: mientras no haya evidencia de eficacia y aceptación del dueño, rige el inicial.
Las HH de acciones se separan de la contingencia; conciliar con la EDT para no duplicar pruebas o soporte ya programados. La reserva de gestión permanece pendiente de fundamento y separada de contingencia. No se transfieren los montos ni porcentajes del ejercicio. La monetización es preparación económica interna; el futuro SD8 respeta Bases Administrativas art. 50.2.</x:v>
      </x:c>
      <x:c r="B438" s="50"/>
      <x:c r="C438" s="50"/>
      <x:c r="D438" s="50"/>
      <x:c r="E438" s="50"/>
      <x:c r="F438" s="50"/>
      <x:c r="G438" s="51"/>
    </x:row>
    <x:row r="439" ht="22" customHeight="1">
      <x:c r="A439" s="52"/>
      <x:c r="B439" s="15"/>
      <x:c r="C439" s="15"/>
      <x:c r="D439" s="15"/>
      <x:c r="E439" s="15"/>
      <x:c r="F439" s="15"/>
      <x:c r="G439" s="53"/>
    </x:row>
    <x:row r="440" ht="22" customHeight="1">
      <x:c r="A440" s="52"/>
      <x:c r="B440" s="15"/>
      <x:c r="C440" s="15"/>
      <x:c r="D440" s="15"/>
      <x:c r="E440" s="15"/>
      <x:c r="F440" s="15"/>
      <x:c r="G440" s="53"/>
    </x:row>
    <x:row r="441" ht="22" customHeight="1">
      <x:c r="A441" s="52"/>
      <x:c r="B441" s="15"/>
      <x:c r="C441" s="15"/>
      <x:c r="D441" s="15"/>
      <x:c r="E441" s="15"/>
      <x:c r="F441" s="15"/>
      <x:c r="G441" s="53"/>
    </x:row>
    <x:row r="442" ht="22" customHeight="1">
      <x:c r="A442" s="54"/>
      <x:c r="B442" s="55"/>
      <x:c r="C442" s="55"/>
      <x:c r="D442" s="55"/>
      <x:c r="E442" s="55"/>
      <x:c r="F442" s="55"/>
      <x:c r="G442" s="56"/>
    </x:row>
    <x:row r="443">
      <x:c r="A443" s="3"/>
      <x:c r="B443" s="3"/>
      <x:c r="C443" s="3"/>
      <x:c r="D443" s="3"/>
      <x:c r="E443" s="3"/>
      <x:c r="F443" s="3"/>
      <x:c r="G443" s="3"/>
    </x:row>
    <x:row r="444">
      <x:c r="A444" s="3"/>
      <x:c r="B444" s="3"/>
      <x:c r="C444" s="3"/>
      <x:c r="D444" s="3"/>
      <x:c r="E444" s="3"/>
      <x:c r="F444" s="3"/>
      <x:c r="G444" s="3"/>
    </x:row>
    <x:row r="445" ht="26" customHeight="1">
      <x:c r="A445" s="23" t="str">
        <x:v>9.1 · Retorno de la respuesta</x:v>
      </x:c>
      <x:c r="B445" s="23"/>
      <x:c r="C445" s="23"/>
      <x:c r="D445" s="23"/>
      <x:c r="E445" s="23"/>
      <x:c r="F445" s="23"/>
      <x:c r="G445" s="23"/>
    </x:row>
    <x:row r="446" ht="30" customHeight="1">
      <x:c r="A446" s="5" t="str">
        <x:v>VE, ahorro y costo de acción se expresan en HH; retorno = (ahorro − costo) / costo. El retorno monetario sigue pendiente.</x:v>
      </x:c>
      <x:c r="B446" s="5"/>
      <x:c r="C446" s="5"/>
      <x:c r="D446" s="5"/>
      <x:c r="E446" s="5"/>
      <x:c r="F446" s="5"/>
      <x:c r="G446" s="5"/>
    </x:row>
    <x:row r="447" ht="26" customHeight="1">
      <x:c r="A447" s="7" t="str">
        <x:v>Tabla 17 · Retorno de la respuesta</x:v>
      </x:c>
      <x:c r="B447" s="7"/>
      <x:c r="C447" s="7"/>
      <x:c r="D447" s="7"/>
      <x:c r="E447" s="7"/>
      <x:c r="F447" s="7"/>
      <x:c r="G447" s="7"/>
    </x:row>
    <x:row r="448" ht="38" customHeight="1">
      <x:c r="A448" s="12" t="str">
        <x:v>ID</x:v>
      </x:c>
      <x:c r="B448" s="12" t="str">
        <x:v>VE inicial</x:v>
      </x:c>
      <x:c r="C448" s="12" t="str">
        <x:v>VE residual</x:v>
      </x:c>
      <x:c r="D448" s="12" t="str">
        <x:v>Ahorro</x:v>
      </x:c>
      <x:c r="E448" s="12" t="str">
        <x:v>Costo de la acción</x:v>
      </x:c>
      <x:c r="F448" s="12" t="str">
        <x:v>Retorno</x:v>
      </x:c>
      <x:c r="G448" s="12"/>
    </x:row>
    <x:row r="449" ht="36" customHeight="1">
      <x:c r="A449" s="14" t="str">
        <x:v>R-001</x:v>
      </x:c>
      <x:c r="B449" s="30" t="n">
        <x:f>INDEX($E$192:$E$236,MATCH(A449,$A$192:$A$236,0))</x:f>
        <x:v>68.4</x:v>
      </x:c>
      <x:c r="C449" s="57" t="n">
        <x:f>INDEX($F$142:$F$186,MATCH(A449,$A$142:$A$186,0))*RP_R001*RF_R001</x:f>
        <x:v>15.200000000000001</x:v>
      </x:c>
      <x:c r="D449" s="30" t="n">
        <x:f>B449-C449</x:f>
        <x:v>53.2</x:v>
      </x:c>
      <x:c r="E449" s="57" t="n">
        <x:f>RA_R001</x:f>
        <x:v>64</x:v>
      </x:c>
      <x:c r="F449" s="28" t="n">
        <x:f>IF(AND(ISNUMBER(E449),E449&gt;0),(D449-E449)/E449,"Pendiente")</x:f>
        <x:v>-0.16874999999999996</x:v>
      </x:c>
      <x:c r="G449" s="14"/>
    </x:row>
    <x:row r="450" ht="36" customHeight="1">
      <x:c r="A450" s="16" t="str">
        <x:v>R-002</x:v>
      </x:c>
      <x:c r="B450" s="33" t="n">
        <x:f>INDEX($E$192:$E$236,MATCH(A450,$A$192:$A$236,0))</x:f>
        <x:v>26.880000000000003</x:v>
      </x:c>
      <x:c r="C450" s="58" t="n">
        <x:f>INDEX($F$142:$F$186,MATCH(A450,$A$142:$A$186,0))*RP_R002*RF_R002</x:f>
        <x:v>6.720000000000001</x:v>
      </x:c>
      <x:c r="D450" s="33" t="n">
        <x:f>B450-C450</x:f>
        <x:v>20.160000000000004</x:v>
      </x:c>
      <x:c r="E450" s="58" t="n">
        <x:f>RA_R002</x:f>
        <x:v>32</x:v>
      </x:c>
      <x:c r="F450" s="31" t="n">
        <x:f>IF(AND(ISNUMBER(E450),E450&gt;0),(D450-E450)/E450,"Pendiente")</x:f>
        <x:v>-0.3699999999999999</x:v>
      </x:c>
      <x:c r="G450" s="16"/>
    </x:row>
    <x:row r="451" ht="36" customHeight="1">
      <x:c r="A451" s="14" t="str">
        <x:v>R-003</x:v>
      </x:c>
      <x:c r="B451" s="30" t="n">
        <x:f>INDEX($E$192:$E$236,MATCH(A451,$A$192:$A$236,0))</x:f>
        <x:v>80.64000000000001</x:v>
      </x:c>
      <x:c r="C451" s="57" t="n">
        <x:f>INDEX($F$142:$F$186,MATCH(A451,$A$142:$A$186,0))*RP_R003*RF_R003</x:f>
        <x:v>10.080000000000002</x:v>
      </x:c>
      <x:c r="D451" s="30" t="n">
        <x:f>B451-C451</x:f>
        <x:v>70.56000000000002</x:v>
      </x:c>
      <x:c r="E451" s="57" t="n">
        <x:f>RA_R003</x:f>
        <x:v>64</x:v>
      </x:c>
      <x:c r="F451" s="28" t="n">
        <x:f>IF(AND(ISNUMBER(E451),E451&gt;0),(D451-E451)/E451,"Pendiente")</x:f>
        <x:v>0.10250000000000026</x:v>
      </x:c>
      <x:c r="G451" s="14"/>
    </x:row>
    <x:row r="452" ht="36" customHeight="1">
      <x:c r="A452" s="16" t="str">
        <x:v>R-004</x:v>
      </x:c>
      <x:c r="B452" s="33" t="n">
        <x:f>INDEX($E$192:$E$236,MATCH(A452,$A$192:$A$236,0))</x:f>
        <x:v>100.8</x:v>
      </x:c>
      <x:c r="C452" s="58" t="n">
        <x:f>INDEX($F$142:$F$186,MATCH(A452,$A$142:$A$186,0))*RP_R004*RF_R004</x:f>
        <x:v>14</x:v>
      </x:c>
      <x:c r="D452" s="33" t="n">
        <x:f>B452-C452</x:f>
        <x:v>86.8</x:v>
      </x:c>
      <x:c r="E452" s="58" t="n">
        <x:f>RA_R004</x:f>
        <x:v>96</x:v>
      </x:c>
      <x:c r="F452" s="31" t="n">
        <x:f>IF(AND(ISNUMBER(E452),E452&gt;0),(D452-E452)/E452,"Pendiente")</x:f>
        <x:v>-0.09583333333333337</x:v>
      </x:c>
      <x:c r="G452" s="16"/>
    </x:row>
    <x:row r="453" ht="36" customHeight="1">
      <x:c r="A453" s="14" t="str">
        <x:v>R-005</x:v>
      </x:c>
      <x:c r="B453" s="30" t="n">
        <x:f>INDEX($E$192:$E$236,MATCH(A453,$A$192:$A$236,0))</x:f>
        <x:v>38.4</x:v>
      </x:c>
      <x:c r="C453" s="57" t="n">
        <x:f>INDEX($F$142:$F$186,MATCH(A453,$A$142:$A$186,0))*RP_R005*RF_R005</x:f>
        <x:v>5.120000000000001</x:v>
      </x:c>
      <x:c r="D453" s="30" t="n">
        <x:f>B453-C453</x:f>
        <x:v>33.28</x:v>
      </x:c>
      <x:c r="E453" s="57" t="n">
        <x:f>RA_R005</x:f>
        <x:v>64</x:v>
      </x:c>
      <x:c r="F453" s="28" t="n">
        <x:f>IF(AND(ISNUMBER(E453),E453&gt;0),(D453-E453)/E453,"Pendiente")</x:f>
        <x:v>-0.48</x:v>
      </x:c>
      <x:c r="G453" s="14"/>
    </x:row>
    <x:row r="454" ht="36" customHeight="1">
      <x:c r="A454" s="16" t="str">
        <x:v>R-006</x:v>
      </x:c>
      <x:c r="B454" s="33" t="n">
        <x:f>INDEX($E$192:$E$236,MATCH(A454,$A$192:$A$236,0))</x:f>
        <x:v>17.6</x:v>
      </x:c>
      <x:c r="C454" s="58" t="n">
        <x:f>INDEX($F$142:$F$186,MATCH(A454,$A$142:$A$186,0))*RP_R006*RF_R006</x:f>
        <x:v>3.5200000000000005</x:v>
      </x:c>
      <x:c r="D454" s="33" t="n">
        <x:f>B454-C454</x:f>
        <x:v>14.080000000000002</x:v>
      </x:c>
      <x:c r="E454" s="58" t="n">
        <x:f>RA_R006</x:f>
        <x:v>32</x:v>
      </x:c>
      <x:c r="F454" s="31" t="n">
        <x:f>IF(AND(ISNUMBER(E454),E454&gt;0),(D454-E454)/E454,"Pendiente")</x:f>
        <x:v>-0.5599999999999999</x:v>
      </x:c>
      <x:c r="G454" s="16"/>
    </x:row>
    <x:row r="455" ht="36" customHeight="1">
      <x:c r="A455" s="14" t="str">
        <x:v>R-007</x:v>
      </x:c>
      <x:c r="B455" s="30" t="n">
        <x:f>INDEX($E$192:$E$236,MATCH(A455,$A$192:$A$236,0))</x:f>
        <x:v>32</x:v>
      </x:c>
      <x:c r="C455" s="57" t="n">
        <x:f>INDEX($F$142:$F$186,MATCH(A455,$A$142:$A$186,0))*RP_R007*RF_R007</x:f>
        <x:v>4.8</x:v>
      </x:c>
      <x:c r="D455" s="30" t="n">
        <x:f>B455-C455</x:f>
        <x:v>27.2</x:v>
      </x:c>
      <x:c r="E455" s="57" t="n">
        <x:f>RA_R007</x:f>
        <x:v>32</x:v>
      </x:c>
      <x:c r="F455" s="28" t="n">
        <x:f>IF(AND(ISNUMBER(E455),E455&gt;0),(D455-E455)/E455,"Pendiente")</x:f>
        <x:v>-0.15000000000000002</x:v>
      </x:c>
      <x:c r="G455" s="14"/>
    </x:row>
    <x:row r="456" ht="36" customHeight="1">
      <x:c r="A456" s="16" t="str">
        <x:v>R-008</x:v>
      </x:c>
      <x:c r="B456" s="33" t="n">
        <x:f>INDEX($E$192:$E$236,MATCH(A456,$A$192:$A$236,0))</x:f>
        <x:v>24</x:v>
      </x:c>
      <x:c r="C456" s="58" t="n">
        <x:f>INDEX($F$142:$F$186,MATCH(A456,$A$142:$A$186,0))*RP_R008*RF_R008</x:f>
        <x:v>2</x:v>
      </x:c>
      <x:c r="D456" s="33" t="n">
        <x:f>B456-C456</x:f>
        <x:v>22</x:v>
      </x:c>
      <x:c r="E456" s="58" t="n">
        <x:f>RA_R008</x:f>
        <x:v>48</x:v>
      </x:c>
      <x:c r="F456" s="31" t="n">
        <x:f>IF(AND(ISNUMBER(E456),E456&gt;0),(D456-E456)/E456,"Pendiente")</x:f>
        <x:v>-0.5416666666666666</x:v>
      </x:c>
      <x:c r="G456" s="16"/>
    </x:row>
    <x:row r="457" ht="36" customHeight="1">
      <x:c r="A457" s="14" t="str">
        <x:v>R-009</x:v>
      </x:c>
      <x:c r="B457" s="30" t="n">
        <x:f>INDEX($E$192:$E$236,MATCH(A457,$A$192:$A$236,0))</x:f>
        <x:v>16.8</x:v>
      </x:c>
      <x:c r="C457" s="57" t="n">
        <x:f>INDEX($F$142:$F$186,MATCH(A457,$A$142:$A$186,0))*RP_R009*RF_R009</x:f>
        <x:v>2.6880000000000006</x:v>
      </x:c>
      <x:c r="D457" s="30" t="n">
        <x:f>B457-C457</x:f>
        <x:v>14.112</x:v>
      </x:c>
      <x:c r="E457" s="57" t="n">
        <x:f>RA_R009</x:f>
        <x:v>32</x:v>
      </x:c>
      <x:c r="F457" s="28" t="n">
        <x:f>IF(AND(ISNUMBER(E457),E457&gt;0),(D457-E457)/E457,"Pendiente")</x:f>
        <x:v>-0.5589999999999999</x:v>
      </x:c>
      <x:c r="G457" s="14"/>
    </x:row>
    <x:row r="458" ht="36" customHeight="1">
      <x:c r="A458" s="16" t="str">
        <x:v>R-010</x:v>
      </x:c>
      <x:c r="B458" s="33" t="n">
        <x:f>INDEX($E$192:$E$236,MATCH(A458,$A$192:$A$236,0))</x:f>
        <x:v>22</x:v>
      </x:c>
      <x:c r="C458" s="58" t="n">
        <x:f>INDEX($F$142:$F$186,MATCH(A458,$A$142:$A$186,0))*RP_R010*RF_R010</x:f>
        <x:v>2.64</x:v>
      </x:c>
      <x:c r="D458" s="33" t="n">
        <x:f>B458-C458</x:f>
        <x:v>19.36</x:v>
      </x:c>
      <x:c r="E458" s="58" t="n">
        <x:f>RA_R010</x:f>
        <x:v>40</x:v>
      </x:c>
      <x:c r="F458" s="31" t="n">
        <x:f>IF(AND(ISNUMBER(E458),E458&gt;0),(D458-E458)/E458,"Pendiente")</x:f>
        <x:v>-0.516</x:v>
      </x:c>
      <x:c r="G458" s="16"/>
    </x:row>
    <x:row r="459" ht="36" customHeight="1">
      <x:c r="A459" s="14" t="str">
        <x:v>R-011</x:v>
      </x:c>
      <x:c r="B459" s="30" t="n">
        <x:f>INDEX($E$192:$E$236,MATCH(A459,$A$192:$A$236,0))</x:f>
        <x:v>28.799999999999997</x:v>
      </x:c>
      <x:c r="C459" s="57" t="n">
        <x:f>INDEX($F$142:$F$186,MATCH(A459,$A$142:$A$186,0))*RP_R011*RF_R011</x:f>
        <x:v>3.8400000000000007</x:v>
      </x:c>
      <x:c r="D459" s="30" t="n">
        <x:f>B459-C459</x:f>
        <x:v>24.959999999999997</x:v>
      </x:c>
      <x:c r="E459" s="57" t="n">
        <x:f>RA_R011</x:f>
        <x:v>64</x:v>
      </x:c>
      <x:c r="F459" s="28" t="n">
        <x:f>IF(AND(ISNUMBER(E459),E459&gt;0),(D459-E459)/E459,"Pendiente")</x:f>
        <x:v>-0.6100000000000001</x:v>
      </x:c>
      <x:c r="G459" s="14"/>
    </x:row>
    <x:row r="460" ht="36" customHeight="1">
      <x:c r="A460" s="16" t="str">
        <x:v>R-012</x:v>
      </x:c>
      <x:c r="B460" s="33" t="n">
        <x:f>INDEX($E$192:$E$236,MATCH(A460,$A$192:$A$236,0))</x:f>
        <x:v>70.56</x:v>
      </x:c>
      <x:c r="C460" s="58" t="n">
        <x:f>INDEX($F$142:$F$186,MATCH(A460,$A$142:$A$186,0))*RP_R012*RF_R012</x:f>
        <x:v>7.560000000000001</x:v>
      </x:c>
      <x:c r="D460" s="33" t="n">
        <x:f>B460-C460</x:f>
        <x:v>63</x:v>
      </x:c>
      <x:c r="E460" s="58" t="n">
        <x:f>RA_R012</x:f>
        <x:v>80</x:v>
      </x:c>
      <x:c r="F460" s="31" t="n">
        <x:f>IF(AND(ISNUMBER(E460),E460&gt;0),(D460-E460)/E460,"Pendiente")</x:f>
        <x:v>-0.2125</x:v>
      </x:c>
      <x:c r="G460" s="16"/>
    </x:row>
    <x:row r="461" ht="36" customHeight="1">
      <x:c r="A461" s="14" t="str">
        <x:v>R-013</x:v>
      </x:c>
      <x:c r="B461" s="30" t="n">
        <x:f>INDEX($E$192:$E$236,MATCH(A461,$A$192:$A$236,0))</x:f>
        <x:v>31.679999999999996</x:v>
      </x:c>
      <x:c r="C461" s="57" t="n">
        <x:f>INDEX($F$142:$F$186,MATCH(A461,$A$142:$A$186,0))*RP_R013*RF_R013</x:f>
        <x:v>5.28</x:v>
      </x:c>
      <x:c r="D461" s="30" t="n">
        <x:f>B461-C461</x:f>
        <x:v>26.399999999999995</x:v>
      </x:c>
      <x:c r="E461" s="57" t="n">
        <x:f>RA_R013</x:f>
        <x:v>64</x:v>
      </x:c>
      <x:c r="F461" s="28" t="n">
        <x:f>IF(AND(ISNUMBER(E461),E461&gt;0),(D461-E461)/E461,"Pendiente")</x:f>
        <x:v>-0.5875000000000001</x:v>
      </x:c>
      <x:c r="G461" s="14"/>
    </x:row>
    <x:row r="462" ht="36" customHeight="1">
      <x:c r="A462" s="16" t="str">
        <x:v>R-014</x:v>
      </x:c>
      <x:c r="B462" s="33" t="n">
        <x:f>INDEX($E$192:$E$236,MATCH(A462,$A$192:$A$236,0))</x:f>
        <x:v>19.200000000000003</x:v>
      </x:c>
      <x:c r="C462" s="58" t="n">
        <x:f>INDEX($F$142:$F$186,MATCH(A462,$A$142:$A$186,0))*RP_R014*RF_R014</x:f>
        <x:v>3.8400000000000007</x:v>
      </x:c>
      <x:c r="D462" s="33" t="n">
        <x:f>B462-C462</x:f>
        <x:v>15.360000000000003</x:v>
      </x:c>
      <x:c r="E462" s="58" t="n">
        <x:f>RA_R014</x:f>
        <x:v>40</x:v>
      </x:c>
      <x:c r="F462" s="31" t="n">
        <x:f>IF(AND(ISNUMBER(E462),E462&gt;0),(D462-E462)/E462,"Pendiente")</x:f>
        <x:v>-0.6159999999999999</x:v>
      </x:c>
      <x:c r="G462" s="16"/>
    </x:row>
    <x:row r="463" ht="36" customHeight="1">
      <x:c r="A463" s="14" t="str">
        <x:v>R-015</x:v>
      </x:c>
      <x:c r="B463" s="30" t="n">
        <x:f>INDEX($E$192:$E$236,MATCH(A463,$A$192:$A$236,0))</x:f>
        <x:v>70.56</x:v>
      </x:c>
      <x:c r="C463" s="57" t="n">
        <x:f>INDEX($F$142:$F$186,MATCH(A463,$A$142:$A$186,0))*RP_R015*RF_R015</x:f>
        <x:v>7.560000000000001</x:v>
      </x:c>
      <x:c r="D463" s="30" t="n">
        <x:f>B463-C463</x:f>
        <x:v>63</x:v>
      </x:c>
      <x:c r="E463" s="57" t="n">
        <x:f>RA_R015</x:f>
        <x:v>80</x:v>
      </x:c>
      <x:c r="F463" s="28" t="n">
        <x:f>IF(AND(ISNUMBER(E463),E463&gt;0),(D463-E463)/E463,"Pendiente")</x:f>
        <x:v>-0.2125</x:v>
      </x:c>
      <x:c r="G463" s="14"/>
    </x:row>
    <x:row r="464" ht="36" customHeight="1">
      <x:c r="A464" s="16" t="str">
        <x:v>R-016</x:v>
      </x:c>
      <x:c r="B464" s="33" t="n">
        <x:f>INDEX($E$192:$E$236,MATCH(A464,$A$192:$A$236,0))</x:f>
        <x:v>43.199999999999996</x:v>
      </x:c>
      <x:c r="C464" s="58" t="n">
        <x:f>INDEX($F$142:$F$186,MATCH(A464,$A$142:$A$186,0))*RP_R016*RF_R016</x:f>
        <x:v>5.760000000000001</x:v>
      </x:c>
      <x:c r="D464" s="33" t="n">
        <x:f>B464-C464</x:f>
        <x:v>37.44</x:v>
      </x:c>
      <x:c r="E464" s="58" t="n">
        <x:f>RA_R016</x:f>
        <x:v>64</x:v>
      </x:c>
      <x:c r="F464" s="31" t="n">
        <x:f>IF(AND(ISNUMBER(E464),E464&gt;0),(D464-E464)/E464,"Pendiente")</x:f>
        <x:v>-0.41500000000000004</x:v>
      </x:c>
      <x:c r="G464" s="16"/>
    </x:row>
    <x:row r="465" ht="36" customHeight="1">
      <x:c r="A465" s="14" t="str">
        <x:v>R-017</x:v>
      </x:c>
      <x:c r="B465" s="30" t="n">
        <x:f>INDEX($E$192:$E$236,MATCH(A465,$A$192:$A$236,0))</x:f>
        <x:v>50.56</x:v>
      </x:c>
      <x:c r="C465" s="57" t="n">
        <x:f>INDEX($F$142:$F$186,MATCH(A465,$A$142:$A$186,0))*RP_R017*RF_R017</x:f>
        <x:v>6.32</x:v>
      </x:c>
      <x:c r="D465" s="30" t="n">
        <x:f>B465-C465</x:f>
        <x:v>44.24</x:v>
      </x:c>
      <x:c r="E465" s="57" t="n">
        <x:f>RA_R017</x:f>
        <x:v>48</x:v>
      </x:c>
      <x:c r="F465" s="28" t="n">
        <x:f>IF(AND(ISNUMBER(E465),E465&gt;0),(D465-E465)/E465,"Pendiente")</x:f>
        <x:v>-0.0783333333333333</x:v>
      </x:c>
      <x:c r="G465" s="14"/>
    </x:row>
    <x:row r="466" ht="36" customHeight="1">
      <x:c r="A466" s="16" t="str">
        <x:v>R-018</x:v>
      </x:c>
      <x:c r="B466" s="33" t="n">
        <x:f>INDEX($E$192:$E$236,MATCH(A466,$A$192:$A$236,0))</x:f>
        <x:v>67.68</x:v>
      </x:c>
      <x:c r="C466" s="58" t="n">
        <x:f>INDEX($F$142:$F$186,MATCH(A466,$A$142:$A$186,0))*RP_R018*RF_R018</x:f>
        <x:v>9.4</x:v>
      </x:c>
      <x:c r="D466" s="33" t="n">
        <x:f>B466-C466</x:f>
        <x:v>58.28000000000001</x:v>
      </x:c>
      <x:c r="E466" s="58" t="n">
        <x:f>RA_R018</x:f>
        <x:v>64</x:v>
      </x:c>
      <x:c r="F466" s="31" t="n">
        <x:f>IF(AND(ISNUMBER(E466),E466&gt;0),(D466-E466)/E466,"Pendiente")</x:f>
        <x:v>-0.08937499999999987</x:v>
      </x:c>
      <x:c r="G466" s="16"/>
    </x:row>
    <x:row r="467" ht="36" customHeight="1">
      <x:c r="A467" s="14" t="str">
        <x:v>R-019</x:v>
      </x:c>
      <x:c r="B467" s="30" t="n">
        <x:f>INDEX($E$192:$E$236,MATCH(A467,$A$192:$A$236,0))</x:f>
        <x:v>66.96000000000001</x:v>
      </x:c>
      <x:c r="C467" s="57" t="n">
        <x:f>INDEX($F$142:$F$186,MATCH(A467,$A$142:$A$186,0))*RP_R019*RF_R019</x:f>
        <x:v>18.6</x:v>
      </x:c>
      <x:c r="D467" s="30" t="n">
        <x:f>B467-C467</x:f>
        <x:v>48.36000000000001</x:v>
      </x:c>
      <x:c r="E467" s="57" t="n">
        <x:f>RA_R019</x:f>
        <x:v>64</x:v>
      </x:c>
      <x:c r="F467" s="28" t="n">
        <x:f>IF(AND(ISNUMBER(E467),E467&gt;0),(D467-E467)/E467,"Pendiente")</x:f>
        <x:v>-0.2443749999999999</x:v>
      </x:c>
      <x:c r="G467" s="14"/>
    </x:row>
    <x:row r="468" ht="36" customHeight="1">
      <x:c r="A468" s="16" t="str">
        <x:v>R-020</x:v>
      </x:c>
      <x:c r="B468" s="33" t="n">
        <x:f>INDEX($E$192:$E$236,MATCH(A468,$A$192:$A$236,0))</x:f>
        <x:v>39.199999999999996</x:v>
      </x:c>
      <x:c r="C468" s="58" t="n">
        <x:f>INDEX($F$142:$F$186,MATCH(A468,$A$142:$A$186,0))*RP_R020*RF_R020</x:f>
        <x:v>11.200000000000001</x:v>
      </x:c>
      <x:c r="D468" s="33" t="n">
        <x:f>B468-C468</x:f>
        <x:v>27.999999999999993</x:v>
      </x:c>
      <x:c r="E468" s="58" t="n">
        <x:f>RA_R020</x:f>
        <x:v>32</x:v>
      </x:c>
      <x:c r="F468" s="31" t="n">
        <x:f>IF(AND(ISNUMBER(E468),E468&gt;0),(D468-E468)/E468,"Pendiente")</x:f>
        <x:v>-0.12500000000000022</x:v>
      </x:c>
      <x:c r="G468" s="16"/>
    </x:row>
    <x:row r="469" ht="36" customHeight="1">
      <x:c r="A469" s="14" t="str">
        <x:v>R-021</x:v>
      </x:c>
      <x:c r="B469" s="30" t="n">
        <x:f>INDEX($E$192:$E$236,MATCH(A469,$A$192:$A$236,0))</x:f>
        <x:v>68.4</x:v>
      </x:c>
      <x:c r="C469" s="57" t="n">
        <x:f>INDEX($F$142:$F$186,MATCH(A469,$A$142:$A$186,0))*RP_R021*RF_R021</x:f>
        <x:v>7.6000000000000005</x:v>
      </x:c>
      <x:c r="D469" s="30" t="n">
        <x:f>B469-C469</x:f>
        <x:v>60.800000000000004</x:v>
      </x:c>
      <x:c r="E469" s="57" t="n">
        <x:f>RA_R021</x:f>
        <x:v>64</x:v>
      </x:c>
      <x:c r="F469" s="28" t="n">
        <x:f>IF(AND(ISNUMBER(E469),E469&gt;0),(D469-E469)/E469,"Pendiente")</x:f>
        <x:v>-0.04999999999999993</x:v>
      </x:c>
      <x:c r="G469" s="14"/>
    </x:row>
    <x:row r="470" ht="36" customHeight="1">
      <x:c r="A470" s="16" t="str">
        <x:v>R-022</x:v>
      </x:c>
      <x:c r="B470" s="33" t="n">
        <x:f>INDEX($E$192:$E$236,MATCH(A470,$A$192:$A$236,0))</x:f>
        <x:v>59.2</x:v>
      </x:c>
      <x:c r="C470" s="58" t="n">
        <x:f>INDEX($F$142:$F$186,MATCH(A470,$A$142:$A$186,0))*RP_R022*RF_R022</x:f>
        <x:v>7.4</x:v>
      </x:c>
      <x:c r="D470" s="33" t="n">
        <x:f>B470-C470</x:f>
        <x:v>51.800000000000004</x:v>
      </x:c>
      <x:c r="E470" s="58" t="n">
        <x:f>RA_R022</x:f>
        <x:v>32</x:v>
      </x:c>
      <x:c r="F470" s="31" t="n">
        <x:f>IF(AND(ISNUMBER(E470),E470&gt;0),(D470-E470)/E470,"Pendiente")</x:f>
        <x:v>0.6187500000000001</x:v>
      </x:c>
      <x:c r="G470" s="16"/>
    </x:row>
    <x:row r="471" ht="36" customHeight="1">
      <x:c r="A471" s="14" t="str">
        <x:v>R-023</x:v>
      </x:c>
      <x:c r="B471" s="30" t="n">
        <x:f>INDEX($E$192:$E$236,MATCH(A471,$A$192:$A$236,0))</x:f>
        <x:v>26.4</x:v>
      </x:c>
      <x:c r="C471" s="57" t="n">
        <x:f>INDEX($F$142:$F$186,MATCH(A471,$A$142:$A$186,0))*RP_R023*RF_R023</x:f>
        <x:v>2.2</x:v>
      </x:c>
      <x:c r="D471" s="30" t="n">
        <x:f>B471-C471</x:f>
        <x:v>24.2</x:v>
      </x:c>
      <x:c r="E471" s="57" t="n">
        <x:f>RA_R023</x:f>
        <x:v>24</x:v>
      </x:c>
      <x:c r="F471" s="28" t="n">
        <x:f>IF(AND(ISNUMBER(E471),E471&gt;0),(D471-E471)/E471,"Pendiente")</x:f>
        <x:v>0.008333333333333304</x:v>
      </x:c>
      <x:c r="G471" s="14"/>
    </x:row>
    <x:row r="472" ht="36" customHeight="1">
      <x:c r="A472" s="16" t="str">
        <x:v>R-024</x:v>
      </x:c>
      <x:c r="B472" s="33" t="n">
        <x:f>INDEX($E$192:$E$236,MATCH(A472,$A$192:$A$236,0))</x:f>
        <x:v>50.56</x:v>
      </x:c>
      <x:c r="C472" s="58" t="n">
        <x:f>INDEX($F$142:$F$186,MATCH(A472,$A$142:$A$186,0))*RP_R024*RF_R024</x:f>
        <x:v>6.32</x:v>
      </x:c>
      <x:c r="D472" s="33" t="n">
        <x:f>B472-C472</x:f>
        <x:v>44.24</x:v>
      </x:c>
      <x:c r="E472" s="58" t="n">
        <x:f>RA_R024</x:f>
        <x:v>32</x:v>
      </x:c>
      <x:c r="F472" s="31" t="n">
        <x:f>IF(AND(ISNUMBER(E472),E472&gt;0),(D472-E472)/E472,"Pendiente")</x:f>
        <x:v>0.38250000000000006</x:v>
      </x:c>
      <x:c r="G472" s="16"/>
    </x:row>
    <x:row r="473" ht="36" customHeight="1">
      <x:c r="A473" s="14" t="str">
        <x:v>R-025</x:v>
      </x:c>
      <x:c r="B473" s="30" t="n">
        <x:f>INDEX($E$192:$E$236,MATCH(A473,$A$192:$A$236,0))</x:f>
        <x:v>62.160000000000004</x:v>
      </x:c>
      <x:c r="C473" s="57" t="n">
        <x:f>INDEX($F$142:$F$186,MATCH(A473,$A$142:$A$186,0))*RP_R025*RF_R025</x:f>
        <x:v>8.88</x:v>
      </x:c>
      <x:c r="D473" s="30" t="n">
        <x:f>B473-C473</x:f>
        <x:v>53.28</x:v>
      </x:c>
      <x:c r="E473" s="57" t="n">
        <x:f>RA_R025</x:f>
        <x:v>40</x:v>
      </x:c>
      <x:c r="F473" s="28" t="n">
        <x:f>IF(AND(ISNUMBER(E473),E473&gt;0),(D473-E473)/E473,"Pendiente")</x:f>
        <x:v>0.332</x:v>
      </x:c>
      <x:c r="G473" s="14"/>
    </x:row>
    <x:row r="474" ht="36" customHeight="1">
      <x:c r="A474" s="16" t="str">
        <x:v>R-026</x:v>
      </x:c>
      <x:c r="B474" s="33" t="n">
        <x:f>INDEX($E$192:$E$236,MATCH(A474,$A$192:$A$236,0))</x:f>
        <x:v>80.64000000000001</x:v>
      </x:c>
      <x:c r="C474" s="58" t="n">
        <x:f>INDEX($F$142:$F$186,MATCH(A474,$A$142:$A$186,0))*RP_R026*RF_R026</x:f>
        <x:v>12.600000000000001</x:v>
      </x:c>
      <x:c r="D474" s="33" t="n">
        <x:f>B474-C474</x:f>
        <x:v>68.04000000000002</x:v>
      </x:c>
      <x:c r="E474" s="58" t="n">
        <x:f>RA_R026</x:f>
        <x:v>48</x:v>
      </x:c>
      <x:c r="F474" s="31" t="n">
        <x:f>IF(AND(ISNUMBER(E474),E474&gt;0),(D474-E474)/E474,"Pendiente")</x:f>
        <x:v>0.4175000000000004</x:v>
      </x:c>
      <x:c r="G474" s="16"/>
    </x:row>
    <x:row r="475" ht="36" customHeight="1">
      <x:c r="A475" s="14" t="str">
        <x:v>R-027</x:v>
      </x:c>
      <x:c r="B475" s="30" t="n">
        <x:f>INDEX($E$192:$E$236,MATCH(A475,$A$192:$A$236,0))</x:f>
        <x:v>28</x:v>
      </x:c>
      <x:c r="C475" s="57" t="n">
        <x:f>INDEX($F$142:$F$186,MATCH(A475,$A$142:$A$186,0))*RP_R027*RF_R027</x:f>
        <x:v>8</x:v>
      </x:c>
      <x:c r="D475" s="30" t="n">
        <x:f>B475-C475</x:f>
        <x:v>20</x:v>
      </x:c>
      <x:c r="E475" s="57" t="n">
        <x:f>RA_R027</x:f>
        <x:v>24</x:v>
      </x:c>
      <x:c r="F475" s="28" t="n">
        <x:f>IF(AND(ISNUMBER(E475),E475&gt;0),(D475-E475)/E475,"Pendiente")</x:f>
        <x:v>-0.16666666666666666</x:v>
      </x:c>
      <x:c r="G475" s="14"/>
    </x:row>
    <x:row r="476" ht="36" customHeight="1">
      <x:c r="A476" s="16" t="str">
        <x:v>R-028</x:v>
      </x:c>
      <x:c r="B476" s="33" t="n">
        <x:f>INDEX($E$192:$E$236,MATCH(A476,$A$192:$A$236,0))</x:f>
        <x:v>32.64</x:v>
      </x:c>
      <x:c r="C476" s="58" t="n">
        <x:f>INDEX($F$142:$F$186,MATCH(A476,$A$142:$A$186,0))*RP_R028*RF_R028</x:f>
        <x:v>4.896</x:v>
      </x:c>
      <x:c r="D476" s="33" t="n">
        <x:f>B476-C476</x:f>
        <x:v>27.744</x:v>
      </x:c>
      <x:c r="E476" s="58" t="n">
        <x:f>RA_R028</x:f>
        <x:v>40</x:v>
      </x:c>
      <x:c r="F476" s="31" t="n">
        <x:f>IF(AND(ISNUMBER(E476),E476&gt;0),(D476-E476)/E476,"Pendiente")</x:f>
        <x:v>-0.3064</x:v>
      </x:c>
      <x:c r="G476" s="16"/>
    </x:row>
    <x:row r="477" ht="36" customHeight="1">
      <x:c r="A477" s="14" t="str">
        <x:v>R-029</x:v>
      </x:c>
      <x:c r="B477" s="30" t="n">
        <x:f>INDEX($E$192:$E$236,MATCH(A477,$A$192:$A$236,0))</x:f>
        <x:v>44.24</x:v>
      </x:c>
      <x:c r="C477" s="57" t="n">
        <x:f>INDEX($F$142:$F$186,MATCH(A477,$A$142:$A$186,0))*RP_R029*RF_R029</x:f>
        <x:v>12.64</x:v>
      </x:c>
      <x:c r="D477" s="30" t="n">
        <x:f>B477-C477</x:f>
        <x:v>31.6</x:v>
      </x:c>
      <x:c r="E477" s="57" t="n">
        <x:f>RA_R029</x:f>
        <x:v>48</x:v>
      </x:c>
      <x:c r="F477" s="28" t="n">
        <x:f>IF(AND(ISNUMBER(E477),E477&gt;0),(D477-E477)/E477,"Pendiente")</x:f>
        <x:v>-0.3416666666666666</x:v>
      </x:c>
      <x:c r="G477" s="14"/>
    </x:row>
    <x:row r="478" ht="36" customHeight="1">
      <x:c r="A478" s="16" t="str">
        <x:v>R-030</x:v>
      </x:c>
      <x:c r="B478" s="33" t="n">
        <x:f>INDEX($E$192:$E$236,MATCH(A478,$A$192:$A$236,0))</x:f>
        <x:v>116</x:v>
      </x:c>
      <x:c r="C478" s="58" t="n">
        <x:f>INDEX($F$142:$F$186,MATCH(A478,$A$142:$A$186,0))*RP_R030*RF_R030</x:f>
        <x:v>64.96</x:v>
      </x:c>
      <x:c r="D478" s="33" t="n">
        <x:f>B478-C478</x:f>
        <x:v>51.040000000000006</x:v>
      </x:c>
      <x:c r="E478" s="58" t="n">
        <x:f>RA_R030</x:f>
        <x:v>64</x:v>
      </x:c>
      <x:c r="F478" s="31" t="n">
        <x:f>IF(AND(ISNUMBER(E478),E478&gt;0),(D478-E478)/E478,"Pendiente")</x:f>
        <x:v>-0.2024999999999999</x:v>
      </x:c>
      <x:c r="G478" s="16"/>
    </x:row>
    <x:row r="479" ht="36" customHeight="1">
      <x:c r="A479" s="14" t="str">
        <x:v>R-031</x:v>
      </x:c>
      <x:c r="B479" s="30" t="n">
        <x:f>INDEX($E$192:$E$236,MATCH(A479,$A$192:$A$236,0))</x:f>
        <x:v>28</x:v>
      </x:c>
      <x:c r="C479" s="57" t="n">
        <x:f>INDEX($F$142:$F$186,MATCH(A479,$A$142:$A$186,0))*RP_R031*RF_R031</x:f>
        <x:v>8</x:v>
      </x:c>
      <x:c r="D479" s="30" t="n">
        <x:f>B479-C479</x:f>
        <x:v>20</x:v>
      </x:c>
      <x:c r="E479" s="57" t="n">
        <x:f>RA_R031</x:f>
        <x:v>32</x:v>
      </x:c>
      <x:c r="F479" s="28" t="n">
        <x:f>IF(AND(ISNUMBER(E479),E479&gt;0),(D479-E479)/E479,"Pendiente")</x:f>
        <x:v>-0.375</x:v>
      </x:c>
      <x:c r="G479" s="14"/>
    </x:row>
    <x:row r="480" ht="36" customHeight="1">
      <x:c r="A480" s="16" t="str">
        <x:v>R-032</x:v>
      </x:c>
      <x:c r="B480" s="33" t="n">
        <x:f>INDEX($E$192:$E$236,MATCH(A480,$A$192:$A$236,0))</x:f>
        <x:v>45.6</x:v>
      </x:c>
      <x:c r="C480" s="58" t="n">
        <x:f>INDEX($F$142:$F$186,MATCH(A480,$A$142:$A$186,0))*RP_R032*RF_R032</x:f>
        <x:v>5.7</x:v>
      </x:c>
      <x:c r="D480" s="33" t="n">
        <x:f>B480-C480</x:f>
        <x:v>39.9</x:v>
      </x:c>
      <x:c r="E480" s="58" t="n">
        <x:f>RA_R032</x:f>
        <x:v>48</x:v>
      </x:c>
      <x:c r="F480" s="31" t="n">
        <x:f>IF(AND(ISNUMBER(E480),E480&gt;0),(D480-E480)/E480,"Pendiente")</x:f>
        <x:v>-0.16875000000000004</x:v>
      </x:c>
      <x:c r="G480" s="16"/>
    </x:row>
    <x:row r="481" ht="36" customHeight="1">
      <x:c r="A481" s="14" t="str">
        <x:v>R-033</x:v>
      </x:c>
      <x:c r="B481" s="30" t="n">
        <x:f>INDEX($E$192:$E$236,MATCH(A481,$A$192:$A$236,0))</x:f>
        <x:v>50.56</x:v>
      </x:c>
      <x:c r="C481" s="57" t="n">
        <x:f>INDEX($F$142:$F$186,MATCH(A481,$A$142:$A$186,0))*RP_R033*RF_R033</x:f>
        <x:v>12.64</x:v>
      </x:c>
      <x:c r="D481" s="30" t="n">
        <x:f>B481-C481</x:f>
        <x:v>37.92</x:v>
      </x:c>
      <x:c r="E481" s="57" t="n">
        <x:f>RA_R033</x:f>
        <x:v>32</x:v>
      </x:c>
      <x:c r="F481" s="28" t="n">
        <x:f>IF(AND(ISNUMBER(E481),E481&gt;0),(D481-E481)/E481,"Pendiente")</x:f>
        <x:v>0.18500000000000005</x:v>
      </x:c>
      <x:c r="G481" s="14"/>
    </x:row>
    <x:row r="482" ht="36" customHeight="1">
      <x:c r="A482" s="16" t="str">
        <x:v>R-034</x:v>
      </x:c>
      <x:c r="B482" s="33" t="n">
        <x:f>INDEX($E$192:$E$236,MATCH(A482,$A$192:$A$236,0))</x:f>
        <x:v>40.8</x:v>
      </x:c>
      <x:c r="C482" s="58" t="n">
        <x:f>INDEX($F$142:$F$186,MATCH(A482,$A$142:$A$186,0))*RP_R034*RF_R034</x:f>
        <x:v>6.119999999999999</x:v>
      </x:c>
      <x:c r="D482" s="33" t="n">
        <x:f>B482-C482</x:f>
        <x:v>34.68</x:v>
      </x:c>
      <x:c r="E482" s="58" t="n">
        <x:f>RA_R034</x:f>
        <x:v>40</x:v>
      </x:c>
      <x:c r="F482" s="31" t="n">
        <x:f>IF(AND(ISNUMBER(E482),E482&gt;0),(D482-E482)/E482,"Pendiente")</x:f>
        <x:v>-0.133</x:v>
      </x:c>
      <x:c r="G482" s="16"/>
    </x:row>
    <x:row r="483" ht="36" customHeight="1">
      <x:c r="A483" s="14" t="str">
        <x:v>R-035</x:v>
      </x:c>
      <x:c r="B483" s="30" t="n">
        <x:f>INDEX($E$192:$E$236,MATCH(A483,$A$192:$A$236,0))</x:f>
        <x:v>35.2</x:v>
      </x:c>
      <x:c r="C483" s="57" t="n">
        <x:f>INDEX($F$142:$F$186,MATCH(A483,$A$142:$A$186,0))*RP_R035*RF_R035</x:f>
        <x:v>11</x:v>
      </x:c>
      <x:c r="D483" s="30" t="n">
        <x:f>B483-C483</x:f>
        <x:v>24.200000000000003</x:v>
      </x:c>
      <x:c r="E483" s="57" t="n">
        <x:f>RA_R035</x:f>
        <x:v>24</x:v>
      </x:c>
      <x:c r="F483" s="28" t="n">
        <x:f>IF(AND(ISNUMBER(E483),E483&gt;0),(D483-E483)/E483,"Pendiente")</x:f>
        <x:v>0.008333333333333451</x:v>
      </x:c>
      <x:c r="G483" s="14"/>
    </x:row>
    <x:row r="484" ht="36" customHeight="1">
      <x:c r="A484" s="16" t="str">
        <x:v>R-036</x:v>
      </x:c>
      <x:c r="B484" s="33" t="n">
        <x:f>INDEX($E$192:$E$236,MATCH(A484,$A$192:$A$236,0))</x:f>
        <x:v>32</x:v>
      </x:c>
      <x:c r="C484" s="58" t="n">
        <x:f>INDEX($F$142:$F$186,MATCH(A484,$A$142:$A$186,0))*RP_R036*RF_R036</x:f>
        <x:v>8</x:v>
      </x:c>
      <x:c r="D484" s="33" t="n">
        <x:f>B484-C484</x:f>
        <x:v>24</x:v>
      </x:c>
      <x:c r="E484" s="58" t="n">
        <x:f>RA_R036</x:f>
        <x:v>32</x:v>
      </x:c>
      <x:c r="F484" s="31" t="n">
        <x:f>IF(AND(ISNUMBER(E484),E484&gt;0),(D484-E484)/E484,"Pendiente")</x:f>
        <x:v>-0.25</x:v>
      </x:c>
      <x:c r="G484" s="16"/>
    </x:row>
    <x:row r="485" ht="36" customHeight="1">
      <x:c r="A485" s="14" t="str">
        <x:v>R-037</x:v>
      </x:c>
      <x:c r="B485" s="30" t="n">
        <x:f>INDEX($E$192:$E$236,MATCH(A485,$A$192:$A$236,0))</x:f>
        <x:v>28</x:v>
      </x:c>
      <x:c r="C485" s="57" t="n">
        <x:f>INDEX($F$142:$F$186,MATCH(A485,$A$142:$A$186,0))*RP_R037*RF_R037</x:f>
        <x:v>8</x:v>
      </x:c>
      <x:c r="D485" s="30" t="n">
        <x:f>B485-C485</x:f>
        <x:v>20</x:v>
      </x:c>
      <x:c r="E485" s="57" t="n">
        <x:f>RA_R037</x:f>
        <x:v>32</x:v>
      </x:c>
      <x:c r="F485" s="28" t="n">
        <x:f>IF(AND(ISNUMBER(E485),E485&gt;0),(D485-E485)/E485,"Pendiente")</x:f>
        <x:v>-0.375</x:v>
      </x:c>
      <x:c r="G485" s="14"/>
    </x:row>
    <x:row r="486" ht="36" customHeight="1">
      <x:c r="A486" s="16" t="str">
        <x:v>R-038</x:v>
      </x:c>
      <x:c r="B486" s="33" t="n">
        <x:f>INDEX($E$192:$E$236,MATCH(A486,$A$192:$A$236,0))</x:f>
        <x:v>68.4</x:v>
      </x:c>
      <x:c r="C486" s="58" t="n">
        <x:f>INDEX($F$142:$F$186,MATCH(A486,$A$142:$A$186,0))*RP_R038*RF_R038</x:f>
        <x:v>7.6000000000000005</x:v>
      </x:c>
      <x:c r="D486" s="33" t="n">
        <x:f>B486-C486</x:f>
        <x:v>60.800000000000004</x:v>
      </x:c>
      <x:c r="E486" s="58" t="n">
        <x:f>RA_R038</x:f>
        <x:v>64</x:v>
      </x:c>
      <x:c r="F486" s="31" t="n">
        <x:f>IF(AND(ISNUMBER(E486),E486&gt;0),(D486-E486)/E486,"Pendiente")</x:f>
        <x:v>-0.04999999999999993</x:v>
      </x:c>
      <x:c r="G486" s="16"/>
    </x:row>
    <x:row r="487" ht="36" customHeight="1">
      <x:c r="A487" s="14" t="str">
        <x:v>R-039</x:v>
      </x:c>
      <x:c r="B487" s="30" t="n">
        <x:f>INDEX($E$192:$E$236,MATCH(A487,$A$192:$A$236,0))</x:f>
        <x:v>23.52</x:v>
      </x:c>
      <x:c r="C487" s="57" t="n">
        <x:f>INDEX($F$142:$F$186,MATCH(A487,$A$142:$A$186,0))*RP_R039*RF_R039</x:f>
        <x:v>6.720000000000001</x:v>
      </x:c>
      <x:c r="D487" s="30" t="n">
        <x:f>B487-C487</x:f>
        <x:v>16.799999999999997</x:v>
      </x:c>
      <x:c r="E487" s="57" t="n">
        <x:f>RA_R039</x:f>
        <x:v>24</x:v>
      </x:c>
      <x:c r="F487" s="28" t="n">
        <x:f>IF(AND(ISNUMBER(E487),E487&gt;0),(D487-E487)/E487,"Pendiente")</x:f>
        <x:v>-0.3000000000000001</x:v>
      </x:c>
      <x:c r="G487" s="14"/>
    </x:row>
    <x:row r="488" ht="36" customHeight="1">
      <x:c r="A488" s="16" t="str">
        <x:v>R-040</x:v>
      </x:c>
      <x:c r="B488" s="33" t="n">
        <x:f>INDEX($E$192:$E$236,MATCH(A488,$A$192:$A$236,0))</x:f>
        <x:v>37.120000000000005</x:v>
      </x:c>
      <x:c r="C488" s="58" t="n">
        <x:f>INDEX($F$142:$F$186,MATCH(A488,$A$142:$A$186,0))*RP_R040*RF_R040</x:f>
        <x:v>9.280000000000001</x:v>
      </x:c>
      <x:c r="D488" s="33" t="n">
        <x:f>B488-C488</x:f>
        <x:v>27.840000000000003</x:v>
      </x:c>
      <x:c r="E488" s="58" t="n">
        <x:f>RA_R040</x:f>
        <x:v>32</x:v>
      </x:c>
      <x:c r="F488" s="31" t="n">
        <x:f>IF(AND(ISNUMBER(E488),E488&gt;0),(D488-E488)/E488,"Pendiente")</x:f>
        <x:v>-0.1299999999999999</x:v>
      </x:c>
      <x:c r="G488" s="16"/>
    </x:row>
    <x:row r="489" ht="36" customHeight="1">
      <x:c r="A489" s="14" t="str">
        <x:v>R-041</x:v>
      </x:c>
      <x:c r="B489" s="30" t="n">
        <x:f>INDEX($E$192:$E$236,MATCH(A489,$A$192:$A$236,0))</x:f>
        <x:v>52.8</x:v>
      </x:c>
      <x:c r="C489" s="57" t="n">
        <x:f>INDEX($F$142:$F$186,MATCH(A489,$A$142:$A$186,0))*RP_R041*RF_R041</x:f>
        <x:v>6.6</x:v>
      </x:c>
      <x:c r="D489" s="30" t="n">
        <x:f>B489-C489</x:f>
        <x:v>46.199999999999996</x:v>
      </x:c>
      <x:c r="E489" s="57" t="n">
        <x:f>RA_R041</x:f>
        <x:v>48</x:v>
      </x:c>
      <x:c r="F489" s="28" t="n">
        <x:f>IF(AND(ISNUMBER(E489),E489&gt;0),(D489-E489)/E489,"Pendiente")</x:f>
        <x:v>-0.03750000000000009</x:v>
      </x:c>
      <x:c r="G489" s="14"/>
    </x:row>
    <x:row r="490" ht="36" customHeight="1">
      <x:c r="A490" s="16" t="str">
        <x:v>R-042</x:v>
      </x:c>
      <x:c r="B490" s="33" t="n">
        <x:f>INDEX($E$192:$E$236,MATCH(A490,$A$192:$A$236,0))</x:f>
        <x:v>44.24</x:v>
      </x:c>
      <x:c r="C490" s="58" t="n">
        <x:f>INDEX($F$142:$F$186,MATCH(A490,$A$142:$A$186,0))*RP_R042*RF_R042</x:f>
        <x:v>6.32</x:v>
      </x:c>
      <x:c r="D490" s="33" t="n">
        <x:f>B490-C490</x:f>
        <x:v>37.92</x:v>
      </x:c>
      <x:c r="E490" s="58" t="n">
        <x:f>RA_R042</x:f>
        <x:v>40</x:v>
      </x:c>
      <x:c r="F490" s="31" t="n">
        <x:f>IF(AND(ISNUMBER(E490),E490&gt;0),(D490-E490)/E490,"Pendiente")</x:f>
        <x:v>-0.051999999999999956</x:v>
      </x:c>
      <x:c r="G490" s="16"/>
    </x:row>
    <x:row r="491" ht="36" customHeight="1">
      <x:c r="A491" s="14" t="str">
        <x:v>R-043</x:v>
      </x:c>
      <x:c r="B491" s="30" t="n">
        <x:f>INDEX($E$192:$E$236,MATCH(A491,$A$192:$A$236,0))</x:f>
        <x:v>26.4</x:v>
      </x:c>
      <x:c r="C491" s="57" t="n">
        <x:f>INDEX($F$142:$F$186,MATCH(A491,$A$142:$A$186,0))*RP_R043*RF_R043</x:f>
        <x:v>2.64</x:v>
      </x:c>
      <x:c r="D491" s="30" t="n">
        <x:f>B491-C491</x:f>
        <x:v>23.759999999999998</x:v>
      </x:c>
      <x:c r="E491" s="57" t="n">
        <x:f>RA_R043</x:f>
        <x:v>32</x:v>
      </x:c>
      <x:c r="F491" s="28" t="n">
        <x:f>IF(AND(ISNUMBER(E491),E491&gt;0),(D491-E491)/E491,"Pendiente")</x:f>
        <x:v>-0.25750000000000006</x:v>
      </x:c>
      <x:c r="G491" s="14"/>
    </x:row>
    <x:row r="492" ht="36" customHeight="1">
      <x:c r="A492" s="16" t="str">
        <x:v>R-044</x:v>
      </x:c>
      <x:c r="B492" s="33" t="n">
        <x:f>INDEX($E$192:$E$236,MATCH(A492,$A$192:$A$236,0))</x:f>
        <x:v>26.4</x:v>
      </x:c>
      <x:c r="C492" s="58" t="n">
        <x:f>INDEX($F$142:$F$186,MATCH(A492,$A$142:$A$186,0))*RP_R044*RF_R044</x:f>
        <x:v>2.64</x:v>
      </x:c>
      <x:c r="D492" s="33" t="n">
        <x:f>B492-C492</x:f>
        <x:v>23.759999999999998</x:v>
      </x:c>
      <x:c r="E492" s="58" t="n">
        <x:f>RA_R044</x:f>
        <x:v>32</x:v>
      </x:c>
      <x:c r="F492" s="31" t="n">
        <x:f>IF(AND(ISNUMBER(E492),E492&gt;0),(D492-E492)/E492,"Pendiente")</x:f>
        <x:v>-0.25750000000000006</x:v>
      </x:c>
      <x:c r="G492" s="16"/>
    </x:row>
    <x:row r="493" ht="36" customHeight="1">
      <x:c r="A493" s="14" t="str">
        <x:v>R-045</x:v>
      </x:c>
      <x:c r="B493" s="30" t="n">
        <x:f>INDEX($E$192:$E$236,MATCH(A493,$A$192:$A$236,0))</x:f>
        <x:v>35.28</x:v>
      </x:c>
      <x:c r="C493" s="57" t="n">
        <x:f>INDEX($F$142:$F$186,MATCH(A493,$A$142:$A$186,0))*RP_R045*RF_R045</x:f>
        <x:v>5.04</x:v>
      </x:c>
      <x:c r="D493" s="30" t="n">
        <x:f>B493-C493</x:f>
        <x:v>30.240000000000002</x:v>
      </x:c>
      <x:c r="E493" s="57" t="n">
        <x:f>RA_R045</x:f>
        <x:v>40</x:v>
      </x:c>
      <x:c r="F493" s="28" t="n">
        <x:f>IF(AND(ISNUMBER(E493),E493&gt;0),(D493-E493)/E493,"Pendiente")</x:f>
        <x:v>-0.24399999999999994</x:v>
      </x:c>
      <x:c r="G493" s="14"/>
    </x:row>
    <x:row r="494">
      <x:c r="A494" s="3"/>
      <x:c r="B494" s="3"/>
      <x:c r="C494" s="3"/>
      <x:c r="D494" s="3"/>
      <x:c r="E494" s="3"/>
      <x:c r="F494" s="3"/>
      <x:c r="G494" s="3"/>
    </x:row>
    <x:row r="495">
      <x:c r="A495" s="3"/>
      <x:c r="B495" s="3"/>
      <x:c r="C495" s="3"/>
      <x:c r="D495" s="3"/>
      <x:c r="E495" s="3"/>
      <x:c r="F495" s="3"/>
      <x:c r="G495" s="3"/>
    </x:row>
    <x:row r="496" ht="26" customHeight="1">
      <x:c r="A496" s="23" t="str">
        <x:v>9.2 · La reserva después de gestionar</x:v>
      </x:c>
      <x:c r="B496" s="23"/>
      <x:c r="C496" s="23"/>
      <x:c r="D496" s="23"/>
      <x:c r="E496" s="23"/>
      <x:c r="F496" s="23"/>
      <x:c r="G496" s="23"/>
    </x:row>
    <x:row r="497" ht="26" customHeight="1">
      <x:c r="A497" s="7" t="str">
        <x:v>Tabla 18 · La reserva después de gestionar</x:v>
      </x:c>
      <x:c r="B497" s="7"/>
      <x:c r="C497" s="7"/>
      <x:c r="D497" s="7"/>
      <x:c r="E497" s="7"/>
      <x:c r="F497" s="7"/>
      <x:c r="G497" s="7"/>
    </x:row>
    <x:row r="498" ht="38" customHeight="1">
      <x:c r="A498" s="12" t="str">
        <x:v>Concepto</x:v>
      </x:c>
      <x:c r="B498" s="12"/>
      <x:c r="C498" s="12"/>
      <x:c r="D498" s="12"/>
      <x:c r="E498" s="12"/>
      <x:c r="F498" s="12" t="str">
        <x:v>Valor</x:v>
      </x:c>
      <x:c r="G498" s="12"/>
    </x:row>
    <x:row r="499" ht="36" customHeight="1">
      <x:c r="A499" s="14" t="str">
        <x:v>Reserva bruta, antes de responder</x:v>
      </x:c>
      <x:c r="B499" s="14"/>
      <x:c r="C499" s="14"/>
      <x:c r="D499" s="14"/>
      <x:c r="E499" s="14"/>
      <x:c r="F499" s="30" t="n">
        <x:f>SUM($E$192:$E$236)</x:f>
        <x:v>2058.480000000001</x:v>
      </x:c>
      <x:c r="G499" s="14"/>
    </x:row>
    <x:row r="500" ht="36" customHeight="1">
      <x:c r="A500" s="16" t="str">
        <x:v>Valor esperado eliminado por las respuestas</x:v>
      </x:c>
      <x:c r="B500" s="16"/>
      <x:c r="C500" s="16"/>
      <x:c r="D500" s="16"/>
      <x:c r="E500" s="16"/>
      <x:c r="F500" s="33" t="n">
        <x:f>F499-F501</x:f>
        <x:v>1670.556000000001</x:v>
      </x:c>
      <x:c r="G500" s="16"/>
    </x:row>
    <x:row r="501" ht="36" customHeight="1">
      <x:c r="A501" s="14" t="str">
        <x:v>Reserva residual</x:v>
      </x:c>
      <x:c r="B501" s="14"/>
      <x:c r="C501" s="14"/>
      <x:c r="D501" s="14"/>
      <x:c r="E501" s="14"/>
      <x:c r="F501" s="30" t="n">
        <x:f>SUM($C$449:$C$493)</x:f>
        <x:v>387.924</x:v>
      </x:c>
      <x:c r="G501" s="14"/>
    </x:row>
    <x:row r="502">
      <x:c r="A502" s="3"/>
      <x:c r="B502" s="3"/>
      <x:c r="C502" s="3"/>
      <x:c r="D502" s="3"/>
      <x:c r="E502" s="3"/>
      <x:c r="F502" s="3"/>
      <x:c r="G502" s="3"/>
    </x:row>
    <x:row r="503">
      <x:c r="A503" s="3"/>
      <x:c r="B503" s="3"/>
      <x:c r="C503" s="3"/>
      <x:c r="D503" s="3"/>
      <x:c r="E503" s="3"/>
      <x:c r="F503" s="3"/>
      <x:c r="G503" s="3"/>
    </x:row>
    <x:row r="504" ht="26" customHeight="1">
      <x:c r="A504" s="23" t="str">
        <x:v>9.3 · La oferta gestionada</x:v>
      </x:c>
      <x:c r="B504" s="23"/>
      <x:c r="C504" s="23"/>
      <x:c r="D504" s="23"/>
      <x:c r="E504" s="23"/>
      <x:c r="F504" s="23"/>
      <x:c r="G504" s="23"/>
    </x:row>
    <x:row r="505" ht="30" customHeight="1">
      <x:c r="A505" s="5" t="str">
        <x:v>Montos en CLP. Las entradas ausentes bloquean el total; no se interpretan como cero. Reserva de gestión adicional pendiente.</x:v>
      </x:c>
      <x:c r="B505" s="5"/>
      <x:c r="C505" s="5"/>
      <x:c r="D505" s="5"/>
      <x:c r="E505" s="5"/>
      <x:c r="F505" s="5"/>
      <x:c r="G505" s="5"/>
    </x:row>
    <x:row r="506" ht="26" customHeight="1">
      <x:c r="A506" s="7" t="str">
        <x:v>Tabla 19 · La oferta gestionada</x:v>
      </x:c>
      <x:c r="B506" s="7"/>
      <x:c r="C506" s="7"/>
      <x:c r="D506" s="7"/>
      <x:c r="E506" s="7"/>
      <x:c r="F506" s="7"/>
      <x:c r="G506" s="7"/>
    </x:row>
    <x:row r="507" ht="38" customHeight="1">
      <x:c r="A507" s="12" t="str">
        <x:v>Concepto</x:v>
      </x:c>
      <x:c r="B507" s="12"/>
      <x:c r="C507" s="12"/>
      <x:c r="D507" s="12"/>
      <x:c r="E507" s="12"/>
      <x:c r="F507" s="12" t="str">
        <x:v>Monto</x:v>
      </x:c>
      <x:c r="G507" s="12"/>
    </x:row>
    <x:row r="508" ht="36" customHeight="1">
      <x:c r="A508" s="14" t="str">
        <x:v>Costos directos, con las acciones de respuesta incorporadas</x:v>
      </x:c>
      <x:c r="B508" s="14"/>
      <x:c r="C508" s="14"/>
      <x:c r="D508" s="14"/>
      <x:c r="E508" s="14"/>
      <x:c r="F508" s="60" t="str">
        <x:f>IF(AND(ISNUMBER(Costos_Directos_Base_CLP),ISNUMBER(Tarifa_CLP_HH),ISNUMBER(Externo_Accion_R001),ISNUMBER(Externo_Accion_R002),ISNUMBER(Externo_Accion_R003),ISNUMBER(Externo_Accion_R004),ISNUMBER(Externo_Accion_R005),ISNUMBER(Externo_Accion_R006),ISNUMBER(Externo_Accion_R007),ISNUMBER(Externo_Accion_R008),ISNUMBER(Externo_Accion_R009),ISNUMBER(Externo_Accion_R010),ISNUMBER(Externo_Accion_R011),ISNUMBER(Externo_Accion_R012),ISNUMBER(Externo_Accion_R013),ISNUMBER(Externo_Accion_R014),ISNUMBER(Externo_Accion_R015),ISNUMBER(Externo_Accion_R016),ISNUMBER(Externo_Accion_R017),ISNUMBER(Externo_Accion_R018),ISNUMBER(Externo_Accion_R019),ISNUMBER(Externo_Accion_R020),ISNUMBER(Externo_Accion_R021),ISNUMBER(Externo_Accion_R022),ISNUMBER(Externo_Accion_R023),ISNUMBER(Externo_Accion_R024),ISNUMBER(Externo_Accion_R025),ISNUMBER(Externo_Accion_R026),ISNUMBER(Externo_Accion_R027),ISNUMBER(Externo_Accion_R028),ISNUMBER(Externo_Accion_R029),ISNUMBER(Externo_Accion_R030),ISNUMBER(Externo_Accion_R031),ISNUMBER(Externo_Accion_R032),ISNUMBER(Externo_Accion_R033),ISNUMBER(Externo_Accion_R034),ISNUMBER(Externo_Accion_R035),ISNUMBER(Externo_Accion_R036),ISNUMBER(Externo_Accion_R037),ISNUMBER(Externo_Accion_R038),ISNUMBER(Externo_Accion_R039),ISNUMBER(Externo_Accion_R040),ISNUMBER(Externo_Accion_R041),ISNUMBER(Externo_Accion_R042),ISNUMBER(Externo_Accion_R043),ISNUMBER(Externo_Accion_R044),ISNUMBER(Externo_Accion_R045)),Costos_Directos_Base_CLP+SUM(MA_R001,MA_R002,MA_R003,MA_R004,MA_R005,MA_R006,MA_R007,MA_R008,MA_R009,MA_R010,MA_R011,MA_R012,MA_R013,MA_R014,MA_R015,MA_R016,MA_R017,MA_R018,MA_R019,MA_R020,MA_R021,MA_R022,MA_R023,MA_R024,MA_R025,MA_R026,MA_R027,MA_R028,MA_R029,MA_R030,MA_R031,MA_R032,MA_R033,MA_R034,MA_R035,MA_R036,MA_R037,MA_R038,MA_R039,MA_R040,MA_R041,MA_R042,MA_R043,MA_R044,MA_R045),"Pendiente")</x:f>
        <x:v>Pendiente</x:v>
      </x:c>
      <x:c r="G508" s="14"/>
    </x:row>
    <x:row r="509" ht="36" customHeight="1">
      <x:c r="A509" s="16" t="str">
        <x:v>Gastos generales — tasa pendiente</x:v>
      </x:c>
      <x:c r="B509" s="16"/>
      <x:c r="C509" s="16"/>
      <x:c r="D509" s="16"/>
      <x:c r="E509" s="16"/>
      <x:c r="F509" s="60" t="str">
        <x:f>IF(AND(ISNUMBER(F508),ISNUMBER(GG_Tasa)),F508*GG_Tasa,"Pendiente")</x:f>
        <x:v>Pendiente</x:v>
      </x:c>
      <x:c r="G509" s="16"/>
    </x:row>
    <x:row r="510" ht="36" customHeight="1">
      <x:c r="A510" s="14" t="str">
        <x:v>Utilidad — tasa pendiente</x:v>
      </x:c>
      <x:c r="B510" s="14"/>
      <x:c r="C510" s="14"/>
      <x:c r="D510" s="14"/>
      <x:c r="E510" s="14"/>
      <x:c r="F510" s="60" t="str">
        <x:f>IF(AND(ISNUMBER(F508),ISNUMBER(F509),ISNUMBER(Utilidad_Tasa)),(F508+F509)*Utilidad_Tasa,"Pendiente")</x:f>
        <x:v>Pendiente</x:v>
      </x:c>
      <x:c r="G510" s="14"/>
    </x:row>
    <x:row r="511" ht="36" customHeight="1">
      <x:c r="A511" s="16" t="str">
        <x:v>Reserva residual</x:v>
      </x:c>
      <x:c r="B511" s="16"/>
      <x:c r="C511" s="16"/>
      <x:c r="D511" s="16"/>
      <x:c r="E511" s="16"/>
      <x:c r="F511" s="60" t="str">
        <x:f>VE_Monetario_Residual</x:f>
        <x:v>Pendiente</x:v>
      </x:c>
      <x:c r="G511" s="16"/>
    </x:row>
    <x:row r="512" ht="36" customHeight="1">
      <x:c r="A512" s="14" t="str">
        <x:v>Oferta neta gestionada</x:v>
      </x:c>
      <x:c r="B512" s="14"/>
      <x:c r="C512" s="14"/>
      <x:c r="D512" s="14"/>
      <x:c r="E512" s="14"/>
      <x:c r="F512" s="60" t="str">
        <x:f>IF(COUNT(F508,F509,F510,F511)=4,SUM(F508,F509,F510,F511),"Pendiente")</x:f>
        <x:v>Pendiente</x:v>
      </x:c>
      <x:c r="G512" s="14"/>
    </x:row>
    <x:row r="513" ht="36" customHeight="1">
      <x:c r="A513" s="16" t="str">
        <x:v>Oferta neta sin gestionar el riesgo</x:v>
      </x:c>
      <x:c r="B513" s="16"/>
      <x:c r="C513" s="16"/>
      <x:c r="D513" s="16"/>
      <x:c r="E513" s="16"/>
      <x:c r="F513" s="60" t="str">
        <x:f>IF(AND(ISNUMBER(Costos_Directos_Base_CLP),ISNUMBER(GG_Tasa),ISNUMBER(Utilidad_Tasa),ISNUMBER(VE_Monetario_Inicial)),Costos_Directos_Base_CLP*(1+GG_Tasa)*(1+Utilidad_Tasa)+(VE_Monetario_Inicial),"Pendiente")</x:f>
        <x:v>Pendiente</x:v>
      </x:c>
      <x:c r="G513" s="16"/>
    </x:row>
    <x:row r="514" ht="36" customHeight="1">
      <x:c r="A514" s="14" t="str">
        <x:v>Diferencia a favor de la oferta gestionada</x:v>
      </x:c>
      <x:c r="B514" s="14"/>
      <x:c r="C514" s="14"/>
      <x:c r="D514" s="14"/>
      <x:c r="E514" s="14"/>
      <x:c r="F514" s="60" t="str">
        <x:f>IF(AND(ISNUMBER(F512),ISNUMBER(F513)),F513-F512,"Pendiente")</x:f>
        <x:v>Pendiente</x:v>
      </x:c>
      <x:c r="G514" s="14"/>
    </x:row>
    <x:row r="515">
      <x:c r="A515" s="3"/>
      <x:c r="B515" s="3"/>
      <x:c r="C515" s="3"/>
      <x:c r="D515" s="3"/>
      <x:c r="E515" s="3"/>
      <x:c r="F515" s="3"/>
      <x:c r="G515" s="3"/>
    </x:row>
    <x:row r="516">
      <x:c r="A516" s="3"/>
      <x:c r="B516" s="3"/>
      <x:c r="C516" s="3"/>
      <x:c r="D516" s="3"/>
      <x:c r="E516" s="3"/>
      <x:c r="F516" s="3"/>
      <x:c r="G516" s="3"/>
    </x:row>
    <x:row r="517" ht="30" customHeight="1">
      <x:c r="A517" s="23" t="str">
        <x:v>Método y condiciones de validación</x:v>
      </x:c>
      <x:c r="B517" s="23"/>
      <x:c r="C517" s="23"/>
      <x:c r="D517" s="23"/>
      <x:c r="E517" s="23"/>
      <x:c r="F517" s="23"/>
      <x:c r="G517" s="23"/>
    </x:row>
    <x:row r="518" ht="32" customHeight="1">
      <x:c r="A518" s="5" t="str">
        <x:v>P: 0–10 %, &gt;10–30 %, &gt;30–50 %, &gt;50–70 %, &gt;70–100 %; pesos 0,10; 0,30; 0,50; 0,70; 0,90. I: 0,05; 0,10; 0,20; 0,40; 0,80.</x:v>
      </x:c>
      <x:c r="B518" s="5"/>
      <x:c r="C518" s="5"/>
      <x:c r="D518" s="5"/>
      <x:c r="E518" s="5"/>
      <x:c r="F518" s="5"/>
      <x:c r="G518" s="5"/>
    </x:row>
    <x:row r="519" ht="30" customHeight="1">
      <x:c r="A519" s="5" t="str">
        <x:v>Zona: baja &lt;0,08; media ≥0,08 y &lt;0,20; alta ≥0,20 y &lt;0,40; crítica ≥0,40. Usar el impacto más grave, sin promediar dimensiones.</x:v>
      </x:c>
      <x:c r="B519" s="5"/>
      <x:c r="C519" s="5"/>
      <x:c r="D519" s="5"/>
      <x:c r="E519" s="5"/>
      <x:c r="F519" s="5"/>
      <x:c r="G519" s="5"/>
    </x:row>
    <x:row r="520" ht="32" customHeight="1">
      <x:c r="A520" s="5" t="str">
        <x:v>Plazo FEP04: &lt;2; 2–5; &gt;5–15; &gt;15–30; &gt;30 días. Costo: &lt;0,5 %; 0,5–&lt;1 %; 1–&lt;2 %; 2–5 %; &gt;5 % del contrato. Costo pendiente.</x:v>
      </x:c>
      <x:c r="B520" s="5"/>
      <x:c r="C520" s="5"/>
      <x:c r="D520" s="5"/>
      <x:c r="E520" s="5"/>
      <x:c r="F520" s="5"/>
      <x:c r="G520" s="5"/>
    </x:row>
    <x:row r="521" ht="30" customHeight="1">
      <x:c r="A521" s="5" t="str">
        <x:v>Alcance/calidad y continuidad: niveles 1–5 desde función secundaria sin pérdida operacional hasta pérdida de jornada crítica o integridad irrecuperable.</x:v>
      </x:c>
      <x:c r="B521" s="5"/>
      <x:c r="C521" s="5"/>
      <x:c r="D521" s="5"/>
      <x:c r="E521" s="5"/>
      <x:c r="F521" s="5"/>
      <x:c r="G521" s="5"/>
    </x:row>
    <x:row r="522" ht="34" customHeight="1">
      <x:c r="A522" s="5" t="str">
        <x:v>Azul: entrada editable. Probabilidad porcentual: tabla 6; impacto cualitativo: tabla 3; esfuerzo: fórmulas de tabla 5. Valores residuales: Administrador de nombres RP_, RI_, RF_ por ID.</x:v>
      </x:c>
      <x:c r="B522" s="5"/>
      <x:c r="C522" s="5"/>
      <x:c r="D522" s="5"/>
      <x:c r="E522" s="5"/>
      <x:c r="F522" s="5"/>
      <x:c r="G522" s="5"/>
    </x:row>
    <x:row r="523" ht="32" customHeight="1">
      <x:c r="A523" s="5" t="str">
        <x:v>HH_Dia y HH_Turno controlan las descomposiciones. RA_ controla esfuerzo adicional y Mes_ la proximidad. La reserva de gestión tiene entrada propia y no integra los tres conceptos de tabla 18.</x:v>
      </x:c>
      <x:c r="B523" s="5"/>
      <x:c r="C523" s="5"/>
      <x:c r="D523" s="5"/>
      <x:c r="E523" s="5"/>
      <x:c r="F523" s="5"/>
      <x:c r="G523" s="5"/>
    </x:row>
    <x:row r="524" ht="34" customHeight="1">
      <x:c r="A524" s="5" t="str">
        <x:v>Validación: contrato de interfaz y prueba real; conciliación de migración; retiro sanitario &lt;2 h; cortes y restauración medidos; carga en peak; acuerdos sindicales y de transportistas; actas de aceptación.</x:v>
      </x:c>
      <x:c r="B524" s="5"/>
      <x:c r="C524" s="5"/>
      <x:c r="D524" s="5"/>
      <x:c r="E524" s="5"/>
      <x:c r="F524" s="5"/>
      <x:c r="G524" s="5"/>
    </x:row>
    <x:row r="525" ht="32" customHeight="1">
      <x:c r="A525" s="5" t="str">
        <x:v>Las probabilidades y esfuerzos son juicio de planificación. Las Bases respaldan el contexto; las actas y resultados de prueba deben respaldar las reducciones. No hay eficacia verificada en esta versión.</x:v>
      </x:c>
      <x:c r="B525" s="5"/>
      <x:c r="C525" s="5"/>
      <x:c r="D525" s="5"/>
      <x:c r="E525" s="5"/>
      <x:c r="F525" s="5"/>
      <x:c r="G525" s="5"/>
    </x:row>
    <x:row r="526" ht="32" customHeight="1">
      <x:c r="A526" s="5" t="str">
        <x:f>"Reserva aplicable hasta validar: "&amp;TEXT(SUM(Aplicable_HH_01,Aplicable_HH_02,Aplicable_HH_03),"0.000")&amp;" HH. La tabla 18 presenta el escenario residual objetivo."</x:f>
        <x:v>Reserva aplicable hasta validar: 2058.480 HH. La tabla 18 presenta el escenario residual objetivo.</x:v>
      </x:c>
      <x:c r="B526" s="5"/>
      <x:c r="C526" s="5"/>
      <x:c r="D526" s="5"/>
      <x:c r="E526" s="5"/>
      <x:c r="F526" s="5"/>
      <x:c r="G526" s="5"/>
    </x:row>
    <x:row r="527" ht="32" customHeight="1">
      <x:c r="A527" s="5" t="str">
        <x:v>Fuentes: Bases Administrativas; Bases Técnicas Transversales; Caso 02 — Logística; Aclaraciones §11. Método: FEP04 y Project Management Institute (2017), PMBOK 6, cap. 11.</x:v>
      </x:c>
      <x:c r="B527" s="5"/>
      <x:c r="C527" s="5"/>
      <x:c r="D527" s="5"/>
      <x:c r="E527" s="5"/>
      <x:c r="F527" s="5"/>
      <x:c r="G527" s="5"/>
    </x:row>
    <x:row r="528" ht="32" customHeight="1">
      <x:c r="A528" s="5" t="str">
        <x:v>Contraste: Subdocumentos 1, 3, 4, 5, 6, 9 y 13; formularios T-11, T-14, T-15, T-17 y T-18. El enunciado referido por la plantilla no fue adjuntado; no se le atribuyen reglas desconocidas.</x:v>
      </x:c>
      <x:c r="B528" s="5"/>
      <x:c r="C528" s="5"/>
      <x:c r="D528" s="5"/>
      <x:c r="E528" s="5"/>
      <x:c r="F528" s="5"/>
      <x:c r="G528" s="5"/>
    </x:row>
    <x:row r="529" ht="30" customHeight="1">
      <x:c r="A529" s="23" t="str">
        <x:v>Análisis de modos de falla · cinco prioritarios</x:v>
      </x:c>
      <x:c r="B529" s="23"/>
      <x:c r="C529" s="23"/>
      <x:c r="D529" s="23"/>
      <x:c r="E529" s="23"/>
      <x:c r="F529" s="23"/>
      <x:c r="G529" s="23"/>
    </x:row>
    <x:row r="530" ht="76" customHeight="1">
      <x:c r="A530" s="5" t="str">
        <x:f>B254&amp;": "&amp;CHOOSE(MATCH(B254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EV_R001,EV_R002,EV_R003,EV_R004,EV_R005,EV_R006,EV_R007,EV_R008,EV_R009,EV_R010,EV_R011,EV_R012,EV_R013,EV_R014,EV_R015,EV_R016,EV_R017,EV_R018,EV_R019,EV_R020,EV_R021,EV_R022,EV_R023,EV_R024,EV_R025,EV_R026,EV_R027,EV_R028,EV_R029,EV_R030,EV_R031,EV_R032,EV_R033,EV_R034,EV_R035,EV_R036,EV_R037,EV_R038,EV_R039,EV_R040,EV_R041,EV_R042,EV_R043,EV_R044,EV_R045)&amp;". Causa: "&amp;CHOOSE(MATCH(B254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CA_R001,CA_R002,CA_R003,CA_R004,CA_R005,CA_R006,CA_R007,CA_R008,CA_R009,CA_R010,CA_R011,CA_R012,CA_R013,CA_R014,CA_R015,CA_R016,CA_R017,CA_R018,CA_R019,CA_R020,CA_R021,CA_R022,CA_R023,CA_R024,CA_R025,CA_R026,CA_R027,CA_R028,CA_R029,CA_R030,CA_R031,CA_R032,CA_R033,CA_R034,CA_R035,CA_R036,CA_R037,CA_R038,CA_R039,CA_R040,CA_R041,CA_R042,CA_R043,CA_R044,CA_R045)&amp;". Efecto: "&amp;CHOOSE(MATCH(B254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EF_R001,EF_R002,EF_R003,EF_R004,EF_R005,EF_R006,EF_R007,EF_R008,EF_R009,EF_R010,EF_R011,EF_R012,EF_R013,EF_R014,EF_R015,EF_R016,EF_R017,EF_R018,EF_R019,EF_R020,EF_R021,EF_R022,EF_R023,EF_R024,EF_R025,EF_R026,EF_R027,EF_R028,EF_R029,EF_R030,EF_R031,EF_R032,EF_R033,EF_R034,EF_R035,EF_R036,EF_R037,EF_R038,EF_R039,EF_R040,EF_R041,EF_R042,EF_R043,EF_R044,EF_R045)&amp;". Severidad "&amp;MATCH(INDEX($F$38:$F$82,MATCH(B254,$A$38:$A$82,0)),{0.05,0.1,0.2,0.4,0.8},0)&amp;"; ocurrencia "&amp;INDEX($B$90:$B$134,MATCH(B254,$A$90:$A$134,0))&amp;"; dificultad de detección 3 (hipótesis de revisión manual). NPR = "&amp;MATCH(INDEX($F$38:$F$82,MATCH(B254,$A$38:$A$82,0)),{0.05,0.1,0.2,0.4,0.8},0)*INDEX($B$90:$B$134,MATCH(B254,$A$90:$A$134,0))*3&amp;". Acción: "&amp;CHOOSE(MATCH(B254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AC_R001,AC_R002,AC_R003,AC_R004,AC_R005,AC_R006,AC_R007,AC_R008,AC_R009,AC_R010,AC_R011,AC_R012,AC_R013,AC_R014,AC_R015,AC_R016,AC_R017,AC_R018,AC_R019,AC_R020,AC_R021,AC_R022,AC_R023,AC_R024,AC_R025,AC_R026,AC_R027,AC_R028,AC_R029,AC_R030,AC_R031,AC_R032,AC_R033,AC_R034,AC_R035,AC_R036,AC_R037,AC_R038,AC_R039,AC_R040,AC_R041,AC_R042,AC_R043,AC_R044,AC_R045)&amp;". Validación: "&amp;CHOOSE(MATCH(B254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VF_R001,VF_R002,VF_R003,VF_R004,VF_R005,VF_R006,VF_R007,VF_R008,VF_R009,VF_R010,VF_R011,VF_R012,VF_R013,VF_R014,VF_R015,VF_R016,VF_R017,VF_R018,VF_R019,VF_R020,VF_R021,VF_R022,VF_R023,VF_R024,VF_R025,VF_R026,VF_R027,VF_R028,VF_R029,VF_R030,VF_R031,VF_R032,VF_R033,VF_R034,VF_R035,VF_R036,VF_R037,VF_R038,VF_R039,VF_R040,VF_R041,VF_R042,VF_R043,VF_R044,VF_R045)</x:f>
        <x:v>R-015: la restauración o promoción puede perder datos o superar los límites. Causa: La operación híbrida produce datos en varios sitios y medios. Efecto: interrupción prolongada y conciliación extraordinaria. Severidad 5; ocurrencia 3; dificultad de detección 3 (hipótesis de revisión manual). NPR = 45. Acción: Ensayar desastre total con escritura en curso, exclusión del escritor y retorno. Validación: Informe medido de conmutación y retorno; incluir pérdida simultánea de WAN y nodo</x:v>
      </x:c>
      <x:c r="B530" s="5"/>
      <x:c r="C530" s="5"/>
      <x:c r="D530" s="5"/>
      <x:c r="E530" s="5"/>
      <x:c r="F530" s="5"/>
      <x:c r="G530" s="5"/>
    </x:row>
    <x:row r="531" ht="76" customHeight="1">
      <x:c r="A531" s="5" t="str">
        <x:f>B255&amp;": "&amp;CHOOSE(MATCH(B255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EV_R001,EV_R002,EV_R003,EV_R004,EV_R005,EV_R006,EV_R007,EV_R008,EV_R009,EV_R010,EV_R011,EV_R012,EV_R013,EV_R014,EV_R015,EV_R016,EV_R017,EV_R018,EV_R019,EV_R020,EV_R021,EV_R022,EV_R023,EV_R024,EV_R025,EV_R026,EV_R027,EV_R028,EV_R029,EV_R030,EV_R031,EV_R032,EV_R033,EV_R034,EV_R035,EV_R036,EV_R037,EV_R038,EV_R039,EV_R040,EV_R041,EV_R042,EV_R043,EV_R044,EV_R045)&amp;". Causa: "&amp;CHOOSE(MATCH(B255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CA_R001,CA_R002,CA_R003,CA_R004,CA_R005,CA_R006,CA_R007,CA_R008,CA_R009,CA_R010,CA_R011,CA_R012,CA_R013,CA_R014,CA_R015,CA_R016,CA_R017,CA_R018,CA_R019,CA_R020,CA_R021,CA_R022,CA_R023,CA_R024,CA_R025,CA_R026,CA_R027,CA_R028,CA_R029,CA_R030,CA_R031,CA_R032,CA_R033,CA_R034,CA_R035,CA_R036,CA_R037,CA_R038,CA_R039,CA_R040,CA_R041,CA_R042,CA_R043,CA_R044,CA_R045)&amp;". Efecto: "&amp;CHOOSE(MATCH(B255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EF_R001,EF_R002,EF_R003,EF_R004,EF_R005,EF_R006,EF_R007,EF_R008,EF_R009,EF_R010,EF_R011,EF_R012,EF_R013,EF_R014,EF_R015,EF_R016,EF_R017,EF_R018,EF_R019,EF_R020,EF_R021,EF_R022,EF_R023,EF_R024,EF_R025,EF_R026,EF_R027,EF_R028,EF_R029,EF_R030,EF_R031,EF_R032,EF_R033,EF_R034,EF_R035,EF_R036,EF_R037,EF_R038,EF_R039,EF_R040,EF_R041,EF_R042,EF_R043,EF_R044,EF_R045)&amp;". Severidad "&amp;MATCH(INDEX($F$38:$F$82,MATCH(B255,$A$38:$A$82,0)),{0.05,0.1,0.2,0.4,0.8},0)&amp;"; ocurrencia "&amp;INDEX($B$90:$B$134,MATCH(B255,$A$90:$A$134,0))&amp;"; dificultad de detección 3 (hipótesis de revisión manual). NPR = "&amp;MATCH(INDEX($F$38:$F$82,MATCH(B255,$A$38:$A$82,0)),{0.05,0.1,0.2,0.4,0.8},0)*INDEX($B$90:$B$134,MATCH(B255,$A$90:$A$134,0))*3&amp;". Acción: "&amp;CHOOSE(MATCH(B255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AC_R001,AC_R002,AC_R003,AC_R004,AC_R005,AC_R006,AC_R007,AC_R008,AC_R009,AC_R010,AC_R011,AC_R012,AC_R013,AC_R014,AC_R015,AC_R016,AC_R017,AC_R018,AC_R019,AC_R020,AC_R021,AC_R022,AC_R023,AC_R024,AC_R025,AC_R026,AC_R027,AC_R028,AC_R029,AC_R030,AC_R031,AC_R032,AC_R033,AC_R034,AC_R035,AC_R036,AC_R037,AC_R038,AC_R039,AC_R040,AC_R041,AC_R042,AC_R043,AC_R044,AC_R045)&amp;". Validación: "&amp;CHOOSE(MATCH(B255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VF_R001,VF_R002,VF_R003,VF_R004,VF_R005,VF_R006,VF_R007,VF_R008,VF_R009,VF_R010,VF_R011,VF_R012,VF_R013,VF_R014,VF_R015,VF_R016,VF_R017,VF_R018,VF_R019,VF_R020,VF_R021,VF_R022,VF_R023,VF_R024,VF_R025,VF_R026,VF_R027,VF_R028,VF_R029,VF_R030,VF_R031,VF_R032,VF_R033,VF_R034,VF_R035,VF_R036,VF_R037,VF_R038,VF_R039,VF_R040,VF_R041,VF_R042,VF_R043,VF_R044,VF_R045)</x:f>
        <x:v>R-012: la cadena de custodia nueva puede quedar incompleta en algún sitio o retorno. Causa: El caso reporta recepciones sin lote y retiro de nueve días. Efecto: identificación tardía de clientes y lote afectado. Severidad 5; ocurrencia 3; dificultad de detección 3 (hipótesis de revisión manual). NPR = 45. Acción: Ejecutar retiro simulado extremo a extremo con lote repartido, devolución y sitio desconectado. Validación: Listado reconciliado contra entregas y devoluciones en menos de 2 h; historia incompleta declarada</x:v>
      </x:c>
      <x:c r="B531" s="5"/>
      <x:c r="C531" s="5"/>
      <x:c r="D531" s="5"/>
      <x:c r="E531" s="5"/>
      <x:c r="F531" s="5"/>
      <x:c r="G531" s="5"/>
    </x:row>
    <x:row r="532" ht="76" customHeight="1">
      <x:c r="A532" s="5" t="str">
        <x:f>B256&amp;": "&amp;CHOOSE(MATCH(B256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EV_R001,EV_R002,EV_R003,EV_R004,EV_R005,EV_R006,EV_R007,EV_R008,EV_R009,EV_R010,EV_R011,EV_R012,EV_R013,EV_R014,EV_R015,EV_R016,EV_R017,EV_R018,EV_R019,EV_R020,EV_R021,EV_R022,EV_R023,EV_R024,EV_R025,EV_R026,EV_R027,EV_R028,EV_R029,EV_R030,EV_R031,EV_R032,EV_R033,EV_R034,EV_R035,EV_R036,EV_R037,EV_R038,EV_R039,EV_R040,EV_R041,EV_R042,EV_R043,EV_R044,EV_R045)&amp;". Causa: "&amp;CHOOSE(MATCH(B256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CA_R001,CA_R002,CA_R003,CA_R004,CA_R005,CA_R006,CA_R007,CA_R008,CA_R009,CA_R010,CA_R011,CA_R012,CA_R013,CA_R014,CA_R015,CA_R016,CA_R017,CA_R018,CA_R019,CA_R020,CA_R021,CA_R022,CA_R023,CA_R024,CA_R025,CA_R026,CA_R027,CA_R028,CA_R029,CA_R030,CA_R031,CA_R032,CA_R033,CA_R034,CA_R035,CA_R036,CA_R037,CA_R038,CA_R039,CA_R040,CA_R041,CA_R042,CA_R043,CA_R044,CA_R045)&amp;". Efecto: "&amp;CHOOSE(MATCH(B256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EF_R001,EF_R002,EF_R003,EF_R004,EF_R005,EF_R006,EF_R007,EF_R008,EF_R009,EF_R010,EF_R011,EF_R012,EF_R013,EF_R014,EF_R015,EF_R016,EF_R017,EF_R018,EF_R019,EF_R020,EF_R021,EF_R022,EF_R023,EF_R024,EF_R025,EF_R026,EF_R027,EF_R028,EF_R029,EF_R030,EF_R031,EF_R032,EF_R033,EF_R034,EF_R035,EF_R036,EF_R037,EF_R038,EF_R039,EF_R040,EF_R041,EF_R042,EF_R043,EF_R044,EF_R045)&amp;". Severidad "&amp;MATCH(INDEX($F$38:$F$82,MATCH(B256,$A$38:$A$82,0)),{0.05,0.1,0.2,0.4,0.8},0)&amp;"; ocurrencia "&amp;INDEX($B$90:$B$134,MATCH(B256,$A$90:$A$134,0))&amp;"; dificultad de detección 3 (hipótesis de revisión manual). NPR = "&amp;MATCH(INDEX($F$38:$F$82,MATCH(B256,$A$38:$A$82,0)),{0.05,0.1,0.2,0.4,0.8},0)*INDEX($B$90:$B$134,MATCH(B256,$A$90:$A$134,0))*3&amp;". Acción: "&amp;CHOOSE(MATCH(B256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AC_R001,AC_R002,AC_R003,AC_R004,AC_R005,AC_R006,AC_R007,AC_R008,AC_R009,AC_R010,AC_R011,AC_R012,AC_R013,AC_R014,AC_R015,AC_R016,AC_R017,AC_R018,AC_R019,AC_R020,AC_R021,AC_R022,AC_R023,AC_R024,AC_R025,AC_R026,AC_R027,AC_R028,AC_R029,AC_R030,AC_R031,AC_R032,AC_R033,AC_R034,AC_R035,AC_R036,AC_R037,AC_R038,AC_R039,AC_R040,AC_R041,AC_R042,AC_R043,AC_R044,AC_R045)&amp;". Validación: "&amp;CHOOSE(MATCH(B256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VF_R001,VF_R002,VF_R003,VF_R004,VF_R005,VF_R006,VF_R007,VF_R008,VF_R009,VF_R010,VF_R011,VF_R012,VF_R013,VF_R014,VF_R015,VF_R016,VF_R017,VF_R018,VF_R019,VF_R020,VF_R021,VF_R022,VF_R023,VF_R024,VF_R025,VF_R026,VF_R027,VF_R028,VF_R029,VF_R030,VF_R031,VF_R032,VF_R033,VF_R034,VF_R035,VF_R036,VF_R037,VF_R038,VF_R039,VF_R040,VF_R041,VF_R042,VF_R043,VF_R044,VF_R045)</x:f>
        <x:v>R-014: la habilitación o redundancia eléctrica puede fallar ante un corte prolongado. Causa: La sala actual tiene split, UPS de diez minutos y acceso por llave. Efecto: caída de los nodos locales críticos. Severidad 5; ocurrencia 2; dificultad de detección 3 (hipótesis de revisión manual). NPR = 30. Acción: Recepcionar energía, autonomía y climatización con carga, corte y alarma. Validación: Ensayo de energía y carga térmica, PDU/circuitos comprobados y acta de recepción</x:v>
      </x:c>
      <x:c r="B532" s="5"/>
      <x:c r="C532" s="5"/>
      <x:c r="D532" s="5"/>
      <x:c r="E532" s="5"/>
      <x:c r="F532" s="5"/>
      <x:c r="G532" s="5"/>
    </x:row>
    <x:row r="533" ht="76" customHeight="1">
      <x:c r="A533" s="5" t="str">
        <x:f>B257&amp;": "&amp;CHOOSE(MATCH(B257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EV_R001,EV_R002,EV_R003,EV_R004,EV_R005,EV_R006,EV_R007,EV_R008,EV_R009,EV_R010,EV_R011,EV_R012,EV_R013,EV_R014,EV_R015,EV_R016,EV_R017,EV_R018,EV_R019,EV_R020,EV_R021,EV_R022,EV_R023,EV_R024,EV_R025,EV_R026,EV_R027,EV_R028,EV_R029,EV_R030,EV_R031,EV_R032,EV_R033,EV_R034,EV_R035,EV_R036,EV_R037,EV_R038,EV_R039,EV_R040,EV_R041,EV_R042,EV_R043,EV_R044,EV_R045)&amp;". Causa: "&amp;CHOOSE(MATCH(B257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CA_R001,CA_R002,CA_R003,CA_R004,CA_R005,CA_R006,CA_R007,CA_R008,CA_R009,CA_R010,CA_R011,CA_R012,CA_R013,CA_R014,CA_R015,CA_R016,CA_R017,CA_R018,CA_R019,CA_R020,CA_R021,CA_R022,CA_R023,CA_R024,CA_R025,CA_R026,CA_R027,CA_R028,CA_R029,CA_R030,CA_R031,CA_R032,CA_R033,CA_R034,CA_R035,CA_R036,CA_R037,CA_R038,CA_R039,CA_R040,CA_R041,CA_R042,CA_R043,CA_R044,CA_R045)&amp;". Efecto: "&amp;CHOOSE(MATCH(B257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EF_R001,EF_R002,EF_R003,EF_R004,EF_R005,EF_R006,EF_R007,EF_R008,EF_R009,EF_R010,EF_R011,EF_R012,EF_R013,EF_R014,EF_R015,EF_R016,EF_R017,EF_R018,EF_R019,EF_R020,EF_R021,EF_R022,EF_R023,EF_R024,EF_R025,EF_R026,EF_R027,EF_R028,EF_R029,EF_R030,EF_R031,EF_R032,EF_R033,EF_R034,EF_R035,EF_R036,EF_R037,EF_R038,EF_R039,EF_R040,EF_R041,EF_R042,EF_R043,EF_R044,EF_R045)&amp;". Severidad "&amp;MATCH(INDEX($F$38:$F$82,MATCH(B257,$A$38:$A$82,0)),{0.05,0.1,0.2,0.4,0.8},0)&amp;"; ocurrencia "&amp;INDEX($B$90:$B$134,MATCH(B257,$A$90:$A$134,0))&amp;"; dificultad de detección 3 (hipótesis de revisión manual). NPR = "&amp;MATCH(INDEX($F$38:$F$82,MATCH(B257,$A$38:$A$82,0)),{0.05,0.1,0.2,0.4,0.8},0)*INDEX($B$90:$B$134,MATCH(B257,$A$90:$A$134,0))*3&amp;". Acción: "&amp;CHOOSE(MATCH(B257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AC_R001,AC_R002,AC_R003,AC_R004,AC_R005,AC_R006,AC_R007,AC_R008,AC_R009,AC_R010,AC_R011,AC_R012,AC_R013,AC_R014,AC_R015,AC_R016,AC_R017,AC_R018,AC_R019,AC_R020,AC_R021,AC_R022,AC_R023,AC_R024,AC_R025,AC_R026,AC_R027,AC_R028,AC_R029,AC_R030,AC_R031,AC_R032,AC_R033,AC_R034,AC_R035,AC_R036,AC_R037,AC_R038,AC_R039,AC_R040,AC_R041,AC_R042,AC_R043,AC_R044,AC_R045)&amp;". Validación: "&amp;CHOOSE(MATCH(B257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VF_R001,VF_R002,VF_R003,VF_R004,VF_R005,VF_R006,VF_R007,VF_R008,VF_R009,VF_R010,VF_R011,VF_R012,VF_R013,VF_R014,VF_R015,VF_R016,VF_R017,VF_R018,VF_R019,VF_R020,VF_R021,VF_R022,VF_R023,VF_R024,VF_R025,VF_R026,VF_R027,VF_R028,VF_R029,VF_R030,VF_R031,VF_R032,VF_R033,VF_R034,VF_R035,VF_R036,VF_R037,VF_R038,VF_R039,VF_R040,VF_R041,VF_R042,VF_R043,VF_R044,VF_R045)</x:f>
        <x:v>R-006: la redundancia propuesta puede no conmutar o compartir una falla física. Causa: Concepción tiene un solo enlace en la situación actual. Efecto: aislamiento del CD y acumulación de operaciones. Severidad 5; ocurrencia 2; dificultad de detección 3 (hipótesis de revisión manual). NPR = 30. Acción: Inspeccionar rutas físicas y simular caída de fibra y LTE con el satélite activo. Validación: Acta de diversidad y prueba de 24 h con recepción, preparación y despacho reales</x:v>
      </x:c>
      <x:c r="B533" s="5"/>
      <x:c r="C533" s="5"/>
      <x:c r="D533" s="5"/>
      <x:c r="E533" s="5"/>
      <x:c r="F533" s="5"/>
      <x:c r="G533" s="5"/>
    </x:row>
    <x:row r="534" ht="76" customHeight="1">
      <x:c r="A534" s="5" t="str">
        <x:f>B258&amp;": "&amp;CHOOSE(MATCH(B258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EV_R001,EV_R002,EV_R003,EV_R004,EV_R005,EV_R006,EV_R007,EV_R008,EV_R009,EV_R010,EV_R011,EV_R012,EV_R013,EV_R014,EV_R015,EV_R016,EV_R017,EV_R018,EV_R019,EV_R020,EV_R021,EV_R022,EV_R023,EV_R024,EV_R025,EV_R026,EV_R027,EV_R028,EV_R029,EV_R030,EV_R031,EV_R032,EV_R033,EV_R034,EV_R035,EV_R036,EV_R037,EV_R038,EV_R039,EV_R040,EV_R041,EV_R042,EV_R043,EV_R044,EV_R045)&amp;". Causa: "&amp;CHOOSE(MATCH(B258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CA_R001,CA_R002,CA_R003,CA_R004,CA_R005,CA_R006,CA_R007,CA_R008,CA_R009,CA_R010,CA_R011,CA_R012,CA_R013,CA_R014,CA_R015,CA_R016,CA_R017,CA_R018,CA_R019,CA_R020,CA_R021,CA_R022,CA_R023,CA_R024,CA_R025,CA_R026,CA_R027,CA_R028,CA_R029,CA_R030,CA_R031,CA_R032,CA_R033,CA_R034,CA_R035,CA_R036,CA_R037,CA_R038,CA_R039,CA_R040,CA_R041,CA_R042,CA_R043,CA_R044,CA_R045)&amp;". Efecto: "&amp;CHOOSE(MATCH(B258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EF_R001,EF_R002,EF_R003,EF_R004,EF_R005,EF_R006,EF_R007,EF_R008,EF_R009,EF_R010,EF_R011,EF_R012,EF_R013,EF_R014,EF_R015,EF_R016,EF_R017,EF_R018,EF_R019,EF_R020,EF_R021,EF_R022,EF_R023,EF_R024,EF_R025,EF_R026,EF_R027,EF_R028,EF_R029,EF_R030,EF_R031,EF_R032,EF_R033,EF_R034,EF_R035,EF_R036,EF_R037,EF_R038,EF_R039,EF_R040,EF_R041,EF_R042,EF_R043,EF_R044,EF_R045)&amp;". Severidad "&amp;MATCH(INDEX($F$38:$F$82,MATCH(B258,$A$38:$A$82,0)),{0.05,0.1,0.2,0.4,0.8},0)&amp;"; ocurrencia "&amp;INDEX($B$90:$B$134,MATCH(B258,$A$90:$A$134,0))&amp;"; dificultad de detección 3 (hipótesis de revisión manual). NPR = "&amp;MATCH(INDEX($F$38:$F$82,MATCH(B258,$A$38:$A$82,0)),{0.05,0.1,0.2,0.4,0.8},0)*INDEX($B$90:$B$134,MATCH(B258,$A$90:$A$134,0))*3&amp;". Acción: "&amp;CHOOSE(MATCH(B258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AC_R001,AC_R002,AC_R003,AC_R004,AC_R005,AC_R006,AC_R007,AC_R008,AC_R009,AC_R010,AC_R011,AC_R012,AC_R013,AC_R014,AC_R015,AC_R016,AC_R017,AC_R018,AC_R019,AC_R020,AC_R021,AC_R022,AC_R023,AC_R024,AC_R025,AC_R026,AC_R027,AC_R028,AC_R029,AC_R030,AC_R031,AC_R032,AC_R033,AC_R034,AC_R035,AC_R036,AC_R037,AC_R038,AC_R039,AC_R040,AC_R041,AC_R042,AC_R043,AC_R044,AC_R045)&amp;". Validación: "&amp;CHOOSE(MATCH(B258,{"R-001";"R-002";"R-003";"R-004";"R-005";"R-006";"R-007";"R-008";"R-009";"R-010";"R-011";"R-012";"R-013";"R-014";"R-015";"R-016";"R-017";"R-018";"R-019";"R-020";"R-021";"R-022";"R-023";"R-024";"R-025";"R-026";"R-027";"R-028";"R-029";"R-030";"R-031";"R-032";"R-033";"R-034";"R-035";"R-036";"R-037";"R-038";"R-039";"R-040";"R-041";"R-042";"R-043";"R-044";"R-045"},0),VF_R001,VF_R002,VF_R003,VF_R004,VF_R005,VF_R006,VF_R007,VF_R008,VF_R009,VF_R010,VF_R011,VF_R012,VF_R013,VF_R014,VF_R015,VF_R016,VF_R017,VF_R018,VF_R019,VF_R020,VF_R021,VF_R022,VF_R023,VF_R024,VF_R025,VF_R026,VF_R027,VF_R028,VF_R029,VF_R030,VF_R031,VF_R032,VF_R033,VF_R034,VF_R035,VF_R036,VF_R037,VF_R038,VF_R039,VF_R040,VF_R041,VF_R042,VF_R043,VF_R044,VF_R045)</x:f>
        <x:v>R-005: reintentos y orden parcial pueden duplicar cobros o reservar stock ya retenido. Causa: Los sitios y móviles acumulan operaciones desconectadas. Efecto: inconsistencia entre sitio, nube y ERP. Severidad 5; ocurrencia 2; dificultad de detección 3 (hipótesis de revisión manual). NPR = 30. Acción: Inyectar fallas después de persistir y antes del acuse, con dos sitios y un móvil. Validación: Prueba con UUID repetido, orden invertido y corte de 24 h; invariantes conciliados</x:v>
      </x:c>
      <x:c r="B534" s="5"/>
      <x:c r="C534" s="5"/>
      <x:c r="D534" s="5"/>
      <x:c r="E534" s="5"/>
      <x:c r="F534" s="5"/>
      <x:c r="G534" s="5"/>
    </x:row>
    <x:row r="535" ht="30" customHeight="1">
      <x:c r="A535" s="5" t="str">
        <x:v>Detectabilidad: 1 automática previa al efecto; 2 alarma/revisión pronta; 3 revisión manual; 4 tardía; 5 tras el daño. Validar con especialistas. NPR no determina ni sustituye la zona P × I.</x:v>
      </x:c>
      <x:c r="B535" s="5"/>
      <x:c r="C535" s="5"/>
      <x:c r="D535" s="5"/>
      <x:c r="E535" s="5"/>
      <x:c r="F535" s="5"/>
      <x:c r="G535" s="5"/>
    </x:row>
    <x:row r="536" ht="38" customHeight="1">
      <x:c r="A536" s="5" t="str">
        <x:f>"Inicial: "&amp;COUNTIF($G$38:$G$82,"Crítica")&amp;" críticos, "&amp;COUNTIF($G$38:$G$82,"Alta")&amp;" altos. Residual objetivo: "&amp;SUM(IF(RZ_R001="Crítica",1,0),IF(RZ_R002="Crítica",1,0),IF(RZ_R003="Crítica",1,0),IF(RZ_R004="Crítica",1,0),IF(RZ_R005="Crítica",1,0),IF(RZ_R006="Crítica",1,0),IF(RZ_R007="Crítica",1,0),IF(RZ_R008="Crítica",1,0),IF(RZ_R009="Crítica",1,0),IF(RZ_R010="Crítica",1,0),IF(RZ_R011="Crítica",1,0),IF(RZ_R012="Crítica",1,0),IF(RZ_R013="Crítica",1,0),IF(RZ_R014="Crítica",1,0),IF(RZ_R015="Crítica",1,0),IF(RZ_R016="Crítica",1,0),IF(RZ_R017="Crítica",1,0),IF(RZ_R018="Crítica",1,0),IF(RZ_R019="Crítica",1,0),IF(RZ_R020="Crítica",1,0),IF(RZ_R021="Crítica",1,0),IF(RZ_R022="Crítica",1,0),IF(RZ_R023="Crítica",1,0),IF(RZ_R024="Crítica",1,0),IF(RZ_R025="Crítica",1,0),IF(RZ_R026="Crítica",1,0),IF(RZ_R027="Crítica",1,0),IF(RZ_R028="Crítica",1,0),IF(RZ_R029="Crítica",1,0),IF(RZ_R030="Crítica",1,0),IF(RZ_R031="Crítica",1,0),IF(RZ_R032="Crítica",1,0),IF(RZ_R033="Crítica",1,0),IF(RZ_R034="Crítica",1,0),IF(RZ_R035="Crítica",1,0),IF(RZ_R036="Crítica",1,0),IF(RZ_R037="Crítica",1,0),IF(RZ_R038="Crítica",1,0),IF(RZ_R039="Crítica",1,0),IF(RZ_R040="Crítica",1,0),IF(RZ_R041="Crítica",1,0),IF(RZ_R042="Crítica",1,0),IF(RZ_R043="Crítica",1,0),IF(RZ_R044="Crítica",1,0),IF(RZ_R045="Crítica",1,0))&amp;" críticos, "&amp;SUM(IF(RZ_R001="Alta",1,0),IF(RZ_R002="Alta",1,0),IF(RZ_R003="Alta",1,0),IF(RZ_R004="Alta",1,0),IF(RZ_R005="Alta",1,0),IF(RZ_R006="Alta",1,0),IF(RZ_R007="Alta",1,0),IF(RZ_R008="Alta",1,0),IF(RZ_R009="Alta",1,0),IF(RZ_R010="Alta",1,0),IF(RZ_R011="Alta",1,0),IF(RZ_R012="Alta",1,0),IF(RZ_R013="Alta",1,0),IF(RZ_R014="Alta",1,0),IF(RZ_R015="Alta",1,0),IF(RZ_R016="Alta",1,0),IF(RZ_R017="Alta",1,0),IF(RZ_R018="Alta",1,0),IF(RZ_R019="Alta",1,0),IF(RZ_R020="Alta",1,0),IF(RZ_R021="Alta",1,0),IF(RZ_R022="Alta",1,0),IF(RZ_R023="Alta",1,0),IF(RZ_R024="Alta",1,0),IF(RZ_R025="Alta",1,0),IF(RZ_R026="Alta",1,0),IF(RZ_R027="Alta",1,0),IF(RZ_R028="Alta",1,0),IF(RZ_R029="Alta",1,0),IF(RZ_R030="Alta",1,0),IF(RZ_R031="Alta",1,0),IF(RZ_R032="Alta",1,0),IF(RZ_R033="Alta",1,0),IF(RZ_R034="Alta",1,0),IF(RZ_R035="Alta",1,0),IF(RZ_R036="Alta",1,0),IF(RZ_R037="Alta",1,0),IF(RZ_R038="Alta",1,0),IF(RZ_R039="Alta",1,0),IF(RZ_R040="Alta",1,0),IF(RZ_R041="Alta",1,0),IF(RZ_R042="Alta",1,0),IF(RZ_R043="Alta",1,0),IF(RZ_R044="Alta",1,0),IF(RZ_R045="Alta",1,0))&amp;" altos. Reducciones pendientes de validar."</x:f>
        <x:v>Inicial: 2 críticos, 23 altos. Residual objetivo: 0 críticos, 1 altos. Reducciones pendientes de validar.</x:v>
      </x:c>
      <x:c r="B536" s="5"/>
      <x:c r="C536" s="5"/>
      <x:c r="D536" s="5"/>
      <x:c r="E536" s="5"/>
      <x:c r="F536" s="5"/>
      <x:c r="G536" s="5"/>
    </x:row>
    <x:row r="537" ht="30" customHeight="1">
      <x:c r="A537" s="5" t="str">
        <x:v>R-030 conserva zona alta residual: exige compromiso de certificación de la cadena. Hasta verificar respuestas, mantener la evaluación inicial como referencia aplicable.</x:v>
      </x:c>
      <x:c r="B537" s="5"/>
      <x:c r="C537" s="5"/>
      <x:c r="D537" s="5"/>
      <x:c r="E537" s="5"/>
      <x:c r="F537" s="5"/>
      <x:c r="G537" s="5"/>
    </x:row>
    <x:row r="538">
      <x:c r="A538" s="3"/>
      <x:c r="B538" s="3"/>
      <x:c r="C538" s="3"/>
      <x:c r="D538" s="3"/>
      <x:c r="E538" s="3"/>
      <x:c r="F538" s="3"/>
      <x:c r="G538" s="3"/>
    </x:row>
    <x:row r="539">
      <x:c r="A539" s="3"/>
      <x:c r="B539" s="3"/>
      <x:c r="C539" s="3"/>
      <x:c r="D539" s="3"/>
      <x:c r="E539" s="3"/>
      <x:c r="F539" s="3"/>
      <x:c r="G539" s="3"/>
    </x:row>
    <x:row r="540">
      <x:c r="A540" s="3"/>
      <x:c r="B540" s="3"/>
      <x:c r="C540" s="3"/>
      <x:c r="D540" s="3"/>
      <x:c r="E540" s="3"/>
      <x:c r="F540" s="3"/>
      <x:c r="G540" s="3"/>
    </x:row>
    <x:row r="541">
      <x:c r="A541" s="3"/>
      <x:c r="B541" s="3"/>
      <x:c r="C541" s="3"/>
      <x:c r="D541" s="3"/>
      <x:c r="E541" s="3"/>
      <x:c r="F541" s="3"/>
      <x:c r="G541" s="3"/>
    </x:row>
    <x:row r="542">
      <x:c r="A542" s="3"/>
      <x:c r="B542" s="3"/>
      <x:c r="C542" s="3"/>
      <x:c r="D542" s="3"/>
      <x:c r="E542" s="3"/>
      <x:c r="F542" s="3"/>
      <x:c r="G542" s="3"/>
    </x:row>
    <x:row r="543">
      <x:c r="A543" s="3"/>
      <x:c r="B543" s="3"/>
      <x:c r="C543" s="3"/>
      <x:c r="D543" s="3"/>
      <x:c r="E543" s="3"/>
      <x:c r="F543" s="3"/>
      <x:c r="G543" s="3"/>
    </x:row>
    <x:row r="544">
      <x:c r="A544" s="3"/>
      <x:c r="B544" s="3"/>
      <x:c r="C544" s="3"/>
      <x:c r="D544" s="3"/>
      <x:c r="E544" s="3"/>
      <x:c r="F544" s="3"/>
      <x:c r="G544" s="3"/>
    </x:row>
    <x:row r="545">
      <x:c r="A545" s="3"/>
      <x:c r="B545" s="3"/>
      <x:c r="C545" s="3"/>
      <x:c r="D545" s="3"/>
      <x:c r="E545" s="3"/>
      <x:c r="F545" s="3"/>
      <x:c r="G545" s="3"/>
    </x:row>
    <x:row r="546">
      <x:c r="A546" s="3"/>
      <x:c r="B546" s="3"/>
      <x:c r="C546" s="3"/>
      <x:c r="D546" s="3"/>
      <x:c r="E546" s="3"/>
      <x:c r="F546" s="3"/>
      <x:c r="G546" s="3"/>
    </x:row>
    <x:row r="547">
      <x:c r="A547" s="3"/>
      <x:c r="B547" s="3"/>
      <x:c r="C547" s="3"/>
      <x:c r="D547" s="3"/>
      <x:c r="E547" s="3"/>
      <x:c r="F547" s="3"/>
      <x:c r="G547" s="3"/>
    </x:row>
    <x:row r="548">
      <x:c r="A548" s="3"/>
      <x:c r="B548" s="3"/>
      <x:c r="C548" s="3"/>
      <x:c r="D548" s="3"/>
      <x:c r="E548" s="3"/>
      <x:c r="F548" s="3"/>
      <x:c r="G548" s="3"/>
    </x:row>
    <x:row r="549">
      <x:c r="A549" s="3"/>
      <x:c r="B549" s="3"/>
      <x:c r="C549" s="3"/>
      <x:c r="D549" s="3"/>
      <x:c r="E549" s="3"/>
      <x:c r="F549" s="3"/>
      <x:c r="G549" s="3"/>
    </x:row>
    <x:row r="550">
      <x:c r="A550" s="3"/>
      <x:c r="B550" s="3"/>
      <x:c r="C550" s="3"/>
      <x:c r="D550" s="3"/>
      <x:c r="E550" s="3"/>
      <x:c r="F550" s="3"/>
      <x:c r="G550" s="3"/>
    </x:row>
    <x:row r="551">
      <x:c r="A551" s="3"/>
      <x:c r="B551" s="3"/>
      <x:c r="C551" s="3"/>
      <x:c r="D551" s="3"/>
      <x:c r="E551" s="3"/>
      <x:c r="F551" s="3"/>
      <x:c r="G551" s="3"/>
    </x:row>
    <x:row r="552">
      <x:c r="A552" s="3"/>
      <x:c r="B552" s="3"/>
      <x:c r="C552" s="3"/>
      <x:c r="D552" s="3"/>
      <x:c r="E552" s="3"/>
      <x:c r="F552" s="3"/>
      <x:c r="G552" s="3"/>
    </x:row>
    <x:row r="553">
      <x:c r="A553" s="3"/>
      <x:c r="B553" s="3"/>
      <x:c r="C553" s="3"/>
      <x:c r="D553" s="3"/>
      <x:c r="E553" s="3"/>
      <x:c r="F553" s="3"/>
      <x:c r="G553" s="3"/>
    </x:row>
    <x:row r="554">
      <x:c r="A554" s="3"/>
      <x:c r="B554" s="3"/>
      <x:c r="C554" s="3"/>
      <x:c r="D554" s="3"/>
      <x:c r="E554" s="3"/>
      <x:c r="F554" s="3"/>
      <x:c r="G554" s="3"/>
    </x:row>
    <x:row r="555">
      <x:c r="A555" s="3"/>
      <x:c r="B555" s="3"/>
      <x:c r="C555" s="3"/>
      <x:c r="D555" s="3"/>
      <x:c r="E555" s="3"/>
      <x:c r="F555" s="3"/>
      <x:c r="G555" s="3"/>
    </x:row>
    <x:row r="556">
      <x:c r="A556" s="3"/>
      <x:c r="B556" s="3"/>
      <x:c r="C556" s="3"/>
      <x:c r="D556" s="3"/>
      <x:c r="E556" s="3"/>
      <x:c r="F556" s="3"/>
      <x:c r="G556" s="3"/>
    </x:row>
    <x:row r="557">
      <x:c r="A557" s="3"/>
      <x:c r="B557" s="3"/>
      <x:c r="C557" s="3"/>
      <x:c r="D557" s="3"/>
      <x:c r="E557" s="3"/>
      <x:c r="F557" s="3"/>
      <x:c r="G557" s="3"/>
    </x:row>
    <x:row r="558">
      <x:c r="A558" s="3"/>
      <x:c r="B558" s="3"/>
      <x:c r="C558" s="3"/>
      <x:c r="D558" s="3"/>
      <x:c r="E558" s="3"/>
      <x:c r="F558" s="3"/>
      <x:c r="G558" s="3"/>
    </x:row>
    <x:row r="559">
      <x:c r="A559" s="3"/>
      <x:c r="B559" s="3"/>
      <x:c r="C559" s="3"/>
      <x:c r="D559" s="3"/>
      <x:c r="E559" s="3"/>
      <x:c r="F559" s="3"/>
      <x:c r="G559" s="3"/>
    </x:row>
    <x:row r="560">
      <x:c r="A560" s="3"/>
      <x:c r="B560" s="3"/>
      <x:c r="C560" s="3"/>
      <x:c r="D560" s="3"/>
      <x:c r="E560" s="3"/>
      <x:c r="F560" s="3"/>
      <x:c r="G560" s="3"/>
    </x:row>
    <x:row r="561">
      <x:c r="A561" s="3"/>
      <x:c r="B561" s="3"/>
      <x:c r="C561" s="3"/>
      <x:c r="D561" s="3"/>
      <x:c r="E561" s="3"/>
      <x:c r="F561" s="3"/>
      <x:c r="G561" s="3"/>
    </x:row>
    <x:row r="562">
      <x:c r="A562" s="3"/>
      <x:c r="B562" s="3"/>
      <x:c r="C562" s="3"/>
      <x:c r="D562" s="3"/>
      <x:c r="E562" s="3"/>
      <x:c r="F562" s="3"/>
      <x:c r="G562" s="3"/>
    </x:row>
    <x:row r="563">
      <x:c r="A563" s="3"/>
      <x:c r="B563" s="3"/>
      <x:c r="C563" s="3"/>
      <x:c r="D563" s="3"/>
      <x:c r="E563" s="3"/>
      <x:c r="F563" s="3"/>
      <x:c r="G563" s="3"/>
    </x:row>
    <x:row r="564">
      <x:c r="A564" s="3"/>
      <x:c r="B564" s="3"/>
      <x:c r="C564" s="3"/>
      <x:c r="D564" s="3"/>
      <x:c r="E564" s="3"/>
      <x:c r="F564" s="3"/>
      <x:c r="G564" s="3"/>
    </x:row>
    <x:row r="565">
      <x:c r="A565" s="3"/>
      <x:c r="B565" s="3"/>
      <x:c r="C565" s="3"/>
      <x:c r="D565" s="3"/>
      <x:c r="E565" s="3"/>
      <x:c r="F565" s="3"/>
      <x:c r="G565" s="3"/>
    </x:row>
    <x:row r="566">
      <x:c r="A566" s="3"/>
      <x:c r="B566" s="3"/>
      <x:c r="C566" s="3"/>
      <x:c r="D566" s="3"/>
      <x:c r="E566" s="3"/>
      <x:c r="F566" s="3"/>
      <x:c r="G566" s="3"/>
    </x:row>
    <x:row r="567">
      <x:c r="A567" s="3"/>
      <x:c r="B567" s="3"/>
      <x:c r="C567" s="3"/>
      <x:c r="D567" s="3"/>
      <x:c r="E567" s="3"/>
      <x:c r="F567" s="3"/>
      <x:c r="G567" s="3"/>
    </x:row>
    <x:row r="568">
      <x:c r="A568" s="3"/>
      <x:c r="B568" s="3"/>
      <x:c r="C568" s="3"/>
      <x:c r="D568" s="3"/>
      <x:c r="E568" s="3"/>
      <x:c r="F568" s="3"/>
      <x:c r="G568" s="3"/>
    </x:row>
    <x:row r="569">
      <x:c r="A569" s="3"/>
      <x:c r="B569" s="3"/>
      <x:c r="C569" s="3"/>
      <x:c r="D569" s="3"/>
      <x:c r="E569" s="3"/>
      <x:c r="F569" s="3"/>
      <x:c r="G569" s="3"/>
    </x:row>
    <x:row r="570">
      <x:c r="A570" s="3"/>
      <x:c r="B570" s="3"/>
      <x:c r="C570" s="3"/>
      <x:c r="D570" s="3"/>
      <x:c r="E570" s="3"/>
      <x:c r="F570" s="3"/>
      <x:c r="G570" s="3"/>
    </x:row>
    <x:row r="571">
      <x:c r="A571" s="3"/>
      <x:c r="B571" s="3"/>
      <x:c r="C571" s="3"/>
      <x:c r="D571" s="3"/>
      <x:c r="E571" s="3"/>
      <x:c r="F571" s="3"/>
      <x:c r="G571" s="3"/>
    </x:row>
    <x:row r="572">
      <x:c r="A572" s="3"/>
      <x:c r="B572" s="3"/>
      <x:c r="C572" s="3"/>
      <x:c r="D572" s="3"/>
      <x:c r="E572" s="3"/>
      <x:c r="F572" s="3"/>
      <x:c r="G572" s="3"/>
    </x:row>
    <x:row r="573">
      <x:c r="A573" s="3"/>
      <x:c r="B573" s="3"/>
      <x:c r="C573" s="3"/>
      <x:c r="D573" s="3"/>
      <x:c r="E573" s="3"/>
      <x:c r="F573" s="3"/>
      <x:c r="G573" s="3"/>
    </x:row>
    <x:row r="574">
      <x:c r="A574" s="3"/>
      <x:c r="B574" s="3"/>
      <x:c r="C574" s="3"/>
      <x:c r="D574" s="3"/>
      <x:c r="E574" s="3"/>
      <x:c r="F574" s="3"/>
      <x:c r="G574" s="3"/>
    </x:row>
    <x:row r="575">
      <x:c r="A575" s="3"/>
      <x:c r="B575" s="3"/>
      <x:c r="C575" s="3"/>
      <x:c r="D575" s="3"/>
      <x:c r="E575" s="3"/>
      <x:c r="F575" s="3"/>
      <x:c r="G575" s="3"/>
    </x:row>
    <x:row r="576">
      <x:c r="A576" s="3"/>
      <x:c r="B576" s="3"/>
      <x:c r="C576" s="3"/>
      <x:c r="D576" s="3"/>
      <x:c r="E576" s="3"/>
      <x:c r="F576" s="3"/>
      <x:c r="G576" s="3"/>
    </x:row>
    <x:row r="577">
      <x:c r="A577" s="3"/>
      <x:c r="B577" s="3"/>
      <x:c r="C577" s="3"/>
      <x:c r="D577" s="3"/>
      <x:c r="E577" s="3"/>
      <x:c r="F577" s="3"/>
      <x:c r="G577" s="3"/>
    </x:row>
    <x:row r="578">
      <x:c r="A578" s="3"/>
      <x:c r="B578" s="3"/>
      <x:c r="C578" s="3"/>
      <x:c r="D578" s="3"/>
      <x:c r="E578" s="3"/>
      <x:c r="F578" s="3"/>
      <x:c r="G578" s="3"/>
    </x:row>
    <x:row r="579">
      <x:c r="A579" s="3"/>
      <x:c r="B579" s="3"/>
      <x:c r="C579" s="3"/>
      <x:c r="D579" s="3"/>
      <x:c r="E579" s="3"/>
      <x:c r="F579" s="3"/>
      <x:c r="G579" s="3"/>
    </x:row>
    <x:row r="580">
      <x:c r="A580" s="3"/>
      <x:c r="B580" s="3"/>
      <x:c r="C580" s="3"/>
      <x:c r="D580" s="3"/>
      <x:c r="E580" s="3"/>
      <x:c r="F580" s="3"/>
      <x:c r="G580" s="3"/>
    </x:row>
    <x:row r="581">
      <x:c r="A581" s="3"/>
      <x:c r="B581" s="3"/>
      <x:c r="C581" s="3"/>
      <x:c r="D581" s="3"/>
      <x:c r="E581" s="3"/>
      <x:c r="F581" s="3"/>
      <x:c r="G581" s="3"/>
    </x:row>
    <x:row r="582">
      <x:c r="A582" s="3"/>
      <x:c r="B582" s="3"/>
      <x:c r="C582" s="3"/>
      <x:c r="D582" s="3"/>
      <x:c r="E582" s="3"/>
      <x:c r="F582" s="3"/>
      <x:c r="G582" s="3"/>
    </x:row>
    <x:row r="583">
      <x:c r="A583" s="3"/>
      <x:c r="B583" s="3"/>
      <x:c r="C583" s="3"/>
      <x:c r="D583" s="3"/>
      <x:c r="E583" s="3"/>
      <x:c r="F583" s="3"/>
      <x:c r="G583" s="3"/>
    </x:row>
    <x:row r="584">
      <x:c r="A584" s="3"/>
      <x:c r="B584" s="3"/>
      <x:c r="C584" s="3"/>
      <x:c r="D584" s="3"/>
      <x:c r="E584" s="3"/>
      <x:c r="F584" s="3"/>
      <x:c r="G584" s="3"/>
    </x:row>
    <x:row r="585">
      <x:c r="A585" s="3"/>
      <x:c r="B585" s="3"/>
      <x:c r="C585" s="3"/>
      <x:c r="D585" s="3"/>
      <x:c r="E585" s="3"/>
      <x:c r="F585" s="3"/>
      <x:c r="G585" s="3"/>
    </x:row>
    <x:row r="586">
      <x:c r="A586" s="3"/>
      <x:c r="B586" s="3"/>
      <x:c r="C586" s="3"/>
      <x:c r="D586" s="3"/>
      <x:c r="E586" s="3"/>
      <x:c r="F586" s="3"/>
      <x:c r="G586" s="3"/>
    </x:row>
    <x:row r="587">
      <x:c r="A587" s="3"/>
      <x:c r="B587" s="3"/>
      <x:c r="C587" s="3"/>
      <x:c r="D587" s="3"/>
      <x:c r="E587" s="3"/>
      <x:c r="F587" s="3"/>
      <x:c r="G587" s="3"/>
    </x:row>
    <x:row r="588">
      <x:c r="A588" s="3"/>
      <x:c r="B588" s="3"/>
      <x:c r="C588" s="3"/>
      <x:c r="D588" s="3"/>
      <x:c r="E588" s="3"/>
      <x:c r="F588" s="3"/>
      <x:c r="G588" s="3"/>
    </x:row>
    <x:row r="589">
      <x:c r="A589" s="3"/>
      <x:c r="B589" s="3"/>
      <x:c r="C589" s="3"/>
      <x:c r="D589" s="3"/>
      <x:c r="E589" s="3"/>
      <x:c r="F589" s="3"/>
      <x:c r="G589" s="3"/>
    </x:row>
    <x:row r="590">
      <x:c r="A590" s="3"/>
      <x:c r="B590" s="3"/>
      <x:c r="C590" s="3"/>
      <x:c r="D590" s="3"/>
      <x:c r="E590" s="3"/>
      <x:c r="F590" s="3"/>
      <x:c r="G590" s="3"/>
    </x:row>
    <x:row r="591">
      <x:c r="A591" s="3"/>
      <x:c r="B591" s="3"/>
      <x:c r="C591" s="3"/>
      <x:c r="D591" s="3"/>
      <x:c r="E591" s="3"/>
      <x:c r="F591" s="3"/>
      <x:c r="G591" s="3"/>
    </x:row>
    <x:row r="592">
      <x:c r="A592" s="3"/>
      <x:c r="B592" s="3"/>
      <x:c r="C592" s="3"/>
      <x:c r="D592" s="3"/>
      <x:c r="E592" s="3"/>
      <x:c r="F592" s="3"/>
      <x:c r="G592" s="3"/>
    </x:row>
    <x:row r="593">
      <x:c r="A593" s="3"/>
      <x:c r="B593" s="3"/>
      <x:c r="C593" s="3"/>
      <x:c r="D593" s="3"/>
      <x:c r="E593" s="3"/>
      <x:c r="F593" s="3"/>
      <x:c r="G593" s="3"/>
    </x:row>
    <x:row r="594">
      <x:c r="A594" s="3"/>
      <x:c r="B594" s="3"/>
      <x:c r="C594" s="3"/>
      <x:c r="D594" s="3"/>
      <x:c r="E594" s="3"/>
      <x:c r="F594" s="3"/>
      <x:c r="G594" s="3"/>
    </x:row>
    <x:row r="595">
      <x:c r="A595" s="3"/>
      <x:c r="B595" s="3"/>
      <x:c r="C595" s="3"/>
      <x:c r="D595" s="3"/>
      <x:c r="E595" s="3"/>
      <x:c r="F595" s="3"/>
      <x:c r="G595" s="3"/>
    </x:row>
    <x:row r="596">
      <x:c r="A596" s="3"/>
      <x:c r="B596" s="3"/>
      <x:c r="C596" s="3"/>
      <x:c r="D596" s="3"/>
      <x:c r="E596" s="3"/>
      <x:c r="F596" s="3"/>
      <x:c r="G596" s="3"/>
    </x:row>
    <x:row r="597">
      <x:c r="A597" s="3"/>
      <x:c r="B597" s="3"/>
      <x:c r="C597" s="3"/>
      <x:c r="D597" s="3"/>
      <x:c r="E597" s="3"/>
      <x:c r="F597" s="3"/>
      <x:c r="G597" s="3"/>
    </x:row>
    <x:row r="598">
      <x:c r="A598" s="3"/>
      <x:c r="B598" s="3"/>
      <x:c r="C598" s="3"/>
      <x:c r="D598" s="3"/>
      <x:c r="E598" s="3"/>
      <x:c r="F598" s="3"/>
      <x:c r="G598" s="3"/>
    </x:row>
    <x:row r="599">
      <x:c r="A599" s="3"/>
      <x:c r="B599" s="3"/>
      <x:c r="C599" s="3"/>
      <x:c r="D599" s="3"/>
      <x:c r="E599" s="3"/>
      <x:c r="F599" s="3"/>
      <x:c r="G599" s="3"/>
    </x:row>
    <x:row r="600">
      <x:c r="A600" s="3"/>
      <x:c r="B600" s="3"/>
      <x:c r="C600" s="3"/>
      <x:c r="D600" s="3"/>
      <x:c r="E600" s="3"/>
      <x:c r="F600" s="3"/>
      <x:c r="G600" s="3"/>
    </x:row>
    <x:row r="601">
      <x:c r="A601" s="3"/>
      <x:c r="B601" s="3"/>
      <x:c r="C601" s="3"/>
      <x:c r="D601" s="3"/>
      <x:c r="E601" s="3"/>
      <x:c r="F601" s="3"/>
      <x:c r="G601" s="3"/>
    </x:row>
    <x:row r="602">
      <x:c r="A602" s="3"/>
      <x:c r="B602" s="3"/>
      <x:c r="C602" s="3"/>
      <x:c r="D602" s="3"/>
      <x:c r="E602" s="3"/>
      <x:c r="F602" s="3"/>
      <x:c r="G602" s="3"/>
    </x:row>
    <x:row r="603">
      <x:c r="A603" s="3"/>
      <x:c r="B603" s="3"/>
      <x:c r="C603" s="3"/>
      <x:c r="D603" s="3"/>
      <x:c r="E603" s="3"/>
      <x:c r="F603" s="3"/>
      <x:c r="G603" s="3"/>
    </x:row>
    <x:row r="604">
      <x:c r="A604" s="3"/>
      <x:c r="B604" s="3"/>
      <x:c r="C604" s="3"/>
      <x:c r="D604" s="3"/>
      <x:c r="E604" s="3"/>
      <x:c r="F604" s="3"/>
      <x:c r="G604" s="3"/>
    </x:row>
    <x:row r="605">
      <x:c r="A605" s="3"/>
      <x:c r="B605" s="3"/>
      <x:c r="C605" s="3"/>
      <x:c r="D605" s="3"/>
      <x:c r="E605" s="3"/>
      <x:c r="F605" s="3"/>
      <x:c r="G605" s="3"/>
    </x:row>
    <x:row r="606">
      <x:c r="A606" s="3"/>
      <x:c r="B606" s="3"/>
      <x:c r="C606" s="3"/>
      <x:c r="D606" s="3"/>
      <x:c r="E606" s="3"/>
      <x:c r="F606" s="3"/>
      <x:c r="G606" s="3"/>
    </x:row>
    <x:row r="607">
      <x:c r="A607" s="3"/>
      <x:c r="B607" s="3"/>
      <x:c r="C607" s="3"/>
      <x:c r="D607" s="3"/>
      <x:c r="E607" s="3"/>
      <x:c r="F607" s="3"/>
      <x:c r="G607" s="3"/>
    </x:row>
    <x:row r="608">
      <x:c r="A608" s="3"/>
      <x:c r="B608" s="3"/>
      <x:c r="C608" s="3"/>
      <x:c r="D608" s="3"/>
      <x:c r="E608" s="3"/>
      <x:c r="F608" s="3"/>
      <x:c r="G608" s="3"/>
    </x:row>
    <x:row r="609">
      <x:c r="A609" s="3"/>
      <x:c r="B609" s="3"/>
      <x:c r="C609" s="3"/>
      <x:c r="D609" s="3"/>
      <x:c r="E609" s="3"/>
      <x:c r="F609" s="3"/>
      <x:c r="G609" s="3"/>
    </x:row>
    <x:row r="610">
      <x:c r="A610" s="3"/>
      <x:c r="B610" s="3"/>
      <x:c r="C610" s="3"/>
      <x:c r="D610" s="3"/>
      <x:c r="E610" s="3"/>
      <x:c r="F610" s="3"/>
      <x:c r="G610" s="3"/>
    </x:row>
    <x:row r="611">
      <x:c r="A611" s="3"/>
      <x:c r="B611" s="3"/>
      <x:c r="C611" s="3"/>
      <x:c r="D611" s="3"/>
      <x:c r="E611" s="3"/>
      <x:c r="F611" s="3"/>
      <x:c r="G611" s="3"/>
    </x:row>
    <x:row r="612">
      <x:c r="A612" s="3"/>
      <x:c r="B612" s="3"/>
      <x:c r="C612" s="3"/>
      <x:c r="D612" s="3"/>
      <x:c r="E612" s="3"/>
      <x:c r="F612" s="3"/>
      <x:c r="G612" s="3"/>
    </x:row>
    <x:row r="613">
      <x:c r="A613" s="3"/>
      <x:c r="B613" s="3"/>
      <x:c r="C613" s="3"/>
      <x:c r="D613" s="3"/>
      <x:c r="E613" s="3"/>
      <x:c r="F613" s="3"/>
      <x:c r="G613" s="3"/>
    </x:row>
    <x:row r="614">
      <x:c r="A614" s="3"/>
      <x:c r="B614" s="3"/>
      <x:c r="C614" s="3"/>
      <x:c r="D614" s="3"/>
      <x:c r="E614" s="3"/>
      <x:c r="F614" s="3"/>
      <x:c r="G614" s="3"/>
    </x:row>
    <x:row r="615">
      <x:c r="A615" s="3"/>
      <x:c r="B615" s="3"/>
      <x:c r="C615" s="3"/>
      <x:c r="D615" s="3"/>
      <x:c r="E615" s="3"/>
      <x:c r="F615" s="3"/>
      <x:c r="G615" s="3"/>
    </x:row>
    <x:row r="616">
      <x:c r="A616" s="3"/>
      <x:c r="B616" s="3"/>
      <x:c r="C616" s="3"/>
      <x:c r="D616" s="3"/>
      <x:c r="E616" s="3"/>
      <x:c r="F616" s="3"/>
      <x:c r="G616" s="3"/>
    </x:row>
    <x:row r="617">
      <x:c r="A617" s="3"/>
      <x:c r="B617" s="3"/>
      <x:c r="C617" s="3"/>
      <x:c r="D617" s="3"/>
      <x:c r="E617" s="3"/>
      <x:c r="F617" s="3"/>
      <x:c r="G617" s="3"/>
    </x:row>
    <x:row r="618">
      <x:c r="A618" s="3"/>
      <x:c r="B618" s="3"/>
      <x:c r="C618" s="3"/>
      <x:c r="D618" s="3"/>
      <x:c r="E618" s="3"/>
      <x:c r="F618" s="3"/>
      <x:c r="G618" s="3"/>
    </x:row>
    <x:row r="619">
      <x:c r="A619" s="3"/>
      <x:c r="B619" s="3"/>
      <x:c r="C619" s="3"/>
      <x:c r="D619" s="3"/>
      <x:c r="E619" s="3"/>
      <x:c r="F619" s="3"/>
      <x:c r="G619" s="3"/>
    </x:row>
    <x:row r="620">
      <x:c r="A620" s="3"/>
      <x:c r="B620" s="3"/>
      <x:c r="C620" s="3"/>
      <x:c r="D620" s="3"/>
      <x:c r="E620" s="3"/>
      <x:c r="F620" s="3"/>
      <x:c r="G620" s="3"/>
    </x:row>
    <x:row r="621">
      <x:c r="A621" s="3"/>
      <x:c r="B621" s="3"/>
      <x:c r="C621" s="3"/>
      <x:c r="D621" s="3"/>
      <x:c r="E621" s="3"/>
      <x:c r="F621" s="3"/>
      <x:c r="G621" s="3"/>
    </x:row>
    <x:row r="622">
      <x:c r="A622" s="3"/>
      <x:c r="B622" s="3"/>
      <x:c r="C622" s="3"/>
      <x:c r="D622" s="3"/>
      <x:c r="E622" s="3"/>
      <x:c r="F622" s="3"/>
      <x:c r="G622" s="3"/>
    </x:row>
    <x:row r="623">
      <x:c r="A623" s="3"/>
      <x:c r="B623" s="3"/>
      <x:c r="C623" s="3"/>
      <x:c r="D623" s="3"/>
      <x:c r="E623" s="3"/>
      <x:c r="F623" s="3"/>
      <x:c r="G623" s="3"/>
    </x:row>
    <x:row r="624">
      <x:c r="A624" s="3"/>
      <x:c r="B624" s="3"/>
      <x:c r="C624" s="3"/>
      <x:c r="D624" s="3"/>
      <x:c r="E624" s="3"/>
      <x:c r="F624" s="3"/>
      <x:c r="G624" s="3"/>
    </x:row>
    <x:row r="625">
      <x:c r="A625" s="3"/>
      <x:c r="B625" s="3"/>
      <x:c r="C625" s="3"/>
      <x:c r="D625" s="3"/>
      <x:c r="E625" s="3"/>
      <x:c r="F625" s="3"/>
      <x:c r="G625" s="3"/>
    </x:row>
    <x:row r="626">
      <x:c r="A626" s="3"/>
      <x:c r="B626" s="3"/>
      <x:c r="C626" s="3"/>
      <x:c r="D626" s="3"/>
      <x:c r="E626" s="3"/>
      <x:c r="F626" s="3"/>
      <x:c r="G626" s="3"/>
    </x:row>
    <x:row r="627">
      <x:c r="A627" s="3"/>
      <x:c r="B627" s="3"/>
      <x:c r="C627" s="3"/>
      <x:c r="D627" s="3"/>
      <x:c r="E627" s="3"/>
      <x:c r="F627" s="3"/>
      <x:c r="G627" s="3"/>
    </x:row>
    <x:row r="628">
      <x:c r="A628" s="3"/>
      <x:c r="B628" s="3"/>
      <x:c r="C628" s="3"/>
      <x:c r="D628" s="3"/>
      <x:c r="E628" s="3"/>
      <x:c r="F628" s="3"/>
      <x:c r="G628" s="3"/>
    </x:row>
    <x:row r="629">
      <x:c r="A629" s="3"/>
      <x:c r="B629" s="3"/>
      <x:c r="C629" s="3"/>
      <x:c r="D629" s="3"/>
      <x:c r="E629" s="3"/>
      <x:c r="F629" s="3"/>
      <x:c r="G629" s="3"/>
    </x:row>
    <x:row r="630">
      <x:c r="A630" s="3"/>
      <x:c r="B630" s="3"/>
      <x:c r="C630" s="3"/>
      <x:c r="D630" s="3"/>
      <x:c r="E630" s="3"/>
      <x:c r="F630" s="3"/>
      <x:c r="G630" s="3"/>
    </x:row>
    <x:row r="631">
      <x:c r="A631" s="3"/>
      <x:c r="B631" s="3"/>
      <x:c r="C631" s="3"/>
      <x:c r="D631" s="3"/>
      <x:c r="E631" s="3"/>
      <x:c r="F631" s="3"/>
      <x:c r="G631" s="3"/>
    </x:row>
    <x:row r="632">
      <x:c r="A632" s="3"/>
      <x:c r="B632" s="3"/>
      <x:c r="C632" s="3"/>
      <x:c r="D632" s="3"/>
      <x:c r="E632" s="3"/>
      <x:c r="F632" s="3"/>
      <x:c r="G632" s="3"/>
    </x:row>
    <x:row r="633">
      <x:c r="A633" s="3"/>
      <x:c r="B633" s="3"/>
      <x:c r="C633" s="3"/>
      <x:c r="D633" s="3"/>
      <x:c r="E633" s="3"/>
      <x:c r="F633" s="3"/>
      <x:c r="G633" s="3"/>
    </x:row>
    <x:row r="634">
      <x:c r="A634" s="3"/>
      <x:c r="B634" s="3"/>
      <x:c r="C634" s="3"/>
      <x:c r="D634" s="3"/>
      <x:c r="E634" s="3"/>
      <x:c r="F634" s="3"/>
      <x:c r="G634" s="3"/>
    </x:row>
    <x:row r="635">
      <x:c r="A635" s="3"/>
      <x:c r="B635" s="3"/>
      <x:c r="C635" s="3"/>
      <x:c r="D635" s="3"/>
      <x:c r="E635" s="3"/>
      <x:c r="F635" s="3"/>
      <x:c r="G635" s="3"/>
    </x:row>
    <x:row r="636">
      <x:c r="A636" s="3"/>
      <x:c r="B636" s="3"/>
      <x:c r="C636" s="3"/>
      <x:c r="D636" s="3"/>
      <x:c r="E636" s="3"/>
      <x:c r="F636" s="3"/>
      <x:c r="G636" s="3"/>
    </x:row>
    <x:row r="637">
      <x:c r="A637" s="3"/>
      <x:c r="B637" s="3"/>
      <x:c r="C637" s="3"/>
      <x:c r="D637" s="3"/>
      <x:c r="E637" s="3"/>
      <x:c r="F637" s="3"/>
      <x:c r="G637" s="3"/>
    </x:row>
    <x:row r="638">
      <x:c r="A638" s="3"/>
      <x:c r="B638" s="3"/>
      <x:c r="C638" s="3"/>
      <x:c r="D638" s="3"/>
      <x:c r="E638" s="3"/>
      <x:c r="F638" s="3"/>
      <x:c r="G638" s="3"/>
    </x:row>
    <x:row r="639">
      <x:c r="A639" s="3"/>
      <x:c r="B639" s="3"/>
      <x:c r="C639" s="3"/>
      <x:c r="D639" s="3"/>
      <x:c r="E639" s="3"/>
      <x:c r="F639" s="3"/>
      <x:c r="G639" s="3"/>
    </x:row>
    <x:row r="640">
      <x:c r="A640" s="3"/>
      <x:c r="B640" s="3"/>
      <x:c r="C640" s="3"/>
      <x:c r="D640" s="3"/>
      <x:c r="E640" s="3"/>
      <x:c r="F640" s="3"/>
      <x:c r="G640" s="3"/>
    </x:row>
    <x:row r="641">
      <x:c r="A641" s="3"/>
      <x:c r="B641" s="3"/>
      <x:c r="C641" s="3"/>
      <x:c r="D641" s="3"/>
      <x:c r="E641" s="3"/>
      <x:c r="F641" s="3"/>
      <x:c r="G641" s="3"/>
    </x:row>
    <x:row r="642">
      <x:c r="A642" s="3"/>
      <x:c r="B642" s="3"/>
      <x:c r="C642" s="3"/>
      <x:c r="D642" s="3"/>
      <x:c r="E642" s="3"/>
      <x:c r="F642" s="3"/>
      <x:c r="G642" s="3"/>
    </x:row>
    <x:row r="643">
      <x:c r="A643" s="3"/>
      <x:c r="B643" s="3"/>
      <x:c r="C643" s="3"/>
      <x:c r="D643" s="3"/>
      <x:c r="E643" s="3"/>
      <x:c r="F643" s="3"/>
      <x:c r="G643" s="3"/>
    </x:row>
    <x:row r="644">
      <x:c r="A644" s="3"/>
      <x:c r="B644" s="3"/>
      <x:c r="C644" s="3"/>
      <x:c r="D644" s="3"/>
      <x:c r="E644" s="3"/>
      <x:c r="F644" s="3"/>
      <x:c r="G644" s="3"/>
    </x:row>
    <x:row r="645">
      <x:c r="A645" s="3"/>
      <x:c r="B645" s="3"/>
      <x:c r="C645" s="3"/>
      <x:c r="D645" s="3"/>
      <x:c r="E645" s="3"/>
      <x:c r="F645" s="3"/>
      <x:c r="G645" s="3"/>
    </x:row>
    <x:row r="646">
      <x:c r="A646" s="3"/>
      <x:c r="B646" s="3"/>
      <x:c r="C646" s="3"/>
      <x:c r="D646" s="3"/>
      <x:c r="E646" s="3"/>
      <x:c r="F646" s="3"/>
      <x:c r="G646" s="3"/>
    </x:row>
    <x:row r="647">
      <x:c r="A647" s="3"/>
      <x:c r="B647" s="3"/>
      <x:c r="C647" s="3"/>
      <x:c r="D647" s="3"/>
      <x:c r="E647" s="3"/>
      <x:c r="F647" s="3"/>
      <x:c r="G647" s="3"/>
    </x:row>
    <x:row r="648">
      <x:c r="A648" s="3"/>
      <x:c r="B648" s="3"/>
      <x:c r="C648" s="3"/>
      <x:c r="D648" s="3"/>
      <x:c r="E648" s="3"/>
      <x:c r="F648" s="3"/>
      <x:c r="G648" s="3"/>
    </x:row>
    <x:row r="649">
      <x:c r="A649" s="3"/>
      <x:c r="B649" s="3"/>
      <x:c r="C649" s="3"/>
      <x:c r="D649" s="3"/>
      <x:c r="E649" s="3"/>
      <x:c r="F649" s="3"/>
      <x:c r="G649" s="3"/>
    </x:row>
    <x:row r="650">
      <x:c r="A650" s="3"/>
      <x:c r="B650" s="3"/>
      <x:c r="C650" s="3"/>
      <x:c r="D650" s="3"/>
      <x:c r="E650" s="3"/>
      <x:c r="F650" s="3"/>
      <x:c r="G650" s="3"/>
    </x:row>
    <x:row r="651">
      <x:c r="A651" s="3"/>
      <x:c r="B651" s="3"/>
      <x:c r="C651" s="3"/>
      <x:c r="D651" s="3"/>
      <x:c r="E651" s="3"/>
      <x:c r="F651" s="3"/>
      <x:c r="G651" s="3"/>
    </x:row>
    <x:row r="652">
      <x:c r="A652" s="3"/>
      <x:c r="B652" s="3"/>
      <x:c r="C652" s="3"/>
      <x:c r="D652" s="3"/>
      <x:c r="E652" s="3"/>
      <x:c r="F652" s="3"/>
      <x:c r="G652" s="3"/>
    </x:row>
    <x:row r="653">
      <x:c r="A653" s="3"/>
      <x:c r="B653" s="3"/>
      <x:c r="C653" s="3"/>
      <x:c r="D653" s="3"/>
      <x:c r="E653" s="3"/>
      <x:c r="F653" s="3"/>
      <x:c r="G653" s="3"/>
    </x:row>
    <x:row r="654">
      <x:c r="A654" s="3"/>
      <x:c r="B654" s="3"/>
      <x:c r="C654" s="3"/>
      <x:c r="D654" s="3"/>
      <x:c r="E654" s="3"/>
      <x:c r="F654" s="3"/>
      <x:c r="G654" s="3"/>
    </x:row>
    <x:row r="655">
      <x:c r="A655" s="3"/>
      <x:c r="B655" s="3"/>
      <x:c r="C655" s="3"/>
      <x:c r="D655" s="3"/>
      <x:c r="E655" s="3"/>
      <x:c r="F655" s="3"/>
      <x:c r="G655" s="3"/>
    </x:row>
    <x:row r="656">
      <x:c r="A656" s="3"/>
      <x:c r="B656" s="3"/>
      <x:c r="C656" s="3"/>
      <x:c r="D656" s="3"/>
      <x:c r="E656" s="3"/>
      <x:c r="F656" s="3"/>
      <x:c r="G656" s="3"/>
    </x:row>
    <x:row r="657">
      <x:c r="A657" s="3"/>
      <x:c r="B657" s="3"/>
      <x:c r="C657" s="3"/>
      <x:c r="D657" s="3"/>
      <x:c r="E657" s="3"/>
      <x:c r="F657" s="3"/>
      <x:c r="G657" s="3"/>
    </x:row>
    <x:row r="658">
      <x:c r="A658" s="3"/>
      <x:c r="B658" s="3"/>
      <x:c r="C658" s="3"/>
      <x:c r="D658" s="3"/>
      <x:c r="E658" s="3"/>
      <x:c r="F658" s="3"/>
      <x:c r="G658" s="3"/>
    </x:row>
    <x:row r="659">
      <x:c r="A659" s="3"/>
      <x:c r="B659" s="3"/>
      <x:c r="C659" s="3"/>
      <x:c r="D659" s="3"/>
      <x:c r="E659" s="3"/>
      <x:c r="F659" s="3"/>
      <x:c r="G659" s="3"/>
    </x:row>
    <x:row r="660">
      <x:c r="A660" s="3"/>
      <x:c r="B660" s="3"/>
      <x:c r="C660" s="3"/>
      <x:c r="D660" s="3"/>
      <x:c r="E660" s="3"/>
      <x:c r="F660" s="3"/>
      <x:c r="G660" s="3"/>
    </x:row>
    <x:row r="661">
      <x:c r="A661" s="3"/>
      <x:c r="B661" s="3"/>
      <x:c r="C661" s="3"/>
      <x:c r="D661" s="3"/>
      <x:c r="E661" s="3"/>
      <x:c r="F661" s="3"/>
      <x:c r="G661" s="3"/>
    </x:row>
    <x:row r="662">
      <x:c r="A662" s="3"/>
      <x:c r="B662" s="3"/>
      <x:c r="C662" s="3"/>
      <x:c r="D662" s="3"/>
      <x:c r="E662" s="3"/>
      <x:c r="F662" s="3"/>
      <x:c r="G662" s="3"/>
    </x:row>
    <x:row r="663">
      <x:c r="A663" s="3"/>
      <x:c r="B663" s="3"/>
      <x:c r="C663" s="3"/>
      <x:c r="D663" s="3"/>
      <x:c r="E663" s="3"/>
      <x:c r="F663" s="3"/>
      <x:c r="G663" s="3"/>
    </x:row>
    <x:row r="664">
      <x:c r="A664" s="3"/>
      <x:c r="B664" s="3"/>
      <x:c r="C664" s="3"/>
      <x:c r="D664" s="3"/>
      <x:c r="E664" s="3"/>
      <x:c r="F664" s="3"/>
      <x:c r="G664" s="3"/>
    </x:row>
    <x:row r="665">
      <x:c r="A665" s="3"/>
      <x:c r="B665" s="3"/>
      <x:c r="C665" s="3"/>
      <x:c r="D665" s="3"/>
      <x:c r="E665" s="3"/>
      <x:c r="F665" s="3"/>
      <x:c r="G665" s="3"/>
    </x:row>
    <x:row r="666">
      <x:c r="A666" s="3"/>
      <x:c r="B666" s="3"/>
      <x:c r="C666" s="3"/>
      <x:c r="D666" s="3"/>
      <x:c r="E666" s="3"/>
      <x:c r="F666" s="3"/>
      <x:c r="G666" s="3"/>
    </x:row>
    <x:row r="667">
      <x:c r="A667" s="3"/>
      <x:c r="B667" s="3"/>
      <x:c r="C667" s="3"/>
      <x:c r="D667" s="3"/>
      <x:c r="E667" s="3"/>
      <x:c r="F667" s="3"/>
      <x:c r="G667" s="3"/>
    </x:row>
    <x:row r="668">
      <x:c r="A668" s="3"/>
      <x:c r="B668" s="3"/>
      <x:c r="C668" s="3"/>
      <x:c r="D668" s="3"/>
      <x:c r="E668" s="3"/>
      <x:c r="F668" s="3"/>
      <x:c r="G668" s="3"/>
    </x:row>
    <x:row r="669">
      <x:c r="A669" s="3"/>
      <x:c r="B669" s="3"/>
      <x:c r="C669" s="3"/>
      <x:c r="D669" s="3"/>
      <x:c r="E669" s="3"/>
      <x:c r="F669" s="3"/>
      <x:c r="G669" s="3"/>
    </x:row>
    <x:row r="670">
      <x:c r="A670" s="3"/>
      <x:c r="B670" s="3"/>
      <x:c r="C670" s="3"/>
      <x:c r="D670" s="3"/>
      <x:c r="E670" s="3"/>
      <x:c r="F670" s="3"/>
      <x:c r="G670" s="3"/>
    </x:row>
    <x:row r="671">
      <x:c r="A671" s="3"/>
      <x:c r="B671" s="3"/>
      <x:c r="C671" s="3"/>
      <x:c r="D671" s="3"/>
      <x:c r="E671" s="3"/>
      <x:c r="F671" s="3"/>
      <x:c r="G671" s="3"/>
    </x:row>
    <x:row r="672">
      <x:c r="A672" s="3"/>
      <x:c r="B672" s="3"/>
      <x:c r="C672" s="3"/>
      <x:c r="D672" s="3"/>
      <x:c r="E672" s="3"/>
      <x:c r="F672" s="3"/>
      <x:c r="G672" s="3"/>
    </x:row>
    <x:row r="673">
      <x:c r="A673" s="3"/>
      <x:c r="B673" s="3"/>
      <x:c r="C673" s="3"/>
      <x:c r="D673" s="3"/>
      <x:c r="E673" s="3"/>
      <x:c r="F673" s="3"/>
      <x:c r="G673" s="3"/>
    </x:row>
    <x:row r="674">
      <x:c r="A674" s="3"/>
      <x:c r="B674" s="3"/>
      <x:c r="C674" s="3"/>
      <x:c r="D674" s="3"/>
      <x:c r="E674" s="3"/>
      <x:c r="F674" s="3"/>
      <x:c r="G674" s="3"/>
    </x:row>
    <x:row r="675">
      <x:c r="A675" s="3"/>
      <x:c r="B675" s="3"/>
      <x:c r="C675" s="3"/>
      <x:c r="D675" s="3"/>
      <x:c r="E675" s="3"/>
      <x:c r="F675" s="3"/>
      <x:c r="G675" s="3"/>
    </x:row>
    <x:row r="676">
      <x:c r="A676" s="3"/>
      <x:c r="B676" s="3"/>
      <x:c r="C676" s="3"/>
      <x:c r="D676" s="3"/>
      <x:c r="E676" s="3"/>
      <x:c r="F676" s="3"/>
      <x:c r="G676" s="3"/>
    </x:row>
    <x:row r="677">
      <x:c r="A677" s="3"/>
      <x:c r="B677" s="3"/>
      <x:c r="C677" s="3"/>
      <x:c r="D677" s="3"/>
      <x:c r="E677" s="3"/>
      <x:c r="F677" s="3"/>
      <x:c r="G677" s="3"/>
    </x:row>
    <x:row r="678">
      <x:c r="A678" s="3"/>
      <x:c r="B678" s="3"/>
      <x:c r="C678" s="3"/>
      <x:c r="D678" s="3"/>
      <x:c r="E678" s="3"/>
      <x:c r="F678" s="3"/>
      <x:c r="G678" s="3"/>
    </x:row>
    <x:row r="679">
      <x:c r="A679" s="3"/>
      <x:c r="B679" s="3"/>
      <x:c r="C679" s="3"/>
      <x:c r="D679" s="3"/>
      <x:c r="E679" s="3"/>
      <x:c r="F679" s="3"/>
      <x:c r="G679" s="3"/>
    </x:row>
    <x:row r="680">
      <x:c r="A680" s="3"/>
      <x:c r="B680" s="3"/>
      <x:c r="C680" s="3"/>
      <x:c r="D680" s="3"/>
      <x:c r="E680" s="3"/>
      <x:c r="F680" s="3"/>
      <x:c r="G680" s="3"/>
    </x:row>
    <x:row r="681">
      <x:c r="A681" s="3"/>
      <x:c r="B681" s="3"/>
      <x:c r="C681" s="3"/>
      <x:c r="D681" s="3"/>
      <x:c r="E681" s="3"/>
      <x:c r="F681" s="3"/>
      <x:c r="G681" s="3"/>
    </x:row>
    <x:row r="682">
      <x:c r="A682" s="3"/>
      <x:c r="B682" s="3"/>
      <x:c r="C682" s="3"/>
      <x:c r="D682" s="3"/>
      <x:c r="E682" s="3"/>
      <x:c r="F682" s="3"/>
      <x:c r="G682" s="3"/>
    </x:row>
    <x:row r="683">
      <x:c r="A683" s="3"/>
      <x:c r="B683" s="3"/>
      <x:c r="C683" s="3"/>
      <x:c r="D683" s="3"/>
      <x:c r="E683" s="3"/>
      <x:c r="F683" s="3"/>
      <x:c r="G683" s="3"/>
    </x:row>
    <x:row r="684">
      <x:c r="A684" s="3"/>
      <x:c r="B684" s="3"/>
      <x:c r="C684" s="3"/>
      <x:c r="D684" s="3"/>
      <x:c r="E684" s="3"/>
      <x:c r="F684" s="3"/>
      <x:c r="G684" s="3"/>
    </x:row>
    <x:row r="685">
      <x:c r="A685" s="3"/>
      <x:c r="B685" s="3"/>
      <x:c r="C685" s="3"/>
      <x:c r="D685" s="3"/>
      <x:c r="E685" s="3"/>
      <x:c r="F685" s="3"/>
      <x:c r="G685" s="3"/>
    </x:row>
    <x:row r="686">
      <x:c r="A686" s="3"/>
      <x:c r="B686" s="3"/>
      <x:c r="C686" s="3"/>
      <x:c r="D686" s="3"/>
      <x:c r="E686" s="3"/>
      <x:c r="F686" s="3"/>
      <x:c r="G686" s="3"/>
    </x:row>
    <x:row r="687">
      <x:c r="A687" s="3"/>
      <x:c r="B687" s="3"/>
      <x:c r="C687" s="3"/>
      <x:c r="D687" s="3"/>
      <x:c r="E687" s="3"/>
      <x:c r="F687" s="3"/>
      <x:c r="G687" s="3"/>
    </x:row>
    <x:row r="688">
      <x:c r="A688" s="3"/>
      <x:c r="B688" s="3"/>
      <x:c r="C688" s="3"/>
      <x:c r="D688" s="3"/>
      <x:c r="E688" s="3"/>
      <x:c r="F688" s="3"/>
      <x:c r="G688" s="3"/>
    </x:row>
    <x:row r="689">
      <x:c r="A689" s="3"/>
      <x:c r="B689" s="3"/>
      <x:c r="C689" s="3"/>
      <x:c r="D689" s="3"/>
      <x:c r="E689" s="3"/>
      <x:c r="F689" s="3"/>
      <x:c r="G689" s="3"/>
    </x:row>
    <x:row r="690">
      <x:c r="A690" s="3"/>
      <x:c r="B690" s="3"/>
      <x:c r="C690" s="3"/>
      <x:c r="D690" s="3"/>
      <x:c r="E690" s="3"/>
      <x:c r="F690" s="3"/>
      <x:c r="G690" s="3"/>
    </x:row>
    <x:row r="691">
      <x:c r="A691" s="3"/>
      <x:c r="B691" s="3"/>
      <x:c r="C691" s="3"/>
      <x:c r="D691" s="3"/>
      <x:c r="E691" s="3"/>
      <x:c r="F691" s="3"/>
      <x:c r="G691" s="3"/>
    </x:row>
    <x:row r="692">
      <x:c r="A692" s="3"/>
      <x:c r="B692" s="3"/>
      <x:c r="C692" s="3"/>
      <x:c r="D692" s="3"/>
      <x:c r="E692" s="3"/>
      <x:c r="F692" s="3"/>
      <x:c r="G692" s="3"/>
    </x:row>
    <x:row r="693">
      <x:c r="A693" s="3"/>
      <x:c r="B693" s="3"/>
      <x:c r="C693" s="3"/>
      <x:c r="D693" s="3"/>
      <x:c r="E693" s="3"/>
      <x:c r="F693" s="3"/>
      <x:c r="G693" s="3"/>
    </x:row>
    <x:row r="694">
      <x:c r="A694" s="3"/>
      <x:c r="B694" s="3"/>
      <x:c r="C694" s="3"/>
      <x:c r="D694" s="3"/>
      <x:c r="E694" s="3"/>
      <x:c r="F694" s="3"/>
      <x:c r="G694" s="3"/>
    </x:row>
    <x:row r="695">
      <x:c r="A695" s="3"/>
      <x:c r="B695" s="3"/>
      <x:c r="C695" s="3"/>
      <x:c r="D695" s="3"/>
      <x:c r="E695" s="3"/>
      <x:c r="F695" s="3"/>
      <x:c r="G695" s="3"/>
    </x:row>
    <x:row r="696">
      <x:c r="A696" s="3"/>
      <x:c r="B696" s="3"/>
      <x:c r="C696" s="3"/>
      <x:c r="D696" s="3"/>
      <x:c r="E696" s="3"/>
      <x:c r="F696" s="3"/>
      <x:c r="G696" s="3"/>
    </x:row>
    <x:row r="697">
      <x:c r="A697" s="3"/>
      <x:c r="B697" s="3"/>
      <x:c r="C697" s="3"/>
      <x:c r="D697" s="3"/>
      <x:c r="E697" s="3"/>
      <x:c r="F697" s="3"/>
      <x:c r="G697" s="3"/>
    </x:row>
    <x:row r="698">
      <x:c r="A698" s="3"/>
      <x:c r="B698" s="3"/>
      <x:c r="C698" s="3"/>
      <x:c r="D698" s="3"/>
      <x:c r="E698" s="3"/>
      <x:c r="F698" s="3"/>
      <x:c r="G698" s="3"/>
    </x:row>
    <x:row r="699">
      <x:c r="A699" s="3"/>
      <x:c r="B699" s="3"/>
      <x:c r="C699" s="3"/>
      <x:c r="D699" s="3"/>
      <x:c r="E699" s="3"/>
      <x:c r="F699" s="3"/>
      <x:c r="G699" s="3"/>
    </x:row>
    <x:row r="700">
      <x:c r="A700" s="3"/>
      <x:c r="B700" s="3"/>
      <x:c r="C700" s="3"/>
      <x:c r="D700" s="3"/>
      <x:c r="E700" s="3"/>
      <x:c r="F700" s="3"/>
      <x:c r="G700" s="3"/>
    </x:row>
  </x:sheetData>
  <x:mergeCells>
    <x:mergeCell ref="A1:G1"/>
    <x:mergeCell ref="A2:G2"/>
    <x:mergeCell ref="A3:G3"/>
    <x:mergeCell ref="A5:G5"/>
    <x:mergeCell ref="A6:G6"/>
    <x:mergeCell ref="A7:B7"/>
    <x:mergeCell ref="C7:D7"/>
    <x:mergeCell ref="E7:G7"/>
    <x:mergeCell ref="A8:B8"/>
    <x:mergeCell ref="C8:D8"/>
    <x:mergeCell ref="E8:G8"/>
    <x:mergeCell ref="A9:B9"/>
    <x:mergeCell ref="C9:D9"/>
    <x:mergeCell ref="E9:G9"/>
    <x:mergeCell ref="A10:B10"/>
    <x:mergeCell ref="C10:D10"/>
    <x:mergeCell ref="E10:G10"/>
    <x:mergeCell ref="A11:B11"/>
    <x:mergeCell ref="C11:D11"/>
    <x:mergeCell ref="E11:G11"/>
    <x:mergeCell ref="A12:B12"/>
    <x:mergeCell ref="C12:D12"/>
    <x:mergeCell ref="E12:G12"/>
    <x:mergeCell ref="A13:B13"/>
    <x:mergeCell ref="C13:D13"/>
    <x:mergeCell ref="E13:G13"/>
    <x:mergeCell ref="A14:B14"/>
    <x:mergeCell ref="C14:D14"/>
    <x:mergeCell ref="E14:G14"/>
    <x:mergeCell ref="A15:B15"/>
    <x:mergeCell ref="C15:D15"/>
    <x:mergeCell ref="E15:G15"/>
    <x:mergeCell ref="A16:B16"/>
    <x:mergeCell ref="C16:D16"/>
    <x:mergeCell ref="E16:G16"/>
    <x:mergeCell ref="A17:B17"/>
    <x:mergeCell ref="C17:D17"/>
    <x:mergeCell ref="E17:G17"/>
    <x:mergeCell ref="A21:G21"/>
    <x:mergeCell ref="A22:G22"/>
    <x:mergeCell ref="A23:B23"/>
    <x:mergeCell ref="C23:E23"/>
    <x:mergeCell ref="F23:G23"/>
    <x:mergeCell ref="A24:B24"/>
    <x:mergeCell ref="C24:E24"/>
    <x:mergeCell ref="F24:G24"/>
    <x:mergeCell ref="A25:B25"/>
    <x:mergeCell ref="C25:E25"/>
    <x:mergeCell ref="F25:G25"/>
    <x:mergeCell ref="A26:B26"/>
    <x:mergeCell ref="C26:E26"/>
    <x:mergeCell ref="F26:G26"/>
    <x:mergeCell ref="A27:B27"/>
    <x:mergeCell ref="C27:E27"/>
    <x:mergeCell ref="F27:G27"/>
    <x:mergeCell ref="A28:B28"/>
    <x:mergeCell ref="C28:E28"/>
    <x:mergeCell ref="F28:G28"/>
    <x:mergeCell ref="A29:B29"/>
    <x:mergeCell ref="C29:E29"/>
    <x:mergeCell ref="F29:G29"/>
    <x:mergeCell ref="A30:B30"/>
    <x:mergeCell ref="C30:E30"/>
    <x:mergeCell ref="F30:G30"/>
    <x:mergeCell ref="A34:G34"/>
    <x:mergeCell ref="A35:G35"/>
    <x:mergeCell ref="A36:G36"/>
    <x:mergeCell ref="A86:G86"/>
    <x:mergeCell ref="A87:G87"/>
    <x:mergeCell ref="A88:G88"/>
    <x:mergeCell ref="C89:G89"/>
    <x:mergeCell ref="C90:G90"/>
    <x:mergeCell ref="C91:G91"/>
    <x:mergeCell ref="C92:G92"/>
    <x:mergeCell ref="C93:G93"/>
    <x:mergeCell ref="C94:G94"/>
    <x:mergeCell ref="C95:G95"/>
    <x:mergeCell ref="C96:G96"/>
    <x:mergeCell ref="C97:G97"/>
    <x:mergeCell ref="C98:G98"/>
    <x:mergeCell ref="C99:G99"/>
    <x:mergeCell ref="C100:G100"/>
    <x:mergeCell ref="C101:G101"/>
    <x:mergeCell ref="C102:G102"/>
    <x:mergeCell ref="C103:G103"/>
    <x:mergeCell ref="C104:G104"/>
    <x:mergeCell ref="C105:G105"/>
    <x:mergeCell ref="C106:G106"/>
    <x:mergeCell ref="C107:G107"/>
    <x:mergeCell ref="C108:G108"/>
    <x:mergeCell ref="C109:G109"/>
    <x:mergeCell ref="C110:G110"/>
    <x:mergeCell ref="C111:G111"/>
    <x:mergeCell ref="C112:G112"/>
    <x:mergeCell ref="C113:G113"/>
    <x:mergeCell ref="C114:G114"/>
    <x:mergeCell ref="C115:G115"/>
    <x:mergeCell ref="C116:G116"/>
    <x:mergeCell ref="C117:G117"/>
    <x:mergeCell ref="C118:G118"/>
    <x:mergeCell ref="C119:G119"/>
    <x:mergeCell ref="C120:G120"/>
    <x:mergeCell ref="C121:G121"/>
    <x:mergeCell ref="C122:G122"/>
    <x:mergeCell ref="C123:G123"/>
    <x:mergeCell ref="C124:G124"/>
    <x:mergeCell ref="C125:G125"/>
    <x:mergeCell ref="C126:G126"/>
    <x:mergeCell ref="C127:G127"/>
    <x:mergeCell ref="C128:G128"/>
    <x:mergeCell ref="C129:G129"/>
    <x:mergeCell ref="C130:G130"/>
    <x:mergeCell ref="C131:G131"/>
    <x:mergeCell ref="C132:G132"/>
    <x:mergeCell ref="C133:G133"/>
    <x:mergeCell ref="C134:G134"/>
    <x:mergeCell ref="A137:G137"/>
    <x:mergeCell ref="A138:G138"/>
    <x:mergeCell ref="A139:G139"/>
    <x:mergeCell ref="A140:G140"/>
    <x:mergeCell ref="B141:E141"/>
    <x:mergeCell ref="F141:G141"/>
    <x:mergeCell ref="B142:E142"/>
    <x:mergeCell ref="F142:G142"/>
    <x:mergeCell ref="B143:E143"/>
    <x:mergeCell ref="F143:G143"/>
    <x:mergeCell ref="B144:E144"/>
    <x:mergeCell ref="F144:G144"/>
    <x:mergeCell ref="B145:E145"/>
    <x:mergeCell ref="F145:G145"/>
    <x:mergeCell ref="B146:E146"/>
    <x:mergeCell ref="F146:G146"/>
    <x:mergeCell ref="B147:E147"/>
    <x:mergeCell ref="F147:G147"/>
    <x:mergeCell ref="B148:E148"/>
    <x:mergeCell ref="F148:G148"/>
    <x:mergeCell ref="B149:E149"/>
    <x:mergeCell ref="F149:G149"/>
    <x:mergeCell ref="B150:E150"/>
    <x:mergeCell ref="F150:G150"/>
    <x:mergeCell ref="B151:E151"/>
    <x:mergeCell ref="F151:G151"/>
    <x:mergeCell ref="B152:E152"/>
    <x:mergeCell ref="F152:G152"/>
    <x:mergeCell ref="B153:E153"/>
    <x:mergeCell ref="F153:G153"/>
    <x:mergeCell ref="B154:E154"/>
    <x:mergeCell ref="F154:G154"/>
    <x:mergeCell ref="B155:E155"/>
    <x:mergeCell ref="F155:G155"/>
    <x:mergeCell ref="B156:E156"/>
    <x:mergeCell ref="F156:G156"/>
    <x:mergeCell ref="B157:E157"/>
    <x:mergeCell ref="F157:G157"/>
    <x:mergeCell ref="B158:E158"/>
    <x:mergeCell ref="F158:G158"/>
    <x:mergeCell ref="B159:E159"/>
    <x:mergeCell ref="F159:G159"/>
    <x:mergeCell ref="B160:E160"/>
    <x:mergeCell ref="F160:G160"/>
    <x:mergeCell ref="B161:E161"/>
    <x:mergeCell ref="F161:G161"/>
    <x:mergeCell ref="B162:E162"/>
    <x:mergeCell ref="F162:G162"/>
    <x:mergeCell ref="B163:E163"/>
    <x:mergeCell ref="F163:G163"/>
    <x:mergeCell ref="B164:E164"/>
    <x:mergeCell ref="F164:G164"/>
    <x:mergeCell ref="B165:E165"/>
    <x:mergeCell ref="F165:G165"/>
    <x:mergeCell ref="B166:E166"/>
    <x:mergeCell ref="F166:G166"/>
    <x:mergeCell ref="B167:E167"/>
    <x:mergeCell ref="F167:G167"/>
    <x:mergeCell ref="B168:E168"/>
    <x:mergeCell ref="F168:G168"/>
    <x:mergeCell ref="B169:E169"/>
    <x:mergeCell ref="F169:G169"/>
    <x:mergeCell ref="B170:E170"/>
    <x:mergeCell ref="F170:G170"/>
    <x:mergeCell ref="B171:E171"/>
    <x:mergeCell ref="F171:G171"/>
    <x:mergeCell ref="B172:E172"/>
    <x:mergeCell ref="F172:G172"/>
    <x:mergeCell ref="B173:E173"/>
    <x:mergeCell ref="F173:G173"/>
    <x:mergeCell ref="B174:E174"/>
    <x:mergeCell ref="F174:G174"/>
    <x:mergeCell ref="B175:E175"/>
    <x:mergeCell ref="F175:G175"/>
    <x:mergeCell ref="B176:E176"/>
    <x:mergeCell ref="F176:G176"/>
    <x:mergeCell ref="B177:E177"/>
    <x:mergeCell ref="F177:G177"/>
    <x:mergeCell ref="B178:E178"/>
    <x:mergeCell ref="F178:G178"/>
    <x:mergeCell ref="B179:E179"/>
    <x:mergeCell ref="F179:G179"/>
    <x:mergeCell ref="B180:E180"/>
    <x:mergeCell ref="F180:G180"/>
    <x:mergeCell ref="B181:E181"/>
    <x:mergeCell ref="F181:G181"/>
    <x:mergeCell ref="B182:E182"/>
    <x:mergeCell ref="F182:G182"/>
    <x:mergeCell ref="B183:E183"/>
    <x:mergeCell ref="F183:G183"/>
    <x:mergeCell ref="B184:E184"/>
    <x:mergeCell ref="F184:G184"/>
    <x:mergeCell ref="B185:E185"/>
    <x:mergeCell ref="F185:G185"/>
    <x:mergeCell ref="B186:E186"/>
    <x:mergeCell ref="F186:G186"/>
    <x:mergeCell ref="A189:G189"/>
    <x:mergeCell ref="A190:G190"/>
    <x:mergeCell ref="C191:D191"/>
    <x:mergeCell ref="E191:F191"/>
    <x:mergeCell ref="C192:D192"/>
    <x:mergeCell ref="E192:F192"/>
    <x:mergeCell ref="C193:D193"/>
    <x:mergeCell ref="E193:F193"/>
    <x:mergeCell ref="C194:D194"/>
    <x:mergeCell ref="E194:F194"/>
    <x:mergeCell ref="C195:D195"/>
    <x:mergeCell ref="E195:F195"/>
    <x:mergeCell ref="C196:D196"/>
    <x:mergeCell ref="E196:F196"/>
    <x:mergeCell ref="C197:D197"/>
    <x:mergeCell ref="E197:F197"/>
    <x:mergeCell ref="C198:D198"/>
    <x:mergeCell ref="E198:F198"/>
    <x:mergeCell ref="C199:D199"/>
    <x:mergeCell ref="E199:F199"/>
    <x:mergeCell ref="C200:D200"/>
    <x:mergeCell ref="E200:F200"/>
    <x:mergeCell ref="C201:D201"/>
    <x:mergeCell ref="E201:F201"/>
    <x:mergeCell ref="C202:D202"/>
    <x:mergeCell ref="E202:F202"/>
    <x:mergeCell ref="C203:D203"/>
    <x:mergeCell ref="E203:F203"/>
    <x:mergeCell ref="C204:D204"/>
    <x:mergeCell ref="E204:F204"/>
    <x:mergeCell ref="C205:D205"/>
    <x:mergeCell ref="E205:F205"/>
    <x:mergeCell ref="C206:D206"/>
    <x:mergeCell ref="E206:F206"/>
    <x:mergeCell ref="C207:D207"/>
    <x:mergeCell ref="E207:F207"/>
    <x:mergeCell ref="C208:D208"/>
    <x:mergeCell ref="E208:F208"/>
    <x:mergeCell ref="C209:D209"/>
    <x:mergeCell ref="E209:F209"/>
    <x:mergeCell ref="C210:D210"/>
    <x:mergeCell ref="E210:F210"/>
    <x:mergeCell ref="C211:D211"/>
    <x:mergeCell ref="E211:F211"/>
    <x:mergeCell ref="C212:D212"/>
    <x:mergeCell ref="E212:F212"/>
    <x:mergeCell ref="C213:D213"/>
    <x:mergeCell ref="E213:F213"/>
    <x:mergeCell ref="C214:D214"/>
    <x:mergeCell ref="E214:F214"/>
    <x:mergeCell ref="C215:D215"/>
    <x:mergeCell ref="E215:F215"/>
    <x:mergeCell ref="C216:D216"/>
    <x:mergeCell ref="E216:F216"/>
    <x:mergeCell ref="C217:D217"/>
    <x:mergeCell ref="E217:F217"/>
    <x:mergeCell ref="C218:D218"/>
    <x:mergeCell ref="E218:F218"/>
    <x:mergeCell ref="C219:D219"/>
    <x:mergeCell ref="E219:F219"/>
    <x:mergeCell ref="C220:D220"/>
    <x:mergeCell ref="E220:F220"/>
    <x:mergeCell ref="C221:D221"/>
    <x:mergeCell ref="E221:F221"/>
    <x:mergeCell ref="C222:D222"/>
    <x:mergeCell ref="E222:F222"/>
    <x:mergeCell ref="C223:D223"/>
    <x:mergeCell ref="E223:F223"/>
    <x:mergeCell ref="C224:D224"/>
    <x:mergeCell ref="E224:F224"/>
    <x:mergeCell ref="C225:D225"/>
    <x:mergeCell ref="E225:F225"/>
    <x:mergeCell ref="C226:D226"/>
    <x:mergeCell ref="E226:F226"/>
    <x:mergeCell ref="C227:D227"/>
    <x:mergeCell ref="E227:F227"/>
    <x:mergeCell ref="C228:D228"/>
    <x:mergeCell ref="E228:F228"/>
    <x:mergeCell ref="C229:D229"/>
    <x:mergeCell ref="E229:F229"/>
    <x:mergeCell ref="C230:D230"/>
    <x:mergeCell ref="E230:F230"/>
    <x:mergeCell ref="C231:D231"/>
    <x:mergeCell ref="E231:F231"/>
    <x:mergeCell ref="C232:D232"/>
    <x:mergeCell ref="E232:F232"/>
    <x:mergeCell ref="C233:D233"/>
    <x:mergeCell ref="E233:F233"/>
    <x:mergeCell ref="C234:D234"/>
    <x:mergeCell ref="E234:F234"/>
    <x:mergeCell ref="C235:D235"/>
    <x:mergeCell ref="E235:F235"/>
    <x:mergeCell ref="C236:D236"/>
    <x:mergeCell ref="E236:F236"/>
    <x:mergeCell ref="C237:D237"/>
    <x:mergeCell ref="E237:F237"/>
    <x:mergeCell ref="A239:G239"/>
    <x:mergeCell ref="A240:G240"/>
    <x:mergeCell ref="A241:E241"/>
    <x:mergeCell ref="F241:G241"/>
    <x:mergeCell ref="A242:E242"/>
    <x:mergeCell ref="F242:G242"/>
    <x:mergeCell ref="A243:E243"/>
    <x:mergeCell ref="F243:G243"/>
    <x:mergeCell ref="A244:E244"/>
    <x:mergeCell ref="F244:G244"/>
    <x:mergeCell ref="A245:E245"/>
    <x:mergeCell ref="F245:G245"/>
    <x:mergeCell ref="A246:E246"/>
    <x:mergeCell ref="F246:G246"/>
    <x:mergeCell ref="A250:G250"/>
    <x:mergeCell ref="A251:G251"/>
    <x:mergeCell ref="A252:G252"/>
    <x:mergeCell ref="F253:G253"/>
    <x:mergeCell ref="F254:G254"/>
    <x:mergeCell ref="F255:G255"/>
    <x:mergeCell ref="F256:G256"/>
    <x:mergeCell ref="F257:G257"/>
    <x:mergeCell ref="F258:G258"/>
    <x:mergeCell ref="F259:G259"/>
    <x:mergeCell ref="F260:G260"/>
    <x:mergeCell ref="F261:G261"/>
    <x:mergeCell ref="F262:G262"/>
    <x:mergeCell ref="F263:G263"/>
    <x:mergeCell ref="F264:G264"/>
    <x:mergeCell ref="F265:G265"/>
    <x:mergeCell ref="F266:G266"/>
    <x:mergeCell ref="F267:G267"/>
    <x:mergeCell ref="F268:G268"/>
    <x:mergeCell ref="F269:G269"/>
    <x:mergeCell ref="F270:G270"/>
    <x:mergeCell ref="F271:G271"/>
    <x:mergeCell ref="F272:G272"/>
    <x:mergeCell ref="F273:G273"/>
    <x:mergeCell ref="F274:G274"/>
    <x:mergeCell ref="F275:G275"/>
    <x:mergeCell ref="F276:G276"/>
    <x:mergeCell ref="F277:G277"/>
    <x:mergeCell ref="F278:G278"/>
    <x:mergeCell ref="F279:G279"/>
    <x:mergeCell ref="F280:G280"/>
    <x:mergeCell ref="F281:G281"/>
    <x:mergeCell ref="F282:G282"/>
    <x:mergeCell ref="F283:G283"/>
    <x:mergeCell ref="F284:G284"/>
    <x:mergeCell ref="F285:G285"/>
    <x:mergeCell ref="F286:G286"/>
    <x:mergeCell ref="F287:G287"/>
    <x:mergeCell ref="F288:G288"/>
    <x:mergeCell ref="F289:G289"/>
    <x:mergeCell ref="F290:G290"/>
    <x:mergeCell ref="F291:G291"/>
    <x:mergeCell ref="F292:G292"/>
    <x:mergeCell ref="F293:G293"/>
    <x:mergeCell ref="F294:G294"/>
    <x:mergeCell ref="F295:G295"/>
    <x:mergeCell ref="F296:G296"/>
    <x:mergeCell ref="F297:G297"/>
    <x:mergeCell ref="F298:G298"/>
    <x:mergeCell ref="A302:G302"/>
    <x:mergeCell ref="A303:G303"/>
    <x:mergeCell ref="A304:G304"/>
    <x:mergeCell ref="A305:G305"/>
    <x:mergeCell ref="A317:G317"/>
    <x:mergeCell ref="A318:G318"/>
    <x:mergeCell ref="B319:D319"/>
    <x:mergeCell ref="F319:G319"/>
    <x:mergeCell ref="B320:D320"/>
    <x:mergeCell ref="F320:G320"/>
    <x:mergeCell ref="B321:D321"/>
    <x:mergeCell ref="F321:G321"/>
    <x:mergeCell ref="B322:D322"/>
    <x:mergeCell ref="F322:G322"/>
    <x:mergeCell ref="B323:D323"/>
    <x:mergeCell ref="F323:G323"/>
    <x:mergeCell ref="B324:D324"/>
    <x:mergeCell ref="F324:G324"/>
    <x:mergeCell ref="B325:D325"/>
    <x:mergeCell ref="F325:G325"/>
    <x:mergeCell ref="B326:D326"/>
    <x:mergeCell ref="F326:G326"/>
    <x:mergeCell ref="B327:D327"/>
    <x:mergeCell ref="F327:G327"/>
    <x:mergeCell ref="B328:D328"/>
    <x:mergeCell ref="F328:G328"/>
    <x:mergeCell ref="B329:D329"/>
    <x:mergeCell ref="F329:G329"/>
    <x:mergeCell ref="B330:D330"/>
    <x:mergeCell ref="F330:G330"/>
    <x:mergeCell ref="B331:D331"/>
    <x:mergeCell ref="F331:G331"/>
    <x:mergeCell ref="B332:D332"/>
    <x:mergeCell ref="F332:G332"/>
    <x:mergeCell ref="B333:D333"/>
    <x:mergeCell ref="F333:G333"/>
    <x:mergeCell ref="B334:D334"/>
    <x:mergeCell ref="F334:G334"/>
    <x:mergeCell ref="B335:D335"/>
    <x:mergeCell ref="F335:G335"/>
    <x:mergeCell ref="B336:D336"/>
    <x:mergeCell ref="F336:G336"/>
    <x:mergeCell ref="B337:D337"/>
    <x:mergeCell ref="F337:G337"/>
    <x:mergeCell ref="B338:D338"/>
    <x:mergeCell ref="F338:G338"/>
    <x:mergeCell ref="B339:D339"/>
    <x:mergeCell ref="F339:G339"/>
    <x:mergeCell ref="B340:D340"/>
    <x:mergeCell ref="F340:G340"/>
    <x:mergeCell ref="B341:D341"/>
    <x:mergeCell ref="F341:G341"/>
    <x:mergeCell ref="B342:D342"/>
    <x:mergeCell ref="F342:G342"/>
    <x:mergeCell ref="B343:D343"/>
    <x:mergeCell ref="F343:G343"/>
    <x:mergeCell ref="B344:D344"/>
    <x:mergeCell ref="F344:G344"/>
    <x:mergeCell ref="B345:D345"/>
    <x:mergeCell ref="F345:G345"/>
    <x:mergeCell ref="B346:D346"/>
    <x:mergeCell ref="F346:G346"/>
    <x:mergeCell ref="B347:D347"/>
    <x:mergeCell ref="F347:G347"/>
    <x:mergeCell ref="B348:D348"/>
    <x:mergeCell ref="F348:G348"/>
    <x:mergeCell ref="B349:D349"/>
    <x:mergeCell ref="F349:G349"/>
    <x:mergeCell ref="B350:D350"/>
    <x:mergeCell ref="F350:G350"/>
    <x:mergeCell ref="B351:D351"/>
    <x:mergeCell ref="F351:G351"/>
    <x:mergeCell ref="B352:D352"/>
    <x:mergeCell ref="F352:G352"/>
    <x:mergeCell ref="B353:D353"/>
    <x:mergeCell ref="F353:G353"/>
    <x:mergeCell ref="B354:D354"/>
    <x:mergeCell ref="F354:G354"/>
    <x:mergeCell ref="B355:D355"/>
    <x:mergeCell ref="F355:G355"/>
    <x:mergeCell ref="B356:D356"/>
    <x:mergeCell ref="F356:G356"/>
    <x:mergeCell ref="A359:G359"/>
    <x:mergeCell ref="A360:G360"/>
    <x:mergeCell ref="A361:B361"/>
    <x:mergeCell ref="C361:E361"/>
    <x:mergeCell ref="F361:G361"/>
    <x:mergeCell ref="A362:B362"/>
    <x:mergeCell ref="C362:E362"/>
    <x:mergeCell ref="F362:G362"/>
    <x:mergeCell ref="A363:B363"/>
    <x:mergeCell ref="C363:E363"/>
    <x:mergeCell ref="F363:G363"/>
    <x:mergeCell ref="A364:B364"/>
    <x:mergeCell ref="C364:E364"/>
    <x:mergeCell ref="F364:G364"/>
    <x:mergeCell ref="A365:B365"/>
    <x:mergeCell ref="C365:E365"/>
    <x:mergeCell ref="F365:G365"/>
    <x:mergeCell ref="A369:G369"/>
    <x:mergeCell ref="A370:G370"/>
    <x:mergeCell ref="A371:G387"/>
    <x:mergeCell ref="A390:G390"/>
    <x:mergeCell ref="A391:G406"/>
    <x:mergeCell ref="A409:G409"/>
    <x:mergeCell ref="A410:G420"/>
    <x:mergeCell ref="A424:G424"/>
    <x:mergeCell ref="A425:G425"/>
    <x:mergeCell ref="A426:G426"/>
    <x:mergeCell ref="F427:G427"/>
    <x:mergeCell ref="F428:G428"/>
    <x:mergeCell ref="F429:G429"/>
    <x:mergeCell ref="F430:G430"/>
    <x:mergeCell ref="F431:G431"/>
    <x:mergeCell ref="F432:G432"/>
    <x:mergeCell ref="A436:G436"/>
    <x:mergeCell ref="A437:G437"/>
    <x:mergeCell ref="A438:G442"/>
    <x:mergeCell ref="A445:G445"/>
    <x:mergeCell ref="A446:G446"/>
    <x:mergeCell ref="A447:G447"/>
    <x:mergeCell ref="F448:G448"/>
    <x:mergeCell ref="F449:G449"/>
    <x:mergeCell ref="F450:G450"/>
    <x:mergeCell ref="F451:G451"/>
    <x:mergeCell ref="F452:G452"/>
    <x:mergeCell ref="F453:G453"/>
    <x:mergeCell ref="F454:G454"/>
    <x:mergeCell ref="F455:G455"/>
    <x:mergeCell ref="F456:G456"/>
    <x:mergeCell ref="F457:G457"/>
    <x:mergeCell ref="F458:G458"/>
    <x:mergeCell ref="F459:G459"/>
    <x:mergeCell ref="F460:G460"/>
    <x:mergeCell ref="F461:G461"/>
    <x:mergeCell ref="F462:G462"/>
    <x:mergeCell ref="F463:G463"/>
    <x:mergeCell ref="F464:G464"/>
    <x:mergeCell ref="F465:G465"/>
    <x:mergeCell ref="F466:G466"/>
    <x:mergeCell ref="F467:G467"/>
    <x:mergeCell ref="F468:G468"/>
    <x:mergeCell ref="F469:G469"/>
    <x:mergeCell ref="F470:G470"/>
    <x:mergeCell ref="F471:G471"/>
    <x:mergeCell ref="F472:G472"/>
    <x:mergeCell ref="F473:G473"/>
    <x:mergeCell ref="F474:G474"/>
    <x:mergeCell ref="F475:G475"/>
    <x:mergeCell ref="F476:G476"/>
    <x:mergeCell ref="F477:G477"/>
    <x:mergeCell ref="F478:G478"/>
    <x:mergeCell ref="F479:G479"/>
    <x:mergeCell ref="F480:G480"/>
    <x:mergeCell ref="F481:G481"/>
    <x:mergeCell ref="F482:G482"/>
    <x:mergeCell ref="F483:G483"/>
    <x:mergeCell ref="F484:G484"/>
    <x:mergeCell ref="F485:G485"/>
    <x:mergeCell ref="F486:G486"/>
    <x:mergeCell ref="F487:G487"/>
    <x:mergeCell ref="F488:G488"/>
    <x:mergeCell ref="F489:G489"/>
    <x:mergeCell ref="F490:G490"/>
    <x:mergeCell ref="F491:G491"/>
    <x:mergeCell ref="F492:G492"/>
    <x:mergeCell ref="F493:G493"/>
    <x:mergeCell ref="A496:G496"/>
    <x:mergeCell ref="A497:G497"/>
    <x:mergeCell ref="A498:E498"/>
    <x:mergeCell ref="F498:G498"/>
    <x:mergeCell ref="A499:E499"/>
    <x:mergeCell ref="F499:G499"/>
    <x:mergeCell ref="A500:E500"/>
    <x:mergeCell ref="F500:G500"/>
    <x:mergeCell ref="A501:E501"/>
    <x:mergeCell ref="F501:G501"/>
    <x:mergeCell ref="A504:G504"/>
    <x:mergeCell ref="A505:G505"/>
    <x:mergeCell ref="A506:G506"/>
    <x:mergeCell ref="A507:E507"/>
    <x:mergeCell ref="F507:G507"/>
    <x:mergeCell ref="A508:E508"/>
    <x:mergeCell ref="F508:G508"/>
    <x:mergeCell ref="A509:E509"/>
    <x:mergeCell ref="F509:G509"/>
    <x:mergeCell ref="A510:E510"/>
    <x:mergeCell ref="F510:G510"/>
    <x:mergeCell ref="A511:E511"/>
    <x:mergeCell ref="F511:G511"/>
    <x:mergeCell ref="A512:E512"/>
    <x:mergeCell ref="F512:G512"/>
    <x:mergeCell ref="A513:E513"/>
    <x:mergeCell ref="F513:G513"/>
    <x:mergeCell ref="A514:E514"/>
    <x:mergeCell ref="F514:G514"/>
    <x:mergeCell ref="A517:G517"/>
    <x:mergeCell ref="A518:G518"/>
    <x:mergeCell ref="A519:G519"/>
    <x:mergeCell ref="A520:G520"/>
    <x:mergeCell ref="A521:G521"/>
    <x:mergeCell ref="A522:G522"/>
    <x:mergeCell ref="A523:G523"/>
    <x:mergeCell ref="A524:G524"/>
    <x:mergeCell ref="A525:G525"/>
    <x:mergeCell ref="A526:G526"/>
    <x:mergeCell ref="A527:G527"/>
    <x:mergeCell ref="A528:G528"/>
    <x:mergeCell ref="A529:G529"/>
    <x:mergeCell ref="A530:G530"/>
    <x:mergeCell ref="A531:G531"/>
    <x:mergeCell ref="A532:G532"/>
    <x:mergeCell ref="A533:G533"/>
    <x:mergeCell ref="A534:G534"/>
    <x:mergeCell ref="A535:G535"/>
    <x:mergeCell ref="A536:G536"/>
    <x:mergeCell ref="A537:G537"/>
  </x:mergeCells>
  <x:conditionalFormatting sqref="G38:G38">
    <x:cfRule type="containsText" dxfId="0" priority="1" operator="containsText" text="Crítica"/>
    <x:cfRule type="containsText" dxfId="1" priority="2" operator="containsText" text="Alta"/>
    <x:cfRule type="containsText" dxfId="2" priority="3" operator="containsText" text="Media"/>
    <x:cfRule type="containsText" dxfId="3" priority="4" operator="containsText" text="Baja"/>
  </x:conditionalFormatting>
  <x:conditionalFormatting sqref="G39:G39">
    <x:cfRule type="containsText" dxfId="4" priority="5" operator="containsText" text="Crítica"/>
    <x:cfRule type="containsText" dxfId="5" priority="6" operator="containsText" text="Alta"/>
    <x:cfRule type="containsText" dxfId="6" priority="7" operator="containsText" text="Media"/>
    <x:cfRule type="containsText" dxfId="7" priority="8" operator="containsText" text="Baja"/>
  </x:conditionalFormatting>
  <x:conditionalFormatting sqref="G40:G40">
    <x:cfRule type="containsText" dxfId="8" priority="9" operator="containsText" text="Crítica"/>
    <x:cfRule type="containsText" dxfId="9" priority="10" operator="containsText" text="Alta"/>
    <x:cfRule type="containsText" dxfId="10" priority="11" operator="containsText" text="Media"/>
    <x:cfRule type="containsText" dxfId="11" priority="12" operator="containsText" text="Baja"/>
  </x:conditionalFormatting>
  <x:conditionalFormatting sqref="G41:G41">
    <x:cfRule type="containsText" dxfId="12" priority="13" operator="containsText" text="Crítica"/>
    <x:cfRule type="containsText" dxfId="13" priority="14" operator="containsText" text="Alta"/>
    <x:cfRule type="containsText" dxfId="14" priority="15" operator="containsText" text="Media"/>
    <x:cfRule type="containsText" dxfId="15" priority="16" operator="containsText" text="Baja"/>
  </x:conditionalFormatting>
  <x:conditionalFormatting sqref="G42:G42">
    <x:cfRule type="containsText" dxfId="16" priority="17" operator="containsText" text="Crítica"/>
    <x:cfRule type="containsText" dxfId="17" priority="18" operator="containsText" text="Alta"/>
    <x:cfRule type="containsText" dxfId="18" priority="19" operator="containsText" text="Media"/>
    <x:cfRule type="containsText" dxfId="19" priority="20" operator="containsText" text="Baja"/>
  </x:conditionalFormatting>
  <x:conditionalFormatting sqref="G43:G43">
    <x:cfRule type="containsText" dxfId="20" priority="21" operator="containsText" text="Crítica"/>
    <x:cfRule type="containsText" dxfId="21" priority="22" operator="containsText" text="Alta"/>
    <x:cfRule type="containsText" dxfId="22" priority="23" operator="containsText" text="Media"/>
    <x:cfRule type="containsText" dxfId="23" priority="24" operator="containsText" text="Baja"/>
  </x:conditionalFormatting>
  <x:conditionalFormatting sqref="G44:G44">
    <x:cfRule type="containsText" dxfId="24" priority="25" operator="containsText" text="Crítica"/>
    <x:cfRule type="containsText" dxfId="25" priority="26" operator="containsText" text="Alta"/>
    <x:cfRule type="containsText" dxfId="26" priority="27" operator="containsText" text="Media"/>
    <x:cfRule type="containsText" dxfId="27" priority="28" operator="containsText" text="Baja"/>
  </x:conditionalFormatting>
  <x:conditionalFormatting sqref="G45:G45">
    <x:cfRule type="containsText" dxfId="28" priority="29" operator="containsText" text="Crítica"/>
    <x:cfRule type="containsText" dxfId="29" priority="30" operator="containsText" text="Alta"/>
    <x:cfRule type="containsText" dxfId="30" priority="31" operator="containsText" text="Media"/>
    <x:cfRule type="containsText" dxfId="31" priority="32" operator="containsText" text="Baja"/>
  </x:conditionalFormatting>
  <x:conditionalFormatting sqref="G46:G46">
    <x:cfRule type="containsText" dxfId="32" priority="33" operator="containsText" text="Crítica"/>
    <x:cfRule type="containsText" dxfId="33" priority="34" operator="containsText" text="Alta"/>
    <x:cfRule type="containsText" dxfId="34" priority="35" operator="containsText" text="Media"/>
    <x:cfRule type="containsText" dxfId="35" priority="36" operator="containsText" text="Baja"/>
  </x:conditionalFormatting>
  <x:conditionalFormatting sqref="G47:G47">
    <x:cfRule type="containsText" dxfId="36" priority="37" operator="containsText" text="Crítica"/>
    <x:cfRule type="containsText" dxfId="37" priority="38" operator="containsText" text="Alta"/>
    <x:cfRule type="containsText" dxfId="38" priority="39" operator="containsText" text="Media"/>
    <x:cfRule type="containsText" dxfId="39" priority="40" operator="containsText" text="Baja"/>
  </x:conditionalFormatting>
  <x:conditionalFormatting sqref="G48:G48">
    <x:cfRule type="containsText" dxfId="40" priority="41" operator="containsText" text="Crítica"/>
    <x:cfRule type="containsText" dxfId="41" priority="42" operator="containsText" text="Alta"/>
    <x:cfRule type="containsText" dxfId="42" priority="43" operator="containsText" text="Media"/>
    <x:cfRule type="containsText" dxfId="43" priority="44" operator="containsText" text="Baja"/>
  </x:conditionalFormatting>
  <x:conditionalFormatting sqref="G49:G49">
    <x:cfRule type="containsText" dxfId="44" priority="45" operator="containsText" text="Crítica"/>
    <x:cfRule type="containsText" dxfId="45" priority="46" operator="containsText" text="Alta"/>
    <x:cfRule type="containsText" dxfId="46" priority="47" operator="containsText" text="Media"/>
    <x:cfRule type="containsText" dxfId="47" priority="48" operator="containsText" text="Baja"/>
  </x:conditionalFormatting>
  <x:conditionalFormatting sqref="G50:G50">
    <x:cfRule type="containsText" dxfId="48" priority="49" operator="containsText" text="Crítica"/>
    <x:cfRule type="containsText" dxfId="49" priority="50" operator="containsText" text="Alta"/>
    <x:cfRule type="containsText" dxfId="50" priority="51" operator="containsText" text="Media"/>
    <x:cfRule type="containsText" dxfId="51" priority="52" operator="containsText" text="Baja"/>
  </x:conditionalFormatting>
  <x:conditionalFormatting sqref="G51:G51">
    <x:cfRule type="containsText" dxfId="52" priority="53" operator="containsText" text="Crítica"/>
    <x:cfRule type="containsText" dxfId="53" priority="54" operator="containsText" text="Alta"/>
    <x:cfRule type="containsText" dxfId="54" priority="55" operator="containsText" text="Media"/>
    <x:cfRule type="containsText" dxfId="55" priority="56" operator="containsText" text="Baja"/>
  </x:conditionalFormatting>
  <x:conditionalFormatting sqref="G52:G52">
    <x:cfRule type="containsText" dxfId="56" priority="57" operator="containsText" text="Crítica"/>
    <x:cfRule type="containsText" dxfId="57" priority="58" operator="containsText" text="Alta"/>
    <x:cfRule type="containsText" dxfId="58" priority="59" operator="containsText" text="Media"/>
    <x:cfRule type="containsText" dxfId="59" priority="60" operator="containsText" text="Baja"/>
  </x:conditionalFormatting>
  <x:conditionalFormatting sqref="G53:G53">
    <x:cfRule type="containsText" dxfId="60" priority="61" operator="containsText" text="Crítica"/>
    <x:cfRule type="containsText" dxfId="61" priority="62" operator="containsText" text="Alta"/>
    <x:cfRule type="containsText" dxfId="62" priority="63" operator="containsText" text="Media"/>
    <x:cfRule type="containsText" dxfId="63" priority="64" operator="containsText" text="Baja"/>
  </x:conditionalFormatting>
  <x:conditionalFormatting sqref="G54:G54">
    <x:cfRule type="containsText" dxfId="64" priority="65" operator="containsText" text="Crítica"/>
    <x:cfRule type="containsText" dxfId="65" priority="66" operator="containsText" text="Alta"/>
    <x:cfRule type="containsText" dxfId="66" priority="67" operator="containsText" text="Media"/>
    <x:cfRule type="containsText" dxfId="67" priority="68" operator="containsText" text="Baja"/>
  </x:conditionalFormatting>
  <x:conditionalFormatting sqref="G55:G55">
    <x:cfRule type="containsText" dxfId="68" priority="69" operator="containsText" text="Crítica"/>
    <x:cfRule type="containsText" dxfId="69" priority="70" operator="containsText" text="Alta"/>
    <x:cfRule type="containsText" dxfId="70" priority="71" operator="containsText" text="Media"/>
    <x:cfRule type="containsText" dxfId="71" priority="72" operator="containsText" text="Baja"/>
  </x:conditionalFormatting>
  <x:conditionalFormatting sqref="G56:G56">
    <x:cfRule type="containsText" dxfId="72" priority="73" operator="containsText" text="Crítica"/>
    <x:cfRule type="containsText" dxfId="73" priority="74" operator="containsText" text="Alta"/>
    <x:cfRule type="containsText" dxfId="74" priority="75" operator="containsText" text="Media"/>
    <x:cfRule type="containsText" dxfId="75" priority="76" operator="containsText" text="Baja"/>
  </x:conditionalFormatting>
  <x:conditionalFormatting sqref="G57:G57">
    <x:cfRule type="containsText" dxfId="76" priority="77" operator="containsText" text="Crítica"/>
    <x:cfRule type="containsText" dxfId="77" priority="78" operator="containsText" text="Alta"/>
    <x:cfRule type="containsText" dxfId="78" priority="79" operator="containsText" text="Media"/>
    <x:cfRule type="containsText" dxfId="79" priority="80" operator="containsText" text="Baja"/>
  </x:conditionalFormatting>
  <x:conditionalFormatting sqref="G58:G58">
    <x:cfRule type="containsText" dxfId="80" priority="81" operator="containsText" text="Crítica"/>
    <x:cfRule type="containsText" dxfId="81" priority="82" operator="containsText" text="Alta"/>
    <x:cfRule type="containsText" dxfId="82" priority="83" operator="containsText" text="Media"/>
    <x:cfRule type="containsText" dxfId="83" priority="84" operator="containsText" text="Baja"/>
  </x:conditionalFormatting>
  <x:conditionalFormatting sqref="G59:G59">
    <x:cfRule type="containsText" dxfId="84" priority="85" operator="containsText" text="Crítica"/>
    <x:cfRule type="containsText" dxfId="85" priority="86" operator="containsText" text="Alta"/>
    <x:cfRule type="containsText" dxfId="86" priority="87" operator="containsText" text="Media"/>
    <x:cfRule type="containsText" dxfId="87" priority="88" operator="containsText" text="Baja"/>
  </x:conditionalFormatting>
  <x:conditionalFormatting sqref="G60:G60">
    <x:cfRule type="containsText" dxfId="88" priority="89" operator="containsText" text="Crítica"/>
    <x:cfRule type="containsText" dxfId="89" priority="90" operator="containsText" text="Alta"/>
    <x:cfRule type="containsText" dxfId="90" priority="91" operator="containsText" text="Media"/>
    <x:cfRule type="containsText" dxfId="91" priority="92" operator="containsText" text="Baja"/>
  </x:conditionalFormatting>
  <x:conditionalFormatting sqref="G61:G61">
    <x:cfRule type="containsText" dxfId="92" priority="93" operator="containsText" text="Crítica"/>
    <x:cfRule type="containsText" dxfId="93" priority="94" operator="containsText" text="Alta"/>
    <x:cfRule type="containsText" dxfId="94" priority="95" operator="containsText" text="Media"/>
    <x:cfRule type="containsText" dxfId="95" priority="96" operator="containsText" text="Baja"/>
  </x:conditionalFormatting>
  <x:conditionalFormatting sqref="G62:G62">
    <x:cfRule type="containsText" dxfId="96" priority="97" operator="containsText" text="Crítica"/>
    <x:cfRule type="containsText" dxfId="97" priority="98" operator="containsText" text="Alta"/>
    <x:cfRule type="containsText" dxfId="98" priority="99" operator="containsText" text="Media"/>
    <x:cfRule type="containsText" dxfId="99" priority="100" operator="containsText" text="Baja"/>
  </x:conditionalFormatting>
  <x:conditionalFormatting sqref="G63:G63">
    <x:cfRule type="containsText" dxfId="100" priority="101" operator="containsText" text="Crítica"/>
    <x:cfRule type="containsText" dxfId="101" priority="102" operator="containsText" text="Alta"/>
    <x:cfRule type="containsText" dxfId="102" priority="103" operator="containsText" text="Media"/>
    <x:cfRule type="containsText" dxfId="103" priority="104" operator="containsText" text="Baja"/>
  </x:conditionalFormatting>
  <x:conditionalFormatting sqref="G64:G64">
    <x:cfRule type="containsText" dxfId="104" priority="105" operator="containsText" text="Crítica"/>
    <x:cfRule type="containsText" dxfId="105" priority="106" operator="containsText" text="Alta"/>
    <x:cfRule type="containsText" dxfId="106" priority="107" operator="containsText" text="Media"/>
    <x:cfRule type="containsText" dxfId="107" priority="108" operator="containsText" text="Baja"/>
  </x:conditionalFormatting>
  <x:conditionalFormatting sqref="G65:G65">
    <x:cfRule type="containsText" dxfId="108" priority="109" operator="containsText" text="Crítica"/>
    <x:cfRule type="containsText" dxfId="109" priority="110" operator="containsText" text="Alta"/>
    <x:cfRule type="containsText" dxfId="110" priority="111" operator="containsText" text="Media"/>
    <x:cfRule type="containsText" dxfId="111" priority="112" operator="containsText" text="Baja"/>
  </x:conditionalFormatting>
  <x:conditionalFormatting sqref="G66:G66">
    <x:cfRule type="containsText" dxfId="112" priority="113" operator="containsText" text="Crítica"/>
    <x:cfRule type="containsText" dxfId="113" priority="114" operator="containsText" text="Alta"/>
    <x:cfRule type="containsText" dxfId="114" priority="115" operator="containsText" text="Media"/>
    <x:cfRule type="containsText" dxfId="115" priority="116" operator="containsText" text="Baja"/>
  </x:conditionalFormatting>
  <x:conditionalFormatting sqref="G67:G67">
    <x:cfRule type="containsText" dxfId="116" priority="117" operator="containsText" text="Crítica"/>
    <x:cfRule type="containsText" dxfId="117" priority="118" operator="containsText" text="Alta"/>
    <x:cfRule type="containsText" dxfId="118" priority="119" operator="containsText" text="Media"/>
    <x:cfRule type="containsText" dxfId="119" priority="120" operator="containsText" text="Baja"/>
  </x:conditionalFormatting>
  <x:conditionalFormatting sqref="G68:G68">
    <x:cfRule type="containsText" dxfId="120" priority="121" operator="containsText" text="Crítica"/>
    <x:cfRule type="containsText" dxfId="121" priority="122" operator="containsText" text="Alta"/>
    <x:cfRule type="containsText" dxfId="122" priority="123" operator="containsText" text="Media"/>
    <x:cfRule type="containsText" dxfId="123" priority="124" operator="containsText" text="Baja"/>
  </x:conditionalFormatting>
  <x:conditionalFormatting sqref="G69:G69">
    <x:cfRule type="containsText" dxfId="124" priority="125" operator="containsText" text="Crítica"/>
    <x:cfRule type="containsText" dxfId="125" priority="126" operator="containsText" text="Alta"/>
    <x:cfRule type="containsText" dxfId="126" priority="127" operator="containsText" text="Media"/>
    <x:cfRule type="containsText" dxfId="127" priority="128" operator="containsText" text="Baja"/>
  </x:conditionalFormatting>
  <x:conditionalFormatting sqref="G70:G70">
    <x:cfRule type="containsText" dxfId="128" priority="129" operator="containsText" text="Crítica"/>
    <x:cfRule type="containsText" dxfId="129" priority="130" operator="containsText" text="Alta"/>
    <x:cfRule type="containsText" dxfId="130" priority="131" operator="containsText" text="Media"/>
    <x:cfRule type="containsText" dxfId="131" priority="132" operator="containsText" text="Baja"/>
  </x:conditionalFormatting>
  <x:conditionalFormatting sqref="G71:G71">
    <x:cfRule type="containsText" dxfId="132" priority="133" operator="containsText" text="Crítica"/>
    <x:cfRule type="containsText" dxfId="133" priority="134" operator="containsText" text="Alta"/>
    <x:cfRule type="containsText" dxfId="134" priority="135" operator="containsText" text="Media"/>
    <x:cfRule type="containsText" dxfId="135" priority="136" operator="containsText" text="Baja"/>
  </x:conditionalFormatting>
  <x:conditionalFormatting sqref="G72:G72">
    <x:cfRule type="containsText" dxfId="136" priority="137" operator="containsText" text="Crítica"/>
    <x:cfRule type="containsText" dxfId="137" priority="138" operator="containsText" text="Alta"/>
    <x:cfRule type="containsText" dxfId="138" priority="139" operator="containsText" text="Media"/>
    <x:cfRule type="containsText" dxfId="139" priority="140" operator="containsText" text="Baja"/>
  </x:conditionalFormatting>
  <x:conditionalFormatting sqref="G73:G73">
    <x:cfRule type="containsText" dxfId="140" priority="141" operator="containsText" text="Crítica"/>
    <x:cfRule type="containsText" dxfId="141" priority="142" operator="containsText" text="Alta"/>
    <x:cfRule type="containsText" dxfId="142" priority="143" operator="containsText" text="Media"/>
    <x:cfRule type="containsText" dxfId="143" priority="144" operator="containsText" text="Baja"/>
  </x:conditionalFormatting>
  <x:conditionalFormatting sqref="G74:G74">
    <x:cfRule type="containsText" dxfId="144" priority="145" operator="containsText" text="Crítica"/>
    <x:cfRule type="containsText" dxfId="145" priority="146" operator="containsText" text="Alta"/>
    <x:cfRule type="containsText" dxfId="146" priority="147" operator="containsText" text="Media"/>
    <x:cfRule type="containsText" dxfId="147" priority="148" operator="containsText" text="Baja"/>
  </x:conditionalFormatting>
  <x:conditionalFormatting sqref="G75:G75">
    <x:cfRule type="containsText" dxfId="148" priority="149" operator="containsText" text="Crítica"/>
    <x:cfRule type="containsText" dxfId="149" priority="150" operator="containsText" text="Alta"/>
    <x:cfRule type="containsText" dxfId="150" priority="151" operator="containsText" text="Media"/>
    <x:cfRule type="containsText" dxfId="151" priority="152" operator="containsText" text="Baja"/>
  </x:conditionalFormatting>
  <x:conditionalFormatting sqref="G76:G76">
    <x:cfRule type="containsText" dxfId="152" priority="153" operator="containsText" text="Crítica"/>
    <x:cfRule type="containsText" dxfId="153" priority="154" operator="containsText" text="Alta"/>
    <x:cfRule type="containsText" dxfId="154" priority="155" operator="containsText" text="Media"/>
    <x:cfRule type="containsText" dxfId="155" priority="156" operator="containsText" text="Baja"/>
  </x:conditionalFormatting>
  <x:conditionalFormatting sqref="G77:G77">
    <x:cfRule type="containsText" dxfId="156" priority="157" operator="containsText" text="Crítica"/>
    <x:cfRule type="containsText" dxfId="157" priority="158" operator="containsText" text="Alta"/>
    <x:cfRule type="containsText" dxfId="158" priority="159" operator="containsText" text="Media"/>
    <x:cfRule type="containsText" dxfId="159" priority="160" operator="containsText" text="Baja"/>
  </x:conditionalFormatting>
  <x:conditionalFormatting sqref="G78:G78">
    <x:cfRule type="containsText" dxfId="160" priority="161" operator="containsText" text="Crítica"/>
    <x:cfRule type="containsText" dxfId="161" priority="162" operator="containsText" text="Alta"/>
    <x:cfRule type="containsText" dxfId="162" priority="163" operator="containsText" text="Media"/>
    <x:cfRule type="containsText" dxfId="163" priority="164" operator="containsText" text="Baja"/>
  </x:conditionalFormatting>
  <x:conditionalFormatting sqref="G79:G79">
    <x:cfRule type="containsText" dxfId="164" priority="165" operator="containsText" text="Crítica"/>
    <x:cfRule type="containsText" dxfId="165" priority="166" operator="containsText" text="Alta"/>
    <x:cfRule type="containsText" dxfId="166" priority="167" operator="containsText" text="Media"/>
    <x:cfRule type="containsText" dxfId="167" priority="168" operator="containsText" text="Baja"/>
  </x:conditionalFormatting>
  <x:conditionalFormatting sqref="G80:G80">
    <x:cfRule type="containsText" dxfId="168" priority="169" operator="containsText" text="Crítica"/>
    <x:cfRule type="containsText" dxfId="169" priority="170" operator="containsText" text="Alta"/>
    <x:cfRule type="containsText" dxfId="170" priority="171" operator="containsText" text="Media"/>
    <x:cfRule type="containsText" dxfId="171" priority="172" operator="containsText" text="Baja"/>
  </x:conditionalFormatting>
  <x:conditionalFormatting sqref="G81:G81">
    <x:cfRule type="containsText" dxfId="172" priority="173" operator="containsText" text="Crítica"/>
    <x:cfRule type="containsText" dxfId="173" priority="174" operator="containsText" text="Alta"/>
    <x:cfRule type="containsText" dxfId="174" priority="175" operator="containsText" text="Media"/>
    <x:cfRule type="containsText" dxfId="175" priority="176" operator="containsText" text="Baja"/>
  </x:conditionalFormatting>
  <x:conditionalFormatting sqref="G82:G82">
    <x:cfRule type="containsText" dxfId="176" priority="177" operator="containsText" text="Crítica"/>
    <x:cfRule type="containsText" dxfId="177" priority="178" operator="containsText" text="Alta"/>
    <x:cfRule type="containsText" dxfId="178" priority="179" operator="containsText" text="Media"/>
    <x:cfRule type="containsText" dxfId="179" priority="180" operator="containsText" text="Baja"/>
  </x:conditionalFormatting>
  <x:conditionalFormatting sqref="G192:G192">
    <x:cfRule type="containsText" dxfId="180" priority="181" operator="containsText" text="Crítica"/>
    <x:cfRule type="containsText" dxfId="181" priority="182" operator="containsText" text="Alta"/>
    <x:cfRule type="containsText" dxfId="182" priority="183" operator="containsText" text="Media"/>
    <x:cfRule type="containsText" dxfId="183" priority="184" operator="containsText" text="Baja"/>
  </x:conditionalFormatting>
  <x:conditionalFormatting sqref="G193:G193">
    <x:cfRule type="containsText" dxfId="184" priority="185" operator="containsText" text="Crítica"/>
    <x:cfRule type="containsText" dxfId="185" priority="186" operator="containsText" text="Alta"/>
    <x:cfRule type="containsText" dxfId="186" priority="187" operator="containsText" text="Media"/>
    <x:cfRule type="containsText" dxfId="187" priority="188" operator="containsText" text="Baja"/>
  </x:conditionalFormatting>
  <x:conditionalFormatting sqref="G194:G194">
    <x:cfRule type="containsText" dxfId="188" priority="189" operator="containsText" text="Crítica"/>
    <x:cfRule type="containsText" dxfId="189" priority="190" operator="containsText" text="Alta"/>
    <x:cfRule type="containsText" dxfId="190" priority="191" operator="containsText" text="Media"/>
    <x:cfRule type="containsText" dxfId="191" priority="192" operator="containsText" text="Baja"/>
  </x:conditionalFormatting>
  <x:conditionalFormatting sqref="G195:G195">
    <x:cfRule type="containsText" dxfId="192" priority="193" operator="containsText" text="Crítica"/>
    <x:cfRule type="containsText" dxfId="193" priority="194" operator="containsText" text="Alta"/>
    <x:cfRule type="containsText" dxfId="194" priority="195" operator="containsText" text="Media"/>
    <x:cfRule type="containsText" dxfId="195" priority="196" operator="containsText" text="Baja"/>
  </x:conditionalFormatting>
  <x:conditionalFormatting sqref="G196:G196">
    <x:cfRule type="containsText" dxfId="196" priority="197" operator="containsText" text="Crítica"/>
    <x:cfRule type="containsText" dxfId="197" priority="198" operator="containsText" text="Alta"/>
    <x:cfRule type="containsText" dxfId="198" priority="199" operator="containsText" text="Media"/>
    <x:cfRule type="containsText" dxfId="199" priority="200" operator="containsText" text="Baja"/>
  </x:conditionalFormatting>
  <x:conditionalFormatting sqref="G197:G197">
    <x:cfRule type="containsText" dxfId="200" priority="201" operator="containsText" text="Crítica"/>
    <x:cfRule type="containsText" dxfId="201" priority="202" operator="containsText" text="Alta"/>
    <x:cfRule type="containsText" dxfId="202" priority="203" operator="containsText" text="Media"/>
    <x:cfRule type="containsText" dxfId="203" priority="204" operator="containsText" text="Baja"/>
  </x:conditionalFormatting>
  <x:conditionalFormatting sqref="G198:G198">
    <x:cfRule type="containsText" dxfId="204" priority="205" operator="containsText" text="Crítica"/>
    <x:cfRule type="containsText" dxfId="205" priority="206" operator="containsText" text="Alta"/>
    <x:cfRule type="containsText" dxfId="206" priority="207" operator="containsText" text="Media"/>
    <x:cfRule type="containsText" dxfId="207" priority="208" operator="containsText" text="Baja"/>
  </x:conditionalFormatting>
  <x:conditionalFormatting sqref="G199:G199">
    <x:cfRule type="containsText" dxfId="208" priority="209" operator="containsText" text="Crítica"/>
    <x:cfRule type="containsText" dxfId="209" priority="210" operator="containsText" text="Alta"/>
    <x:cfRule type="containsText" dxfId="210" priority="211" operator="containsText" text="Media"/>
    <x:cfRule type="containsText" dxfId="211" priority="212" operator="containsText" text="Baja"/>
  </x:conditionalFormatting>
  <x:conditionalFormatting sqref="G200:G200">
    <x:cfRule type="containsText" dxfId="212" priority="213" operator="containsText" text="Crítica"/>
    <x:cfRule type="containsText" dxfId="213" priority="214" operator="containsText" text="Alta"/>
    <x:cfRule type="containsText" dxfId="214" priority="215" operator="containsText" text="Media"/>
    <x:cfRule type="containsText" dxfId="215" priority="216" operator="containsText" text="Baja"/>
  </x:conditionalFormatting>
  <x:conditionalFormatting sqref="G201:G201">
    <x:cfRule type="containsText" dxfId="216" priority="217" operator="containsText" text="Crítica"/>
    <x:cfRule type="containsText" dxfId="217" priority="218" operator="containsText" text="Alta"/>
    <x:cfRule type="containsText" dxfId="218" priority="219" operator="containsText" text="Media"/>
    <x:cfRule type="containsText" dxfId="219" priority="220" operator="containsText" text="Baja"/>
  </x:conditionalFormatting>
  <x:conditionalFormatting sqref="G202:G202">
    <x:cfRule type="containsText" dxfId="220" priority="221" operator="containsText" text="Crítica"/>
    <x:cfRule type="containsText" dxfId="221" priority="222" operator="containsText" text="Alta"/>
    <x:cfRule type="containsText" dxfId="222" priority="223" operator="containsText" text="Media"/>
    <x:cfRule type="containsText" dxfId="223" priority="224" operator="containsText" text="Baja"/>
  </x:conditionalFormatting>
  <x:conditionalFormatting sqref="G203:G203">
    <x:cfRule type="containsText" dxfId="224" priority="225" operator="containsText" text="Crítica"/>
    <x:cfRule type="containsText" dxfId="225" priority="226" operator="containsText" text="Alta"/>
    <x:cfRule type="containsText" dxfId="226" priority="227" operator="containsText" text="Media"/>
    <x:cfRule type="containsText" dxfId="227" priority="228" operator="containsText" text="Baja"/>
  </x:conditionalFormatting>
  <x:conditionalFormatting sqref="G204:G204">
    <x:cfRule type="containsText" dxfId="228" priority="229" operator="containsText" text="Crítica"/>
    <x:cfRule type="containsText" dxfId="229" priority="230" operator="containsText" text="Alta"/>
    <x:cfRule type="containsText" dxfId="230" priority="231" operator="containsText" text="Media"/>
    <x:cfRule type="containsText" dxfId="231" priority="232" operator="containsText" text="Baja"/>
  </x:conditionalFormatting>
  <x:conditionalFormatting sqref="G205:G205">
    <x:cfRule type="containsText" dxfId="232" priority="233" operator="containsText" text="Crítica"/>
    <x:cfRule type="containsText" dxfId="233" priority="234" operator="containsText" text="Alta"/>
    <x:cfRule type="containsText" dxfId="234" priority="235" operator="containsText" text="Media"/>
    <x:cfRule type="containsText" dxfId="235" priority="236" operator="containsText" text="Baja"/>
  </x:conditionalFormatting>
  <x:conditionalFormatting sqref="G206:G206">
    <x:cfRule type="containsText" dxfId="236" priority="237" operator="containsText" text="Crítica"/>
    <x:cfRule type="containsText" dxfId="237" priority="238" operator="containsText" text="Alta"/>
    <x:cfRule type="containsText" dxfId="238" priority="239" operator="containsText" text="Media"/>
    <x:cfRule type="containsText" dxfId="239" priority="240" operator="containsText" text="Baja"/>
  </x:conditionalFormatting>
  <x:conditionalFormatting sqref="G207:G207">
    <x:cfRule type="containsText" dxfId="240" priority="241" operator="containsText" text="Crítica"/>
    <x:cfRule type="containsText" dxfId="241" priority="242" operator="containsText" text="Alta"/>
    <x:cfRule type="containsText" dxfId="242" priority="243" operator="containsText" text="Media"/>
    <x:cfRule type="containsText" dxfId="243" priority="244" operator="containsText" text="Baja"/>
  </x:conditionalFormatting>
  <x:conditionalFormatting sqref="G208:G208">
    <x:cfRule type="containsText" dxfId="244" priority="245" operator="containsText" text="Crítica"/>
    <x:cfRule type="containsText" dxfId="245" priority="246" operator="containsText" text="Alta"/>
    <x:cfRule type="containsText" dxfId="246" priority="247" operator="containsText" text="Media"/>
    <x:cfRule type="containsText" dxfId="247" priority="248" operator="containsText" text="Baja"/>
  </x:conditionalFormatting>
  <x:conditionalFormatting sqref="G209:G209">
    <x:cfRule type="containsText" dxfId="248" priority="249" operator="containsText" text="Crítica"/>
    <x:cfRule type="containsText" dxfId="249" priority="250" operator="containsText" text="Alta"/>
    <x:cfRule type="containsText" dxfId="250" priority="251" operator="containsText" text="Media"/>
    <x:cfRule type="containsText" dxfId="251" priority="252" operator="containsText" text="Baja"/>
  </x:conditionalFormatting>
  <x:conditionalFormatting sqref="G210:G210">
    <x:cfRule type="containsText" dxfId="252" priority="253" operator="containsText" text="Crítica"/>
    <x:cfRule type="containsText" dxfId="253" priority="254" operator="containsText" text="Alta"/>
    <x:cfRule type="containsText" dxfId="254" priority="255" operator="containsText" text="Media"/>
    <x:cfRule type="containsText" dxfId="255" priority="256" operator="containsText" text="Baja"/>
  </x:conditionalFormatting>
  <x:conditionalFormatting sqref="G211:G211">
    <x:cfRule type="containsText" dxfId="256" priority="257" operator="containsText" text="Crítica"/>
    <x:cfRule type="containsText" dxfId="257" priority="258" operator="containsText" text="Alta"/>
    <x:cfRule type="containsText" dxfId="258" priority="259" operator="containsText" text="Media"/>
    <x:cfRule type="containsText" dxfId="259" priority="260" operator="containsText" text="Baja"/>
  </x:conditionalFormatting>
  <x:conditionalFormatting sqref="G212:G212">
    <x:cfRule type="containsText" dxfId="260" priority="261" operator="containsText" text="Crítica"/>
    <x:cfRule type="containsText" dxfId="261" priority="262" operator="containsText" text="Alta"/>
    <x:cfRule type="containsText" dxfId="262" priority="263" operator="containsText" text="Media"/>
    <x:cfRule type="containsText" dxfId="263" priority="264" operator="containsText" text="Baja"/>
  </x:conditionalFormatting>
  <x:conditionalFormatting sqref="G213:G213">
    <x:cfRule type="containsText" dxfId="264" priority="265" operator="containsText" text="Crítica"/>
    <x:cfRule type="containsText" dxfId="265" priority="266" operator="containsText" text="Alta"/>
    <x:cfRule type="containsText" dxfId="266" priority="267" operator="containsText" text="Media"/>
    <x:cfRule type="containsText" dxfId="267" priority="268" operator="containsText" text="Baja"/>
  </x:conditionalFormatting>
  <x:conditionalFormatting sqref="G214:G214">
    <x:cfRule type="containsText" dxfId="268" priority="269" operator="containsText" text="Crítica"/>
    <x:cfRule type="containsText" dxfId="269" priority="270" operator="containsText" text="Alta"/>
    <x:cfRule type="containsText" dxfId="270" priority="271" operator="containsText" text="Media"/>
    <x:cfRule type="containsText" dxfId="271" priority="272" operator="containsText" text="Baja"/>
  </x:conditionalFormatting>
  <x:conditionalFormatting sqref="G215:G215">
    <x:cfRule type="containsText" dxfId="272" priority="273" operator="containsText" text="Crítica"/>
    <x:cfRule type="containsText" dxfId="273" priority="274" operator="containsText" text="Alta"/>
    <x:cfRule type="containsText" dxfId="274" priority="275" operator="containsText" text="Media"/>
    <x:cfRule type="containsText" dxfId="275" priority="276" operator="containsText" text="Baja"/>
  </x:conditionalFormatting>
  <x:conditionalFormatting sqref="G216:G216">
    <x:cfRule type="containsText" dxfId="276" priority="277" operator="containsText" text="Crítica"/>
    <x:cfRule type="containsText" dxfId="277" priority="278" operator="containsText" text="Alta"/>
    <x:cfRule type="containsText" dxfId="278" priority="279" operator="containsText" text="Media"/>
    <x:cfRule type="containsText" dxfId="279" priority="280" operator="containsText" text="Baja"/>
  </x:conditionalFormatting>
  <x:conditionalFormatting sqref="G217:G217">
    <x:cfRule type="containsText" dxfId="280" priority="281" operator="containsText" text="Crítica"/>
    <x:cfRule type="containsText" dxfId="281" priority="282" operator="containsText" text="Alta"/>
    <x:cfRule type="containsText" dxfId="282" priority="283" operator="containsText" text="Media"/>
    <x:cfRule type="containsText" dxfId="283" priority="284" operator="containsText" text="Baja"/>
  </x:conditionalFormatting>
  <x:conditionalFormatting sqref="G218:G218">
    <x:cfRule type="containsText" dxfId="284" priority="285" operator="containsText" text="Crítica"/>
    <x:cfRule type="containsText" dxfId="285" priority="286" operator="containsText" text="Alta"/>
    <x:cfRule type="containsText" dxfId="286" priority="287" operator="containsText" text="Media"/>
    <x:cfRule type="containsText" dxfId="287" priority="288" operator="containsText" text="Baja"/>
  </x:conditionalFormatting>
  <x:conditionalFormatting sqref="G219:G219">
    <x:cfRule type="containsText" dxfId="288" priority="289" operator="containsText" text="Crítica"/>
    <x:cfRule type="containsText" dxfId="289" priority="290" operator="containsText" text="Alta"/>
    <x:cfRule type="containsText" dxfId="290" priority="291" operator="containsText" text="Media"/>
    <x:cfRule type="containsText" dxfId="291" priority="292" operator="containsText" text="Baja"/>
  </x:conditionalFormatting>
  <x:conditionalFormatting sqref="G220:G220">
    <x:cfRule type="containsText" dxfId="292" priority="293" operator="containsText" text="Crítica"/>
    <x:cfRule type="containsText" dxfId="293" priority="294" operator="containsText" text="Alta"/>
    <x:cfRule type="containsText" dxfId="294" priority="295" operator="containsText" text="Media"/>
    <x:cfRule type="containsText" dxfId="295" priority="296" operator="containsText" text="Baja"/>
  </x:conditionalFormatting>
  <x:conditionalFormatting sqref="G221:G221">
    <x:cfRule type="containsText" dxfId="296" priority="297" operator="containsText" text="Crítica"/>
    <x:cfRule type="containsText" dxfId="297" priority="298" operator="containsText" text="Alta"/>
    <x:cfRule type="containsText" dxfId="298" priority="299" operator="containsText" text="Media"/>
    <x:cfRule type="containsText" dxfId="299" priority="300" operator="containsText" text="Baja"/>
  </x:conditionalFormatting>
  <x:conditionalFormatting sqref="G222:G222">
    <x:cfRule type="containsText" dxfId="300" priority="301" operator="containsText" text="Crítica"/>
    <x:cfRule type="containsText" dxfId="301" priority="302" operator="containsText" text="Alta"/>
    <x:cfRule type="containsText" dxfId="302" priority="303" operator="containsText" text="Media"/>
    <x:cfRule type="containsText" dxfId="303" priority="304" operator="containsText" text="Baja"/>
  </x:conditionalFormatting>
  <x:conditionalFormatting sqref="G223:G223">
    <x:cfRule type="containsText" dxfId="304" priority="305" operator="containsText" text="Crítica"/>
    <x:cfRule type="containsText" dxfId="305" priority="306" operator="containsText" text="Alta"/>
    <x:cfRule type="containsText" dxfId="306" priority="307" operator="containsText" text="Media"/>
    <x:cfRule type="containsText" dxfId="307" priority="308" operator="containsText" text="Baja"/>
  </x:conditionalFormatting>
  <x:conditionalFormatting sqref="G224:G224">
    <x:cfRule type="containsText" dxfId="308" priority="309" operator="containsText" text="Crítica"/>
    <x:cfRule type="containsText" dxfId="309" priority="310" operator="containsText" text="Alta"/>
    <x:cfRule type="containsText" dxfId="310" priority="311" operator="containsText" text="Media"/>
    <x:cfRule type="containsText" dxfId="311" priority="312" operator="containsText" text="Baja"/>
  </x:conditionalFormatting>
  <x:conditionalFormatting sqref="G225:G225">
    <x:cfRule type="containsText" dxfId="312" priority="313" operator="containsText" text="Crítica"/>
    <x:cfRule type="containsText" dxfId="313" priority="314" operator="containsText" text="Alta"/>
    <x:cfRule type="containsText" dxfId="314" priority="315" operator="containsText" text="Media"/>
    <x:cfRule type="containsText" dxfId="315" priority="316" operator="containsText" text="Baja"/>
  </x:conditionalFormatting>
  <x:conditionalFormatting sqref="G226:G226">
    <x:cfRule type="containsText" dxfId="316" priority="317" operator="containsText" text="Crítica"/>
    <x:cfRule type="containsText" dxfId="317" priority="318" operator="containsText" text="Alta"/>
    <x:cfRule type="containsText" dxfId="318" priority="319" operator="containsText" text="Media"/>
    <x:cfRule type="containsText" dxfId="319" priority="320" operator="containsText" text="Baja"/>
  </x:conditionalFormatting>
  <x:conditionalFormatting sqref="G227:G227">
    <x:cfRule type="containsText" dxfId="320" priority="321" operator="containsText" text="Crítica"/>
    <x:cfRule type="containsText" dxfId="321" priority="322" operator="containsText" text="Alta"/>
    <x:cfRule type="containsText" dxfId="322" priority="323" operator="containsText" text="Media"/>
    <x:cfRule type="containsText" dxfId="323" priority="324" operator="containsText" text="Baja"/>
  </x:conditionalFormatting>
  <x:conditionalFormatting sqref="G228:G228">
    <x:cfRule type="containsText" dxfId="324" priority="325" operator="containsText" text="Crítica"/>
    <x:cfRule type="containsText" dxfId="325" priority="326" operator="containsText" text="Alta"/>
    <x:cfRule type="containsText" dxfId="326" priority="327" operator="containsText" text="Media"/>
    <x:cfRule type="containsText" dxfId="327" priority="328" operator="containsText" text="Baja"/>
  </x:conditionalFormatting>
  <x:conditionalFormatting sqref="G229:G229">
    <x:cfRule type="containsText" dxfId="328" priority="329" operator="containsText" text="Crítica"/>
    <x:cfRule type="containsText" dxfId="329" priority="330" operator="containsText" text="Alta"/>
    <x:cfRule type="containsText" dxfId="330" priority="331" operator="containsText" text="Media"/>
    <x:cfRule type="containsText" dxfId="331" priority="332" operator="containsText" text="Baja"/>
  </x:conditionalFormatting>
  <x:conditionalFormatting sqref="G230:G230">
    <x:cfRule type="containsText" dxfId="332" priority="333" operator="containsText" text="Crítica"/>
    <x:cfRule type="containsText" dxfId="333" priority="334" operator="containsText" text="Alta"/>
    <x:cfRule type="containsText" dxfId="334" priority="335" operator="containsText" text="Media"/>
    <x:cfRule type="containsText" dxfId="335" priority="336" operator="containsText" text="Baja"/>
  </x:conditionalFormatting>
  <x:conditionalFormatting sqref="G231:G231">
    <x:cfRule type="containsText" dxfId="336" priority="337" operator="containsText" text="Crítica"/>
    <x:cfRule type="containsText" dxfId="337" priority="338" operator="containsText" text="Alta"/>
    <x:cfRule type="containsText" dxfId="338" priority="339" operator="containsText" text="Media"/>
    <x:cfRule type="containsText" dxfId="339" priority="340" operator="containsText" text="Baja"/>
  </x:conditionalFormatting>
  <x:conditionalFormatting sqref="G232:G232">
    <x:cfRule type="containsText" dxfId="340" priority="341" operator="containsText" text="Crítica"/>
    <x:cfRule type="containsText" dxfId="341" priority="342" operator="containsText" text="Alta"/>
    <x:cfRule type="containsText" dxfId="342" priority="343" operator="containsText" text="Media"/>
    <x:cfRule type="containsText" dxfId="343" priority="344" operator="containsText" text="Baja"/>
  </x:conditionalFormatting>
  <x:conditionalFormatting sqref="G233:G233">
    <x:cfRule type="containsText" dxfId="344" priority="345" operator="containsText" text="Crítica"/>
    <x:cfRule type="containsText" dxfId="345" priority="346" operator="containsText" text="Alta"/>
    <x:cfRule type="containsText" dxfId="346" priority="347" operator="containsText" text="Media"/>
    <x:cfRule type="containsText" dxfId="347" priority="348" operator="containsText" text="Baja"/>
  </x:conditionalFormatting>
  <x:conditionalFormatting sqref="G234:G234">
    <x:cfRule type="containsText" dxfId="348" priority="349" operator="containsText" text="Crítica"/>
    <x:cfRule type="containsText" dxfId="349" priority="350" operator="containsText" text="Alta"/>
    <x:cfRule type="containsText" dxfId="350" priority="351" operator="containsText" text="Media"/>
    <x:cfRule type="containsText" dxfId="351" priority="352" operator="containsText" text="Baja"/>
  </x:conditionalFormatting>
  <x:conditionalFormatting sqref="G235:G235">
    <x:cfRule type="containsText" dxfId="352" priority="353" operator="containsText" text="Crítica"/>
    <x:cfRule type="containsText" dxfId="353" priority="354" operator="containsText" text="Alta"/>
    <x:cfRule type="containsText" dxfId="354" priority="355" operator="containsText" text="Media"/>
    <x:cfRule type="containsText" dxfId="355" priority="356" operator="containsText" text="Baja"/>
  </x:conditionalFormatting>
  <x:conditionalFormatting sqref="G236:G236">
    <x:cfRule type="containsText" dxfId="356" priority="357" operator="containsText" text="Crítica"/>
    <x:cfRule type="containsText" dxfId="357" priority="358" operator="containsText" text="Alta"/>
    <x:cfRule type="containsText" dxfId="358" priority="359" operator="containsText" text="Media"/>
    <x:cfRule type="containsText" dxfId="359" priority="360" operator="containsText" text="Baja"/>
  </x:conditionalFormatting>
  <x:conditionalFormatting sqref="E254:E254">
    <x:cfRule type="containsText" dxfId="360" priority="361" operator="containsText" text="Crítica"/>
    <x:cfRule type="containsText" dxfId="361" priority="362" operator="containsText" text="Alta"/>
    <x:cfRule type="containsText" dxfId="362" priority="363" operator="containsText" text="Media"/>
    <x:cfRule type="containsText" dxfId="363" priority="364" operator="containsText" text="Baja"/>
  </x:conditionalFormatting>
  <x:conditionalFormatting sqref="E255:E255">
    <x:cfRule type="containsText" dxfId="364" priority="365" operator="containsText" text="Crítica"/>
    <x:cfRule type="containsText" dxfId="365" priority="366" operator="containsText" text="Alta"/>
    <x:cfRule type="containsText" dxfId="366" priority="367" operator="containsText" text="Media"/>
    <x:cfRule type="containsText" dxfId="367" priority="368" operator="containsText" text="Baja"/>
  </x:conditionalFormatting>
  <x:conditionalFormatting sqref="E256:E256">
    <x:cfRule type="containsText" dxfId="368" priority="369" operator="containsText" text="Crítica"/>
    <x:cfRule type="containsText" dxfId="369" priority="370" operator="containsText" text="Alta"/>
    <x:cfRule type="containsText" dxfId="370" priority="371" operator="containsText" text="Media"/>
    <x:cfRule type="containsText" dxfId="371" priority="372" operator="containsText" text="Baja"/>
  </x:conditionalFormatting>
  <x:conditionalFormatting sqref="E257:E257">
    <x:cfRule type="containsText" dxfId="372" priority="373" operator="containsText" text="Crítica"/>
    <x:cfRule type="containsText" dxfId="373" priority="374" operator="containsText" text="Alta"/>
    <x:cfRule type="containsText" dxfId="374" priority="375" operator="containsText" text="Media"/>
    <x:cfRule type="containsText" dxfId="375" priority="376" operator="containsText" text="Baja"/>
  </x:conditionalFormatting>
  <x:conditionalFormatting sqref="E258:E258">
    <x:cfRule type="containsText" dxfId="376" priority="377" operator="containsText" text="Crítica"/>
    <x:cfRule type="containsText" dxfId="377" priority="378" operator="containsText" text="Alta"/>
    <x:cfRule type="containsText" dxfId="378" priority="379" operator="containsText" text="Media"/>
    <x:cfRule type="containsText" dxfId="379" priority="380" operator="containsText" text="Baja"/>
  </x:conditionalFormatting>
  <x:conditionalFormatting sqref="E259:E259">
    <x:cfRule type="containsText" dxfId="380" priority="381" operator="containsText" text="Crítica"/>
    <x:cfRule type="containsText" dxfId="381" priority="382" operator="containsText" text="Alta"/>
    <x:cfRule type="containsText" dxfId="382" priority="383" operator="containsText" text="Media"/>
    <x:cfRule type="containsText" dxfId="383" priority="384" operator="containsText" text="Baja"/>
  </x:conditionalFormatting>
  <x:conditionalFormatting sqref="E260:E260">
    <x:cfRule type="containsText" dxfId="384" priority="385" operator="containsText" text="Crítica"/>
    <x:cfRule type="containsText" dxfId="385" priority="386" operator="containsText" text="Alta"/>
    <x:cfRule type="containsText" dxfId="386" priority="387" operator="containsText" text="Media"/>
    <x:cfRule type="containsText" dxfId="387" priority="388" operator="containsText" text="Baja"/>
  </x:conditionalFormatting>
  <x:conditionalFormatting sqref="E261:E261">
    <x:cfRule type="containsText" dxfId="388" priority="389" operator="containsText" text="Crítica"/>
    <x:cfRule type="containsText" dxfId="389" priority="390" operator="containsText" text="Alta"/>
    <x:cfRule type="containsText" dxfId="390" priority="391" operator="containsText" text="Media"/>
    <x:cfRule type="containsText" dxfId="391" priority="392" operator="containsText" text="Baja"/>
  </x:conditionalFormatting>
  <x:conditionalFormatting sqref="E262:E262">
    <x:cfRule type="containsText" dxfId="392" priority="393" operator="containsText" text="Crítica"/>
    <x:cfRule type="containsText" dxfId="393" priority="394" operator="containsText" text="Alta"/>
    <x:cfRule type="containsText" dxfId="394" priority="395" operator="containsText" text="Media"/>
    <x:cfRule type="containsText" dxfId="395" priority="396" operator="containsText" text="Baja"/>
  </x:conditionalFormatting>
  <x:conditionalFormatting sqref="E263:E263">
    <x:cfRule type="containsText" dxfId="396" priority="397" operator="containsText" text="Crítica"/>
    <x:cfRule type="containsText" dxfId="397" priority="398" operator="containsText" text="Alta"/>
    <x:cfRule type="containsText" dxfId="398" priority="399" operator="containsText" text="Media"/>
    <x:cfRule type="containsText" dxfId="399" priority="400" operator="containsText" text="Baja"/>
  </x:conditionalFormatting>
  <x:conditionalFormatting sqref="E264:E264">
    <x:cfRule type="containsText" dxfId="400" priority="401" operator="containsText" text="Crítica"/>
    <x:cfRule type="containsText" dxfId="401" priority="402" operator="containsText" text="Alta"/>
    <x:cfRule type="containsText" dxfId="402" priority="403" operator="containsText" text="Media"/>
    <x:cfRule type="containsText" dxfId="403" priority="404" operator="containsText" text="Baja"/>
  </x:conditionalFormatting>
  <x:conditionalFormatting sqref="E265:E265">
    <x:cfRule type="containsText" dxfId="404" priority="405" operator="containsText" text="Crítica"/>
    <x:cfRule type="containsText" dxfId="405" priority="406" operator="containsText" text="Alta"/>
    <x:cfRule type="containsText" dxfId="406" priority="407" operator="containsText" text="Media"/>
    <x:cfRule type="containsText" dxfId="407" priority="408" operator="containsText" text="Baja"/>
  </x:conditionalFormatting>
  <x:conditionalFormatting sqref="E266:E266">
    <x:cfRule type="containsText" dxfId="408" priority="409" operator="containsText" text="Crítica"/>
    <x:cfRule type="containsText" dxfId="409" priority="410" operator="containsText" text="Alta"/>
    <x:cfRule type="containsText" dxfId="410" priority="411" operator="containsText" text="Media"/>
    <x:cfRule type="containsText" dxfId="411" priority="412" operator="containsText" text="Baja"/>
  </x:conditionalFormatting>
  <x:conditionalFormatting sqref="E267:E267">
    <x:cfRule type="containsText" dxfId="412" priority="413" operator="containsText" text="Crítica"/>
    <x:cfRule type="containsText" dxfId="413" priority="414" operator="containsText" text="Alta"/>
    <x:cfRule type="containsText" dxfId="414" priority="415" operator="containsText" text="Media"/>
    <x:cfRule type="containsText" dxfId="415" priority="416" operator="containsText" text="Baja"/>
  </x:conditionalFormatting>
  <x:conditionalFormatting sqref="E268:E268">
    <x:cfRule type="containsText" dxfId="416" priority="417" operator="containsText" text="Crítica"/>
    <x:cfRule type="containsText" dxfId="417" priority="418" operator="containsText" text="Alta"/>
    <x:cfRule type="containsText" dxfId="418" priority="419" operator="containsText" text="Media"/>
    <x:cfRule type="containsText" dxfId="419" priority="420" operator="containsText" text="Baja"/>
  </x:conditionalFormatting>
  <x:conditionalFormatting sqref="E269:E269">
    <x:cfRule type="containsText" dxfId="420" priority="421" operator="containsText" text="Crítica"/>
    <x:cfRule type="containsText" dxfId="421" priority="422" operator="containsText" text="Alta"/>
    <x:cfRule type="containsText" dxfId="422" priority="423" operator="containsText" text="Media"/>
    <x:cfRule type="containsText" dxfId="423" priority="424" operator="containsText" text="Baja"/>
  </x:conditionalFormatting>
  <x:conditionalFormatting sqref="E270:E270">
    <x:cfRule type="containsText" dxfId="424" priority="425" operator="containsText" text="Crítica"/>
    <x:cfRule type="containsText" dxfId="425" priority="426" operator="containsText" text="Alta"/>
    <x:cfRule type="containsText" dxfId="426" priority="427" operator="containsText" text="Media"/>
    <x:cfRule type="containsText" dxfId="427" priority="428" operator="containsText" text="Baja"/>
  </x:conditionalFormatting>
  <x:conditionalFormatting sqref="E271:E271">
    <x:cfRule type="containsText" dxfId="428" priority="429" operator="containsText" text="Crítica"/>
    <x:cfRule type="containsText" dxfId="429" priority="430" operator="containsText" text="Alta"/>
    <x:cfRule type="containsText" dxfId="430" priority="431" operator="containsText" text="Media"/>
    <x:cfRule type="containsText" dxfId="431" priority="432" operator="containsText" text="Baja"/>
  </x:conditionalFormatting>
  <x:conditionalFormatting sqref="E272:E272">
    <x:cfRule type="containsText" dxfId="432" priority="433" operator="containsText" text="Crítica"/>
    <x:cfRule type="containsText" dxfId="433" priority="434" operator="containsText" text="Alta"/>
    <x:cfRule type="containsText" dxfId="434" priority="435" operator="containsText" text="Media"/>
    <x:cfRule type="containsText" dxfId="435" priority="436" operator="containsText" text="Baja"/>
  </x:conditionalFormatting>
  <x:conditionalFormatting sqref="E273:E273">
    <x:cfRule type="containsText" dxfId="436" priority="437" operator="containsText" text="Crítica"/>
    <x:cfRule type="containsText" dxfId="437" priority="438" operator="containsText" text="Alta"/>
    <x:cfRule type="containsText" dxfId="438" priority="439" operator="containsText" text="Media"/>
    <x:cfRule type="containsText" dxfId="439" priority="440" operator="containsText" text="Baja"/>
  </x:conditionalFormatting>
  <x:conditionalFormatting sqref="E274:E274">
    <x:cfRule type="containsText" dxfId="440" priority="441" operator="containsText" text="Crítica"/>
    <x:cfRule type="containsText" dxfId="441" priority="442" operator="containsText" text="Alta"/>
    <x:cfRule type="containsText" dxfId="442" priority="443" operator="containsText" text="Media"/>
    <x:cfRule type="containsText" dxfId="443" priority="444" operator="containsText" text="Baja"/>
  </x:conditionalFormatting>
  <x:conditionalFormatting sqref="E275:E275">
    <x:cfRule type="containsText" dxfId="444" priority="445" operator="containsText" text="Crítica"/>
    <x:cfRule type="containsText" dxfId="445" priority="446" operator="containsText" text="Alta"/>
    <x:cfRule type="containsText" dxfId="446" priority="447" operator="containsText" text="Media"/>
    <x:cfRule type="containsText" dxfId="447" priority="448" operator="containsText" text="Baja"/>
  </x:conditionalFormatting>
  <x:conditionalFormatting sqref="E276:E276">
    <x:cfRule type="containsText" dxfId="448" priority="449" operator="containsText" text="Crítica"/>
    <x:cfRule type="containsText" dxfId="449" priority="450" operator="containsText" text="Alta"/>
    <x:cfRule type="containsText" dxfId="450" priority="451" operator="containsText" text="Media"/>
    <x:cfRule type="containsText" dxfId="451" priority="452" operator="containsText" text="Baja"/>
  </x:conditionalFormatting>
  <x:conditionalFormatting sqref="E277:E277">
    <x:cfRule type="containsText" dxfId="452" priority="453" operator="containsText" text="Crítica"/>
    <x:cfRule type="containsText" dxfId="453" priority="454" operator="containsText" text="Alta"/>
    <x:cfRule type="containsText" dxfId="454" priority="455" operator="containsText" text="Media"/>
    <x:cfRule type="containsText" dxfId="455" priority="456" operator="containsText" text="Baja"/>
  </x:conditionalFormatting>
  <x:conditionalFormatting sqref="E278:E278">
    <x:cfRule type="containsText" dxfId="456" priority="457" operator="containsText" text="Crítica"/>
    <x:cfRule type="containsText" dxfId="457" priority="458" operator="containsText" text="Alta"/>
    <x:cfRule type="containsText" dxfId="458" priority="459" operator="containsText" text="Media"/>
    <x:cfRule type="containsText" dxfId="459" priority="460" operator="containsText" text="Baja"/>
  </x:conditionalFormatting>
  <x:conditionalFormatting sqref="E279:E279">
    <x:cfRule type="containsText" dxfId="460" priority="461" operator="containsText" text="Crítica"/>
    <x:cfRule type="containsText" dxfId="461" priority="462" operator="containsText" text="Alta"/>
    <x:cfRule type="containsText" dxfId="462" priority="463" operator="containsText" text="Media"/>
    <x:cfRule type="containsText" dxfId="463" priority="464" operator="containsText" text="Baja"/>
  </x:conditionalFormatting>
  <x:conditionalFormatting sqref="E280:E280">
    <x:cfRule type="containsText" dxfId="464" priority="465" operator="containsText" text="Crítica"/>
    <x:cfRule type="containsText" dxfId="465" priority="466" operator="containsText" text="Alta"/>
    <x:cfRule type="containsText" dxfId="466" priority="467" operator="containsText" text="Media"/>
    <x:cfRule type="containsText" dxfId="467" priority="468" operator="containsText" text="Baja"/>
  </x:conditionalFormatting>
  <x:conditionalFormatting sqref="E281:E281">
    <x:cfRule type="containsText" dxfId="468" priority="469" operator="containsText" text="Crítica"/>
    <x:cfRule type="containsText" dxfId="469" priority="470" operator="containsText" text="Alta"/>
    <x:cfRule type="containsText" dxfId="470" priority="471" operator="containsText" text="Media"/>
    <x:cfRule type="containsText" dxfId="471" priority="472" operator="containsText" text="Baja"/>
  </x:conditionalFormatting>
  <x:conditionalFormatting sqref="E282:E282">
    <x:cfRule type="containsText" dxfId="472" priority="473" operator="containsText" text="Crítica"/>
    <x:cfRule type="containsText" dxfId="473" priority="474" operator="containsText" text="Alta"/>
    <x:cfRule type="containsText" dxfId="474" priority="475" operator="containsText" text="Media"/>
    <x:cfRule type="containsText" dxfId="475" priority="476" operator="containsText" text="Baja"/>
  </x:conditionalFormatting>
  <x:conditionalFormatting sqref="E283:E283">
    <x:cfRule type="containsText" dxfId="476" priority="477" operator="containsText" text="Crítica"/>
    <x:cfRule type="containsText" dxfId="477" priority="478" operator="containsText" text="Alta"/>
    <x:cfRule type="containsText" dxfId="478" priority="479" operator="containsText" text="Media"/>
    <x:cfRule type="containsText" dxfId="479" priority="480" operator="containsText" text="Baja"/>
  </x:conditionalFormatting>
  <x:conditionalFormatting sqref="E284:E284">
    <x:cfRule type="containsText" dxfId="480" priority="481" operator="containsText" text="Crítica"/>
    <x:cfRule type="containsText" dxfId="481" priority="482" operator="containsText" text="Alta"/>
    <x:cfRule type="containsText" dxfId="482" priority="483" operator="containsText" text="Media"/>
    <x:cfRule type="containsText" dxfId="483" priority="484" operator="containsText" text="Baja"/>
  </x:conditionalFormatting>
  <x:conditionalFormatting sqref="E285:E285">
    <x:cfRule type="containsText" dxfId="484" priority="485" operator="containsText" text="Crítica"/>
    <x:cfRule type="containsText" dxfId="485" priority="486" operator="containsText" text="Alta"/>
    <x:cfRule type="containsText" dxfId="486" priority="487" operator="containsText" text="Media"/>
    <x:cfRule type="containsText" dxfId="487" priority="488" operator="containsText" text="Baja"/>
  </x:conditionalFormatting>
  <x:conditionalFormatting sqref="E286:E286">
    <x:cfRule type="containsText" dxfId="488" priority="489" operator="containsText" text="Crítica"/>
    <x:cfRule type="containsText" dxfId="489" priority="490" operator="containsText" text="Alta"/>
    <x:cfRule type="containsText" dxfId="490" priority="491" operator="containsText" text="Media"/>
    <x:cfRule type="containsText" dxfId="491" priority="492" operator="containsText" text="Baja"/>
  </x:conditionalFormatting>
  <x:conditionalFormatting sqref="E287:E287">
    <x:cfRule type="containsText" dxfId="492" priority="493" operator="containsText" text="Crítica"/>
    <x:cfRule type="containsText" dxfId="493" priority="494" operator="containsText" text="Alta"/>
    <x:cfRule type="containsText" dxfId="494" priority="495" operator="containsText" text="Media"/>
    <x:cfRule type="containsText" dxfId="495" priority="496" operator="containsText" text="Baja"/>
  </x:conditionalFormatting>
  <x:conditionalFormatting sqref="E288:E288">
    <x:cfRule type="containsText" dxfId="496" priority="497" operator="containsText" text="Crítica"/>
    <x:cfRule type="containsText" dxfId="497" priority="498" operator="containsText" text="Alta"/>
    <x:cfRule type="containsText" dxfId="498" priority="499" operator="containsText" text="Media"/>
    <x:cfRule type="containsText" dxfId="499" priority="500" operator="containsText" text="Baja"/>
  </x:conditionalFormatting>
  <x:conditionalFormatting sqref="E289:E289">
    <x:cfRule type="containsText" dxfId="500" priority="501" operator="containsText" text="Crítica"/>
    <x:cfRule type="containsText" dxfId="501" priority="502" operator="containsText" text="Alta"/>
    <x:cfRule type="containsText" dxfId="502" priority="503" operator="containsText" text="Media"/>
    <x:cfRule type="containsText" dxfId="503" priority="504" operator="containsText" text="Baja"/>
  </x:conditionalFormatting>
  <x:conditionalFormatting sqref="E290:E290">
    <x:cfRule type="containsText" dxfId="504" priority="505" operator="containsText" text="Crítica"/>
    <x:cfRule type="containsText" dxfId="505" priority="506" operator="containsText" text="Alta"/>
    <x:cfRule type="containsText" dxfId="506" priority="507" operator="containsText" text="Media"/>
    <x:cfRule type="containsText" dxfId="507" priority="508" operator="containsText" text="Baja"/>
  </x:conditionalFormatting>
  <x:conditionalFormatting sqref="E291:E291">
    <x:cfRule type="containsText" dxfId="508" priority="509" operator="containsText" text="Crítica"/>
    <x:cfRule type="containsText" dxfId="509" priority="510" operator="containsText" text="Alta"/>
    <x:cfRule type="containsText" dxfId="510" priority="511" operator="containsText" text="Media"/>
    <x:cfRule type="containsText" dxfId="511" priority="512" operator="containsText" text="Baja"/>
  </x:conditionalFormatting>
  <x:conditionalFormatting sqref="E292:E292">
    <x:cfRule type="containsText" dxfId="512" priority="513" operator="containsText" text="Crítica"/>
    <x:cfRule type="containsText" dxfId="513" priority="514" operator="containsText" text="Alta"/>
    <x:cfRule type="containsText" dxfId="514" priority="515" operator="containsText" text="Media"/>
    <x:cfRule type="containsText" dxfId="515" priority="516" operator="containsText" text="Baja"/>
  </x:conditionalFormatting>
  <x:conditionalFormatting sqref="E293:E293">
    <x:cfRule type="containsText" dxfId="516" priority="517" operator="containsText" text="Crítica"/>
    <x:cfRule type="containsText" dxfId="517" priority="518" operator="containsText" text="Alta"/>
    <x:cfRule type="containsText" dxfId="518" priority="519" operator="containsText" text="Media"/>
    <x:cfRule type="containsText" dxfId="519" priority="520" operator="containsText" text="Baja"/>
  </x:conditionalFormatting>
  <x:conditionalFormatting sqref="E294:E294">
    <x:cfRule type="containsText" dxfId="520" priority="521" operator="containsText" text="Crítica"/>
    <x:cfRule type="containsText" dxfId="521" priority="522" operator="containsText" text="Alta"/>
    <x:cfRule type="containsText" dxfId="522" priority="523" operator="containsText" text="Media"/>
    <x:cfRule type="containsText" dxfId="523" priority="524" operator="containsText" text="Baja"/>
  </x:conditionalFormatting>
  <x:conditionalFormatting sqref="E295:E295">
    <x:cfRule type="containsText" dxfId="524" priority="525" operator="containsText" text="Crítica"/>
    <x:cfRule type="containsText" dxfId="525" priority="526" operator="containsText" text="Alta"/>
    <x:cfRule type="containsText" dxfId="526" priority="527" operator="containsText" text="Media"/>
    <x:cfRule type="containsText" dxfId="527" priority="528" operator="containsText" text="Baja"/>
  </x:conditionalFormatting>
  <x:conditionalFormatting sqref="E296:E296">
    <x:cfRule type="containsText" dxfId="528" priority="529" operator="containsText" text="Crítica"/>
    <x:cfRule type="containsText" dxfId="529" priority="530" operator="containsText" text="Alta"/>
    <x:cfRule type="containsText" dxfId="530" priority="531" operator="containsText" text="Media"/>
    <x:cfRule type="containsText" dxfId="531" priority="532" operator="containsText" text="Baja"/>
  </x:conditionalFormatting>
  <x:conditionalFormatting sqref="E297:E297">
    <x:cfRule type="containsText" dxfId="532" priority="533" operator="containsText" text="Crítica"/>
    <x:cfRule type="containsText" dxfId="533" priority="534" operator="containsText" text="Alta"/>
    <x:cfRule type="containsText" dxfId="534" priority="535" operator="containsText" text="Media"/>
    <x:cfRule type="containsText" dxfId="535" priority="536" operator="containsText" text="Baja"/>
  </x:conditionalFormatting>
  <x:conditionalFormatting sqref="E298:E298">
    <x:cfRule type="containsText" dxfId="536" priority="537" operator="containsText" text="Crítica"/>
    <x:cfRule type="containsText" dxfId="537" priority="538" operator="containsText" text="Alta"/>
    <x:cfRule type="containsText" dxfId="538" priority="539" operator="containsText" text="Media"/>
    <x:cfRule type="containsText" dxfId="539" priority="540" operator="containsText" text="Baja"/>
  </x:conditionalFormatting>
  <x:dataValidations count="90">
    <x:dataValidation type="decimal" operator="between" sqref="B192">
      <x:formula1>0</x:formula1>
      <x:formula2>1</x:formula2>
    </x:dataValidation>
    <x:dataValidation type="list" sqref="F38">
      <x:formula1>"0.05,0.10,0.20,0.40,0.80"</x:formula1>
    </x:dataValidation>
    <x:dataValidation type="decimal" operator="between" sqref="B193">
      <x:formula1>0</x:formula1>
      <x:formula2>1</x:formula2>
    </x:dataValidation>
    <x:dataValidation type="list" sqref="F39">
      <x:formula1>"0.05,0.10,0.20,0.40,0.80"</x:formula1>
    </x:dataValidation>
    <x:dataValidation type="decimal" operator="between" sqref="B194">
      <x:formula1>0</x:formula1>
      <x:formula2>1</x:formula2>
    </x:dataValidation>
    <x:dataValidation type="list" sqref="F40">
      <x:formula1>"0.05,0.10,0.20,0.40,0.80"</x:formula1>
    </x:dataValidation>
    <x:dataValidation type="decimal" operator="between" sqref="B195">
      <x:formula1>0</x:formula1>
      <x:formula2>1</x:formula2>
    </x:dataValidation>
    <x:dataValidation type="list" sqref="F41">
      <x:formula1>"0.05,0.10,0.20,0.40,0.80"</x:formula1>
    </x:dataValidation>
    <x:dataValidation type="decimal" operator="between" sqref="B196">
      <x:formula1>0</x:formula1>
      <x:formula2>1</x:formula2>
    </x:dataValidation>
    <x:dataValidation type="list" sqref="F42">
      <x:formula1>"0.05,0.10,0.20,0.40,0.80"</x:formula1>
    </x:dataValidation>
    <x:dataValidation type="decimal" operator="between" sqref="B197">
      <x:formula1>0</x:formula1>
      <x:formula2>1</x:formula2>
    </x:dataValidation>
    <x:dataValidation type="list" sqref="F43">
      <x:formula1>"0.05,0.10,0.20,0.40,0.80"</x:formula1>
    </x:dataValidation>
    <x:dataValidation type="decimal" operator="between" sqref="B198">
      <x:formula1>0</x:formula1>
      <x:formula2>1</x:formula2>
    </x:dataValidation>
    <x:dataValidation type="list" sqref="F44">
      <x:formula1>"0.05,0.10,0.20,0.40,0.80"</x:formula1>
    </x:dataValidation>
    <x:dataValidation type="decimal" operator="between" sqref="B199">
      <x:formula1>0</x:formula1>
      <x:formula2>1</x:formula2>
    </x:dataValidation>
    <x:dataValidation type="list" sqref="F45">
      <x:formula1>"0.05,0.10,0.20,0.40,0.80"</x:formula1>
    </x:dataValidation>
    <x:dataValidation type="decimal" operator="between" sqref="B200">
      <x:formula1>0</x:formula1>
      <x:formula2>1</x:formula2>
    </x:dataValidation>
    <x:dataValidation type="list" sqref="F46">
      <x:formula1>"0.05,0.10,0.20,0.40,0.80"</x:formula1>
    </x:dataValidation>
    <x:dataValidation type="decimal" operator="between" sqref="B201">
      <x:formula1>0</x:formula1>
      <x:formula2>1</x:formula2>
    </x:dataValidation>
    <x:dataValidation type="list" sqref="F47">
      <x:formula1>"0.05,0.10,0.20,0.40,0.80"</x:formula1>
    </x:dataValidation>
    <x:dataValidation type="decimal" operator="between" sqref="B202">
      <x:formula1>0</x:formula1>
      <x:formula2>1</x:formula2>
    </x:dataValidation>
    <x:dataValidation type="list" sqref="F48">
      <x:formula1>"0.05,0.10,0.20,0.40,0.80"</x:formula1>
    </x:dataValidation>
    <x:dataValidation type="decimal" operator="between" sqref="B203">
      <x:formula1>0</x:formula1>
      <x:formula2>1</x:formula2>
    </x:dataValidation>
    <x:dataValidation type="list" sqref="F49">
      <x:formula1>"0.05,0.10,0.20,0.40,0.80"</x:formula1>
    </x:dataValidation>
    <x:dataValidation type="decimal" operator="between" sqref="B204">
      <x:formula1>0</x:formula1>
      <x:formula2>1</x:formula2>
    </x:dataValidation>
    <x:dataValidation type="list" sqref="F50">
      <x:formula1>"0.05,0.10,0.20,0.40,0.80"</x:formula1>
    </x:dataValidation>
    <x:dataValidation type="decimal" operator="between" sqref="B205">
      <x:formula1>0</x:formula1>
      <x:formula2>1</x:formula2>
    </x:dataValidation>
    <x:dataValidation type="list" sqref="F51">
      <x:formula1>"0.05,0.10,0.20,0.40,0.80"</x:formula1>
    </x:dataValidation>
    <x:dataValidation type="decimal" operator="between" sqref="B206">
      <x:formula1>0</x:formula1>
      <x:formula2>1</x:formula2>
    </x:dataValidation>
    <x:dataValidation type="list" sqref="F52">
      <x:formula1>"0.05,0.10,0.20,0.40,0.80"</x:formula1>
    </x:dataValidation>
    <x:dataValidation type="decimal" operator="between" sqref="B207">
      <x:formula1>0</x:formula1>
      <x:formula2>1</x:formula2>
    </x:dataValidation>
    <x:dataValidation type="list" sqref="F53">
      <x:formula1>"0.05,0.10,0.20,0.40,0.80"</x:formula1>
    </x:dataValidation>
    <x:dataValidation type="decimal" operator="between" sqref="B208">
      <x:formula1>0</x:formula1>
      <x:formula2>1</x:formula2>
    </x:dataValidation>
    <x:dataValidation type="list" sqref="F54">
      <x:formula1>"0.05,0.10,0.20,0.40,0.80"</x:formula1>
    </x:dataValidation>
    <x:dataValidation type="decimal" operator="between" sqref="B209">
      <x:formula1>0</x:formula1>
      <x:formula2>1</x:formula2>
    </x:dataValidation>
    <x:dataValidation type="list" sqref="F55">
      <x:formula1>"0.05,0.10,0.20,0.40,0.80"</x:formula1>
    </x:dataValidation>
    <x:dataValidation type="decimal" operator="between" sqref="B210">
      <x:formula1>0</x:formula1>
      <x:formula2>1</x:formula2>
    </x:dataValidation>
    <x:dataValidation type="list" sqref="F56">
      <x:formula1>"0.05,0.10,0.20,0.40,0.80"</x:formula1>
    </x:dataValidation>
    <x:dataValidation type="decimal" operator="between" sqref="B211">
      <x:formula1>0</x:formula1>
      <x:formula2>1</x:formula2>
    </x:dataValidation>
    <x:dataValidation type="list" sqref="F57">
      <x:formula1>"0.05,0.10,0.20,0.40,0.80"</x:formula1>
    </x:dataValidation>
    <x:dataValidation type="decimal" operator="between" sqref="B212">
      <x:formula1>0</x:formula1>
      <x:formula2>1</x:formula2>
    </x:dataValidation>
    <x:dataValidation type="list" sqref="F58">
      <x:formula1>"0.05,0.10,0.20,0.40,0.80"</x:formula1>
    </x:dataValidation>
    <x:dataValidation type="decimal" operator="between" sqref="B213">
      <x:formula1>0</x:formula1>
      <x:formula2>1</x:formula2>
    </x:dataValidation>
    <x:dataValidation type="list" sqref="F59">
      <x:formula1>"0.05,0.10,0.20,0.40,0.80"</x:formula1>
    </x:dataValidation>
    <x:dataValidation type="decimal" operator="between" sqref="B214">
      <x:formula1>0</x:formula1>
      <x:formula2>1</x:formula2>
    </x:dataValidation>
    <x:dataValidation type="list" sqref="F60">
      <x:formula1>"0.05,0.10,0.20,0.40,0.80"</x:formula1>
    </x:dataValidation>
    <x:dataValidation type="decimal" operator="between" sqref="B215">
      <x:formula1>0</x:formula1>
      <x:formula2>1</x:formula2>
    </x:dataValidation>
    <x:dataValidation type="list" sqref="F61">
      <x:formula1>"0.05,0.10,0.20,0.40,0.80"</x:formula1>
    </x:dataValidation>
    <x:dataValidation type="decimal" operator="between" sqref="B216">
      <x:formula1>0</x:formula1>
      <x:formula2>1</x:formula2>
    </x:dataValidation>
    <x:dataValidation type="list" sqref="F62">
      <x:formula1>"0.05,0.10,0.20,0.40,0.80"</x:formula1>
    </x:dataValidation>
    <x:dataValidation type="decimal" operator="between" sqref="B217">
      <x:formula1>0</x:formula1>
      <x:formula2>1</x:formula2>
    </x:dataValidation>
    <x:dataValidation type="list" sqref="F63">
      <x:formula1>"0.05,0.10,0.20,0.40,0.80"</x:formula1>
    </x:dataValidation>
    <x:dataValidation type="decimal" operator="between" sqref="B218">
      <x:formula1>0</x:formula1>
      <x:formula2>1</x:formula2>
    </x:dataValidation>
    <x:dataValidation type="list" sqref="F64">
      <x:formula1>"0.05,0.10,0.20,0.40,0.80"</x:formula1>
    </x:dataValidation>
    <x:dataValidation type="decimal" operator="between" sqref="B219">
      <x:formula1>0</x:formula1>
      <x:formula2>1</x:formula2>
    </x:dataValidation>
    <x:dataValidation type="list" sqref="F65">
      <x:formula1>"0.05,0.10,0.20,0.40,0.80"</x:formula1>
    </x:dataValidation>
    <x:dataValidation type="decimal" operator="between" sqref="B220">
      <x:formula1>0</x:formula1>
      <x:formula2>1</x:formula2>
    </x:dataValidation>
    <x:dataValidation type="list" sqref="F66">
      <x:formula1>"0.05,0.10,0.20,0.40,0.80"</x:formula1>
    </x:dataValidation>
    <x:dataValidation type="decimal" operator="between" sqref="B221">
      <x:formula1>0</x:formula1>
      <x:formula2>1</x:formula2>
    </x:dataValidation>
    <x:dataValidation type="list" sqref="F67">
      <x:formula1>"0.05,0.10,0.20,0.40,0.80"</x:formula1>
    </x:dataValidation>
    <x:dataValidation type="decimal" operator="between" sqref="B222">
      <x:formula1>0</x:formula1>
      <x:formula2>1</x:formula2>
    </x:dataValidation>
    <x:dataValidation type="list" sqref="F68">
      <x:formula1>"0.05,0.10,0.20,0.40,0.80"</x:formula1>
    </x:dataValidation>
    <x:dataValidation type="decimal" operator="between" sqref="B223">
      <x:formula1>0</x:formula1>
      <x:formula2>1</x:formula2>
    </x:dataValidation>
    <x:dataValidation type="list" sqref="F69">
      <x:formula1>"0.05,0.10,0.20,0.40,0.80"</x:formula1>
    </x:dataValidation>
    <x:dataValidation type="decimal" operator="between" sqref="B224">
      <x:formula1>0</x:formula1>
      <x:formula2>1</x:formula2>
    </x:dataValidation>
    <x:dataValidation type="list" sqref="F70">
      <x:formula1>"0.05,0.10,0.20,0.40,0.80"</x:formula1>
    </x:dataValidation>
    <x:dataValidation type="decimal" operator="between" sqref="B225">
      <x:formula1>0</x:formula1>
      <x:formula2>1</x:formula2>
    </x:dataValidation>
    <x:dataValidation type="list" sqref="F71">
      <x:formula1>"0.05,0.10,0.20,0.40,0.80"</x:formula1>
    </x:dataValidation>
    <x:dataValidation type="decimal" operator="between" sqref="B226">
      <x:formula1>0</x:formula1>
      <x:formula2>1</x:formula2>
    </x:dataValidation>
    <x:dataValidation type="list" sqref="F72">
      <x:formula1>"0.05,0.10,0.20,0.40,0.80"</x:formula1>
    </x:dataValidation>
    <x:dataValidation type="decimal" operator="between" sqref="B227">
      <x:formula1>0</x:formula1>
      <x:formula2>1</x:formula2>
    </x:dataValidation>
    <x:dataValidation type="list" sqref="F73">
      <x:formula1>"0.05,0.10,0.20,0.40,0.80"</x:formula1>
    </x:dataValidation>
    <x:dataValidation type="decimal" operator="between" sqref="B228">
      <x:formula1>0</x:formula1>
      <x:formula2>1</x:formula2>
    </x:dataValidation>
    <x:dataValidation type="list" sqref="F74">
      <x:formula1>"0.05,0.10,0.20,0.40,0.80"</x:formula1>
    </x:dataValidation>
    <x:dataValidation type="decimal" operator="between" sqref="B229">
      <x:formula1>0</x:formula1>
      <x:formula2>1</x:formula2>
    </x:dataValidation>
    <x:dataValidation type="list" sqref="F75">
      <x:formula1>"0.05,0.10,0.20,0.40,0.80"</x:formula1>
    </x:dataValidation>
    <x:dataValidation type="decimal" operator="between" sqref="B230">
      <x:formula1>0</x:formula1>
      <x:formula2>1</x:formula2>
    </x:dataValidation>
    <x:dataValidation type="list" sqref="F76">
      <x:formula1>"0.05,0.10,0.20,0.40,0.80"</x:formula1>
    </x:dataValidation>
    <x:dataValidation type="decimal" operator="between" sqref="B231">
      <x:formula1>0</x:formula1>
      <x:formula2>1</x:formula2>
    </x:dataValidation>
    <x:dataValidation type="list" sqref="F77">
      <x:formula1>"0.05,0.10,0.20,0.40,0.80"</x:formula1>
    </x:dataValidation>
    <x:dataValidation type="decimal" operator="between" sqref="B232">
      <x:formula1>0</x:formula1>
      <x:formula2>1</x:formula2>
    </x:dataValidation>
    <x:dataValidation type="list" sqref="F78">
      <x:formula1>"0.05,0.10,0.20,0.40,0.80"</x:formula1>
    </x:dataValidation>
    <x:dataValidation type="decimal" operator="between" sqref="B233">
      <x:formula1>0</x:formula1>
      <x:formula2>1</x:formula2>
    </x:dataValidation>
    <x:dataValidation type="list" sqref="F79">
      <x:formula1>"0.05,0.10,0.20,0.40,0.80"</x:formula1>
    </x:dataValidation>
    <x:dataValidation type="decimal" operator="between" sqref="B234">
      <x:formula1>0</x:formula1>
      <x:formula2>1</x:formula2>
    </x:dataValidation>
    <x:dataValidation type="list" sqref="F80">
      <x:formula1>"0.05,0.10,0.20,0.40,0.80"</x:formula1>
    </x:dataValidation>
    <x:dataValidation type="decimal" operator="between" sqref="B235">
      <x:formula1>0</x:formula1>
      <x:formula2>1</x:formula2>
    </x:dataValidation>
    <x:dataValidation type="list" sqref="F81">
      <x:formula1>"0.05,0.10,0.20,0.40,0.80"</x:formula1>
    </x:dataValidation>
    <x:dataValidation type="decimal" operator="between" sqref="B236">
      <x:formula1>0</x:formula1>
      <x:formula2>1</x:formula2>
    </x:dataValidation>
    <x:dataValidation type="list" sqref="F82">
      <x:formula1>"0.05,0.10,0.20,0.40,0.80"</x:formula1>
    </x:dataValidation>
  </x:dataValidations>
  <x:pageMargins left="0.7" right="0.7" top="0.75" bottom="0.75" header="0.3" footer="0.3"/>
  <x:legacyDrawing xmlns:r="http://schemas.openxmlformats.org/officeDocument/2006/relationships" r:id="R965a69c9d8e44e8b"/>
  <x:tableParts count="2">
    <x:tablePart xmlns:r="http://schemas.openxmlformats.org/officeDocument/2006/relationships" r:id="Re013613012a74b1f"/>
    <x:tablePart xmlns:r="http://schemas.openxmlformats.org/officeDocument/2006/relationships" r:id="Re67ef0d9cabe4b1d"/>
  </x:tableParts>
</x:worksheet>
</file>